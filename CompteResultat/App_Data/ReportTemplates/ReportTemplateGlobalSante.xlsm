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2\Kerialis Santé BDP\NewSanté\"/>
    </mc:Choice>
  </mc:AlternateContent>
  <xr:revisionPtr revIDLastSave="0" documentId="13_ncr:1_{90470F99-27BA-4B87-BDEB-1452B3444FB3}" xr6:coauthVersionLast="47" xr6:coauthVersionMax="47" xr10:uidLastSave="{00000000-0000-0000-0000-000000000000}"/>
  <bookViews>
    <workbookView xWindow="-93" yWindow="-93" windowWidth="25786" windowHeight="13986" xr2:uid="{00000000-000D-0000-FFFF-FFFF00000000}"/>
  </bookViews>
  <sheets>
    <sheet name="Page de garde" sheetId="3" r:id="rId1"/>
    <sheet name="DATA" sheetId="1" r:id="rId2"/>
    <sheet name="DATA_CUMUL" sheetId="5" r:id="rId3"/>
    <sheet name="AFFICHAG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3" l="1"/>
</calcChain>
</file>

<file path=xl/sharedStrings.xml><?xml version="1.0" encoding="utf-8"?>
<sst xmlns="http://schemas.openxmlformats.org/spreadsheetml/2006/main" count="149" uniqueCount="68">
  <si>
    <t/>
  </si>
  <si>
    <t xml:space="preserve">Période analysée : </t>
  </si>
  <si>
    <t xml:space="preserve"> au </t>
  </si>
  <si>
    <t>Date d'arreté des comptes :</t>
  </si>
  <si>
    <t>ASSUREUR</t>
  </si>
  <si>
    <t>DATE d'ARRETEE</t>
  </si>
  <si>
    <t>FRAIS REEL</t>
  </si>
  <si>
    <t>REMB SS</t>
  </si>
  <si>
    <t>REMB ANNEXE</t>
  </si>
  <si>
    <t>DATE DEBUT</t>
  </si>
  <si>
    <t>DATE FIN</t>
  </si>
  <si>
    <t>DATE D'ARRETE</t>
  </si>
  <si>
    <t>NON</t>
  </si>
  <si>
    <t>MAJ EXCEL</t>
  </si>
  <si>
    <t>STATISTIQUES GLOBAL</t>
  </si>
  <si>
    <t>numéro société</t>
  </si>
  <si>
    <t>Année de Survenance</t>
  </si>
  <si>
    <t>Prestations</t>
  </si>
  <si>
    <t>Provisions</t>
  </si>
  <si>
    <t>Cotisations brutes</t>
  </si>
  <si>
    <t xml:space="preserve">Cotisations nettes </t>
  </si>
  <si>
    <t>Ratio</t>
  </si>
  <si>
    <t>Pertes/bénéfices</t>
  </si>
  <si>
    <t>Filiale</t>
  </si>
  <si>
    <t>FRAIS DE SANTE</t>
  </si>
  <si>
    <t>COEFF PROV Moyen</t>
  </si>
  <si>
    <t>Taux Chargement</t>
  </si>
  <si>
    <t>AssureurName</t>
  </si>
  <si>
    <t>GroupName</t>
  </si>
  <si>
    <t>GarantyName</t>
  </si>
  <si>
    <t>KERIALIS_PRODUIT</t>
  </si>
  <si>
    <t>AIDES</t>
  </si>
  <si>
    <t>APPAREILLAGE</t>
  </si>
  <si>
    <t>01/01/2020</t>
  </si>
  <si>
    <t>31/12/2021</t>
  </si>
  <si>
    <t>Survenance</t>
  </si>
  <si>
    <t>PROTHESES AUDITIVES</t>
  </si>
  <si>
    <t>AUTRE</t>
  </si>
  <si>
    <t>CURE</t>
  </si>
  <si>
    <t>CURE THERMALE</t>
  </si>
  <si>
    <t>DENTA</t>
  </si>
  <si>
    <t>ACTES DE PROPHYLAXIE ET PREVENTION</t>
  </si>
  <si>
    <t>HOSPI</t>
  </si>
  <si>
    <t>ORTHODONTIE</t>
  </si>
  <si>
    <t>OPTIQ</t>
  </si>
  <si>
    <t>PARODONTOLOGIE</t>
  </si>
  <si>
    <t>PREVE</t>
  </si>
  <si>
    <t>PROTHESE-COURONNE 100% PANIER</t>
  </si>
  <si>
    <t>SOINS</t>
  </si>
  <si>
    <t>PROTHESE-COURONNE PANIER LIBRE</t>
  </si>
  <si>
    <t>PROTHESE-COURONNE PANIER MAITRISE</t>
  </si>
  <si>
    <t>SOINS DENTAIRES</t>
  </si>
  <si>
    <t>CHAMBRE PARTICULIERE</t>
  </si>
  <si>
    <t>FORFAIT JOURNALIER</t>
  </si>
  <si>
    <t>FRAIS TRANSPORT</t>
  </si>
  <si>
    <t>HONORAIRES</t>
  </si>
  <si>
    <t>HONORAIRES LIES A L'ACCOUCHEMENT</t>
  </si>
  <si>
    <t>INDEMNITE DE NAISSANCE</t>
  </si>
  <si>
    <t>EQUIPEMENT</t>
  </si>
  <si>
    <t>KERATOTOMIE</t>
  </si>
  <si>
    <t>LENTILLES</t>
  </si>
  <si>
    <t>MEDECINE DOUCE</t>
  </si>
  <si>
    <t>VACCINS</t>
  </si>
  <si>
    <t>ANALYSES</t>
  </si>
  <si>
    <t>AUXILIAIRES MEDICAUX</t>
  </si>
  <si>
    <t>CONSULTATIONS,VISITES ET ACTES DE PETITE CHIRURGIE</t>
  </si>
  <si>
    <t>IMAGERIE, RADIOLOGIE, ECHOGRAPHIE</t>
  </si>
  <si>
    <t>PHARMACIE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</si>
</sst>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[$€-40C]_-;\-* #,##0.00\ [$€-40C]_-;_-* &quot;-&quot;??\ [$€-40C]_-;_-@_-"/>
    <numFmt numFmtId="165" formatCode="#,##0.00\ &quot;€&quot;"/>
    <numFmt numFmtId="166" formatCode="0.0000"/>
  </numFmts>
  <fonts count="17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b/>
      <sz val="11"/>
      <color theme="1"/>
      <name val="Calibri"/>
      <family val="2"/>
      <scheme val="minor"/>
    </font>
    <font>
      <sz val="20"/>
      <color rgb="FF4FACBE"/>
      <name val="DINBek"/>
    </font>
  </fonts>
  <fills count="4">
    <fill>
      <patternFill patternType="none"/>
    </fill>
    <fill>
      <patternFill patternType="gray125"/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9" fontId="13" fillId="0" borderId="0" applyFont="0" applyFill="0" applyBorder="0" applyAlignment="0" applyProtection="0"/>
    <xf numFmtId="0" fontId="2" fillId="0" borderId="0"/>
  </cellStyleXfs>
  <cellXfs count="53">
    <xf numFmtId="0" fontId="0" fillId="0" borderId="0" xfId="0"/>
    <xf numFmtId="0" fontId="1" fillId="0" borderId="0" xfId="0" applyNumberFormat="1" applyFont="1" applyFill="1" applyBorder="1"/>
    <xf numFmtId="0" fontId="1" fillId="0" borderId="1" xfId="0" applyNumberFormat="1" applyFont="1" applyFill="1" applyBorder="1"/>
    <xf numFmtId="0" fontId="1" fillId="0" borderId="2" xfId="0" applyNumberFormat="1" applyFont="1" applyFill="1" applyBorder="1"/>
    <xf numFmtId="0" fontId="1" fillId="0" borderId="3" xfId="0" applyNumberFormat="1" applyFont="1" applyFill="1" applyBorder="1"/>
    <xf numFmtId="0" fontId="1" fillId="0" borderId="4" xfId="0" applyNumberFormat="1" applyFont="1" applyFill="1" applyBorder="1"/>
    <xf numFmtId="0" fontId="1" fillId="0" borderId="5" xfId="0" applyNumberFormat="1" applyFont="1" applyFill="1" applyBorder="1"/>
    <xf numFmtId="0" fontId="3" fillId="0" borderId="0" xfId="1" applyNumberFormat="1" applyFont="1" applyFill="1" applyBorder="1" applyAlignment="1">
      <alignment horizontal="left" vertical="center"/>
    </xf>
    <xf numFmtId="0" fontId="1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" fillId="0" borderId="4" xfId="0" applyNumberFormat="1" applyFont="1" applyFill="1" applyBorder="1" applyAlignment="1">
      <alignment wrapText="1"/>
    </xf>
    <xf numFmtId="0" fontId="1" fillId="0" borderId="5" xfId="0" applyNumberFormat="1" applyFont="1" applyFill="1" applyBorder="1" applyAlignment="1">
      <alignment wrapText="1"/>
    </xf>
    <xf numFmtId="0" fontId="4" fillId="0" borderId="4" xfId="0" applyNumberFormat="1" applyFont="1" applyFill="1" applyBorder="1"/>
    <xf numFmtId="0" fontId="4" fillId="0" borderId="0" xfId="0" applyNumberFormat="1" applyFont="1" applyFill="1" applyBorder="1" applyAlignment="1">
      <alignment horizontal="left" vertical="center"/>
    </xf>
    <xf numFmtId="0" fontId="6" fillId="0" borderId="0" xfId="1" applyNumberFormat="1" applyFont="1" applyFill="1" applyBorder="1" applyAlignment="1">
      <alignment horizontal="left" vertical="center"/>
    </xf>
    <xf numFmtId="0" fontId="4" fillId="0" borderId="5" xfId="0" applyNumberFormat="1" applyFont="1" applyFill="1" applyBorder="1"/>
    <xf numFmtId="0" fontId="4" fillId="0" borderId="0" xfId="0" applyNumberFormat="1" applyFont="1" applyFill="1" applyBorder="1" applyAlignment="1">
      <alignment vertical="center" wrapText="1"/>
    </xf>
    <xf numFmtId="0" fontId="9" fillId="0" borderId="0" xfId="1" applyNumberFormat="1" applyFont="1" applyFill="1" applyBorder="1" applyAlignment="1">
      <alignment horizontal="left" vertical="center"/>
    </xf>
    <xf numFmtId="0" fontId="10" fillId="0" borderId="0" xfId="1" applyNumberFormat="1" applyFont="1" applyFill="1" applyBorder="1" applyAlignment="1">
      <alignment horizontal="left" vertical="center"/>
    </xf>
    <xf numFmtId="0" fontId="11" fillId="0" borderId="0" xfId="1" applyNumberFormat="1" applyFont="1" applyFill="1" applyBorder="1" applyAlignment="1">
      <alignment horizontal="left" vertical="center"/>
    </xf>
    <xf numFmtId="0" fontId="12" fillId="0" borderId="0" xfId="1" applyNumberFormat="1" applyFont="1" applyFill="1" applyBorder="1" applyAlignment="1">
      <alignment horizontal="center"/>
    </xf>
    <xf numFmtId="0" fontId="1" fillId="0" borderId="6" xfId="0" applyNumberFormat="1" applyFont="1" applyFill="1" applyBorder="1"/>
    <xf numFmtId="0" fontId="1" fillId="0" borderId="7" xfId="0" applyNumberFormat="1" applyFont="1" applyFill="1" applyBorder="1"/>
    <xf numFmtId="0" fontId="1" fillId="0" borderId="8" xfId="0" applyNumberFormat="1" applyFont="1" applyFill="1" applyBorder="1"/>
    <xf numFmtId="14" fontId="0" fillId="0" borderId="0" xfId="0" applyNumberFormat="1"/>
    <xf numFmtId="164" fontId="0" fillId="0" borderId="0" xfId="0" applyNumberFormat="1"/>
    <xf numFmtId="0" fontId="0" fillId="0" borderId="0" xfId="0" applyNumberFormat="1" applyFont="1" applyFill="1" applyBorder="1"/>
    <xf numFmtId="10" fontId="14" fillId="2" borderId="9" xfId="2" applyNumberFormat="1" applyFont="1" applyFill="1" applyBorder="1" applyAlignment="1">
      <alignment horizontal="center" vertical="center" wrapText="1"/>
    </xf>
    <xf numFmtId="10" fontId="0" fillId="0" borderId="0" xfId="2" applyNumberFormat="1" applyFont="1"/>
    <xf numFmtId="14" fontId="14" fillId="2" borderId="9" xfId="3" applyNumberFormat="1" applyFont="1" applyFill="1" applyBorder="1" applyAlignment="1">
      <alignment horizontal="center" vertical="center" wrapText="1"/>
    </xf>
    <xf numFmtId="0" fontId="14" fillId="2" borderId="9" xfId="3" applyNumberFormat="1" applyFont="1" applyFill="1" applyBorder="1" applyAlignment="1">
      <alignment horizontal="center" vertical="center" wrapText="1"/>
    </xf>
    <xf numFmtId="0" fontId="0" fillId="0" borderId="0" xfId="0" applyNumberFormat="1"/>
    <xf numFmtId="10" fontId="0" fillId="0" borderId="0" xfId="2" applyNumberFormat="1" applyFont="1" applyFill="1" applyBorder="1"/>
    <xf numFmtId="14" fontId="0" fillId="0" borderId="0" xfId="0" applyNumberFormat="1" applyFont="1" applyFill="1" applyBorder="1"/>
    <xf numFmtId="164" fontId="0" fillId="0" borderId="0" xfId="0" applyNumberFormat="1" applyFont="1" applyFill="1" applyBorder="1"/>
    <xf numFmtId="165" fontId="14" fillId="2" borderId="9" xfId="3" applyNumberFormat="1" applyFont="1" applyFill="1" applyBorder="1" applyAlignment="1">
      <alignment horizontal="center" vertical="center" wrapText="1"/>
    </xf>
    <xf numFmtId="165" fontId="0" fillId="0" borderId="0" xfId="0" applyNumberFormat="1" applyFont="1" applyFill="1" applyBorder="1"/>
    <xf numFmtId="165" fontId="0" fillId="0" borderId="0" xfId="0" applyNumberFormat="1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166" fontId="14" fillId="2" borderId="9" xfId="3" applyNumberFormat="1" applyFont="1" applyFill="1" applyBorder="1" applyAlignment="1">
      <alignment horizontal="center" vertical="center" wrapText="1"/>
    </xf>
    <xf numFmtId="166" fontId="0" fillId="0" borderId="0" xfId="0" applyNumberFormat="1" applyFont="1" applyFill="1" applyBorder="1"/>
    <xf numFmtId="166" fontId="0" fillId="0" borderId="0" xfId="0" applyNumberFormat="1"/>
    <xf numFmtId="10" fontId="14" fillId="2" borderId="9" xfId="3" applyNumberFormat="1" applyFont="1" applyFill="1" applyBorder="1" applyAlignment="1">
      <alignment horizontal="center" vertical="center" wrapText="1"/>
    </xf>
    <xf numFmtId="10" fontId="0" fillId="0" borderId="0" xfId="0" applyNumberFormat="1" applyFont="1" applyFill="1" applyBorder="1"/>
    <xf numFmtId="10" fontId="0" fillId="0" borderId="0" xfId="0" applyNumberFormat="1"/>
    <xf numFmtId="0" fontId="15" fillId="3" borderId="0" xfId="0" applyFont="1" applyFill="1"/>
    <xf numFmtId="0" fontId="15" fillId="0" borderId="0" xfId="0" applyFont="1"/>
    <xf numFmtId="0" fontId="0" fillId="3" borderId="0" xfId="0" applyFill="1"/>
    <xf numFmtId="0" fontId="5" fillId="0" borderId="0" xfId="0" applyNumberFormat="1" applyFont="1" applyFill="1" applyBorder="1" applyAlignment="1">
      <alignment horizontal="center" vertical="center" wrapText="1"/>
    </xf>
    <xf numFmtId="49" fontId="7" fillId="0" borderId="0" xfId="1" quotePrefix="1" applyNumberFormat="1" applyFont="1" applyFill="1" applyBorder="1" applyAlignment="1">
      <alignment horizontal="left" vertical="center" wrapText="1"/>
    </xf>
    <xf numFmtId="0" fontId="8" fillId="0" borderId="0" xfId="0" applyNumberFormat="1" applyFont="1" applyFill="1" applyBorder="1" applyAlignment="1">
      <alignment horizontal="left" vertical="center" wrapText="1"/>
    </xf>
    <xf numFmtId="0" fontId="16" fillId="0" borderId="0" xfId="1" applyFont="1" applyAlignment="1">
      <alignment horizontal="left" vertical="center"/>
    </xf>
  </cellXfs>
  <cellStyles count="4">
    <cellStyle name="Normal" xfId="0" builtinId="0"/>
    <cellStyle name="Normal 2" xfId="3" xr:uid="{00000000-0005-0000-0000-000001000000}"/>
    <cellStyle name="Normal_Book 2004 feuille sommaire 2" xfId="1" xr:uid="{00000000-0005-0000-0000-000002000000}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41"/>
  <sheetViews>
    <sheetView showGridLines="0" tabSelected="1" zoomScale="70" zoomScaleNormal="70" workbookViewId="0">
      <selection activeCell="D25" sqref="D25"/>
    </sheetView>
  </sheetViews>
  <sheetFormatPr baseColWidth="10" defaultColWidth="8.9375" defaultRowHeight="14.35"/>
  <cols>
    <col min="1" max="1" width="2.87890625" style="1" customWidth="1"/>
    <col min="2" max="2" width="4.29296875" style="1" customWidth="1"/>
    <col min="3" max="3" width="11.41015625" style="1" customWidth="1"/>
    <col min="4" max="4" width="13.703125" style="1" customWidth="1"/>
    <col min="5" max="9" width="11.41015625" style="1" customWidth="1"/>
    <col min="10" max="11" width="22.87890625" style="1" customWidth="1"/>
    <col min="12" max="18" width="11.41015625" style="1" customWidth="1"/>
    <col min="19" max="19" width="4.29296875" style="1" customWidth="1"/>
    <col min="20" max="20" width="2.87890625" style="1" customWidth="1"/>
    <col min="29" max="29" width="255.41015625" customWidth="1"/>
  </cols>
  <sheetData>
    <row r="1" spans="2:30">
      <c r="AD1" s="1" t="s">
        <v>13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12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">
        <v>14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 t="s">
        <v>24</v>
      </c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3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36">
      <c r="B13" s="10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11"/>
    </row>
    <row r="14" spans="2:30">
      <c r="B14" s="5"/>
      <c r="C14" s="8"/>
      <c r="D14" s="8"/>
      <c r="E14" s="8"/>
      <c r="F14" s="8"/>
      <c r="G14" s="8"/>
      <c r="H14" s="8"/>
      <c r="I14" s="8"/>
      <c r="S14" s="6"/>
    </row>
    <row r="15" spans="2:30">
      <c r="B15" s="5"/>
      <c r="C15" s="8"/>
      <c r="D15" s="8"/>
      <c r="E15" s="8"/>
      <c r="F15" s="8"/>
      <c r="G15" s="8"/>
      <c r="H15" s="8"/>
      <c r="I15" s="8"/>
      <c r="S15" s="6"/>
    </row>
    <row r="16" spans="2:30">
      <c r="B16" s="5"/>
      <c r="S16" s="6"/>
    </row>
    <row r="17" spans="2:20">
      <c r="B17" s="5"/>
      <c r="S17" s="6"/>
    </row>
    <row r="18" spans="2:20">
      <c r="B18" s="5"/>
      <c r="S18" s="6"/>
    </row>
    <row r="19" spans="2:20" ht="33.35">
      <c r="B19" s="12"/>
      <c r="C19" s="13"/>
      <c r="D19" s="14"/>
      <c r="E19" s="9"/>
      <c r="F19" s="13" t="s">
        <v>0</v>
      </c>
      <c r="G19" s="50" t="s">
        <v>0</v>
      </c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15"/>
      <c r="T19" s="9"/>
    </row>
    <row r="20" spans="2:20" ht="33.35">
      <c r="B20" s="12"/>
      <c r="C20" s="13"/>
      <c r="D20" s="14"/>
      <c r="E20" s="9"/>
      <c r="F20" s="16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15"/>
      <c r="T20" s="9"/>
    </row>
    <row r="21" spans="2:20">
      <c r="B21" s="5"/>
      <c r="C21" s="8"/>
      <c r="D21" s="17"/>
      <c r="E21" s="8"/>
      <c r="F21" s="8"/>
      <c r="G21" s="8"/>
      <c r="H21" s="8"/>
      <c r="I21" s="8"/>
      <c r="S21" s="6"/>
    </row>
    <row r="22" spans="2:20" ht="33.700000000000003">
      <c r="B22" s="12"/>
      <c r="C22" s="13"/>
      <c r="D22" s="18" t="s">
        <v>1</v>
      </c>
      <c r="E22" s="13"/>
      <c r="F22" s="9"/>
      <c r="G22" s="13"/>
      <c r="H22" s="19" t="s">
        <v>2</v>
      </c>
      <c r="I22" s="20"/>
      <c r="J22" s="9"/>
      <c r="K22" s="9"/>
      <c r="L22" s="9"/>
      <c r="M22" s="9"/>
      <c r="N22" s="9"/>
      <c r="O22" s="9"/>
      <c r="P22" s="9"/>
      <c r="Q22" s="9"/>
      <c r="R22" s="9"/>
      <c r="S22" s="15"/>
      <c r="T22" s="9"/>
    </row>
    <row r="23" spans="2:20" ht="33.35">
      <c r="B23" s="12"/>
      <c r="C23" s="13"/>
      <c r="D23" s="18" t="s">
        <v>3</v>
      </c>
      <c r="E23" s="13"/>
      <c r="F23" s="13"/>
      <c r="G23" s="9"/>
      <c r="H23" s="13"/>
      <c r="I23" s="9"/>
      <c r="J23" s="19"/>
      <c r="K23" s="9"/>
      <c r="L23" s="9"/>
      <c r="M23" s="9"/>
      <c r="N23" s="9"/>
      <c r="O23" s="9"/>
      <c r="P23" s="9"/>
      <c r="Q23" s="9"/>
      <c r="R23" s="9"/>
      <c r="S23" s="15"/>
      <c r="T23" s="9"/>
    </row>
    <row r="24" spans="2:20" ht="24.7">
      <c r="B24" s="5"/>
      <c r="D24" s="52" t="str">
        <f>+AFFICHAGE!S2</f>
        <v>Survenance</v>
      </c>
      <c r="S24" s="6"/>
    </row>
    <row r="25" spans="2:20">
      <c r="B25" s="5"/>
      <c r="S25" s="6"/>
    </row>
    <row r="26" spans="2:20">
      <c r="B26" s="5"/>
      <c r="S26" s="6"/>
    </row>
    <row r="27" spans="2:20">
      <c r="B27" s="5"/>
      <c r="S27" s="6"/>
    </row>
    <row r="28" spans="2:20">
      <c r="B28" s="5"/>
      <c r="S28" s="6"/>
    </row>
    <row r="29" spans="2:20">
      <c r="B29" s="5"/>
      <c r="S29" s="6"/>
    </row>
    <row r="30" spans="2:20">
      <c r="B30" s="5"/>
      <c r="S30" s="6"/>
    </row>
    <row r="31" spans="2:20">
      <c r="B31" s="5"/>
      <c r="S31" s="6"/>
    </row>
    <row r="32" spans="2:20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3"/>
    </row>
  </sheetData>
  <mergeCells count="3">
    <mergeCell ref="C13:R13"/>
    <mergeCell ref="G19:R19"/>
    <mergeCell ref="G20:R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2"/>
  <sheetViews>
    <sheetView zoomScale="70" zoomScaleNormal="70" workbookViewId="0">
      <selection activeCell="A2" sqref="A2"/>
    </sheetView>
  </sheetViews>
  <sheetFormatPr baseColWidth="10" defaultColWidth="8.9375" defaultRowHeight="14.35"/>
  <cols>
    <col min="1" max="1" width="15.29296875" style="31" customWidth="1"/>
    <col min="2" max="3" width="17.5859375" style="31" customWidth="1"/>
    <col min="4" max="4" width="20" style="39" customWidth="1"/>
    <col min="5" max="5" width="22.87890625" style="37" bestFit="1" customWidth="1"/>
    <col min="6" max="7" width="19.87890625" style="37" customWidth="1"/>
    <col min="8" max="8" width="20" style="45" customWidth="1"/>
    <col min="9" max="9" width="19.87890625" style="37" customWidth="1"/>
    <col min="10" max="10" width="16.5859375" style="28" customWidth="1"/>
    <col min="11" max="11" width="20" style="37" customWidth="1"/>
    <col min="12" max="12" width="20" style="42" customWidth="1"/>
    <col min="13" max="13" width="20.5859375" style="37" customWidth="1"/>
    <col min="14" max="14" width="17.703125" style="37" customWidth="1"/>
    <col min="15" max="15" width="15.41015625" style="37" bestFit="1" customWidth="1"/>
    <col min="16" max="16" width="17" style="24" customWidth="1"/>
    <col min="17" max="17" width="23.87890625" style="25" customWidth="1"/>
    <col min="18" max="18" width="19" style="24" customWidth="1"/>
  </cols>
  <sheetData>
    <row r="1" spans="1:18" ht="30.7">
      <c r="A1" s="30" t="s">
        <v>4</v>
      </c>
      <c r="B1" s="30" t="s">
        <v>15</v>
      </c>
      <c r="C1" s="30" t="s">
        <v>23</v>
      </c>
      <c r="D1" s="30" t="s">
        <v>16</v>
      </c>
      <c r="E1" s="35" t="s">
        <v>17</v>
      </c>
      <c r="F1" s="35" t="s">
        <v>18</v>
      </c>
      <c r="G1" s="35" t="s">
        <v>19</v>
      </c>
      <c r="H1" s="43" t="s">
        <v>26</v>
      </c>
      <c r="I1" s="35" t="s">
        <v>20</v>
      </c>
      <c r="J1" s="27" t="s">
        <v>21</v>
      </c>
      <c r="K1" s="35" t="s">
        <v>22</v>
      </c>
      <c r="L1" s="40" t="s">
        <v>25</v>
      </c>
      <c r="M1" s="35" t="s">
        <v>6</v>
      </c>
      <c r="N1" s="35" t="s">
        <v>7</v>
      </c>
      <c r="O1" s="35" t="s">
        <v>8</v>
      </c>
      <c r="P1" s="29" t="s">
        <v>5</v>
      </c>
      <c r="Q1"/>
      <c r="R1"/>
    </row>
    <row r="2" spans="1:18" s="26" customFormat="1">
      <c r="D2" s="38"/>
      <c r="E2" s="36"/>
      <c r="F2" s="36"/>
      <c r="G2" s="36"/>
      <c r="H2" s="44"/>
      <c r="I2" s="36"/>
      <c r="J2" s="32"/>
      <c r="K2" s="36"/>
      <c r="L2" s="41"/>
      <c r="M2" s="36"/>
      <c r="N2" s="36"/>
      <c r="O2" s="36"/>
      <c r="P2" s="33"/>
      <c r="Q2" s="34"/>
      <c r="R2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2"/>
  <sheetViews>
    <sheetView zoomScale="70" zoomScaleNormal="70" workbookViewId="0">
      <selection activeCell="A2" sqref="A2"/>
    </sheetView>
  </sheetViews>
  <sheetFormatPr baseColWidth="10" defaultColWidth="8.9375" defaultRowHeight="14.35"/>
  <cols>
    <col min="1" max="1" width="15.29296875" style="31" customWidth="1"/>
    <col min="2" max="3" width="17.5859375" style="31" customWidth="1"/>
    <col min="4" max="4" width="20" style="39" customWidth="1"/>
    <col min="5" max="5" width="22.87890625" style="37" bestFit="1" customWidth="1"/>
    <col min="6" max="7" width="19.87890625" style="37" customWidth="1"/>
    <col min="8" max="8" width="19.87890625" style="45" customWidth="1"/>
    <col min="9" max="9" width="19.87890625" style="37" customWidth="1"/>
    <col min="10" max="10" width="16.5859375" style="28" customWidth="1"/>
    <col min="11" max="11" width="20" style="37" customWidth="1"/>
    <col min="12" max="12" width="20" style="42" customWidth="1"/>
    <col min="13" max="13" width="20.5859375" style="37" customWidth="1"/>
    <col min="14" max="14" width="17.703125" style="37" customWidth="1"/>
    <col min="15" max="15" width="15.41015625" style="37" bestFit="1" customWidth="1"/>
    <col min="16" max="16" width="17" style="24" customWidth="1"/>
    <col min="17" max="17" width="23.87890625" style="25" customWidth="1"/>
    <col min="18" max="18" width="19" style="24" customWidth="1"/>
  </cols>
  <sheetData>
    <row r="1" spans="1:18" ht="30.7">
      <c r="A1" s="30" t="s">
        <v>4</v>
      </c>
      <c r="B1" s="30" t="s">
        <v>15</v>
      </c>
      <c r="C1" s="30" t="s">
        <v>23</v>
      </c>
      <c r="D1" s="30" t="s">
        <v>16</v>
      </c>
      <c r="E1" s="35" t="s">
        <v>17</v>
      </c>
      <c r="F1" s="35" t="s">
        <v>18</v>
      </c>
      <c r="G1" s="35" t="s">
        <v>19</v>
      </c>
      <c r="H1" s="43" t="s">
        <v>26</v>
      </c>
      <c r="I1" s="35" t="s">
        <v>20</v>
      </c>
      <c r="J1" s="27" t="s">
        <v>21</v>
      </c>
      <c r="K1" s="35" t="s">
        <v>22</v>
      </c>
      <c r="L1" s="40" t="s">
        <v>25</v>
      </c>
      <c r="M1" s="35" t="s">
        <v>6</v>
      </c>
      <c r="N1" s="35" t="s">
        <v>7</v>
      </c>
      <c r="O1" s="35" t="s">
        <v>8</v>
      </c>
      <c r="P1" s="29" t="s">
        <v>5</v>
      </c>
      <c r="Q1"/>
      <c r="R1"/>
    </row>
    <row r="2" spans="1:18" s="26" customFormat="1">
      <c r="D2" s="38"/>
      <c r="E2" s="36"/>
      <c r="F2" s="36"/>
      <c r="G2" s="36"/>
      <c r="H2" s="44"/>
      <c r="I2" s="36"/>
      <c r="J2" s="32"/>
      <c r="K2" s="36"/>
      <c r="L2" s="41"/>
      <c r="M2" s="36"/>
      <c r="N2" s="36"/>
      <c r="O2" s="36"/>
      <c r="P2" s="33"/>
      <c r="Q2" s="34"/>
      <c r="R2" s="3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S28"/>
  <sheetViews>
    <sheetView workbookViewId="0">
      <selection activeCell="O3" sqref="O3"/>
    </sheetView>
  </sheetViews>
  <sheetFormatPr baseColWidth="10" defaultColWidth="11.41015625" defaultRowHeight="14.35"/>
  <cols>
    <col min="1" max="1" width="15.64453125" bestFit="1" customWidth="1"/>
    <col min="2" max="2" width="11.703125" bestFit="1" customWidth="1"/>
    <col min="3" max="3" width="41.1171875" bestFit="1" customWidth="1"/>
    <col min="4" max="4" width="2.87890625" customWidth="1"/>
    <col min="5" max="5" width="17.5859375" bestFit="1" customWidth="1"/>
    <col min="6" max="6" width="11.703125" bestFit="1" customWidth="1"/>
    <col min="7" max="12" width="2.17578125" customWidth="1"/>
    <col min="13" max="13" width="11.703125" bestFit="1" customWidth="1"/>
    <col min="14" max="14" width="10.703125" bestFit="1" customWidth="1"/>
    <col min="15" max="15" width="14.29296875" bestFit="1" customWidth="1"/>
    <col min="16" max="16" width="2.05859375" customWidth="1"/>
    <col min="17" max="17" width="18" bestFit="1" customWidth="1"/>
    <col min="18" max="18" width="2.05859375" customWidth="1"/>
  </cols>
  <sheetData>
    <row r="1" spans="1:19" s="47" customFormat="1">
      <c r="A1" s="46" t="s">
        <v>27</v>
      </c>
      <c r="B1" s="46" t="s">
        <v>28</v>
      </c>
      <c r="C1" s="46" t="s">
        <v>29</v>
      </c>
      <c r="D1" s="46"/>
      <c r="E1" s="46" t="s">
        <v>27</v>
      </c>
      <c r="F1" s="46" t="s">
        <v>28</v>
      </c>
      <c r="M1" s="46" t="s">
        <v>9</v>
      </c>
      <c r="N1" s="46" t="s">
        <v>10</v>
      </c>
      <c r="O1" s="46" t="s">
        <v>11</v>
      </c>
      <c r="Q1" s="46"/>
    </row>
    <row r="2" spans="1:19">
      <c r="A2" t="s">
        <v>30</v>
      </c>
      <c r="B2" t="s">
        <v>31</v>
      </c>
      <c r="C2" t="s">
        <v>32</v>
      </c>
      <c r="E2" t="s">
        <v>30</v>
      </c>
      <c r="F2" t="s">
        <v>31</v>
      </c>
      <c r="M2" s="48" t="s">
        <v>33</v>
      </c>
      <c r="N2" s="48" t="s">
        <v>34</v>
      </c>
      <c r="O2" s="48" t="s">
        <v>34</v>
      </c>
      <c r="Q2" s="48"/>
      <c r="S2" s="48" t="s">
        <v>35</v>
      </c>
    </row>
    <row r="3" spans="1:19">
      <c r="A3" t="s">
        <v>30</v>
      </c>
      <c r="B3" t="s">
        <v>31</v>
      </c>
      <c r="C3" t="s">
        <v>36</v>
      </c>
      <c r="E3" t="s">
        <v>30</v>
      </c>
      <c r="F3" t="s">
        <v>37</v>
      </c>
    </row>
    <row r="4" spans="1:19">
      <c r="A4" t="s">
        <v>30</v>
      </c>
      <c r="B4" t="s">
        <v>37</v>
      </c>
      <c r="E4" t="s">
        <v>30</v>
      </c>
      <c r="F4" t="s">
        <v>38</v>
      </c>
    </row>
    <row r="5" spans="1:19">
      <c r="A5" t="s">
        <v>30</v>
      </c>
      <c r="B5" t="s">
        <v>38</v>
      </c>
      <c r="C5" t="s">
        <v>39</v>
      </c>
      <c r="E5" t="s">
        <v>30</v>
      </c>
      <c r="F5" t="s">
        <v>40</v>
      </c>
    </row>
    <row r="6" spans="1:19">
      <c r="A6" t="s">
        <v>30</v>
      </c>
      <c r="B6" t="s">
        <v>40</v>
      </c>
      <c r="C6" t="s">
        <v>41</v>
      </c>
      <c r="E6" t="s">
        <v>30</v>
      </c>
      <c r="F6" t="s">
        <v>42</v>
      </c>
    </row>
    <row r="7" spans="1:19">
      <c r="A7" t="s">
        <v>30</v>
      </c>
      <c r="B7" t="s">
        <v>40</v>
      </c>
      <c r="C7" t="s">
        <v>43</v>
      </c>
      <c r="E7" t="s">
        <v>30</v>
      </c>
      <c r="F7" t="s">
        <v>44</v>
      </c>
    </row>
    <row r="8" spans="1:19">
      <c r="A8" t="s">
        <v>30</v>
      </c>
      <c r="B8" t="s">
        <v>40</v>
      </c>
      <c r="C8" t="s">
        <v>45</v>
      </c>
      <c r="E8" t="s">
        <v>30</v>
      </c>
      <c r="F8" t="s">
        <v>46</v>
      </c>
    </row>
    <row r="9" spans="1:19">
      <c r="A9" t="s">
        <v>30</v>
      </c>
      <c r="B9" t="s">
        <v>40</v>
      </c>
      <c r="C9" t="s">
        <v>47</v>
      </c>
      <c r="E9" t="s">
        <v>30</v>
      </c>
      <c r="F9" t="s">
        <v>48</v>
      </c>
    </row>
    <row r="10" spans="1:19">
      <c r="A10" t="s">
        <v>30</v>
      </c>
      <c r="B10" t="s">
        <v>40</v>
      </c>
      <c r="C10" t="s">
        <v>49</v>
      </c>
    </row>
    <row r="11" spans="1:19">
      <c r="A11" t="s">
        <v>30</v>
      </c>
      <c r="B11" t="s">
        <v>40</v>
      </c>
      <c r="C11" t="s">
        <v>50</v>
      </c>
    </row>
    <row r="12" spans="1:19">
      <c r="A12" t="s">
        <v>30</v>
      </c>
      <c r="B12" t="s">
        <v>40</v>
      </c>
      <c r="C12" t="s">
        <v>51</v>
      </c>
    </row>
    <row r="13" spans="1:19">
      <c r="A13" t="s">
        <v>30</v>
      </c>
      <c r="B13" t="s">
        <v>42</v>
      </c>
      <c r="C13" t="s">
        <v>52</v>
      </c>
    </row>
    <row r="14" spans="1:19">
      <c r="A14" t="s">
        <v>30</v>
      </c>
      <c r="B14" t="s">
        <v>42</v>
      </c>
      <c r="C14" t="s">
        <v>53</v>
      </c>
    </row>
    <row r="15" spans="1:19">
      <c r="A15" t="s">
        <v>30</v>
      </c>
      <c r="B15" t="s">
        <v>42</v>
      </c>
      <c r="C15" t="s">
        <v>54</v>
      </c>
    </row>
    <row r="16" spans="1:19">
      <c r="A16" t="s">
        <v>30</v>
      </c>
      <c r="B16" t="s">
        <v>42</v>
      </c>
      <c r="C16" t="s">
        <v>55</v>
      </c>
    </row>
    <row r="17" spans="1:3">
      <c r="A17" t="s">
        <v>30</v>
      </c>
      <c r="B17" t="s">
        <v>42</v>
      </c>
      <c r="C17" t="s">
        <v>56</v>
      </c>
    </row>
    <row r="18" spans="1:3">
      <c r="A18" t="s">
        <v>30</v>
      </c>
      <c r="B18" t="s">
        <v>42</v>
      </c>
      <c r="C18" t="s">
        <v>57</v>
      </c>
    </row>
    <row r="19" spans="1:3">
      <c r="A19" t="s">
        <v>30</v>
      </c>
      <c r="B19" t="s">
        <v>44</v>
      </c>
      <c r="C19" t="s">
        <v>58</v>
      </c>
    </row>
    <row r="20" spans="1:3">
      <c r="A20" t="s">
        <v>30</v>
      </c>
      <c r="B20" t="s">
        <v>44</v>
      </c>
      <c r="C20" t="s">
        <v>59</v>
      </c>
    </row>
    <row r="21" spans="1:3">
      <c r="A21" t="s">
        <v>30</v>
      </c>
      <c r="B21" t="s">
        <v>44</v>
      </c>
      <c r="C21" t="s">
        <v>60</v>
      </c>
    </row>
    <row r="22" spans="1:3">
      <c r="A22" t="s">
        <v>30</v>
      </c>
      <c r="B22" t="s">
        <v>46</v>
      </c>
      <c r="C22" t="s">
        <v>61</v>
      </c>
    </row>
    <row r="23" spans="1:3">
      <c r="A23" t="s">
        <v>30</v>
      </c>
      <c r="B23" t="s">
        <v>46</v>
      </c>
      <c r="C23" t="s">
        <v>62</v>
      </c>
    </row>
    <row r="24" spans="1:3">
      <c r="A24" t="s">
        <v>30</v>
      </c>
      <c r="B24" t="s">
        <v>48</v>
      </c>
      <c r="C24" t="s">
        <v>63</v>
      </c>
    </row>
    <row r="25" spans="1:3">
      <c r="A25" t="s">
        <v>30</v>
      </c>
      <c r="B25" t="s">
        <v>48</v>
      </c>
      <c r="C25" t="s">
        <v>64</v>
      </c>
    </row>
    <row r="26" spans="1:3">
      <c r="A26" t="s">
        <v>30</v>
      </c>
      <c r="B26" t="s">
        <v>48</v>
      </c>
      <c r="C26" t="s">
        <v>65</v>
      </c>
    </row>
    <row r="27" spans="1:3">
      <c r="A27" t="s">
        <v>30</v>
      </c>
      <c r="B27" t="s">
        <v>48</v>
      </c>
      <c r="C27" t="s">
        <v>66</v>
      </c>
    </row>
    <row r="28" spans="1:3">
      <c r="A28" t="s">
        <v>30</v>
      </c>
      <c r="B28" t="s">
        <v>48</v>
      </c>
      <c r="C28" t="s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Page de garde</vt:lpstr>
      <vt:lpstr>DATA</vt:lpstr>
      <vt:lpstr>DATA_CUMUL</vt:lpstr>
      <vt:lpstr>AFFICHAGE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alain moeglin</cp:lastModifiedBy>
  <dcterms:created xsi:type="dcterms:W3CDTF">2019-02-28T10:25:36Z</dcterms:created>
  <dcterms:modified xsi:type="dcterms:W3CDTF">2022-09-26T16:55:15Z</dcterms:modified>
</cp:coreProperties>
</file>