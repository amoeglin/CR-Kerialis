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3\KERIALIS CRPS Contrôle des IMPORTS\ReportTemplates_New_Avec_Controle\"/>
    </mc:Choice>
  </mc:AlternateContent>
  <xr:revisionPtr revIDLastSave="0" documentId="13_ncr:1_{5501103D-2B2A-41E5-9B71-4BD98FD0315B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3" r:id="rId1"/>
    <sheet name="CONTROLE" sheetId="9" r:id="rId2"/>
    <sheet name="DATA" sheetId="1" r:id="rId3"/>
    <sheet name="DATA_CUMUL" sheetId="5" r:id="rId4"/>
    <sheet name="AFFICHAGE" sheetId="4" r:id="rId5"/>
    <sheet name="IMPORT" sheetId="6" r:id="rId6"/>
    <sheet name="Erreurs" sheetId="8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" i="3" l="1"/>
  <c r="D24" i="3"/>
</calcChain>
</file>

<file path=xl/sharedStrings.xml><?xml version="1.0" encoding="utf-8"?>
<sst xmlns="http://schemas.openxmlformats.org/spreadsheetml/2006/main" count="185" uniqueCount="84">
  <si>
    <t/>
  </si>
  <si>
    <t xml:space="preserve">Période analysée : </t>
  </si>
  <si>
    <t>Date d'arreté des comptes :</t>
  </si>
  <si>
    <t>ASSUREUR</t>
  </si>
  <si>
    <t>DATE d'ARRETEE</t>
  </si>
  <si>
    <t>FRAIS REEL</t>
  </si>
  <si>
    <t>REMB SS</t>
  </si>
  <si>
    <t>REMB ANNEXE</t>
  </si>
  <si>
    <t>DATE DEBUT</t>
  </si>
  <si>
    <t>DATE FIN</t>
  </si>
  <si>
    <t>DATE D'ARRETE</t>
  </si>
  <si>
    <t>MAJ EXCEL</t>
  </si>
  <si>
    <t>numéro société</t>
  </si>
  <si>
    <t>Année de Survenance</t>
  </si>
  <si>
    <t>Prestations</t>
  </si>
  <si>
    <t>Provisions</t>
  </si>
  <si>
    <t>Cotisations brutes</t>
  </si>
  <si>
    <t xml:space="preserve">Cotisations nettes </t>
  </si>
  <si>
    <t>Ratio</t>
  </si>
  <si>
    <t>Pertes/bénéfices</t>
  </si>
  <si>
    <t>Filiale</t>
  </si>
  <si>
    <t>COEFF PROV Moyen</t>
  </si>
  <si>
    <t>Taux Chargement</t>
  </si>
  <si>
    <t>AssureurName</t>
  </si>
  <si>
    <t>GroupName</t>
  </si>
  <si>
    <t>GarantyName</t>
  </si>
  <si>
    <t>KERIALIS_PRODUIT</t>
  </si>
  <si>
    <t>AIDES</t>
  </si>
  <si>
    <t>APPAREILLAGE</t>
  </si>
  <si>
    <t>01/01/2020</t>
  </si>
  <si>
    <t>31/12/2021</t>
  </si>
  <si>
    <t>Survenance</t>
  </si>
  <si>
    <t>PROTHESES AUDITIVES</t>
  </si>
  <si>
    <t>AUTRE</t>
  </si>
  <si>
    <t>CURE</t>
  </si>
  <si>
    <t>CURE THERMALE</t>
  </si>
  <si>
    <t>DENTA</t>
  </si>
  <si>
    <t>ACTES DE PROPHYLAXIE ET PREVENTION</t>
  </si>
  <si>
    <t>HOSPI</t>
  </si>
  <si>
    <t>ORTHODONTIE</t>
  </si>
  <si>
    <t>OPTIQ</t>
  </si>
  <si>
    <t>PARODONTOLOGIE</t>
  </si>
  <si>
    <t>PREVE</t>
  </si>
  <si>
    <t>PROTHESE-COURONNE 100% PANIER</t>
  </si>
  <si>
    <t>SOINS</t>
  </si>
  <si>
    <t>PROTHESE-COURONNE PANIER LIBRE</t>
  </si>
  <si>
    <t>PROTHESE-COURONNE PANIER MAITRISE</t>
  </si>
  <si>
    <t>SOINS DENTAIRES</t>
  </si>
  <si>
    <t>CHAMBRE PARTICULIERE</t>
  </si>
  <si>
    <t>FORFAIT JOURNALIER</t>
  </si>
  <si>
    <t>FRAIS TRANSPORT</t>
  </si>
  <si>
    <t>HONORAIRES</t>
  </si>
  <si>
    <t>HONORAIRES LIES A L'ACCOUCHEMENT</t>
  </si>
  <si>
    <t>INDEMNITE DE NAISSANCE</t>
  </si>
  <si>
    <t>EQUIPEMENT</t>
  </si>
  <si>
    <t>KERATOTOMIE</t>
  </si>
  <si>
    <t>LENTILLES</t>
  </si>
  <si>
    <t>MEDECINE DOUCE</t>
  </si>
  <si>
    <t>VACCINS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</si>
  <si>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</si>
  <si>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</si>
  <si>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</si>
  <si>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</si>
  <si>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</si>
  <si>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FICHIERS D'IMPORT</t>
  </si>
  <si>
    <t>1 janvier 2020 au 31 décembre 2021</t>
  </si>
  <si>
    <t>31 décembre 2021</t>
  </si>
  <si>
    <t>Numéro chronologique</t>
  </si>
  <si>
    <t>Traitement concerné</t>
  </si>
  <si>
    <t>Libellé Famille</t>
  </si>
  <si>
    <t>Libellé Acte</t>
  </si>
  <si>
    <t>Libellé de l'erreur</t>
  </si>
  <si>
    <t>Comptable/Survenance</t>
  </si>
  <si>
    <t>GLOBAL_SANTE</t>
  </si>
  <si>
    <t>Source -&gt; BASE DE DONNEES CRPS</t>
  </si>
  <si>
    <t>année</t>
  </si>
  <si>
    <t>Chargements</t>
  </si>
  <si>
    <t>Ratio combiné</t>
  </si>
  <si>
    <t>Gains/Pertes</t>
  </si>
  <si>
    <t>Source -&gt; Onglet DATA_CUMUL</t>
  </si>
  <si>
    <t>ECART ( = DATA_CUMUL - CONTROLE)</t>
  </si>
  <si>
    <t xml:space="preserve"> E C A R T</t>
  </si>
  <si>
    <t>STATISTIQUES GLOBAL  SANTE - Survenance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</si>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</sst>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#,##0.00\ &quot;€&quot;;[Red]\-#,##0.00\ &quot;€&quot;"/>
    <numFmt numFmtId="164" formatCode="&quot;€&quot;#,##0.00_);\(&quot;€&quot;#,##0.00\)"/>
    <numFmt numFmtId="165" formatCode="_-* #,##0.00\ [$€-40C]_-;\-* #,##0.00\ [$€-40C]_-;_-* &quot;-&quot;??\ [$€-40C]_-;_-@_-"/>
    <numFmt numFmtId="166" formatCode="#,##0.00\ &quot;€&quot;"/>
    <numFmt numFmtId="167" formatCode="0.0000"/>
    <numFmt numFmtId="168" formatCode="0_ ;[Red]\-0\ "/>
  </numFmts>
  <fonts count="24">
    <font>
      <sz val="11"/>
      <color theme="1"/>
      <name val="Calibri"/>
      <family val="2"/>
      <scheme val="minor"/>
    </font>
    <font>
      <sz val="11"/>
      <color rgb="FF4FACBE"/>
      <name val="Calibri"/>
      <family val="2"/>
      <scheme val="minor"/>
    </font>
    <font>
      <sz val="10"/>
      <name val="Arial"/>
      <family val="2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16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1"/>
      <color theme="1"/>
      <name val="Calibri"/>
      <family val="2"/>
      <scheme val="minor"/>
    </font>
    <font>
      <b/>
      <sz val="12"/>
      <color theme="0"/>
      <name val="DINBek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26"/>
      <color rgb="FFFF0000"/>
      <name val="Arial"/>
      <family val="2"/>
    </font>
    <font>
      <sz val="11"/>
      <name val="DINBek"/>
    </font>
    <font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4FACB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2" fillId="0" borderId="0"/>
    <xf numFmtId="9" fontId="13" fillId="0" borderId="0" applyFont="0" applyFill="0" applyBorder="0" applyAlignment="0" applyProtection="0"/>
    <xf numFmtId="0" fontId="2" fillId="0" borderId="0"/>
    <xf numFmtId="9" fontId="13" fillId="0" borderId="0"/>
  </cellStyleXfs>
  <cellXfs count="61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3" fillId="0" borderId="0" xfId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4" xfId="0" applyFont="1" applyBorder="1" applyAlignment="1">
      <alignment wrapText="1"/>
    </xf>
    <xf numFmtId="0" fontId="1" fillId="0" borderId="5" xfId="0" applyFont="1" applyBorder="1" applyAlignment="1">
      <alignment wrapText="1"/>
    </xf>
    <xf numFmtId="0" fontId="4" fillId="0" borderId="4" xfId="0" applyFont="1" applyBorder="1"/>
    <xf numFmtId="0" fontId="4" fillId="0" borderId="0" xfId="0" applyFont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4" fillId="0" borderId="5" xfId="0" applyFont="1" applyBorder="1"/>
    <xf numFmtId="0" fontId="4" fillId="0" borderId="0" xfId="0" applyFont="1" applyAlignment="1">
      <alignment vertical="center" wrapText="1"/>
    </xf>
    <xf numFmtId="0" fontId="9" fillId="0" borderId="0" xfId="1" applyFont="1" applyAlignment="1">
      <alignment horizontal="left" vertical="center"/>
    </xf>
    <xf numFmtId="0" fontId="10" fillId="0" borderId="0" xfId="1" applyFont="1" applyAlignment="1">
      <alignment horizontal="left" vertical="center"/>
    </xf>
    <xf numFmtId="0" fontId="11" fillId="0" borderId="0" xfId="1" applyFont="1" applyAlignment="1">
      <alignment horizontal="left" vertical="center"/>
    </xf>
    <xf numFmtId="0" fontId="12" fillId="0" borderId="0" xfId="1" applyFont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14" fontId="0" fillId="0" borderId="0" xfId="0" applyNumberFormat="1"/>
    <xf numFmtId="165" fontId="0" fillId="0" borderId="0" xfId="0" applyNumberFormat="1"/>
    <xf numFmtId="10" fontId="14" fillId="2" borderId="9" xfId="2" applyNumberFormat="1" applyFont="1" applyFill="1" applyBorder="1" applyAlignment="1">
      <alignment horizontal="center" vertical="center" wrapText="1"/>
    </xf>
    <xf numFmtId="10" fontId="0" fillId="0" borderId="0" xfId="2" applyNumberFormat="1" applyFont="1"/>
    <xf numFmtId="14" fontId="14" fillId="2" borderId="9" xfId="3" applyNumberFormat="1" applyFont="1" applyFill="1" applyBorder="1" applyAlignment="1">
      <alignment horizontal="center" vertical="center" wrapText="1"/>
    </xf>
    <xf numFmtId="0" fontId="14" fillId="2" borderId="9" xfId="3" applyFont="1" applyFill="1" applyBorder="1" applyAlignment="1">
      <alignment horizontal="center" vertical="center" wrapText="1"/>
    </xf>
    <xf numFmtId="10" fontId="0" fillId="0" borderId="0" xfId="2" applyNumberFormat="1" applyFont="1" applyFill="1" applyBorder="1"/>
    <xf numFmtId="166" fontId="14" fillId="2" borderId="9" xfId="3" applyNumberFormat="1" applyFont="1" applyFill="1" applyBorder="1" applyAlignment="1">
      <alignment horizontal="center" vertical="center" wrapText="1"/>
    </xf>
    <xf numFmtId="166" fontId="0" fillId="0" borderId="0" xfId="0" applyNumberFormat="1"/>
    <xf numFmtId="0" fontId="0" fillId="0" borderId="0" xfId="0" applyAlignment="1">
      <alignment horizontal="center"/>
    </xf>
    <xf numFmtId="167" fontId="14" fillId="2" borderId="9" xfId="3" applyNumberFormat="1" applyFont="1" applyFill="1" applyBorder="1" applyAlignment="1">
      <alignment horizontal="center" vertical="center" wrapText="1"/>
    </xf>
    <xf numFmtId="167" fontId="0" fillId="0" borderId="0" xfId="0" applyNumberFormat="1"/>
    <xf numFmtId="10" fontId="14" fillId="2" borderId="9" xfId="3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15" fillId="3" borderId="0" xfId="0" applyFont="1" applyFill="1"/>
    <xf numFmtId="0" fontId="15" fillId="0" borderId="0" xfId="0" applyFont="1"/>
    <xf numFmtId="0" fontId="0" fillId="3" borderId="0" xfId="0" applyFill="1"/>
    <xf numFmtId="15" fontId="11" fillId="0" borderId="0" xfId="1" applyNumberFormat="1" applyFont="1" applyAlignment="1">
      <alignment horizontal="left" vertical="center"/>
    </xf>
    <xf numFmtId="0" fontId="18" fillId="0" borderId="0" xfId="0" applyFont="1"/>
    <xf numFmtId="0" fontId="0" fillId="0" borderId="4" xfId="0" applyBorder="1"/>
    <xf numFmtId="10" fontId="20" fillId="0" borderId="0" xfId="1" applyNumberFormat="1" applyFont="1" applyAlignment="1">
      <alignment horizontal="left" vertical="center"/>
    </xf>
    <xf numFmtId="10" fontId="0" fillId="3" borderId="0" xfId="0" applyNumberFormat="1" applyFill="1"/>
    <xf numFmtId="166" fontId="21" fillId="0" borderId="0" xfId="3" applyNumberFormat="1" applyFont="1" applyAlignment="1">
      <alignment horizontal="center" vertical="center" wrapText="1"/>
    </xf>
    <xf numFmtId="0" fontId="22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0" fontId="13" fillId="0" borderId="0" xfId="4" applyNumberFormat="1" applyAlignment="1">
      <alignment horizontal="center"/>
    </xf>
    <xf numFmtId="164" fontId="17" fillId="0" borderId="0" xfId="0" applyNumberFormat="1" applyFont="1" applyAlignment="1">
      <alignment horizontal="center"/>
    </xf>
    <xf numFmtId="10" fontId="17" fillId="0" borderId="0" xfId="4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0" fontId="17" fillId="0" borderId="0" xfId="0" applyFont="1" applyAlignment="1">
      <alignment horizontal="center"/>
    </xf>
    <xf numFmtId="8" fontId="17" fillId="0" borderId="0" xfId="0" applyNumberFormat="1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49" fontId="7" fillId="0" borderId="0" xfId="1" quotePrefix="1" applyNumberFormat="1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16" fillId="2" borderId="10" xfId="0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</cellXfs>
  <cellStyles count="5">
    <cellStyle name="Normal" xfId="0" builtinId="0"/>
    <cellStyle name="Normal 2" xfId="3" xr:uid="{00000000-0005-0000-0000-000001000000}"/>
    <cellStyle name="Normal_Book 2004 feuille sommaire 2" xfId="1" xr:uid="{00000000-0005-0000-0000-000002000000}"/>
    <cellStyle name="Pourcentage" xfId="2" builtinId="5"/>
    <cellStyle name="Pourcentage 2" xfId="4" xr:uid="{6242F34D-1FE0-4881-8B13-AAAA50D320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299358</xdr:colOff>
      <xdr:row>2</xdr:row>
      <xdr:rowOff>40822</xdr:rowOff>
    </xdr:from>
    <xdr:to>
      <xdr:col>18</xdr:col>
      <xdr:colOff>219075</xdr:colOff>
      <xdr:row>5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529317" cy="5306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38100</xdr:colOff>
          <xdr:row>7</xdr:row>
          <xdr:rowOff>28575</xdr:rowOff>
        </xdr:from>
        <xdr:to>
          <xdr:col>31</xdr:col>
          <xdr:colOff>276225</xdr:colOff>
          <xdr:row>8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219075</xdr:colOff>
      <xdr:row>5</xdr:row>
      <xdr:rowOff>0</xdr:rowOff>
    </xdr:to>
    <xdr:pic>
      <xdr:nvPicPr>
        <xdr:cNvPr id="2" name="Picture 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681717" cy="53067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20</xdr:row>
      <xdr:rowOff>0</xdr:rowOff>
    </xdr:from>
    <xdr:to>
      <xdr:col>16</xdr:col>
      <xdr:colOff>406111</xdr:colOff>
      <xdr:row>20</xdr:row>
      <xdr:rowOff>0</xdr:rowOff>
    </xdr:to>
    <xdr:sp macro="" textlink="">
      <xdr:nvSpPr>
        <xdr:cNvPr id="3" name="Line 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476250" y="5715000"/>
          <a:ext cx="12750511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18</xdr:row>
      <xdr:rowOff>0</xdr:rowOff>
    </xdr:from>
    <xdr:to>
      <xdr:col>3</xdr:col>
      <xdr:colOff>7882</xdr:colOff>
      <xdr:row>23</xdr:row>
      <xdr:rowOff>370264</xdr:rowOff>
    </xdr:to>
    <xdr:sp macro="" textlink="">
      <xdr:nvSpPr>
        <xdr:cNvPr id="4" name="Lin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 flipH="1">
          <a:off x="1238250" y="4524375"/>
          <a:ext cx="7882" cy="2608639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38100</xdr:colOff>
          <xdr:row>7</xdr:row>
          <xdr:rowOff>28575</xdr:rowOff>
        </xdr:from>
        <xdr:to>
          <xdr:col>31</xdr:col>
          <xdr:colOff>257175</xdr:colOff>
          <xdr:row>8</xdr:row>
          <xdr:rowOff>381000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41"/>
  <sheetViews>
    <sheetView showGridLines="0" tabSelected="1" zoomScale="70" zoomScaleNormal="70" workbookViewId="0">
      <selection activeCell="AG8" sqref="AG8"/>
    </sheetView>
  </sheetViews>
  <sheetFormatPr baseColWidth="10" defaultColWidth="9.140625" defaultRowHeight="15"/>
  <cols>
    <col min="1" max="1" width="2.85546875" style="1" customWidth="1"/>
    <col min="2" max="2" width="4.28515625" style="1" customWidth="1"/>
    <col min="3" max="3" width="11.42578125" style="1" customWidth="1"/>
    <col min="4" max="4" width="13.7109375" style="1" customWidth="1"/>
    <col min="5" max="9" width="11.42578125" style="1" customWidth="1"/>
    <col min="10" max="11" width="22.85546875" style="1" customWidth="1"/>
    <col min="12" max="18" width="11.42578125" style="1" customWidth="1"/>
    <col min="19" max="19" width="4.28515625" style="1" customWidth="1"/>
    <col min="20" max="20" width="2.85546875" style="1" customWidth="1"/>
    <col min="21" max="29" width="1.28515625" customWidth="1"/>
  </cols>
  <sheetData>
    <row r="1" spans="2:30">
      <c r="AD1" s="1" t="s">
        <v>11</v>
      </c>
    </row>
    <row r="2" spans="2:30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83</v>
      </c>
    </row>
    <row r="3" spans="2:30">
      <c r="B3" s="5"/>
      <c r="S3" s="6"/>
    </row>
    <row r="4" spans="2:30">
      <c r="B4" s="5"/>
      <c r="S4" s="6"/>
    </row>
    <row r="5" spans="2:30">
      <c r="B5" s="5"/>
      <c r="S5" s="6"/>
    </row>
    <row r="6" spans="2:30">
      <c r="B6" s="5"/>
      <c r="S6" s="6"/>
    </row>
    <row r="7" spans="2:30">
      <c r="B7" s="5"/>
      <c r="S7" s="6"/>
    </row>
    <row r="8" spans="2:30">
      <c r="B8" s="5"/>
      <c r="S8" s="6"/>
    </row>
    <row r="9" spans="2:30" ht="45">
      <c r="B9" s="5"/>
      <c r="C9" s="7" t="s">
        <v>82</v>
      </c>
      <c r="D9" s="8"/>
      <c r="E9" s="8"/>
      <c r="F9" s="8"/>
      <c r="G9" s="8"/>
      <c r="H9" s="8"/>
      <c r="I9" s="8"/>
      <c r="S9" s="6"/>
    </row>
    <row r="10" spans="2:30" ht="45">
      <c r="B10" s="5"/>
      <c r="C10" s="7"/>
      <c r="D10" s="8"/>
      <c r="E10" s="8"/>
      <c r="F10" s="8"/>
      <c r="G10" s="8"/>
      <c r="H10" s="8"/>
      <c r="I10" s="8"/>
      <c r="S10" s="6"/>
    </row>
    <row r="11" spans="2:30">
      <c r="B11" s="5"/>
      <c r="C11" s="8"/>
      <c r="D11" s="8"/>
      <c r="E11" s="8"/>
      <c r="F11" s="8"/>
      <c r="G11" s="8"/>
      <c r="H11" s="8"/>
      <c r="I11" s="8"/>
      <c r="S11" s="6"/>
    </row>
    <row r="12" spans="2:30" ht="33.75">
      <c r="B12" s="5"/>
      <c r="C12" s="8"/>
      <c r="D12" s="8"/>
      <c r="E12" s="8"/>
      <c r="F12" s="8"/>
      <c r="G12" s="8"/>
      <c r="H12" s="8"/>
      <c r="I12" s="8"/>
      <c r="J12" s="9"/>
      <c r="S12" s="6"/>
    </row>
    <row r="13" spans="2:30" ht="36">
      <c r="B13" s="10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11"/>
    </row>
    <row r="14" spans="2:30">
      <c r="B14" s="5"/>
      <c r="C14" s="8"/>
      <c r="D14" s="8"/>
      <c r="E14" s="8"/>
      <c r="F14" s="8"/>
      <c r="G14" s="8"/>
      <c r="H14" s="8"/>
      <c r="I14" s="8"/>
      <c r="S14" s="6"/>
    </row>
    <row r="15" spans="2:30">
      <c r="B15" s="5"/>
      <c r="C15" s="8"/>
      <c r="D15" s="8"/>
      <c r="E15" s="8"/>
      <c r="F15" s="8"/>
      <c r="G15" s="8"/>
      <c r="H15" s="8"/>
      <c r="I15" s="8"/>
      <c r="S15" s="6"/>
    </row>
    <row r="16" spans="2:30">
      <c r="B16" s="5"/>
      <c r="S16" s="6"/>
    </row>
    <row r="17" spans="1:21">
      <c r="B17" s="5"/>
      <c r="S17" s="6"/>
    </row>
    <row r="18" spans="1:21">
      <c r="B18" s="5"/>
      <c r="S18" s="6"/>
    </row>
    <row r="19" spans="1:21" ht="33.75">
      <c r="B19" s="12"/>
      <c r="C19" s="13"/>
      <c r="D19" s="14"/>
      <c r="E19" s="9"/>
      <c r="F19" s="13" t="s">
        <v>0</v>
      </c>
      <c r="G19" s="57" t="s">
        <v>0</v>
      </c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15"/>
      <c r="T19" s="9"/>
    </row>
    <row r="20" spans="1:21" ht="33.75">
      <c r="B20" s="12"/>
      <c r="C20" s="13"/>
      <c r="D20" s="14"/>
      <c r="E20" s="9"/>
      <c r="F20" s="16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15"/>
      <c r="T20" s="9"/>
    </row>
    <row r="21" spans="1:21">
      <c r="B21" s="5"/>
      <c r="C21" s="8"/>
      <c r="D21" s="17"/>
      <c r="E21" s="8"/>
      <c r="F21" s="8"/>
      <c r="G21" s="8"/>
      <c r="H21" s="8"/>
      <c r="I21" s="8"/>
      <c r="S21" s="6"/>
    </row>
    <row r="22" spans="1:21" s="9" customFormat="1" ht="33.75">
      <c r="A22" s="1"/>
      <c r="B22" s="12"/>
      <c r="C22" s="13"/>
      <c r="D22" s="18" t="s">
        <v>1</v>
      </c>
      <c r="E22" s="13"/>
      <c r="G22" s="13"/>
      <c r="H22" s="19" t="s">
        <v>65</v>
      </c>
      <c r="I22" s="20"/>
      <c r="S22" s="15"/>
      <c r="U22"/>
    </row>
    <row r="23" spans="1:21" s="9" customFormat="1" ht="33.75">
      <c r="A23" s="1"/>
      <c r="B23" s="12"/>
      <c r="C23" s="13"/>
      <c r="D23" s="18" t="s">
        <v>2</v>
      </c>
      <c r="E23" s="13"/>
      <c r="F23" s="13"/>
      <c r="H23" s="13"/>
      <c r="J23" s="41" t="s">
        <v>66</v>
      </c>
      <c r="S23" s="15"/>
      <c r="U23"/>
    </row>
    <row r="24" spans="1:21" ht="33.75">
      <c r="A24" s="42"/>
      <c r="B24" s="43"/>
      <c r="C24"/>
      <c r="D24" s="18" t="str">
        <f>"Type de Compte : "</f>
        <v xml:space="preserve">Type de Compte : </v>
      </c>
      <c r="J24" s="44" t="str">
        <f>AFFICHAGE!$S$2</f>
        <v>Survenance</v>
      </c>
      <c r="K24"/>
      <c r="L24"/>
      <c r="M24"/>
      <c r="N24"/>
      <c r="O24"/>
      <c r="P24"/>
      <c r="Q24"/>
      <c r="R24"/>
      <c r="S24" s="6"/>
    </row>
    <row r="25" spans="1:21">
      <c r="B25" s="5"/>
      <c r="S25" s="6"/>
    </row>
    <row r="26" spans="1:21">
      <c r="B26" s="5"/>
      <c r="S26" s="6"/>
    </row>
    <row r="27" spans="1:21">
      <c r="B27" s="5"/>
      <c r="S27" s="6"/>
    </row>
    <row r="28" spans="1:21">
      <c r="B28" s="5"/>
      <c r="S28" s="6"/>
    </row>
    <row r="29" spans="1:21">
      <c r="B29" s="5"/>
      <c r="S29" s="6"/>
    </row>
    <row r="30" spans="1:21">
      <c r="B30" s="5"/>
      <c r="S30" s="6"/>
    </row>
    <row r="31" spans="1:21">
      <c r="B31" s="5"/>
      <c r="S31" s="6"/>
    </row>
    <row r="32" spans="1:21">
      <c r="B32" s="5"/>
      <c r="S32" s="6"/>
    </row>
    <row r="33" spans="2:19">
      <c r="B33" s="5"/>
      <c r="S33" s="6"/>
    </row>
    <row r="34" spans="2:19">
      <c r="B34" s="5"/>
      <c r="S34" s="6"/>
    </row>
    <row r="35" spans="2:19">
      <c r="B35" s="5"/>
      <c r="S35" s="6"/>
    </row>
    <row r="36" spans="2:19">
      <c r="B36" s="5"/>
      <c r="S36" s="6"/>
    </row>
    <row r="37" spans="2:19">
      <c r="B37" s="5"/>
      <c r="S37" s="6"/>
    </row>
    <row r="38" spans="2:19">
      <c r="B38" s="5"/>
      <c r="S38" s="6"/>
    </row>
    <row r="39" spans="2:19">
      <c r="B39" s="5"/>
      <c r="S39" s="6"/>
    </row>
    <row r="40" spans="2:19">
      <c r="B40" s="5"/>
      <c r="S40" s="6"/>
    </row>
    <row r="41" spans="2:19">
      <c r="B41" s="21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3"/>
    </row>
  </sheetData>
  <mergeCells count="3">
    <mergeCell ref="C13:R13"/>
    <mergeCell ref="G19:R19"/>
    <mergeCell ref="G20:R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29</xdr:col>
                    <xdr:colOff>38100</xdr:colOff>
                    <xdr:row>7</xdr:row>
                    <xdr:rowOff>28575</xdr:rowOff>
                  </from>
                  <to>
                    <xdr:col>31</xdr:col>
                    <xdr:colOff>276225</xdr:colOff>
                    <xdr:row>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ULL.FULL">
                <anchor moveWithCells="1" sizeWithCells="1">
                  <from>
                    <xdr:col>29</xdr:col>
                    <xdr:colOff>38100</xdr:colOff>
                    <xdr:row>7</xdr:row>
                    <xdr:rowOff>28575</xdr:rowOff>
                  </from>
                  <to>
                    <xdr:col>31</xdr:col>
                    <xdr:colOff>257175</xdr:colOff>
                    <xdr:row>8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2E3-1C00-4D20-8CD2-CB60BD429F98}">
  <sheetPr codeName="Feuil7">
    <tabColor rgb="FFFF0000"/>
    <pageSetUpPr fitToPage="1"/>
  </sheetPr>
  <dimension ref="A1:H22"/>
  <sheetViews>
    <sheetView zoomScaleNormal="100" workbookViewId="0">
      <selection activeCell="A22" sqref="A22:H22"/>
    </sheetView>
  </sheetViews>
  <sheetFormatPr baseColWidth="10" defaultColWidth="11.28515625" defaultRowHeight="15"/>
  <cols>
    <col min="1" max="1" width="10.7109375" style="33" bestFit="1" customWidth="1"/>
    <col min="2" max="2" width="13.7109375" style="33" bestFit="1" customWidth="1"/>
    <col min="3" max="3" width="13.85546875" style="33" bestFit="1" customWidth="1"/>
    <col min="4" max="4" width="21.5703125" style="33" bestFit="1" customWidth="1"/>
    <col min="5" max="5" width="16" style="33" bestFit="1" customWidth="1"/>
    <col min="6" max="6" width="21.140625" style="33" bestFit="1" customWidth="1"/>
    <col min="7" max="7" width="17.140625" style="33" bestFit="1" customWidth="1"/>
    <col min="8" max="8" width="15.140625" style="33" bestFit="1" customWidth="1"/>
    <col min="9" max="9" width="6.5703125" style="33" bestFit="1" customWidth="1"/>
    <col min="10" max="10" width="11" style="33" bestFit="1" customWidth="1"/>
    <col min="11" max="11" width="10.140625" style="33" bestFit="1" customWidth="1"/>
    <col min="12" max="12" width="17.140625" style="33" bestFit="1" customWidth="1"/>
    <col min="13" max="13" width="12.7109375" style="33" bestFit="1" customWidth="1"/>
    <col min="14" max="14" width="17.5703125" style="33" bestFit="1" customWidth="1"/>
    <col min="15" max="15" width="13.7109375" style="33" bestFit="1" customWidth="1"/>
    <col min="16" max="16" width="12.42578125" style="33" bestFit="1" customWidth="1"/>
    <col min="17" max="16384" width="11.28515625" style="33"/>
  </cols>
  <sheetData>
    <row r="1" spans="1:8">
      <c r="A1" s="59" t="s">
        <v>74</v>
      </c>
      <c r="B1" s="59"/>
      <c r="C1" s="59"/>
      <c r="D1" s="59"/>
      <c r="E1" s="59"/>
      <c r="F1" s="59"/>
      <c r="G1" s="59"/>
      <c r="H1" s="59"/>
    </row>
    <row r="2" spans="1:8" s="47" customFormat="1">
      <c r="A2" s="46" t="s">
        <v>75</v>
      </c>
      <c r="B2" s="46" t="s">
        <v>14</v>
      </c>
      <c r="C2" s="46" t="s">
        <v>15</v>
      </c>
      <c r="D2" s="46" t="s">
        <v>16</v>
      </c>
      <c r="E2" s="46" t="s">
        <v>76</v>
      </c>
      <c r="F2" s="46" t="s">
        <v>17</v>
      </c>
      <c r="G2" s="46" t="s">
        <v>77</v>
      </c>
      <c r="H2" s="46" t="s">
        <v>78</v>
      </c>
    </row>
    <row r="3" spans="1:8">
      <c r="A3" s="33">
        <v>2021</v>
      </c>
      <c r="B3" s="48">
        <v>10935.97</v>
      </c>
      <c r="C3" s="48">
        <v>785920.84</v>
      </c>
      <c r="D3" s="48">
        <v>16850.22</v>
      </c>
      <c r="E3" s="49">
        <v>0.11899999999999999</v>
      </c>
      <c r="F3" s="48">
        <v>14844.24</v>
      </c>
      <c r="G3" s="49">
        <v>53.681199999999997</v>
      </c>
      <c r="H3" s="48">
        <v>-782012.57</v>
      </c>
    </row>
    <row r="4" spans="1:8">
      <c r="A4" s="33">
        <v>2020</v>
      </c>
      <c r="B4" s="48">
        <v>5386.8</v>
      </c>
      <c r="C4" s="48">
        <v>0</v>
      </c>
      <c r="D4" s="48">
        <v>0</v>
      </c>
      <c r="E4" s="49">
        <v>0</v>
      </c>
      <c r="F4" s="48">
        <v>0</v>
      </c>
      <c r="G4" s="49"/>
      <c r="H4" s="48">
        <v>-5386.8</v>
      </c>
    </row>
    <row r="8" spans="1:8">
      <c r="A8" s="59" t="s">
        <v>79</v>
      </c>
      <c r="B8" s="59"/>
      <c r="C8" s="59"/>
      <c r="D8" s="59"/>
      <c r="E8" s="59"/>
      <c r="F8" s="59"/>
      <c r="G8" s="59"/>
      <c r="H8" s="59"/>
    </row>
    <row r="9" spans="1:8" s="47" customFormat="1">
      <c r="A9" s="46" t="s">
        <v>75</v>
      </c>
      <c r="B9" s="46" t="s">
        <v>14</v>
      </c>
      <c r="C9" s="46" t="s">
        <v>15</v>
      </c>
      <c r="D9" s="46" t="s">
        <v>16</v>
      </c>
      <c r="E9" s="46" t="s">
        <v>76</v>
      </c>
      <c r="F9" s="46" t="s">
        <v>17</v>
      </c>
      <c r="G9" s="46" t="s">
        <v>77</v>
      </c>
      <c r="H9" s="46" t="s">
        <v>78</v>
      </c>
    </row>
    <row r="10" spans="1:8">
      <c r="A10" s="52">
        <v>2020</v>
      </c>
      <c r="B10" s="53">
        <v>0</v>
      </c>
      <c r="C10" s="53">
        <v>0</v>
      </c>
      <c r="D10" s="53">
        <v>0</v>
      </c>
      <c r="E10" s="49"/>
      <c r="F10" s="53">
        <v>0</v>
      </c>
      <c r="G10" s="49"/>
      <c r="H10" s="53">
        <v>0</v>
      </c>
    </row>
    <row r="11" spans="1:8">
      <c r="A11" s="52">
        <v>2021</v>
      </c>
      <c r="B11" s="53">
        <v>0</v>
      </c>
      <c r="C11" s="53">
        <v>0</v>
      </c>
      <c r="D11" s="53">
        <v>0</v>
      </c>
      <c r="E11" s="49"/>
      <c r="F11" s="53">
        <v>0</v>
      </c>
      <c r="G11" s="49"/>
      <c r="H11" s="53">
        <v>0</v>
      </c>
    </row>
    <row r="15" spans="1:8">
      <c r="A15" s="59" t="s">
        <v>80</v>
      </c>
      <c r="B15" s="59"/>
      <c r="C15" s="59"/>
      <c r="D15" s="59"/>
      <c r="E15" s="59"/>
      <c r="F15" s="59"/>
      <c r="G15" s="59"/>
      <c r="H15" s="59"/>
    </row>
    <row r="16" spans="1:8" s="47" customFormat="1">
      <c r="A16" s="46" t="s">
        <v>75</v>
      </c>
      <c r="B16" s="46" t="s">
        <v>14</v>
      </c>
      <c r="C16" s="46" t="s">
        <v>15</v>
      </c>
      <c r="D16" s="46" t="s">
        <v>16</v>
      </c>
      <c r="E16" s="46" t="s">
        <v>76</v>
      </c>
      <c r="F16" s="46" t="s">
        <v>17</v>
      </c>
      <c r="G16" s="46" t="s">
        <v>77</v>
      </c>
      <c r="H16" s="46" t="s">
        <v>78</v>
      </c>
    </row>
    <row r="17" spans="1:8">
      <c r="A17" s="54">
        <v>2020</v>
      </c>
      <c r="B17" s="55">
        <v>-5386.8</v>
      </c>
      <c r="C17" s="50"/>
      <c r="D17" s="50"/>
      <c r="E17" s="51"/>
      <c r="F17" s="50"/>
      <c r="G17" s="51"/>
      <c r="H17" s="55">
        <v>5386.8</v>
      </c>
    </row>
    <row r="18" spans="1:8">
      <c r="A18" s="54">
        <v>2021</v>
      </c>
      <c r="B18" s="55">
        <v>-10935.97</v>
      </c>
      <c r="C18" s="55">
        <v>-785920.84</v>
      </c>
      <c r="D18" s="55">
        <v>-16850.22</v>
      </c>
      <c r="E18" s="51">
        <v>-0.11899999999999999</v>
      </c>
      <c r="F18" s="55">
        <v>-14844.24</v>
      </c>
      <c r="G18" s="51">
        <v>-53.681199999999997</v>
      </c>
      <c r="H18" s="55">
        <v>782012.57</v>
      </c>
    </row>
    <row r="22" spans="1:8">
      <c r="A22" s="60" t="s">
        <v>81</v>
      </c>
      <c r="B22" s="60"/>
      <c r="C22" s="60"/>
      <c r="D22" s="60"/>
      <c r="E22" s="60"/>
      <c r="F22" s="60"/>
      <c r="G22" s="60"/>
      <c r="H22" s="60"/>
    </row>
  </sheetData>
  <mergeCells count="4">
    <mergeCell ref="A1:H1"/>
    <mergeCell ref="A8:H8"/>
    <mergeCell ref="A15:H15"/>
    <mergeCell ref="A22:H22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R2"/>
  <sheetViews>
    <sheetView zoomScale="70" zoomScaleNormal="70" workbookViewId="0">
      <selection activeCell="A2" sqref="A2"/>
    </sheetView>
  </sheetViews>
  <sheetFormatPr baseColWidth="10" defaultColWidth="9" defaultRowHeight="15"/>
  <cols>
    <col min="1" max="1" width="15.28515625" customWidth="1"/>
    <col min="2" max="3" width="17.5703125" customWidth="1"/>
    <col min="4" max="4" width="20" style="33" customWidth="1"/>
    <col min="5" max="5" width="22.85546875" style="32" bestFit="1" customWidth="1"/>
    <col min="6" max="7" width="19.85546875" style="32" customWidth="1"/>
    <col min="8" max="8" width="20" style="37" customWidth="1"/>
    <col min="9" max="9" width="19.85546875" style="32" customWidth="1"/>
    <col min="10" max="10" width="16.5703125" style="27" customWidth="1"/>
    <col min="11" max="11" width="20" style="32" customWidth="1"/>
    <col min="12" max="12" width="20" style="35" customWidth="1"/>
    <col min="13" max="13" width="20.5703125" style="32" customWidth="1"/>
    <col min="14" max="14" width="17.7109375" style="32" customWidth="1"/>
    <col min="15" max="15" width="15.42578125" style="32" bestFit="1" customWidth="1"/>
    <col min="16" max="16" width="17" style="24" customWidth="1"/>
    <col min="17" max="17" width="23.85546875" style="25" customWidth="1"/>
    <col min="18" max="18" width="19" style="24" customWidth="1"/>
  </cols>
  <sheetData>
    <row r="1" spans="1:18" ht="31.5">
      <c r="A1" s="29" t="s">
        <v>3</v>
      </c>
      <c r="B1" s="29" t="s">
        <v>12</v>
      </c>
      <c r="C1" s="29" t="s">
        <v>20</v>
      </c>
      <c r="D1" s="29" t="s">
        <v>13</v>
      </c>
      <c r="E1" s="31" t="s">
        <v>14</v>
      </c>
      <c r="F1" s="31" t="s">
        <v>15</v>
      </c>
      <c r="G1" s="31" t="s">
        <v>16</v>
      </c>
      <c r="H1" s="36" t="s">
        <v>22</v>
      </c>
      <c r="I1" s="31" t="s">
        <v>17</v>
      </c>
      <c r="J1" s="26" t="s">
        <v>18</v>
      </c>
      <c r="K1" s="31" t="s">
        <v>19</v>
      </c>
      <c r="L1" s="34" t="s">
        <v>21</v>
      </c>
      <c r="M1" s="31" t="s">
        <v>5</v>
      </c>
      <c r="N1" s="31" t="s">
        <v>6</v>
      </c>
      <c r="O1" s="31" t="s">
        <v>7</v>
      </c>
      <c r="P1" s="28" t="s">
        <v>4</v>
      </c>
      <c r="Q1"/>
      <c r="R1"/>
    </row>
    <row r="2" spans="1:18">
      <c r="J2" s="3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R2"/>
  <sheetViews>
    <sheetView zoomScale="70" zoomScaleNormal="70" workbookViewId="0">
      <selection activeCell="J4" sqref="J4"/>
    </sheetView>
  </sheetViews>
  <sheetFormatPr baseColWidth="10" defaultColWidth="9" defaultRowHeight="15"/>
  <cols>
    <col min="1" max="1" width="15.28515625" customWidth="1"/>
    <col min="2" max="3" width="17.5703125" customWidth="1"/>
    <col min="4" max="4" width="20" style="33" customWidth="1"/>
    <col min="5" max="5" width="22.85546875" style="32" bestFit="1" customWidth="1"/>
    <col min="6" max="7" width="19.85546875" style="32" customWidth="1"/>
    <col min="8" max="8" width="19.85546875" style="37" customWidth="1"/>
    <col min="9" max="9" width="19.85546875" style="32" customWidth="1"/>
    <col min="10" max="10" width="16.5703125" style="27" customWidth="1"/>
    <col min="11" max="11" width="20" style="32" customWidth="1"/>
    <col min="12" max="12" width="20" style="35" customWidth="1"/>
    <col min="13" max="13" width="20.5703125" style="32" customWidth="1"/>
    <col min="14" max="14" width="17.7109375" style="32" customWidth="1"/>
    <col min="15" max="15" width="15.42578125" style="32" bestFit="1" customWidth="1"/>
    <col min="16" max="16" width="17" style="24" customWidth="1"/>
    <col min="17" max="17" width="23.85546875" style="25" customWidth="1"/>
    <col min="18" max="18" width="19" style="24" customWidth="1"/>
  </cols>
  <sheetData>
    <row r="1" spans="1:18" ht="31.5">
      <c r="A1" s="29" t="s">
        <v>3</v>
      </c>
      <c r="B1" s="29" t="s">
        <v>12</v>
      </c>
      <c r="C1" s="29" t="s">
        <v>20</v>
      </c>
      <c r="D1" s="29" t="s">
        <v>13</v>
      </c>
      <c r="E1" s="31" t="s">
        <v>14</v>
      </c>
      <c r="F1" s="31" t="s">
        <v>15</v>
      </c>
      <c r="G1" s="31" t="s">
        <v>16</v>
      </c>
      <c r="H1" s="36" t="s">
        <v>22</v>
      </c>
      <c r="I1" s="31" t="s">
        <v>17</v>
      </c>
      <c r="J1" s="26" t="s">
        <v>18</v>
      </c>
      <c r="K1" s="31" t="s">
        <v>19</v>
      </c>
      <c r="L1" s="34" t="s">
        <v>21</v>
      </c>
      <c r="M1" s="31" t="s">
        <v>5</v>
      </c>
      <c r="N1" s="31" t="s">
        <v>6</v>
      </c>
      <c r="O1" s="31" t="s">
        <v>7</v>
      </c>
      <c r="P1" s="28" t="s">
        <v>4</v>
      </c>
      <c r="Q1"/>
      <c r="R1"/>
    </row>
    <row r="2" spans="1:18">
      <c r="J2" s="3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T28"/>
  <sheetViews>
    <sheetView topLeftCell="C1" workbookViewId="0">
      <selection activeCell="M7" sqref="M7"/>
    </sheetView>
  </sheetViews>
  <sheetFormatPr baseColWidth="10" defaultColWidth="11.42578125" defaultRowHeight="15"/>
  <cols>
    <col min="1" max="1" width="15.7109375" bestFit="1" customWidth="1"/>
    <col min="2" max="2" width="11.7109375" bestFit="1" customWidth="1"/>
    <col min="3" max="3" width="50.85546875" bestFit="1" customWidth="1"/>
    <col min="4" max="4" width="2.85546875" customWidth="1"/>
    <col min="5" max="5" width="17.5703125" bestFit="1" customWidth="1"/>
    <col min="6" max="6" width="11.85546875" bestFit="1" customWidth="1"/>
    <col min="7" max="12" width="2.140625" customWidth="1"/>
    <col min="13" max="13" width="11.7109375" bestFit="1" customWidth="1"/>
    <col min="14" max="14" width="10.7109375" bestFit="1" customWidth="1"/>
    <col min="15" max="15" width="14.28515625" bestFit="1" customWidth="1"/>
    <col min="16" max="16" width="2" customWidth="1"/>
    <col min="17" max="17" width="2.140625" customWidth="1"/>
    <col min="18" max="18" width="2" customWidth="1"/>
    <col min="19" max="19" width="22.140625" bestFit="1" customWidth="1"/>
    <col min="20" max="20" width="14.5703125" bestFit="1" customWidth="1"/>
  </cols>
  <sheetData>
    <row r="1" spans="1:20" s="39" customFormat="1">
      <c r="A1" s="38" t="s">
        <v>23</v>
      </c>
      <c r="B1" s="38" t="s">
        <v>24</v>
      </c>
      <c r="C1" s="38" t="s">
        <v>25</v>
      </c>
      <c r="D1" s="38"/>
      <c r="E1" s="38" t="s">
        <v>23</v>
      </c>
      <c r="F1" s="38" t="s">
        <v>24</v>
      </c>
      <c r="M1" s="38" t="s">
        <v>8</v>
      </c>
      <c r="N1" s="38" t="s">
        <v>9</v>
      </c>
      <c r="O1" s="38" t="s">
        <v>10</v>
      </c>
      <c r="S1" s="38" t="s">
        <v>72</v>
      </c>
      <c r="T1" s="38" t="s">
        <v>73</v>
      </c>
    </row>
    <row r="2" spans="1:20">
      <c r="A2" t="s">
        <v>26</v>
      </c>
      <c r="B2" t="s">
        <v>27</v>
      </c>
      <c r="C2" t="s">
        <v>28</v>
      </c>
      <c r="E2" t="s">
        <v>26</v>
      </c>
      <c r="F2" t="s">
        <v>27</v>
      </c>
      <c r="M2" s="40" t="s">
        <v>29</v>
      </c>
      <c r="N2" s="40" t="s">
        <v>30</v>
      </c>
      <c r="O2" s="40" t="s">
        <v>30</v>
      </c>
      <c r="S2" s="45" t="s">
        <v>31</v>
      </c>
    </row>
    <row r="3" spans="1:20">
      <c r="A3" t="s">
        <v>26</v>
      </c>
      <c r="B3" t="s">
        <v>27</v>
      </c>
      <c r="C3" t="s">
        <v>32</v>
      </c>
      <c r="E3" t="s">
        <v>26</v>
      </c>
      <c r="F3" t="s">
        <v>33</v>
      </c>
    </row>
    <row r="4" spans="1:20">
      <c r="A4" t="s">
        <v>26</v>
      </c>
      <c r="B4" t="s">
        <v>33</v>
      </c>
      <c r="E4" t="s">
        <v>26</v>
      </c>
      <c r="F4" t="s">
        <v>34</v>
      </c>
    </row>
    <row r="5" spans="1:20">
      <c r="A5" t="s">
        <v>26</v>
      </c>
      <c r="B5" t="s">
        <v>34</v>
      </c>
      <c r="C5" t="s">
        <v>35</v>
      </c>
      <c r="E5" t="s">
        <v>26</v>
      </c>
      <c r="F5" t="s">
        <v>36</v>
      </c>
    </row>
    <row r="6" spans="1:20">
      <c r="A6" t="s">
        <v>26</v>
      </c>
      <c r="B6" t="s">
        <v>36</v>
      </c>
      <c r="C6" t="s">
        <v>37</v>
      </c>
      <c r="E6" t="s">
        <v>26</v>
      </c>
      <c r="F6" t="s">
        <v>38</v>
      </c>
    </row>
    <row r="7" spans="1:20">
      <c r="A7" t="s">
        <v>26</v>
      </c>
      <c r="B7" t="s">
        <v>36</v>
      </c>
      <c r="C7" t="s">
        <v>39</v>
      </c>
      <c r="E7" t="s">
        <v>26</v>
      </c>
      <c r="F7" t="s">
        <v>40</v>
      </c>
    </row>
    <row r="8" spans="1:20">
      <c r="A8" t="s">
        <v>26</v>
      </c>
      <c r="B8" t="s">
        <v>36</v>
      </c>
      <c r="C8" t="s">
        <v>41</v>
      </c>
      <c r="E8" t="s">
        <v>26</v>
      </c>
      <c r="F8" t="s">
        <v>42</v>
      </c>
    </row>
    <row r="9" spans="1:20">
      <c r="A9" t="s">
        <v>26</v>
      </c>
      <c r="B9" t="s">
        <v>36</v>
      </c>
      <c r="C9" t="s">
        <v>43</v>
      </c>
      <c r="E9" t="s">
        <v>26</v>
      </c>
      <c r="F9" t="s">
        <v>44</v>
      </c>
    </row>
    <row r="10" spans="1:20">
      <c r="A10" t="s">
        <v>26</v>
      </c>
      <c r="B10" t="s">
        <v>36</v>
      </c>
      <c r="C10" t="s">
        <v>45</v>
      </c>
    </row>
    <row r="11" spans="1:20">
      <c r="A11" t="s">
        <v>26</v>
      </c>
      <c r="B11" t="s">
        <v>36</v>
      </c>
      <c r="C11" t="s">
        <v>46</v>
      </c>
    </row>
    <row r="12" spans="1:20">
      <c r="A12" t="s">
        <v>26</v>
      </c>
      <c r="B12" t="s">
        <v>36</v>
      </c>
      <c r="C12" t="s">
        <v>47</v>
      </c>
    </row>
    <row r="13" spans="1:20">
      <c r="A13" t="s">
        <v>26</v>
      </c>
      <c r="B13" t="s">
        <v>38</v>
      </c>
      <c r="C13" t="s">
        <v>48</v>
      </c>
    </row>
    <row r="14" spans="1:20">
      <c r="A14" t="s">
        <v>26</v>
      </c>
      <c r="B14" t="s">
        <v>38</v>
      </c>
      <c r="C14" t="s">
        <v>49</v>
      </c>
    </row>
    <row r="15" spans="1:20">
      <c r="A15" t="s">
        <v>26</v>
      </c>
      <c r="B15" t="s">
        <v>38</v>
      </c>
      <c r="C15" t="s">
        <v>50</v>
      </c>
    </row>
    <row r="16" spans="1:20">
      <c r="A16" t="s">
        <v>26</v>
      </c>
      <c r="B16" t="s">
        <v>38</v>
      </c>
      <c r="C16" t="s">
        <v>51</v>
      </c>
    </row>
    <row r="17" spans="1:3">
      <c r="A17" t="s">
        <v>26</v>
      </c>
      <c r="B17" t="s">
        <v>38</v>
      </c>
      <c r="C17" t="s">
        <v>52</v>
      </c>
    </row>
    <row r="18" spans="1:3">
      <c r="A18" t="s">
        <v>26</v>
      </c>
      <c r="B18" t="s">
        <v>38</v>
      </c>
      <c r="C18" t="s">
        <v>53</v>
      </c>
    </row>
    <row r="19" spans="1:3">
      <c r="A19" t="s">
        <v>26</v>
      </c>
      <c r="B19" t="s">
        <v>40</v>
      </c>
      <c r="C19" t="s">
        <v>54</v>
      </c>
    </row>
    <row r="20" spans="1:3">
      <c r="A20" t="s">
        <v>26</v>
      </c>
      <c r="B20" t="s">
        <v>40</v>
      </c>
      <c r="C20" t="s">
        <v>55</v>
      </c>
    </row>
    <row r="21" spans="1:3">
      <c r="A21" t="s">
        <v>26</v>
      </c>
      <c r="B21" t="s">
        <v>40</v>
      </c>
      <c r="C21" t="s">
        <v>56</v>
      </c>
    </row>
    <row r="22" spans="1:3">
      <c r="A22" t="s">
        <v>26</v>
      </c>
      <c r="B22" t="s">
        <v>42</v>
      </c>
      <c r="C22" t="s">
        <v>57</v>
      </c>
    </row>
    <row r="23" spans="1:3">
      <c r="A23" t="s">
        <v>26</v>
      </c>
      <c r="B23" t="s">
        <v>42</v>
      </c>
      <c r="C23" t="s">
        <v>58</v>
      </c>
    </row>
    <row r="24" spans="1:3">
      <c r="A24" t="s">
        <v>26</v>
      </c>
      <c r="B24" t="s">
        <v>44</v>
      </c>
      <c r="C24" t="s">
        <v>59</v>
      </c>
    </row>
    <row r="25" spans="1:3">
      <c r="A25" t="s">
        <v>26</v>
      </c>
      <c r="B25" t="s">
        <v>44</v>
      </c>
      <c r="C25" t="s">
        <v>60</v>
      </c>
    </row>
    <row r="26" spans="1:3">
      <c r="A26" t="s">
        <v>26</v>
      </c>
      <c r="B26" t="s">
        <v>44</v>
      </c>
      <c r="C26" t="s">
        <v>61</v>
      </c>
    </row>
    <row r="27" spans="1:3">
      <c r="A27" t="s">
        <v>26</v>
      </c>
      <c r="B27" t="s">
        <v>44</v>
      </c>
      <c r="C27" t="s">
        <v>62</v>
      </c>
    </row>
    <row r="28" spans="1:3">
      <c r="A28" t="s">
        <v>26</v>
      </c>
      <c r="B28" t="s">
        <v>44</v>
      </c>
      <c r="C28" t="s">
        <v>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E4C7F-026D-47E9-935B-A4937B602322}">
  <sheetPr codeName="Feuil1"/>
  <dimension ref="A1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62A02-7AFA-4EDE-82EA-EADC0935016F}">
  <sheetPr codeName="Feuil3">
    <tabColor theme="0"/>
    <pageSetUpPr fitToPage="1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width="21.85546875" style="33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33" t="s">
        <v>67</v>
      </c>
      <c r="B1" t="s">
        <v>68</v>
      </c>
      <c r="C1" t="s">
        <v>69</v>
      </c>
      <c r="D1" t="s">
        <v>70</v>
      </c>
      <c r="E1" t="s">
        <v>71</v>
      </c>
    </row>
  </sheetData>
  <pageMargins left="0.70866141732283472" right="0.70866141732283472" top="0.74803149606299213" bottom="0.74803149606299213" header="0.31496062992125984" footer="0.31496062992125984"/>
  <pageSetup paperSize="9" scale="57" fitToHeight="100" orientation="landscape"/>
  <headerFooter>
    <oddHeader>&amp;C&amp;A</oddHeader>
    <oddFooter>&amp;C&amp;F   &amp;A  &amp;P/&amp;N   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Page de garde</vt:lpstr>
      <vt:lpstr>CONTROLE</vt:lpstr>
      <vt:lpstr>DATA</vt:lpstr>
      <vt:lpstr>DATA_CUMUL</vt:lpstr>
      <vt:lpstr>AFFICHAGE</vt:lpstr>
      <vt:lpstr>IMPORT</vt:lpstr>
      <vt:lpstr>Erreurs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support2 support2</dc:creator>
  <cp:lastModifiedBy>alain moeglin</cp:lastModifiedBy>
  <dcterms:created xsi:type="dcterms:W3CDTF">2019-02-28T10:25:36Z</dcterms:created>
  <dcterms:modified xsi:type="dcterms:W3CDTF">2023-03-05T17:45:22Z</dcterms:modified>
</cp:coreProperties>
</file>