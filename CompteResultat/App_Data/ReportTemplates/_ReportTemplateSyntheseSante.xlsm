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-120" yWindow="-120" windowWidth="25440" windowHeight="14775" activeTab="2"/>
  </bookViews>
  <sheets>
    <sheet name="Page de garde" sheetId="13" r:id="rId1"/>
    <sheet name="SYNTHESE" sheetId="89" r:id="rId2"/>
    <sheet name="DONNEES GRAPHIQUE" sheetId="92" r:id="rId3"/>
    <sheet name="DATA PRODUIT" sheetId="90" r:id="rId4"/>
    <sheet name="DATA ENTREPRISE" sheetId="91" r:id="rId5"/>
    <sheet name="AFFICHAGE" sheetId="10" r:id="rId6"/>
    <sheet name="Erreurs" sheetId="36" r:id="rId7"/>
  </sheets>
  <functionGroups builtInGroupCount="18"/>
  <definedNames>
    <definedName name="_xlnm._FilterDatabase" localSheetId="3" hidden="1">'DATA PRODUIT'!$A$1:$U$1</definedName>
    <definedName name="_xlnm.Print_Area" localSheetId="1">SYNTHESE!$B$2:$L$95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<sst xmlns="http://schemas.openxmlformats.org/spreadsheetml/2006/main" count="224" uniqueCount="116">
  <si>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</si>
  <si>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</si>
  <si>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</si>
  <si>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</si>
  <si>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</si>
  <si>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</si>
  <si>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</si>
  <si>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Date d'arrêté des comptes :</t>
  </si>
  <si>
    <t>SYNTHESE DES COMPTES DE RESULTATS SANTE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</si>
  <si>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</si>
  <si>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</si>
  <si>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</si>
  <si>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</si>
  <si>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</si>
  <si>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</si>
  <si>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</si>
  <si>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</si>
  <si>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de bénéficaires</t>
  </si>
  <si>
    <t>Coefficient familial</t>
  </si>
  <si>
    <t>(*) Chargements + TCA + CMU + taxe COVID</t>
  </si>
  <si>
    <t>NOM</t>
  </si>
  <si>
    <t>MATRICULE</t>
  </si>
  <si>
    <t>PRODUIT</t>
  </si>
  <si>
    <t>NOMBRE DE BENEFICIAIRES</t>
  </si>
  <si>
    <t>PERTES</t>
  </si>
  <si>
    <t>43500684</t>
  </si>
  <si>
    <t>GAINS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</si>
  <si>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</si>
  <si>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</si>
  <si>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</si>
  <si>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</si>
  <si>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</si>
  <si>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</si>
  <si>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CONFORT</t>
  </si>
  <si>
    <t>ESSENTIELLE</t>
  </si>
  <si>
    <t>PRIVILEGE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</si>
  <si>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</si>
  <si>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</si>
  <si>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</si>
  <si>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</si>
  <si>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</si>
  <si>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</si>
  <si>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</si>
  <si>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</si>
  <si>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</si>
  <si>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</si>
  <si>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</si>
  <si>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</si>
  <si>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</si>
  <si>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</si>
  <si>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</si>
  <si>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KERIALIS_PRODUIT</t>
  </si>
  <si>
    <t>CONFORT_</t>
  </si>
  <si>
    <t>AUTRE : 120 €</t>
  </si>
  <si>
    <t>ESSENTIELLE_</t>
  </si>
  <si>
    <t>PHARM : 13,97 €</t>
  </si>
  <si>
    <t>PRIVILEGE_</t>
  </si>
  <si>
    <t>AUTRE : 117,13 €</t>
  </si>
  <si>
    <t>ENTREPRISES</t>
  </si>
  <si>
    <t>KERIALIS_ENTREPRISE</t>
  </si>
  <si>
    <t>20800006</t>
  </si>
  <si>
    <t>CONFORT_ESSENTIELLE</t>
  </si>
  <si>
    <t>24600005</t>
  </si>
  <si>
    <t>SOINS : 13,11 €</t>
  </si>
  <si>
    <t>40100158</t>
  </si>
  <si>
    <t>PHARM : 26,3 €</t>
  </si>
  <si>
    <t>40100237</t>
  </si>
  <si>
    <t>SOINS : 6,9 €</t>
  </si>
  <si>
    <t>40300109</t>
  </si>
  <si>
    <t>SOINS : 14,7 €</t>
  </si>
  <si>
    <t>40300131</t>
  </si>
  <si>
    <t>PHARM : 52,4 €</t>
  </si>
  <si>
    <t>40300184</t>
  </si>
  <si>
    <t>AUTRE : 111,02 €</t>
  </si>
  <si>
    <t>40300236</t>
  </si>
  <si>
    <t>AUTRE : 6,11 €</t>
  </si>
  <si>
    <t>40600720</t>
  </si>
  <si>
    <t>40600918</t>
  </si>
  <si>
    <t>40601003</t>
  </si>
  <si>
    <t>AUTRE : 70 €</t>
  </si>
  <si>
    <t>40602097</t>
  </si>
  <si>
    <t>PHARM : 11,01 €</t>
  </si>
  <si>
    <t>40700039</t>
  </si>
  <si>
    <t>AUTRE : 50 €</t>
  </si>
  <si>
    <t>24500010</t>
  </si>
  <si>
    <t>41301369</t>
  </si>
  <si>
    <t>41700142</t>
  </si>
  <si>
    <t>43500167</t>
  </si>
  <si>
    <t>46400510</t>
  </si>
  <si>
    <t>46903421</t>
  </si>
  <si>
    <t>47502453</t>
  </si>
  <si>
    <t>47511233</t>
  </si>
  <si>
    <t>47512190</t>
  </si>
  <si>
    <t>49500437</t>
  </si>
  <si>
    <t>51300169</t>
  </si>
  <si>
    <t>56300028</t>
  </si>
  <si>
    <t>DATE DEBUT</t>
  </si>
  <si>
    <t>DATE FIN</t>
  </si>
  <si>
    <t>DATE D'ARRETE</t>
  </si>
  <si>
    <t>TOP_PERTES_GAINS</t>
  </si>
  <si>
    <t>01/01/2016</t>
  </si>
  <si>
    <t>31/12/2016</t>
  </si>
  <si>
    <t>4</t>
  </si>
  <si>
    <t>Numéro chronologique</t>
  </si>
  <si>
    <t>Traitement concerné</t>
  </si>
  <si>
    <t>Libellé Famille</t>
  </si>
  <si>
    <t>Libellé Acte</t>
  </si>
  <si>
    <t>Libellé de l'erreur</t>
  </si>
  <si>
    <t>TOP 4 PERTES</t>
  </si>
  <si>
    <t>TOP 4 GAINS</t>
  </si>
  <si>
    <t>CONFORT  -  ESSENTIELLE  -  PRIVILEGE</t>
  </si>
  <si>
    <t>1 janvier 2016 au 31 décembre 2016</t>
  </si>
  <si>
    <t>31 décembre 2016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</si>
  <si>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</si>
  <si>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Nombre d'entreprises cotisantes</t>
  </si>
  <si>
    <t>Nombre d'Entreprises cotisantes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</si>
</sst>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6" formatCode="#,##0\ &quot;€&quot;;[Red]\-#,##0\ &quot;€&quot;"/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#,##0.00\ &quot;€&quot;"/>
    <numFmt numFmtId="168" formatCode="_-* #,##0.00\ [$€-40C]_-;\-* #,##0.00\ [$€-40C]_-;_-* &quot;-&quot;??\ [$€-40C]_-;_-@_-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1"/>
      <color rgb="FF000000"/>
      <name val="Calibri"/>
      <family val="2"/>
    </font>
    <font>
      <sz val="10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44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4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0" borderId="0" xfId="0" applyNumberFormat="1" applyFont="1" applyFill="1" applyBorder="1"/>
    <xf numFmtId="0" fontId="8" fillId="0" borderId="1" xfId="0" applyNumberFormat="1" applyFont="1" applyFill="1" applyBorder="1"/>
    <xf numFmtId="0" fontId="8" fillId="0" borderId="2" xfId="0" applyNumberFormat="1" applyFont="1" applyFill="1" applyBorder="1"/>
    <xf numFmtId="0" fontId="8" fillId="0" borderId="3" xfId="0" applyNumberFormat="1" applyFont="1" applyFill="1" applyBorder="1"/>
    <xf numFmtId="0" fontId="8" fillId="0" borderId="4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8" fillId="0" borderId="4" xfId="0" applyNumberFormat="1" applyFont="1" applyFill="1" applyBorder="1" applyAlignment="1">
      <alignment wrapText="1"/>
    </xf>
    <xf numFmtId="0" fontId="8" fillId="0" borderId="5" xfId="0" applyNumberFormat="1" applyFont="1" applyFill="1" applyBorder="1" applyAlignment="1">
      <alignment wrapText="1"/>
    </xf>
    <xf numFmtId="0" fontId="8" fillId="0" borderId="0" xfId="0" applyNumberFormat="1" applyFont="1" applyFill="1" applyBorder="1"/>
    <xf numFmtId="0" fontId="9" fillId="0" borderId="4" xfId="0" applyNumberFormat="1" applyFont="1" applyFill="1" applyBorder="1"/>
    <xf numFmtId="0" fontId="9" fillId="0" borderId="0" xfId="0" applyNumberFormat="1" applyFont="1" applyFill="1" applyBorder="1" applyAlignment="1">
      <alignment horizontal="left" vertical="center"/>
    </xf>
    <xf numFmtId="0" fontId="10" fillId="0" borderId="0" xfId="8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9" fillId="0" borderId="5" xfId="0" applyNumberFormat="1" applyFont="1" applyFill="1" applyBorder="1"/>
    <xf numFmtId="0" fontId="9" fillId="0" borderId="0" xfId="0" applyNumberFormat="1" applyFont="1" applyFill="1" applyBorder="1" applyAlignment="1">
      <alignment vertical="center" wrapText="1"/>
    </xf>
    <xf numFmtId="0" fontId="11" fillId="0" borderId="0" xfId="8" applyNumberFormat="1" applyFont="1" applyFill="1" applyBorder="1" applyAlignment="1">
      <alignment horizontal="left" vertical="center"/>
    </xf>
    <xf numFmtId="0" fontId="9" fillId="0" borderId="4" xfId="0" applyNumberFormat="1" applyFont="1" applyFill="1" applyBorder="1"/>
    <xf numFmtId="0" fontId="12" fillId="0" borderId="0" xfId="8" applyNumberFormat="1" applyFont="1" applyFill="1" applyBorder="1" applyAlignment="1">
      <alignment horizontal="center"/>
    </xf>
    <xf numFmtId="0" fontId="9" fillId="0" borderId="5" xfId="0" applyNumberFormat="1" applyFont="1" applyFill="1" applyBorder="1"/>
    <xf numFmtId="0" fontId="8" fillId="0" borderId="6" xfId="0" applyNumberFormat="1" applyFont="1" applyFill="1" applyBorder="1"/>
    <xf numFmtId="0" fontId="8" fillId="0" borderId="7" xfId="0" applyNumberFormat="1" applyFont="1" applyFill="1" applyBorder="1"/>
    <xf numFmtId="0" fontId="8" fillId="0" borderId="8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6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166" fontId="15" fillId="0" borderId="12" xfId="4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9" fontId="16" fillId="0" borderId="12" xfId="9" applyNumberFormat="1" applyFont="1" applyFill="1" applyBorder="1" applyAlignment="1">
      <alignment horizontal="center" vertical="center"/>
    </xf>
    <xf numFmtId="0" fontId="17" fillId="0" borderId="0" xfId="7" applyNumberFormat="1" applyFont="1" applyFill="1" applyBorder="1"/>
    <xf numFmtId="166" fontId="17" fillId="0" borderId="0" xfId="7" applyNumberFormat="1" applyFont="1" applyFill="1" applyBorder="1"/>
    <xf numFmtId="166" fontId="17" fillId="0" borderId="0" xfId="7" applyNumberFormat="1" applyFont="1" applyFill="1" applyBorder="1" applyAlignment="1">
      <alignment horizontal="center"/>
    </xf>
    <xf numFmtId="9" fontId="18" fillId="0" borderId="0" xfId="9" applyNumberFormat="1" applyFont="1" applyFill="1" applyBorder="1" applyAlignment="1">
      <alignment horizontal="center" vertical="center" wrapText="1"/>
    </xf>
    <xf numFmtId="0" fontId="19" fillId="0" borderId="0" xfId="0" applyNumberFormat="1" applyFont="1" applyFill="1" applyBorder="1"/>
    <xf numFmtId="0" fontId="21" fillId="0" borderId="12" xfId="0" applyNumberFormat="1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/>
    </xf>
    <xf numFmtId="3" fontId="0" fillId="0" borderId="12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166" fontId="22" fillId="0" borderId="12" xfId="4" applyNumberFormat="1" applyFont="1" applyFill="1" applyBorder="1" applyAlignment="1">
      <alignment horizontal="center" vertical="center" wrapText="1"/>
    </xf>
    <xf numFmtId="0" fontId="22" fillId="0" borderId="12" xfId="4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top"/>
    </xf>
    <xf numFmtId="14" fontId="24" fillId="0" borderId="0" xfId="0" applyNumberFormat="1" applyFont="1" applyFill="1" applyBorder="1" applyAlignment="1">
      <alignment horizontal="left" vertical="top"/>
    </xf>
    <xf numFmtId="0" fontId="26" fillId="0" borderId="0" xfId="8" applyNumberFormat="1" applyFont="1" applyFill="1" applyBorder="1" applyAlignment="1">
      <alignment horizontal="left" vertical="center"/>
    </xf>
    <xf numFmtId="0" fontId="27" fillId="0" borderId="0" xfId="8" applyNumberFormat="1" applyFont="1" applyFill="1" applyBorder="1" applyAlignment="1">
      <alignment horizontal="left" vertical="center"/>
    </xf>
    <xf numFmtId="0" fontId="28" fillId="0" borderId="0" xfId="8" applyNumberFormat="1" applyFont="1" applyFill="1" applyBorder="1" applyAlignment="1">
      <alignment horizontal="left" vertical="center"/>
    </xf>
    <xf numFmtId="0" fontId="29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7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68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7" fontId="6" fillId="0" borderId="0" xfId="0" applyNumberFormat="1" applyFont="1" applyFill="1" applyBorder="1"/>
    <xf numFmtId="0" fontId="30" fillId="0" borderId="0" xfId="0" applyNumberFormat="1" applyFont="1" applyFill="1" applyBorder="1"/>
    <xf numFmtId="166" fontId="0" fillId="0" borderId="0" xfId="0" applyNumberFormat="1" applyFont="1" applyFill="1" applyBorder="1"/>
    <xf numFmtId="0" fontId="5" fillId="3" borderId="0" xfId="4" applyNumberFormat="1" applyFont="1" applyFill="1" applyBorder="1" applyAlignment="1">
      <alignment horizontal="center" vertical="center" wrapText="1"/>
    </xf>
    <xf numFmtId="167" fontId="5" fillId="3" borderId="0" xfId="4" applyNumberFormat="1" applyFont="1" applyFill="1" applyBorder="1" applyAlignment="1">
      <alignment horizontal="center" vertical="center" wrapText="1"/>
    </xf>
    <xf numFmtId="10" fontId="5" fillId="3" borderId="0" xfId="9" applyNumberFormat="1" applyFont="1" applyFill="1" applyBorder="1" applyAlignment="1">
      <alignment horizontal="center" vertical="center" wrapText="1"/>
    </xf>
    <xf numFmtId="14" fontId="5" fillId="3" borderId="0" xfId="4" applyNumberFormat="1" applyFont="1" applyFill="1" applyBorder="1" applyAlignment="1">
      <alignment horizontal="center" vertical="center" wrapText="1"/>
    </xf>
    <xf numFmtId="3" fontId="5" fillId="3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4" applyNumberFormat="1" applyFont="1" applyFill="1" applyBorder="1" applyAlignment="1">
      <alignment horizontal="center" vertical="center" wrapText="1"/>
    </xf>
    <xf numFmtId="6" fontId="1" fillId="0" borderId="12" xfId="1" applyNumberFormat="1" applyFont="1" applyFill="1" applyBorder="1" applyAlignment="1">
      <alignment horizontal="center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/>
    <xf numFmtId="0" fontId="0" fillId="4" borderId="0" xfId="0" applyNumberFormat="1" applyFont="1" applyFill="1" applyBorder="1"/>
    <xf numFmtId="0" fontId="14" fillId="0" borderId="0" xfId="0" applyNumberFormat="1" applyFont="1" applyFill="1" applyBorder="1" applyAlignment="1">
      <alignment horizontal="left" vertical="center" wrapText="1"/>
    </xf>
    <xf numFmtId="0" fontId="13" fillId="0" borderId="0" xfId="8" applyNumberFormat="1" applyFont="1" applyFill="1" applyBorder="1" applyAlignment="1">
      <alignment horizontal="left" vertical="center" wrapText="1"/>
    </xf>
    <xf numFmtId="0" fontId="25" fillId="0" borderId="12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/>
    </xf>
    <xf numFmtId="0" fontId="20" fillId="0" borderId="12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3" fillId="0" borderId="9" xfId="7" applyNumberFormat="1" applyFont="1" applyFill="1" applyBorder="1" applyAlignment="1">
      <alignment horizontal="center" vertical="center" wrapText="1"/>
    </xf>
    <xf numFmtId="1" fontId="23" fillId="0" borderId="10" xfId="7" applyNumberFormat="1" applyFont="1" applyFill="1" applyBorder="1" applyAlignment="1">
      <alignment horizontal="center" vertical="center" wrapText="1"/>
    </xf>
    <xf numFmtId="1" fontId="23" fillId="0" borderId="11" xfId="7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6" fontId="5" fillId="3" borderId="15" xfId="4" applyNumberFormat="1" applyFont="1" applyFill="1" applyBorder="1" applyAlignment="1">
      <alignment horizontal="center" vertical="center" wrapText="1"/>
    </xf>
    <xf numFmtId="166" fontId="5" fillId="3" borderId="16" xfId="4" applyNumberFormat="1" applyFont="1" applyFill="1" applyBorder="1" applyAlignment="1">
      <alignment horizontal="center" vertical="center" wrapText="1"/>
    </xf>
  </cellXfs>
  <cellStyles count="11">
    <cellStyle name="Comma" xfId="1" builtinId="3"/>
    <cellStyle name="Monétaire 2" xfId="2"/>
    <cellStyle name="Monétaire 3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CONFORT</c:v>
                </c:pt>
                <c:pt idx="1">
                  <c:v>ESSENTIELLE</c:v>
                </c:pt>
                <c:pt idx="2">
                  <c:v>PRIVILEGE</c:v>
                </c:pt>
              </c:strCache>
            </c:strRef>
          </c:cat>
          <c:val>
            <c:numRef>
              <c:f>'DONNEES GRAPHIQUE'!$C$3:$C$5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AD-41F8-98AC-86DB8AC55842}"/>
            </c:ext>
          </c:extLst>
        </c:ser>
        <c:ser>
          <c:idx val="1"/>
          <c:order val="1"/>
          <c:tx>
            <c:v>2016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CONFORT</c:v>
                </c:pt>
                <c:pt idx="1">
                  <c:v>ESSENTIELLE</c:v>
                </c:pt>
                <c:pt idx="2">
                  <c:v>PRIVILEGE</c:v>
                </c:pt>
              </c:strCache>
            </c:strRef>
          </c:cat>
          <c:val>
            <c:numRef>
              <c:f>'DONNEES GRAPHIQUE'!$D$3:$D$5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4AD-41F8-98AC-86DB8AC558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013034656"/>
        <c:axId val="-1013038464"/>
      </c:barChart>
      <c:catAx>
        <c:axId val="-101303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013038464"/>
        <c:crosses val="autoZero"/>
        <c:auto val="1"/>
        <c:lblAlgn val="ctr"/>
        <c:lblOffset val="100"/>
        <c:noMultiLvlLbl val="0"/>
      </c:catAx>
      <c:valAx>
        <c:axId val="-101303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013034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CONFORT</c:v>
                </c:pt>
                <c:pt idx="1">
                  <c:v>ESSENTIELLE</c:v>
                </c:pt>
                <c:pt idx="2">
                  <c:v>PRIVILEGE</c:v>
                </c:pt>
              </c:strCache>
            </c:strRef>
          </c:cat>
          <c:val>
            <c:numRef>
              <c:f>'DONNEES GRAPHIQUE'!$E$3:$E$5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01-4AD5-BC80-B17E1F31113F}"/>
            </c:ext>
          </c:extLst>
        </c:ser>
        <c:ser>
          <c:idx val="1"/>
          <c:order val="1"/>
          <c:tx>
            <c:v>2016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CONFORT</c:v>
                </c:pt>
                <c:pt idx="1">
                  <c:v>ESSENTIELLE</c:v>
                </c:pt>
                <c:pt idx="2">
                  <c:v>PRIVILEGE</c:v>
                </c:pt>
              </c:strCache>
            </c:strRef>
          </c:cat>
          <c:val>
            <c:numRef>
              <c:f>'DONNEES GRAPHIQUE'!$F$3:$F$5</c:f>
              <c:numCache>
                <c:formatCode>General</c:formatCode>
                <c:ptCount val="3"/>
                <c:pt idx="0">
                  <c:v>21</c:v>
                </c:pt>
                <c:pt idx="1">
                  <c:v>13</c:v>
                </c:pt>
                <c:pt idx="2">
                  <c:v>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201-4AD5-BC80-B17E1F3111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013050976"/>
        <c:axId val="-1013033024"/>
      </c:barChart>
      <c:catAx>
        <c:axId val="-101305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013033024"/>
        <c:crosses val="autoZero"/>
        <c:auto val="1"/>
        <c:lblAlgn val="ctr"/>
        <c:lblOffset val="100"/>
        <c:noMultiLvlLbl val="0"/>
      </c:catAx>
      <c:valAx>
        <c:axId val="-101303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013050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CONFORT</c:v>
                </c:pt>
                <c:pt idx="1">
                  <c:v>ESSENTIELLE</c:v>
                </c:pt>
                <c:pt idx="2">
                  <c:v>PRIVILEGE</c:v>
                </c:pt>
              </c:strCache>
            </c:strRef>
          </c:cat>
          <c:val>
            <c:numRef>
              <c:f>'DONNEES GRAPHIQUE'!$G$3:$G$5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21-4613-91BF-E36FBDB9F822}"/>
            </c:ext>
          </c:extLst>
        </c:ser>
        <c:ser>
          <c:idx val="1"/>
          <c:order val="1"/>
          <c:tx>
            <c:v>2016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CONFORT</c:v>
                </c:pt>
                <c:pt idx="1">
                  <c:v>ESSENTIELLE</c:v>
                </c:pt>
                <c:pt idx="2">
                  <c:v>PRIVILEGE</c:v>
                </c:pt>
              </c:strCache>
            </c:strRef>
          </c:cat>
          <c:val>
            <c:numRef>
              <c:f>'DONNEES GRAPHIQUE'!$H$3:$H$5</c:f>
              <c:numCache>
                <c:formatCode>General</c:formatCode>
                <c:ptCount val="3"/>
                <c:pt idx="0">
                  <c:v>0.1216</c:v>
                </c:pt>
                <c:pt idx="1">
                  <c:v>1.9199999999999998E-2</c:v>
                </c:pt>
                <c:pt idx="2">
                  <c:v>0.1197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E21-4613-91BF-E36FBDB9F8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013028672"/>
        <c:axId val="-1013050432"/>
      </c:barChart>
      <c:catAx>
        <c:axId val="-101302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013050432"/>
        <c:crosses val="autoZero"/>
        <c:auto val="1"/>
        <c:lblAlgn val="ctr"/>
        <c:lblOffset val="100"/>
        <c:noMultiLvlLbl val="0"/>
      </c:catAx>
      <c:valAx>
        <c:axId val="-101305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013028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CONFORT</c:v>
                </c:pt>
                <c:pt idx="1">
                  <c:v>ESSENTIELLE</c:v>
                </c:pt>
                <c:pt idx="2">
                  <c:v>PRIVILEGE</c:v>
                </c:pt>
              </c:strCache>
            </c:strRef>
          </c:cat>
          <c:val>
            <c:numRef>
              <c:f>'DONNEES GRAPHIQUE'!$I$3:$I$5</c:f>
              <c:numCache>
                <c:formatCode>#\ 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BF9-422A-982D-2EFE8DA09FAC}"/>
            </c:ext>
          </c:extLst>
        </c:ser>
        <c:ser>
          <c:idx val="1"/>
          <c:order val="1"/>
          <c:tx>
            <c:v>2016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CONFORT</c:v>
                </c:pt>
                <c:pt idx="1">
                  <c:v>ESSENTIELLE</c:v>
                </c:pt>
                <c:pt idx="2">
                  <c:v>PRIVILEGE</c:v>
                </c:pt>
              </c:strCache>
            </c:strRef>
          </c:cat>
          <c:val>
            <c:numRef>
              <c:f>'DONNEES GRAPHIQUE'!$J$3:$J$5</c:f>
              <c:numCache>
                <c:formatCode>#\ ##0\ "€"</c:formatCode>
                <c:ptCount val="3"/>
                <c:pt idx="0">
                  <c:v>3628.1600000000003</c:v>
                </c:pt>
                <c:pt idx="1">
                  <c:v>1858.1899999999998</c:v>
                </c:pt>
                <c:pt idx="2">
                  <c:v>4734.6899999999996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BF9-422A-982D-2EFE8DA09F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013049888"/>
        <c:axId val="-1013042272"/>
      </c:barChart>
      <c:catAx>
        <c:axId val="-101304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013042272"/>
        <c:crosses val="autoZero"/>
        <c:auto val="1"/>
        <c:lblAlgn val="ctr"/>
        <c:lblOffset val="100"/>
        <c:noMultiLvlLbl val="0"/>
      </c:catAx>
      <c:valAx>
        <c:axId val="-1013042272"/>
        <c:scaling>
          <c:orientation val="minMax"/>
        </c:scaling>
        <c:delete val="0"/>
        <c:axPos val="l"/>
        <c:majorGridlines/>
        <c:numFmt formatCode="#\ ##0\ &quot;€&quot;" sourceLinked="1"/>
        <c:majorTickMark val="out"/>
        <c:minorTickMark val="none"/>
        <c:tickLblPos val="nextTo"/>
        <c:crossAx val="-1013049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xmlns="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9272C915-49D3-4390-AB42-E57B0BDF2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4E3B8B65-0E92-4A89-973F-E44ACEABFB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xmlns="" id="{602B51E1-6FDF-4244-85EF-8538C7C76C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50604A60-835F-474A-B98D-B7D705962F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V12" sqref="V12"/>
    </sheetView>
  </sheetViews>
  <sheetFormatPr defaultColWidth="11.42578125" defaultRowHeight="15"/>
  <cols>
    <col min="1" max="1" width="2.85546875" style="2" customWidth="1"/>
    <col min="2" max="2" width="4.28515625" style="2" customWidth="1"/>
    <col min="3" max="3" width="11.42578125" style="2" customWidth="1"/>
    <col min="4" max="4" width="15.28515625" style="2" customWidth="1"/>
    <col min="5" max="9" width="11.42578125" style="2" customWidth="1"/>
    <col min="10" max="11" width="22.85546875" style="2" customWidth="1"/>
    <col min="12" max="18" width="11.42578125" style="2" customWidth="1"/>
    <col min="19" max="19" width="4.28515625" style="2" customWidth="1"/>
    <col min="20" max="20" width="2.85546875" style="2" customWidth="1"/>
    <col min="21" max="29" width="11.42578125" style="2" customWidth="1"/>
    <col min="30" max="16384" width="11.42578125" style="2"/>
  </cols>
  <sheetData>
    <row r="1" spans="2:31">
      <c r="AD1" s="2" t="s">
        <v>0</v>
      </c>
      <c r="AE1" s="2" t="s">
        <v>1</v>
      </c>
    </row>
    <row r="2" spans="2:3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5"/>
      <c r="AD2" s="2" t="s">
        <v>2</v>
      </c>
      <c r="AE2" s="2" t="s">
        <v>2</v>
      </c>
    </row>
    <row r="3" spans="2:31">
      <c r="B3" s="6"/>
      <c r="S3" s="7"/>
    </row>
    <row r="4" spans="2:31">
      <c r="B4" s="6"/>
      <c r="S4" s="7"/>
    </row>
    <row r="5" spans="2:31">
      <c r="B5" s="6"/>
      <c r="S5" s="7"/>
    </row>
    <row r="6" spans="2:31">
      <c r="B6" s="6"/>
      <c r="S6" s="7"/>
    </row>
    <row r="7" spans="2:31">
      <c r="B7" s="6"/>
      <c r="S7" s="7"/>
    </row>
    <row r="8" spans="2:31">
      <c r="B8" s="6"/>
      <c r="S8" s="7"/>
    </row>
    <row r="9" spans="2:31" ht="45">
      <c r="B9" s="6"/>
      <c r="C9" s="50" t="s">
        <v>3</v>
      </c>
      <c r="D9" s="8"/>
      <c r="E9" s="8"/>
      <c r="F9" s="8"/>
      <c r="G9" s="8"/>
      <c r="H9" s="8"/>
      <c r="I9" s="8"/>
      <c r="S9" s="7"/>
    </row>
    <row r="10" spans="2:31" ht="45">
      <c r="B10" s="6"/>
      <c r="C10" s="50" t="s">
        <v>4</v>
      </c>
      <c r="D10" s="8"/>
      <c r="E10" s="8"/>
      <c r="F10" s="8"/>
      <c r="G10" s="8"/>
      <c r="H10" s="8"/>
      <c r="I10" s="8"/>
      <c r="S10" s="7"/>
    </row>
    <row r="11" spans="2:31">
      <c r="B11" s="6"/>
      <c r="C11" s="8"/>
      <c r="D11" s="8"/>
      <c r="E11" s="8"/>
      <c r="F11" s="8"/>
      <c r="G11" s="8"/>
      <c r="H11" s="8"/>
      <c r="I11" s="8"/>
      <c r="S11" s="7"/>
    </row>
    <row r="12" spans="2:31" ht="15" customHeight="1">
      <c r="B12" s="6"/>
      <c r="C12" s="8"/>
      <c r="D12" s="8"/>
      <c r="E12" s="8"/>
      <c r="F12" s="8"/>
      <c r="G12" s="8"/>
      <c r="H12" s="8"/>
      <c r="I12" s="8"/>
      <c r="J12" s="9"/>
      <c r="S12" s="7"/>
    </row>
    <row r="13" spans="2:31" ht="90" customHeight="1">
      <c r="B13" s="10"/>
      <c r="C13" s="81" t="s">
        <v>110</v>
      </c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11"/>
      <c r="W13" s="12"/>
      <c r="X13" s="12"/>
    </row>
    <row r="14" spans="2:31">
      <c r="B14" s="6"/>
      <c r="C14" s="8"/>
      <c r="D14" s="8"/>
      <c r="E14" s="8"/>
      <c r="F14" s="8"/>
      <c r="G14" s="8"/>
      <c r="H14" s="8"/>
      <c r="I14" s="8"/>
      <c r="S14" s="7"/>
      <c r="W14" s="12"/>
      <c r="X14" s="12"/>
    </row>
    <row r="15" spans="2:31">
      <c r="B15" s="6"/>
      <c r="C15" s="8"/>
      <c r="D15" s="8"/>
      <c r="E15" s="8"/>
      <c r="F15" s="8"/>
      <c r="G15" s="8"/>
      <c r="H15" s="8"/>
      <c r="I15" s="8"/>
      <c r="S15" s="7"/>
      <c r="W15" s="12"/>
    </row>
    <row r="16" spans="2:31">
      <c r="B16" s="6"/>
      <c r="S16" s="7"/>
      <c r="W16" s="12"/>
      <c r="X16" s="12"/>
    </row>
    <row r="17" spans="1:24">
      <c r="B17" s="6"/>
      <c r="S17" s="7"/>
      <c r="W17" s="12"/>
      <c r="X17" s="12"/>
    </row>
    <row r="18" spans="1:24">
      <c r="B18" s="6"/>
      <c r="S18" s="7"/>
      <c r="W18" s="12"/>
      <c r="X18" s="12"/>
    </row>
    <row r="19" spans="1:24" s="16" customFormat="1" ht="67.5" customHeight="1">
      <c r="A19" s="12"/>
      <c r="B19" s="13"/>
      <c r="C19" s="14"/>
      <c r="D19" s="51"/>
      <c r="F19" s="14" t="s">
        <v>5</v>
      </c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17"/>
    </row>
    <row r="20" spans="1:24" s="16" customFormat="1" ht="67.5" customHeight="1">
      <c r="A20" s="12"/>
      <c r="B20" s="13"/>
      <c r="C20" s="14"/>
      <c r="D20" s="51"/>
      <c r="F20" s="18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7"/>
    </row>
    <row r="21" spans="1:24">
      <c r="B21" s="6"/>
      <c r="C21" s="8"/>
      <c r="D21" s="19"/>
      <c r="E21" s="8"/>
      <c r="F21" s="8"/>
      <c r="G21" s="8"/>
      <c r="H21" s="8"/>
      <c r="I21" s="8"/>
      <c r="S21" s="7"/>
    </row>
    <row r="22" spans="1:24" s="9" customFormat="1" ht="33.75">
      <c r="A22" s="2"/>
      <c r="B22" s="20"/>
      <c r="C22" s="14"/>
      <c r="D22" s="52" t="s">
        <v>6</v>
      </c>
      <c r="E22" s="14"/>
      <c r="G22" s="14"/>
      <c r="H22" s="53" t="s">
        <v>111</v>
      </c>
      <c r="I22" s="21"/>
      <c r="S22" s="22"/>
    </row>
    <row r="23" spans="1:24" s="9" customFormat="1" ht="33.75">
      <c r="A23" s="2"/>
      <c r="B23" s="20"/>
      <c r="C23" s="14"/>
      <c r="D23" s="52" t="s">
        <v>7</v>
      </c>
      <c r="E23" s="14"/>
      <c r="F23" s="14"/>
      <c r="H23" s="14"/>
      <c r="J23" s="53" t="s">
        <v>112</v>
      </c>
      <c r="S23" s="22"/>
    </row>
    <row r="24" spans="1:24">
      <c r="B24" s="6"/>
      <c r="S24" s="7"/>
    </row>
    <row r="25" spans="1:24">
      <c r="B25" s="6"/>
      <c r="S25" s="7"/>
    </row>
    <row r="26" spans="1:24" ht="15" hidden="1" customHeight="1">
      <c r="B26" s="6"/>
      <c r="S26" s="7"/>
    </row>
    <row r="27" spans="1:24" ht="15" hidden="1" customHeight="1">
      <c r="B27" s="6"/>
      <c r="S27" s="7"/>
    </row>
    <row r="28" spans="1:24">
      <c r="B28" s="6"/>
      <c r="S28" s="7"/>
    </row>
    <row r="29" spans="1:24">
      <c r="B29" s="6"/>
      <c r="S29" s="7"/>
    </row>
    <row r="30" spans="1:24" hidden="1">
      <c r="B30" s="6"/>
      <c r="S30" s="7"/>
    </row>
    <row r="31" spans="1:24" hidden="1">
      <c r="B31" s="6"/>
      <c r="S31" s="7"/>
    </row>
    <row r="32" spans="1:24" hidden="1">
      <c r="B32" s="6"/>
      <c r="S32" s="7"/>
    </row>
    <row r="33" spans="2:19">
      <c r="B33" s="6"/>
      <c r="S33" s="7"/>
    </row>
    <row r="34" spans="2:19" hidden="1">
      <c r="B34" s="6"/>
      <c r="S34" s="7"/>
    </row>
    <row r="35" spans="2:19" hidden="1">
      <c r="B35" s="6"/>
      <c r="S35" s="7"/>
    </row>
    <row r="36" spans="2:19" hidden="1">
      <c r="B36" s="6"/>
      <c r="S36" s="7"/>
    </row>
    <row r="37" spans="2:19" hidden="1">
      <c r="B37" s="6"/>
      <c r="S37" s="7"/>
    </row>
    <row r="38" spans="2:19">
      <c r="B38" s="6"/>
      <c r="S38" s="7"/>
    </row>
    <row r="39" spans="2:19">
      <c r="B39" s="6"/>
      <c r="S39" s="7"/>
    </row>
    <row r="40" spans="2:19" ht="7.5" customHeight="1">
      <c r="B40" s="6"/>
      <c r="S40" s="7"/>
    </row>
    <row r="41" spans="2:19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5"/>
    </row>
  </sheetData>
  <mergeCells count="2">
    <mergeCell ref="C13:R13"/>
    <mergeCell ref="G19:R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9" tint="-0.499984740745262"/>
    <pageSetUpPr fitToPage="1"/>
  </sheetPr>
  <dimension ref="A1:N113"/>
  <sheetViews>
    <sheetView showGridLines="0" zoomScale="70" zoomScaleNormal="70" workbookViewId="0">
      <selection activeCell="O7" sqref="O7"/>
    </sheetView>
  </sheetViews>
  <sheetFormatPr defaultColWidth="21" defaultRowHeight="15"/>
  <cols>
    <col min="1" max="1" width="4.85546875" style="29" customWidth="1"/>
    <col min="2" max="4" width="21" style="29" customWidth="1"/>
    <col min="5" max="5" width="28.42578125" style="29" customWidth="1"/>
    <col min="6" max="6" width="25.28515625" style="29" customWidth="1"/>
    <col min="7" max="8" width="21" style="29" customWidth="1"/>
    <col min="9" max="9" width="26.42578125" style="29" customWidth="1"/>
    <col min="10" max="10" width="28.7109375" style="29" customWidth="1"/>
    <col min="11" max="11" width="20.42578125" style="29" customWidth="1"/>
    <col min="12" max="12" width="21" style="29" customWidth="1"/>
    <col min="13" max="13" width="3.85546875" style="29" customWidth="1"/>
    <col min="14" max="14" width="21" style="29" customWidth="1"/>
    <col min="15" max="16384" width="21" style="29"/>
  </cols>
  <sheetData>
    <row r="1" spans="1:14"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</row>
    <row r="3" spans="1:14" ht="42" customHeight="1">
      <c r="B3" s="87" t="s">
        <v>8</v>
      </c>
      <c r="C3" s="88"/>
      <c r="D3" s="88"/>
      <c r="E3" s="88"/>
      <c r="F3" s="88"/>
      <c r="G3" s="88"/>
      <c r="H3" s="88"/>
      <c r="I3" s="88"/>
      <c r="J3" s="88"/>
      <c r="K3" s="88"/>
      <c r="L3" s="89"/>
    </row>
    <row r="4" spans="1:14" ht="39" customHeight="1">
      <c r="A4" s="30"/>
      <c r="B4" s="48" t="s">
        <v>9</v>
      </c>
      <c r="C4" s="49" t="str">
        <f>'Page de garde'!J23</f>
        <v>31 décembre 2016</v>
      </c>
      <c r="D4" s="30"/>
      <c r="E4" s="31"/>
      <c r="F4" s="31"/>
      <c r="G4" s="31"/>
      <c r="H4" s="31"/>
      <c r="I4" s="31"/>
      <c r="J4" s="31"/>
      <c r="K4" s="30"/>
      <c r="L4" s="30"/>
      <c r="M4" s="32"/>
    </row>
    <row r="5" spans="1:14" ht="56.25" customHeight="1">
      <c r="A5" s="30"/>
      <c r="B5" s="33"/>
      <c r="C5" s="46" t="s">
        <v>10</v>
      </c>
      <c r="D5" s="46" t="s">
        <v>11</v>
      </c>
      <c r="E5" s="46" t="s">
        <v>12</v>
      </c>
      <c r="F5" s="46" t="s">
        <v>13</v>
      </c>
      <c r="G5" s="46" t="s">
        <v>14</v>
      </c>
      <c r="H5" s="46" t="s">
        <v>15</v>
      </c>
      <c r="I5" s="46" t="s">
        <v>16</v>
      </c>
      <c r="J5" s="46" t="s">
        <v>114</v>
      </c>
      <c r="K5" s="46" t="s">
        <v>17</v>
      </c>
      <c r="L5" s="46" t="s">
        <v>18</v>
      </c>
      <c r="M5" s="32"/>
      <c r="N5" s="80"/>
    </row>
    <row r="6" spans="1:14" ht="8.25" customHeight="1">
      <c r="A6" s="30"/>
      <c r="B6" s="30"/>
      <c r="C6" s="30"/>
      <c r="D6" s="30"/>
      <c r="E6" s="30"/>
      <c r="F6" s="30"/>
      <c r="G6" s="30"/>
      <c r="H6" s="30"/>
      <c r="M6" s="32"/>
    </row>
    <row r="7" spans="1:14" ht="20.25">
      <c r="B7" s="47">
        <v>2016</v>
      </c>
      <c r="C7" s="34">
        <v>453.58</v>
      </c>
      <c r="D7" s="34">
        <v>729.04</v>
      </c>
      <c r="E7" s="34">
        <v>14352.16</v>
      </c>
      <c r="F7" s="35">
        <v>0.2054</v>
      </c>
      <c r="G7" s="34">
        <v>11403.66</v>
      </c>
      <c r="H7" s="36">
        <v>0.1037</v>
      </c>
      <c r="I7" s="34">
        <v>10221.040000000001</v>
      </c>
      <c r="J7" s="77">
        <v>3</v>
      </c>
      <c r="K7" s="77">
        <v>81</v>
      </c>
      <c r="L7" s="78">
        <v>2.7</v>
      </c>
      <c r="M7" s="32"/>
      <c r="N7" s="80"/>
    </row>
    <row r="8" spans="1:14" ht="8.25" customHeight="1">
      <c r="B8" s="37"/>
      <c r="C8" s="38"/>
      <c r="D8" s="38"/>
      <c r="E8" s="39"/>
      <c r="F8" s="39"/>
      <c r="G8" s="39"/>
      <c r="H8" s="40"/>
      <c r="I8" s="66"/>
      <c r="J8" s="79"/>
      <c r="K8" s="79"/>
      <c r="L8" s="79"/>
      <c r="M8" s="32"/>
    </row>
    <row r="9" spans="1:14" ht="20.25">
      <c r="B9" s="47"/>
      <c r="C9" s="34"/>
      <c r="D9" s="34"/>
      <c r="E9" s="34"/>
      <c r="F9" s="35"/>
      <c r="G9" s="34"/>
      <c r="H9" s="36"/>
      <c r="I9" s="34"/>
      <c r="J9" s="77"/>
      <c r="K9" s="77"/>
      <c r="L9" s="78"/>
      <c r="M9" s="32"/>
    </row>
    <row r="10" spans="1:14">
      <c r="B10" s="41" t="s">
        <v>19</v>
      </c>
    </row>
    <row r="11" spans="1:14">
      <c r="B11" s="41"/>
    </row>
    <row r="12" spans="1:14">
      <c r="B12" s="41"/>
    </row>
    <row r="13" spans="1:14">
      <c r="B13" s="41"/>
    </row>
    <row r="14" spans="1:14">
      <c r="B14" s="41"/>
    </row>
    <row r="15" spans="1:14">
      <c r="B15" s="41"/>
    </row>
    <row r="16" spans="1:14">
      <c r="B16" s="41"/>
    </row>
    <row r="17" spans="2:2">
      <c r="B17" s="41"/>
    </row>
    <row r="18" spans="2:2">
      <c r="B18" s="41"/>
    </row>
    <row r="19" spans="2:2">
      <c r="B19" s="41"/>
    </row>
    <row r="20" spans="2:2">
      <c r="B20" s="41"/>
    </row>
    <row r="21" spans="2:2">
      <c r="B21" s="41"/>
    </row>
    <row r="22" spans="2:2">
      <c r="B22" s="41"/>
    </row>
    <row r="23" spans="2:2">
      <c r="B23" s="41"/>
    </row>
    <row r="24" spans="2:2">
      <c r="B24" s="41"/>
    </row>
    <row r="25" spans="2:2">
      <c r="B25" s="41"/>
    </row>
    <row r="26" spans="2:2">
      <c r="B26" s="41"/>
    </row>
    <row r="27" spans="2:2">
      <c r="B27" s="41"/>
    </row>
    <row r="28" spans="2:2">
      <c r="B28" s="41"/>
    </row>
    <row r="29" spans="2:2">
      <c r="B29" s="41"/>
    </row>
    <row r="30" spans="2:2">
      <c r="B30" s="41"/>
    </row>
    <row r="31" spans="2:2">
      <c r="B31" s="41"/>
    </row>
    <row r="32" spans="2:2">
      <c r="B32" s="41"/>
    </row>
    <row r="96" spans="2:12" ht="18.75">
      <c r="B96" s="83" t="s">
        <v>108</v>
      </c>
      <c r="C96" s="83"/>
      <c r="D96" s="83"/>
      <c r="E96" s="83"/>
      <c r="F96" s="83"/>
      <c r="G96" s="83"/>
      <c r="H96" s="83"/>
      <c r="I96" s="83"/>
      <c r="J96" s="83"/>
      <c r="K96" s="83"/>
      <c r="L96" s="83"/>
    </row>
    <row r="97" spans="2:12" ht="5.25" customHeight="1"/>
    <row r="98" spans="2:12" ht="23.25">
      <c r="B98" s="84"/>
      <c r="C98" s="84"/>
      <c r="D98" s="84"/>
      <c r="E98" s="84"/>
      <c r="F98" s="84"/>
      <c r="G98" s="85">
        <v>2016</v>
      </c>
      <c r="H98" s="85"/>
      <c r="I98" s="85"/>
      <c r="J98" s="85"/>
      <c r="K98" s="85"/>
      <c r="L98" s="85"/>
    </row>
    <row r="99" spans="2:12" ht="41.25" customHeight="1">
      <c r="B99" s="42" t="s">
        <v>20</v>
      </c>
      <c r="C99" s="42" t="s">
        <v>21</v>
      </c>
      <c r="D99" s="42" t="s">
        <v>22</v>
      </c>
      <c r="E99" s="42" t="s">
        <v>23</v>
      </c>
      <c r="F99" s="42" t="s">
        <v>24</v>
      </c>
      <c r="G99" s="42" t="s">
        <v>20</v>
      </c>
      <c r="H99" s="42" t="s">
        <v>21</v>
      </c>
      <c r="I99" s="42" t="s">
        <v>22</v>
      </c>
      <c r="J99" s="42" t="s">
        <v>23</v>
      </c>
      <c r="K99" s="42" t="s">
        <v>24</v>
      </c>
      <c r="L99" s="42" t="s">
        <v>113</v>
      </c>
    </row>
    <row r="100" spans="2:12">
      <c r="B100" s="43"/>
      <c r="C100" s="43"/>
      <c r="D100" s="43"/>
      <c r="E100" s="43"/>
      <c r="F100" s="76"/>
      <c r="G100" s="43"/>
      <c r="H100" s="43" t="s">
        <v>72</v>
      </c>
      <c r="I100" s="43" t="s">
        <v>35</v>
      </c>
      <c r="J100" s="44">
        <v>22</v>
      </c>
      <c r="K100" s="76">
        <v>-190.99</v>
      </c>
      <c r="L100" s="45" t="s">
        <v>73</v>
      </c>
    </row>
    <row r="101" spans="2:12" s="64" customFormat="1">
      <c r="B101" s="43"/>
      <c r="C101" s="43"/>
      <c r="D101" s="43"/>
      <c r="E101" s="43"/>
      <c r="F101" s="76"/>
      <c r="G101" s="43"/>
      <c r="H101" s="43" t="s">
        <v>78</v>
      </c>
      <c r="I101" s="43" t="s">
        <v>33</v>
      </c>
      <c r="J101" s="44">
        <v>6</v>
      </c>
      <c r="K101" s="76">
        <v>-91.26</v>
      </c>
      <c r="L101" s="45" t="s">
        <v>79</v>
      </c>
    </row>
    <row r="102" spans="2:12" s="64" customFormat="1">
      <c r="B102" s="43"/>
      <c r="C102" s="43"/>
      <c r="D102" s="43"/>
      <c r="E102" s="43"/>
      <c r="F102" s="76"/>
      <c r="G102" s="43"/>
      <c r="H102" s="43" t="s">
        <v>70</v>
      </c>
      <c r="I102" s="43" t="s">
        <v>35</v>
      </c>
      <c r="J102" s="44">
        <v>11</v>
      </c>
      <c r="K102" s="76">
        <v>-77.31</v>
      </c>
      <c r="L102" s="45" t="s">
        <v>71</v>
      </c>
    </row>
    <row r="103" spans="2:12" s="64" customFormat="1">
      <c r="B103" s="43"/>
      <c r="C103" s="43"/>
      <c r="D103" s="43"/>
      <c r="E103" s="43"/>
      <c r="F103" s="76"/>
      <c r="G103" s="43"/>
      <c r="H103" s="43" t="s">
        <v>82</v>
      </c>
      <c r="I103" s="43" t="s">
        <v>33</v>
      </c>
      <c r="J103" s="44">
        <v>11</v>
      </c>
      <c r="K103" s="76">
        <v>-76.2</v>
      </c>
      <c r="L103" s="45" t="s">
        <v>83</v>
      </c>
    </row>
    <row r="106" spans="2:12" s="64" customFormat="1" ht="18.75">
      <c r="B106" s="83" t="s">
        <v>109</v>
      </c>
      <c r="C106" s="83"/>
      <c r="D106" s="83"/>
      <c r="E106" s="83"/>
      <c r="F106" s="83"/>
      <c r="G106" s="83"/>
      <c r="H106" s="83"/>
      <c r="I106" s="83"/>
      <c r="J106" s="83"/>
      <c r="K106" s="83"/>
      <c r="L106" s="83"/>
    </row>
    <row r="107" spans="2:12" s="64" customFormat="1" ht="5.25" customHeight="1"/>
    <row r="108" spans="2:12" s="64" customFormat="1" ht="23.25">
      <c r="B108" s="84"/>
      <c r="C108" s="84"/>
      <c r="D108" s="84"/>
      <c r="E108" s="84"/>
      <c r="F108" s="84"/>
      <c r="G108" s="85">
        <v>2016</v>
      </c>
      <c r="H108" s="85"/>
      <c r="I108" s="85"/>
      <c r="J108" s="85"/>
      <c r="K108" s="85"/>
      <c r="L108" s="85"/>
    </row>
    <row r="109" spans="2:12" s="64" customFormat="1" ht="41.25" customHeight="1">
      <c r="B109" s="42" t="s">
        <v>20</v>
      </c>
      <c r="C109" s="42" t="s">
        <v>21</v>
      </c>
      <c r="D109" s="42" t="s">
        <v>22</v>
      </c>
      <c r="E109" s="42" t="s">
        <v>23</v>
      </c>
      <c r="F109" s="42" t="s">
        <v>26</v>
      </c>
      <c r="G109" s="42" t="s">
        <v>20</v>
      </c>
      <c r="H109" s="42" t="s">
        <v>21</v>
      </c>
      <c r="I109" s="42" t="s">
        <v>22</v>
      </c>
      <c r="J109" s="42" t="s">
        <v>23</v>
      </c>
      <c r="K109" s="42" t="s">
        <v>26</v>
      </c>
      <c r="L109" s="42" t="s">
        <v>113</v>
      </c>
    </row>
    <row r="110" spans="2:12" s="64" customFormat="1">
      <c r="B110" s="43"/>
      <c r="C110" s="43"/>
      <c r="D110" s="43"/>
      <c r="E110" s="43"/>
      <c r="F110" s="76"/>
      <c r="G110" s="43"/>
      <c r="H110" s="43" t="s">
        <v>95</v>
      </c>
      <c r="I110" s="43"/>
      <c r="J110" s="44">
        <v>11</v>
      </c>
      <c r="K110" s="76">
        <v>4448.24</v>
      </c>
      <c r="L110" s="45"/>
    </row>
    <row r="111" spans="2:12" s="64" customFormat="1">
      <c r="B111" s="43"/>
      <c r="C111" s="43"/>
      <c r="D111" s="43"/>
      <c r="E111" s="43"/>
      <c r="F111" s="76"/>
      <c r="G111" s="43"/>
      <c r="H111" s="43" t="s">
        <v>85</v>
      </c>
      <c r="I111" s="43"/>
      <c r="J111" s="44">
        <v>11</v>
      </c>
      <c r="K111" s="76">
        <v>987.04</v>
      </c>
      <c r="L111" s="45"/>
    </row>
    <row r="112" spans="2:12" s="64" customFormat="1">
      <c r="B112" s="43"/>
      <c r="C112" s="43"/>
      <c r="D112" s="43"/>
      <c r="E112" s="43"/>
      <c r="F112" s="76"/>
      <c r="G112" s="43"/>
      <c r="H112" s="43" t="s">
        <v>88</v>
      </c>
      <c r="I112" s="43"/>
      <c r="J112" s="44">
        <v>11</v>
      </c>
      <c r="K112" s="76">
        <v>930.3</v>
      </c>
      <c r="L112" s="45"/>
    </row>
    <row r="113" spans="2:12" s="64" customFormat="1">
      <c r="B113" s="43"/>
      <c r="C113" s="43"/>
      <c r="D113" s="43"/>
      <c r="E113" s="43"/>
      <c r="F113" s="76"/>
      <c r="G113" s="43"/>
      <c r="H113" s="43" t="s">
        <v>94</v>
      </c>
      <c r="I113" s="43"/>
      <c r="J113" s="44">
        <v>11</v>
      </c>
      <c r="K113" s="76">
        <v>756.1</v>
      </c>
      <c r="L113" s="45"/>
    </row>
  </sheetData>
  <mergeCells count="8">
    <mergeCell ref="B106:L106"/>
    <mergeCell ref="B108:F108"/>
    <mergeCell ref="G108:L108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5"/>
  <sheetViews>
    <sheetView tabSelected="1" zoomScale="70" zoomScaleNormal="70" workbookViewId="0">
      <selection activeCell="D16" sqref="D16"/>
    </sheetView>
  </sheetViews>
  <sheetFormatPr defaultColWidth="11.42578125" defaultRowHeight="15"/>
  <cols>
    <col min="1" max="1" width="16.85546875" customWidth="1"/>
    <col min="2" max="2" width="30.5703125" customWidth="1"/>
    <col min="3" max="3" width="19.7109375" bestFit="1" customWidth="1"/>
    <col min="4" max="4" width="19.7109375" style="29" customWidth="1"/>
    <col min="5" max="5" width="16.140625" customWidth="1"/>
    <col min="6" max="6" width="16.140625" style="29" customWidth="1"/>
    <col min="7" max="7" width="16.140625" customWidth="1"/>
    <col min="8" max="8" width="20.42578125" style="29" bestFit="1" customWidth="1"/>
    <col min="9" max="10" width="16.140625" style="68" customWidth="1"/>
    <col min="14" max="14" width="14" customWidth="1"/>
    <col min="15" max="15" width="12.85546875" bestFit="1" customWidth="1"/>
  </cols>
  <sheetData>
    <row r="1" spans="1:10" s="67" customFormat="1" ht="31.5" customHeight="1">
      <c r="C1" s="90" t="s">
        <v>115</v>
      </c>
      <c r="D1" s="91"/>
      <c r="E1" s="90" t="s">
        <v>28</v>
      </c>
      <c r="F1" s="91"/>
      <c r="G1" s="90" t="s">
        <v>29</v>
      </c>
      <c r="H1" s="91"/>
      <c r="I1" s="92" t="s">
        <v>30</v>
      </c>
      <c r="J1" s="93"/>
    </row>
    <row r="2" spans="1:10" s="29" customFormat="1" ht="15.75">
      <c r="A2" s="54" t="s">
        <v>31</v>
      </c>
      <c r="B2" s="54" t="s">
        <v>32</v>
      </c>
      <c r="C2" s="65"/>
      <c r="D2" s="65">
        <v>2016</v>
      </c>
      <c r="E2" s="65"/>
      <c r="F2" s="65">
        <v>2016</v>
      </c>
      <c r="G2" s="65"/>
      <c r="H2" s="65">
        <v>2016</v>
      </c>
      <c r="I2" s="65"/>
      <c r="J2" s="65">
        <v>2016</v>
      </c>
    </row>
    <row r="3" spans="1:10">
      <c r="A3" t="s">
        <v>51</v>
      </c>
      <c r="B3" t="s">
        <v>33</v>
      </c>
      <c r="C3">
        <v>0</v>
      </c>
      <c r="D3" s="29">
        <v>1</v>
      </c>
      <c r="E3">
        <v>0</v>
      </c>
      <c r="F3" s="29">
        <v>21</v>
      </c>
      <c r="G3">
        <v>0</v>
      </c>
      <c r="H3" s="29">
        <v>0.1216</v>
      </c>
      <c r="I3" s="68">
        <v>0</v>
      </c>
      <c r="J3" s="68">
        <v>3628.1600000000003</v>
      </c>
    </row>
    <row r="4" spans="1:10">
      <c r="A4" t="s">
        <v>51</v>
      </c>
      <c r="B4" t="s">
        <v>34</v>
      </c>
      <c r="C4">
        <v>0</v>
      </c>
      <c r="D4" s="29">
        <v>1</v>
      </c>
      <c r="E4">
        <v>0</v>
      </c>
      <c r="F4" s="29">
        <v>13</v>
      </c>
      <c r="G4">
        <v>0</v>
      </c>
      <c r="H4" s="29">
        <v>1.9199999999999998E-2</v>
      </c>
      <c r="I4" s="68">
        <v>0</v>
      </c>
      <c r="J4" s="68">
        <v>1858.1899999999998</v>
      </c>
    </row>
    <row r="5" spans="1:10">
      <c r="A5" t="s">
        <v>51</v>
      </c>
      <c r="B5" t="s">
        <v>35</v>
      </c>
      <c r="C5">
        <v>0</v>
      </c>
      <c r="D5" s="29">
        <v>1</v>
      </c>
      <c r="E5">
        <v>0</v>
      </c>
      <c r="F5" s="29">
        <v>47</v>
      </c>
      <c r="G5">
        <v>0</v>
      </c>
      <c r="H5" s="29">
        <v>0.1197</v>
      </c>
      <c r="I5" s="68">
        <v>0</v>
      </c>
      <c r="J5" s="68">
        <v>4734.6899999999996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/>
  <dimension ref="A1:V4"/>
  <sheetViews>
    <sheetView workbookViewId="0">
      <selection activeCell="C28" sqref="C28"/>
    </sheetView>
  </sheetViews>
  <sheetFormatPr defaultColWidth="9.140625" defaultRowHeight="15"/>
  <cols>
    <col min="1" max="1" width="15.28515625" style="60" customWidth="1"/>
    <col min="2" max="2" width="18.28515625" style="60" bestFit="1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4" bestFit="1" customWidth="1"/>
    <col min="17" max="17" width="15.85546875" style="74" customWidth="1"/>
    <col min="18" max="18" width="17.7109375" style="59" customWidth="1"/>
    <col min="19" max="19" width="12.85546875" style="74" bestFit="1" customWidth="1"/>
    <col min="20" max="20" width="13.28515625" style="74" bestFit="1" customWidth="1"/>
    <col min="21" max="21" width="11.7109375" style="74" bestFit="1" customWidth="1"/>
    <col min="22" max="22" width="17.140625" style="64" customWidth="1"/>
    <col min="23" max="23" width="9.140625" style="64" customWidth="1"/>
    <col min="24" max="16384" width="9.140625" style="64"/>
  </cols>
  <sheetData>
    <row r="1" spans="1:22" s="60" customFormat="1" ht="47.25">
      <c r="A1" s="54" t="s">
        <v>31</v>
      </c>
      <c r="B1" s="54" t="s">
        <v>36</v>
      </c>
      <c r="C1" s="54" t="s">
        <v>37</v>
      </c>
      <c r="D1" s="55" t="s">
        <v>10</v>
      </c>
      <c r="E1" s="55" t="s">
        <v>11</v>
      </c>
      <c r="F1" s="55" t="s">
        <v>12</v>
      </c>
      <c r="G1" s="54" t="s">
        <v>38</v>
      </c>
      <c r="H1" s="55" t="s">
        <v>14</v>
      </c>
      <c r="I1" s="56" t="s">
        <v>39</v>
      </c>
      <c r="J1" s="55" t="s">
        <v>40</v>
      </c>
      <c r="K1" s="54" t="s">
        <v>41</v>
      </c>
      <c r="L1" s="55" t="s">
        <v>42</v>
      </c>
      <c r="M1" s="55" t="s">
        <v>43</v>
      </c>
      <c r="N1" s="55" t="s">
        <v>44</v>
      </c>
      <c r="O1" s="57" t="s">
        <v>45</v>
      </c>
      <c r="P1" s="75" t="s">
        <v>27</v>
      </c>
      <c r="Q1" s="75" t="s">
        <v>46</v>
      </c>
      <c r="R1" s="57" t="s">
        <v>32</v>
      </c>
      <c r="S1" s="75" t="s">
        <v>47</v>
      </c>
      <c r="T1" s="75" t="s">
        <v>48</v>
      </c>
      <c r="U1" s="75" t="s">
        <v>49</v>
      </c>
      <c r="V1" s="57" t="s">
        <v>50</v>
      </c>
    </row>
    <row r="2" spans="1:22">
      <c r="A2" s="60" t="s">
        <v>51</v>
      </c>
      <c r="B2" s="60" t="s">
        <v>33</v>
      </c>
      <c r="C2" s="61">
        <v>2016</v>
      </c>
      <c r="D2" s="62">
        <v>192.67</v>
      </c>
      <c r="E2" s="62">
        <v>309.68</v>
      </c>
      <c r="F2" s="62">
        <v>5198.49</v>
      </c>
      <c r="G2" s="61">
        <v>0.2054</v>
      </c>
      <c r="H2" s="62">
        <v>4130.51</v>
      </c>
      <c r="I2" s="63">
        <v>0.1216</v>
      </c>
      <c r="J2" s="62">
        <v>3628.16</v>
      </c>
      <c r="K2" s="60">
        <v>1.6073</v>
      </c>
      <c r="L2" s="62">
        <v>311.58999999999997</v>
      </c>
      <c r="M2" s="62">
        <v>118.92</v>
      </c>
      <c r="N2" s="62">
        <v>0</v>
      </c>
      <c r="O2" s="59">
        <v>42735</v>
      </c>
      <c r="P2" s="74">
        <v>1</v>
      </c>
      <c r="Q2" s="74">
        <v>1</v>
      </c>
      <c r="R2" s="59" t="s">
        <v>52</v>
      </c>
      <c r="S2" s="74">
        <v>12</v>
      </c>
      <c r="T2" s="74">
        <v>9</v>
      </c>
      <c r="U2" s="74">
        <v>0</v>
      </c>
      <c r="V2" s="64" t="s">
        <v>53</v>
      </c>
    </row>
    <row r="3" spans="1:22">
      <c r="A3" s="60" t="s">
        <v>51</v>
      </c>
      <c r="B3" s="60" t="s">
        <v>34</v>
      </c>
      <c r="C3" s="61">
        <v>2016</v>
      </c>
      <c r="D3" s="62">
        <v>13.97</v>
      </c>
      <c r="E3" s="62">
        <v>22.45</v>
      </c>
      <c r="F3" s="62">
        <v>2384.4699999999998</v>
      </c>
      <c r="G3" s="61">
        <v>0.2054</v>
      </c>
      <c r="H3" s="62">
        <v>1894.61</v>
      </c>
      <c r="I3" s="63">
        <v>1.9199999999999998E-2</v>
      </c>
      <c r="J3" s="62">
        <v>1858.19</v>
      </c>
      <c r="K3" s="60">
        <v>1.6073</v>
      </c>
      <c r="L3" s="62">
        <v>39.92</v>
      </c>
      <c r="M3" s="62">
        <v>25.95</v>
      </c>
      <c r="N3" s="62">
        <v>0</v>
      </c>
      <c r="O3" s="59">
        <v>42735</v>
      </c>
      <c r="P3" s="74">
        <v>1</v>
      </c>
      <c r="Q3" s="74">
        <v>1</v>
      </c>
      <c r="R3" s="59" t="s">
        <v>54</v>
      </c>
      <c r="S3" s="74">
        <v>4</v>
      </c>
      <c r="T3" s="74">
        <v>9</v>
      </c>
      <c r="U3" s="74">
        <v>0</v>
      </c>
      <c r="V3" s="64" t="s">
        <v>55</v>
      </c>
    </row>
    <row r="4" spans="1:22">
      <c r="A4" s="60" t="s">
        <v>51</v>
      </c>
      <c r="B4" s="60" t="s">
        <v>35</v>
      </c>
      <c r="C4" s="61">
        <v>2016</v>
      </c>
      <c r="D4" s="62">
        <v>246.94</v>
      </c>
      <c r="E4" s="62">
        <v>396.91</v>
      </c>
      <c r="F4" s="62">
        <v>6769.2</v>
      </c>
      <c r="G4" s="61">
        <v>0.2054</v>
      </c>
      <c r="H4" s="62">
        <v>5378.54</v>
      </c>
      <c r="I4" s="63">
        <v>0.1197</v>
      </c>
      <c r="J4" s="62">
        <v>4734.6899999999996</v>
      </c>
      <c r="K4" s="60">
        <v>1.6073</v>
      </c>
      <c r="L4" s="62">
        <v>575.79999999999995</v>
      </c>
      <c r="M4" s="62">
        <v>264.86</v>
      </c>
      <c r="N4" s="62">
        <v>0</v>
      </c>
      <c r="O4" s="59">
        <v>42735</v>
      </c>
      <c r="P4" s="74">
        <v>1</v>
      </c>
      <c r="Q4" s="74">
        <v>1</v>
      </c>
      <c r="R4" s="59" t="s">
        <v>56</v>
      </c>
      <c r="S4" s="74">
        <v>14</v>
      </c>
      <c r="T4" s="74">
        <v>8</v>
      </c>
      <c r="U4" s="74">
        <v>25</v>
      </c>
      <c r="V4" s="64" t="s">
        <v>57</v>
      </c>
    </row>
  </sheetData>
  <sortState ref="A2:W6">
    <sortCondition ref="B1:B104857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/>
  <dimension ref="A1:V27"/>
  <sheetViews>
    <sheetView topLeftCell="I1" workbookViewId="0">
      <selection activeCell="A2" sqref="A2:W28"/>
    </sheetView>
  </sheetViews>
  <sheetFormatPr defaultColWidth="9.140625" defaultRowHeight="15"/>
  <cols>
    <col min="1" max="1" width="15.28515625" style="60" customWidth="1"/>
    <col min="2" max="2" width="17.5703125" style="60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4" bestFit="1" customWidth="1"/>
    <col min="17" max="17" width="10.5703125" style="74" bestFit="1" customWidth="1"/>
    <col min="18" max="18" width="23" style="58" bestFit="1" customWidth="1"/>
    <col min="19" max="19" width="13.28515625" style="74" bestFit="1" customWidth="1"/>
    <col min="20" max="20" width="11.7109375" style="74" bestFit="1" customWidth="1"/>
    <col min="21" max="21" width="17.28515625" style="74" customWidth="1"/>
    <col min="22" max="22" width="21.7109375" style="60" customWidth="1"/>
    <col min="23" max="23" width="9.140625" style="60" customWidth="1"/>
    <col min="24" max="16384" width="9.140625" style="60"/>
  </cols>
  <sheetData>
    <row r="1" spans="1:22" ht="63">
      <c r="A1" s="69" t="s">
        <v>31</v>
      </c>
      <c r="B1" s="69" t="s">
        <v>58</v>
      </c>
      <c r="C1" s="69" t="s">
        <v>37</v>
      </c>
      <c r="D1" s="70" t="s">
        <v>10</v>
      </c>
      <c r="E1" s="70" t="s">
        <v>11</v>
      </c>
      <c r="F1" s="70" t="s">
        <v>12</v>
      </c>
      <c r="G1" s="69" t="s">
        <v>38</v>
      </c>
      <c r="H1" s="70" t="s">
        <v>14</v>
      </c>
      <c r="I1" s="71" t="s">
        <v>39</v>
      </c>
      <c r="J1" s="70" t="s">
        <v>40</v>
      </c>
      <c r="K1" s="69" t="s">
        <v>41</v>
      </c>
      <c r="L1" s="70" t="s">
        <v>42</v>
      </c>
      <c r="M1" s="70" t="s">
        <v>43</v>
      </c>
      <c r="N1" s="70" t="s">
        <v>44</v>
      </c>
      <c r="O1" s="72" t="s">
        <v>45</v>
      </c>
      <c r="P1" s="73" t="s">
        <v>27</v>
      </c>
      <c r="Q1" s="73" t="s">
        <v>46</v>
      </c>
      <c r="R1" s="72" t="s">
        <v>32</v>
      </c>
      <c r="S1" s="73" t="s">
        <v>47</v>
      </c>
      <c r="T1" s="73" t="s">
        <v>48</v>
      </c>
      <c r="U1" s="73" t="s">
        <v>49</v>
      </c>
      <c r="V1" s="72" t="s">
        <v>50</v>
      </c>
    </row>
    <row r="2" spans="1:22">
      <c r="A2" s="60" t="s">
        <v>59</v>
      </c>
      <c r="B2" s="60" t="s">
        <v>60</v>
      </c>
      <c r="C2" s="61">
        <v>2016</v>
      </c>
      <c r="D2" s="62">
        <v>13.97</v>
      </c>
      <c r="E2" s="62">
        <v>4.24</v>
      </c>
      <c r="F2" s="62">
        <v>0</v>
      </c>
      <c r="G2" s="61">
        <v>0</v>
      </c>
      <c r="H2" s="62">
        <v>0</v>
      </c>
      <c r="I2" s="63">
        <v>0</v>
      </c>
      <c r="J2" s="62">
        <v>-18.21</v>
      </c>
      <c r="K2" s="60">
        <v>0.30370000000000003</v>
      </c>
      <c r="L2" s="62">
        <v>39.92</v>
      </c>
      <c r="M2" s="62">
        <v>25.95</v>
      </c>
      <c r="N2" s="62">
        <v>0</v>
      </c>
      <c r="O2" s="59">
        <v>42735</v>
      </c>
      <c r="P2" s="74">
        <v>1</v>
      </c>
      <c r="Q2" s="74">
        <v>2</v>
      </c>
      <c r="R2" s="58" t="s">
        <v>61</v>
      </c>
      <c r="S2" s="74">
        <v>4</v>
      </c>
      <c r="T2" s="74">
        <v>0</v>
      </c>
      <c r="U2" s="74">
        <v>0</v>
      </c>
      <c r="V2" s="60" t="s">
        <v>55</v>
      </c>
    </row>
    <row r="3" spans="1:22">
      <c r="A3" s="60" t="s">
        <v>59</v>
      </c>
      <c r="B3" s="60" t="s">
        <v>84</v>
      </c>
      <c r="C3" s="61">
        <v>2016</v>
      </c>
      <c r="D3" s="62">
        <v>0</v>
      </c>
      <c r="E3" s="62">
        <v>0</v>
      </c>
      <c r="F3" s="62">
        <v>522.48</v>
      </c>
      <c r="G3" s="61">
        <v>0.2054</v>
      </c>
      <c r="H3" s="62">
        <v>415.14</v>
      </c>
      <c r="I3" s="63">
        <v>0</v>
      </c>
      <c r="J3" s="62">
        <v>415.14</v>
      </c>
      <c r="K3" s="60">
        <v>0.30370000000000003</v>
      </c>
      <c r="L3" s="62">
        <v>0</v>
      </c>
      <c r="M3" s="62">
        <v>0</v>
      </c>
      <c r="N3" s="62">
        <v>0</v>
      </c>
      <c r="O3" s="59">
        <v>42735</v>
      </c>
      <c r="P3" s="74">
        <v>1</v>
      </c>
      <c r="Q3" s="74">
        <v>1</v>
      </c>
      <c r="S3" s="74">
        <v>1</v>
      </c>
      <c r="T3" s="74">
        <v>7</v>
      </c>
      <c r="U3" s="74">
        <v>3</v>
      </c>
    </row>
    <row r="4" spans="1:22">
      <c r="A4" s="60" t="s">
        <v>59</v>
      </c>
      <c r="B4" s="60" t="s">
        <v>62</v>
      </c>
      <c r="C4" s="61">
        <v>2016</v>
      </c>
      <c r="D4" s="62">
        <v>13.11</v>
      </c>
      <c r="E4" s="62">
        <v>3.98</v>
      </c>
      <c r="F4" s="62">
        <v>0</v>
      </c>
      <c r="G4" s="61">
        <v>0</v>
      </c>
      <c r="H4" s="62">
        <v>0</v>
      </c>
      <c r="I4" s="63">
        <v>0</v>
      </c>
      <c r="J4" s="62">
        <v>-17.09</v>
      </c>
      <c r="K4" s="60">
        <v>0.30370000000000003</v>
      </c>
      <c r="L4" s="62">
        <v>43.7</v>
      </c>
      <c r="M4" s="62">
        <v>30.59</v>
      </c>
      <c r="N4" s="62">
        <v>0</v>
      </c>
      <c r="O4" s="59">
        <v>42735</v>
      </c>
      <c r="P4" s="74">
        <v>1</v>
      </c>
      <c r="Q4" s="74">
        <v>1</v>
      </c>
      <c r="R4" s="58" t="s">
        <v>33</v>
      </c>
      <c r="S4" s="74">
        <v>3</v>
      </c>
      <c r="T4" s="74">
        <v>0</v>
      </c>
      <c r="U4" s="74">
        <v>0</v>
      </c>
      <c r="V4" s="60" t="s">
        <v>63</v>
      </c>
    </row>
    <row r="5" spans="1:22">
      <c r="A5" s="60" t="s">
        <v>59</v>
      </c>
      <c r="B5" s="60" t="s">
        <v>64</v>
      </c>
      <c r="C5" s="61">
        <v>2016</v>
      </c>
      <c r="D5" s="62">
        <v>33.200000000000003</v>
      </c>
      <c r="E5" s="62">
        <v>10.08</v>
      </c>
      <c r="F5" s="62">
        <v>0</v>
      </c>
      <c r="G5" s="61">
        <v>0</v>
      </c>
      <c r="H5" s="62">
        <v>0</v>
      </c>
      <c r="I5" s="63">
        <v>0</v>
      </c>
      <c r="J5" s="62">
        <v>-43.28</v>
      </c>
      <c r="K5" s="60">
        <v>0.30370000000000003</v>
      </c>
      <c r="L5" s="62">
        <v>84.95</v>
      </c>
      <c r="M5" s="62">
        <v>51.75</v>
      </c>
      <c r="N5" s="62">
        <v>0</v>
      </c>
      <c r="O5" s="59">
        <v>42735</v>
      </c>
      <c r="P5" s="74">
        <v>1</v>
      </c>
      <c r="Q5" s="74">
        <v>1</v>
      </c>
      <c r="R5" s="58" t="s">
        <v>33</v>
      </c>
      <c r="S5" s="74">
        <v>2</v>
      </c>
      <c r="T5" s="74">
        <v>2</v>
      </c>
      <c r="U5" s="74">
        <v>0</v>
      </c>
      <c r="V5" s="60" t="s">
        <v>65</v>
      </c>
    </row>
    <row r="6" spans="1:22">
      <c r="A6" s="60" t="s">
        <v>59</v>
      </c>
      <c r="B6" s="60" t="s">
        <v>66</v>
      </c>
      <c r="C6" s="61">
        <v>2016</v>
      </c>
      <c r="D6" s="62">
        <v>8.6199999999999992</v>
      </c>
      <c r="E6" s="62">
        <v>2.62</v>
      </c>
      <c r="F6" s="62">
        <v>0</v>
      </c>
      <c r="G6" s="61">
        <v>0</v>
      </c>
      <c r="H6" s="62">
        <v>0</v>
      </c>
      <c r="I6" s="63">
        <v>0</v>
      </c>
      <c r="J6" s="62">
        <v>-11.24</v>
      </c>
      <c r="K6" s="60">
        <v>0.30370000000000003</v>
      </c>
      <c r="L6" s="62">
        <v>54.91</v>
      </c>
      <c r="M6" s="62">
        <v>19.29</v>
      </c>
      <c r="N6" s="62">
        <v>0</v>
      </c>
      <c r="O6" s="59">
        <v>42735</v>
      </c>
      <c r="P6" s="74">
        <v>1</v>
      </c>
      <c r="Q6" s="74">
        <v>1</v>
      </c>
      <c r="R6" s="58" t="s">
        <v>35</v>
      </c>
      <c r="S6" s="74">
        <v>5</v>
      </c>
      <c r="T6" s="74">
        <v>2</v>
      </c>
      <c r="U6" s="74">
        <v>0</v>
      </c>
      <c r="V6" s="60" t="s">
        <v>67</v>
      </c>
    </row>
    <row r="7" spans="1:22">
      <c r="A7" s="60" t="s">
        <v>59</v>
      </c>
      <c r="B7" s="60" t="s">
        <v>68</v>
      </c>
      <c r="C7" s="61">
        <v>2016</v>
      </c>
      <c r="D7" s="62">
        <v>14.7</v>
      </c>
      <c r="E7" s="62">
        <v>4.46</v>
      </c>
      <c r="F7" s="62">
        <v>0</v>
      </c>
      <c r="G7" s="61">
        <v>0</v>
      </c>
      <c r="H7" s="62">
        <v>0</v>
      </c>
      <c r="I7" s="63">
        <v>0</v>
      </c>
      <c r="J7" s="62">
        <v>-19.16</v>
      </c>
      <c r="K7" s="60">
        <v>0.30370000000000003</v>
      </c>
      <c r="L7" s="62">
        <v>49</v>
      </c>
      <c r="M7" s="62">
        <v>34.299999999999997</v>
      </c>
      <c r="N7" s="62">
        <v>0</v>
      </c>
      <c r="O7" s="59">
        <v>42735</v>
      </c>
      <c r="P7" s="74">
        <v>1</v>
      </c>
      <c r="Q7" s="74">
        <v>1</v>
      </c>
      <c r="R7" s="58" t="s">
        <v>35</v>
      </c>
      <c r="S7" s="74">
        <v>1</v>
      </c>
      <c r="T7" s="74">
        <v>2</v>
      </c>
      <c r="U7" s="74">
        <v>2</v>
      </c>
      <c r="V7" s="60" t="s">
        <v>69</v>
      </c>
    </row>
    <row r="8" spans="1:22">
      <c r="A8" s="60" t="s">
        <v>59</v>
      </c>
      <c r="B8" s="60" t="s">
        <v>70</v>
      </c>
      <c r="C8" s="61">
        <v>2016</v>
      </c>
      <c r="D8" s="62">
        <v>59.3</v>
      </c>
      <c r="E8" s="62">
        <v>18.010000000000002</v>
      </c>
      <c r="F8" s="62">
        <v>0</v>
      </c>
      <c r="G8" s="61">
        <v>0</v>
      </c>
      <c r="H8" s="62">
        <v>0</v>
      </c>
      <c r="I8" s="63">
        <v>0</v>
      </c>
      <c r="J8" s="62">
        <v>-77.31</v>
      </c>
      <c r="K8" s="60">
        <v>0.30370000000000003</v>
      </c>
      <c r="L8" s="62">
        <v>172.68</v>
      </c>
      <c r="M8" s="62">
        <v>113.38</v>
      </c>
      <c r="N8" s="62">
        <v>0</v>
      </c>
      <c r="O8" s="59">
        <v>42735</v>
      </c>
      <c r="P8" s="74">
        <v>1</v>
      </c>
      <c r="Q8" s="74">
        <v>1</v>
      </c>
      <c r="R8" s="58" t="s">
        <v>35</v>
      </c>
      <c r="S8" s="74">
        <v>2</v>
      </c>
      <c r="T8" s="74">
        <v>6</v>
      </c>
      <c r="U8" s="74">
        <v>3</v>
      </c>
      <c r="V8" s="60" t="s">
        <v>71</v>
      </c>
    </row>
    <row r="9" spans="1:22">
      <c r="A9" s="60" t="s">
        <v>59</v>
      </c>
      <c r="B9" s="60" t="s">
        <v>72</v>
      </c>
      <c r="C9" s="61">
        <v>2016</v>
      </c>
      <c r="D9" s="62">
        <v>146.5</v>
      </c>
      <c r="E9" s="62">
        <v>44.49</v>
      </c>
      <c r="F9" s="62">
        <v>0</v>
      </c>
      <c r="G9" s="61">
        <v>0</v>
      </c>
      <c r="H9" s="62">
        <v>0</v>
      </c>
      <c r="I9" s="63">
        <v>0</v>
      </c>
      <c r="J9" s="62">
        <v>-190.99</v>
      </c>
      <c r="K9" s="60">
        <v>0.30370000000000003</v>
      </c>
      <c r="L9" s="62">
        <v>210.2</v>
      </c>
      <c r="M9" s="62">
        <v>63.7</v>
      </c>
      <c r="N9" s="62">
        <v>0</v>
      </c>
      <c r="O9" s="59">
        <v>42735</v>
      </c>
      <c r="P9" s="74">
        <v>1</v>
      </c>
      <c r="Q9" s="74">
        <v>1</v>
      </c>
      <c r="R9" s="58" t="s">
        <v>35</v>
      </c>
      <c r="S9" s="74">
        <v>3</v>
      </c>
      <c r="T9" s="74">
        <v>2</v>
      </c>
      <c r="U9" s="74">
        <v>17</v>
      </c>
      <c r="V9" s="60" t="s">
        <v>73</v>
      </c>
    </row>
    <row r="10" spans="1:22">
      <c r="A10" s="60" t="s">
        <v>59</v>
      </c>
      <c r="B10" s="60" t="s">
        <v>74</v>
      </c>
      <c r="C10" s="61">
        <v>2016</v>
      </c>
      <c r="D10" s="62">
        <v>9.9600000000000009</v>
      </c>
      <c r="E10" s="62">
        <v>3.02</v>
      </c>
      <c r="F10" s="62">
        <v>0</v>
      </c>
      <c r="G10" s="61">
        <v>0</v>
      </c>
      <c r="H10" s="62">
        <v>0</v>
      </c>
      <c r="I10" s="63">
        <v>0</v>
      </c>
      <c r="J10" s="62">
        <v>-12.98</v>
      </c>
      <c r="K10" s="60">
        <v>0.30370000000000003</v>
      </c>
      <c r="L10" s="62">
        <v>26.28</v>
      </c>
      <c r="M10" s="62">
        <v>16.32</v>
      </c>
      <c r="N10" s="62">
        <v>0</v>
      </c>
      <c r="O10" s="59">
        <v>42735</v>
      </c>
      <c r="P10" s="74">
        <v>1</v>
      </c>
      <c r="Q10" s="74">
        <v>1</v>
      </c>
      <c r="R10" s="58" t="s">
        <v>35</v>
      </c>
      <c r="S10" s="74">
        <v>3</v>
      </c>
      <c r="T10" s="74">
        <v>2</v>
      </c>
      <c r="U10" s="74">
        <v>3</v>
      </c>
      <c r="V10" s="60" t="s">
        <v>75</v>
      </c>
    </row>
    <row r="11" spans="1:22">
      <c r="A11" s="60" t="s">
        <v>59</v>
      </c>
      <c r="B11" s="60" t="s">
        <v>76</v>
      </c>
      <c r="C11" s="61">
        <v>2016</v>
      </c>
      <c r="D11" s="62">
        <v>7.86</v>
      </c>
      <c r="E11" s="62">
        <v>2.39</v>
      </c>
      <c r="F11" s="62">
        <v>0</v>
      </c>
      <c r="G11" s="61">
        <v>0</v>
      </c>
      <c r="H11" s="62">
        <v>0</v>
      </c>
      <c r="I11" s="63">
        <v>0</v>
      </c>
      <c r="J11" s="62">
        <v>-10.25</v>
      </c>
      <c r="K11" s="60">
        <v>0.30370000000000003</v>
      </c>
      <c r="L11" s="62">
        <v>62.73</v>
      </c>
      <c r="M11" s="62">
        <v>17.87</v>
      </c>
      <c r="N11" s="62">
        <v>0</v>
      </c>
      <c r="O11" s="59">
        <v>42735</v>
      </c>
      <c r="P11" s="74">
        <v>1</v>
      </c>
      <c r="Q11" s="74">
        <v>1</v>
      </c>
      <c r="R11" s="58" t="s">
        <v>35</v>
      </c>
      <c r="S11" s="74">
        <v>3</v>
      </c>
      <c r="T11" s="74">
        <v>2</v>
      </c>
      <c r="U11" s="74">
        <v>3</v>
      </c>
      <c r="V11" s="60" t="s">
        <v>67</v>
      </c>
    </row>
    <row r="12" spans="1:22">
      <c r="A12" s="60" t="s">
        <v>59</v>
      </c>
      <c r="B12" s="60" t="s">
        <v>77</v>
      </c>
      <c r="C12" s="61">
        <v>2016</v>
      </c>
      <c r="D12" s="62">
        <v>6.9</v>
      </c>
      <c r="E12" s="62">
        <v>2.1</v>
      </c>
      <c r="F12" s="62">
        <v>0</v>
      </c>
      <c r="G12" s="61">
        <v>0</v>
      </c>
      <c r="H12" s="62">
        <v>0</v>
      </c>
      <c r="I12" s="63">
        <v>0</v>
      </c>
      <c r="J12" s="62">
        <v>-9</v>
      </c>
      <c r="K12" s="60">
        <v>0.30370000000000003</v>
      </c>
      <c r="L12" s="62">
        <v>23</v>
      </c>
      <c r="M12" s="62">
        <v>16.100000000000001</v>
      </c>
      <c r="N12" s="62">
        <v>0</v>
      </c>
      <c r="O12" s="59">
        <v>42735</v>
      </c>
      <c r="P12" s="74">
        <v>1</v>
      </c>
      <c r="Q12" s="74">
        <v>1</v>
      </c>
      <c r="R12" s="58" t="s">
        <v>33</v>
      </c>
      <c r="S12" s="74">
        <v>1</v>
      </c>
      <c r="T12" s="74">
        <v>2</v>
      </c>
      <c r="U12" s="74">
        <v>3</v>
      </c>
      <c r="V12" s="60" t="s">
        <v>67</v>
      </c>
    </row>
    <row r="13" spans="1:22">
      <c r="A13" s="60" t="s">
        <v>59</v>
      </c>
      <c r="B13" s="60" t="s">
        <v>78</v>
      </c>
      <c r="C13" s="61">
        <v>2016</v>
      </c>
      <c r="D13" s="62">
        <v>70</v>
      </c>
      <c r="E13" s="62">
        <v>21.26</v>
      </c>
      <c r="F13" s="62">
        <v>0</v>
      </c>
      <c r="G13" s="61">
        <v>0</v>
      </c>
      <c r="H13" s="62">
        <v>0</v>
      </c>
      <c r="I13" s="63">
        <v>0</v>
      </c>
      <c r="J13" s="62">
        <v>-91.26</v>
      </c>
      <c r="K13" s="60">
        <v>0.30370000000000003</v>
      </c>
      <c r="L13" s="62">
        <v>70</v>
      </c>
      <c r="M13" s="62">
        <v>0</v>
      </c>
      <c r="N13" s="62">
        <v>0</v>
      </c>
      <c r="O13" s="59">
        <v>42735</v>
      </c>
      <c r="P13" s="74">
        <v>1</v>
      </c>
      <c r="Q13" s="74">
        <v>1</v>
      </c>
      <c r="R13" s="58" t="s">
        <v>33</v>
      </c>
      <c r="S13" s="74">
        <v>1</v>
      </c>
      <c r="T13" s="74">
        <v>2</v>
      </c>
      <c r="U13" s="74">
        <v>3</v>
      </c>
      <c r="V13" s="60" t="s">
        <v>79</v>
      </c>
    </row>
    <row r="14" spans="1:22">
      <c r="A14" s="60" t="s">
        <v>59</v>
      </c>
      <c r="B14" s="60" t="s">
        <v>80</v>
      </c>
      <c r="C14" s="61">
        <v>2016</v>
      </c>
      <c r="D14" s="62">
        <v>11.01</v>
      </c>
      <c r="E14" s="62">
        <v>3.34</v>
      </c>
      <c r="F14" s="62">
        <v>0</v>
      </c>
      <c r="G14" s="61">
        <v>0</v>
      </c>
      <c r="H14" s="62">
        <v>0</v>
      </c>
      <c r="I14" s="63">
        <v>0</v>
      </c>
      <c r="J14" s="62">
        <v>-14.35</v>
      </c>
      <c r="K14" s="60">
        <v>0.30370000000000003</v>
      </c>
      <c r="L14" s="62">
        <v>17.8</v>
      </c>
      <c r="M14" s="62">
        <v>6.79</v>
      </c>
      <c r="N14" s="62">
        <v>0</v>
      </c>
      <c r="O14" s="59">
        <v>42735</v>
      </c>
      <c r="P14" s="74">
        <v>1</v>
      </c>
      <c r="Q14" s="74">
        <v>1</v>
      </c>
      <c r="R14" s="58" t="s">
        <v>33</v>
      </c>
      <c r="S14" s="74">
        <v>4</v>
      </c>
      <c r="T14" s="74">
        <v>2</v>
      </c>
      <c r="U14" s="74">
        <v>3</v>
      </c>
      <c r="V14" s="60" t="s">
        <v>81</v>
      </c>
    </row>
    <row r="15" spans="1:22">
      <c r="A15" s="60" t="s">
        <v>59</v>
      </c>
      <c r="B15" s="60" t="s">
        <v>82</v>
      </c>
      <c r="C15" s="61">
        <v>2016</v>
      </c>
      <c r="D15" s="62">
        <v>58.45</v>
      </c>
      <c r="E15" s="62">
        <v>17.75</v>
      </c>
      <c r="F15" s="62">
        <v>0</v>
      </c>
      <c r="G15" s="61">
        <v>0</v>
      </c>
      <c r="H15" s="62">
        <v>0</v>
      </c>
      <c r="I15" s="63">
        <v>0</v>
      </c>
      <c r="J15" s="62">
        <v>-76.2</v>
      </c>
      <c r="K15" s="60">
        <v>0.30370000000000003</v>
      </c>
      <c r="L15" s="62">
        <v>72.14</v>
      </c>
      <c r="M15" s="62">
        <v>13.69</v>
      </c>
      <c r="N15" s="62">
        <v>0</v>
      </c>
      <c r="O15" s="59">
        <v>42735</v>
      </c>
      <c r="P15" s="74">
        <v>1</v>
      </c>
      <c r="Q15" s="74">
        <v>1</v>
      </c>
      <c r="R15" s="58" t="s">
        <v>33</v>
      </c>
      <c r="S15" s="74">
        <v>1</v>
      </c>
      <c r="T15" s="74">
        <v>7</v>
      </c>
      <c r="U15" s="74">
        <v>3</v>
      </c>
      <c r="V15" s="60" t="s">
        <v>83</v>
      </c>
    </row>
    <row r="16" spans="1:22">
      <c r="A16" s="60" t="s">
        <v>59</v>
      </c>
      <c r="B16" s="60" t="s">
        <v>85</v>
      </c>
      <c r="C16" s="61">
        <v>2016</v>
      </c>
      <c r="D16" s="62">
        <v>0</v>
      </c>
      <c r="E16" s="62">
        <v>0</v>
      </c>
      <c r="F16" s="62">
        <v>1242.24</v>
      </c>
      <c r="G16" s="61">
        <v>0.2054</v>
      </c>
      <c r="H16" s="62">
        <v>987.04</v>
      </c>
      <c r="I16" s="63">
        <v>0</v>
      </c>
      <c r="J16" s="62">
        <v>987.04</v>
      </c>
      <c r="K16" s="60">
        <v>0.30370000000000003</v>
      </c>
      <c r="L16" s="62">
        <v>0</v>
      </c>
      <c r="M16" s="62">
        <v>0</v>
      </c>
      <c r="N16" s="62">
        <v>0</v>
      </c>
      <c r="O16" s="59">
        <v>42735</v>
      </c>
      <c r="P16" s="74">
        <v>1</v>
      </c>
      <c r="Q16" s="74">
        <v>1</v>
      </c>
      <c r="S16" s="74">
        <v>1</v>
      </c>
      <c r="T16" s="74">
        <v>7</v>
      </c>
      <c r="U16" s="74">
        <v>3</v>
      </c>
    </row>
    <row r="17" spans="1:21">
      <c r="A17" s="60" t="s">
        <v>59</v>
      </c>
      <c r="B17" s="60" t="s">
        <v>86</v>
      </c>
      <c r="C17" s="61">
        <v>2016</v>
      </c>
      <c r="D17" s="62">
        <v>0</v>
      </c>
      <c r="E17" s="62">
        <v>0</v>
      </c>
      <c r="F17" s="62">
        <v>701.91</v>
      </c>
      <c r="G17" s="61">
        <v>0.2054</v>
      </c>
      <c r="H17" s="62">
        <v>557.71</v>
      </c>
      <c r="I17" s="63">
        <v>0</v>
      </c>
      <c r="J17" s="62">
        <v>557.71</v>
      </c>
      <c r="K17" s="60">
        <v>0.30370000000000003</v>
      </c>
      <c r="L17" s="62">
        <v>0</v>
      </c>
      <c r="M17" s="62">
        <v>0</v>
      </c>
      <c r="N17" s="62">
        <v>0</v>
      </c>
      <c r="O17" s="59">
        <v>42735</v>
      </c>
      <c r="P17" s="74">
        <v>1</v>
      </c>
      <c r="Q17" s="74">
        <v>1</v>
      </c>
      <c r="S17" s="74">
        <v>1</v>
      </c>
      <c r="T17" s="74">
        <v>7</v>
      </c>
      <c r="U17" s="74">
        <v>3</v>
      </c>
    </row>
    <row r="18" spans="1:21">
      <c r="A18" s="60" t="s">
        <v>59</v>
      </c>
      <c r="B18" s="60" t="s">
        <v>87</v>
      </c>
      <c r="C18" s="61">
        <v>2016</v>
      </c>
      <c r="D18" s="62">
        <v>0</v>
      </c>
      <c r="E18" s="62">
        <v>0</v>
      </c>
      <c r="F18" s="62">
        <v>827.16</v>
      </c>
      <c r="G18" s="61">
        <v>0.2054</v>
      </c>
      <c r="H18" s="62">
        <v>657.23</v>
      </c>
      <c r="I18" s="63">
        <v>0</v>
      </c>
      <c r="J18" s="62">
        <v>657.23</v>
      </c>
      <c r="K18" s="60">
        <v>0.30370000000000003</v>
      </c>
      <c r="L18" s="62">
        <v>0</v>
      </c>
      <c r="M18" s="62">
        <v>0</v>
      </c>
      <c r="N18" s="62">
        <v>0</v>
      </c>
      <c r="O18" s="59">
        <v>42735</v>
      </c>
      <c r="P18" s="74">
        <v>1</v>
      </c>
      <c r="Q18" s="74">
        <v>1</v>
      </c>
      <c r="S18" s="74">
        <v>1</v>
      </c>
      <c r="T18" s="74">
        <v>7</v>
      </c>
      <c r="U18" s="74">
        <v>3</v>
      </c>
    </row>
    <row r="19" spans="1:21">
      <c r="A19" s="60" t="s">
        <v>59</v>
      </c>
      <c r="B19" s="60" t="s">
        <v>25</v>
      </c>
      <c r="C19" s="61">
        <v>2016</v>
      </c>
      <c r="D19" s="62">
        <v>0</v>
      </c>
      <c r="E19" s="62">
        <v>0</v>
      </c>
      <c r="F19" s="62">
        <v>553.79999999999995</v>
      </c>
      <c r="G19" s="61">
        <v>0.2054</v>
      </c>
      <c r="H19" s="62">
        <v>440.03</v>
      </c>
      <c r="I19" s="63">
        <v>0</v>
      </c>
      <c r="J19" s="62">
        <v>440.03</v>
      </c>
      <c r="K19" s="60">
        <v>0.30370000000000003</v>
      </c>
      <c r="L19" s="62">
        <v>0</v>
      </c>
      <c r="M19" s="62">
        <v>0</v>
      </c>
      <c r="N19" s="62">
        <v>0</v>
      </c>
      <c r="O19" s="59">
        <v>42735</v>
      </c>
      <c r="P19" s="74">
        <v>1</v>
      </c>
      <c r="Q19" s="74">
        <v>1</v>
      </c>
      <c r="S19" s="74">
        <v>1</v>
      </c>
      <c r="T19" s="74">
        <v>7</v>
      </c>
      <c r="U19" s="74">
        <v>3</v>
      </c>
    </row>
    <row r="20" spans="1:21">
      <c r="A20" s="60" t="s">
        <v>59</v>
      </c>
      <c r="B20" s="60" t="s">
        <v>88</v>
      </c>
      <c r="C20" s="61">
        <v>2016</v>
      </c>
      <c r="D20" s="62">
        <v>0</v>
      </c>
      <c r="E20" s="62">
        <v>0</v>
      </c>
      <c r="F20" s="62">
        <v>1170.8399999999999</v>
      </c>
      <c r="G20" s="61">
        <v>0.2054</v>
      </c>
      <c r="H20" s="62">
        <v>930.3</v>
      </c>
      <c r="I20" s="63">
        <v>0</v>
      </c>
      <c r="J20" s="62">
        <v>930.3</v>
      </c>
      <c r="K20" s="60">
        <v>0.30370000000000003</v>
      </c>
      <c r="L20" s="62">
        <v>0</v>
      </c>
      <c r="M20" s="62">
        <v>0</v>
      </c>
      <c r="N20" s="62">
        <v>0</v>
      </c>
      <c r="O20" s="59">
        <v>42735</v>
      </c>
      <c r="P20" s="74">
        <v>1</v>
      </c>
      <c r="Q20" s="74">
        <v>1</v>
      </c>
      <c r="S20" s="74">
        <v>1</v>
      </c>
      <c r="T20" s="74">
        <v>7</v>
      </c>
      <c r="U20" s="74">
        <v>3</v>
      </c>
    </row>
    <row r="21" spans="1:21">
      <c r="A21" s="60" t="s">
        <v>59</v>
      </c>
      <c r="B21" s="60" t="s">
        <v>89</v>
      </c>
      <c r="C21" s="61">
        <v>2016</v>
      </c>
      <c r="D21" s="62">
        <v>0</v>
      </c>
      <c r="E21" s="62">
        <v>0</v>
      </c>
      <c r="F21" s="62">
        <v>744.12</v>
      </c>
      <c r="G21" s="61">
        <v>0.2054</v>
      </c>
      <c r="H21" s="62">
        <v>591.25</v>
      </c>
      <c r="I21" s="63">
        <v>0</v>
      </c>
      <c r="J21" s="62">
        <v>591.25</v>
      </c>
      <c r="K21" s="60">
        <v>0.30370000000000003</v>
      </c>
      <c r="L21" s="62">
        <v>0</v>
      </c>
      <c r="M21" s="62">
        <v>0</v>
      </c>
      <c r="N21" s="62">
        <v>0</v>
      </c>
      <c r="O21" s="59">
        <v>42735</v>
      </c>
      <c r="P21" s="74">
        <v>1</v>
      </c>
      <c r="Q21" s="74">
        <v>1</v>
      </c>
      <c r="S21" s="74">
        <v>1</v>
      </c>
      <c r="T21" s="74">
        <v>7</v>
      </c>
      <c r="U21" s="74">
        <v>3</v>
      </c>
    </row>
    <row r="22" spans="1:21">
      <c r="A22" s="60" t="s">
        <v>59</v>
      </c>
      <c r="B22" s="60" t="s">
        <v>90</v>
      </c>
      <c r="C22" s="61">
        <v>2016</v>
      </c>
      <c r="D22" s="62">
        <v>0</v>
      </c>
      <c r="E22" s="62">
        <v>0</v>
      </c>
      <c r="F22" s="62">
        <v>452.76</v>
      </c>
      <c r="G22" s="61">
        <v>0.2054</v>
      </c>
      <c r="H22" s="62">
        <v>359.75</v>
      </c>
      <c r="I22" s="63">
        <v>0</v>
      </c>
      <c r="J22" s="62">
        <v>359.75</v>
      </c>
      <c r="K22" s="60">
        <v>0.30370000000000003</v>
      </c>
      <c r="L22" s="62">
        <v>0</v>
      </c>
      <c r="M22" s="62">
        <v>0</v>
      </c>
      <c r="N22" s="62">
        <v>0</v>
      </c>
      <c r="O22" s="59">
        <v>42735</v>
      </c>
      <c r="P22" s="74">
        <v>1</v>
      </c>
      <c r="Q22" s="74">
        <v>1</v>
      </c>
      <c r="S22" s="74">
        <v>1</v>
      </c>
      <c r="T22" s="74">
        <v>7</v>
      </c>
      <c r="U22" s="74">
        <v>3</v>
      </c>
    </row>
    <row r="23" spans="1:21">
      <c r="A23" s="60" t="s">
        <v>59</v>
      </c>
      <c r="B23" s="60" t="s">
        <v>91</v>
      </c>
      <c r="C23" s="61">
        <v>2016</v>
      </c>
      <c r="D23" s="62">
        <v>0</v>
      </c>
      <c r="E23" s="62">
        <v>0</v>
      </c>
      <c r="F23" s="62">
        <v>727.5</v>
      </c>
      <c r="G23" s="61">
        <v>0.2054</v>
      </c>
      <c r="H23" s="62">
        <v>578.04</v>
      </c>
      <c r="I23" s="63">
        <v>0</v>
      </c>
      <c r="J23" s="62">
        <v>578.04</v>
      </c>
      <c r="K23" s="60">
        <v>0.30370000000000003</v>
      </c>
      <c r="L23" s="62">
        <v>0</v>
      </c>
      <c r="M23" s="62">
        <v>0</v>
      </c>
      <c r="N23" s="62">
        <v>0</v>
      </c>
      <c r="O23" s="59">
        <v>42735</v>
      </c>
      <c r="P23" s="74">
        <v>1</v>
      </c>
      <c r="Q23" s="74">
        <v>1</v>
      </c>
      <c r="S23" s="74">
        <v>1</v>
      </c>
      <c r="T23" s="74">
        <v>7</v>
      </c>
      <c r="U23" s="74">
        <v>3</v>
      </c>
    </row>
    <row r="24" spans="1:21">
      <c r="A24" s="60" t="s">
        <v>59</v>
      </c>
      <c r="B24" s="60" t="s">
        <v>92</v>
      </c>
      <c r="C24" s="61">
        <v>2016</v>
      </c>
      <c r="D24" s="62">
        <v>0</v>
      </c>
      <c r="E24" s="62">
        <v>0</v>
      </c>
      <c r="F24" s="62">
        <v>166.99</v>
      </c>
      <c r="G24" s="61">
        <v>0.20549999999999999</v>
      </c>
      <c r="H24" s="62">
        <v>132.68</v>
      </c>
      <c r="I24" s="63">
        <v>0</v>
      </c>
      <c r="J24" s="62">
        <v>132.68</v>
      </c>
      <c r="K24" s="60">
        <v>0.30370000000000003</v>
      </c>
      <c r="L24" s="62">
        <v>0</v>
      </c>
      <c r="M24" s="62">
        <v>0</v>
      </c>
      <c r="N24" s="62">
        <v>0</v>
      </c>
      <c r="O24" s="59">
        <v>42735</v>
      </c>
      <c r="P24" s="74">
        <v>1</v>
      </c>
      <c r="Q24" s="74">
        <v>1</v>
      </c>
      <c r="S24" s="74">
        <v>1</v>
      </c>
      <c r="T24" s="74">
        <v>7</v>
      </c>
      <c r="U24" s="74">
        <v>3</v>
      </c>
    </row>
    <row r="25" spans="1:21">
      <c r="A25" s="60" t="s">
        <v>59</v>
      </c>
      <c r="B25" s="60" t="s">
        <v>93</v>
      </c>
      <c r="C25" s="61">
        <v>2016</v>
      </c>
      <c r="D25" s="62">
        <v>0</v>
      </c>
      <c r="E25" s="62">
        <v>0</v>
      </c>
      <c r="F25" s="62">
        <v>692.4</v>
      </c>
      <c r="G25" s="61">
        <v>0.2054</v>
      </c>
      <c r="H25" s="62">
        <v>550.15</v>
      </c>
      <c r="I25" s="63">
        <v>0</v>
      </c>
      <c r="J25" s="62">
        <v>550.15</v>
      </c>
      <c r="K25" s="60">
        <v>0.30370000000000003</v>
      </c>
      <c r="L25" s="62">
        <v>0</v>
      </c>
      <c r="M25" s="62">
        <v>0</v>
      </c>
      <c r="N25" s="62">
        <v>0</v>
      </c>
      <c r="O25" s="59">
        <v>42735</v>
      </c>
      <c r="P25" s="74">
        <v>1</v>
      </c>
      <c r="Q25" s="74">
        <v>1</v>
      </c>
      <c r="S25" s="74">
        <v>1</v>
      </c>
      <c r="T25" s="74">
        <v>7</v>
      </c>
      <c r="U25" s="74">
        <v>3</v>
      </c>
    </row>
    <row r="26" spans="1:21">
      <c r="A26" s="60" t="s">
        <v>59</v>
      </c>
      <c r="B26" s="60" t="s">
        <v>94</v>
      </c>
      <c r="C26" s="61">
        <v>2016</v>
      </c>
      <c r="D26" s="62">
        <v>0</v>
      </c>
      <c r="E26" s="62">
        <v>0</v>
      </c>
      <c r="F26" s="62">
        <v>951.6</v>
      </c>
      <c r="G26" s="61">
        <v>0.2054</v>
      </c>
      <c r="H26" s="62">
        <v>756.1</v>
      </c>
      <c r="I26" s="63">
        <v>0</v>
      </c>
      <c r="J26" s="62">
        <v>756.1</v>
      </c>
      <c r="K26" s="60">
        <v>0.30370000000000003</v>
      </c>
      <c r="L26" s="62">
        <v>0</v>
      </c>
      <c r="M26" s="62">
        <v>0</v>
      </c>
      <c r="N26" s="62">
        <v>0</v>
      </c>
      <c r="O26" s="59">
        <v>42735</v>
      </c>
      <c r="P26" s="74">
        <v>1</v>
      </c>
      <c r="Q26" s="74">
        <v>1</v>
      </c>
      <c r="S26" s="74">
        <v>1</v>
      </c>
      <c r="T26" s="74">
        <v>7</v>
      </c>
      <c r="U26" s="74">
        <v>3</v>
      </c>
    </row>
    <row r="27" spans="1:21">
      <c r="A27" s="60" t="s">
        <v>59</v>
      </c>
      <c r="B27" s="60" t="s">
        <v>95</v>
      </c>
      <c r="C27" s="61">
        <v>2016</v>
      </c>
      <c r="D27" s="62">
        <v>0</v>
      </c>
      <c r="E27" s="62">
        <v>0</v>
      </c>
      <c r="F27" s="62">
        <v>5598.36</v>
      </c>
      <c r="G27" s="61">
        <v>0.2054</v>
      </c>
      <c r="H27" s="62">
        <v>4448.24</v>
      </c>
      <c r="I27" s="63">
        <v>0</v>
      </c>
      <c r="J27" s="62">
        <v>4448.24</v>
      </c>
      <c r="K27" s="60">
        <v>0.30370000000000003</v>
      </c>
      <c r="L27" s="62">
        <v>0</v>
      </c>
      <c r="M27" s="62">
        <v>0</v>
      </c>
      <c r="N27" s="62">
        <v>0</v>
      </c>
      <c r="O27" s="59">
        <v>42735</v>
      </c>
      <c r="P27" s="74">
        <v>1</v>
      </c>
      <c r="Q27" s="74">
        <v>1</v>
      </c>
      <c r="S27" s="74">
        <v>1</v>
      </c>
      <c r="T27" s="74">
        <v>7</v>
      </c>
      <c r="U27" s="74">
        <v>3</v>
      </c>
    </row>
  </sheetData>
  <sortState ref="A2:W29">
    <sortCondition ref="A1:A1048576"/>
    <sortCondition ref="B1:B1048576"/>
    <sortCondition ref="D1:D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Q9"/>
  <sheetViews>
    <sheetView topLeftCell="F1" zoomScaleNormal="100" workbookViewId="0">
      <selection activeCell="Q2" sqref="Q2"/>
    </sheetView>
  </sheetViews>
  <sheetFormatPr defaultColWidth="11.42578125" defaultRowHeight="15"/>
  <cols>
    <col min="1" max="1" width="14.140625" style="26" bestFit="1" customWidth="1"/>
    <col min="2" max="2" width="11.7109375" style="26" bestFit="1" customWidth="1"/>
    <col min="3" max="3" width="41.140625" style="26" bestFit="1" customWidth="1"/>
    <col min="4" max="4" width="2.85546875" style="26" customWidth="1"/>
    <col min="5" max="5" width="14.140625" style="26" bestFit="1" customWidth="1"/>
    <col min="6" max="6" width="8.85546875" style="26" bestFit="1" customWidth="1"/>
    <col min="7" max="7" width="39.28515625" style="26" bestFit="1" customWidth="1"/>
    <col min="8" max="8" width="2.85546875" style="26" customWidth="1"/>
    <col min="9" max="9" width="7" style="26" bestFit="1" customWidth="1"/>
    <col min="10" max="10" width="9.7109375" style="26" bestFit="1" customWidth="1"/>
    <col min="11" max="11" width="41.42578125" style="26" bestFit="1" customWidth="1"/>
    <col min="12" max="12" width="2.85546875" style="1" customWidth="1"/>
    <col min="13" max="13" width="11.7109375" style="1" bestFit="1" customWidth="1"/>
    <col min="14" max="14" width="10.7109375" style="1" bestFit="1" customWidth="1"/>
    <col min="15" max="15" width="14.28515625" style="1" bestFit="1" customWidth="1"/>
    <col min="16" max="16" width="2.85546875" style="1" customWidth="1"/>
    <col min="17" max="17" width="18" style="1" bestFit="1" customWidth="1"/>
    <col min="18" max="21" width="11.42578125" style="1" customWidth="1"/>
    <col min="22" max="16384" width="11.42578125" style="1"/>
  </cols>
  <sheetData>
    <row r="1" spans="3:17">
      <c r="M1" s="1" t="s">
        <v>96</v>
      </c>
      <c r="N1" s="1" t="s">
        <v>97</v>
      </c>
      <c r="O1" s="1" t="s">
        <v>98</v>
      </c>
      <c r="Q1" s="28" t="s">
        <v>99</v>
      </c>
    </row>
    <row r="2" spans="3:17">
      <c r="M2" s="1" t="s">
        <v>100</v>
      </c>
      <c r="N2" s="1" t="s">
        <v>101</v>
      </c>
      <c r="O2" s="1" t="s">
        <v>101</v>
      </c>
      <c r="Q2" s="28" t="s">
        <v>102</v>
      </c>
    </row>
    <row r="9" spans="3:17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</sheetData>
  <sortState ref="A2:C14">
    <sortCondition ref="A1:A1048547"/>
  </sortState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0"/>
  </sheetPr>
  <dimension ref="A1:E1"/>
  <sheetViews>
    <sheetView workbookViewId="0">
      <selection sqref="A1:XFD2"/>
    </sheetView>
  </sheetViews>
  <sheetFormatPr defaultColWidth="11.42578125" defaultRowHeight="15"/>
  <cols>
    <col min="1" max="1" width="21.85546875" style="27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7" t="s">
        <v>103</v>
      </c>
      <c r="B1" t="s">
        <v>104</v>
      </c>
      <c r="C1" t="s">
        <v>105</v>
      </c>
      <c r="D1" t="s">
        <v>106</v>
      </c>
      <c r="E1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Page de garde</vt:lpstr>
      <vt:lpstr>SYNTHESE</vt:lpstr>
      <vt:lpstr>DONNEES GRAPHIQUE</vt:lpstr>
      <vt:lpstr>DATA PRODUIT</vt:lpstr>
      <vt:lpstr>DATA ENTREPRISE</vt:lpstr>
      <vt:lpstr>AFFICHAGE</vt:lpstr>
      <vt:lpstr>Erreurs</vt:lpstr>
      <vt:lpstr>SYNTHESE!Print_Area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2021-04-18T12:33:59Z</cp:lastPrinted>
  <dcterms:created xsi:type="dcterms:W3CDTF">2017-05-24T08:26:58Z</dcterms:created>
  <dcterms:modified xsi:type="dcterms:W3CDTF">2021-07-22T14:55:55Z</dcterms:modified>
</cp:coreProperties>
</file>