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heme/themeOverride4.xml" ContentType="application/vnd.openxmlformats-officedocument.themeOverride+xml"/>
  <Override PartName="/xl/charts/chart6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5.xml" ContentType="application/vnd.openxmlformats-officedocument.themeOverride+xml"/>
  <Override PartName="/xl/charts/chart7.xml" ContentType="application/vnd.openxmlformats-officedocument.drawingml.chart+xml"/>
  <Override PartName="/xl/drawings/drawing7.xml" ContentType="application/vnd.openxmlformats-officedocument.drawing+xml"/>
  <Override PartName="/xl/charts/chart8.xml" ContentType="application/vnd.openxmlformats-officedocument.drawingml.chart+xml"/>
  <Override PartName="/xl/drawings/drawing8.xml" ContentType="application/vnd.openxmlformats-officedocument.drawing+xml"/>
  <Override PartName="/xl/charts/chart9.xml" ContentType="application/vnd.openxmlformats-officedocument.drawingml.chart+xml"/>
  <Override PartName="/xl/drawings/drawing9.xml" ContentType="application/vnd.openxmlformats-officedocument.drawing+xml"/>
  <Override PartName="/xl/charts/chart10.xml" ContentType="application/vnd.openxmlformats-officedocument.drawingml.chart+xml"/>
  <Override PartName="/xl/drawings/drawing10.xml" ContentType="application/vnd.openxmlformats-officedocument.drawing+xml"/>
  <Override PartName="/xl/charts/chart11.xml" ContentType="application/vnd.openxmlformats-officedocument.drawingml.chart+xml"/>
  <Override PartName="/xl/drawings/drawing11.xml" ContentType="application/vnd.openxmlformats-officedocument.drawing+xml"/>
  <Override PartName="/xl/charts/chart12.xml" ContentType="application/vnd.openxmlformats-officedocument.drawingml.chart+xml"/>
  <Override PartName="/xl/drawings/drawing12.xml" ContentType="application/vnd.openxmlformats-officedocument.drawing+xml"/>
  <Override PartName="/xl/charts/chart13.xml" ContentType="application/vnd.openxmlformats-officedocument.drawingml.chart+xml"/>
  <Override PartName="/xl/drawings/drawing13.xml" ContentType="application/vnd.openxmlformats-officedocument.drawing+xml"/>
  <Override PartName="/xl/charts/chart14.xml" ContentType="application/vnd.openxmlformats-officedocument.drawingml.chart+xml"/>
  <Override PartName="/xl/drawings/drawing14.xml" ContentType="application/vnd.openxmlformats-officedocument.drawing+xml"/>
  <Override PartName="/xl/charts/chart15.xml" ContentType="application/vnd.openxmlformats-officedocument.drawingml.chart+xml"/>
  <Override PartName="/xl/drawings/drawing15.xml" ContentType="application/vnd.openxmlformats-officedocument.drawing+xml"/>
  <Override PartName="/xl/charts/chart16.xml" ContentType="application/vnd.openxmlformats-officedocument.drawingml.chart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charts/chart17.xml" ContentType="application/vnd.openxmlformats-officedocument.drawingml.chart+xml"/>
  <Override PartName="/xl/theme/themeOverride6.xml" ContentType="application/vnd.openxmlformats-officedocument.themeOverride+xml"/>
  <Override PartName="/xl/drawings/drawing19.xml" ContentType="application/vnd.openxmlformats-officedocument.drawing+xml"/>
  <Override PartName="/xl/charts/chart18.xml" ContentType="application/vnd.openxmlformats-officedocument.drawingml.chart+xml"/>
  <Override PartName="/xl/theme/themeOverride7.xml" ContentType="application/vnd.openxmlformats-officedocument.themeOverride+xml"/>
  <Override PartName="/xl/drawings/drawing20.xml" ContentType="application/vnd.openxmlformats-officedocument.drawing+xml"/>
  <Override PartName="/xl/charts/chart19.xml" ContentType="application/vnd.openxmlformats-officedocument.drawingml.chart+xml"/>
  <Override PartName="/xl/theme/themeOverride8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/>
  <mc:AlternateContent xmlns:mc="http://schemas.openxmlformats.org/markup-compatibility/2006">
    <mc:Choice Requires="x15">
      <x15ac:absPath xmlns:x15ac="http://schemas.microsoft.com/office/spreadsheetml/2010/11/ac" url="D:\Applications\Kerialis-CR3\App_Data\ReportTemplates\"/>
    </mc:Choice>
  </mc:AlternateContent>
  <xr:revisionPtr revIDLastSave="0" documentId="13_ncr:1_{F708AC73-9C35-4327-99A8-33D90AAB1F5B}" xr6:coauthVersionLast="47" xr6:coauthVersionMax="47" xr10:uidLastSave="{00000000-0000-0000-0000-000000000000}"/>
  <bookViews>
    <workbookView xWindow="-120" yWindow="-120" windowWidth="25440" windowHeight="15390" xr2:uid="{00000000-000D-0000-FFFF-FFFF00000000}"/>
  </bookViews>
  <sheets>
    <sheet name="Page de garde" sheetId="13" r:id="rId1"/>
    <sheet name="CONTROLE" sheetId="240" r:id="rId2"/>
    <sheet name="Résultats" sheetId="14" r:id="rId3"/>
    <sheet name="Evolution effectifs" sheetId="16" r:id="rId4"/>
    <sheet name="Démographie" sheetId="18" r:id="rId5"/>
    <sheet name="Prestations Réglées" sheetId="21" r:id="rId6"/>
    <sheet name="Prestations Réglées Graph" sheetId="31" r:id="rId7"/>
    <sheet name="AIDES" sheetId="472" r:id="rId8"/>
    <sheet name="AUTRE" sheetId="473" r:id="rId9"/>
    <sheet name="CURE" sheetId="474" r:id="rId10"/>
    <sheet name="DENTA" sheetId="475" r:id="rId11"/>
    <sheet name="HOSPI" sheetId="476" r:id="rId12"/>
    <sheet name="OBSEQ" sheetId="477" r:id="rId13"/>
    <sheet name="OPTIQ" sheetId="478" r:id="rId14"/>
    <sheet name="PREVE" sheetId="479" r:id="rId15"/>
    <sheet name="SOINS" sheetId="480" r:id="rId16"/>
    <sheet name="Prestations Réglées N et N-1" sheetId="40" r:id="rId17"/>
    <sheet name="Prestations Réglées Moyennes" sheetId="47" r:id="rId18"/>
    <sheet name="Quartil garantie_1" sheetId="46" r:id="rId19"/>
    <sheet name="Quartil garantie_2" sheetId="41" r:id="rId20"/>
    <sheet name="Quartil garantie_3" sheetId="45" r:id="rId21"/>
    <sheet name="DATA DEMO" sheetId="4" r:id="rId22"/>
    <sheet name="DATA COT" sheetId="5" r:id="rId23"/>
    <sheet name="DATA PREST" sheetId="6" r:id="rId24"/>
    <sheet name="DATA EXP" sheetId="7" r:id="rId25"/>
    <sheet name="DATA PROV" sheetId="425" r:id="rId26"/>
    <sheet name="DATA QUARTILE" sheetId="9" r:id="rId27"/>
    <sheet name="AFFICHAGE" sheetId="426" r:id="rId28"/>
    <sheet name="IMPORT" sheetId="231" r:id="rId29"/>
    <sheet name="COLLEGE" sheetId="26" r:id="rId30"/>
    <sheet name="Erreurs" sheetId="36" r:id="rId31"/>
  </sheets>
  <functionGroups builtInGroupCount="19"/>
  <definedNames>
    <definedName name="_xlnm._FilterDatabase" localSheetId="24" hidden="1">'DATA EXP'!$A$1:$Q$1</definedName>
    <definedName name="_xlnm._FilterDatabase" localSheetId="23" hidden="1">'DATA PREST'!$A$1:$R$1</definedName>
    <definedName name="_xlnm._FilterDatabase" localSheetId="5" hidden="1">'Prestations Réglées'!$C$14:$M$102</definedName>
    <definedName name="_xlnm._FilterDatabase" localSheetId="17" hidden="1">'Prestations Réglées Moyennes'!$E$14:$F$102</definedName>
    <definedName name="_xlnm.Print_Area" localSheetId="4">Démographie!$A$1:$R$48</definedName>
    <definedName name="_xlnm.Print_Area" localSheetId="3">'Evolution effectifs'!$A$1:$M$46</definedName>
    <definedName name="_xlnm.Print_Area" localSheetId="0">'Page de garde'!$A$1:$T$42</definedName>
    <definedName name="_xlnm.Print_Area" localSheetId="5">'Prestations Réglées'!$A$1:$S$106</definedName>
    <definedName name="_xlnm.Print_Area" localSheetId="6">'Prestations Réglées Graph'!$A$1:$T$52</definedName>
    <definedName name="_xlnm.Print_Area" localSheetId="18">'Quartil garantie_1'!$A$1:$T$51</definedName>
    <definedName name="_xlnm.Print_Area" localSheetId="19">'Quartil garantie_2'!$A$1:$T$51</definedName>
    <definedName name="_xlnm.Print_Area" localSheetId="20">'Quartil garantie_3'!$A$1:$T$51</definedName>
    <definedName name="_xlnm.Print_Area" localSheetId="2">Résultats!$A$1:$T$39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8" i="480" l="1"/>
  <c r="C8" i="479"/>
  <c r="C8" i="478"/>
  <c r="C8" i="477"/>
  <c r="C8" i="476"/>
  <c r="C8" i="475"/>
  <c r="C8" i="474"/>
  <c r="C8" i="473"/>
  <c r="C8" i="472"/>
  <c r="D24" i="13"/>
  <c r="C8" i="47" l="1"/>
  <c r="E42" i="18"/>
  <c r="C8" i="18" l="1"/>
  <c r="Z25" i="45"/>
  <c r="Z24" i="45"/>
  <c r="W24" i="45"/>
  <c r="Z23" i="45"/>
  <c r="Z22" i="45"/>
  <c r="W22" i="45"/>
  <c r="Z21" i="45"/>
  <c r="AA20" i="45"/>
  <c r="AA21" i="45" s="1"/>
  <c r="AA22" i="45" s="1"/>
  <c r="AA23" i="45" s="1"/>
  <c r="AA24" i="45" s="1"/>
  <c r="AA25" i="45" s="1"/>
  <c r="Z20" i="45"/>
  <c r="X20" i="45"/>
  <c r="X21" i="45" s="1"/>
  <c r="X22" i="45" s="1"/>
  <c r="X23" i="45" s="1"/>
  <c r="X24" i="45" s="1"/>
  <c r="X25" i="45" s="1"/>
  <c r="W20" i="45"/>
  <c r="V18" i="45"/>
  <c r="W25" i="45" s="1"/>
  <c r="C8" i="45"/>
  <c r="Z25" i="41"/>
  <c r="W25" i="41"/>
  <c r="Z24" i="41"/>
  <c r="W24" i="41"/>
  <c r="Z23" i="41"/>
  <c r="W23" i="41"/>
  <c r="Z22" i="41"/>
  <c r="W22" i="41"/>
  <c r="Z21" i="41"/>
  <c r="W21" i="41"/>
  <c r="AA20" i="41"/>
  <c r="AA21" i="41" s="1"/>
  <c r="AA22" i="41" s="1"/>
  <c r="AA23" i="41" s="1"/>
  <c r="AA24" i="41" s="1"/>
  <c r="AA25" i="41" s="1"/>
  <c r="Z20" i="41"/>
  <c r="X20" i="41"/>
  <c r="X21" i="41" s="1"/>
  <c r="X22" i="41" s="1"/>
  <c r="X23" i="41" s="1"/>
  <c r="X24" i="41" s="1"/>
  <c r="X25" i="41" s="1"/>
  <c r="W20" i="41"/>
  <c r="V18" i="41"/>
  <c r="C8" i="41"/>
  <c r="Z25" i="46"/>
  <c r="W25" i="46"/>
  <c r="Z24" i="46"/>
  <c r="Z23" i="46"/>
  <c r="W23" i="46"/>
  <c r="Z22" i="46"/>
  <c r="Z21" i="46"/>
  <c r="W21" i="46"/>
  <c r="AA20" i="46"/>
  <c r="AA21" i="46" s="1"/>
  <c r="AA22" i="46" s="1"/>
  <c r="AA23" i="46" s="1"/>
  <c r="AA24" i="46" s="1"/>
  <c r="AA25" i="46" s="1"/>
  <c r="Z20" i="46"/>
  <c r="V18" i="46"/>
  <c r="X20" i="46" s="1"/>
  <c r="X21" i="46" s="1"/>
  <c r="X22" i="46" s="1"/>
  <c r="X23" i="46" s="1"/>
  <c r="X24" i="46" s="1"/>
  <c r="X25" i="46" s="1"/>
  <c r="C8" i="46"/>
  <c r="C8" i="31"/>
  <c r="C8" i="21"/>
  <c r="C8" i="16"/>
  <c r="E13" i="14"/>
  <c r="C8" i="14"/>
  <c r="W20" i="46" l="1"/>
  <c r="W22" i="46"/>
  <c r="W24" i="46"/>
  <c r="W21" i="45"/>
  <c r="W23" i="45"/>
</calcChain>
</file>

<file path=xl/sharedStrings.xml><?xml version="1.0" encoding="utf-8"?>
<sst xmlns="http://schemas.openxmlformats.org/spreadsheetml/2006/main" count="7594" uniqueCount="388">
  <si>
    <t>MAJ EXCEL</t>
  </si>
  <si>
    <t>MAJ POWERPOINT</t>
  </si>
  <si>
    <t>NON</t>
  </si>
  <si>
    <t>STATISTIQUES</t>
  </si>
  <si>
    <t>FRAIS DE SANTE</t>
  </si>
  <si>
    <t>Contrat(s)</t>
  </si>
  <si>
    <t/>
  </si>
  <si>
    <t>Collège</t>
  </si>
  <si>
    <t>Ens Pers</t>
  </si>
  <si>
    <t xml:space="preserve">Période analysée : </t>
  </si>
  <si>
    <t>Date d'arrêté des comptes :</t>
  </si>
  <si>
    <t>Source -&gt; BASE DE DONNEES CRPS</t>
  </si>
  <si>
    <t>année</t>
  </si>
  <si>
    <t>Prestations</t>
  </si>
  <si>
    <t>Provisions</t>
  </si>
  <si>
    <t>Cotisations brutes</t>
  </si>
  <si>
    <t>Chargements</t>
  </si>
  <si>
    <t xml:space="preserve">Cotisations nettes </t>
  </si>
  <si>
    <t>Ratio combiné</t>
  </si>
  <si>
    <t>Gains/Pertes</t>
  </si>
  <si>
    <t xml:space="preserve">Date d'arrêté : </t>
  </si>
  <si>
    <t>Taux de chargements</t>
  </si>
  <si>
    <t>Ratio</t>
  </si>
  <si>
    <t>GLOBAL</t>
  </si>
  <si>
    <t>Les prestations correspondent aux actes engagés dans l'exercice étudié, payées jusqu'à la date d'arrêté des comptes.</t>
  </si>
  <si>
    <t>Les provisions correspondent aux prestations non réglées à la date d'arrêté des comptes. Le délai de prescription des soins est de 2 ans.</t>
  </si>
  <si>
    <t>Les cotisations sont nettes de taxes sur les conventions d'assurance, la Couverture Mutuelle Universelle (CMU) et dotations de services de gestion, commercialisation et assurances.</t>
  </si>
  <si>
    <r>
      <t>§</t>
    </r>
    <r>
      <rPr>
        <sz val="14"/>
        <rFont val="Arial"/>
        <family val="2"/>
      </rPr>
      <t xml:space="preserve"> Nombres de Bénéficiaires</t>
    </r>
  </si>
  <si>
    <t>ASSURES</t>
  </si>
  <si>
    <t>Répartition en %</t>
  </si>
  <si>
    <t>du Total général</t>
  </si>
  <si>
    <t>assuré</t>
  </si>
  <si>
    <t>conjoint</t>
  </si>
  <si>
    <t>enfant</t>
  </si>
  <si>
    <t>Total général</t>
  </si>
  <si>
    <r>
      <t>§</t>
    </r>
    <r>
      <rPr>
        <sz val="12"/>
        <rFont val="Arial"/>
        <family val="2"/>
      </rPr>
      <t xml:space="preserve"> </t>
    </r>
    <r>
      <rPr>
        <sz val="12"/>
        <rFont val="DINBek"/>
      </rPr>
      <t>Nombre d'assurés</t>
    </r>
  </si>
  <si>
    <r>
      <rPr>
        <sz val="12"/>
        <rFont val="Wingdings"/>
        <charset val="2"/>
      </rPr>
      <t>§</t>
    </r>
    <r>
      <rPr>
        <sz val="12"/>
        <rFont val="DINBek"/>
      </rPr>
      <t xml:space="preserve"> Pyramide des âges des assurés</t>
    </r>
  </si>
  <si>
    <t xml:space="preserve">Evolution des Effectifs </t>
  </si>
  <si>
    <t>Tranche</t>
  </si>
  <si>
    <t>Masculin</t>
  </si>
  <si>
    <t>Féminin</t>
  </si>
  <si>
    <t>Inférieur à 25 ans</t>
  </si>
  <si>
    <t>Tranche 25 à 29 ans</t>
  </si>
  <si>
    <t>Tranche 30 à 34 ans</t>
  </si>
  <si>
    <t>Tranche 35 à 39 ans</t>
  </si>
  <si>
    <t>Tranche 40 à 44 ans</t>
  </si>
  <si>
    <t>Tranche 45 à 49 ans</t>
  </si>
  <si>
    <t>Tranche 50 à 54 ans</t>
  </si>
  <si>
    <t>Tranche 55 à 59 ans</t>
  </si>
  <si>
    <t>Supérieur ou égal à 60 ans</t>
  </si>
  <si>
    <r>
      <rPr>
        <sz val="12"/>
        <rFont val="Wingdings"/>
        <charset val="2"/>
      </rPr>
      <t>§</t>
    </r>
    <r>
      <rPr>
        <sz val="12"/>
        <rFont val="DINBek"/>
      </rPr>
      <t xml:space="preserve"> Nombre de bénéficiaires</t>
    </r>
  </si>
  <si>
    <t>Age Moyen</t>
  </si>
  <si>
    <t>Assuré</t>
  </si>
  <si>
    <t>Conjoint</t>
  </si>
  <si>
    <t>Enfant</t>
  </si>
  <si>
    <t>Coefficient Familial</t>
  </si>
  <si>
    <t>VOS PRESTATIONS</t>
  </si>
  <si>
    <t>Quantité</t>
  </si>
  <si>
    <t>Fréquence
 (nb d'actes / bénéficiaire)</t>
  </si>
  <si>
    <t>Frais réels</t>
  </si>
  <si>
    <t>Remboursement SS</t>
  </si>
  <si>
    <t>Remboursement Autres régimes</t>
  </si>
  <si>
    <t>Remboursement KERIALIS</t>
  </si>
  <si>
    <t>Remboursement moyen par acte</t>
  </si>
  <si>
    <t>Répartition des Remboursements KERIALIS</t>
  </si>
  <si>
    <t>Taux de couverture</t>
  </si>
  <si>
    <t>AIDES</t>
  </si>
  <si>
    <t>APPAREILLAGE</t>
  </si>
  <si>
    <t>PILES AUDITIVES</t>
  </si>
  <si>
    <t>PROTH.AUDITIVE CLASSE 1 DROITE</t>
  </si>
  <si>
    <t>PROTH.AUDITIVE CLASSE 2 DROITE</t>
  </si>
  <si>
    <t>PROTH.AUDITIVE CLASSE 2 GAUCHE</t>
  </si>
  <si>
    <t>PROTHESES AUDITIVES</t>
  </si>
  <si>
    <t>AUTRE</t>
  </si>
  <si>
    <t>DIVERS</t>
  </si>
  <si>
    <t>HORS NOMENCLATURE</t>
  </si>
  <si>
    <t>NON RENSEIGNE</t>
  </si>
  <si>
    <t>RÉSEAU ITELIS</t>
  </si>
  <si>
    <t>CURE</t>
  </si>
  <si>
    <t>CURE THERMALE</t>
  </si>
  <si>
    <t>DENTA</t>
  </si>
  <si>
    <t>ACTES DE PROPHYLAXIE ET PREVENTION</t>
  </si>
  <si>
    <t>ORTHODONTIE</t>
  </si>
  <si>
    <t>PARODONTOLOGIE</t>
  </si>
  <si>
    <t>PROTHESE-COURONNE 100% PANIER</t>
  </si>
  <si>
    <t>PROTHESE-COURONNE PANIER LIBRE</t>
  </si>
  <si>
    <t>PROTHESE-COURONNE PANIER MAITRISE</t>
  </si>
  <si>
    <t>SOINS DENTAIRES</t>
  </si>
  <si>
    <t>HOSPI</t>
  </si>
  <si>
    <t>CHAMBRE PARTICULIERE</t>
  </si>
  <si>
    <t>FORFAIT JOURNALIER</t>
  </si>
  <si>
    <t>FRAIS SEJOUR</t>
  </si>
  <si>
    <t>FRAIS TRANSPORT</t>
  </si>
  <si>
    <t>HONORAIRE / FRAIS SEJOUR</t>
  </si>
  <si>
    <t>HONORAIRES</t>
  </si>
  <si>
    <t>HONORAIRES LIES A L'ACCOUCHEMENT</t>
  </si>
  <si>
    <t>INDEMNITE DE NAISSANCE</t>
  </si>
  <si>
    <t>LIT ACCOMPAGNANT</t>
  </si>
  <si>
    <t>OBSEQ</t>
  </si>
  <si>
    <t>ALLOCATION OBSEQUES</t>
  </si>
  <si>
    <t>OPTIQ</t>
  </si>
  <si>
    <t>EQUIPEMENT</t>
  </si>
  <si>
    <t>EQUIPEMENT CLASSE A</t>
  </si>
  <si>
    <t>KERATOTOMIE</t>
  </si>
  <si>
    <t>LENTILLES</t>
  </si>
  <si>
    <t>MONTURE / 1 VERRE COMPLEXE / 1 VERRE TRES COMPLEXE</t>
  </si>
  <si>
    <t>MONTURE / 1 VERRE SIMPLE / 1 VERRE COMPLEXE</t>
  </si>
  <si>
    <t>MONTURE / 2 VERRES COMPLEXES</t>
  </si>
  <si>
    <t>MONTURE / 2 VERRES SIMPLES</t>
  </si>
  <si>
    <t>MONTURE / 2 VERRES TRES COMPLEXES</t>
  </si>
  <si>
    <t>OPTIQUE</t>
  </si>
  <si>
    <t>PREVE</t>
  </si>
  <si>
    <t>MEDECINE DOUCE</t>
  </si>
  <si>
    <t>VACCINS</t>
  </si>
  <si>
    <t>SOINS</t>
  </si>
  <si>
    <t>ANALYSES</t>
  </si>
  <si>
    <t>AUXILIAIRES MEDICAUX</t>
  </si>
  <si>
    <t>CONSULTATIONS,VISITES ET ACTES DE PETITE CHIRURGIE</t>
  </si>
  <si>
    <t>IMAGERIE, RADIOLOGIE, ECHOGRAPHIE</t>
  </si>
  <si>
    <t>PHARMACIE</t>
  </si>
  <si>
    <t>SOINS ORTHOPTISTE</t>
  </si>
  <si>
    <t>Répartition des remboursements</t>
  </si>
  <si>
    <t>Montant moyen par bénéficiaire</t>
  </si>
  <si>
    <t>Montant moyen par assuré</t>
  </si>
  <si>
    <t>Ventilation des remboursements KERIALIS par famille d’actes</t>
  </si>
  <si>
    <t>Vos Prestations</t>
  </si>
  <si>
    <t>NOTRE EXPERIENCE</t>
  </si>
  <si>
    <t>Taux de couverture par famille d'actes</t>
  </si>
  <si>
    <t>Remboursement moyen KERIALIS par acte</t>
  </si>
  <si>
    <t>Vos prestations</t>
  </si>
  <si>
    <t>Notre expérience</t>
  </si>
  <si>
    <t>Remboursement Autres Régimes</t>
  </si>
  <si>
    <t>Somme de Reste à charge</t>
  </si>
  <si>
    <t>VOS PRESTATIONS MOYENNES AVEC MINIMUM ET MAXIMUM</t>
  </si>
  <si>
    <t>colonne 1</t>
  </si>
  <si>
    <t>colonne 2</t>
  </si>
  <si>
    <t>Variation</t>
  </si>
  <si>
    <t>Frais Réels Moyen par acte</t>
  </si>
  <si>
    <t xml:space="preserve">Frais Réèls Minimum </t>
  </si>
  <si>
    <t xml:space="preserve">Frais Réèls Maximum </t>
  </si>
  <si>
    <t>Remboursement KERIALIS Moyen par acte</t>
  </si>
  <si>
    <t>Remboursement KERIALIS Minimum</t>
  </si>
  <si>
    <t>Remboursement KERIALIS Maximum</t>
  </si>
  <si>
    <t>Remboursement KERIALIS moyen par acte</t>
  </si>
  <si>
    <t>col 1 / col 2</t>
  </si>
  <si>
    <t>Moyenne</t>
  </si>
  <si>
    <t>Coût minimum</t>
  </si>
  <si>
    <t>25% des actes</t>
  </si>
  <si>
    <t>25% des dépenses</t>
  </si>
  <si>
    <t>50% des actes</t>
  </si>
  <si>
    <t>50% des dépenses</t>
  </si>
  <si>
    <t>75% des actes</t>
  </si>
  <si>
    <t>75% des dépenses</t>
  </si>
  <si>
    <t>90% des actes</t>
  </si>
  <si>
    <t>90% des dépenses</t>
  </si>
  <si>
    <t>Coût maximum</t>
  </si>
  <si>
    <t>ANNEE</t>
  </si>
  <si>
    <t>LIBSUB</t>
  </si>
  <si>
    <t>AGE</t>
  </si>
  <si>
    <t>SEXE</t>
  </si>
  <si>
    <t>LIEN</t>
  </si>
  <si>
    <t>Tranche d'âge</t>
  </si>
  <si>
    <t>NombreAssuré</t>
  </si>
  <si>
    <t>Age * NombreAssuré</t>
  </si>
  <si>
    <t>LIBCOL</t>
  </si>
  <si>
    <t>FAMILLE COLLEGE</t>
  </si>
  <si>
    <t>60000016</t>
  </si>
  <si>
    <t>60000017</t>
  </si>
  <si>
    <t>60000018</t>
  </si>
  <si>
    <t>60000087</t>
  </si>
  <si>
    <t>DEBPRIME</t>
  </si>
  <si>
    <t>FINPRIME</t>
  </si>
  <si>
    <t>CONTRAT</t>
  </si>
  <si>
    <t>CODCOL</t>
  </si>
  <si>
    <t>COTISATION NETTE</t>
  </si>
  <si>
    <t>COTISATION BRUTE</t>
  </si>
  <si>
    <t>VITAKER A4</t>
  </si>
  <si>
    <t>AU</t>
  </si>
  <si>
    <t>ANNEESOIN</t>
  </si>
  <si>
    <t>LIBACTE</t>
  </si>
  <si>
    <t>LIBFAM</t>
  </si>
  <si>
    <t>TYPE CAS NON CAS</t>
  </si>
  <si>
    <t>NBREACTE</t>
  </si>
  <si>
    <t>FRAISREELS</t>
  </si>
  <si>
    <t>REMBSS</t>
  </si>
  <si>
    <t>REMBANNEXE</t>
  </si>
  <si>
    <t>REMBNOUS</t>
  </si>
  <si>
    <t>RESEAU</t>
  </si>
  <si>
    <t>MINFR</t>
  </si>
  <si>
    <t>MAXFR</t>
  </si>
  <si>
    <t>MINNOUS</t>
  </si>
  <si>
    <t>MAXNOUS</t>
  </si>
  <si>
    <t>FAUX</t>
  </si>
  <si>
    <t>VRAI</t>
  </si>
  <si>
    <t>HOSPITALISATION</t>
  </si>
  <si>
    <t>PROVISION</t>
  </si>
  <si>
    <t>AssureurName</t>
  </si>
  <si>
    <t>GroupName</t>
  </si>
  <si>
    <t>GarantyName</t>
  </si>
  <si>
    <t>Min</t>
  </si>
  <si>
    <t>Max</t>
  </si>
  <si>
    <t>Quartile 25%</t>
  </si>
  <si>
    <t>Quartile 50%</t>
  </si>
  <si>
    <t>Quartile 75%</t>
  </si>
  <si>
    <t>Quartile 90%</t>
  </si>
  <si>
    <t>KERIALIS</t>
  </si>
  <si>
    <t>APPAREILLAGE REFUSE</t>
  </si>
  <si>
    <t>AUTRES</t>
  </si>
  <si>
    <t>AUTRES PROTHESES ET APPAREILLAGES</t>
  </si>
  <si>
    <t>PRODUITS DIETETIQUES</t>
  </si>
  <si>
    <t xml:space="preserve">CURE </t>
  </si>
  <si>
    <t>CURES THERMALES</t>
  </si>
  <si>
    <t>ACTES D'ENDODONTIE</t>
  </si>
  <si>
    <t>BRIDGE RAC MODERE</t>
  </si>
  <si>
    <t>COURONNE TRANSITOIRE RAC 0</t>
  </si>
  <si>
    <t>COURONNE TRANSITOIRE TARIF LIBRE</t>
  </si>
  <si>
    <t>COURONNE ZIRCONE RAC 0</t>
  </si>
  <si>
    <t>COURONNE ZIRCONE RAC MODERE</t>
  </si>
  <si>
    <t>DENTAIRE</t>
  </si>
  <si>
    <t>IMPLANTOLOGIE</t>
  </si>
  <si>
    <t>IMPLANTOLOGIE (YC COURONNE/IMPLANT)</t>
  </si>
  <si>
    <t>INLAY CORE RAC  MODERE</t>
  </si>
  <si>
    <t>INLAY CORE RAC 0</t>
  </si>
  <si>
    <t>INLAY ONLAY RAC MODERE</t>
  </si>
  <si>
    <t>ORTHODONTIE ACCEPTEE</t>
  </si>
  <si>
    <t>ORTHODONTIE REFUSEE</t>
  </si>
  <si>
    <t>PARODONTOLOGIE (TISSUS SOUTIEN DENT</t>
  </si>
  <si>
    <t>PARODONTOLOGIE ACCEPTEE</t>
  </si>
  <si>
    <t>PARODONTOLOGIE REFUSEE</t>
  </si>
  <si>
    <t>PROTH. AMOVIBLE DE TRANSITION RAC 0</t>
  </si>
  <si>
    <t>PROTHESE AMOVIBLE RAC 0</t>
  </si>
  <si>
    <t>PROTHESE AMOVIBLE RAC MODERE</t>
  </si>
  <si>
    <t>PROTHESE FIXE CERAMIQUE TARIF LIBRE</t>
  </si>
  <si>
    <t>PROTHESE FIXE METALLIQUE RAC0</t>
  </si>
  <si>
    <t>PROTHESE FIXE RAC 0</t>
  </si>
  <si>
    <t>PROTHESE FIXE RAC MODERE</t>
  </si>
  <si>
    <t>PROTHESES DENTAIRES ACCEPTEES</t>
  </si>
  <si>
    <t>PROTHESES DENTAIRES REFUSEES</t>
  </si>
  <si>
    <t>REPAR. PROTH. ADJOINTE SIMPLE RAC 0</t>
  </si>
  <si>
    <t>REPARATION PROTHESE RAC MODERE</t>
  </si>
  <si>
    <t>SUPPL. PROTH. METALLIQUE RAC MODERE</t>
  </si>
  <si>
    <t>ACTES DE CHIRUR  CETIP</t>
  </si>
  <si>
    <t>FRAIS D'ACCOMPAGNEMENT</t>
  </si>
  <si>
    <t>TRANSPORT</t>
  </si>
  <si>
    <t>MATER</t>
  </si>
  <si>
    <t>MATERNITE</t>
  </si>
  <si>
    <t>NON D</t>
  </si>
  <si>
    <t>100% FLUX</t>
  </si>
  <si>
    <t>FRAIS OBSEQUES</t>
  </si>
  <si>
    <t>MAJO. DIMACETIP</t>
  </si>
  <si>
    <t>PARTICIPATION ASSURE</t>
  </si>
  <si>
    <t>PRELEVEMENT      CETIP</t>
  </si>
  <si>
    <t>REPARATION ADJONCTION RAC 0</t>
  </si>
  <si>
    <t>CHIRURGIE DE L'ŒIL</t>
  </si>
  <si>
    <t>LUNETTES</t>
  </si>
  <si>
    <t>MONTURE</t>
  </si>
  <si>
    <t>MONTURE + VERRES ADULTE</t>
  </si>
  <si>
    <t>MONTURE + VERRES ENFANT</t>
  </si>
  <si>
    <t>VERRES</t>
  </si>
  <si>
    <t>VERRES ADULTE CTRT RESP.(F)</t>
  </si>
  <si>
    <t>VERRES ENFANT CTRT RESP.(C)</t>
  </si>
  <si>
    <t>PHARM</t>
  </si>
  <si>
    <t>PREVENTION</t>
  </si>
  <si>
    <t>ACTES DE SPECIALISTES</t>
  </si>
  <si>
    <t>ACTES D'IMAGERIE</t>
  </si>
  <si>
    <t>CONSULTATIONS ET VISITES</t>
  </si>
  <si>
    <t>GHS ETS MEDIC.SPEC.</t>
  </si>
  <si>
    <t>SOINS COURANTS</t>
  </si>
  <si>
    <t>DATE DEBUT</t>
  </si>
  <si>
    <t>DATE FIN</t>
  </si>
  <si>
    <t>DATE D'ARRETE</t>
  </si>
  <si>
    <t>Comptable/Survenance</t>
  </si>
  <si>
    <t>KERIALIS_ENTREPRISE</t>
  </si>
  <si>
    <t>01/01/2022</t>
  </si>
  <si>
    <t>31/12/2022</t>
  </si>
  <si>
    <t>Survenance</t>
  </si>
  <si>
    <t>CODE TRACEUR SAS</t>
  </si>
  <si>
    <t>GROUPE HOMOGENE DE TARIF</t>
  </si>
  <si>
    <t>PROTHÈSE INTERNE INERTE</t>
  </si>
  <si>
    <t>CHAMBRE PARTICULIERE CHIRURGIE</t>
  </si>
  <si>
    <t>CONSULTATION CCMU 3 D'URGENCE</t>
  </si>
  <si>
    <t>FORF SÉCURITÉ ENVCETIP</t>
  </si>
  <si>
    <t>FORFAIT D'ENTRÉE</t>
  </si>
  <si>
    <t>HONOR. DISPENS. GRAND CONDIT. NIV.4</t>
  </si>
  <si>
    <t>IND HÉBERGT + VOYAGE NR</t>
  </si>
  <si>
    <t>INTERVENTION DURANT GARDE AMBULANCE</t>
  </si>
  <si>
    <t>INTERVENTION HORS GARDE AMBULANCE</t>
  </si>
  <si>
    <t>MAJO. SUITE HOSPITALISATION</t>
  </si>
  <si>
    <t>MAJORATION PMSI</t>
  </si>
  <si>
    <t>NOUVEAU FORFAIT ENFANT</t>
  </si>
  <si>
    <t>PARTICIPATION ASSURE HOSPITALISATIO</t>
  </si>
  <si>
    <t>TM RELATIF AUX FRAIS DE SÉJOUR</t>
  </si>
  <si>
    <t>RENOUVELLEMENT D'OPTIQUE</t>
  </si>
  <si>
    <t>VACCINATION GRIPPE PHARMACIEN</t>
  </si>
  <si>
    <t>ACTE D IMAGERIE</t>
  </si>
  <si>
    <t>ACTE DE KINÉSITHÉRAPIE EN ÉTABLISSE</t>
  </si>
  <si>
    <t>ACTES INFIRMIERS DE SOINS</t>
  </si>
  <si>
    <t>APPAREIL D ASSISTANCE RESPIRATOIRE</t>
  </si>
  <si>
    <t>APPAREILLAGE AUTRE</t>
  </si>
  <si>
    <t>AUTRES ACCESS. TRAITEMENT DOMICILE</t>
  </si>
  <si>
    <t>DÉLIVRANCE TESTS ANTIGÉNIQUES PHARM</t>
  </si>
  <si>
    <t>ENTRETIEN FEMME ENCEINTE</t>
  </si>
  <si>
    <t>EXAMEN DE SUIVI POST-NATAL</t>
  </si>
  <si>
    <t>EXAMEN OBLIGATOIRE ENFANT 100% K</t>
  </si>
  <si>
    <t>FORFAIT BILAN SOINS LÉGERS (INFIRMI</t>
  </si>
  <si>
    <t>FORFAIT DE SÉCURITÉ DERMATOLOGIQUE</t>
  </si>
  <si>
    <t>FORFAIT KINÉ. 9 SÉANCES COLLECTIVES</t>
  </si>
  <si>
    <t>FORFAIT KINÉ. 9 SÉANCES INDIVIDUELL</t>
  </si>
  <si>
    <t>FORFAIT KINÉ.18 SÉANCES INDIVIDUELL</t>
  </si>
  <si>
    <t>FORFAIT PHARMACEUTIQUE JOURNALIER</t>
  </si>
  <si>
    <t>INDEM. FORF. DÉPL. KINÉ PERS.-AGÉE</t>
  </si>
  <si>
    <t>MAJO ASTREINTE MILIEU DE NUIT CONSU</t>
  </si>
  <si>
    <t>MAJORATION PSY ENFANT</t>
  </si>
  <si>
    <t>RÉALISATION TEST ANTIGÉNIQUE PHARMA</t>
  </si>
  <si>
    <t>SOIN INFIRMIER PAR SAGE-FEMME</t>
  </si>
  <si>
    <t>SOINS INFIRMIERS EXTERNALISÉS</t>
  </si>
  <si>
    <t>TÉLÉCONSUL. D'ACCOMP. DANS UN LIEU</t>
  </si>
  <si>
    <t>TEST RAPIDE D'ORIEN. DIAGNOS.ANGINE</t>
  </si>
  <si>
    <t>VISITE LONGUE ET COMPLEXE</t>
  </si>
  <si>
    <t>FICHIERS D'IMPORT</t>
  </si>
  <si>
    <t>C:\CompteResultat\App_Data\Imports\CRS SANTE 2022-2023-06-12T09-11-35\20230214_0000010525_Sante_Clients_Cotisation.csv</t>
  </si>
  <si>
    <t>C:\CompteResultat\App_Data\Imports\CRS SANTE 2022-2023-06-12T09-11-35\20230214_0000010525_Sante_Clients_Demographie.csv</t>
  </si>
  <si>
    <t>C:\CompteResultat\App_Data\Imports\CRS SANTE 2022-2023-06-12T09-11-35\20230214_0000010525_Sante_Clients_Prestation.csv</t>
  </si>
  <si>
    <t>C:\CompteResultat\App_Data\Imports\CRS SANTE 2022-2023-06-12T09-11-35\TF_20230214_0000010525_Sante_Clients_Cotisation.csv</t>
  </si>
  <si>
    <t>C:\CompteResultat\App_Data\Imports\CRS SANTE 2022-2023-06-12T09-11-35\TF_20230214_0000010525_Sante_Clients_Demographie.csv</t>
  </si>
  <si>
    <t>C:\CompteResultat\App_Data\Imports\CRS SANTE 2022-2023-06-12T09-11-35\TF_20230214_0000010525_Sante_Clients_Prestation.csv</t>
  </si>
  <si>
    <t>C:\CompteResultat\App_Data\Imports\CRP PREVOYANCE 2022-2023-05-26T13-59-18\CRPS_Prev_DetailCotis2022.xlsx</t>
  </si>
  <si>
    <t>C:\CompteResultat\App_Data\Imports\CRP PREVOYANCE 2022-2023-05-26T13-59-18\DecomptePrev2022.xlsx</t>
  </si>
  <si>
    <t>C:\CompteResultat\App_Data\Imports\CRP PREVOYANCE 2022-2023-05-26T13-59-18\Import_ProvisionsPrev_2022.xlsx</t>
  </si>
  <si>
    <t>C:\CompteResultat\App_Data\Imports\CRP PREVOYANCE 2022-2023-05-26T13-59-18\SinistrePrev2022.xlsx</t>
  </si>
  <si>
    <t>C:\CompteResultat\App_Data\Imports\CRP PREVOYANCE 2022-2023-05-26T13-59-18\TF_CRPS_Prev_DetailCotis2022.csv</t>
  </si>
  <si>
    <t>C:\CompteResultat\App_Data\Imports\CRP PREVOYANCE 2022-2023-05-26T13-59-18\TF_DecomptePrev2022.csv</t>
  </si>
  <si>
    <t>C:\CompteResultat\App_Data\Imports\CRP PREVOYANCE 2022-2023-05-26T13-59-18\TF_Import_ProvisionsPrev_2022.csv</t>
  </si>
  <si>
    <t>C:\CompteResultat\App_Data\Imports\CRP PREVOYANCE 2022-2023-05-26T13-59-18\TF_SinistrePrev2022.csv</t>
  </si>
  <si>
    <t>Code collège</t>
  </si>
  <si>
    <t>Libellé collège</t>
  </si>
  <si>
    <t>ACTIFS</t>
  </si>
  <si>
    <t>Numéro chronologique</t>
  </si>
  <si>
    <t>Traitement concerné</t>
  </si>
  <si>
    <t>Libellé Famille</t>
  </si>
  <si>
    <t>Libellé Acte</t>
  </si>
  <si>
    <t>Libellé de l'erreur</t>
  </si>
  <si>
    <t>NOTRE EXPERIENCE année 2022</t>
  </si>
  <si>
    <t>Source -&gt; Onglet Résultats</t>
  </si>
  <si>
    <t>ECART ( = Résultats - CONTROLE)</t>
  </si>
  <si>
    <t>A U C U N    E C A R T</t>
  </si>
  <si>
    <t>CONFORT</t>
  </si>
  <si>
    <t>ESSENTIELLE</t>
  </si>
  <si>
    <t>NONCONNU</t>
  </si>
  <si>
    <t>PRIVILEGE</t>
  </si>
  <si>
    <t>SUR MESURE</t>
  </si>
  <si>
    <t>VITAKER A0</t>
  </si>
  <si>
    <t>CONFORT_</t>
  </si>
  <si>
    <t>ESSENTIELLE_</t>
  </si>
  <si>
    <t>NONCONNU_</t>
  </si>
  <si>
    <t>PRIVILEGE_</t>
  </si>
  <si>
    <t>SUR MESURE_</t>
  </si>
  <si>
    <t>VITAKER A0_</t>
  </si>
  <si>
    <t>VITAKER A4_</t>
  </si>
  <si>
    <t>MAXIKER</t>
  </si>
  <si>
    <t>VITAKER A2</t>
  </si>
  <si>
    <t>VITAKER A3</t>
  </si>
  <si>
    <t>MAXIKER_</t>
  </si>
  <si>
    <t>VITAKER A2_</t>
  </si>
  <si>
    <t>VITAKER A3_</t>
  </si>
  <si>
    <t>VITAKER A3 ALSACE</t>
  </si>
  <si>
    <t>VITAKER A3 ALSACE_</t>
  </si>
  <si>
    <t>MAXIKER A4</t>
  </si>
  <si>
    <t>VITAKER A0 ALSACE</t>
  </si>
  <si>
    <t>VITAKER A1</t>
  </si>
  <si>
    <t>VITAKER A1 ALSACE</t>
  </si>
  <si>
    <t>VITAKER A2 ALSACE</t>
  </si>
  <si>
    <t>VITAKER A4 ALSACE</t>
  </si>
  <si>
    <t>VITAKER ANI</t>
  </si>
  <si>
    <t>MAXIKER A4_</t>
  </si>
  <si>
    <t>VITAKER A0 ALSACE_</t>
  </si>
  <si>
    <t>VITAKER A1 ALSACE_</t>
  </si>
  <si>
    <t>VITAKER A1_</t>
  </si>
  <si>
    <t>VITAKER A2 ALSACE_</t>
  </si>
  <si>
    <t>VITAKER A4 ALSACE_</t>
  </si>
  <si>
    <t>VITAKER ANI_</t>
  </si>
  <si>
    <t>KERIALIS_ : Détail des Prestations Réglées - Synthèse par famille d'actes - année 2022</t>
  </si>
  <si>
    <t>SANTE_1AN</t>
  </si>
  <si>
    <t>Effectif 2022</t>
  </si>
  <si>
    <t>60000016 - 60000017 - 60000018 - 60000087</t>
  </si>
  <si>
    <t>1 janvier 2022 au 31 décembre 2022</t>
  </si>
  <si>
    <t>31 décembre 2022</t>
  </si>
  <si>
    <t>OUI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</si>
</sst>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8" formatCode="#,##0.00\ &quot;€&quot;;[Red]\-#,##0.00\ &quot;€&quot;"/>
    <numFmt numFmtId="164" formatCode="_(&quot;€&quot;* #,##0.00_);_(&quot;€&quot;* \(#,##0.00\);_(&quot;€&quot;* &quot;-&quot;??_);_(@_)"/>
    <numFmt numFmtId="165" formatCode="_(* #,##0.00_);_(* \(#,##0.00\);_(* &quot;-&quot;??_);_(@_)"/>
    <numFmt numFmtId="166" formatCode="#,##0\ &quot;€&quot;"/>
    <numFmt numFmtId="167" formatCode="0.0000000000000000"/>
    <numFmt numFmtId="168" formatCode="_-* #,##0\ _€_-;\-* #,##0\ _€_-;_-* &quot;-&quot;??\ _€_-;_-@_-"/>
    <numFmt numFmtId="169" formatCode="_-* #,##0.0\ _€_-;\-* #,##0.0\ _€_-;_-* &quot;-&quot;??\ _€_-;_-@_-"/>
    <numFmt numFmtId="170" formatCode="0.0%"/>
    <numFmt numFmtId="171" formatCode="_-* #,##0\ &quot;€&quot;_-;\-* #,##0\ &quot;€&quot;_-;_-* &quot;-&quot;??\ &quot;€&quot;_-;_-@_-"/>
    <numFmt numFmtId="172" formatCode="#,##0.00\ &quot;€&quot;"/>
    <numFmt numFmtId="173" formatCode="0_ ;[Red]\-0\ "/>
    <numFmt numFmtId="174" formatCode="#,##0.00\ _€"/>
  </numFmts>
  <fonts count="65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4"/>
      <name val="DINBek"/>
    </font>
    <font>
      <sz val="14"/>
      <color theme="1"/>
      <name val="DINBek"/>
    </font>
    <font>
      <b/>
      <sz val="14"/>
      <color theme="0"/>
      <name val="DINBek"/>
    </font>
    <font>
      <sz val="14"/>
      <color theme="1"/>
      <name val="Calibri"/>
      <family val="2"/>
      <scheme val="minor"/>
    </font>
    <font>
      <b/>
      <i/>
      <sz val="14"/>
      <color indexed="9"/>
      <name val="DINBek"/>
    </font>
    <font>
      <sz val="12"/>
      <name val="DINBek"/>
    </font>
    <font>
      <b/>
      <sz val="12"/>
      <color theme="0"/>
      <name val="DINBek"/>
    </font>
    <font>
      <sz val="12"/>
      <color theme="0"/>
      <name val="DINBek"/>
    </font>
    <font>
      <b/>
      <sz val="12"/>
      <name val="DINBek"/>
    </font>
    <font>
      <sz val="10"/>
      <name val="DINBek"/>
    </font>
    <font>
      <b/>
      <sz val="10"/>
      <color theme="0"/>
      <name val="DINBek"/>
    </font>
    <font>
      <sz val="10"/>
      <color theme="1"/>
      <name val="Calibri"/>
      <family val="2"/>
      <scheme val="minor"/>
    </font>
    <font>
      <sz val="10"/>
      <color theme="0"/>
      <name val="DINBek"/>
    </font>
    <font>
      <b/>
      <sz val="10"/>
      <name val="DINBek"/>
    </font>
    <font>
      <sz val="11"/>
      <name val="Calibri"/>
      <family val="2"/>
      <scheme val="minor"/>
    </font>
    <font>
      <b/>
      <sz val="14"/>
      <color theme="1"/>
      <name val="DINBek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6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sz val="12"/>
      <color theme="1"/>
      <name val="DINBek"/>
    </font>
    <font>
      <sz val="11"/>
      <name val="Calibri"/>
      <family val="2"/>
    </font>
    <font>
      <sz val="11"/>
      <color rgb="FF00B0F0"/>
      <name val="Calibri"/>
      <family val="2"/>
    </font>
    <font>
      <sz val="10"/>
      <color theme="0"/>
      <name val="Arial"/>
      <family val="2"/>
    </font>
    <font>
      <sz val="11"/>
      <color rgb="FF00B050"/>
      <name val="Calibri"/>
      <family val="2"/>
      <scheme val="minor"/>
    </font>
    <font>
      <sz val="11"/>
      <color rgb="FF92D05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4FACBE"/>
      <name val="Calibri"/>
      <family val="2"/>
      <scheme val="minor"/>
    </font>
    <font>
      <b/>
      <sz val="36"/>
      <color rgb="FF4FACBE"/>
      <name val="DINbek Medium"/>
    </font>
    <font>
      <sz val="26"/>
      <color rgb="FF4FACBE"/>
      <name val="Calibri"/>
      <family val="2"/>
      <scheme val="minor"/>
    </font>
    <font>
      <b/>
      <sz val="26"/>
      <color rgb="FF4FACBE"/>
      <name val="DINBek"/>
    </font>
    <font>
      <sz val="10"/>
      <color rgb="FF4FACBE"/>
      <name val="Arial"/>
      <family val="2"/>
    </font>
    <font>
      <sz val="26"/>
      <color rgb="FF4FACBE"/>
      <name val="DINBek"/>
    </font>
    <font>
      <b/>
      <sz val="26"/>
      <color rgb="FF4FACBE"/>
      <name val="Arial"/>
      <family val="2"/>
    </font>
    <font>
      <sz val="26"/>
      <color rgb="FF4FACBE"/>
      <name val="Arial"/>
      <family val="2"/>
    </font>
    <font>
      <sz val="14"/>
      <color rgb="FF4FACBE"/>
      <name val="DINBek"/>
    </font>
    <font>
      <b/>
      <sz val="10"/>
      <color rgb="FF4FACBE"/>
      <name val="DINBek"/>
    </font>
    <font>
      <sz val="12"/>
      <color rgb="FF4FACBE"/>
      <name val="DINBek"/>
    </font>
    <font>
      <b/>
      <sz val="14"/>
      <color rgb="FF4FACBE"/>
      <name val="DINBek"/>
    </font>
    <font>
      <sz val="14"/>
      <color rgb="FF4FACBE"/>
      <name val="Calibri"/>
      <family val="2"/>
      <scheme val="minor"/>
    </font>
    <font>
      <sz val="12"/>
      <color rgb="FF4FACBE"/>
      <name val="Wingdings"/>
      <charset val="2"/>
    </font>
    <font>
      <sz val="11"/>
      <color rgb="FF4FACBE"/>
      <name val="Calibri"/>
      <family val="2"/>
    </font>
    <font>
      <sz val="9"/>
      <color rgb="FF4FACBE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24"/>
      <color rgb="FF4FACBE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name val="Arial"/>
      <family val="2"/>
    </font>
    <font>
      <sz val="14"/>
      <color rgb="FF4FACBE"/>
      <name val="Wingdings"/>
      <charset val="2"/>
    </font>
    <font>
      <b/>
      <sz val="11"/>
      <color theme="1"/>
      <name val="Calibri"/>
      <family val="2"/>
      <scheme val="minor"/>
    </font>
    <font>
      <b/>
      <sz val="24"/>
      <color rgb="FF4FACBE"/>
      <name val="DINBek"/>
    </font>
    <font>
      <b/>
      <sz val="18"/>
      <color theme="2" tint="-0.499984740745262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20"/>
      <color rgb="FFFF0000"/>
      <name val="DINBek"/>
    </font>
    <font>
      <sz val="11"/>
      <name val="DINBek"/>
    </font>
    <font>
      <sz val="14"/>
      <name val="Arial"/>
      <family val="2"/>
    </font>
    <font>
      <sz val="12"/>
      <name val="Arial"/>
      <family val="2"/>
    </font>
    <font>
      <sz val="12"/>
      <name val="Wingdings"/>
      <charset val="2"/>
    </font>
    <font>
      <sz val="11"/>
      <color rgb="FF000000"/>
      <name val="Calibri"/>
      <family val="2"/>
    </font>
    <font>
      <b/>
      <sz val="11"/>
      <color rgb="FFFF0000"/>
      <name val="Calibri"/>
      <family val="2"/>
      <scheme val="minor"/>
    </font>
    <font>
      <sz val="16"/>
      <name val="Calibri"/>
      <family val="2"/>
      <scheme val="minor"/>
    </font>
    <font>
      <sz val="12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4FACBE"/>
        <bgColor indexed="64"/>
      </patternFill>
    </fill>
    <fill>
      <patternFill patternType="solid">
        <fgColor rgb="FF92D050"/>
        <bgColor indexed="64"/>
      </patternFill>
    </fill>
  </fills>
  <borders count="58">
    <border>
      <left/>
      <right/>
      <top/>
      <bottom/>
      <diagonal/>
    </border>
    <border>
      <left style="thin">
        <color theme="8" tint="-0.499984740745262"/>
      </left>
      <right style="medium">
        <color theme="3"/>
      </right>
      <top style="medium">
        <color theme="3"/>
      </top>
      <bottom style="medium">
        <color theme="3"/>
      </bottom>
      <diagonal/>
    </border>
    <border>
      <left style="medium">
        <color theme="3"/>
      </left>
      <right style="medium">
        <color theme="3"/>
      </right>
      <top style="medium">
        <color theme="3"/>
      </top>
      <bottom style="medium">
        <color theme="3"/>
      </bottom>
      <diagonal/>
    </border>
    <border>
      <left style="thin">
        <color theme="8" tint="-0.24994659260841701"/>
      </left>
      <right/>
      <top style="thin">
        <color theme="8" tint="-0.24994659260841701"/>
      </top>
      <bottom/>
      <diagonal/>
    </border>
    <border>
      <left/>
      <right/>
      <top style="thin">
        <color theme="8" tint="-0.24994659260841701"/>
      </top>
      <bottom/>
      <diagonal/>
    </border>
    <border>
      <left/>
      <right style="thin">
        <color theme="8" tint="-0.24994659260841701"/>
      </right>
      <top style="thin">
        <color theme="8" tint="-0.24994659260841701"/>
      </top>
      <bottom/>
      <diagonal/>
    </border>
    <border>
      <left style="thin">
        <color theme="8" tint="-0.24994659260841701"/>
      </left>
      <right/>
      <top/>
      <bottom/>
      <diagonal/>
    </border>
    <border>
      <left/>
      <right style="thin">
        <color theme="8" tint="-0.24994659260841701"/>
      </right>
      <top/>
      <bottom/>
      <diagonal/>
    </border>
    <border>
      <left style="thin">
        <color theme="8" tint="-0.24994659260841701"/>
      </left>
      <right/>
      <top/>
      <bottom style="thin">
        <color theme="8" tint="-0.24994659260841701"/>
      </bottom>
      <diagonal/>
    </border>
    <border>
      <left/>
      <right/>
      <top/>
      <bottom style="thin">
        <color theme="8" tint="-0.24994659260841701"/>
      </bottom>
      <diagonal/>
    </border>
    <border>
      <left/>
      <right style="thin">
        <color theme="8" tint="-0.24994659260841701"/>
      </right>
      <top/>
      <bottom style="thin">
        <color theme="8" tint="-0.24994659260841701"/>
      </bottom>
      <diagonal/>
    </border>
    <border>
      <left style="medium">
        <color theme="8" tint="-0.499984740745262"/>
      </left>
      <right/>
      <top style="medium">
        <color theme="8" tint="-0.499984740745262"/>
      </top>
      <bottom style="medium">
        <color theme="8" tint="-0.499984740745262"/>
      </bottom>
      <diagonal/>
    </border>
    <border>
      <left/>
      <right/>
      <top style="medium">
        <color theme="8" tint="-0.499984740745262"/>
      </top>
      <bottom style="medium">
        <color theme="8" tint="-0.499984740745262"/>
      </bottom>
      <diagonal/>
    </border>
    <border>
      <left/>
      <right style="medium">
        <color theme="8" tint="-0.499984740745262"/>
      </right>
      <top style="medium">
        <color theme="8" tint="-0.499984740745262"/>
      </top>
      <bottom style="medium">
        <color theme="8" tint="-0.499984740745262"/>
      </bottom>
      <diagonal/>
    </border>
    <border>
      <left style="medium">
        <color theme="3"/>
      </left>
      <right style="dotted">
        <color theme="3"/>
      </right>
      <top style="medium">
        <color theme="3"/>
      </top>
      <bottom/>
      <diagonal/>
    </border>
    <border>
      <left style="medium">
        <color theme="3"/>
      </left>
      <right style="medium">
        <color theme="3"/>
      </right>
      <top style="medium">
        <color theme="3"/>
      </top>
      <bottom style="hair">
        <color theme="3"/>
      </bottom>
      <diagonal/>
    </border>
    <border>
      <left style="medium">
        <color theme="3"/>
      </left>
      <right style="dotted">
        <color theme="3"/>
      </right>
      <top style="medium">
        <color theme="3"/>
      </top>
      <bottom style="hair">
        <color theme="3"/>
      </bottom>
      <diagonal/>
    </border>
    <border>
      <left/>
      <right style="medium">
        <color theme="3"/>
      </right>
      <top style="medium">
        <color theme="3"/>
      </top>
      <bottom style="hair">
        <color theme="3"/>
      </bottom>
      <diagonal/>
    </border>
    <border>
      <left style="medium">
        <color theme="3"/>
      </left>
      <right style="medium">
        <color theme="3"/>
      </right>
      <top style="medium">
        <color theme="3"/>
      </top>
      <bottom/>
      <diagonal/>
    </border>
    <border>
      <left/>
      <right style="medium">
        <color theme="3"/>
      </right>
      <top style="medium">
        <color theme="3"/>
      </top>
      <bottom style="medium">
        <color theme="3"/>
      </bottom>
      <diagonal/>
    </border>
    <border>
      <left style="medium">
        <color theme="3"/>
      </left>
      <right style="medium">
        <color theme="3"/>
      </right>
      <top style="hair">
        <color theme="3"/>
      </top>
      <bottom style="medium">
        <color theme="3"/>
      </bottom>
      <diagonal/>
    </border>
    <border>
      <left style="medium">
        <color theme="3"/>
      </left>
      <right style="medium">
        <color theme="3"/>
      </right>
      <top/>
      <bottom style="medium">
        <color theme="3"/>
      </bottom>
      <diagonal/>
    </border>
    <border>
      <left style="medium">
        <color theme="3"/>
      </left>
      <right style="dotted">
        <color theme="3"/>
      </right>
      <top/>
      <bottom style="medium">
        <color theme="3"/>
      </bottom>
      <diagonal/>
    </border>
    <border>
      <left/>
      <right style="medium">
        <color theme="3"/>
      </right>
      <top/>
      <bottom style="medium">
        <color theme="3"/>
      </bottom>
      <diagonal/>
    </border>
    <border>
      <left style="medium">
        <color theme="0"/>
      </left>
      <right style="medium">
        <color theme="3"/>
      </right>
      <top style="medium">
        <color theme="3"/>
      </top>
      <bottom style="medium">
        <color theme="3"/>
      </bottom>
      <diagonal/>
    </border>
    <border>
      <left style="medium">
        <color theme="3"/>
      </left>
      <right style="medium">
        <color theme="3"/>
      </right>
      <top style="hair">
        <color theme="3"/>
      </top>
      <bottom/>
      <diagonal/>
    </border>
    <border>
      <left style="medium">
        <color theme="3"/>
      </left>
      <right/>
      <top style="medium">
        <color theme="3"/>
      </top>
      <bottom style="medium">
        <color theme="3"/>
      </bottom>
      <diagonal/>
    </border>
    <border>
      <left style="medium">
        <color theme="3"/>
      </left>
      <right/>
      <top style="medium">
        <color theme="3"/>
      </top>
      <bottom/>
      <diagonal/>
    </border>
    <border>
      <left style="medium">
        <color theme="3"/>
      </left>
      <right style="medium">
        <color theme="3"/>
      </right>
      <top style="hair">
        <color theme="3"/>
      </top>
      <bottom style="hair">
        <color theme="3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theme="3"/>
      </left>
      <right style="dotted">
        <color theme="3"/>
      </right>
      <top/>
      <bottom/>
      <diagonal/>
    </border>
    <border>
      <left style="medium">
        <color theme="3"/>
      </left>
      <right style="medium">
        <color theme="3"/>
      </right>
      <top/>
      <bottom/>
      <diagonal/>
    </border>
    <border>
      <left/>
      <right style="medium">
        <color theme="3"/>
      </right>
      <top/>
      <bottom/>
      <diagonal/>
    </border>
    <border>
      <left style="medium">
        <color theme="3"/>
      </left>
      <right style="dotted">
        <color theme="3"/>
      </right>
      <top style="medium">
        <color theme="3"/>
      </top>
      <bottom style="medium">
        <color theme="3"/>
      </bottom>
      <diagonal/>
    </border>
    <border>
      <left style="thin">
        <color indexed="64"/>
      </left>
      <right style="medium">
        <color theme="3"/>
      </right>
      <top style="medium">
        <color theme="3"/>
      </top>
      <bottom style="thin">
        <color indexed="64"/>
      </bottom>
      <diagonal/>
    </border>
    <border>
      <left style="thin">
        <color indexed="64"/>
      </left>
      <right style="medium">
        <color theme="3"/>
      </right>
      <top style="thin">
        <color indexed="64"/>
      </top>
      <bottom style="medium">
        <color theme="3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theme="3"/>
      </left>
      <right/>
      <top/>
      <bottom style="medium">
        <color theme="3"/>
      </bottom>
      <diagonal/>
    </border>
    <border>
      <left style="medium">
        <color theme="3"/>
      </left>
      <right/>
      <top style="medium">
        <color theme="3"/>
      </top>
      <bottom style="hair">
        <color theme="3"/>
      </bottom>
      <diagonal/>
    </border>
    <border>
      <left style="medium">
        <color theme="3"/>
      </left>
      <right/>
      <top style="hair">
        <color theme="3"/>
      </top>
      <bottom style="medium">
        <color theme="3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theme="3"/>
      </bottom>
      <diagonal/>
    </border>
    <border>
      <left style="medium">
        <color indexed="64"/>
      </left>
      <right style="medium">
        <color indexed="64"/>
      </right>
      <top style="medium">
        <color theme="3"/>
      </top>
      <bottom style="hair">
        <color theme="3"/>
      </bottom>
      <diagonal/>
    </border>
    <border>
      <left style="medium">
        <color indexed="64"/>
      </left>
      <right style="medium">
        <color indexed="64"/>
      </right>
      <top style="hair">
        <color theme="3"/>
      </top>
      <bottom style="medium">
        <color theme="3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2">
    <xf numFmtId="0" fontId="0" fillId="0" borderId="0"/>
    <xf numFmtId="165" fontId="1" fillId="0" borderId="0"/>
    <xf numFmtId="164" fontId="1" fillId="0" borderId="0"/>
    <xf numFmtId="164" fontId="1" fillId="0" borderId="0"/>
    <xf numFmtId="0" fontId="3" fillId="0" borderId="0"/>
    <xf numFmtId="0" fontId="3" fillId="0" borderId="0"/>
    <xf numFmtId="0" fontId="25" fillId="0" borderId="0"/>
    <xf numFmtId="0" fontId="3" fillId="0" borderId="0"/>
    <xf numFmtId="0" fontId="3" fillId="0" borderId="0"/>
    <xf numFmtId="9" fontId="1" fillId="0" borderId="0"/>
    <xf numFmtId="9" fontId="3" fillId="0" borderId="0"/>
    <xf numFmtId="9" fontId="1" fillId="0" borderId="0"/>
  </cellStyleXfs>
  <cellXfs count="261">
    <xf numFmtId="0" fontId="0" fillId="0" borderId="0" xfId="0"/>
    <xf numFmtId="0" fontId="3" fillId="0" borderId="0" xfId="4"/>
    <xf numFmtId="0" fontId="0" fillId="0" borderId="6" xfId="0" applyBorder="1"/>
    <xf numFmtId="0" fontId="0" fillId="0" borderId="8" xfId="0" applyBorder="1"/>
    <xf numFmtId="0" fontId="0" fillId="0" borderId="9" xfId="0" applyBorder="1"/>
    <xf numFmtId="0" fontId="2" fillId="0" borderId="0" xfId="0" applyFont="1"/>
    <xf numFmtId="0" fontId="4" fillId="2" borderId="0" xfId="7" applyFont="1" applyFill="1"/>
    <xf numFmtId="0" fontId="5" fillId="0" borderId="0" xfId="0" applyFont="1" applyAlignment="1">
      <alignment horizontal="left" vertical="center"/>
    </xf>
    <xf numFmtId="0" fontId="5" fillId="0" borderId="0" xfId="4" applyFont="1" applyAlignment="1">
      <alignment horizontal="center" vertical="center"/>
    </xf>
    <xf numFmtId="0" fontId="6" fillId="2" borderId="0" xfId="7" applyFont="1" applyFill="1" applyAlignment="1">
      <alignment vertical="center"/>
    </xf>
    <xf numFmtId="9" fontId="6" fillId="2" borderId="0" xfId="9" applyFont="1" applyFill="1" applyAlignment="1">
      <alignment horizontal="center" vertical="center" wrapText="1"/>
    </xf>
    <xf numFmtId="0" fontId="7" fillId="0" borderId="0" xfId="0" applyFont="1"/>
    <xf numFmtId="0" fontId="8" fillId="2" borderId="0" xfId="7" applyFont="1" applyFill="1" applyAlignment="1">
      <alignment vertical="center" wrapText="1"/>
    </xf>
    <xf numFmtId="0" fontId="9" fillId="0" borderId="0" xfId="4" applyFont="1"/>
    <xf numFmtId="0" fontId="9" fillId="0" borderId="0" xfId="4" applyFont="1" applyAlignment="1">
      <alignment horizontal="center" vertical="center"/>
    </xf>
    <xf numFmtId="0" fontId="9" fillId="0" borderId="15" xfId="4" applyFont="1" applyBorder="1" applyAlignment="1">
      <alignment horizontal="center" vertical="center"/>
    </xf>
    <xf numFmtId="0" fontId="10" fillId="3" borderId="21" xfId="4" applyFont="1" applyFill="1" applyBorder="1" applyAlignment="1">
      <alignment horizontal="center" vertical="center"/>
    </xf>
    <xf numFmtId="0" fontId="11" fillId="4" borderId="14" xfId="4" applyFont="1" applyFill="1" applyBorder="1" applyAlignment="1">
      <alignment horizontal="center" vertical="center" wrapText="1"/>
    </xf>
    <xf numFmtId="0" fontId="9" fillId="0" borderId="16" xfId="4" applyFont="1" applyBorder="1" applyAlignment="1">
      <alignment horizontal="center" vertical="center"/>
    </xf>
    <xf numFmtId="1" fontId="9" fillId="0" borderId="17" xfId="4" applyNumberFormat="1" applyFont="1" applyBorder="1" applyAlignment="1">
      <alignment horizontal="center" vertical="center"/>
    </xf>
    <xf numFmtId="0" fontId="10" fillId="3" borderId="22" xfId="4" applyFont="1" applyFill="1" applyBorder="1" applyAlignment="1">
      <alignment horizontal="center" vertical="center"/>
    </xf>
    <xf numFmtId="1" fontId="10" fillId="3" borderId="23" xfId="4" applyNumberFormat="1" applyFont="1" applyFill="1" applyBorder="1" applyAlignment="1">
      <alignment horizontal="center" vertical="center"/>
    </xf>
    <xf numFmtId="0" fontId="9" fillId="0" borderId="15" xfId="4" applyFont="1" applyBorder="1" applyAlignment="1">
      <alignment horizontal="center"/>
    </xf>
    <xf numFmtId="1" fontId="9" fillId="0" borderId="15" xfId="4" applyNumberFormat="1" applyFont="1" applyBorder="1" applyAlignment="1">
      <alignment horizontal="center"/>
    </xf>
    <xf numFmtId="0" fontId="9" fillId="0" borderId="25" xfId="4" applyFont="1" applyBorder="1" applyAlignment="1">
      <alignment horizontal="center"/>
    </xf>
    <xf numFmtId="1" fontId="9" fillId="0" borderId="25" xfId="4" applyNumberFormat="1" applyFont="1" applyBorder="1" applyAlignment="1">
      <alignment horizontal="center"/>
    </xf>
    <xf numFmtId="0" fontId="9" fillId="0" borderId="2" xfId="4" applyFont="1" applyBorder="1" applyAlignment="1">
      <alignment horizontal="center"/>
    </xf>
    <xf numFmtId="1" fontId="11" fillId="0" borderId="27" xfId="4" applyNumberFormat="1" applyFont="1" applyBorder="1" applyAlignment="1">
      <alignment horizontal="center"/>
    </xf>
    <xf numFmtId="0" fontId="3" fillId="0" borderId="19" xfId="4" applyBorder="1"/>
    <xf numFmtId="1" fontId="9" fillId="5" borderId="17" xfId="9" applyNumberFormat="1" applyFont="1" applyFill="1" applyBorder="1" applyAlignment="1">
      <alignment horizontal="center" vertical="center"/>
    </xf>
    <xf numFmtId="1" fontId="10" fillId="3" borderId="23" xfId="9" applyNumberFormat="1" applyFont="1" applyFill="1" applyBorder="1" applyAlignment="1">
      <alignment horizontal="center" vertical="center"/>
    </xf>
    <xf numFmtId="0" fontId="11" fillId="4" borderId="18" xfId="4" applyFont="1" applyFill="1" applyBorder="1" applyAlignment="1">
      <alignment horizontal="center" vertical="center" wrapText="1"/>
    </xf>
    <xf numFmtId="0" fontId="15" fillId="0" borderId="0" xfId="0" applyFont="1"/>
    <xf numFmtId="0" fontId="0" fillId="0" borderId="0" xfId="0" quotePrefix="1"/>
    <xf numFmtId="0" fontId="13" fillId="0" borderId="0" xfId="4" applyFont="1"/>
    <xf numFmtId="1" fontId="0" fillId="0" borderId="0" xfId="0" applyNumberFormat="1"/>
    <xf numFmtId="166" fontId="2" fillId="0" borderId="0" xfId="0" applyNumberFormat="1" applyFont="1"/>
    <xf numFmtId="166" fontId="0" fillId="0" borderId="0" xfId="0" applyNumberFormat="1"/>
    <xf numFmtId="166" fontId="4" fillId="0" borderId="0" xfId="7" applyNumberFormat="1" applyFont="1" applyAlignment="1">
      <alignment horizontal="left"/>
    </xf>
    <xf numFmtId="166" fontId="5" fillId="0" borderId="0" xfId="0" applyNumberFormat="1" applyFont="1" applyAlignment="1">
      <alignment horizontal="left" vertical="center"/>
    </xf>
    <xf numFmtId="166" fontId="5" fillId="0" borderId="0" xfId="4" applyNumberFormat="1" applyFont="1" applyAlignment="1">
      <alignment horizontal="center" vertical="center"/>
    </xf>
    <xf numFmtId="166" fontId="5" fillId="0" borderId="2" xfId="4" applyNumberFormat="1" applyFont="1" applyBorder="1" applyAlignment="1">
      <alignment horizontal="center" vertical="center"/>
    </xf>
    <xf numFmtId="166" fontId="4" fillId="2" borderId="0" xfId="7" applyNumberFormat="1" applyFont="1" applyFill="1"/>
    <xf numFmtId="166" fontId="4" fillId="2" borderId="0" xfId="7" applyNumberFormat="1" applyFont="1" applyFill="1" applyAlignment="1">
      <alignment horizontal="center"/>
    </xf>
    <xf numFmtId="166" fontId="0" fillId="0" borderId="9" xfId="0" applyNumberFormat="1" applyBorder="1"/>
    <xf numFmtId="0" fontId="18" fillId="0" borderId="0" xfId="0" applyFont="1"/>
    <xf numFmtId="0" fontId="19" fillId="2" borderId="0" xfId="4" applyFont="1" applyFill="1" applyAlignment="1">
      <alignment horizontal="center" vertical="center"/>
    </xf>
    <xf numFmtId="9" fontId="5" fillId="0" borderId="0" xfId="9" applyFont="1" applyAlignment="1">
      <alignment horizontal="center" vertical="center"/>
    </xf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7" xfId="0" applyBorder="1"/>
    <xf numFmtId="0" fontId="0" fillId="0" borderId="10" xfId="0" applyBorder="1"/>
    <xf numFmtId="166" fontId="0" fillId="0" borderId="4" xfId="0" applyNumberFormat="1" applyBorder="1"/>
    <xf numFmtId="2" fontId="0" fillId="0" borderId="0" xfId="0" applyNumberFormat="1"/>
    <xf numFmtId="168" fontId="17" fillId="5" borderId="35" xfId="1" applyNumberFormat="1" applyFont="1" applyFill="1" applyBorder="1" applyAlignment="1">
      <alignment horizontal="right" vertical="center"/>
    </xf>
    <xf numFmtId="166" fontId="17" fillId="5" borderId="35" xfId="4" applyNumberFormat="1" applyFont="1" applyFill="1" applyBorder="1" applyAlignment="1">
      <alignment horizontal="right" vertical="center"/>
    </xf>
    <xf numFmtId="9" fontId="17" fillId="5" borderId="35" xfId="4" applyNumberFormat="1" applyFont="1" applyFill="1" applyBorder="1" applyAlignment="1">
      <alignment horizontal="right" vertical="center"/>
    </xf>
    <xf numFmtId="0" fontId="2" fillId="2" borderId="0" xfId="0" applyFont="1" applyFill="1"/>
    <xf numFmtId="0" fontId="0" fillId="2" borderId="0" xfId="0" applyFill="1"/>
    <xf numFmtId="0" fontId="27" fillId="0" borderId="0" xfId="4" applyFont="1"/>
    <xf numFmtId="0" fontId="26" fillId="0" borderId="0" xfId="0" applyFont="1" applyAlignment="1">
      <alignment horizontal="center" vertical="center"/>
    </xf>
    <xf numFmtId="0" fontId="26" fillId="0" borderId="0" xfId="0" applyFont="1" applyAlignment="1">
      <alignment vertical="center"/>
    </xf>
    <xf numFmtId="0" fontId="26" fillId="2" borderId="0" xfId="0" applyFont="1" applyFill="1" applyAlignment="1">
      <alignment vertical="center"/>
    </xf>
    <xf numFmtId="10" fontId="29" fillId="0" borderId="0" xfId="0" applyNumberFormat="1" applyFont="1" applyAlignment="1">
      <alignment horizontal="center" vertical="center"/>
    </xf>
    <xf numFmtId="10" fontId="28" fillId="0" borderId="0" xfId="0" applyNumberFormat="1" applyFont="1" applyAlignment="1">
      <alignment horizontal="center" vertical="center"/>
    </xf>
    <xf numFmtId="169" fontId="17" fillId="5" borderId="35" xfId="1" applyNumberFormat="1" applyFont="1" applyFill="1" applyBorder="1" applyAlignment="1">
      <alignment horizontal="right" vertical="center"/>
    </xf>
    <xf numFmtId="10" fontId="28" fillId="0" borderId="0" xfId="0" applyNumberFormat="1" applyFont="1"/>
    <xf numFmtId="10" fontId="0" fillId="0" borderId="0" xfId="0" applyNumberFormat="1"/>
    <xf numFmtId="10" fontId="2" fillId="0" borderId="0" xfId="0" applyNumberFormat="1" applyFont="1"/>
    <xf numFmtId="10" fontId="0" fillId="0" borderId="9" xfId="0" applyNumberFormat="1" applyBorder="1"/>
    <xf numFmtId="0" fontId="31" fillId="0" borderId="0" xfId="0" applyFont="1"/>
    <xf numFmtId="0" fontId="31" fillId="0" borderId="3" xfId="0" applyFont="1" applyBorder="1"/>
    <xf numFmtId="0" fontId="31" fillId="0" borderId="4" xfId="0" applyFont="1" applyBorder="1"/>
    <xf numFmtId="0" fontId="31" fillId="0" borderId="5" xfId="0" applyFont="1" applyBorder="1"/>
    <xf numFmtId="0" fontId="31" fillId="0" borderId="6" xfId="0" applyFont="1" applyBorder="1"/>
    <xf numFmtId="0" fontId="31" fillId="0" borderId="7" xfId="0" applyFont="1" applyBorder="1"/>
    <xf numFmtId="0" fontId="32" fillId="0" borderId="0" xfId="8" applyFont="1" applyAlignment="1">
      <alignment horizontal="left" vertical="center"/>
    </xf>
    <xf numFmtId="0" fontId="31" fillId="0" borderId="0" xfId="0" applyFont="1" applyAlignment="1">
      <alignment horizontal="left" vertical="center"/>
    </xf>
    <xf numFmtId="0" fontId="33" fillId="0" borderId="0" xfId="0" applyFont="1"/>
    <xf numFmtId="0" fontId="31" fillId="0" borderId="6" xfId="0" applyFont="1" applyBorder="1" applyAlignment="1">
      <alignment wrapText="1"/>
    </xf>
    <xf numFmtId="0" fontId="31" fillId="0" borderId="7" xfId="0" applyFont="1" applyBorder="1" applyAlignment="1">
      <alignment wrapText="1"/>
    </xf>
    <xf numFmtId="0" fontId="33" fillId="0" borderId="6" xfId="0" applyFont="1" applyBorder="1"/>
    <xf numFmtId="0" fontId="33" fillId="0" borderId="0" xfId="0" applyFont="1" applyAlignment="1">
      <alignment horizontal="left" vertical="center"/>
    </xf>
    <xf numFmtId="0" fontId="34" fillId="0" borderId="0" xfId="8" applyFont="1" applyAlignment="1">
      <alignment horizontal="left" vertical="center"/>
    </xf>
    <xf numFmtId="0" fontId="33" fillId="0" borderId="7" xfId="0" applyFont="1" applyBorder="1"/>
    <xf numFmtId="0" fontId="33" fillId="0" borderId="0" xfId="0" applyFont="1" applyAlignment="1">
      <alignment vertical="center" wrapText="1"/>
    </xf>
    <xf numFmtId="0" fontId="35" fillId="0" borderId="0" xfId="8" applyFont="1" applyAlignment="1">
      <alignment horizontal="left" vertical="center"/>
    </xf>
    <xf numFmtId="0" fontId="36" fillId="0" borderId="0" xfId="8" applyFont="1" applyAlignment="1">
      <alignment horizontal="left" vertical="center"/>
    </xf>
    <xf numFmtId="0" fontId="37" fillId="0" borderId="0" xfId="8" applyFont="1" applyAlignment="1">
      <alignment horizontal="left" vertical="center"/>
    </xf>
    <xf numFmtId="0" fontId="38" fillId="0" borderId="0" xfId="8" applyFont="1" applyAlignment="1">
      <alignment horizontal="center"/>
    </xf>
    <xf numFmtId="0" fontId="31" fillId="0" borderId="8" xfId="0" applyFont="1" applyBorder="1"/>
    <xf numFmtId="0" fontId="31" fillId="0" borderId="9" xfId="0" applyFont="1" applyBorder="1"/>
    <xf numFmtId="0" fontId="31" fillId="0" borderId="10" xfId="0" applyFont="1" applyBorder="1"/>
    <xf numFmtId="0" fontId="39" fillId="0" borderId="0" xfId="7" quotePrefix="1" applyFont="1"/>
    <xf numFmtId="0" fontId="39" fillId="0" borderId="0" xfId="7" applyFont="1"/>
    <xf numFmtId="14" fontId="39" fillId="0" borderId="0" xfId="7" applyNumberFormat="1" applyFont="1" applyAlignment="1">
      <alignment horizontal="left"/>
    </xf>
    <xf numFmtId="166" fontId="6" fillId="8" borderId="2" xfId="4" applyNumberFormat="1" applyFont="1" applyFill="1" applyBorder="1" applyAlignment="1">
      <alignment horizontal="center" vertical="center" wrapText="1"/>
    </xf>
    <xf numFmtId="0" fontId="6" fillId="8" borderId="2" xfId="4" applyFont="1" applyFill="1" applyBorder="1" applyAlignment="1">
      <alignment horizontal="center" vertical="center" wrapText="1"/>
    </xf>
    <xf numFmtId="0" fontId="6" fillId="8" borderId="1" xfId="4" applyFont="1" applyFill="1" applyBorder="1" applyAlignment="1">
      <alignment horizontal="center" vertical="center"/>
    </xf>
    <xf numFmtId="0" fontId="6" fillId="8" borderId="0" xfId="4" applyFont="1" applyFill="1" applyAlignment="1">
      <alignment horizontal="center" vertical="center"/>
    </xf>
    <xf numFmtId="0" fontId="40" fillId="2" borderId="0" xfId="4" applyFont="1" applyFill="1" applyAlignment="1">
      <alignment horizontal="center" vertical="center"/>
    </xf>
    <xf numFmtId="0" fontId="13" fillId="2" borderId="0" xfId="7" applyFont="1" applyFill="1"/>
    <xf numFmtId="0" fontId="41" fillId="2" borderId="0" xfId="7" applyFont="1" applyFill="1"/>
    <xf numFmtId="0" fontId="39" fillId="0" borderId="0" xfId="0" applyFont="1" applyAlignment="1">
      <alignment horizontal="left" vertical="center"/>
    </xf>
    <xf numFmtId="0" fontId="39" fillId="2" borderId="0" xfId="7" applyFont="1" applyFill="1"/>
    <xf numFmtId="166" fontId="39" fillId="2" borderId="0" xfId="7" applyNumberFormat="1" applyFont="1" applyFill="1"/>
    <xf numFmtId="166" fontId="39" fillId="2" borderId="0" xfId="7" applyNumberFormat="1" applyFont="1" applyFill="1" applyAlignment="1">
      <alignment horizontal="center"/>
    </xf>
    <xf numFmtId="0" fontId="42" fillId="2" borderId="0" xfId="7" applyFont="1" applyFill="1" applyAlignment="1">
      <alignment vertical="center"/>
    </xf>
    <xf numFmtId="9" fontId="42" fillId="2" borderId="0" xfId="9" applyFont="1" applyFill="1" applyAlignment="1">
      <alignment horizontal="center" vertical="center" wrapText="1"/>
    </xf>
    <xf numFmtId="0" fontId="43" fillId="0" borderId="0" xfId="0" applyFont="1"/>
    <xf numFmtId="0" fontId="44" fillId="0" borderId="0" xfId="4" applyFont="1"/>
    <xf numFmtId="0" fontId="41" fillId="0" borderId="0" xfId="4" applyFont="1"/>
    <xf numFmtId="0" fontId="11" fillId="8" borderId="24" xfId="4" applyFont="1" applyFill="1" applyBorder="1" applyAlignment="1">
      <alignment horizontal="center" vertical="center" wrapText="1"/>
    </xf>
    <xf numFmtId="0" fontId="41" fillId="0" borderId="15" xfId="4" applyFont="1" applyBorder="1"/>
    <xf numFmtId="0" fontId="41" fillId="0" borderId="28" xfId="4" applyFont="1" applyBorder="1"/>
    <xf numFmtId="0" fontId="41" fillId="0" borderId="20" xfId="4" applyFont="1" applyBorder="1"/>
    <xf numFmtId="0" fontId="41" fillId="0" borderId="26" xfId="4" applyFont="1" applyBorder="1"/>
    <xf numFmtId="2" fontId="10" fillId="8" borderId="2" xfId="4" applyNumberFormat="1" applyFont="1" applyFill="1" applyBorder="1" applyAlignment="1">
      <alignment horizontal="center"/>
    </xf>
    <xf numFmtId="0" fontId="16" fillId="8" borderId="35" xfId="4" applyFont="1" applyFill="1" applyBorder="1" applyAlignment="1">
      <alignment horizontal="center" vertical="center" wrapText="1"/>
    </xf>
    <xf numFmtId="0" fontId="16" fillId="8" borderId="32" xfId="4" applyFont="1" applyFill="1" applyBorder="1" applyAlignment="1">
      <alignment horizontal="center" vertical="center" wrapText="1"/>
    </xf>
    <xf numFmtId="0" fontId="16" fillId="8" borderId="33" xfId="4" applyFont="1" applyFill="1" applyBorder="1" applyAlignment="1">
      <alignment horizontal="center" vertical="center" wrapText="1"/>
    </xf>
    <xf numFmtId="3" fontId="10" fillId="8" borderId="35" xfId="4" applyNumberFormat="1" applyFont="1" applyFill="1" applyBorder="1" applyAlignment="1">
      <alignment horizontal="right" vertical="center"/>
    </xf>
    <xf numFmtId="169" fontId="10" fillId="8" borderId="35" xfId="4" applyNumberFormat="1" applyFont="1" applyFill="1" applyBorder="1" applyAlignment="1">
      <alignment horizontal="right" vertical="center"/>
    </xf>
    <xf numFmtId="166" fontId="10" fillId="8" borderId="35" xfId="4" applyNumberFormat="1" applyFont="1" applyFill="1" applyBorder="1" applyAlignment="1">
      <alignment horizontal="right" vertical="center"/>
    </xf>
    <xf numFmtId="9" fontId="10" fillId="8" borderId="35" xfId="4" applyNumberFormat="1" applyFont="1" applyFill="1" applyBorder="1" applyAlignment="1">
      <alignment horizontal="right" vertical="center"/>
    </xf>
    <xf numFmtId="0" fontId="31" fillId="2" borderId="0" xfId="0" applyFont="1" applyFill="1"/>
    <xf numFmtId="0" fontId="46" fillId="2" borderId="0" xfId="0" applyFont="1" applyFill="1" applyAlignment="1">
      <alignment horizontal="center" vertical="center" wrapText="1"/>
    </xf>
    <xf numFmtId="0" fontId="45" fillId="2" borderId="0" xfId="0" applyFont="1" applyFill="1" applyAlignment="1">
      <alignment vertical="center"/>
    </xf>
    <xf numFmtId="0" fontId="30" fillId="0" borderId="0" xfId="0" applyFont="1"/>
    <xf numFmtId="0" fontId="17" fillId="5" borderId="29" xfId="4" applyFont="1" applyFill="1" applyBorder="1"/>
    <xf numFmtId="0" fontId="17" fillId="5" borderId="31" xfId="4" applyFont="1" applyFill="1" applyBorder="1"/>
    <xf numFmtId="0" fontId="15" fillId="0" borderId="0" xfId="0" applyFont="1" applyAlignment="1">
      <alignment horizontal="center" vertical="center"/>
    </xf>
    <xf numFmtId="0" fontId="11" fillId="8" borderId="35" xfId="4" applyFont="1" applyFill="1" applyBorder="1"/>
    <xf numFmtId="0" fontId="10" fillId="8" borderId="35" xfId="4" applyFont="1" applyFill="1" applyBorder="1"/>
    <xf numFmtId="0" fontId="3" fillId="0" borderId="9" xfId="4" applyBorder="1"/>
    <xf numFmtId="0" fontId="9" fillId="0" borderId="9" xfId="4" applyFont="1" applyBorder="1"/>
    <xf numFmtId="0" fontId="0" fillId="7" borderId="0" xfId="0" applyFill="1" applyAlignment="1">
      <alignment horizontal="center"/>
    </xf>
    <xf numFmtId="0" fontId="30" fillId="7" borderId="0" xfId="0" applyFont="1" applyFill="1"/>
    <xf numFmtId="0" fontId="0" fillId="0" borderId="0" xfId="0" applyAlignment="1">
      <alignment horizontal="center"/>
    </xf>
    <xf numFmtId="0" fontId="16" fillId="8" borderId="34" xfId="4" applyFont="1" applyFill="1" applyBorder="1" applyAlignment="1">
      <alignment horizontal="center" vertical="center" wrapText="1"/>
    </xf>
    <xf numFmtId="0" fontId="9" fillId="0" borderId="20" xfId="4" applyFont="1" applyBorder="1" applyAlignment="1">
      <alignment horizontal="center" vertical="center"/>
    </xf>
    <xf numFmtId="0" fontId="14" fillId="8" borderId="35" xfId="4" applyFont="1" applyFill="1" applyBorder="1" applyAlignment="1">
      <alignment horizontal="center" vertical="center" wrapText="1"/>
    </xf>
    <xf numFmtId="0" fontId="2" fillId="0" borderId="0" xfId="0" applyFont="1" applyAlignment="1">
      <alignment horizontal="center"/>
    </xf>
    <xf numFmtId="0" fontId="0" fillId="0" borderId="4" xfId="0" applyBorder="1" applyAlignment="1">
      <alignment horizontal="center"/>
    </xf>
    <xf numFmtId="0" fontId="11" fillId="8" borderId="21" xfId="4" applyFont="1" applyFill="1" applyBorder="1" applyAlignment="1">
      <alignment horizontal="center" vertical="center"/>
    </xf>
    <xf numFmtId="3" fontId="11" fillId="8" borderId="39" xfId="5" applyNumberFormat="1" applyFont="1" applyFill="1" applyBorder="1" applyAlignment="1">
      <alignment horizontal="center"/>
    </xf>
    <xf numFmtId="9" fontId="11" fillId="8" borderId="19" xfId="5" applyNumberFormat="1" applyFont="1" applyFill="1" applyBorder="1" applyAlignment="1">
      <alignment horizontal="center"/>
    </xf>
    <xf numFmtId="0" fontId="0" fillId="7" borderId="0" xfId="0" applyFill="1"/>
    <xf numFmtId="0" fontId="0" fillId="6" borderId="0" xfId="0" applyFill="1"/>
    <xf numFmtId="3" fontId="11" fillId="8" borderId="40" xfId="5" applyNumberFormat="1" applyFont="1" applyFill="1" applyBorder="1" applyAlignment="1">
      <alignment horizontal="center"/>
    </xf>
    <xf numFmtId="0" fontId="49" fillId="0" borderId="0" xfId="0" applyFont="1"/>
    <xf numFmtId="0" fontId="50" fillId="0" borderId="0" xfId="4" applyFont="1"/>
    <xf numFmtId="170" fontId="10" fillId="8" borderId="35" xfId="4" applyNumberFormat="1" applyFont="1" applyFill="1" applyBorder="1" applyAlignment="1">
      <alignment horizontal="center" vertical="center"/>
    </xf>
    <xf numFmtId="0" fontId="51" fillId="0" borderId="0" xfId="5" applyFont="1"/>
    <xf numFmtId="14" fontId="0" fillId="0" borderId="0" xfId="0" applyNumberFormat="1"/>
    <xf numFmtId="0" fontId="16" fillId="8" borderId="31" xfId="4" applyFont="1" applyFill="1" applyBorder="1" applyAlignment="1">
      <alignment horizontal="center" vertical="center" wrapText="1"/>
    </xf>
    <xf numFmtId="0" fontId="0" fillId="0" borderId="43" xfId="0" applyBorder="1"/>
    <xf numFmtId="0" fontId="0" fillId="0" borderId="44" xfId="0" applyBorder="1"/>
    <xf numFmtId="0" fontId="0" fillId="0" borderId="45" xfId="0" applyBorder="1"/>
    <xf numFmtId="0" fontId="0" fillId="0" borderId="46" xfId="0" applyBorder="1"/>
    <xf numFmtId="171" fontId="0" fillId="0" borderId="0" xfId="3" applyNumberFormat="1" applyFont="1"/>
    <xf numFmtId="0" fontId="0" fillId="0" borderId="47" xfId="0" applyBorder="1"/>
    <xf numFmtId="171" fontId="0" fillId="0" borderId="48" xfId="3" applyNumberFormat="1" applyFont="1" applyBorder="1"/>
    <xf numFmtId="171" fontId="0" fillId="0" borderId="46" xfId="3" applyNumberFormat="1" applyFont="1" applyBorder="1"/>
    <xf numFmtId="171" fontId="0" fillId="0" borderId="49" xfId="3" applyNumberFormat="1" applyFont="1" applyBorder="1"/>
    <xf numFmtId="0" fontId="54" fillId="0" borderId="0" xfId="0" applyFont="1" applyAlignment="1">
      <alignment horizontal="left"/>
    </xf>
    <xf numFmtId="0" fontId="52" fillId="0" borderId="42" xfId="0" applyFont="1" applyBorder="1"/>
    <xf numFmtId="0" fontId="17" fillId="0" borderId="35" xfId="4" applyFont="1" applyBorder="1" applyAlignment="1">
      <alignment horizontal="center"/>
    </xf>
    <xf numFmtId="0" fontId="14" fillId="8" borderId="33" xfId="4" quotePrefix="1" applyFont="1" applyFill="1" applyBorder="1" applyAlignment="1">
      <alignment horizontal="center" vertical="center" wrapText="1"/>
    </xf>
    <xf numFmtId="0" fontId="17" fillId="2" borderId="29" xfId="4" applyFont="1" applyFill="1" applyBorder="1"/>
    <xf numFmtId="0" fontId="17" fillId="2" borderId="31" xfId="4" applyFont="1" applyFill="1" applyBorder="1"/>
    <xf numFmtId="168" fontId="17" fillId="2" borderId="35" xfId="1" applyNumberFormat="1" applyFont="1" applyFill="1" applyBorder="1" applyAlignment="1">
      <alignment horizontal="right" vertical="center"/>
    </xf>
    <xf numFmtId="169" fontId="17" fillId="2" borderId="35" xfId="1" applyNumberFormat="1" applyFont="1" applyFill="1" applyBorder="1" applyAlignment="1">
      <alignment horizontal="right" vertical="center"/>
    </xf>
    <xf numFmtId="166" fontId="17" fillId="2" borderId="35" xfId="4" applyNumberFormat="1" applyFont="1" applyFill="1" applyBorder="1" applyAlignment="1">
      <alignment horizontal="right" vertical="center"/>
    </xf>
    <xf numFmtId="9" fontId="17" fillId="2" borderId="35" xfId="4" applyNumberFormat="1" applyFont="1" applyFill="1" applyBorder="1" applyAlignment="1">
      <alignment horizontal="right" vertical="center"/>
    </xf>
    <xf numFmtId="0" fontId="15" fillId="2" borderId="0" xfId="0" applyFont="1" applyFill="1" applyAlignment="1">
      <alignment horizontal="center" vertical="center"/>
    </xf>
    <xf numFmtId="0" fontId="22" fillId="0" borderId="0" xfId="0" applyFont="1"/>
    <xf numFmtId="0" fontId="23" fillId="0" borderId="6" xfId="0" applyFont="1" applyBorder="1"/>
    <xf numFmtId="0" fontId="23" fillId="0" borderId="0" xfId="0" applyFont="1"/>
    <xf numFmtId="0" fontId="9" fillId="0" borderId="0" xfId="5" applyFont="1" applyAlignment="1">
      <alignment horizontal="center"/>
    </xf>
    <xf numFmtId="0" fontId="20" fillId="0" borderId="0" xfId="0" applyFont="1"/>
    <xf numFmtId="0" fontId="21" fillId="0" borderId="6" xfId="0" applyFont="1" applyBorder="1"/>
    <xf numFmtId="0" fontId="9" fillId="0" borderId="0" xfId="5" applyFont="1"/>
    <xf numFmtId="0" fontId="11" fillId="8" borderId="41" xfId="5" applyFont="1" applyFill="1" applyBorder="1" applyAlignment="1">
      <alignment horizontal="center" vertical="center" wrapText="1"/>
    </xf>
    <xf numFmtId="0" fontId="21" fillId="0" borderId="0" xfId="0" applyFont="1"/>
    <xf numFmtId="167" fontId="21" fillId="0" borderId="0" xfId="0" applyNumberFormat="1" applyFont="1"/>
    <xf numFmtId="0" fontId="21" fillId="2" borderId="0" xfId="0" applyFont="1" applyFill="1"/>
    <xf numFmtId="0" fontId="24" fillId="2" borderId="0" xfId="5" applyFont="1" applyFill="1" applyAlignment="1">
      <alignment horizontal="center" vertical="center" wrapText="1"/>
    </xf>
    <xf numFmtId="0" fontId="12" fillId="0" borderId="15" xfId="5" applyFont="1" applyBorder="1"/>
    <xf numFmtId="3" fontId="9" fillId="0" borderId="16" xfId="5" applyNumberFormat="1" applyFont="1" applyBorder="1" applyAlignment="1">
      <alignment horizontal="center"/>
    </xf>
    <xf numFmtId="9" fontId="9" fillId="0" borderId="17" xfId="9" applyFont="1" applyBorder="1" applyAlignment="1">
      <alignment horizontal="center"/>
    </xf>
    <xf numFmtId="0" fontId="9" fillId="0" borderId="37" xfId="5" applyFont="1" applyBorder="1"/>
    <xf numFmtId="3" fontId="9" fillId="0" borderId="36" xfId="5" applyNumberFormat="1" applyFont="1" applyBorder="1" applyAlignment="1">
      <alignment horizontal="center"/>
    </xf>
    <xf numFmtId="9" fontId="9" fillId="0" borderId="38" xfId="9" applyFont="1" applyBorder="1" applyAlignment="1">
      <alignment horizontal="center"/>
    </xf>
    <xf numFmtId="0" fontId="11" fillId="8" borderId="2" xfId="5" applyFont="1" applyFill="1" applyBorder="1" applyAlignment="1">
      <alignment horizontal="left" vertical="center"/>
    </xf>
    <xf numFmtId="0" fontId="52" fillId="7" borderId="0" xfId="0" applyFont="1" applyFill="1"/>
    <xf numFmtId="0" fontId="52" fillId="0" borderId="0" xfId="0" applyFont="1"/>
    <xf numFmtId="0" fontId="56" fillId="0" borderId="0" xfId="8" applyFont="1" applyAlignment="1">
      <alignment horizontal="left" vertical="center"/>
    </xf>
    <xf numFmtId="172" fontId="57" fillId="0" borderId="0" xfId="4" applyNumberFormat="1" applyFont="1" applyAlignment="1">
      <alignment horizontal="center" vertical="center" wrapText="1"/>
    </xf>
    <xf numFmtId="0" fontId="18" fillId="0" borderId="0" xfId="0" applyFont="1" applyAlignment="1">
      <alignment horizontal="center"/>
    </xf>
    <xf numFmtId="9" fontId="0" fillId="0" borderId="0" xfId="0" applyNumberFormat="1"/>
    <xf numFmtId="0" fontId="13" fillId="2" borderId="0" xfId="4" applyFont="1" applyFill="1"/>
    <xf numFmtId="168" fontId="10" fillId="8" borderId="35" xfId="4" applyNumberFormat="1" applyFont="1" applyFill="1" applyBorder="1" applyAlignment="1">
      <alignment horizontal="right" vertical="center"/>
    </xf>
    <xf numFmtId="0" fontId="9" fillId="0" borderId="0" xfId="4" applyFont="1" applyAlignment="1">
      <alignment horizontal="center"/>
    </xf>
    <xf numFmtId="172" fontId="17" fillId="5" borderId="35" xfId="4" applyNumberFormat="1" applyFont="1" applyFill="1" applyBorder="1" applyAlignment="1">
      <alignment horizontal="right" vertical="center"/>
    </xf>
    <xf numFmtId="10" fontId="13" fillId="5" borderId="35" xfId="4" applyNumberFormat="1" applyFont="1" applyFill="1" applyBorder="1" applyAlignment="1">
      <alignment horizontal="right" vertical="center"/>
    </xf>
    <xf numFmtId="172" fontId="17" fillId="2" borderId="35" xfId="4" applyNumberFormat="1" applyFont="1" applyFill="1" applyBorder="1" applyAlignment="1">
      <alignment horizontal="right" vertical="center"/>
    </xf>
    <xf numFmtId="10" fontId="13" fillId="2" borderId="35" xfId="4" applyNumberFormat="1" applyFont="1" applyFill="1" applyBorder="1" applyAlignment="1">
      <alignment horizontal="right" vertical="center"/>
    </xf>
    <xf numFmtId="174" fontId="10" fillId="8" borderId="35" xfId="4" applyNumberFormat="1" applyFont="1" applyFill="1" applyBorder="1" applyAlignment="1">
      <alignment horizontal="right" vertical="center"/>
    </xf>
    <xf numFmtId="10" fontId="10" fillId="8" borderId="35" xfId="4" applyNumberFormat="1" applyFont="1" applyFill="1" applyBorder="1" applyAlignment="1">
      <alignment horizontal="right" vertical="center"/>
    </xf>
    <xf numFmtId="172" fontId="3" fillId="0" borderId="0" xfId="4" applyNumberFormat="1"/>
    <xf numFmtId="9" fontId="5" fillId="0" borderId="2" xfId="9" applyFont="1" applyBorder="1" applyAlignment="1">
      <alignment horizontal="center" vertical="center"/>
    </xf>
    <xf numFmtId="9" fontId="4" fillId="2" borderId="0" xfId="7" applyNumberFormat="1" applyFont="1" applyFill="1"/>
    <xf numFmtId="173" fontId="0" fillId="0" borderId="0" xfId="0" applyNumberFormat="1" applyAlignment="1">
      <alignment horizontal="center"/>
    </xf>
    <xf numFmtId="8" fontId="0" fillId="0" borderId="0" xfId="0" applyNumberFormat="1" applyAlignment="1">
      <alignment horizontal="center"/>
    </xf>
    <xf numFmtId="10" fontId="0" fillId="0" borderId="0" xfId="0" applyNumberFormat="1" applyAlignment="1">
      <alignment horizontal="center"/>
    </xf>
    <xf numFmtId="0" fontId="30" fillId="0" borderId="0" xfId="0" applyFont="1" applyAlignment="1">
      <alignment horizontal="center"/>
    </xf>
    <xf numFmtId="0" fontId="4" fillId="0" borderId="0" xfId="7" applyFont="1"/>
    <xf numFmtId="166" fontId="4" fillId="0" borderId="0" xfId="7" applyNumberFormat="1" applyFont="1"/>
    <xf numFmtId="166" fontId="4" fillId="0" borderId="0" xfId="7" applyNumberFormat="1" applyFont="1" applyAlignment="1">
      <alignment horizontal="center"/>
    </xf>
    <xf numFmtId="0" fontId="6" fillId="0" borderId="0" xfId="7" applyFont="1" applyAlignment="1">
      <alignment vertical="center"/>
    </xf>
    <xf numFmtId="9" fontId="6" fillId="0" borderId="0" xfId="9" applyFont="1" applyAlignment="1">
      <alignment horizontal="center" vertical="center" wrapText="1"/>
    </xf>
    <xf numFmtId="0" fontId="6" fillId="0" borderId="0" xfId="4" applyFont="1" applyAlignment="1">
      <alignment horizontal="center" vertical="center"/>
    </xf>
    <xf numFmtId="0" fontId="11" fillId="8" borderId="26" xfId="4" applyFont="1" applyFill="1" applyBorder="1" applyAlignment="1">
      <alignment horizontal="center" vertical="center" wrapText="1"/>
    </xf>
    <xf numFmtId="0" fontId="11" fillId="0" borderId="0" xfId="4" applyFont="1" applyAlignment="1">
      <alignment horizontal="center" vertical="center" wrapText="1"/>
    </xf>
    <xf numFmtId="9" fontId="9" fillId="0" borderId="0" xfId="9" applyFont="1" applyAlignment="1">
      <alignment horizontal="center"/>
    </xf>
    <xf numFmtId="0" fontId="10" fillId="0" borderId="0" xfId="4" applyFont="1" applyAlignment="1">
      <alignment horizontal="center" vertical="center"/>
    </xf>
    <xf numFmtId="3" fontId="9" fillId="0" borderId="52" xfId="4" applyNumberFormat="1" applyFont="1" applyBorder="1" applyAlignment="1">
      <alignment horizontal="center" vertical="center"/>
    </xf>
    <xf numFmtId="3" fontId="9" fillId="0" borderId="53" xfId="4" applyNumberFormat="1" applyFont="1" applyBorder="1" applyAlignment="1">
      <alignment horizontal="center" vertical="center"/>
    </xf>
    <xf numFmtId="3" fontId="11" fillId="8" borderId="51" xfId="4" applyNumberFormat="1" applyFont="1" applyFill="1" applyBorder="1" applyAlignment="1">
      <alignment horizontal="center" vertical="center"/>
    </xf>
    <xf numFmtId="0" fontId="11" fillId="8" borderId="54" xfId="4" applyFont="1" applyFill="1" applyBorder="1" applyAlignment="1">
      <alignment horizontal="center" vertical="center" wrapText="1"/>
    </xf>
    <xf numFmtId="1" fontId="18" fillId="0" borderId="0" xfId="0" applyNumberFormat="1" applyFont="1"/>
    <xf numFmtId="1" fontId="63" fillId="0" borderId="0" xfId="0" applyNumberFormat="1" applyFont="1"/>
    <xf numFmtId="1" fontId="64" fillId="2" borderId="0" xfId="0" applyNumberFormat="1" applyFont="1" applyFill="1"/>
    <xf numFmtId="1" fontId="64" fillId="0" borderId="0" xfId="0" applyNumberFormat="1" applyFont="1"/>
    <xf numFmtId="0" fontId="47" fillId="8" borderId="40" xfId="0" applyFont="1" applyFill="1" applyBorder="1" applyAlignment="1">
      <alignment horizontal="center" vertical="center"/>
    </xf>
    <xf numFmtId="1" fontId="9" fillId="0" borderId="55" xfId="4" applyNumberFormat="1" applyFont="1" applyBorder="1" applyAlignment="1">
      <alignment horizontal="center" vertical="center"/>
    </xf>
    <xf numFmtId="1" fontId="9" fillId="0" borderId="56" xfId="4" applyNumberFormat="1" applyFont="1" applyBorder="1" applyAlignment="1">
      <alignment horizontal="center" vertical="center"/>
    </xf>
    <xf numFmtId="1" fontId="11" fillId="8" borderId="57" xfId="4" applyNumberFormat="1" applyFont="1" applyFill="1" applyBorder="1" applyAlignment="1">
      <alignment horizontal="center" vertical="center"/>
    </xf>
    <xf numFmtId="0" fontId="48" fillId="0" borderId="0" xfId="0" applyFont="1" applyAlignment="1">
      <alignment horizontal="left" vertical="center" wrapText="1"/>
    </xf>
    <xf numFmtId="0" fontId="42" fillId="0" borderId="0" xfId="8" applyFont="1" applyAlignment="1">
      <alignment horizontal="left" vertical="center" wrapText="1"/>
    </xf>
    <xf numFmtId="0" fontId="55" fillId="8" borderId="50" xfId="0" applyFont="1" applyFill="1" applyBorder="1" applyAlignment="1">
      <alignment horizontal="center"/>
    </xf>
    <xf numFmtId="0" fontId="62" fillId="9" borderId="0" xfId="0" applyFont="1" applyFill="1" applyAlignment="1">
      <alignment horizontal="center"/>
    </xf>
    <xf numFmtId="1" fontId="42" fillId="0" borderId="11" xfId="7" applyNumberFormat="1" applyFont="1" applyBorder="1" applyAlignment="1">
      <alignment horizontal="left" vertical="center" wrapText="1"/>
    </xf>
    <xf numFmtId="1" fontId="42" fillId="0" borderId="12" xfId="7" applyNumberFormat="1" applyFont="1" applyBorder="1" applyAlignment="1">
      <alignment horizontal="left" vertical="center" wrapText="1"/>
    </xf>
    <xf numFmtId="1" fontId="42" fillId="0" borderId="13" xfId="7" applyNumberFormat="1" applyFont="1" applyBorder="1" applyAlignment="1">
      <alignment horizontal="left" vertical="center" wrapText="1"/>
    </xf>
    <xf numFmtId="0" fontId="9" fillId="2" borderId="0" xfId="7" applyFont="1" applyFill="1" applyAlignment="1">
      <alignment horizontal="left" wrapText="1"/>
    </xf>
    <xf numFmtId="0" fontId="41" fillId="2" borderId="0" xfId="7" applyFont="1" applyFill="1" applyAlignment="1">
      <alignment horizontal="left" wrapText="1"/>
    </xf>
    <xf numFmtId="0" fontId="12" fillId="0" borderId="0" xfId="4" applyFont="1" applyAlignment="1">
      <alignment horizontal="center" vertical="center"/>
    </xf>
    <xf numFmtId="0" fontId="14" fillId="8" borderId="29" xfId="4" applyFont="1" applyFill="1" applyBorder="1" applyAlignment="1">
      <alignment horizontal="center"/>
    </xf>
    <xf numFmtId="0" fontId="14" fillId="8" borderId="30" xfId="4" applyFont="1" applyFill="1" applyBorder="1" applyAlignment="1">
      <alignment horizontal="center"/>
    </xf>
    <xf numFmtId="0" fontId="14" fillId="8" borderId="31" xfId="4" applyFont="1" applyFill="1" applyBorder="1" applyAlignment="1">
      <alignment horizontal="center"/>
    </xf>
    <xf numFmtId="0" fontId="45" fillId="0" borderId="0" xfId="0" applyFont="1" applyAlignment="1">
      <alignment horizontal="center" vertical="center"/>
    </xf>
    <xf numFmtId="0" fontId="45" fillId="2" borderId="0" xfId="0" applyFont="1" applyFill="1" applyAlignment="1">
      <alignment horizontal="center" vertical="center"/>
    </xf>
    <xf numFmtId="1" fontId="42" fillId="0" borderId="29" xfId="7" applyNumberFormat="1" applyFont="1" applyBorder="1" applyAlignment="1">
      <alignment horizontal="left" vertical="center" wrapText="1"/>
    </xf>
    <xf numFmtId="1" fontId="42" fillId="0" borderId="30" xfId="7" applyNumberFormat="1" applyFont="1" applyBorder="1" applyAlignment="1">
      <alignment horizontal="left" vertical="center" wrapText="1"/>
    </xf>
    <xf numFmtId="1" fontId="42" fillId="0" borderId="31" xfId="7" applyNumberFormat="1" applyFont="1" applyBorder="1" applyAlignment="1">
      <alignment horizontal="left" vertical="center" wrapText="1"/>
    </xf>
    <xf numFmtId="1" fontId="53" fillId="0" borderId="11" xfId="7" applyNumberFormat="1" applyFont="1" applyBorder="1" applyAlignment="1">
      <alignment horizontal="left" vertical="center" wrapText="1"/>
    </xf>
    <xf numFmtId="1" fontId="53" fillId="0" borderId="12" xfId="7" applyNumberFormat="1" applyFont="1" applyBorder="1" applyAlignment="1">
      <alignment horizontal="left" vertical="center" wrapText="1"/>
    </xf>
    <xf numFmtId="1" fontId="53" fillId="0" borderId="13" xfId="7" applyNumberFormat="1" applyFont="1" applyBorder="1" applyAlignment="1">
      <alignment horizontal="left" vertical="center" wrapText="1"/>
    </xf>
  </cellXfs>
  <cellStyles count="12">
    <cellStyle name="Milliers" xfId="1" builtinId="3"/>
    <cellStyle name="Monétaire 2" xfId="2" xr:uid="{00000000-0005-0000-0000-000001000000}"/>
    <cellStyle name="Monétaire 3" xfId="3" xr:uid="{00000000-0005-0000-0000-000002000000}"/>
    <cellStyle name="Normal" xfId="0" builtinId="0"/>
    <cellStyle name="Normal 2" xfId="4" xr:uid="{00000000-0005-0000-0000-000004000000}"/>
    <cellStyle name="Normal 2 2" xfId="5" xr:uid="{00000000-0005-0000-0000-000005000000}"/>
    <cellStyle name="Normal 3" xfId="6" xr:uid="{00000000-0005-0000-0000-000006000000}"/>
    <cellStyle name="Normal 4" xfId="7" xr:uid="{00000000-0005-0000-0000-000007000000}"/>
    <cellStyle name="Normal_Book 2004 feuille sommaire 2" xfId="8" xr:uid="{00000000-0005-0000-0000-000008000000}"/>
    <cellStyle name="Pourcentage" xfId="9" builtinId="5"/>
    <cellStyle name="Pourcentage 2" xfId="10" xr:uid="{00000000-0005-0000-0000-00000A000000}"/>
    <cellStyle name="Pourcentage 2 2" xfId="11" xr:uid="{00000000-0005-0000-0000-00000B000000}"/>
  </cellStyles>
  <dxfs count="0"/>
  <tableStyles count="0" defaultTableStyle="TableStyleMedium2" defaultPivotStyle="PivotStyleLight16"/>
  <colors>
    <mruColors>
      <color rgb="FFFF9933"/>
      <color rgb="FF006666"/>
      <color rgb="FF008080"/>
      <color rgb="FF3366CC"/>
      <color rgb="FFA6A6A6"/>
      <color rgb="FF4FACB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5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tx2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tx2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bg1">
              <a:lumMod val="65000"/>
            </a:schemeClr>
          </a:solidFill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bg1">
              <a:lumMod val="65000"/>
            </a:schemeClr>
          </a:solidFill>
        </c:spPr>
        <c:marker>
          <c:symbol val="none"/>
        </c:marke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Démographie!$L$13</c:f>
              <c:strCache>
                <c:ptCount val="1"/>
                <c:pt idx="0">
                  <c:v>Masculin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Démographie!$K$14:$K$22</c:f>
              <c:strCache>
                <c:ptCount val="9"/>
                <c:pt idx="0">
                  <c:v>Inférieur à 25 ans</c:v>
                </c:pt>
                <c:pt idx="1">
                  <c:v>Tranche 25 à 29 ans</c:v>
                </c:pt>
                <c:pt idx="2">
                  <c:v>Tranche 30 à 34 ans</c:v>
                </c:pt>
                <c:pt idx="3">
                  <c:v>Tranche 35 à 39 ans</c:v>
                </c:pt>
                <c:pt idx="4">
                  <c:v>Tranche 40 à 44 ans</c:v>
                </c:pt>
                <c:pt idx="5">
                  <c:v>Tranche 45 à 49 ans</c:v>
                </c:pt>
                <c:pt idx="6">
                  <c:v>Tranche 50 à 54 ans</c:v>
                </c:pt>
                <c:pt idx="7">
                  <c:v>Tranche 55 à 59 ans</c:v>
                </c:pt>
                <c:pt idx="8">
                  <c:v>Supérieur ou égal à 60 ans</c:v>
                </c:pt>
              </c:strCache>
            </c:strRef>
          </c:cat>
          <c:val>
            <c:numRef>
              <c:f>Démographie!$L$14:$L$22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98-4819-B642-2800E80D1BDE}"/>
            </c:ext>
          </c:extLst>
        </c:ser>
        <c:ser>
          <c:idx val="1"/>
          <c:order val="1"/>
          <c:tx>
            <c:strRef>
              <c:f>Démographie!$M$13</c:f>
              <c:strCache>
                <c:ptCount val="1"/>
                <c:pt idx="0">
                  <c:v>Féminin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invertIfNegative val="0"/>
          <c:cat>
            <c:strRef>
              <c:f>Démographie!$K$14:$K$22</c:f>
              <c:strCache>
                <c:ptCount val="9"/>
                <c:pt idx="0">
                  <c:v>Inférieur à 25 ans</c:v>
                </c:pt>
                <c:pt idx="1">
                  <c:v>Tranche 25 à 29 ans</c:v>
                </c:pt>
                <c:pt idx="2">
                  <c:v>Tranche 30 à 34 ans</c:v>
                </c:pt>
                <c:pt idx="3">
                  <c:v>Tranche 35 à 39 ans</c:v>
                </c:pt>
                <c:pt idx="4">
                  <c:v>Tranche 40 à 44 ans</c:v>
                </c:pt>
                <c:pt idx="5">
                  <c:v>Tranche 45 à 49 ans</c:v>
                </c:pt>
                <c:pt idx="6">
                  <c:v>Tranche 50 à 54 ans</c:v>
                </c:pt>
                <c:pt idx="7">
                  <c:v>Tranche 55 à 59 ans</c:v>
                </c:pt>
                <c:pt idx="8">
                  <c:v>Supérieur ou égal à 60 ans</c:v>
                </c:pt>
              </c:strCache>
            </c:strRef>
          </c:cat>
          <c:val>
            <c:numRef>
              <c:f>Démographie!$M$14:$M$22</c:f>
              <c:numCache>
                <c:formatCode>0</c:formatCode>
                <c:ptCount val="9"/>
                <c:pt idx="0">
                  <c:v>1</c:v>
                </c:pt>
                <c:pt idx="1">
                  <c:v>4</c:v>
                </c:pt>
                <c:pt idx="2">
                  <c:v>0</c:v>
                </c:pt>
                <c:pt idx="3">
                  <c:v>3</c:v>
                </c:pt>
                <c:pt idx="4">
                  <c:v>5</c:v>
                </c:pt>
                <c:pt idx="5">
                  <c:v>4</c:v>
                </c:pt>
                <c:pt idx="6">
                  <c:v>7</c:v>
                </c:pt>
                <c:pt idx="7">
                  <c:v>4</c:v>
                </c:pt>
                <c:pt idx="8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198-4819-B642-2800E80D1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79"/>
        <c:axId val="1569170272"/>
        <c:axId val="1569170816"/>
      </c:barChart>
      <c:catAx>
        <c:axId val="156917027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DINBek" panose="00000400000000000000" pitchFamily="2" charset="0"/>
                <a:ea typeface="+mn-ea"/>
                <a:cs typeface="+mn-cs"/>
              </a:defRPr>
            </a:pPr>
            <a:endParaRPr lang="fr-FR"/>
          </a:p>
        </c:txPr>
        <c:crossAx val="1569170816"/>
        <c:crosses val="autoZero"/>
        <c:auto val="1"/>
        <c:lblAlgn val="ctr"/>
        <c:lblOffset val="100"/>
        <c:noMultiLvlLbl val="0"/>
      </c:catAx>
      <c:valAx>
        <c:axId val="15691708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69170272"/>
        <c:crosses val="autoZero"/>
        <c:crossBetween val="between"/>
        <c:majorUnit val="10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fr-FR">
                <a:solidFill>
                  <a:srgbClr val="4FACBE"/>
                </a:solidFill>
              </a:rPr>
              <a:t>Assuré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spPr/>
          <c:txPr>
            <a:bodyPr/>
            <a:lstStyle/>
            <a:p>
              <a:pPr>
                <a:defRPr>
                  <a:solidFill>
                    <a:schemeClr val="bg1"/>
                  </a:solidFill>
                  <a:latin typeface="DINBek" panose="00000400000000000000" pitchFamily="2" charset="0"/>
                </a:defRPr>
              </a:pPr>
              <a:endParaRPr lang="fr-F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</c:pivotFmt>
      <c:pivotFmt>
        <c:idx val="2"/>
        <c:spPr>
          <a:solidFill>
            <a:schemeClr val="tx2"/>
          </a:solidFill>
        </c:spPr>
      </c:pivotFmt>
      <c:pivotFmt>
        <c:idx val="3"/>
        <c:spPr>
          <a:solidFill>
            <a:schemeClr val="bg1">
              <a:lumMod val="65000"/>
            </a:schemeClr>
          </a:solidFill>
        </c:spPr>
      </c:pivotFmt>
      <c:pivotFmt>
        <c:idx val="4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/>
            <a:lstStyle/>
            <a:p>
              <a:pPr>
                <a:defRPr>
                  <a:solidFill>
                    <a:schemeClr val="bg1"/>
                  </a:solidFill>
                  <a:latin typeface="DINBek" panose="00000400000000000000" pitchFamily="2" charset="0"/>
                </a:defRPr>
              </a:pPr>
              <a:endParaRPr lang="fr-F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bg1">
              <a:lumMod val="65000"/>
            </a:schemeClr>
          </a:solidFill>
        </c:spPr>
      </c:pivotFmt>
      <c:pivotFmt>
        <c:idx val="6"/>
        <c:spPr>
          <a:solidFill>
            <a:schemeClr val="accent5">
              <a:lumMod val="50000"/>
            </a:schemeClr>
          </a:solidFill>
        </c:spPr>
      </c:pivotFmt>
      <c:pivotFmt>
        <c:idx val="7"/>
        <c:marker>
          <c:symbol val="none"/>
        </c:marker>
      </c:pivotFmt>
    </c:pivotFmts>
    <c:view3D>
      <c:rotX val="30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8.1939004324034739E-2"/>
          <c:y val="0.22725798611111114"/>
          <c:w val="0.82445857727777139"/>
          <c:h val="0.68800625000000004"/>
        </c:manualLayout>
      </c:layout>
      <c:pie3DChart>
        <c:varyColors val="1"/>
        <c:ser>
          <c:idx val="0"/>
          <c:order val="0"/>
          <c:tx>
            <c:strRef>
              <c:f>Démographie!$D$13</c:f>
              <c:strCache>
                <c:ptCount val="1"/>
                <c:pt idx="0">
                  <c:v>Effectif 2022</c:v>
                </c:pt>
              </c:strCache>
            </c:strRef>
          </c:tx>
          <c:spPr>
            <a:solidFill>
              <a:srgbClr val="70AD47">
                <a:lumMod val="40000"/>
                <a:lumOff val="60000"/>
              </a:srgbClr>
            </a:solidFill>
          </c:spPr>
          <c:explosion val="16"/>
          <c:dPt>
            <c:idx val="1"/>
            <c:bubble3D val="0"/>
            <c:spPr>
              <a:solidFill>
                <a:srgbClr val="E7E6E6">
                  <a:lumMod val="75000"/>
                </a:srgbClr>
              </a:solidFill>
            </c:spPr>
            <c:extLst>
              <c:ext xmlns:c16="http://schemas.microsoft.com/office/drawing/2014/chart" uri="{C3380CC4-5D6E-409C-BE32-E72D297353CC}">
                <c16:uniqueId val="{00000001-1A05-469C-ADA1-9DC4659617D1}"/>
              </c:ext>
            </c:extLst>
          </c:dPt>
          <c:cat>
            <c:strRef>
              <c:f>Démographie!$C$14:$C$15</c:f>
              <c:strCache>
                <c:ptCount val="2"/>
                <c:pt idx="0">
                  <c:v>Masculin</c:v>
                </c:pt>
                <c:pt idx="1">
                  <c:v>Féminin</c:v>
                </c:pt>
              </c:strCache>
            </c:strRef>
          </c:cat>
          <c:val>
            <c:numRef>
              <c:f>Démographie!$D$14:$D$15</c:f>
              <c:numCache>
                <c:formatCode>#,##0</c:formatCode>
                <c:ptCount val="2"/>
                <c:pt idx="0">
                  <c:v>2</c:v>
                </c:pt>
                <c:pt idx="1">
                  <c:v>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A05-469C-ADA1-9DC4659617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b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  <c:extLst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ivotFmts>
      <c:pivotFmt>
        <c:idx val="0"/>
        <c:marker>
          <c:symbol val="none"/>
        </c:marker>
        <c:dLbl>
          <c:idx val="0"/>
          <c:spPr/>
          <c:txPr>
            <a:bodyPr/>
            <a:lstStyle/>
            <a:p>
              <a:pPr>
                <a:defRPr>
                  <a:solidFill>
                    <a:schemeClr val="bg1"/>
                  </a:solidFill>
                  <a:latin typeface="DINBek" panose="00000400000000000000" pitchFamily="2" charset="0"/>
                </a:defRPr>
              </a:pPr>
              <a:endParaRPr lang="fr-F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tx2"/>
          </a:solidFill>
        </c:spPr>
      </c:pivotFmt>
      <c:pivotFmt>
        <c:idx val="2"/>
        <c:spPr>
          <a:solidFill>
            <a:srgbClr val="FFC000"/>
          </a:solidFill>
        </c:spPr>
      </c:pivotFmt>
      <c:pivotFmt>
        <c:idx val="3"/>
        <c:spPr>
          <a:solidFill>
            <a:schemeClr val="bg1">
              <a:lumMod val="65000"/>
            </a:schemeClr>
          </a:solidFill>
        </c:spPr>
      </c:pivotFmt>
      <c:pivotFmt>
        <c:idx val="4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/>
            <a:lstStyle/>
            <a:p>
              <a:pPr>
                <a:defRPr>
                  <a:solidFill>
                    <a:schemeClr val="bg1"/>
                  </a:solidFill>
                  <a:latin typeface="DINBek" panose="00000400000000000000" pitchFamily="2" charset="0"/>
                </a:defRPr>
              </a:pPr>
              <a:endParaRPr lang="fr-F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bg1">
              <a:lumMod val="65000"/>
            </a:schemeClr>
          </a:solidFill>
        </c:spPr>
      </c:pivotFmt>
      <c:pivotFmt>
        <c:idx val="6"/>
        <c:spPr>
          <a:solidFill>
            <a:schemeClr val="accent5">
              <a:lumMod val="50000"/>
            </a:schemeClr>
          </a:solidFill>
        </c:spPr>
      </c:pivotFmt>
      <c:pivotFmt>
        <c:idx val="7"/>
        <c:spPr>
          <a:solidFill>
            <a:srgbClr val="FFC000"/>
          </a:solidFill>
        </c:spPr>
      </c:pivotFmt>
    </c:pivotFmts>
    <c:view3D>
      <c:rotX val="30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0104090798737558"/>
          <c:y val="0.11561056424113748"/>
          <c:w val="0.80562636562272394"/>
          <c:h val="0.801462394647108"/>
        </c:manualLayout>
      </c:layout>
      <c:pie3DChart>
        <c:varyColors val="1"/>
        <c:ser>
          <c:idx val="0"/>
          <c:order val="0"/>
          <c:tx>
            <c:strRef>
              <c:f>Démographie!$D$36</c:f>
              <c:strCache>
                <c:ptCount val="1"/>
                <c:pt idx="0">
                  <c:v>Effectif 2022</c:v>
                </c:pt>
              </c:strCache>
            </c:strRef>
          </c:tx>
          <c:explosion val="2"/>
          <c:dPt>
            <c:idx val="0"/>
            <c:bubble3D val="0"/>
            <c:spPr>
              <a:solidFill>
                <a:schemeClr val="bg1">
                  <a:lumMod val="6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1-20CB-48EC-A596-19BBE713ABDB}"/>
              </c:ext>
            </c:extLst>
          </c:dPt>
          <c:dPt>
            <c:idx val="1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3-20CB-48EC-A596-19BBE713ABDB}"/>
              </c:ext>
            </c:extLst>
          </c:dPt>
          <c:dPt>
            <c:idx val="2"/>
            <c:bubble3D val="0"/>
            <c:explosion val="0"/>
            <c:spPr>
              <a:solidFill>
                <a:schemeClr val="accent6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5-20CB-48EC-A596-19BBE713ABDB}"/>
              </c:ext>
            </c:extLst>
          </c:dPt>
          <c:dLbls>
            <c:dLbl>
              <c:idx val="0"/>
              <c:layout>
                <c:manualLayout>
                  <c:x val="-0.19630244981774028"/>
                  <c:y val="5.5434765212187112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20CB-48EC-A596-19BBE713ABDB}"/>
                </c:ext>
              </c:extLst>
            </c:dLbl>
            <c:dLbl>
              <c:idx val="1"/>
              <c:layout>
                <c:manualLayout>
                  <c:x val="-5.4296422290013427E-2"/>
                  <c:y val="-0.29565208113166458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0CB-48EC-A596-19BBE713ABDB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65000"/>
                    <a:lumOff val="35000"/>
                  </a:sysClr>
                </a:solidFill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</c:ext>
            </c:extLst>
          </c:dLbls>
          <c:cat>
            <c:strRef>
              <c:f>Démographie!$C$37:$C$39</c:f>
              <c:strCache>
                <c:ptCount val="3"/>
                <c:pt idx="0">
                  <c:v>Assuré</c:v>
                </c:pt>
                <c:pt idx="1">
                  <c:v>Conjoint</c:v>
                </c:pt>
                <c:pt idx="2">
                  <c:v>Enfant</c:v>
                </c:pt>
              </c:strCache>
            </c:strRef>
          </c:cat>
          <c:val>
            <c:numRef>
              <c:f>Démographie!$D$37:$D$39</c:f>
              <c:numCache>
                <c:formatCode>General</c:formatCode>
                <c:ptCount val="3"/>
                <c:pt idx="0">
                  <c:v>33</c:v>
                </c:pt>
                <c:pt idx="1">
                  <c:v>10</c:v>
                </c:pt>
                <c:pt idx="2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0CB-48EC-A596-19BBE713AB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3DChart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  <c:extLst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ivotFmts>
      <c:pivotFmt>
        <c:idx val="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DINBek" panose="00000400000000000000" pitchFamily="2" charset="0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tx2"/>
          </a:solidFill>
          <a:ln>
            <a:noFill/>
          </a:ln>
          <a:effectLst/>
        </c:spPr>
      </c:pivotFmt>
      <c:pivotFmt>
        <c:idx val="2"/>
        <c:spPr>
          <a:solidFill>
            <a:srgbClr val="FFC000"/>
          </a:solidFill>
          <a:ln>
            <a:noFill/>
          </a:ln>
          <a:effectLst/>
        </c:spPr>
      </c:pivotFmt>
      <c:pivotFmt>
        <c:idx val="3"/>
        <c:spPr>
          <a:solidFill>
            <a:schemeClr val="bg1">
              <a:lumMod val="65000"/>
            </a:schemeClr>
          </a:solidFill>
          <a:ln>
            <a:noFill/>
          </a:ln>
          <a:effectLst/>
        </c:spPr>
      </c:pivotFmt>
      <c:pivotFmt>
        <c:idx val="4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DINBek" panose="00000400000000000000" pitchFamily="2" charset="0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bg1">
              <a:lumMod val="65000"/>
            </a:schemeClr>
          </a:solidFill>
          <a:ln>
            <a:noFill/>
          </a:ln>
          <a:effectLst/>
        </c:spPr>
      </c:pivotFmt>
      <c:pivotFmt>
        <c:idx val="6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</c:pivotFmt>
      <c:pivotFmt>
        <c:idx val="7"/>
        <c:spPr>
          <a:solidFill>
            <a:srgbClr val="FFC000"/>
          </a:solidFill>
          <a:ln>
            <a:noFill/>
          </a:ln>
          <a:effectLst/>
        </c:spPr>
      </c:pivotFmt>
    </c:pivotFmts>
    <c:view3D>
      <c:rotX val="30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0297055125706971"/>
          <c:y val="0.10502722222222222"/>
          <c:w val="0.80562636562272394"/>
          <c:h val="0.801462394647108"/>
        </c:manualLayout>
      </c:layout>
      <c:pie3DChart>
        <c:varyColors val="1"/>
        <c:ser>
          <c:idx val="0"/>
          <c:order val="0"/>
          <c:tx>
            <c:strRef>
              <c:f>'Prestations Réglées Graph'!$F$66</c:f>
              <c:strCache>
                <c:ptCount val="1"/>
                <c:pt idx="0">
                  <c:v>Vos prestations</c:v>
                </c:pt>
              </c:strCache>
            </c:strRef>
          </c:tx>
          <c:explosion val="2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5B9B-4785-94E6-4D17AC42C048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1-5B9B-4785-94E6-4D17AC42C048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2-5B9B-4785-94E6-4D17AC42C048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03-5B9B-4785-94E6-4D17AC42C048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4-5B9B-4785-94E6-4D17AC42C048}"/>
              </c:ext>
            </c:extLst>
          </c:dPt>
          <c:dPt>
            <c:idx val="5"/>
            <c:bubble3D val="0"/>
            <c:extLst>
              <c:ext xmlns:c16="http://schemas.microsoft.com/office/drawing/2014/chart" uri="{C3380CC4-5D6E-409C-BE32-E72D297353CC}">
                <c16:uniqueId val="{00000005-5B9B-4785-94E6-4D17AC42C048}"/>
              </c:ext>
            </c:extLst>
          </c:dPt>
          <c:dPt>
            <c:idx val="6"/>
            <c:bubble3D val="0"/>
            <c:extLst>
              <c:ext xmlns:c16="http://schemas.microsoft.com/office/drawing/2014/chart" uri="{C3380CC4-5D6E-409C-BE32-E72D297353CC}">
                <c16:uniqueId val="{00000006-5B9B-4785-94E6-4D17AC42C048}"/>
              </c:ext>
            </c:extLst>
          </c:dPt>
          <c:dPt>
            <c:idx val="7"/>
            <c:bubble3D val="0"/>
            <c:extLst>
              <c:ext xmlns:c16="http://schemas.microsoft.com/office/drawing/2014/chart" uri="{C3380CC4-5D6E-409C-BE32-E72D297353CC}">
                <c16:uniqueId val="{00000007-5B9B-4785-94E6-4D17AC42C048}"/>
              </c:ext>
            </c:extLst>
          </c:dPt>
          <c:dPt>
            <c:idx val="8"/>
            <c:bubble3D val="0"/>
            <c:extLst>
              <c:ext xmlns:c16="http://schemas.microsoft.com/office/drawing/2014/chart" uri="{C3380CC4-5D6E-409C-BE32-E72D297353CC}">
                <c16:uniqueId val="{00000008-5B9B-4785-94E6-4D17AC42C048}"/>
              </c:ext>
            </c:extLst>
          </c:dPt>
          <c:dPt>
            <c:idx val="9"/>
            <c:bubble3D val="0"/>
            <c:extLst>
              <c:ext xmlns:c16="http://schemas.microsoft.com/office/drawing/2014/chart" uri="{C3380CC4-5D6E-409C-BE32-E72D297353CC}">
                <c16:uniqueId val="{00000009-5B9B-4785-94E6-4D17AC42C048}"/>
              </c:ext>
            </c:extLst>
          </c:dPt>
          <c:dPt>
            <c:idx val="10"/>
            <c:bubble3D val="0"/>
            <c:extLst>
              <c:ext xmlns:c16="http://schemas.microsoft.com/office/drawing/2014/chart" uri="{C3380CC4-5D6E-409C-BE32-E72D297353CC}">
                <c16:uniqueId val="{0000000A-5B9B-4785-94E6-4D17AC42C048}"/>
              </c:ext>
            </c:extLst>
          </c:dPt>
          <c:dLbls>
            <c:dLbl>
              <c:idx val="0"/>
              <c:layout>
                <c:manualLayout>
                  <c:x val="-5.1038584361622466E-2"/>
                  <c:y val="-0.11408898765539424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B9B-4785-94E6-4D17AC42C048}"/>
                </c:ext>
              </c:extLst>
            </c:dLbl>
            <c:dLbl>
              <c:idx val="1"/>
              <c:layout>
                <c:manualLayout>
                  <c:x val="0"/>
                  <c:y val="-0.16308979179344518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B9B-4785-94E6-4D17AC42C048}"/>
                </c:ext>
              </c:extLst>
            </c:dLbl>
            <c:dLbl>
              <c:idx val="3"/>
              <c:layout>
                <c:manualLayout>
                  <c:x val="-4.245055475156792E-2"/>
                  <c:y val="7.0555555555555883E-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B9B-4785-94E6-4D17AC42C048}"/>
                </c:ext>
              </c:extLst>
            </c:dLbl>
            <c:dLbl>
              <c:idx val="4"/>
              <c:layout>
                <c:manualLayout>
                  <c:x val="-3.112745098039231E-2"/>
                  <c:y val="-4.9388888888888892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B9B-4785-94E6-4D17AC42C048}"/>
                </c:ext>
              </c:extLst>
            </c:dLbl>
            <c:dLbl>
              <c:idx val="6"/>
              <c:layout>
                <c:manualLayout>
                  <c:x val="2.3154848046309694E-2"/>
                  <c:y val="0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B9B-4785-94E6-4D17AC42C048}"/>
                </c:ext>
              </c:extLst>
            </c:dLbl>
            <c:dLbl>
              <c:idx val="7"/>
              <c:layout>
                <c:manualLayout>
                  <c:x val="-0.12997117896160335"/>
                  <c:y val="-2.227082065548118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B9B-4785-94E6-4D17AC42C048}"/>
                </c:ext>
              </c:extLst>
            </c:dLbl>
            <c:dLbl>
              <c:idx val="8"/>
              <c:layout>
                <c:manualLayout>
                  <c:x val="-4.6511635004522218E-2"/>
                  <c:y val="-8.7811331826480044E-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B9B-4785-94E6-4D17AC42C048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65000"/>
                    <a:lumOff val="35000"/>
                  </a:sysClr>
                </a:solidFill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fr-FR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</c:ext>
            </c:extLst>
          </c:dLbls>
          <c:cat>
            <c:strRef>
              <c:f>'Prestations Réglées Graph'!$E$67:$E$71</c:f>
              <c:strCache>
                <c:ptCount val="5"/>
                <c:pt idx="0">
                  <c:v>DENTA</c:v>
                </c:pt>
                <c:pt idx="1">
                  <c:v>HOSPI</c:v>
                </c:pt>
                <c:pt idx="2">
                  <c:v>OPTIQ</c:v>
                </c:pt>
                <c:pt idx="3">
                  <c:v>PREVE</c:v>
                </c:pt>
                <c:pt idx="4">
                  <c:v>SOINS</c:v>
                </c:pt>
              </c:strCache>
            </c:strRef>
          </c:cat>
          <c:val>
            <c:numRef>
              <c:f>'Prestations Réglées Graph'!$F$67:$F$71</c:f>
              <c:numCache>
                <c:formatCode>General</c:formatCode>
                <c:ptCount val="5"/>
                <c:pt idx="0">
                  <c:v>9606.92</c:v>
                </c:pt>
                <c:pt idx="1">
                  <c:v>2492.61</c:v>
                </c:pt>
                <c:pt idx="2">
                  <c:v>9997.58</c:v>
                </c:pt>
                <c:pt idx="3">
                  <c:v>1574</c:v>
                </c:pt>
                <c:pt idx="4">
                  <c:v>16855.279999999981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5B9B-4785-94E6-4D17AC42C0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3D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bar"/>
        <c:grouping val="percentStacked"/>
        <c:varyColors val="0"/>
        <c:ser>
          <c:idx val="0"/>
          <c:order val="0"/>
          <c:tx>
            <c:strRef>
              <c:f>'Prestations Réglées Graph'!$I$66</c:f>
              <c:strCache>
                <c:ptCount val="1"/>
                <c:pt idx="0">
                  <c:v>Remboursement SS</c:v>
                </c:pt>
              </c:strCache>
            </c:strRef>
          </c:tx>
          <c:spPr>
            <a:solidFill>
              <a:srgbClr val="3366CC"/>
            </a:solidFill>
            <a:ln>
              <a:noFill/>
            </a:ln>
            <a:effectLst/>
          </c:spPr>
          <c:invertIfNegative val="0"/>
          <c:cat>
            <c:strRef>
              <c:f>'Prestations Réglées Graph'!$E$67:$E$71</c:f>
              <c:strCache>
                <c:ptCount val="5"/>
                <c:pt idx="0">
                  <c:v>DENTA</c:v>
                </c:pt>
                <c:pt idx="1">
                  <c:v>HOSPI</c:v>
                </c:pt>
                <c:pt idx="2">
                  <c:v>OPTIQ</c:v>
                </c:pt>
                <c:pt idx="3">
                  <c:v>PREVE</c:v>
                </c:pt>
                <c:pt idx="4">
                  <c:v>SOINS</c:v>
                </c:pt>
              </c:strCache>
            </c:strRef>
          </c:cat>
          <c:val>
            <c:numRef>
              <c:f>'Prestations Réglées Graph'!$I$67:$I$71</c:f>
              <c:numCache>
                <c:formatCode>General</c:formatCode>
                <c:ptCount val="5"/>
                <c:pt idx="0">
                  <c:v>3820.44</c:v>
                </c:pt>
                <c:pt idx="1">
                  <c:v>2466.0500000000002</c:v>
                </c:pt>
                <c:pt idx="2">
                  <c:v>1.95</c:v>
                </c:pt>
                <c:pt idx="3">
                  <c:v>0</c:v>
                </c:pt>
                <c:pt idx="4">
                  <c:v>20534.21000000001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6D-46E8-8001-F9BFE623B470}"/>
            </c:ext>
          </c:extLst>
        </c:ser>
        <c:ser>
          <c:idx val="1"/>
          <c:order val="1"/>
          <c:tx>
            <c:strRef>
              <c:f>'Prestations Réglées Graph'!$J$66</c:f>
              <c:strCache>
                <c:ptCount val="1"/>
                <c:pt idx="0">
                  <c:v>Remboursement Autres Régimes</c:v>
                </c:pt>
              </c:strCache>
            </c:strRef>
          </c:tx>
          <c:spPr>
            <a:solidFill>
              <a:sysClr val="windowText" lastClr="000000">
                <a:lumMod val="50000"/>
                <a:lumOff val="50000"/>
              </a:sysClr>
            </a:solidFill>
            <a:ln>
              <a:noFill/>
            </a:ln>
            <a:effectLst/>
          </c:spPr>
          <c:invertIfNegative val="0"/>
          <c:cat>
            <c:strRef>
              <c:f>'Prestations Réglées Graph'!$E$67:$E$71</c:f>
              <c:strCache>
                <c:ptCount val="5"/>
                <c:pt idx="0">
                  <c:v>DENTA</c:v>
                </c:pt>
                <c:pt idx="1">
                  <c:v>HOSPI</c:v>
                </c:pt>
                <c:pt idx="2">
                  <c:v>OPTIQ</c:v>
                </c:pt>
                <c:pt idx="3">
                  <c:v>PREVE</c:v>
                </c:pt>
                <c:pt idx="4">
                  <c:v>SOINS</c:v>
                </c:pt>
              </c:strCache>
            </c:strRef>
          </c:cat>
          <c:val>
            <c:numRef>
              <c:f>'Prestations Réglées Graph'!$J$67:$J$71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095-4058-93D9-DF80DC3772F7}"/>
            </c:ext>
          </c:extLst>
        </c:ser>
        <c:ser>
          <c:idx val="2"/>
          <c:order val="2"/>
          <c:tx>
            <c:strRef>
              <c:f>'Prestations Réglées Graph'!$K$66</c:f>
              <c:strCache>
                <c:ptCount val="1"/>
                <c:pt idx="0">
                  <c:v>Remboursement KERIALIS</c:v>
                </c:pt>
              </c:strCache>
            </c:strRef>
          </c:tx>
          <c:spPr>
            <a:solidFill>
              <a:srgbClr val="006666"/>
            </a:solidFill>
            <a:ln>
              <a:noFill/>
            </a:ln>
            <a:effectLst/>
          </c:spPr>
          <c:invertIfNegative val="0"/>
          <c:cat>
            <c:strRef>
              <c:f>'Prestations Réglées Graph'!$E$67:$E$71</c:f>
              <c:strCache>
                <c:ptCount val="5"/>
                <c:pt idx="0">
                  <c:v>DENTA</c:v>
                </c:pt>
                <c:pt idx="1">
                  <c:v>HOSPI</c:v>
                </c:pt>
                <c:pt idx="2">
                  <c:v>OPTIQ</c:v>
                </c:pt>
                <c:pt idx="3">
                  <c:v>PREVE</c:v>
                </c:pt>
                <c:pt idx="4">
                  <c:v>SOINS</c:v>
                </c:pt>
              </c:strCache>
            </c:strRef>
          </c:cat>
          <c:val>
            <c:numRef>
              <c:f>'Prestations Réglées Graph'!$K$67:$K$71</c:f>
              <c:numCache>
                <c:formatCode>General</c:formatCode>
                <c:ptCount val="5"/>
                <c:pt idx="0">
                  <c:v>9606.92</c:v>
                </c:pt>
                <c:pt idx="1">
                  <c:v>2492.61</c:v>
                </c:pt>
                <c:pt idx="2">
                  <c:v>9997.58</c:v>
                </c:pt>
                <c:pt idx="3">
                  <c:v>1574</c:v>
                </c:pt>
                <c:pt idx="4">
                  <c:v>16855.279999999981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095-4058-93D9-DF80DC3772F7}"/>
            </c:ext>
          </c:extLst>
        </c:ser>
        <c:ser>
          <c:idx val="3"/>
          <c:order val="3"/>
          <c:tx>
            <c:strRef>
              <c:f>'Prestations Réglées Graph'!$L$66</c:f>
              <c:strCache>
                <c:ptCount val="1"/>
                <c:pt idx="0">
                  <c:v>Somme de Reste à charge</c:v>
                </c:pt>
              </c:strCache>
            </c:strRef>
          </c:tx>
          <c:spPr>
            <a:solidFill>
              <a:srgbClr val="FF9933"/>
            </a:solidFill>
            <a:ln>
              <a:noFill/>
            </a:ln>
            <a:effectLst/>
          </c:spPr>
          <c:invertIfNegative val="0"/>
          <c:cat>
            <c:strRef>
              <c:f>'Prestations Réglées Graph'!$E$67:$E$71</c:f>
              <c:strCache>
                <c:ptCount val="5"/>
                <c:pt idx="0">
                  <c:v>DENTA</c:v>
                </c:pt>
                <c:pt idx="1">
                  <c:v>HOSPI</c:v>
                </c:pt>
                <c:pt idx="2">
                  <c:v>OPTIQ</c:v>
                </c:pt>
                <c:pt idx="3">
                  <c:v>PREVE</c:v>
                </c:pt>
                <c:pt idx="4">
                  <c:v>SOINS</c:v>
                </c:pt>
              </c:strCache>
            </c:strRef>
          </c:cat>
          <c:val>
            <c:numRef>
              <c:f>'Prestations Réglées Graph'!$L$67:$L$71</c:f>
              <c:numCache>
                <c:formatCode>General</c:formatCode>
                <c:ptCount val="5"/>
                <c:pt idx="0">
                  <c:v>2463.9399999999987</c:v>
                </c:pt>
                <c:pt idx="1">
                  <c:v>1974.0499999999997</c:v>
                </c:pt>
                <c:pt idx="2">
                  <c:v>1903.7499999999982</c:v>
                </c:pt>
                <c:pt idx="3">
                  <c:v>879</c:v>
                </c:pt>
                <c:pt idx="4">
                  <c:v>5778.4100000000763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095-4058-93D9-DF80DC3772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69398672"/>
        <c:axId val="1569400304"/>
      </c:barChart>
      <c:catAx>
        <c:axId val="156939867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DINBek" panose="00000400000000000000" pitchFamily="2" charset="0"/>
                <a:ea typeface="+mn-ea"/>
                <a:cs typeface="+mn-cs"/>
              </a:defRPr>
            </a:pPr>
            <a:endParaRPr lang="fr-FR"/>
          </a:p>
        </c:txPr>
        <c:crossAx val="1569400304"/>
        <c:crosses val="autoZero"/>
        <c:auto val="1"/>
        <c:lblAlgn val="ctr"/>
        <c:lblOffset val="100"/>
        <c:noMultiLvlLbl val="0"/>
      </c:catAx>
      <c:valAx>
        <c:axId val="1569400304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693986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'Prestations Réglées Graph'!$M$66</c:f>
              <c:strCache>
                <c:ptCount val="1"/>
                <c:pt idx="0">
                  <c:v>Vos prestations</c:v>
                </c:pt>
              </c:strCache>
            </c:strRef>
          </c:tx>
          <c:spPr>
            <a:solidFill>
              <a:schemeClr val="accent6">
                <a:tint val="77000"/>
              </a:schemeClr>
            </a:solidFill>
            <a:ln>
              <a:noFill/>
            </a:ln>
            <a:effectLst/>
          </c:spPr>
          <c:invertIfNegative val="0"/>
          <c:cat>
            <c:strRef>
              <c:f>'Prestations Réglées Graph'!$E$67:$E$71</c:f>
              <c:strCache>
                <c:ptCount val="5"/>
                <c:pt idx="0">
                  <c:v>DENTA</c:v>
                </c:pt>
                <c:pt idx="1">
                  <c:v>HOSPI</c:v>
                </c:pt>
                <c:pt idx="2">
                  <c:v>OPTIQ</c:v>
                </c:pt>
                <c:pt idx="3">
                  <c:v>PREVE</c:v>
                </c:pt>
                <c:pt idx="4">
                  <c:v>SOINS</c:v>
                </c:pt>
              </c:strCache>
            </c:strRef>
          </c:cat>
          <c:val>
            <c:numRef>
              <c:f>'Prestations Réglées Graph'!$M$67:$M$71</c:f>
              <c:numCache>
                <c:formatCode>General</c:formatCode>
                <c:ptCount val="5"/>
                <c:pt idx="0">
                  <c:v>74.47224806201551</c:v>
                </c:pt>
                <c:pt idx="1">
                  <c:v>75.533636363636361</c:v>
                </c:pt>
                <c:pt idx="2">
                  <c:v>140.81098591549295</c:v>
                </c:pt>
                <c:pt idx="3">
                  <c:v>37.476190476190474</c:v>
                </c:pt>
                <c:pt idx="4">
                  <c:v>7.468001772264059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CB-4C69-97B0-A6BCCE73F023}"/>
            </c:ext>
          </c:extLst>
        </c:ser>
        <c:ser>
          <c:idx val="1"/>
          <c:order val="1"/>
          <c:tx>
            <c:strRef>
              <c:f>'Prestations Réglées Graph'!$N$66</c:f>
              <c:strCache>
                <c:ptCount val="1"/>
                <c:pt idx="0">
                  <c:v>Notre expérience</c:v>
                </c:pt>
              </c:strCache>
            </c:strRef>
          </c:tx>
          <c:spPr>
            <a:solidFill>
              <a:schemeClr val="accent6">
                <a:shade val="76000"/>
              </a:schemeClr>
            </a:solidFill>
            <a:ln>
              <a:noFill/>
            </a:ln>
            <a:effectLst/>
          </c:spPr>
          <c:invertIfNegative val="0"/>
          <c:cat>
            <c:strRef>
              <c:f>'Prestations Réglées Graph'!$E$67:$E$71</c:f>
              <c:strCache>
                <c:ptCount val="5"/>
                <c:pt idx="0">
                  <c:v>DENTA</c:v>
                </c:pt>
                <c:pt idx="1">
                  <c:v>HOSPI</c:v>
                </c:pt>
                <c:pt idx="2">
                  <c:v>OPTIQ</c:v>
                </c:pt>
                <c:pt idx="3">
                  <c:v>PREVE</c:v>
                </c:pt>
                <c:pt idx="4">
                  <c:v>SOINS</c:v>
                </c:pt>
              </c:strCache>
            </c:strRef>
          </c:cat>
          <c:val>
            <c:numRef>
              <c:f>'Prestations Réglées Graph'!$N$67:$N$71</c:f>
              <c:numCache>
                <c:formatCode>General</c:formatCode>
                <c:ptCount val="5"/>
                <c:pt idx="0">
                  <c:v>79.457567238156898</c:v>
                </c:pt>
                <c:pt idx="1">
                  <c:v>58.382425157923635</c:v>
                </c:pt>
                <c:pt idx="2">
                  <c:v>128.41015674850908</c:v>
                </c:pt>
                <c:pt idx="3">
                  <c:v>40.888151311775466</c:v>
                </c:pt>
                <c:pt idx="4">
                  <c:v>4.6795199488126045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5E-48C7-A6CD-1524A01284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75086304"/>
        <c:axId val="1575068896"/>
      </c:barChart>
      <c:catAx>
        <c:axId val="1575086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75068896"/>
        <c:crosses val="autoZero"/>
        <c:auto val="1"/>
        <c:lblAlgn val="ctr"/>
        <c:lblOffset val="100"/>
        <c:noMultiLvlLbl val="0"/>
      </c:catAx>
      <c:valAx>
        <c:axId val="1575068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75086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ivotFmts>
      <c:pivotFmt>
        <c:idx val="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DINBek" panose="00000400000000000000" pitchFamily="2" charset="0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tx2"/>
          </a:solidFill>
          <a:ln>
            <a:noFill/>
          </a:ln>
          <a:effectLst/>
        </c:spPr>
      </c:pivotFmt>
      <c:pivotFmt>
        <c:idx val="2"/>
        <c:spPr>
          <a:solidFill>
            <a:srgbClr val="FFC000"/>
          </a:solidFill>
          <a:ln>
            <a:noFill/>
          </a:ln>
          <a:effectLst/>
        </c:spPr>
      </c:pivotFmt>
      <c:pivotFmt>
        <c:idx val="3"/>
        <c:spPr>
          <a:solidFill>
            <a:schemeClr val="bg1">
              <a:lumMod val="65000"/>
            </a:schemeClr>
          </a:solidFill>
          <a:ln>
            <a:noFill/>
          </a:ln>
          <a:effectLst/>
        </c:spPr>
      </c:pivotFmt>
      <c:pivotFmt>
        <c:idx val="4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DINBek" panose="00000400000000000000" pitchFamily="2" charset="0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bg1">
              <a:lumMod val="65000"/>
            </a:schemeClr>
          </a:solidFill>
          <a:ln>
            <a:noFill/>
          </a:ln>
          <a:effectLst/>
        </c:spPr>
      </c:pivotFmt>
      <c:pivotFmt>
        <c:idx val="6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</c:pivotFmt>
      <c:pivotFmt>
        <c:idx val="7"/>
        <c:spPr>
          <a:solidFill>
            <a:srgbClr val="FFC000"/>
          </a:solidFill>
          <a:ln>
            <a:noFill/>
          </a:ln>
          <a:effectLst/>
        </c:spPr>
      </c:pivotFmt>
    </c:pivotFmts>
    <c:view3D>
      <c:rotX val="30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0297055125706971"/>
          <c:y val="0.10502722222222222"/>
          <c:w val="0.80562636562272394"/>
          <c:h val="0.801462394647108"/>
        </c:manualLayout>
      </c:layout>
      <c:pie3DChart>
        <c:varyColors val="1"/>
        <c:ser>
          <c:idx val="0"/>
          <c:order val="0"/>
          <c:tx>
            <c:strRef>
              <c:f>'Prestations Réglées Graph'!$G$66</c:f>
              <c:strCache>
                <c:ptCount val="1"/>
                <c:pt idx="0">
                  <c:v>Notre expérience</c:v>
                </c:pt>
              </c:strCache>
            </c:strRef>
          </c:tx>
          <c:explosion val="2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70AF-473A-B5F0-26F85E81E3EE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1-70AF-473A-B5F0-26F85E81E3EE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2-70AF-473A-B5F0-26F85E81E3EE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03-70AF-473A-B5F0-26F85E81E3EE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4-70AF-473A-B5F0-26F85E81E3EE}"/>
              </c:ext>
            </c:extLst>
          </c:dPt>
          <c:dPt>
            <c:idx val="5"/>
            <c:bubble3D val="0"/>
            <c:extLst>
              <c:ext xmlns:c16="http://schemas.microsoft.com/office/drawing/2014/chart" uri="{C3380CC4-5D6E-409C-BE32-E72D297353CC}">
                <c16:uniqueId val="{00000005-70AF-473A-B5F0-26F85E81E3EE}"/>
              </c:ext>
            </c:extLst>
          </c:dPt>
          <c:dPt>
            <c:idx val="6"/>
            <c:bubble3D val="0"/>
            <c:extLst>
              <c:ext xmlns:c16="http://schemas.microsoft.com/office/drawing/2014/chart" uri="{C3380CC4-5D6E-409C-BE32-E72D297353CC}">
                <c16:uniqueId val="{00000006-70AF-473A-B5F0-26F85E81E3EE}"/>
              </c:ext>
            </c:extLst>
          </c:dPt>
          <c:dPt>
            <c:idx val="7"/>
            <c:bubble3D val="0"/>
            <c:extLst>
              <c:ext xmlns:c16="http://schemas.microsoft.com/office/drawing/2014/chart" uri="{C3380CC4-5D6E-409C-BE32-E72D297353CC}">
                <c16:uniqueId val="{00000007-70AF-473A-B5F0-26F85E81E3EE}"/>
              </c:ext>
            </c:extLst>
          </c:dPt>
          <c:dPt>
            <c:idx val="8"/>
            <c:bubble3D val="0"/>
            <c:extLst>
              <c:ext xmlns:c16="http://schemas.microsoft.com/office/drawing/2014/chart" uri="{C3380CC4-5D6E-409C-BE32-E72D297353CC}">
                <c16:uniqueId val="{00000008-70AF-473A-B5F0-26F85E81E3EE}"/>
              </c:ext>
            </c:extLst>
          </c:dPt>
          <c:dPt>
            <c:idx val="9"/>
            <c:bubble3D val="0"/>
            <c:extLst>
              <c:ext xmlns:c16="http://schemas.microsoft.com/office/drawing/2014/chart" uri="{C3380CC4-5D6E-409C-BE32-E72D297353CC}">
                <c16:uniqueId val="{00000009-70AF-473A-B5F0-26F85E81E3EE}"/>
              </c:ext>
            </c:extLst>
          </c:dPt>
          <c:dPt>
            <c:idx val="10"/>
            <c:bubble3D val="0"/>
            <c:extLst>
              <c:ext xmlns:c16="http://schemas.microsoft.com/office/drawing/2014/chart" uri="{C3380CC4-5D6E-409C-BE32-E72D297353CC}">
                <c16:uniqueId val="{0000000A-70AF-473A-B5F0-26F85E81E3EE}"/>
              </c:ext>
            </c:extLst>
          </c:dPt>
          <c:dLbls>
            <c:dLbl>
              <c:idx val="0"/>
              <c:layout>
                <c:manualLayout>
                  <c:x val="-5.1038584361622466E-2"/>
                  <c:y val="-0.11408898765539424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0AF-473A-B5F0-26F85E81E3EE}"/>
                </c:ext>
              </c:extLst>
            </c:dLbl>
            <c:dLbl>
              <c:idx val="1"/>
              <c:layout>
                <c:manualLayout>
                  <c:x val="0"/>
                  <c:y val="-0.16308979179344518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0AF-473A-B5F0-26F85E81E3EE}"/>
                </c:ext>
              </c:extLst>
            </c:dLbl>
            <c:dLbl>
              <c:idx val="3"/>
              <c:layout>
                <c:manualLayout>
                  <c:x val="-4.245055475156792E-2"/>
                  <c:y val="7.0555555555555883E-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0AF-473A-B5F0-26F85E81E3EE}"/>
                </c:ext>
              </c:extLst>
            </c:dLbl>
            <c:dLbl>
              <c:idx val="4"/>
              <c:layout>
                <c:manualLayout>
                  <c:x val="-3.112745098039231E-2"/>
                  <c:y val="-4.9388888888888892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0AF-473A-B5F0-26F85E81E3EE}"/>
                </c:ext>
              </c:extLst>
            </c:dLbl>
            <c:dLbl>
              <c:idx val="6"/>
              <c:layout>
                <c:manualLayout>
                  <c:x val="2.3154848046309694E-2"/>
                  <c:y val="0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0AF-473A-B5F0-26F85E81E3EE}"/>
                </c:ext>
              </c:extLst>
            </c:dLbl>
            <c:dLbl>
              <c:idx val="7"/>
              <c:layout>
                <c:manualLayout>
                  <c:x val="-0.12997117896160335"/>
                  <c:y val="-2.227082065548118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0AF-473A-B5F0-26F85E81E3EE}"/>
                </c:ext>
              </c:extLst>
            </c:dLbl>
            <c:dLbl>
              <c:idx val="8"/>
              <c:layout>
                <c:manualLayout>
                  <c:x val="-4.6511635004522218E-2"/>
                  <c:y val="-8.7811331826480044E-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0AF-473A-B5F0-26F85E81E3EE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65000"/>
                    <a:lumOff val="35000"/>
                  </a:sysClr>
                </a:solidFill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fr-FR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</c:ext>
            </c:extLst>
          </c:dLbls>
          <c:cat>
            <c:strRef>
              <c:f>'Prestations Réglées Graph'!$E$67:$E$71</c:f>
              <c:strCache>
                <c:ptCount val="5"/>
                <c:pt idx="0">
                  <c:v>DENTA</c:v>
                </c:pt>
                <c:pt idx="1">
                  <c:v>HOSPI</c:v>
                </c:pt>
                <c:pt idx="2">
                  <c:v>OPTIQ</c:v>
                </c:pt>
                <c:pt idx="3">
                  <c:v>PREVE</c:v>
                </c:pt>
                <c:pt idx="4">
                  <c:v>SOINS</c:v>
                </c:pt>
              </c:strCache>
            </c:strRef>
          </c:cat>
          <c:val>
            <c:numRef>
              <c:f>'Prestations Réglées Graph'!$G$67:$G$71</c:f>
              <c:numCache>
                <c:formatCode>General</c:formatCode>
                <c:ptCount val="5"/>
                <c:pt idx="0">
                  <c:v>1955768.559999994</c:v>
                </c:pt>
                <c:pt idx="1">
                  <c:v>850281.63999999978</c:v>
                </c:pt>
                <c:pt idx="2">
                  <c:v>1851417.6400000041</c:v>
                </c:pt>
                <c:pt idx="3">
                  <c:v>268062.71999999997</c:v>
                </c:pt>
                <c:pt idx="4">
                  <c:v>3291106.3799999049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70AF-473A-B5F0-26F85E81E3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3D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AIDES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Remboursement KERIALIS</c:v>
          </c:tx>
          <c:invertIfNegative val="0"/>
          <c:cat>
            <c:strRef>
              <c:f>AIDES!$D$16:$D$21</c:f>
              <c:strCache>
                <c:ptCount val="6"/>
                <c:pt idx="0">
                  <c:v>APPAREILLAGE</c:v>
                </c:pt>
                <c:pt idx="1">
                  <c:v>PILES AUDITIVES</c:v>
                </c:pt>
                <c:pt idx="2">
                  <c:v>PROTH.AUDITIVE CLASSE 1 DROITE</c:v>
                </c:pt>
                <c:pt idx="3">
                  <c:v>PROTH.AUDITIVE CLASSE 2 DROITE</c:v>
                </c:pt>
                <c:pt idx="4">
                  <c:v>PROTH.AUDITIVE CLASSE 2 GAUCHE</c:v>
                </c:pt>
                <c:pt idx="5">
                  <c:v>PROTHESES AUDITIVES</c:v>
                </c:pt>
              </c:strCache>
            </c:strRef>
          </c:cat>
          <c:val>
            <c:numRef>
              <c:f>AIDES!$J$16:$J$21</c:f>
              <c:numCache>
                <c:formatCode>#\ ##0\ "€"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55-405E-B725-4D99AF239D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59591376"/>
        <c:axId val="2059606736"/>
      </c:barChart>
      <c:catAx>
        <c:axId val="205959137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2059606736"/>
        <c:crosses val="autoZero"/>
        <c:auto val="1"/>
        <c:lblAlgn val="ctr"/>
        <c:lblOffset val="100"/>
        <c:noMultiLvlLbl val="0"/>
      </c:catAx>
      <c:valAx>
        <c:axId val="2059606736"/>
        <c:scaling>
          <c:orientation val="minMax"/>
        </c:scaling>
        <c:delete val="0"/>
        <c:axPos val="b"/>
        <c:majorGridlines/>
        <c:numFmt formatCode="#\ ##0\ &quot;€&quot;" sourceLinked="1"/>
        <c:majorTickMark val="out"/>
        <c:minorTickMark val="none"/>
        <c:tickLblPos val="nextTo"/>
        <c:crossAx val="2059591376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AUTRE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Remboursement KERIALIS</c:v>
          </c:tx>
          <c:invertIfNegative val="0"/>
          <c:cat>
            <c:strRef>
              <c:f>AUTRE!$D$16:$D$20</c:f>
              <c:strCache>
                <c:ptCount val="5"/>
                <c:pt idx="0">
                  <c:v>CODE TRACEUR SAS</c:v>
                </c:pt>
                <c:pt idx="1">
                  <c:v>DIVERS</c:v>
                </c:pt>
                <c:pt idx="2">
                  <c:v>GROUPE HOMOGENE DE TARIF</c:v>
                </c:pt>
                <c:pt idx="3">
                  <c:v>HORS NOMENCLATURE</c:v>
                </c:pt>
                <c:pt idx="4">
                  <c:v>RÉSEAU ITELIS</c:v>
                </c:pt>
              </c:strCache>
            </c:strRef>
          </c:cat>
          <c:val>
            <c:numRef>
              <c:f>AUTRE!$J$16:$J$20</c:f>
              <c:numCache>
                <c:formatCode>#\ ##0\ "€"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6A0-46D4-95F5-E8D3A57156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59581776"/>
        <c:axId val="2059586576"/>
      </c:barChart>
      <c:catAx>
        <c:axId val="205958177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2059586576"/>
        <c:crosses val="autoZero"/>
        <c:auto val="1"/>
        <c:lblAlgn val="ctr"/>
        <c:lblOffset val="100"/>
        <c:noMultiLvlLbl val="0"/>
      </c:catAx>
      <c:valAx>
        <c:axId val="2059586576"/>
        <c:scaling>
          <c:orientation val="minMax"/>
        </c:scaling>
        <c:delete val="0"/>
        <c:axPos val="b"/>
        <c:majorGridlines/>
        <c:numFmt formatCode="#\ ##0\ &quot;€&quot;" sourceLinked="1"/>
        <c:majorTickMark val="out"/>
        <c:minorTickMark val="none"/>
        <c:tickLblPos val="nextTo"/>
        <c:crossAx val="2059581776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CURE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Remboursement KERIALIS</c:v>
          </c:tx>
          <c:invertIfNegative val="0"/>
          <c:val>
            <c:numRef>
              <c:f>CURE!$J$16</c:f>
              <c:numCache>
                <c:formatCode>#\ ##0\ "€"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96-40EB-86A5-90D2AC8A60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59552496"/>
        <c:axId val="2059565456"/>
      </c:barChart>
      <c:catAx>
        <c:axId val="2059552496"/>
        <c:scaling>
          <c:orientation val="minMax"/>
        </c:scaling>
        <c:delete val="0"/>
        <c:axPos val="l"/>
        <c:majorTickMark val="out"/>
        <c:minorTickMark val="none"/>
        <c:tickLblPos val="nextTo"/>
        <c:crossAx val="2059565456"/>
        <c:crosses val="autoZero"/>
        <c:auto val="1"/>
        <c:lblAlgn val="ctr"/>
        <c:lblOffset val="100"/>
        <c:noMultiLvlLbl val="0"/>
      </c:catAx>
      <c:valAx>
        <c:axId val="2059565456"/>
        <c:scaling>
          <c:orientation val="minMax"/>
        </c:scaling>
        <c:delete val="0"/>
        <c:axPos val="b"/>
        <c:majorGridlines/>
        <c:numFmt formatCode="#\ ##0\ &quot;€&quot;" sourceLinked="1"/>
        <c:majorTickMark val="out"/>
        <c:minorTickMark val="none"/>
        <c:tickLblPos val="nextTo"/>
        <c:crossAx val="2059552496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DENTA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Remboursement KERIALIS</c:v>
          </c:tx>
          <c:invertIfNegative val="0"/>
          <c:cat>
            <c:strRef>
              <c:f>DENTA!$D$16:$D$22</c:f>
              <c:strCache>
                <c:ptCount val="7"/>
                <c:pt idx="0">
                  <c:v>ACTES DE PROPHYLAXIE ET PREVENTION</c:v>
                </c:pt>
                <c:pt idx="1">
                  <c:v>ORTHODONTIE</c:v>
                </c:pt>
                <c:pt idx="2">
                  <c:v>PARODONTOLOGIE</c:v>
                </c:pt>
                <c:pt idx="3">
                  <c:v>PROTHESE-COURONNE 100% PANIER</c:v>
                </c:pt>
                <c:pt idx="4">
                  <c:v>PROTHESE-COURONNE PANIER LIBRE</c:v>
                </c:pt>
                <c:pt idx="5">
                  <c:v>PROTHESE-COURONNE PANIER MAITRISE</c:v>
                </c:pt>
                <c:pt idx="6">
                  <c:v>SOINS DENTAIRES</c:v>
                </c:pt>
              </c:strCache>
            </c:strRef>
          </c:cat>
          <c:val>
            <c:numRef>
              <c:f>DENTA!$J$16:$J$22</c:f>
              <c:numCache>
                <c:formatCode>#\ ##0\ "€"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7076.92</c:v>
                </c:pt>
                <c:pt idx="4">
                  <c:v>0</c:v>
                </c:pt>
                <c:pt idx="5">
                  <c:v>2530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182-4D8C-9FF5-632363385C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59563536"/>
        <c:axId val="2059565936"/>
      </c:barChart>
      <c:catAx>
        <c:axId val="205956353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2059565936"/>
        <c:crosses val="autoZero"/>
        <c:auto val="1"/>
        <c:lblAlgn val="ctr"/>
        <c:lblOffset val="100"/>
        <c:noMultiLvlLbl val="0"/>
      </c:catAx>
      <c:valAx>
        <c:axId val="2059565936"/>
        <c:scaling>
          <c:orientation val="minMax"/>
        </c:scaling>
        <c:delete val="0"/>
        <c:axPos val="b"/>
        <c:majorGridlines/>
        <c:numFmt formatCode="#\ ##0\ &quot;€&quot;" sourceLinked="1"/>
        <c:majorTickMark val="out"/>
        <c:minorTickMark val="none"/>
        <c:tickLblPos val="nextTo"/>
        <c:crossAx val="2059563536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HOSPI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Remboursement KERIALIS</c:v>
          </c:tx>
          <c:invertIfNegative val="0"/>
          <c:cat>
            <c:strRef>
              <c:f>HOSPI!$D$16:$D$37</c:f>
              <c:strCache>
                <c:ptCount val="22"/>
                <c:pt idx="0">
                  <c:v>CHAMBRE PARTICULIERE</c:v>
                </c:pt>
                <c:pt idx="1">
                  <c:v>CHAMBRE PARTICULIERE CHIRURGIE</c:v>
                </c:pt>
                <c:pt idx="2">
                  <c:v>CONSULTATION CCMU 3 D'URGENCE</c:v>
                </c:pt>
                <c:pt idx="3">
                  <c:v>FORFAIT D'ENTRÉE</c:v>
                </c:pt>
                <c:pt idx="4">
                  <c:v>FORFAIT JOURNALIER</c:v>
                </c:pt>
                <c:pt idx="5">
                  <c:v>FRAIS SEJOUR</c:v>
                </c:pt>
                <c:pt idx="6">
                  <c:v>FRAIS TRANSPORT</c:v>
                </c:pt>
                <c:pt idx="7">
                  <c:v>HONOR. DISPENS. GRAND CONDIT. NIV.4</c:v>
                </c:pt>
                <c:pt idx="8">
                  <c:v>HONORAIRE / FRAIS SEJOUR</c:v>
                </c:pt>
                <c:pt idx="9">
                  <c:v>HONORAIRES</c:v>
                </c:pt>
                <c:pt idx="10">
                  <c:v>HONORAIRES LIES A L'ACCOUCHEMENT</c:v>
                </c:pt>
                <c:pt idx="11">
                  <c:v>HOSPITALISATION</c:v>
                </c:pt>
                <c:pt idx="12">
                  <c:v>IND HÉBERGT + VOYAGE NR</c:v>
                </c:pt>
                <c:pt idx="13">
                  <c:v>INDEMNITE DE NAISSANCE</c:v>
                </c:pt>
                <c:pt idx="14">
                  <c:v>INTERVENTION DURANT GARDE AMBULANCE</c:v>
                </c:pt>
                <c:pt idx="15">
                  <c:v>INTERVENTION HORS GARDE AMBULANCE</c:v>
                </c:pt>
                <c:pt idx="16">
                  <c:v>LIT ACCOMPAGNANT</c:v>
                </c:pt>
                <c:pt idx="17">
                  <c:v>MAJO. SUITE HOSPITALISATION</c:v>
                </c:pt>
                <c:pt idx="18">
                  <c:v>MAJORATION PMSI</c:v>
                </c:pt>
                <c:pt idx="19">
                  <c:v>NOUVEAU FORFAIT ENFANT</c:v>
                </c:pt>
                <c:pt idx="20">
                  <c:v>PARTICIPATION ASSURE HOSPITALISATIO</c:v>
                </c:pt>
                <c:pt idx="21">
                  <c:v>TM RELATIF AUX FRAIS DE SÉJOUR</c:v>
                </c:pt>
              </c:strCache>
            </c:strRef>
          </c:cat>
          <c:val>
            <c:numRef>
              <c:f>HOSPI!$J$16:$J$37</c:f>
              <c:numCache>
                <c:formatCode>#\ ##0\ "€"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60</c:v>
                </c:pt>
                <c:pt idx="5">
                  <c:v>72</c:v>
                </c:pt>
                <c:pt idx="6">
                  <c:v>30.04</c:v>
                </c:pt>
                <c:pt idx="7">
                  <c:v>0</c:v>
                </c:pt>
                <c:pt idx="8">
                  <c:v>0</c:v>
                </c:pt>
                <c:pt idx="9">
                  <c:v>2252.13</c:v>
                </c:pt>
                <c:pt idx="10">
                  <c:v>0</c:v>
                </c:pt>
                <c:pt idx="11">
                  <c:v>78.44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8CC-4B6B-A1AD-D77420E221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59559696"/>
        <c:axId val="2059571696"/>
      </c:barChart>
      <c:catAx>
        <c:axId val="205955969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2059571696"/>
        <c:crosses val="autoZero"/>
        <c:auto val="1"/>
        <c:lblAlgn val="ctr"/>
        <c:lblOffset val="100"/>
        <c:noMultiLvlLbl val="0"/>
      </c:catAx>
      <c:valAx>
        <c:axId val="2059571696"/>
        <c:scaling>
          <c:orientation val="minMax"/>
        </c:scaling>
        <c:delete val="0"/>
        <c:axPos val="b"/>
        <c:majorGridlines/>
        <c:numFmt formatCode="#\ ##0\ &quot;€&quot;" sourceLinked="1"/>
        <c:majorTickMark val="out"/>
        <c:minorTickMark val="none"/>
        <c:tickLblPos val="nextTo"/>
        <c:crossAx val="2059559696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OBSEQ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Remboursement KERIALIS</c:v>
          </c:tx>
          <c:invertIfNegative val="0"/>
          <c:val>
            <c:numRef>
              <c:f>OBSEQ!$J$16</c:f>
              <c:numCache>
                <c:formatCode>#\ ##0\ "€"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3AB-4149-A971-BB5394F4DA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59568336"/>
        <c:axId val="2059571216"/>
      </c:barChart>
      <c:catAx>
        <c:axId val="2059568336"/>
        <c:scaling>
          <c:orientation val="minMax"/>
        </c:scaling>
        <c:delete val="0"/>
        <c:axPos val="l"/>
        <c:majorTickMark val="out"/>
        <c:minorTickMark val="none"/>
        <c:tickLblPos val="nextTo"/>
        <c:crossAx val="2059571216"/>
        <c:crosses val="autoZero"/>
        <c:auto val="1"/>
        <c:lblAlgn val="ctr"/>
        <c:lblOffset val="100"/>
        <c:noMultiLvlLbl val="0"/>
      </c:catAx>
      <c:valAx>
        <c:axId val="2059571216"/>
        <c:scaling>
          <c:orientation val="minMax"/>
        </c:scaling>
        <c:delete val="0"/>
        <c:axPos val="b"/>
        <c:majorGridlines/>
        <c:numFmt formatCode="#\ ##0\ &quot;€&quot;" sourceLinked="1"/>
        <c:majorTickMark val="out"/>
        <c:minorTickMark val="none"/>
        <c:tickLblPos val="nextTo"/>
        <c:crossAx val="2059568336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OPTIQ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Remboursement KERIALIS</c:v>
          </c:tx>
          <c:invertIfNegative val="0"/>
          <c:cat>
            <c:strRef>
              <c:f>OPTIQ!$D$16:$D$25</c:f>
              <c:strCache>
                <c:ptCount val="10"/>
                <c:pt idx="0">
                  <c:v>EQUIPEMENT</c:v>
                </c:pt>
                <c:pt idx="1">
                  <c:v>EQUIPEMENT CLASSE A</c:v>
                </c:pt>
                <c:pt idx="2">
                  <c:v>KERATOTOMIE</c:v>
                </c:pt>
                <c:pt idx="3">
                  <c:v>LENTILLES</c:v>
                </c:pt>
                <c:pt idx="4">
                  <c:v>MONTURE / 1 VERRE COMPLEXE / 1 VERRE TRES COMPLEXE</c:v>
                </c:pt>
                <c:pt idx="5">
                  <c:v>MONTURE / 1 VERRE SIMPLE / 1 VERRE COMPLEXE</c:v>
                </c:pt>
                <c:pt idx="6">
                  <c:v>MONTURE / 2 VERRES COMPLEXES</c:v>
                </c:pt>
                <c:pt idx="7">
                  <c:v>MONTURE / 2 VERRES SIMPLES</c:v>
                </c:pt>
                <c:pt idx="8">
                  <c:v>OPTIQUE</c:v>
                </c:pt>
                <c:pt idx="9">
                  <c:v>RENOUVELLEMENT D'OPTIQUE</c:v>
                </c:pt>
              </c:strCache>
            </c:strRef>
          </c:cat>
          <c:val>
            <c:numRef>
              <c:f>OPTIQ!$J$16:$J$25</c:f>
              <c:numCache>
                <c:formatCode>#\ ##0\ "€"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729.6</c:v>
                </c:pt>
                <c:pt idx="4">
                  <c:v>0</c:v>
                </c:pt>
                <c:pt idx="5">
                  <c:v>0</c:v>
                </c:pt>
                <c:pt idx="6">
                  <c:v>4509.1499999999996</c:v>
                </c:pt>
                <c:pt idx="7">
                  <c:v>4758.83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BC5-4EBB-8B19-A4C9F6BB77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59549136"/>
        <c:axId val="2059568816"/>
      </c:barChart>
      <c:catAx>
        <c:axId val="205954913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2059568816"/>
        <c:crosses val="autoZero"/>
        <c:auto val="1"/>
        <c:lblAlgn val="ctr"/>
        <c:lblOffset val="100"/>
        <c:noMultiLvlLbl val="0"/>
      </c:catAx>
      <c:valAx>
        <c:axId val="2059568816"/>
        <c:scaling>
          <c:orientation val="minMax"/>
        </c:scaling>
        <c:delete val="0"/>
        <c:axPos val="b"/>
        <c:majorGridlines/>
        <c:numFmt formatCode="#\ ##0\ &quot;€&quot;" sourceLinked="1"/>
        <c:majorTickMark val="out"/>
        <c:minorTickMark val="none"/>
        <c:tickLblPos val="nextTo"/>
        <c:crossAx val="2059549136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PREVE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Remboursement KERIALIS</c:v>
          </c:tx>
          <c:invertIfNegative val="0"/>
          <c:cat>
            <c:strRef>
              <c:f>PREVE!$D$16:$D$18</c:f>
              <c:strCache>
                <c:ptCount val="3"/>
                <c:pt idx="0">
                  <c:v>MEDECINE DOUCE</c:v>
                </c:pt>
                <c:pt idx="1">
                  <c:v>VACCINATION GRIPPE PHARMACIEN</c:v>
                </c:pt>
                <c:pt idx="2">
                  <c:v>VACCINS</c:v>
                </c:pt>
              </c:strCache>
            </c:strRef>
          </c:cat>
          <c:val>
            <c:numRef>
              <c:f>PREVE!$J$16:$J$18</c:f>
              <c:numCache>
                <c:formatCode>#\ ##0\ "€"</c:formatCode>
                <c:ptCount val="3"/>
                <c:pt idx="0">
                  <c:v>1574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77-4587-8583-D169930144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59576976"/>
        <c:axId val="2059560176"/>
      </c:barChart>
      <c:catAx>
        <c:axId val="205957697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2059560176"/>
        <c:crosses val="autoZero"/>
        <c:auto val="1"/>
        <c:lblAlgn val="ctr"/>
        <c:lblOffset val="100"/>
        <c:noMultiLvlLbl val="0"/>
      </c:catAx>
      <c:valAx>
        <c:axId val="2059560176"/>
        <c:scaling>
          <c:orientation val="minMax"/>
        </c:scaling>
        <c:delete val="0"/>
        <c:axPos val="b"/>
        <c:majorGridlines/>
        <c:numFmt formatCode="#\ ##0\ &quot;€&quot;" sourceLinked="1"/>
        <c:majorTickMark val="out"/>
        <c:minorTickMark val="none"/>
        <c:tickLblPos val="nextTo"/>
        <c:crossAx val="2059576976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SOINS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Remboursement KERIALIS</c:v>
          </c:tx>
          <c:invertIfNegative val="0"/>
          <c:cat>
            <c:strRef>
              <c:f>SOINS!$D$16:$D$38</c:f>
              <c:strCache>
                <c:ptCount val="23"/>
                <c:pt idx="0">
                  <c:v>ACTE D IMAGERIE</c:v>
                </c:pt>
                <c:pt idx="1">
                  <c:v>ACTE DE KINÉSITHÉRAPIE EN ÉTABLISSE</c:v>
                </c:pt>
                <c:pt idx="2">
                  <c:v>ANALYSES</c:v>
                </c:pt>
                <c:pt idx="3">
                  <c:v>APPAREIL D ASSISTANCE RESPIRATOIRE</c:v>
                </c:pt>
                <c:pt idx="4">
                  <c:v>APPAREILLAGE</c:v>
                </c:pt>
                <c:pt idx="5">
                  <c:v>APPAREILLAGE AUTRE</c:v>
                </c:pt>
                <c:pt idx="6">
                  <c:v>AUTRES ACCESS. TRAITEMENT DOMICILE</c:v>
                </c:pt>
                <c:pt idx="7">
                  <c:v>AUXILIAIRES MEDICAUX</c:v>
                </c:pt>
                <c:pt idx="8">
                  <c:v>CONSULTATIONS,VISITES ET ACTES DE PETITE CHIRURGIE</c:v>
                </c:pt>
                <c:pt idx="9">
                  <c:v>EXAMEN DE SUIVI POST-NATAL</c:v>
                </c:pt>
                <c:pt idx="10">
                  <c:v>EXAMEN OBLIGATOIRE ENFANT 100% K</c:v>
                </c:pt>
                <c:pt idx="11">
                  <c:v>FORFAIT PHARMACEUTIQUE JOURNALIER</c:v>
                </c:pt>
                <c:pt idx="12">
                  <c:v>IMAGERIE, RADIOLOGIE, ECHOGRAPHIE</c:v>
                </c:pt>
                <c:pt idx="13">
                  <c:v>INDEM. FORF. DÉPL. KINÉ PERS.-AGÉE</c:v>
                </c:pt>
                <c:pt idx="14">
                  <c:v>MAJO ASTREINTE MILIEU DE NUIT CONSU</c:v>
                </c:pt>
                <c:pt idx="15">
                  <c:v>MAJORATION PSY ENFANT</c:v>
                </c:pt>
                <c:pt idx="16">
                  <c:v>PHARMACIE</c:v>
                </c:pt>
                <c:pt idx="17">
                  <c:v>SOIN INFIRMIER PAR SAGE-FEMME</c:v>
                </c:pt>
                <c:pt idx="18">
                  <c:v>SOINS COURANTS</c:v>
                </c:pt>
                <c:pt idx="19">
                  <c:v>SOINS ORTHOPTISTE</c:v>
                </c:pt>
                <c:pt idx="20">
                  <c:v>TÉLÉCONSUL. D'ACCOMP. DANS UN LIEU</c:v>
                </c:pt>
                <c:pt idx="21">
                  <c:v>TEST RAPIDE D'ORIEN. DIAGNOS.ANGINE</c:v>
                </c:pt>
                <c:pt idx="22">
                  <c:v>VISITE LONGUE ET COMPLEXE</c:v>
                </c:pt>
              </c:strCache>
            </c:strRef>
          </c:cat>
          <c:val>
            <c:numRef>
              <c:f>SOINS!$J$16:$J$38</c:f>
              <c:numCache>
                <c:formatCode>#\ ##0\ "€"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1137.55</c:v>
                </c:pt>
                <c:pt idx="3">
                  <c:v>0</c:v>
                </c:pt>
                <c:pt idx="4">
                  <c:v>508.42</c:v>
                </c:pt>
                <c:pt idx="5">
                  <c:v>0</c:v>
                </c:pt>
                <c:pt idx="6">
                  <c:v>0</c:v>
                </c:pt>
                <c:pt idx="7">
                  <c:v>3349.88</c:v>
                </c:pt>
                <c:pt idx="8">
                  <c:v>9655.7299999999796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2203.6999999999998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F6A-4CC5-B5FD-517BDDA234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59569296"/>
        <c:axId val="2059557296"/>
      </c:barChart>
      <c:catAx>
        <c:axId val="205956929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2059557296"/>
        <c:crosses val="autoZero"/>
        <c:auto val="1"/>
        <c:lblAlgn val="ctr"/>
        <c:lblOffset val="100"/>
        <c:noMultiLvlLbl val="0"/>
      </c:catAx>
      <c:valAx>
        <c:axId val="2059557296"/>
        <c:scaling>
          <c:orientation val="minMax"/>
        </c:scaling>
        <c:delete val="0"/>
        <c:axPos val="b"/>
        <c:majorGridlines/>
        <c:numFmt formatCode="#\ ##0\ &quot;€&quot;" sourceLinked="1"/>
        <c:majorTickMark val="out"/>
        <c:minorTickMark val="none"/>
        <c:tickLblPos val="nextTo"/>
        <c:crossAx val="2059569296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>
                <a:solidFill>
                  <a:srgbClr val="4FACBE"/>
                </a:solidFill>
              </a:defRPr>
            </a:pPr>
            <a:r>
              <a:rPr lang="fr-FR" sz="1800" b="0" i="0" u="none" strike="noStrike" baseline="0">
                <a:effectLst/>
              </a:rPr>
              <a:t>Garantie 1</a:t>
            </a:r>
            <a:endParaRPr lang="en-US">
              <a:solidFill>
                <a:srgbClr val="4FACBE"/>
              </a:solidFill>
            </a:endParaRP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4042410221601564E-2"/>
          <c:y val="0.10970164231320184"/>
          <c:w val="0.92109021590577"/>
          <c:h val="0.7973824860508959"/>
        </c:manualLayout>
      </c:layout>
      <c:lineChart>
        <c:grouping val="standard"/>
        <c:varyColors val="0"/>
        <c:ser>
          <c:idx val="0"/>
          <c:order val="0"/>
          <c:tx>
            <c:strRef>
              <c:f>'Quartil garantie_1'!$V$18</c:f>
              <c:strCache>
                <c:ptCount val="1"/>
                <c:pt idx="0">
                  <c:v>ACTES DE PROPHYLAXIE ET PREVENTION</c:v>
                </c:pt>
              </c:strCache>
            </c:strRef>
          </c:tx>
          <c:spPr>
            <a:ln w="3810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diamond"/>
            <c:size val="10"/>
            <c:spPr>
              <a:solidFill>
                <a:schemeClr val="accent4"/>
              </a:solidFill>
              <a:ln w="19050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5.660859170387568E-2"/>
                  <c:y val="-2.715747411354466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849-46B3-A6B0-C548C6FD82AF}"/>
                </c:ext>
              </c:extLst>
            </c:dLbl>
            <c:dLbl>
              <c:idx val="1"/>
              <c:layout>
                <c:manualLayout>
                  <c:x val="-4.44527029141117E-2"/>
                  <c:y val="-4.829752445016856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849-46B3-A6B0-C548C6FD82AF}"/>
                </c:ext>
              </c:extLst>
            </c:dLbl>
            <c:dLbl>
              <c:idx val="2"/>
              <c:layout>
                <c:manualLayout>
                  <c:x val="-2.8237900118066317E-2"/>
                  <c:y val="-5.433753883206096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849-46B3-A6B0-C548C6FD82AF}"/>
                </c:ext>
              </c:extLst>
            </c:dLbl>
            <c:spPr>
              <a:noFill/>
              <a:ln w="25400">
                <a:solidFill>
                  <a:schemeClr val="accent4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'Quartil garantie_1'!$V$20:$V$25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garantie_1'!$W$20:$W$25</c:f>
              <c:numCache>
                <c:formatCode>_-* #.##0\ "$"_-;\-* #.##0\ "$"_-;_-* "-"??\ "$"_-;_-@_-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849-46B3-A6B0-C548C6FD82AF}"/>
            </c:ext>
          </c:extLst>
        </c:ser>
        <c:ser>
          <c:idx val="1"/>
          <c:order val="1"/>
          <c:tx>
            <c:strRef>
              <c:f>'Quartil garantie_1'!$X$19</c:f>
              <c:strCache>
                <c:ptCount val="1"/>
                <c:pt idx="0">
                  <c:v>Moyenne</c:v>
                </c:pt>
              </c:strCache>
            </c:strRef>
          </c:tx>
          <c:spPr>
            <a:ln w="31750" cap="rnd">
              <a:solidFill>
                <a:schemeClr val="accent4"/>
              </a:solidFill>
              <a:prstDash val="sysDash"/>
              <a:round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849-46B3-A6B0-C548C6FD82AF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5849-46B3-A6B0-C548C6FD82AF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849-46B3-A6B0-C548C6FD82AF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849-46B3-A6B0-C548C6FD82AF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849-46B3-A6B0-C548C6FD82AF}"/>
                </c:ext>
              </c:extLst>
            </c:dLbl>
            <c:dLbl>
              <c:idx val="5"/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200" b="1" i="0" u="none" strike="noStrike" kern="1200" baseline="0">
                        <a:solidFill>
                          <a:schemeClr val="accent4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Moyenne Adulte</a:t>
                    </a:r>
                    <a:r>
                      <a:rPr lang="en-US" baseline="0"/>
                      <a:t>
                      </a:t>
                    </a:r>
                    <a:endParaRPr lang="en-US"/>
                  </a:p>
                </c:rich>
              </c:tx>
              <c:spPr>
                <a:solidFill>
                  <a:schemeClr val="bg1"/>
                </a:solidFill>
                <a:ln>
                  <a:noFill/>
                </a:ln>
                <a:effectLst/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showDataLabelsRange val="0"/>
                </c:ext>
                <c:ext xmlns:c16="http://schemas.microsoft.com/office/drawing/2014/chart" uri="{C3380CC4-5D6E-409C-BE32-E72D297353CC}">
                  <c16:uniqueId val="{00000009-5849-46B3-A6B0-C548C6FD82AF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accent4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'Quartil garantie_1'!$V$20:$V$25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garantie_1'!$X$20:$X$25</c:f>
              <c:numCache>
                <c:formatCode>_-* #.##0\ "$"_-;\-* #.##0\ "$"_-;_-* "-"??\ "$"_-;_-@_-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5849-46B3-A6B0-C548C6FD82AF}"/>
            </c:ext>
          </c:extLst>
        </c:ser>
        <c:ser>
          <c:idx val="2"/>
          <c:order val="2"/>
          <c:tx>
            <c:strRef>
              <c:f>'Quartil garantie_1'!$Y$18</c:f>
              <c:strCache>
                <c:ptCount val="1"/>
              </c:strCache>
            </c:strRef>
          </c:tx>
          <c:spPr>
            <a:ln w="38100">
              <a:solidFill>
                <a:schemeClr val="accent1">
                  <a:lumMod val="50000"/>
                </a:schemeClr>
              </a:solidFill>
            </a:ln>
          </c:spPr>
          <c:marker>
            <c:symbol val="diamond"/>
            <c:size val="1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rgbClr val="FF0000"/>
                </a:solidFill>
              </a:ln>
            </c:spPr>
          </c:marker>
          <c:dLbls>
            <c:dLbl>
              <c:idx val="0"/>
              <c:layout>
                <c:manualLayout>
                  <c:x val="1.4867373872628431E-2"/>
                  <c:y val="9.0600215728386582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849-46B3-A6B0-C548C6FD82AF}"/>
                </c:ext>
              </c:extLst>
            </c:dLbl>
            <c:dLbl>
              <c:idx val="1"/>
              <c:layout>
                <c:manualLayout>
                  <c:x val="-1.8922112201527144E-2"/>
                  <c:y val="6.644015820081763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849-46B3-A6B0-C548C6FD82AF}"/>
                </c:ext>
              </c:extLst>
            </c:dLbl>
            <c:dLbl>
              <c:idx val="2"/>
              <c:layout>
                <c:manualLayout>
                  <c:x val="-1.2164214986695988E-2"/>
                  <c:y val="4.832011505514009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5849-46B3-A6B0-C548C6FD82AF}"/>
                </c:ext>
              </c:extLst>
            </c:dLbl>
            <c:dLbl>
              <c:idx val="3"/>
              <c:layout>
                <c:manualLayout>
                  <c:x val="-1.8922112201527092E-2"/>
                  <c:y val="6.342015100987137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5849-46B3-A6B0-C548C6FD82AF}"/>
                </c:ext>
              </c:extLst>
            </c:dLbl>
            <c:dLbl>
              <c:idx val="4"/>
              <c:layout>
                <c:manualLayout>
                  <c:x val="-1.216421498669589E-2"/>
                  <c:y val="4.530010786419378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5849-46B3-A6B0-C548C6FD82AF}"/>
                </c:ext>
              </c:extLst>
            </c:dLbl>
            <c:spPr>
              <a:noFill/>
              <a:ln w="25400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aseline="0">
                    <a:solidFill>
                      <a:schemeClr val="accent1">
                        <a:lumMod val="50000"/>
                      </a:schemeClr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'Quartil garantie_1'!$V$20:$V$25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garantie_1'!$Z$20:$Z$25</c:f>
              <c:numCache>
                <c:formatCode>_-* #.##0\ "$"_-;\-* #.##0\ "$"_-;_-* "-"??\ "$"_-;_-@_-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5849-46B3-A6B0-C548C6FD82AF}"/>
            </c:ext>
          </c:extLst>
        </c:ser>
        <c:ser>
          <c:idx val="3"/>
          <c:order val="3"/>
          <c:tx>
            <c:strRef>
              <c:f>'Quartil garantie_1'!$AA$19</c:f>
              <c:strCache>
                <c:ptCount val="1"/>
                <c:pt idx="0">
                  <c:v>Moyenne</c:v>
                </c:pt>
              </c:strCache>
            </c:strRef>
          </c:tx>
          <c:spPr>
            <a:ln w="31750">
              <a:solidFill>
                <a:schemeClr val="accent4"/>
              </a:solidFill>
              <a:prstDash val="sysDash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5849-46B3-A6B0-C548C6FD82AF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5849-46B3-A6B0-C548C6FD82AF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5849-46B3-A6B0-C548C6FD82AF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5849-46B3-A6B0-C548C6FD82AF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5849-46B3-A6B0-C548C6FD82AF}"/>
                </c:ext>
              </c:extLst>
            </c:dLbl>
            <c:dLbl>
              <c:idx val="5"/>
              <c:layout>
                <c:manualLayout>
                  <c:x val="-1.4184445723192999E-2"/>
                  <c:y val="1.0570262964153587E-2"/>
                </c:manualLayout>
              </c:layout>
              <c:tx>
                <c:rich>
                  <a:bodyPr wrap="square" lIns="38100" tIns="19050" rIns="38100" bIns="19050" anchor="ctr">
                    <a:noAutofit/>
                  </a:bodyPr>
                  <a:lstStyle/>
                  <a:p>
                    <a:pPr>
                      <a:defRPr sz="1200" b="1" i="0" baseline="0">
                        <a:solidFill>
                          <a:schemeClr val="accent4"/>
                        </a:solidFill>
                      </a:defRPr>
                    </a:pPr>
                    <a:r>
                      <a:rPr lang="en-US"/>
                      <a:t>Moyenne</a:t>
                    </a:r>
                    <a:r>
                      <a:rPr lang="en-US" baseline="0"/>
                      <a:t> Enfant </a:t>
                    </a:r>
                    <a:endParaRPr lang="en-US"/>
                  </a:p>
                </c:rich>
              </c:tx>
              <c:spPr>
                <a:solidFill>
                  <a:schemeClr val="bg1"/>
                </a:solidFill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3107616404563677"/>
                      <c:h val="5.6323134111147671E-2"/>
                    </c:manualLayout>
                  </c15:layout>
                  <c15:showDataLabelsRange val="0"/>
                </c:ext>
                <c:ext xmlns:c16="http://schemas.microsoft.com/office/drawing/2014/chart" uri="{C3380CC4-5D6E-409C-BE32-E72D297353CC}">
                  <c16:uniqueId val="{00000016-5849-46B3-A6B0-C548C6FD82AF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1" i="0" baseline="0">
                    <a:solidFill>
                      <a:schemeClr val="accent4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'Quartil garantie_1'!$V$20:$V$25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garantie_1'!$AA$20:$AA$25</c:f>
              <c:numCache>
                <c:formatCode>_-* #.##0\ "$"_-;\-* #.##0\ "$"_-;_-* "-"??\ "$"_-;_-@_-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5849-46B3-A6B0-C548C6FD82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71002768"/>
        <c:axId val="958230768"/>
      </c:lineChart>
      <c:catAx>
        <c:axId val="1571002768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58230768"/>
        <c:crosses val="autoZero"/>
        <c:auto val="1"/>
        <c:lblAlgn val="ctr"/>
        <c:lblOffset val="100"/>
        <c:noMultiLvlLbl val="0"/>
      </c:catAx>
      <c:valAx>
        <c:axId val="958230768"/>
        <c:scaling>
          <c:orientation val="minMax"/>
        </c:scaling>
        <c:delete val="0"/>
        <c:axPos val="l"/>
        <c:numFmt formatCode="#\ ##0\ &quot;€&quot;" sourceLinked="0"/>
        <c:majorTickMark val="none"/>
        <c:minorTickMark val="none"/>
        <c:tickLblPos val="nextTo"/>
        <c:spPr>
          <a:noFill/>
          <a:ln w="12700">
            <a:solidFill>
              <a:schemeClr val="bg2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710027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84113005859732648"/>
          <c:y val="0.35780656051252618"/>
          <c:w val="0.14432223951657205"/>
          <c:h val="0.10394075838875599"/>
        </c:manualLayout>
      </c:layout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>
                <a:solidFill>
                  <a:srgbClr val="4FACBE"/>
                </a:solidFill>
              </a:defRPr>
            </a:pPr>
            <a:r>
              <a:rPr lang="fr-FR">
                <a:solidFill>
                  <a:srgbClr val="4FACBE"/>
                </a:solidFill>
              </a:rPr>
              <a:t>garantie 2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4042410221601564E-2"/>
          <c:y val="0.10970164231320184"/>
          <c:w val="0.92109021590577"/>
          <c:h val="0.7973824860508959"/>
        </c:manualLayout>
      </c:layout>
      <c:lineChart>
        <c:grouping val="standard"/>
        <c:varyColors val="0"/>
        <c:ser>
          <c:idx val="0"/>
          <c:order val="0"/>
          <c:tx>
            <c:strRef>
              <c:f>'Quartil garantie_2'!$V$18</c:f>
              <c:strCache>
                <c:ptCount val="1"/>
                <c:pt idx="0">
                  <c:v>APPAREILLAGE REFUSE</c:v>
                </c:pt>
              </c:strCache>
            </c:strRef>
          </c:tx>
          <c:spPr>
            <a:ln w="3810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diamond"/>
            <c:size val="10"/>
            <c:spPr>
              <a:solidFill>
                <a:schemeClr val="accent4"/>
              </a:solidFill>
              <a:ln w="19050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5.660859170387568E-2"/>
                  <c:y val="-2.715747411354466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750-4142-B500-1430FD3099EC}"/>
                </c:ext>
              </c:extLst>
            </c:dLbl>
            <c:dLbl>
              <c:idx val="1"/>
              <c:layout>
                <c:manualLayout>
                  <c:x val="-4.44527029141117E-2"/>
                  <c:y val="-4.829752445016856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1750-4142-B500-1430FD3099EC}"/>
                </c:ext>
              </c:extLst>
            </c:dLbl>
            <c:dLbl>
              <c:idx val="2"/>
              <c:layout>
                <c:manualLayout>
                  <c:x val="-2.8237900118066317E-2"/>
                  <c:y val="-5.433753883206096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750-4142-B500-1430FD3099EC}"/>
                </c:ext>
              </c:extLst>
            </c:dLbl>
            <c:spPr>
              <a:noFill/>
              <a:ln w="25400">
                <a:solidFill>
                  <a:schemeClr val="accent4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'Quartil garantie_2'!$V$20:$V$25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garantie_2'!$W$20:$W$25</c:f>
              <c:numCache>
                <c:formatCode>_-* #.##0\ "$"_-;\-* #.##0\ "$"_-;_-* "-"??\ "$"_-;_-@_-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750-4142-B500-1430FD3099EC}"/>
            </c:ext>
          </c:extLst>
        </c:ser>
        <c:ser>
          <c:idx val="1"/>
          <c:order val="1"/>
          <c:tx>
            <c:strRef>
              <c:f>'Quartil garantie_2'!$X$19</c:f>
              <c:strCache>
                <c:ptCount val="1"/>
                <c:pt idx="0">
                  <c:v>Moyenne</c:v>
                </c:pt>
              </c:strCache>
            </c:strRef>
          </c:tx>
          <c:spPr>
            <a:ln w="31750" cap="rnd">
              <a:solidFill>
                <a:schemeClr val="accent4"/>
              </a:solidFill>
              <a:prstDash val="sysDash"/>
              <a:round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750-4142-B500-1430FD3099EC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1750-4142-B500-1430FD3099EC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750-4142-B500-1430FD3099EC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750-4142-B500-1430FD3099EC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750-4142-B500-1430FD3099EC}"/>
                </c:ext>
              </c:extLst>
            </c:dLbl>
            <c:dLbl>
              <c:idx val="5"/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200" b="1" i="0" u="none" strike="noStrike" kern="1200" baseline="0">
                        <a:solidFill>
                          <a:schemeClr val="accent4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Moyenne Adulte</a:t>
                    </a:r>
                    <a:r>
                      <a:rPr lang="en-US" baseline="0"/>
                      <a:t>
                      </a:t>
                    </a:r>
                    <a:endParaRPr lang="en-US"/>
                  </a:p>
                </c:rich>
              </c:tx>
              <c:spPr>
                <a:solidFill>
                  <a:schemeClr val="bg1"/>
                </a:solidFill>
                <a:ln>
                  <a:noFill/>
                </a:ln>
                <a:effectLst/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showDataLabelsRange val="0"/>
                </c:ext>
                <c:ext xmlns:c16="http://schemas.microsoft.com/office/drawing/2014/chart" uri="{C3380CC4-5D6E-409C-BE32-E72D297353CC}">
                  <c16:uniqueId val="{00000009-1750-4142-B500-1430FD3099EC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accent4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'Quartil garantie_2'!$V$20:$V$25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garantie_2'!$X$20:$X$25</c:f>
              <c:numCache>
                <c:formatCode>_-* #.##0\ "$"_-;\-* #.##0\ "$"_-;_-* "-"??\ "$"_-;_-@_-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1750-4142-B500-1430FD3099EC}"/>
            </c:ext>
          </c:extLst>
        </c:ser>
        <c:ser>
          <c:idx val="2"/>
          <c:order val="2"/>
          <c:tx>
            <c:strRef>
              <c:f>'Quartil garantie_2'!$Y$18</c:f>
              <c:strCache>
                <c:ptCount val="1"/>
              </c:strCache>
            </c:strRef>
          </c:tx>
          <c:spPr>
            <a:ln w="38100">
              <a:solidFill>
                <a:schemeClr val="accent1">
                  <a:lumMod val="50000"/>
                </a:schemeClr>
              </a:solidFill>
            </a:ln>
          </c:spPr>
          <c:marker>
            <c:symbol val="diamond"/>
            <c:size val="1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rgbClr val="FF0000"/>
                </a:solidFill>
              </a:ln>
            </c:spPr>
          </c:marker>
          <c:dLbls>
            <c:dLbl>
              <c:idx val="0"/>
              <c:layout>
                <c:manualLayout>
                  <c:x val="1.4867373872628431E-2"/>
                  <c:y val="9.0600215728386582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750-4142-B500-1430FD3099EC}"/>
                </c:ext>
              </c:extLst>
            </c:dLbl>
            <c:dLbl>
              <c:idx val="1"/>
              <c:layout>
                <c:manualLayout>
                  <c:x val="-1.8922112201527144E-2"/>
                  <c:y val="6.644015820081763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750-4142-B500-1430FD3099EC}"/>
                </c:ext>
              </c:extLst>
            </c:dLbl>
            <c:dLbl>
              <c:idx val="2"/>
              <c:layout>
                <c:manualLayout>
                  <c:x val="-1.2164214986695988E-2"/>
                  <c:y val="4.832011505514009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1750-4142-B500-1430FD3099EC}"/>
                </c:ext>
              </c:extLst>
            </c:dLbl>
            <c:dLbl>
              <c:idx val="3"/>
              <c:layout>
                <c:manualLayout>
                  <c:x val="-1.8922112201527092E-2"/>
                  <c:y val="6.342015100987137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1750-4142-B500-1430FD3099EC}"/>
                </c:ext>
              </c:extLst>
            </c:dLbl>
            <c:dLbl>
              <c:idx val="4"/>
              <c:layout>
                <c:manualLayout>
                  <c:x val="-1.216421498669589E-2"/>
                  <c:y val="4.530010786419378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1750-4142-B500-1430FD3099EC}"/>
                </c:ext>
              </c:extLst>
            </c:dLbl>
            <c:spPr>
              <a:noFill/>
              <a:ln w="25400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aseline="0">
                    <a:solidFill>
                      <a:schemeClr val="accent1">
                        <a:lumMod val="50000"/>
                      </a:schemeClr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'Quartil garantie_2'!$V$20:$V$25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garantie_2'!$Z$20:$Z$25</c:f>
              <c:numCache>
                <c:formatCode>_-* #.##0\ "$"_-;\-* #.##0\ "$"_-;_-* "-"??\ "$"_-;_-@_-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1750-4142-B500-1430FD3099EC}"/>
            </c:ext>
          </c:extLst>
        </c:ser>
        <c:ser>
          <c:idx val="3"/>
          <c:order val="3"/>
          <c:tx>
            <c:strRef>
              <c:f>'Quartil garantie_2'!$AA$19</c:f>
              <c:strCache>
                <c:ptCount val="1"/>
                <c:pt idx="0">
                  <c:v>Moyenne</c:v>
                </c:pt>
              </c:strCache>
            </c:strRef>
          </c:tx>
          <c:spPr>
            <a:ln w="31750">
              <a:solidFill>
                <a:schemeClr val="accent4"/>
              </a:solidFill>
              <a:prstDash val="sysDash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1750-4142-B500-1430FD3099EC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1750-4142-B500-1430FD3099EC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1750-4142-B500-1430FD3099EC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1750-4142-B500-1430FD3099EC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1750-4142-B500-1430FD3099EC}"/>
                </c:ext>
              </c:extLst>
            </c:dLbl>
            <c:dLbl>
              <c:idx val="5"/>
              <c:layout>
                <c:manualLayout>
                  <c:x val="-1.4184445723192999E-2"/>
                  <c:y val="1.0570262964153587E-2"/>
                </c:manualLayout>
              </c:layout>
              <c:tx>
                <c:rich>
                  <a:bodyPr wrap="square" lIns="38100" tIns="19050" rIns="38100" bIns="19050" anchor="ctr">
                    <a:noAutofit/>
                  </a:bodyPr>
                  <a:lstStyle/>
                  <a:p>
                    <a:pPr>
                      <a:defRPr sz="1200" b="1" i="0" baseline="0">
                        <a:solidFill>
                          <a:schemeClr val="accent4"/>
                        </a:solidFill>
                      </a:defRPr>
                    </a:pPr>
                    <a:r>
                      <a:rPr lang="en-US"/>
                      <a:t>Moyenne</a:t>
                    </a:r>
                    <a:r>
                      <a:rPr lang="en-US" baseline="0"/>
                      <a:t> Enfant </a:t>
                    </a:r>
                    <a:endParaRPr lang="en-US"/>
                  </a:p>
                </c:rich>
              </c:tx>
              <c:spPr>
                <a:solidFill>
                  <a:schemeClr val="bg1"/>
                </a:solidFill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3107616404563677"/>
                      <c:h val="5.6323134111147671E-2"/>
                    </c:manualLayout>
                  </c15:layout>
                  <c15:showDataLabelsRange val="0"/>
                </c:ext>
                <c:ext xmlns:c16="http://schemas.microsoft.com/office/drawing/2014/chart" uri="{C3380CC4-5D6E-409C-BE32-E72D297353CC}">
                  <c16:uniqueId val="{00000016-1750-4142-B500-1430FD3099EC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1" i="0" baseline="0">
                    <a:solidFill>
                      <a:schemeClr val="accent4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'Quartil garantie_2'!$V$20:$V$25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garantie_2'!$AA$20:$AA$25</c:f>
              <c:numCache>
                <c:formatCode>_-* #.##0\ "$"_-;\-* #.##0\ "$"_-;_-* "-"??\ "$"_-;_-@_-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1750-4142-B500-1430FD3099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22820528"/>
        <c:axId val="1722806384"/>
      </c:lineChart>
      <c:catAx>
        <c:axId val="1722820528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22806384"/>
        <c:crosses val="autoZero"/>
        <c:auto val="1"/>
        <c:lblAlgn val="ctr"/>
        <c:lblOffset val="100"/>
        <c:noMultiLvlLbl val="0"/>
      </c:catAx>
      <c:valAx>
        <c:axId val="1722806384"/>
        <c:scaling>
          <c:orientation val="minMax"/>
        </c:scaling>
        <c:delete val="0"/>
        <c:axPos val="l"/>
        <c:numFmt formatCode="#\ ##0\ &quot;€&quot;" sourceLinked="0"/>
        <c:majorTickMark val="none"/>
        <c:minorTickMark val="none"/>
        <c:tickLblPos val="nextTo"/>
        <c:spPr>
          <a:noFill/>
          <a:ln w="12700">
            <a:solidFill>
              <a:schemeClr val="bg2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22820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84113005859732648"/>
          <c:y val="0.35780656051252618"/>
          <c:w val="0.14432223951657205"/>
          <c:h val="0.10403688651769329"/>
        </c:manualLayout>
      </c:layout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>
                <a:solidFill>
                  <a:srgbClr val="4FACBE"/>
                </a:solidFill>
              </a:defRPr>
            </a:pPr>
            <a:r>
              <a:rPr lang="en-US">
                <a:solidFill>
                  <a:srgbClr val="4FACBE"/>
                </a:solidFill>
              </a:rPr>
              <a:t>Garantie 3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4042410221601564E-2"/>
          <c:y val="0.10970164231320184"/>
          <c:w val="0.92109021590577"/>
          <c:h val="0.7973824860508959"/>
        </c:manualLayout>
      </c:layout>
      <c:lineChart>
        <c:grouping val="standard"/>
        <c:varyColors val="0"/>
        <c:ser>
          <c:idx val="0"/>
          <c:order val="0"/>
          <c:tx>
            <c:strRef>
              <c:f>'Quartil garantie_3'!$V$18</c:f>
              <c:strCache>
                <c:ptCount val="1"/>
                <c:pt idx="0">
                  <c:v>AUTRES</c:v>
                </c:pt>
              </c:strCache>
            </c:strRef>
          </c:tx>
          <c:spPr>
            <a:ln w="3810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diamond"/>
            <c:size val="10"/>
            <c:spPr>
              <a:solidFill>
                <a:schemeClr val="accent4"/>
              </a:solidFill>
              <a:ln w="19050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5.660859170387568E-2"/>
                  <c:y val="-2.715747411354466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15F-4D26-A046-BEE042AF46ED}"/>
                </c:ext>
              </c:extLst>
            </c:dLbl>
            <c:dLbl>
              <c:idx val="1"/>
              <c:layout>
                <c:manualLayout>
                  <c:x val="-4.44527029141117E-2"/>
                  <c:y val="-4.829752445016856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15F-4D26-A046-BEE042AF46ED}"/>
                </c:ext>
              </c:extLst>
            </c:dLbl>
            <c:dLbl>
              <c:idx val="2"/>
              <c:layout>
                <c:manualLayout>
                  <c:x val="-2.8237900118066317E-2"/>
                  <c:y val="-5.433753883206096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15F-4D26-A046-BEE042AF46ED}"/>
                </c:ext>
              </c:extLst>
            </c:dLbl>
            <c:spPr>
              <a:noFill/>
              <a:ln w="25400">
                <a:solidFill>
                  <a:schemeClr val="accent4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'Quartil garantie_3'!$V$20:$V$25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garantie_3'!$W$20:$W$25</c:f>
              <c:numCache>
                <c:formatCode>_-* #.##0\ "$"_-;\-* #.##0\ "$"_-;_-* "-"??\ "$"_-;_-@_-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15F-4D26-A046-BEE042AF46ED}"/>
            </c:ext>
          </c:extLst>
        </c:ser>
        <c:ser>
          <c:idx val="1"/>
          <c:order val="1"/>
          <c:tx>
            <c:strRef>
              <c:f>'Quartil garantie_3'!$X$19</c:f>
              <c:strCache>
                <c:ptCount val="1"/>
                <c:pt idx="0">
                  <c:v>Moyenne</c:v>
                </c:pt>
              </c:strCache>
            </c:strRef>
          </c:tx>
          <c:spPr>
            <a:ln w="31750" cap="rnd">
              <a:solidFill>
                <a:schemeClr val="accent4"/>
              </a:solidFill>
              <a:prstDash val="sysDash"/>
              <a:round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15F-4D26-A046-BEE042AF46ED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B15F-4D26-A046-BEE042AF46ED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15F-4D26-A046-BEE042AF46ED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15F-4D26-A046-BEE042AF46ED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15F-4D26-A046-BEE042AF46ED}"/>
                </c:ext>
              </c:extLst>
            </c:dLbl>
            <c:dLbl>
              <c:idx val="5"/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200" b="1" i="0" u="none" strike="noStrike" kern="1200" baseline="0">
                        <a:solidFill>
                          <a:schemeClr val="accent4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Moyenne Adulte</a:t>
                    </a:r>
                    <a:r>
                      <a:rPr lang="en-US" baseline="0"/>
                      <a:t>
                      </a:t>
                    </a:r>
                    <a:endParaRPr lang="en-US"/>
                  </a:p>
                </c:rich>
              </c:tx>
              <c:spPr>
                <a:solidFill>
                  <a:schemeClr val="bg1"/>
                </a:solidFill>
                <a:ln>
                  <a:noFill/>
                </a:ln>
                <a:effectLst/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showDataLabelsRange val="0"/>
                </c:ext>
                <c:ext xmlns:c16="http://schemas.microsoft.com/office/drawing/2014/chart" uri="{C3380CC4-5D6E-409C-BE32-E72D297353CC}">
                  <c16:uniqueId val="{00000009-B15F-4D26-A046-BEE042AF46ED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accent4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'Quartil garantie_3'!$V$20:$V$25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garantie_3'!$X$20:$X$25</c:f>
              <c:numCache>
                <c:formatCode>_-* #.##0\ "$"_-;\-* #.##0\ "$"_-;_-* "-"??\ "$"_-;_-@_-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B15F-4D26-A046-BEE042AF46ED}"/>
            </c:ext>
          </c:extLst>
        </c:ser>
        <c:ser>
          <c:idx val="2"/>
          <c:order val="2"/>
          <c:tx>
            <c:strRef>
              <c:f>'Quartil garantie_3'!$Y$18</c:f>
              <c:strCache>
                <c:ptCount val="1"/>
              </c:strCache>
            </c:strRef>
          </c:tx>
          <c:spPr>
            <a:ln w="38100">
              <a:solidFill>
                <a:schemeClr val="accent1">
                  <a:lumMod val="50000"/>
                </a:schemeClr>
              </a:solidFill>
            </a:ln>
          </c:spPr>
          <c:marker>
            <c:symbol val="diamond"/>
            <c:size val="1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rgbClr val="FF0000"/>
                </a:solidFill>
              </a:ln>
            </c:spPr>
          </c:marker>
          <c:dLbls>
            <c:dLbl>
              <c:idx val="0"/>
              <c:layout>
                <c:manualLayout>
                  <c:x val="1.4867373872628431E-2"/>
                  <c:y val="9.0600215728386582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15F-4D26-A046-BEE042AF46ED}"/>
                </c:ext>
              </c:extLst>
            </c:dLbl>
            <c:dLbl>
              <c:idx val="1"/>
              <c:layout>
                <c:manualLayout>
                  <c:x val="-1.8922112201527144E-2"/>
                  <c:y val="6.644015820081763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15F-4D26-A046-BEE042AF46ED}"/>
                </c:ext>
              </c:extLst>
            </c:dLbl>
            <c:dLbl>
              <c:idx val="2"/>
              <c:layout>
                <c:manualLayout>
                  <c:x val="-1.2164214986695988E-2"/>
                  <c:y val="4.832011505514009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B15F-4D26-A046-BEE042AF46ED}"/>
                </c:ext>
              </c:extLst>
            </c:dLbl>
            <c:dLbl>
              <c:idx val="3"/>
              <c:layout>
                <c:manualLayout>
                  <c:x val="-1.8922112201527092E-2"/>
                  <c:y val="6.342015100987137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B15F-4D26-A046-BEE042AF46ED}"/>
                </c:ext>
              </c:extLst>
            </c:dLbl>
            <c:dLbl>
              <c:idx val="4"/>
              <c:layout>
                <c:manualLayout>
                  <c:x val="-1.216421498669589E-2"/>
                  <c:y val="4.530010786419378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B15F-4D26-A046-BEE042AF46ED}"/>
                </c:ext>
              </c:extLst>
            </c:dLbl>
            <c:spPr>
              <a:noFill/>
              <a:ln w="25400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aseline="0">
                    <a:solidFill>
                      <a:schemeClr val="accent1">
                        <a:lumMod val="50000"/>
                      </a:schemeClr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'Quartil garantie_3'!$V$20:$V$25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garantie_3'!$Z$20:$Z$25</c:f>
              <c:numCache>
                <c:formatCode>_-* #.##0\ "$"_-;\-* #.##0\ "$"_-;_-* "-"??\ "$"_-;_-@_-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B15F-4D26-A046-BEE042AF46ED}"/>
            </c:ext>
          </c:extLst>
        </c:ser>
        <c:ser>
          <c:idx val="3"/>
          <c:order val="3"/>
          <c:tx>
            <c:strRef>
              <c:f>'Quartil garantie_3'!$AA$19</c:f>
              <c:strCache>
                <c:ptCount val="1"/>
                <c:pt idx="0">
                  <c:v>Moyenne</c:v>
                </c:pt>
              </c:strCache>
            </c:strRef>
          </c:tx>
          <c:spPr>
            <a:ln w="31750">
              <a:solidFill>
                <a:schemeClr val="accent4"/>
              </a:solidFill>
              <a:prstDash val="sysDash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B15F-4D26-A046-BEE042AF46ED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B15F-4D26-A046-BEE042AF46ED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B15F-4D26-A046-BEE042AF46ED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B15F-4D26-A046-BEE042AF46ED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B15F-4D26-A046-BEE042AF46ED}"/>
                </c:ext>
              </c:extLst>
            </c:dLbl>
            <c:dLbl>
              <c:idx val="5"/>
              <c:layout>
                <c:manualLayout>
                  <c:x val="-1.4184445723192999E-2"/>
                  <c:y val="1.0570262964153587E-2"/>
                </c:manualLayout>
              </c:layout>
              <c:tx>
                <c:rich>
                  <a:bodyPr wrap="square" lIns="38100" tIns="19050" rIns="38100" bIns="19050" anchor="ctr">
                    <a:noAutofit/>
                  </a:bodyPr>
                  <a:lstStyle/>
                  <a:p>
                    <a:pPr>
                      <a:defRPr sz="1200" b="1" i="0" baseline="0">
                        <a:solidFill>
                          <a:schemeClr val="accent4"/>
                        </a:solidFill>
                      </a:defRPr>
                    </a:pPr>
                    <a:r>
                      <a:rPr lang="en-US"/>
                      <a:t>Moyenne</a:t>
                    </a:r>
                    <a:r>
                      <a:rPr lang="en-US" baseline="0"/>
                      <a:t> Enfant </a:t>
                    </a:r>
                    <a:endParaRPr lang="en-US"/>
                  </a:p>
                </c:rich>
              </c:tx>
              <c:spPr>
                <a:solidFill>
                  <a:schemeClr val="bg1"/>
                </a:solidFill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3107616404563677"/>
                      <c:h val="5.6323134111147671E-2"/>
                    </c:manualLayout>
                  </c15:layout>
                  <c15:showDataLabelsRange val="0"/>
                </c:ext>
                <c:ext xmlns:c16="http://schemas.microsoft.com/office/drawing/2014/chart" uri="{C3380CC4-5D6E-409C-BE32-E72D297353CC}">
                  <c16:uniqueId val="{00000016-B15F-4D26-A046-BEE042AF46ED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1" i="0" baseline="0">
                    <a:solidFill>
                      <a:schemeClr val="accent4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'Quartil garantie_3'!$V$20:$V$25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garantie_3'!$AA$20:$AA$25</c:f>
              <c:numCache>
                <c:formatCode>_-* #.##0\ "$"_-;\-* #.##0\ "$"_-;_-* "-"??\ "$"_-;_-@_-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B15F-4D26-A046-BEE042AF46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22837936"/>
        <c:axId val="1722831408"/>
      </c:lineChart>
      <c:catAx>
        <c:axId val="1722837936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22831408"/>
        <c:crosses val="autoZero"/>
        <c:auto val="1"/>
        <c:lblAlgn val="ctr"/>
        <c:lblOffset val="100"/>
        <c:noMultiLvlLbl val="0"/>
      </c:catAx>
      <c:valAx>
        <c:axId val="1722831408"/>
        <c:scaling>
          <c:orientation val="minMax"/>
        </c:scaling>
        <c:delete val="0"/>
        <c:axPos val="l"/>
        <c:numFmt formatCode="#\ ##0\ &quot;€&quot;" sourceLinked="0"/>
        <c:majorTickMark val="none"/>
        <c:minorTickMark val="none"/>
        <c:tickLblPos val="nextTo"/>
        <c:spPr>
          <a:noFill/>
          <a:ln w="12700">
            <a:solidFill>
              <a:schemeClr val="bg2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228379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84113005859732648"/>
          <c:y val="0.35780656051252618"/>
          <c:w val="0.14432223951657205"/>
          <c:h val="0.10394075838875599"/>
        </c:manualLayout>
      </c:layout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image" Target="../media/image1.jp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5" Type="http://schemas.openxmlformats.org/officeDocument/2006/relationships/image" Target="../media/image1.jpg"/><Relationship Id="rId4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image" Target="../media/image1.jp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.xml"/><Relationship Id="rId1" Type="http://schemas.openxmlformats.org/officeDocument/2006/relationships/image" Target="../media/image1.jp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image" Target="../media/image1.jp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image" Target="../media/image1.jp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image" Target="../media/image1.jpg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3.xml"/><Relationship Id="rId1" Type="http://schemas.openxmlformats.org/officeDocument/2006/relationships/image" Target="../media/image1.jpg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image" Target="../media/image1.jpg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5.xml"/><Relationship Id="rId1" Type="http://schemas.openxmlformats.org/officeDocument/2006/relationships/image" Target="../media/image1.jpg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image" Target="../media/image1.jp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g"/><Relationship Id="rId1" Type="http://schemas.openxmlformats.org/officeDocument/2006/relationships/chart" Target="../charts/chart17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g"/><Relationship Id="rId1" Type="http://schemas.openxmlformats.org/officeDocument/2006/relationships/chart" Target="../charts/chart18.xml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g"/><Relationship Id="rId1" Type="http://schemas.openxmlformats.org/officeDocument/2006/relationships/chart" Target="../charts/chart1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704850</xdr:colOff>
      <xdr:row>18</xdr:row>
      <xdr:rowOff>85725</xdr:rowOff>
    </xdr:from>
    <xdr:to>
      <xdr:col>2</xdr:col>
      <xdr:colOff>723900</xdr:colOff>
      <xdr:row>22</xdr:row>
      <xdr:rowOff>342900</xdr:rowOff>
    </xdr:to>
    <xdr:sp macro="" textlink="">
      <xdr:nvSpPr>
        <xdr:cNvPr id="3" name="Line 4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>
          <a:spLocks noChangeShapeType="1"/>
        </xdr:cNvSpPr>
      </xdr:nvSpPr>
      <xdr:spPr bwMode="auto">
        <a:xfrm flipH="1">
          <a:off x="1657350" y="4657725"/>
          <a:ext cx="19050" cy="1733550"/>
        </a:xfrm>
        <a:prstGeom prst="line">
          <a:avLst/>
        </a:prstGeom>
        <a:noFill/>
        <a:ln w="9525">
          <a:solidFill>
            <a:srgbClr val="004A99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361950</xdr:colOff>
      <xdr:row>20</xdr:row>
      <xdr:rowOff>114300</xdr:rowOff>
    </xdr:from>
    <xdr:to>
      <xdr:col>17</xdr:col>
      <xdr:colOff>561975</xdr:colOff>
      <xdr:row>20</xdr:row>
      <xdr:rowOff>114300</xdr:rowOff>
    </xdr:to>
    <xdr:sp macro="" textlink="">
      <xdr:nvSpPr>
        <xdr:cNvPr id="4" name="Line 5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>
          <a:spLocks noChangeShapeType="1"/>
        </xdr:cNvSpPr>
      </xdr:nvSpPr>
      <xdr:spPr bwMode="auto">
        <a:xfrm>
          <a:off x="552450" y="5543550"/>
          <a:ext cx="12392025" cy="0"/>
        </a:xfrm>
        <a:prstGeom prst="line">
          <a:avLst/>
        </a:prstGeom>
        <a:noFill/>
        <a:ln w="9525">
          <a:solidFill>
            <a:srgbClr val="004A99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704850</xdr:colOff>
          <xdr:row>5</xdr:row>
          <xdr:rowOff>28575</xdr:rowOff>
        </xdr:from>
        <xdr:to>
          <xdr:col>22</xdr:col>
          <xdr:colOff>619125</xdr:colOff>
          <xdr:row>8</xdr:row>
          <xdr:rowOff>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0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Mise à jour de tous les onglets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714375</xdr:colOff>
          <xdr:row>8</xdr:row>
          <xdr:rowOff>219075</xdr:rowOff>
        </xdr:from>
        <xdr:to>
          <xdr:col>22</xdr:col>
          <xdr:colOff>628650</xdr:colOff>
          <xdr:row>9</xdr:row>
          <xdr:rowOff>190500</xdr:rowOff>
        </xdr:to>
        <xdr:sp macro="" textlink="">
          <xdr:nvSpPr>
            <xdr:cNvPr id="11270" name="Button 6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0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Mise à jour du document PowerPoint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17</xdr:col>
      <xdr:colOff>299358</xdr:colOff>
      <xdr:row>2</xdr:row>
      <xdr:rowOff>40822</xdr:rowOff>
    </xdr:from>
    <xdr:to>
      <xdr:col>18</xdr:col>
      <xdr:colOff>66675</xdr:colOff>
      <xdr:row>5</xdr:row>
      <xdr:rowOff>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29608" y="421822"/>
          <a:ext cx="530678" cy="53067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1228725</xdr:colOff>
      <xdr:row>1</xdr:row>
      <xdr:rowOff>123825</xdr:rowOff>
    </xdr:from>
    <xdr:to>
      <xdr:col>18</xdr:col>
      <xdr:colOff>47625</xdr:colOff>
      <xdr:row>4</xdr:row>
      <xdr:rowOff>85725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06475" y="314325"/>
          <a:ext cx="530678" cy="53067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927847</xdr:colOff>
      <xdr:row>2</xdr:row>
      <xdr:rowOff>12327</xdr:rowOff>
    </xdr:from>
    <xdr:to>
      <xdr:col>11</xdr:col>
      <xdr:colOff>38100</xdr:colOff>
      <xdr:row>4</xdr:row>
      <xdr:rowOff>161925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19922" y="393327"/>
          <a:ext cx="530678" cy="53067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1133475</xdr:colOff>
      <xdr:row>11</xdr:row>
      <xdr:rowOff>86285</xdr:rowOff>
    </xdr:from>
    <xdr:to>
      <xdr:col>15</xdr:col>
      <xdr:colOff>752476</xdr:colOff>
      <xdr:row>28</xdr:row>
      <xdr:rowOff>6725</xdr:rowOff>
    </xdr:to>
    <xdr:graphicFrame macro="">
      <xdr:nvGraphicFramePr>
        <xdr:cNvPr id="3" name="demo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302559</xdr:colOff>
      <xdr:row>18</xdr:row>
      <xdr:rowOff>34738</xdr:rowOff>
    </xdr:from>
    <xdr:to>
      <xdr:col>5</xdr:col>
      <xdr:colOff>493059</xdr:colOff>
      <xdr:row>31</xdr:row>
      <xdr:rowOff>33618</xdr:rowOff>
    </xdr:to>
    <xdr:graphicFrame macro="">
      <xdr:nvGraphicFramePr>
        <xdr:cNvPr id="4" name="Demo1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466725</xdr:colOff>
      <xdr:row>33</xdr:row>
      <xdr:rowOff>90767</xdr:rowOff>
    </xdr:from>
    <xdr:to>
      <xdr:col>9</xdr:col>
      <xdr:colOff>459441</xdr:colOff>
      <xdr:row>42</xdr:row>
      <xdr:rowOff>133350</xdr:rowOff>
    </xdr:to>
    <xdr:graphicFrame macro="">
      <xdr:nvGraphicFramePr>
        <xdr:cNvPr id="6" name="demo3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15</xdr:col>
      <xdr:colOff>266700</xdr:colOff>
      <xdr:row>2</xdr:row>
      <xdr:rowOff>9525</xdr:rowOff>
    </xdr:from>
    <xdr:to>
      <xdr:col>16</xdr:col>
      <xdr:colOff>38100</xdr:colOff>
      <xdr:row>4</xdr:row>
      <xdr:rowOff>161925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96950" y="390525"/>
          <a:ext cx="530678" cy="530678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16000" y="390525"/>
          <a:ext cx="530678" cy="530678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11400" y="390525"/>
          <a:ext cx="533401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5" name="Picture 2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11400" y="390525"/>
          <a:ext cx="533400" cy="5334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38101</xdr:colOff>
      <xdr:row>14</xdr:row>
      <xdr:rowOff>38099</xdr:rowOff>
    </xdr:from>
    <xdr:to>
      <xdr:col>8</xdr:col>
      <xdr:colOff>675601</xdr:colOff>
      <xdr:row>29</xdr:row>
      <xdr:rowOff>60599</xdr:rowOff>
    </xdr:to>
    <xdr:graphicFrame macro="">
      <xdr:nvGraphicFramePr>
        <xdr:cNvPr id="3" name="Prest1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28575</xdr:colOff>
      <xdr:row>33</xdr:row>
      <xdr:rowOff>0</xdr:rowOff>
    </xdr:from>
    <xdr:to>
      <xdr:col>8</xdr:col>
      <xdr:colOff>666075</xdr:colOff>
      <xdr:row>48</xdr:row>
      <xdr:rowOff>22500</xdr:rowOff>
    </xdr:to>
    <xdr:graphicFrame macro="">
      <xdr:nvGraphicFramePr>
        <xdr:cNvPr id="4" name="Prest2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28575</xdr:colOff>
      <xdr:row>33</xdr:row>
      <xdr:rowOff>19050</xdr:rowOff>
    </xdr:from>
    <xdr:to>
      <xdr:col>17</xdr:col>
      <xdr:colOff>1428075</xdr:colOff>
      <xdr:row>48</xdr:row>
      <xdr:rowOff>41550</xdr:rowOff>
    </xdr:to>
    <xdr:graphicFrame macro="">
      <xdr:nvGraphicFramePr>
        <xdr:cNvPr id="5" name="Prest3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38100</xdr:colOff>
      <xdr:row>13</xdr:row>
      <xdr:rowOff>190499</xdr:rowOff>
    </xdr:from>
    <xdr:to>
      <xdr:col>18</xdr:col>
      <xdr:colOff>8850</xdr:colOff>
      <xdr:row>29</xdr:row>
      <xdr:rowOff>22499</xdr:rowOff>
    </xdr:to>
    <xdr:graphicFrame macro="">
      <xdr:nvGraphicFramePr>
        <xdr:cNvPr id="6" name="Prest4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17</xdr:col>
      <xdr:colOff>942975</xdr:colOff>
      <xdr:row>2</xdr:row>
      <xdr:rowOff>57150</xdr:rowOff>
    </xdr:from>
    <xdr:to>
      <xdr:col>18</xdr:col>
      <xdr:colOff>47625</xdr:colOff>
      <xdr:row>5</xdr:row>
      <xdr:rowOff>19050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06475" y="438150"/>
          <a:ext cx="530678" cy="530678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1987B15B-6D4C-48C5-A7D8-99C98B832F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9CF5B84-AE61-4214-ACB4-05A02621BA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A60DBB5E-288B-49B2-BC99-CA750152F8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>
    <xdr:from>
      <xdr:col>1</xdr:col>
      <xdr:colOff>190500</xdr:colOff>
      <xdr:row>34</xdr:row>
      <xdr:rowOff>136525</xdr:rowOff>
    </xdr:from>
    <xdr:to>
      <xdr:col>17</xdr:col>
      <xdr:colOff>9525</xdr:colOff>
      <xdr:row>58</xdr:row>
      <xdr:rowOff>9525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0818A4D7-782B-37AF-3265-D43D7254226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A82FA3D2-15D0-402A-86CF-BD65E17968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87C83E89-960A-40C9-BA91-06FDC574B4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7810E67E-7A6D-4736-AA53-8EE8CE1AD0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>
    <xdr:from>
      <xdr:col>1</xdr:col>
      <xdr:colOff>190500</xdr:colOff>
      <xdr:row>33</xdr:row>
      <xdr:rowOff>73025</xdr:rowOff>
    </xdr:from>
    <xdr:to>
      <xdr:col>17</xdr:col>
      <xdr:colOff>9525</xdr:colOff>
      <xdr:row>56</xdr:row>
      <xdr:rowOff>136525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36A5E9FE-A443-51AA-9605-E680945CEC0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7A488382-AADF-43D5-BCCD-3DE892438F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9704BA3A-1773-49A4-AF07-C3888CBD61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5341F878-EA34-4123-BAC7-9FD4A19CCE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>
    <xdr:from>
      <xdr:col>1</xdr:col>
      <xdr:colOff>190500</xdr:colOff>
      <xdr:row>28</xdr:row>
      <xdr:rowOff>9525</xdr:rowOff>
    </xdr:from>
    <xdr:to>
      <xdr:col>17</xdr:col>
      <xdr:colOff>9525</xdr:colOff>
      <xdr:row>51</xdr:row>
      <xdr:rowOff>73025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52C06716-2B1F-19E9-E4AC-35DEB663798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FD713C44-1E12-4713-B0EA-E12A6F9873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E21DF613-4613-4566-90C2-B2FA4E5B73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156151C2-5244-4C68-A25D-07F7F6B993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>
    <xdr:from>
      <xdr:col>1</xdr:col>
      <xdr:colOff>190500</xdr:colOff>
      <xdr:row>36</xdr:row>
      <xdr:rowOff>9525</xdr:rowOff>
    </xdr:from>
    <xdr:to>
      <xdr:col>17</xdr:col>
      <xdr:colOff>9525</xdr:colOff>
      <xdr:row>59</xdr:row>
      <xdr:rowOff>73025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321BD5BA-AED0-F9E0-ED60-D06D69A6787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EC601543-EA58-4F9E-8B21-071BE75E24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16FAA24A-DCB4-4B54-B7A8-3D94A804DA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852958AD-AF98-4711-A3A1-FAF7420AAF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>
    <xdr:from>
      <xdr:col>1</xdr:col>
      <xdr:colOff>190500</xdr:colOff>
      <xdr:row>56</xdr:row>
      <xdr:rowOff>9525</xdr:rowOff>
    </xdr:from>
    <xdr:to>
      <xdr:col>17</xdr:col>
      <xdr:colOff>9525</xdr:colOff>
      <xdr:row>79</xdr:row>
      <xdr:rowOff>73025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9EC89792-1F01-F02A-D723-FAF6F9E1A33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78877A5F-62E2-4B71-BFCE-E312192516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D84BC5B6-1330-4099-AF1F-CD1CF796F0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92565807-7574-42EF-8B21-32BF8BACEB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>
    <xdr:from>
      <xdr:col>1</xdr:col>
      <xdr:colOff>190500</xdr:colOff>
      <xdr:row>28</xdr:row>
      <xdr:rowOff>9525</xdr:rowOff>
    </xdr:from>
    <xdr:to>
      <xdr:col>17</xdr:col>
      <xdr:colOff>9525</xdr:colOff>
      <xdr:row>51</xdr:row>
      <xdr:rowOff>73025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8263B573-40D1-6AD2-67DD-284876749E0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2A446C43-2357-44DF-9EBB-F8C3AF2E75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83DCBDDB-35E3-4D11-9BC1-1193099B83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56E2DEF3-28B9-42D5-9692-C2607377C9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>
    <xdr:from>
      <xdr:col>1</xdr:col>
      <xdr:colOff>190500</xdr:colOff>
      <xdr:row>40</xdr:row>
      <xdr:rowOff>9525</xdr:rowOff>
    </xdr:from>
    <xdr:to>
      <xdr:col>17</xdr:col>
      <xdr:colOff>9525</xdr:colOff>
      <xdr:row>63</xdr:row>
      <xdr:rowOff>73025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18667165-A7E8-A00B-55B1-4AC49803DA0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334761B4-2E22-4999-85DD-782ACAB2EB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B6C71F8F-363B-4E49-A929-A43BE018FC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CD295729-249C-4336-9D16-234D1BD843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>
    <xdr:from>
      <xdr:col>1</xdr:col>
      <xdr:colOff>190500</xdr:colOff>
      <xdr:row>30</xdr:row>
      <xdr:rowOff>136525</xdr:rowOff>
    </xdr:from>
    <xdr:to>
      <xdr:col>17</xdr:col>
      <xdr:colOff>9525</xdr:colOff>
      <xdr:row>54</xdr:row>
      <xdr:rowOff>9525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75505B43-3EF4-580E-1429-C999F4425E4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72FADF5B-CC39-4FFE-9F5A-D36A2E0143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E93D2FBA-6A40-4B56-B6AE-4913C7CC56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490D1848-ACC2-4BA0-B6E0-7ABEA08891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>
    <xdr:from>
      <xdr:col>1</xdr:col>
      <xdr:colOff>190500</xdr:colOff>
      <xdr:row>57</xdr:row>
      <xdr:rowOff>73025</xdr:rowOff>
    </xdr:from>
    <xdr:to>
      <xdr:col>17</xdr:col>
      <xdr:colOff>9525</xdr:colOff>
      <xdr:row>80</xdr:row>
      <xdr:rowOff>136525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30DA7A80-15EA-8C1F-F99B-FC696048438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11400" y="390525"/>
          <a:ext cx="533401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11400" y="390525"/>
          <a:ext cx="533402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11400" y="390525"/>
          <a:ext cx="533401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5" name="Picture 2">
          <a:extLst>
            <a:ext uri="{FF2B5EF4-FFF2-40B4-BE49-F238E27FC236}">
              <a16:creationId xmlns:a16="http://schemas.microsoft.com/office/drawing/2014/main" id="{00000000-0008-0000-1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1733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6" name="Picture 2">
          <a:extLst>
            <a:ext uri="{FF2B5EF4-FFF2-40B4-BE49-F238E27FC236}">
              <a16:creationId xmlns:a16="http://schemas.microsoft.com/office/drawing/2014/main" id="{00000000-0008-0000-1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1733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7" name="Picture 2">
          <a:extLst>
            <a:ext uri="{FF2B5EF4-FFF2-40B4-BE49-F238E27FC236}">
              <a16:creationId xmlns:a16="http://schemas.microsoft.com/office/drawing/2014/main" id="{00000000-0008-0000-1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173325" y="390525"/>
          <a:ext cx="533400" cy="533400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5" name="Picture 2">
          <a:extLst>
            <a:ext uri="{FF2B5EF4-FFF2-40B4-BE49-F238E27FC236}">
              <a16:creationId xmlns:a16="http://schemas.microsoft.com/office/drawing/2014/main" id="{00000000-0008-0000-1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4007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6" name="Picture 2">
          <a:extLst>
            <a:ext uri="{FF2B5EF4-FFF2-40B4-BE49-F238E27FC236}">
              <a16:creationId xmlns:a16="http://schemas.microsoft.com/office/drawing/2014/main" id="{00000000-0008-0000-1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4007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7" name="Picture 2">
          <a:extLst>
            <a:ext uri="{FF2B5EF4-FFF2-40B4-BE49-F238E27FC236}">
              <a16:creationId xmlns:a16="http://schemas.microsoft.com/office/drawing/2014/main" id="{00000000-0008-0000-1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40075" y="390525"/>
          <a:ext cx="533400" cy="533400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266701</xdr:colOff>
      <xdr:row>15</xdr:row>
      <xdr:rowOff>9525</xdr:rowOff>
    </xdr:from>
    <xdr:to>
      <xdr:col>17</xdr:col>
      <xdr:colOff>990601</xdr:colOff>
      <xdr:row>37</xdr:row>
      <xdr:rowOff>128588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17</xdr:col>
      <xdr:colOff>676275</xdr:colOff>
      <xdr:row>1</xdr:row>
      <xdr:rowOff>114300</xdr:rowOff>
    </xdr:from>
    <xdr:to>
      <xdr:col>18</xdr:col>
      <xdr:colOff>38100</xdr:colOff>
      <xdr:row>4</xdr:row>
      <xdr:rowOff>142875</xdr:rowOff>
    </xdr:to>
    <xdr:pic>
      <xdr:nvPicPr>
        <xdr:cNvPr id="3" name="Picture 4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49275" y="304800"/>
          <a:ext cx="598714" cy="598714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266701</xdr:colOff>
      <xdr:row>15</xdr:row>
      <xdr:rowOff>9525</xdr:rowOff>
    </xdr:from>
    <xdr:to>
      <xdr:col>17</xdr:col>
      <xdr:colOff>990601</xdr:colOff>
      <xdr:row>37</xdr:row>
      <xdr:rowOff>128588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17</xdr:col>
      <xdr:colOff>676275</xdr:colOff>
      <xdr:row>1</xdr:row>
      <xdr:rowOff>114300</xdr:rowOff>
    </xdr:from>
    <xdr:to>
      <xdr:col>18</xdr:col>
      <xdr:colOff>38100</xdr:colOff>
      <xdr:row>4</xdr:row>
      <xdr:rowOff>142875</xdr:rowOff>
    </xdr:to>
    <xdr:pic>
      <xdr:nvPicPr>
        <xdr:cNvPr id="4" name="Picture 4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49275" y="304800"/>
          <a:ext cx="598714" cy="598714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266701</xdr:colOff>
      <xdr:row>15</xdr:row>
      <xdr:rowOff>9525</xdr:rowOff>
    </xdr:from>
    <xdr:to>
      <xdr:col>17</xdr:col>
      <xdr:colOff>990601</xdr:colOff>
      <xdr:row>37</xdr:row>
      <xdr:rowOff>128588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17</xdr:col>
      <xdr:colOff>676275</xdr:colOff>
      <xdr:row>1</xdr:row>
      <xdr:rowOff>114300</xdr:rowOff>
    </xdr:from>
    <xdr:to>
      <xdr:col>18</xdr:col>
      <xdr:colOff>38100</xdr:colOff>
      <xdr:row>4</xdr:row>
      <xdr:rowOff>142875</xdr:rowOff>
    </xdr:to>
    <xdr:pic>
      <xdr:nvPicPr>
        <xdr:cNvPr id="3" name="Picture 4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49275" y="304800"/>
          <a:ext cx="598714" cy="59871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2">
    <tabColor theme="4" tint="0.79998168889431442"/>
    <pageSetUpPr fitToPage="1"/>
  </sheetPr>
  <dimension ref="A1:AE41"/>
  <sheetViews>
    <sheetView showGridLines="0" tabSelected="1" zoomScale="70" zoomScaleNormal="70" workbookViewId="0">
      <selection activeCell="X7" sqref="X7"/>
    </sheetView>
  </sheetViews>
  <sheetFormatPr baseColWidth="10" defaultColWidth="11.42578125" defaultRowHeight="15"/>
  <cols>
    <col min="1" max="1" width="2.85546875" style="71" customWidth="1"/>
    <col min="2" max="2" width="4.28515625" style="71" customWidth="1"/>
    <col min="3" max="3" width="11.42578125" style="71" customWidth="1"/>
    <col min="4" max="4" width="13.7109375" style="71" customWidth="1"/>
    <col min="5" max="9" width="11.42578125" style="71" customWidth="1"/>
    <col min="10" max="11" width="22.85546875" style="71" customWidth="1"/>
    <col min="12" max="18" width="11.42578125" style="71" customWidth="1"/>
    <col min="19" max="19" width="4.28515625" style="71" customWidth="1"/>
    <col min="20" max="20" width="2.85546875" style="71" customWidth="1"/>
    <col min="21" max="32" width="11.42578125" style="71" customWidth="1"/>
    <col min="33" max="16384" width="11.42578125" style="71"/>
  </cols>
  <sheetData>
    <row r="1" spans="2:31">
      <c r="AD1" s="71" t="s">
        <v>0</v>
      </c>
      <c r="AE1" s="71" t="s">
        <v>1</v>
      </c>
    </row>
    <row r="2" spans="2:31">
      <c r="B2" s="72"/>
      <c r="C2" s="73"/>
      <c r="D2" s="73"/>
      <c r="E2" s="73"/>
      <c r="F2" s="73"/>
      <c r="G2" s="73"/>
      <c r="H2" s="73"/>
      <c r="I2" s="73"/>
      <c r="J2" s="73"/>
      <c r="K2" s="73"/>
      <c r="L2" s="73"/>
      <c r="M2" s="73"/>
      <c r="N2" s="73"/>
      <c r="O2" s="73"/>
      <c r="P2" s="73"/>
      <c r="Q2" s="73"/>
      <c r="R2" s="73"/>
      <c r="S2" s="74"/>
      <c r="AD2" s="71" t="s">
        <v>387</v>
      </c>
      <c r="AE2" s="71" t="s">
        <v>2</v>
      </c>
    </row>
    <row r="3" spans="2:31">
      <c r="B3" s="75"/>
      <c r="S3" s="76"/>
    </row>
    <row r="4" spans="2:31">
      <c r="B4" s="75"/>
      <c r="S4" s="76"/>
    </row>
    <row r="5" spans="2:31">
      <c r="B5" s="75"/>
      <c r="S5" s="76"/>
    </row>
    <row r="6" spans="2:31">
      <c r="B6" s="75"/>
      <c r="S6" s="76"/>
    </row>
    <row r="7" spans="2:31">
      <c r="B7" s="75"/>
      <c r="S7" s="76"/>
    </row>
    <row r="8" spans="2:31">
      <c r="B8" s="75"/>
      <c r="S8" s="76"/>
    </row>
    <row r="9" spans="2:31" ht="45">
      <c r="B9" s="75"/>
      <c r="C9" s="77" t="s">
        <v>3</v>
      </c>
      <c r="D9" s="78"/>
      <c r="E9" s="78"/>
      <c r="F9" s="78"/>
      <c r="G9" s="78"/>
      <c r="H9" s="78"/>
      <c r="I9" s="78"/>
      <c r="S9" s="76"/>
    </row>
    <row r="10" spans="2:31" ht="45">
      <c r="B10" s="75"/>
      <c r="C10" s="77" t="s">
        <v>4</v>
      </c>
      <c r="D10" s="78"/>
      <c r="E10" s="78"/>
      <c r="F10" s="78"/>
      <c r="G10" s="78"/>
      <c r="H10" s="78"/>
      <c r="I10" s="78"/>
      <c r="S10" s="76"/>
    </row>
    <row r="11" spans="2:31">
      <c r="B11" s="75"/>
      <c r="C11" s="78"/>
      <c r="D11" s="78"/>
      <c r="E11" s="78"/>
      <c r="F11" s="78"/>
      <c r="G11" s="78"/>
      <c r="H11" s="78"/>
      <c r="I11" s="78"/>
      <c r="S11" s="76"/>
    </row>
    <row r="12" spans="2:31" ht="15" customHeight="1">
      <c r="B12" s="75"/>
      <c r="C12" s="78"/>
      <c r="D12" s="78"/>
      <c r="E12" s="78"/>
      <c r="F12" s="78"/>
      <c r="G12" s="78"/>
      <c r="H12" s="78"/>
      <c r="I12" s="78"/>
      <c r="J12" s="79"/>
      <c r="S12" s="76"/>
    </row>
    <row r="13" spans="2:31" ht="90" customHeight="1">
      <c r="B13" s="80"/>
      <c r="C13" s="240" t="s">
        <v>384</v>
      </c>
      <c r="D13" s="240"/>
      <c r="E13" s="240"/>
      <c r="F13" s="240"/>
      <c r="G13" s="240"/>
      <c r="H13" s="240"/>
      <c r="I13" s="240"/>
      <c r="J13" s="240"/>
      <c r="K13" s="240"/>
      <c r="L13" s="240"/>
      <c r="M13" s="240"/>
      <c r="N13" s="240"/>
      <c r="O13" s="240"/>
      <c r="P13" s="240"/>
      <c r="Q13" s="240"/>
      <c r="R13" s="240"/>
      <c r="S13" s="81"/>
    </row>
    <row r="14" spans="2:31">
      <c r="B14" s="75"/>
      <c r="C14" s="78"/>
      <c r="D14" s="78"/>
      <c r="E14" s="78"/>
      <c r="F14" s="78"/>
      <c r="G14" s="78"/>
      <c r="H14" s="78"/>
      <c r="I14" s="78"/>
      <c r="S14" s="76"/>
    </row>
    <row r="15" spans="2:31">
      <c r="B15" s="75"/>
      <c r="C15" s="78"/>
      <c r="D15" s="78"/>
      <c r="E15" s="78"/>
      <c r="F15" s="78"/>
      <c r="G15" s="78"/>
      <c r="H15" s="78"/>
      <c r="I15" s="78"/>
      <c r="S15" s="76"/>
    </row>
    <row r="16" spans="2:31">
      <c r="B16" s="75"/>
      <c r="S16" s="76"/>
    </row>
    <row r="17" spans="1:19">
      <c r="B17" s="75"/>
      <c r="S17" s="76"/>
    </row>
    <row r="18" spans="1:19">
      <c r="B18" s="75"/>
      <c r="S18" s="76"/>
    </row>
    <row r="19" spans="1:19" s="79" customFormat="1" ht="67.5" customHeight="1">
      <c r="A19" s="71"/>
      <c r="B19" s="82"/>
      <c r="C19" s="83"/>
      <c r="D19" s="84" t="s">
        <v>5</v>
      </c>
      <c r="F19" s="83" t="s">
        <v>6</v>
      </c>
      <c r="G19" s="241" t="s">
        <v>176</v>
      </c>
      <c r="H19" s="241"/>
      <c r="I19" s="241"/>
      <c r="J19" s="241"/>
      <c r="K19" s="241"/>
      <c r="L19" s="241"/>
      <c r="M19" s="241"/>
      <c r="N19" s="241"/>
      <c r="O19" s="241"/>
      <c r="P19" s="241"/>
      <c r="Q19" s="241"/>
      <c r="R19" s="241"/>
      <c r="S19" s="85"/>
    </row>
    <row r="20" spans="1:19" s="79" customFormat="1" ht="67.5" customHeight="1">
      <c r="A20" s="71"/>
      <c r="B20" s="82"/>
      <c r="C20" s="83"/>
      <c r="D20" s="84" t="s">
        <v>7</v>
      </c>
      <c r="F20" s="86"/>
      <c r="G20" s="84" t="s">
        <v>8</v>
      </c>
      <c r="H20" s="84"/>
      <c r="I20" s="84"/>
      <c r="J20" s="84"/>
      <c r="K20" s="84"/>
      <c r="L20" s="84"/>
      <c r="M20" s="84"/>
      <c r="N20" s="84"/>
      <c r="O20" s="84"/>
      <c r="P20" s="84"/>
      <c r="Q20" s="84"/>
      <c r="R20" s="84"/>
      <c r="S20" s="85"/>
    </row>
    <row r="21" spans="1:19">
      <c r="B21" s="75"/>
      <c r="C21" s="78"/>
      <c r="D21" s="87"/>
      <c r="E21" s="78"/>
      <c r="F21" s="78"/>
      <c r="G21" s="78"/>
      <c r="H21" s="78"/>
      <c r="I21" s="78"/>
      <c r="S21" s="76"/>
    </row>
    <row r="22" spans="1:19" s="79" customFormat="1" ht="33.75">
      <c r="A22" s="71"/>
      <c r="B22" s="82"/>
      <c r="C22" s="83"/>
      <c r="D22" s="88" t="s">
        <v>9</v>
      </c>
      <c r="E22" s="83"/>
      <c r="G22" s="83"/>
      <c r="H22" s="89" t="s">
        <v>385</v>
      </c>
      <c r="I22" s="90"/>
      <c r="S22" s="85"/>
    </row>
    <row r="23" spans="1:19" s="79" customFormat="1" ht="33.75">
      <c r="A23" s="71"/>
      <c r="B23" s="82"/>
      <c r="C23" s="83"/>
      <c r="D23" s="88" t="s">
        <v>10</v>
      </c>
      <c r="E23" s="83"/>
      <c r="F23" s="83"/>
      <c r="H23" s="83"/>
      <c r="J23" s="89" t="s">
        <v>386</v>
      </c>
      <c r="S23" s="85"/>
    </row>
    <row r="24" spans="1:19" ht="25.5">
      <c r="B24" s="75"/>
      <c r="D24" s="198" t="str">
        <f>+AFFICHAGE!S2</f>
        <v>Survenance</v>
      </c>
      <c r="S24" s="76"/>
    </row>
    <row r="25" spans="1:19">
      <c r="B25" s="75"/>
      <c r="S25" s="76"/>
    </row>
    <row r="26" spans="1:19" ht="15" hidden="1" customHeight="1">
      <c r="B26" s="75"/>
      <c r="S26" s="76"/>
    </row>
    <row r="27" spans="1:19" ht="15" hidden="1" customHeight="1">
      <c r="B27" s="75"/>
      <c r="S27" s="76"/>
    </row>
    <row r="28" spans="1:19">
      <c r="B28" s="75"/>
      <c r="S28" s="76"/>
    </row>
    <row r="29" spans="1:19">
      <c r="B29" s="75"/>
      <c r="S29" s="76"/>
    </row>
    <row r="30" spans="1:19" hidden="1">
      <c r="B30" s="75"/>
      <c r="S30" s="76"/>
    </row>
    <row r="31" spans="1:19" hidden="1">
      <c r="B31" s="75"/>
      <c r="S31" s="76"/>
    </row>
    <row r="32" spans="1:19" hidden="1">
      <c r="B32" s="75"/>
      <c r="S32" s="76"/>
    </row>
    <row r="33" spans="2:19">
      <c r="B33" s="75"/>
      <c r="S33" s="76"/>
    </row>
    <row r="34" spans="2:19" hidden="1">
      <c r="B34" s="75"/>
      <c r="S34" s="76"/>
    </row>
    <row r="35" spans="2:19" hidden="1">
      <c r="B35" s="75"/>
      <c r="S35" s="76"/>
    </row>
    <row r="36" spans="2:19" hidden="1">
      <c r="B36" s="75"/>
      <c r="S36" s="76"/>
    </row>
    <row r="37" spans="2:19" hidden="1">
      <c r="B37" s="75"/>
      <c r="S37" s="76"/>
    </row>
    <row r="38" spans="2:19">
      <c r="B38" s="75"/>
      <c r="S38" s="76"/>
    </row>
    <row r="39" spans="2:19">
      <c r="B39" s="75"/>
      <c r="S39" s="76"/>
    </row>
    <row r="40" spans="2:19" ht="7.5" customHeight="1">
      <c r="B40" s="75"/>
      <c r="S40" s="76"/>
    </row>
    <row r="41" spans="2:19">
      <c r="B41" s="91"/>
      <c r="C41" s="92"/>
      <c r="D41" s="92"/>
      <c r="E41" s="92"/>
      <c r="F41" s="92"/>
      <c r="G41" s="92"/>
      <c r="H41" s="92"/>
      <c r="I41" s="92"/>
      <c r="J41" s="92"/>
      <c r="K41" s="92"/>
      <c r="L41" s="92"/>
      <c r="M41" s="92"/>
      <c r="N41" s="92"/>
      <c r="O41" s="92"/>
      <c r="P41" s="92"/>
      <c r="Q41" s="92"/>
      <c r="R41" s="92"/>
      <c r="S41" s="93"/>
    </row>
  </sheetData>
  <mergeCells count="2">
    <mergeCell ref="C13:R13"/>
    <mergeCell ref="G19:R19"/>
  </mergeCells>
  <pageMargins left="0.70866141732283472" right="0.70866141732283472" top="0.74803149606299213" bottom="0.74803149606299213" header="0.31496062992125984" footer="0.31496062992125984"/>
  <pageSetup paperSize="9" scale="58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8" r:id="rId4" name="Button 4">
              <controlPr defaultSize="0" print="0" autoFill="0" autoPict="0" macro="[0]!FULL.FULL">
                <anchor moveWithCells="1" sizeWithCells="1">
                  <from>
                    <xdr:col>20</xdr:col>
                    <xdr:colOff>704850</xdr:colOff>
                    <xdr:row>5</xdr:row>
                    <xdr:rowOff>28575</xdr:rowOff>
                  </from>
                  <to>
                    <xdr:col>22</xdr:col>
                    <xdr:colOff>619125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5" name="Button 6">
              <controlPr defaultSize="0" print="0" autoFill="0" autoPict="0" macro="[0]!exportFile">
                <anchor moveWithCells="1" sizeWithCells="1">
                  <from>
                    <xdr:col>20</xdr:col>
                    <xdr:colOff>714375</xdr:colOff>
                    <xdr:row>8</xdr:row>
                    <xdr:rowOff>219075</xdr:rowOff>
                  </from>
                  <to>
                    <xdr:col>22</xdr:col>
                    <xdr:colOff>628650</xdr:colOff>
                    <xdr:row>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E3EC80-B20B-435C-923B-28B0DC41BB15}">
  <sheetPr codeName="Feuil11">
    <tabColor rgb="FF92D050"/>
    <pageSetUpPr fitToPage="1"/>
  </sheetPr>
  <dimension ref="A1:H19"/>
  <sheetViews>
    <sheetView zoomScaleNormal="100" workbookViewId="0">
      <selection activeCell="A4" sqref="A4"/>
    </sheetView>
  </sheetViews>
  <sheetFormatPr baseColWidth="10" defaultColWidth="11.28515625" defaultRowHeight="15"/>
  <cols>
    <col min="1" max="1" width="10.7109375" style="139" bestFit="1" customWidth="1"/>
    <col min="2" max="2" width="13.7109375" style="139" bestFit="1" customWidth="1"/>
    <col min="3" max="3" width="13.85546875" style="139" bestFit="1" customWidth="1"/>
    <col min="4" max="4" width="21.5703125" style="139" bestFit="1" customWidth="1"/>
    <col min="5" max="5" width="16" style="139" bestFit="1" customWidth="1"/>
    <col min="6" max="6" width="21.140625" style="139" bestFit="1" customWidth="1"/>
    <col min="7" max="7" width="17.140625" style="139" bestFit="1" customWidth="1"/>
    <col min="8" max="8" width="15.140625" style="139" bestFit="1" customWidth="1"/>
    <col min="9" max="10" width="11.28515625" style="139" customWidth="1"/>
    <col min="11" max="16384" width="11.28515625" style="139"/>
  </cols>
  <sheetData>
    <row r="1" spans="1:8">
      <c r="A1" s="242" t="s">
        <v>11</v>
      </c>
      <c r="B1" s="242"/>
      <c r="C1" s="242"/>
      <c r="D1" s="242"/>
      <c r="E1" s="242"/>
      <c r="F1" s="242"/>
      <c r="G1" s="242"/>
      <c r="H1" s="242"/>
    </row>
    <row r="2" spans="1:8" s="200" customFormat="1">
      <c r="A2" s="199" t="s">
        <v>12</v>
      </c>
      <c r="B2" s="199" t="s">
        <v>13</v>
      </c>
      <c r="C2" s="199" t="s">
        <v>14</v>
      </c>
      <c r="D2" s="199" t="s">
        <v>15</v>
      </c>
      <c r="E2" s="199" t="s">
        <v>16</v>
      </c>
      <c r="F2" s="199" t="s">
        <v>17</v>
      </c>
      <c r="G2" s="199" t="s">
        <v>18</v>
      </c>
      <c r="H2" s="199" t="s">
        <v>19</v>
      </c>
    </row>
    <row r="7" spans="1:8">
      <c r="A7" s="242" t="s">
        <v>343</v>
      </c>
      <c r="B7" s="242"/>
      <c r="C7" s="242"/>
      <c r="D7" s="242"/>
      <c r="E7" s="242"/>
      <c r="F7" s="242"/>
      <c r="G7" s="242"/>
      <c r="H7" s="242"/>
    </row>
    <row r="8" spans="1:8" s="200" customFormat="1">
      <c r="A8" s="199" t="s">
        <v>12</v>
      </c>
      <c r="B8" s="199" t="s">
        <v>13</v>
      </c>
      <c r="C8" s="199" t="s">
        <v>14</v>
      </c>
      <c r="D8" s="199" t="s">
        <v>15</v>
      </c>
      <c r="E8" s="199" t="s">
        <v>16</v>
      </c>
      <c r="F8" s="199" t="s">
        <v>17</v>
      </c>
      <c r="G8" s="199" t="s">
        <v>18</v>
      </c>
      <c r="H8" s="199" t="s">
        <v>19</v>
      </c>
    </row>
    <row r="9" spans="1:8">
      <c r="A9" s="214"/>
      <c r="B9" s="215"/>
      <c r="C9" s="215"/>
      <c r="D9" s="215"/>
      <c r="E9" s="216"/>
      <c r="F9" s="215"/>
      <c r="G9" s="216"/>
      <c r="H9" s="215"/>
    </row>
    <row r="13" spans="1:8">
      <c r="A13" s="242" t="s">
        <v>344</v>
      </c>
      <c r="B13" s="242"/>
      <c r="C13" s="242"/>
      <c r="D13" s="242"/>
      <c r="E13" s="242"/>
      <c r="F13" s="242"/>
      <c r="G13" s="242"/>
      <c r="H13" s="242"/>
    </row>
    <row r="14" spans="1:8" s="200" customFormat="1">
      <c r="A14" s="199" t="s">
        <v>12</v>
      </c>
      <c r="B14" s="199" t="s">
        <v>13</v>
      </c>
      <c r="C14" s="199" t="s">
        <v>14</v>
      </c>
      <c r="D14" s="199" t="s">
        <v>15</v>
      </c>
      <c r="E14" s="199" t="s">
        <v>16</v>
      </c>
      <c r="F14" s="199" t="s">
        <v>17</v>
      </c>
      <c r="G14" s="199" t="s">
        <v>18</v>
      </c>
      <c r="H14" s="199" t="s">
        <v>19</v>
      </c>
    </row>
    <row r="15" spans="1:8">
      <c r="A15" s="217"/>
    </row>
    <row r="19" spans="1:8">
      <c r="A19" s="243" t="s">
        <v>345</v>
      </c>
      <c r="B19" s="243"/>
      <c r="C19" s="243"/>
      <c r="D19" s="243"/>
      <c r="E19" s="243"/>
      <c r="F19" s="243"/>
      <c r="G19" s="243"/>
      <c r="H19" s="243"/>
    </row>
  </sheetData>
  <mergeCells count="4">
    <mergeCell ref="A1:H1"/>
    <mergeCell ref="A7:H7"/>
    <mergeCell ref="A13:H13"/>
    <mergeCell ref="A19:H19"/>
  </mergeCells>
  <pageMargins left="0.70866141732283472" right="0.70866141732283472" top="0.74803149606299213" bottom="0.74803149606299213" header="0.31496062992125984" footer="0.31496062992125984"/>
  <pageSetup paperSize="9" orientation="landscape"/>
  <headerFooter>
    <oddHeader>&amp;C&amp;A</oddHeader>
    <oddFooter>&amp;C&amp;F   &amp;A  &amp;P/&amp;N   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13">
    <tabColor theme="4" tint="0.79998168889431442"/>
    <pageSetUpPr fitToPage="1"/>
  </sheetPr>
  <dimension ref="A1:T38"/>
  <sheetViews>
    <sheetView showGridLines="0" zoomScale="70" zoomScaleNormal="70" workbookViewId="0">
      <selection activeCell="H24" sqref="H24"/>
    </sheetView>
  </sheetViews>
  <sheetFormatPr baseColWidth="10" defaultColWidth="11.42578125" defaultRowHeight="15"/>
  <cols>
    <col min="1" max="1" width="2.85546875" style="5" customWidth="1"/>
    <col min="2" max="2" width="4.28515625" customWidth="1"/>
    <col min="3" max="3" width="22.85546875" customWidth="1"/>
    <col min="4" max="4" width="2.85546875" customWidth="1"/>
    <col min="5" max="5" width="22.85546875" customWidth="1"/>
    <col min="6" max="6" width="2.85546875" customWidth="1"/>
    <col min="7" max="7" width="22.85546875" style="37" customWidth="1"/>
    <col min="8" max="8" width="2.85546875" style="37" customWidth="1"/>
    <col min="9" max="9" width="22.85546875" style="37" customWidth="1"/>
    <col min="10" max="10" width="2.85546875" style="37" customWidth="1"/>
    <col min="11" max="11" width="22.85546875" style="37" customWidth="1"/>
    <col min="12" max="12" width="2.85546875" style="37" customWidth="1"/>
    <col min="13" max="13" width="22.85546875" style="37" customWidth="1"/>
    <col min="14" max="14" width="2.85546875" style="37" customWidth="1"/>
    <col min="15" max="15" width="22.85546875" style="37" customWidth="1"/>
    <col min="16" max="16" width="2.85546875" customWidth="1"/>
    <col min="17" max="17" width="22.85546875" customWidth="1"/>
    <col min="18" max="18" width="2.85546875" customWidth="1"/>
    <col min="19" max="19" width="4.28515625" customWidth="1"/>
    <col min="20" max="20" width="2.85546875" customWidth="1"/>
    <col min="21" max="27" width="11.42578125" customWidth="1"/>
  </cols>
  <sheetData>
    <row r="1" spans="2:20" ht="15" customHeight="1">
      <c r="B1" s="5"/>
      <c r="C1" s="5"/>
      <c r="D1" s="5"/>
      <c r="E1" s="5"/>
      <c r="F1" s="5"/>
      <c r="G1" s="36"/>
      <c r="H1" s="36"/>
      <c r="I1" s="36"/>
      <c r="J1" s="36"/>
      <c r="K1" s="36"/>
      <c r="L1" s="36"/>
      <c r="M1" s="36"/>
      <c r="N1" s="36"/>
      <c r="O1" s="36"/>
      <c r="P1" s="5"/>
      <c r="Q1" s="5"/>
      <c r="R1" s="5"/>
      <c r="S1" s="5"/>
      <c r="T1" s="5"/>
    </row>
    <row r="2" spans="2:20" ht="15" customHeight="1">
      <c r="B2" s="48"/>
      <c r="C2" s="49"/>
      <c r="D2" s="49"/>
      <c r="E2" s="49"/>
      <c r="F2" s="49"/>
      <c r="G2" s="53"/>
      <c r="H2" s="53"/>
      <c r="I2" s="53"/>
      <c r="J2" s="53"/>
      <c r="K2" s="53"/>
      <c r="L2" s="53"/>
      <c r="M2" s="53"/>
      <c r="N2" s="53"/>
      <c r="O2" s="53"/>
      <c r="P2" s="49"/>
      <c r="Q2" s="49"/>
      <c r="R2" s="49"/>
      <c r="S2" s="50"/>
    </row>
    <row r="3" spans="2:20" ht="15" customHeight="1">
      <c r="B3" s="2"/>
      <c r="S3" s="51"/>
    </row>
    <row r="4" spans="2:20" ht="15" customHeight="1">
      <c r="B4" s="2"/>
      <c r="S4" s="51"/>
    </row>
    <row r="5" spans="2:20" ht="15" customHeight="1">
      <c r="B5" s="2"/>
      <c r="S5" s="51"/>
    </row>
    <row r="6" spans="2:20" ht="15" hidden="1" customHeight="1">
      <c r="B6" s="2"/>
      <c r="S6" s="51"/>
    </row>
    <row r="7" spans="2:20" ht="15" hidden="1" customHeight="1">
      <c r="B7" s="2"/>
      <c r="S7" s="51"/>
    </row>
    <row r="8" spans="2:20" ht="60" customHeight="1">
      <c r="B8" s="2"/>
      <c r="C8" s="244" t="str">
        <f>'Page de garde'!C13&amp;" : Résultats"</f>
        <v>60000016 - 60000017 - 60000018 - 60000087 : Résultats</v>
      </c>
      <c r="D8" s="245"/>
      <c r="E8" s="245"/>
      <c r="F8" s="245"/>
      <c r="G8" s="245"/>
      <c r="H8" s="245"/>
      <c r="I8" s="245"/>
      <c r="J8" s="245"/>
      <c r="K8" s="245"/>
      <c r="L8" s="245"/>
      <c r="M8" s="245"/>
      <c r="N8" s="245"/>
      <c r="O8" s="245"/>
      <c r="P8" s="245"/>
      <c r="Q8" s="245"/>
      <c r="R8" s="246"/>
      <c r="S8" s="51"/>
    </row>
    <row r="9" spans="2:20" ht="15" customHeight="1">
      <c r="B9" s="2"/>
      <c r="S9" s="51"/>
    </row>
    <row r="10" spans="2:20" ht="15" customHeight="1">
      <c r="B10" s="2"/>
      <c r="S10" s="51"/>
    </row>
    <row r="11" spans="2:20" ht="15" customHeight="1">
      <c r="B11" s="2"/>
      <c r="S11" s="51"/>
    </row>
    <row r="12" spans="2:20" ht="15" customHeight="1">
      <c r="B12" s="2"/>
      <c r="S12" s="51"/>
    </row>
    <row r="13" spans="2:20" ht="15" customHeight="1">
      <c r="B13" s="2"/>
      <c r="C13" s="94" t="s">
        <v>20</v>
      </c>
      <c r="D13" s="95"/>
      <c r="E13" s="96" t="str">
        <f>'Page de garde'!J23</f>
        <v>31 décembre 2022</v>
      </c>
      <c r="F13" s="7"/>
      <c r="G13" s="38"/>
      <c r="H13" s="38"/>
      <c r="I13" s="39"/>
      <c r="J13" s="39"/>
      <c r="K13" s="39"/>
      <c r="L13" s="39"/>
      <c r="M13" s="39"/>
      <c r="N13" s="39"/>
      <c r="O13" s="39"/>
      <c r="P13" s="7"/>
      <c r="Q13" s="7"/>
      <c r="R13" s="11"/>
      <c r="S13" s="51"/>
    </row>
    <row r="14" spans="2:20" ht="15" customHeight="1">
      <c r="B14" s="2"/>
      <c r="C14" s="7"/>
      <c r="D14" s="7"/>
      <c r="E14" s="7"/>
      <c r="F14" s="7"/>
      <c r="G14" s="39"/>
      <c r="H14" s="39"/>
      <c r="I14" s="39"/>
      <c r="J14" s="39"/>
      <c r="K14" s="39"/>
      <c r="L14" s="39"/>
      <c r="M14" s="39"/>
      <c r="N14" s="39"/>
      <c r="O14" s="39"/>
      <c r="P14" s="7"/>
      <c r="Q14" s="7"/>
      <c r="R14" s="11"/>
      <c r="S14" s="51"/>
    </row>
    <row r="15" spans="2:20" ht="54.75" customHeight="1">
      <c r="B15" s="2"/>
      <c r="C15" s="7"/>
      <c r="D15" s="7"/>
      <c r="E15" s="7"/>
      <c r="F15" s="8"/>
      <c r="G15" s="97" t="s">
        <v>13</v>
      </c>
      <c r="H15" s="40"/>
      <c r="I15" s="97" t="s">
        <v>14</v>
      </c>
      <c r="J15" s="40"/>
      <c r="K15" s="97" t="s">
        <v>15</v>
      </c>
      <c r="L15" s="40"/>
      <c r="M15" s="97" t="s">
        <v>21</v>
      </c>
      <c r="N15" s="40"/>
      <c r="O15" s="97" t="s">
        <v>17</v>
      </c>
      <c r="P15" s="8"/>
      <c r="Q15" s="98" t="s">
        <v>22</v>
      </c>
      <c r="R15" s="11"/>
      <c r="S15" s="51"/>
    </row>
    <row r="16" spans="2:20" ht="22.5" customHeight="1">
      <c r="B16" s="2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11"/>
      <c r="S16" s="51"/>
    </row>
    <row r="17" spans="2:19" ht="22.5" customHeight="1">
      <c r="B17" s="2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11"/>
      <c r="S17" s="51"/>
    </row>
    <row r="18" spans="2:19" ht="22.5" customHeight="1">
      <c r="B18" s="2"/>
      <c r="C18" s="7"/>
      <c r="D18" s="7"/>
      <c r="E18" s="7"/>
      <c r="F18" s="7"/>
      <c r="G18" s="39"/>
      <c r="H18" s="7"/>
      <c r="I18" s="7"/>
      <c r="J18" s="7"/>
      <c r="K18" s="7"/>
      <c r="L18" s="7"/>
      <c r="M18" s="7"/>
      <c r="N18" s="7"/>
      <c r="O18" s="7"/>
      <c r="P18" s="7"/>
      <c r="Q18" s="7"/>
      <c r="R18" s="11"/>
      <c r="S18" s="51"/>
    </row>
    <row r="19" spans="2:19" ht="22.5" customHeight="1">
      <c r="B19" s="2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11"/>
      <c r="S19" s="51"/>
    </row>
    <row r="20" spans="2:19" ht="22.5" customHeight="1">
      <c r="B20" s="2"/>
      <c r="C20" s="99">
        <v>2022</v>
      </c>
      <c r="D20" s="7"/>
      <c r="E20" s="100" t="s">
        <v>23</v>
      </c>
      <c r="F20" s="7"/>
      <c r="G20" s="41">
        <v>40526.39</v>
      </c>
      <c r="H20" s="40"/>
      <c r="I20" s="41">
        <v>3189.92</v>
      </c>
      <c r="J20" s="40"/>
      <c r="K20" s="41">
        <v>43704.69</v>
      </c>
      <c r="L20" s="40"/>
      <c r="M20" s="212">
        <v>0.26860000000000001</v>
      </c>
      <c r="N20" s="40"/>
      <c r="O20" s="41">
        <v>31965.17</v>
      </c>
      <c r="P20" s="8"/>
      <c r="Q20" s="212">
        <v>1.3675999999999999</v>
      </c>
      <c r="R20" s="11"/>
      <c r="S20" s="51"/>
    </row>
    <row r="21" spans="2:19" ht="22.5" customHeight="1">
      <c r="B21" s="2"/>
      <c r="C21" s="6"/>
      <c r="D21" s="7"/>
      <c r="E21" s="101"/>
      <c r="F21" s="7"/>
      <c r="G21" s="6"/>
      <c r="H21" s="6"/>
      <c r="I21" s="6"/>
      <c r="J21" s="6"/>
      <c r="K21" s="6"/>
      <c r="L21" s="6"/>
      <c r="M21" s="6"/>
      <c r="N21" s="6"/>
      <c r="O21" s="6"/>
      <c r="P21" s="6"/>
      <c r="Q21" s="213"/>
      <c r="R21" s="11"/>
      <c r="S21" s="51"/>
    </row>
    <row r="22" spans="2:19" ht="22.5" customHeight="1">
      <c r="B22" s="2"/>
      <c r="C22" s="6"/>
      <c r="D22" s="7"/>
      <c r="E22" s="46"/>
      <c r="F22" s="7"/>
      <c r="G22" s="6"/>
      <c r="H22" s="6"/>
      <c r="I22" s="6"/>
      <c r="J22" s="6"/>
      <c r="K22" s="6"/>
      <c r="L22" s="6"/>
      <c r="M22" s="6"/>
      <c r="N22" s="6"/>
      <c r="O22" s="6"/>
      <c r="P22" s="6"/>
      <c r="Q22" s="213"/>
      <c r="R22" s="11"/>
      <c r="S22" s="51"/>
    </row>
    <row r="23" spans="2:19" ht="22.5" customHeight="1">
      <c r="B23" s="2"/>
      <c r="C23" s="6"/>
      <c r="D23" s="7"/>
      <c r="E23" s="6"/>
      <c r="F23" s="7"/>
      <c r="G23" s="42"/>
      <c r="H23" s="42"/>
      <c r="I23" s="42"/>
      <c r="J23" s="42"/>
      <c r="K23" s="43"/>
      <c r="L23" s="42"/>
      <c r="M23" s="43"/>
      <c r="N23" s="42"/>
      <c r="O23" s="43"/>
      <c r="P23" s="9"/>
      <c r="Q23" s="10"/>
      <c r="R23" s="11"/>
      <c r="S23" s="51"/>
    </row>
    <row r="24" spans="2:19" ht="22.5" customHeight="1">
      <c r="B24" s="2"/>
      <c r="C24" s="218"/>
      <c r="D24" s="7"/>
      <c r="E24" s="218"/>
      <c r="F24" s="7"/>
      <c r="G24" s="219"/>
      <c r="H24" s="219"/>
      <c r="I24" s="219"/>
      <c r="J24" s="219"/>
      <c r="K24" s="220"/>
      <c r="L24" s="219"/>
      <c r="M24" s="220"/>
      <c r="N24" s="219"/>
      <c r="O24" s="220"/>
      <c r="P24" s="221"/>
      <c r="Q24" s="222"/>
      <c r="R24" s="11"/>
      <c r="S24" s="51"/>
    </row>
    <row r="25" spans="2:19" ht="22.5" customHeight="1">
      <c r="B25" s="2"/>
      <c r="C25" s="223"/>
      <c r="D25" s="7"/>
      <c r="E25" s="223"/>
      <c r="F25" s="7"/>
      <c r="G25" s="40"/>
      <c r="H25" s="40"/>
      <c r="I25" s="40"/>
      <c r="J25" s="40"/>
      <c r="K25" s="40"/>
      <c r="L25" s="40"/>
      <c r="M25" s="47"/>
      <c r="N25" s="40"/>
      <c r="O25" s="40"/>
      <c r="P25" s="8"/>
      <c r="Q25" s="47"/>
      <c r="R25" s="11"/>
      <c r="S25" s="51"/>
    </row>
    <row r="26" spans="2:19" ht="22.5" customHeight="1">
      <c r="B26" s="2"/>
      <c r="C26" s="6"/>
      <c r="D26" s="7"/>
      <c r="E26" s="101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11"/>
      <c r="S26" s="51"/>
    </row>
    <row r="27" spans="2:19" ht="22.5" customHeight="1">
      <c r="B27" s="2"/>
      <c r="C27" s="6"/>
      <c r="D27" s="7"/>
      <c r="E27" s="102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11"/>
      <c r="S27" s="51"/>
    </row>
    <row r="28" spans="2:19" ht="22.5" customHeight="1">
      <c r="B28" s="2"/>
      <c r="C28" s="6"/>
      <c r="D28" s="7"/>
      <c r="E28" s="101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11"/>
      <c r="S28" s="51"/>
    </row>
    <row r="29" spans="2:19" ht="12.6" customHeight="1">
      <c r="B29" s="2"/>
      <c r="C29" s="6"/>
      <c r="D29" s="7"/>
      <c r="E29" s="46"/>
      <c r="F29" s="7"/>
      <c r="G29" s="40"/>
      <c r="H29" s="40"/>
      <c r="I29" s="47"/>
      <c r="J29" s="40"/>
      <c r="K29" s="40"/>
      <c r="L29" s="40"/>
      <c r="M29" s="40"/>
      <c r="N29" s="40"/>
      <c r="O29" s="40"/>
      <c r="P29" s="8"/>
      <c r="Q29" s="47"/>
      <c r="R29" s="11"/>
      <c r="S29" s="51"/>
    </row>
    <row r="30" spans="2:19" ht="8.85" customHeight="1">
      <c r="B30" s="2"/>
      <c r="C30" s="6"/>
      <c r="D30" s="7"/>
      <c r="E30" s="46"/>
      <c r="F30" s="7"/>
      <c r="G30" s="40"/>
      <c r="H30" s="40"/>
      <c r="I30" s="47"/>
      <c r="J30" s="40"/>
      <c r="K30" s="40"/>
      <c r="L30" s="40"/>
      <c r="M30" s="40"/>
      <c r="N30" s="40"/>
      <c r="O30" s="40"/>
      <c r="P30" s="8"/>
      <c r="Q30" s="47"/>
      <c r="R30" s="11"/>
      <c r="S30" s="51"/>
    </row>
    <row r="31" spans="2:19" ht="22.5" customHeight="1">
      <c r="B31" s="2"/>
      <c r="C31" s="103" t="s">
        <v>24</v>
      </c>
      <c r="D31" s="104"/>
      <c r="E31" s="105"/>
      <c r="F31" s="104"/>
      <c r="G31" s="106"/>
      <c r="H31" s="106"/>
      <c r="I31" s="106"/>
      <c r="J31" s="106"/>
      <c r="K31" s="107"/>
      <c r="L31" s="106"/>
      <c r="M31" s="107"/>
      <c r="N31" s="106"/>
      <c r="O31" s="107"/>
      <c r="P31" s="108"/>
      <c r="Q31" s="109"/>
      <c r="R31" s="110"/>
      <c r="S31" s="51"/>
    </row>
    <row r="32" spans="2:19" ht="22.5" customHeight="1">
      <c r="B32" s="2"/>
      <c r="C32" s="103" t="s">
        <v>25</v>
      </c>
      <c r="D32" s="104"/>
      <c r="E32" s="105"/>
      <c r="F32" s="104"/>
      <c r="G32" s="106"/>
      <c r="H32" s="106"/>
      <c r="I32" s="106"/>
      <c r="J32" s="106"/>
      <c r="K32" s="107"/>
      <c r="L32" s="106"/>
      <c r="M32" s="107"/>
      <c r="N32" s="106"/>
      <c r="O32" s="107"/>
      <c r="P32" s="108"/>
      <c r="Q32" s="109"/>
      <c r="R32" s="110"/>
      <c r="S32" s="51"/>
    </row>
    <row r="33" spans="2:19" ht="22.5" customHeight="1">
      <c r="B33" s="2"/>
      <c r="C33" s="248" t="s">
        <v>26</v>
      </c>
      <c r="D33" s="248"/>
      <c r="E33" s="248"/>
      <c r="F33" s="248"/>
      <c r="G33" s="248"/>
      <c r="H33" s="248"/>
      <c r="I33" s="248"/>
      <c r="J33" s="248"/>
      <c r="K33" s="248"/>
      <c r="L33" s="248"/>
      <c r="M33" s="248"/>
      <c r="N33" s="248"/>
      <c r="O33" s="248"/>
      <c r="P33" s="248"/>
      <c r="Q33" s="248"/>
      <c r="R33" s="248"/>
      <c r="S33" s="51"/>
    </row>
    <row r="34" spans="2:19" ht="18.75">
      <c r="B34" s="2"/>
      <c r="C34" s="12"/>
      <c r="D34" s="7"/>
      <c r="E34" s="6"/>
      <c r="F34" s="7"/>
      <c r="G34" s="42"/>
      <c r="H34" s="42"/>
      <c r="I34" s="42"/>
      <c r="J34" s="42"/>
      <c r="K34" s="43"/>
      <c r="L34" s="42"/>
      <c r="M34" s="43"/>
      <c r="N34" s="42"/>
      <c r="O34" s="43"/>
      <c r="P34" s="9"/>
      <c r="Q34" s="10"/>
      <c r="R34" s="11"/>
      <c r="S34" s="51"/>
    </row>
    <row r="35" spans="2:19" ht="32.450000000000003" customHeight="1">
      <c r="B35" s="2"/>
      <c r="C35" s="247"/>
      <c r="D35" s="247"/>
      <c r="E35" s="247"/>
      <c r="F35" s="247"/>
      <c r="G35" s="247"/>
      <c r="H35" s="247"/>
      <c r="I35" s="247"/>
      <c r="J35" s="247"/>
      <c r="K35" s="247"/>
      <c r="L35" s="247"/>
      <c r="M35" s="247"/>
      <c r="N35" s="247"/>
      <c r="O35" s="247"/>
      <c r="P35" s="247"/>
      <c r="Q35" s="247"/>
      <c r="R35" s="247"/>
      <c r="S35" s="51"/>
    </row>
    <row r="36" spans="2:19" ht="22.5" customHeight="1">
      <c r="B36" s="2"/>
      <c r="C36" s="6"/>
      <c r="D36" s="7"/>
      <c r="E36" s="7"/>
      <c r="F36" s="7"/>
      <c r="G36" s="39"/>
      <c r="H36" s="39"/>
      <c r="I36" s="39"/>
      <c r="J36" s="39"/>
      <c r="K36" s="39"/>
      <c r="L36" s="39"/>
      <c r="M36" s="39"/>
      <c r="N36" s="39"/>
      <c r="O36" s="39"/>
      <c r="P36" s="7"/>
      <c r="Q36" s="7"/>
      <c r="R36" s="11"/>
      <c r="S36" s="51"/>
    </row>
    <row r="37" spans="2:19" ht="32.450000000000003" customHeight="1">
      <c r="B37" s="2"/>
      <c r="C37" s="247"/>
      <c r="D37" s="247"/>
      <c r="E37" s="247"/>
      <c r="F37" s="247"/>
      <c r="G37" s="247"/>
      <c r="H37" s="247"/>
      <c r="I37" s="247"/>
      <c r="J37" s="247"/>
      <c r="K37" s="247"/>
      <c r="L37" s="247"/>
      <c r="M37" s="247"/>
      <c r="N37" s="39"/>
      <c r="O37" s="39"/>
      <c r="P37" s="7"/>
      <c r="Q37" s="7"/>
      <c r="R37" s="11"/>
      <c r="S37" s="51"/>
    </row>
    <row r="38" spans="2:19" ht="15" customHeight="1">
      <c r="B38" s="3"/>
      <c r="C38" s="4"/>
      <c r="D38" s="4"/>
      <c r="E38" s="4"/>
      <c r="F38" s="4"/>
      <c r="G38" s="44"/>
      <c r="H38" s="44"/>
      <c r="I38" s="44"/>
      <c r="J38" s="44"/>
      <c r="K38" s="44"/>
      <c r="L38" s="44"/>
      <c r="M38" s="44"/>
      <c r="N38" s="44"/>
      <c r="O38" s="44"/>
      <c r="P38" s="4"/>
      <c r="Q38" s="4"/>
      <c r="R38" s="4"/>
      <c r="S38" s="52"/>
    </row>
  </sheetData>
  <mergeCells count="4">
    <mergeCell ref="C8:R8"/>
    <mergeCell ref="C37:M37"/>
    <mergeCell ref="C35:R35"/>
    <mergeCell ref="C33:R33"/>
  </mergeCells>
  <pageMargins left="0.70866141732283472" right="0.70866141732283472" top="0.74803149606299213" bottom="0.74803149606299213" header="0.31496062992125984" footer="0.31496062992125984"/>
  <pageSetup paperSize="9" scale="59"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4">
    <tabColor theme="4" tint="0.79998168889431442"/>
    <pageSetUpPr fitToPage="1"/>
  </sheetPr>
  <dimension ref="A1:AB45"/>
  <sheetViews>
    <sheetView showGridLines="0" zoomScale="85" zoomScaleNormal="85" workbookViewId="0">
      <selection activeCell="A27" sqref="A27:XFD30"/>
    </sheetView>
  </sheetViews>
  <sheetFormatPr baseColWidth="10" defaultColWidth="11.42578125" defaultRowHeight="15"/>
  <cols>
    <col min="1" max="1" width="2.85546875" style="5" customWidth="1"/>
    <col min="2" max="2" width="4.28515625" customWidth="1"/>
    <col min="3" max="3" width="35.7109375" customWidth="1"/>
    <col min="4" max="11" width="21.28515625" customWidth="1"/>
    <col min="12" max="12" width="4.28515625" customWidth="1"/>
    <col min="13" max="13" width="2.85546875" customWidth="1"/>
    <col min="14" max="17" width="11.42578125" customWidth="1"/>
    <col min="18" max="18" width="22.5703125" bestFit="1" customWidth="1"/>
    <col min="19" max="26" width="11.42578125" customWidth="1"/>
    <col min="27" max="27" width="19.140625" bestFit="1" customWidth="1"/>
    <col min="28" max="28" width="12.7109375" style="232" bestFit="1" customWidth="1"/>
    <col min="29" max="29" width="10.5703125" bestFit="1" customWidth="1"/>
    <col min="30" max="36" width="11.42578125" customWidth="1"/>
  </cols>
  <sheetData>
    <row r="1" spans="1:28"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</row>
    <row r="2" spans="1:28">
      <c r="B2" s="48"/>
      <c r="C2" s="49"/>
      <c r="D2" s="49"/>
      <c r="E2" s="49"/>
      <c r="F2" s="49"/>
      <c r="G2" s="49"/>
      <c r="H2" s="49"/>
      <c r="I2" s="49"/>
      <c r="J2" s="49"/>
      <c r="K2" s="49"/>
      <c r="L2" s="50"/>
      <c r="P2" s="54"/>
    </row>
    <row r="3" spans="1:28">
      <c r="B3" s="2"/>
      <c r="L3" s="51"/>
    </row>
    <row r="4" spans="1:28">
      <c r="B4" s="2"/>
      <c r="L4" s="51"/>
    </row>
    <row r="5" spans="1:28">
      <c r="B5" s="2"/>
      <c r="L5" s="51"/>
    </row>
    <row r="6" spans="1:28" hidden="1">
      <c r="B6" s="2"/>
      <c r="L6" s="51"/>
    </row>
    <row r="7" spans="1:28" ht="15.75" thickBot="1">
      <c r="B7" s="2"/>
      <c r="L7" s="51"/>
    </row>
    <row r="8" spans="1:28" ht="60" customHeight="1" thickBot="1">
      <c r="B8" s="2"/>
      <c r="C8" s="244" t="str">
        <f>'Page de garde'!C13&amp;" : Nombre d'Assurés par société"</f>
        <v>60000016 - 60000017 - 60000018 - 60000087 : Nombre d'Assurés par société</v>
      </c>
      <c r="D8" s="245"/>
      <c r="E8" s="245"/>
      <c r="F8" s="245"/>
      <c r="G8" s="245"/>
      <c r="H8" s="245"/>
      <c r="I8" s="245"/>
      <c r="J8" s="245"/>
      <c r="K8" s="246"/>
      <c r="L8" s="51"/>
    </row>
    <row r="9" spans="1:28" hidden="1">
      <c r="B9" s="2"/>
      <c r="L9" s="51"/>
    </row>
    <row r="10" spans="1:28">
      <c r="B10" s="2"/>
      <c r="L10" s="51"/>
    </row>
    <row r="11" spans="1:28" ht="18.75" customHeight="1">
      <c r="B11" s="2"/>
      <c r="C11" s="154" t="s">
        <v>27</v>
      </c>
      <c r="L11" s="51"/>
    </row>
    <row r="12" spans="1:28" ht="22.5" customHeight="1" thickBot="1">
      <c r="B12" s="2"/>
      <c r="L12" s="51"/>
    </row>
    <row r="13" spans="1:28" s="179" customFormat="1" ht="22.5" customHeight="1">
      <c r="A13" s="177"/>
      <c r="B13" s="178"/>
      <c r="D13" s="236" t="s">
        <v>28</v>
      </c>
      <c r="E13" s="150" t="s">
        <v>29</v>
      </c>
      <c r="F13" s="180"/>
      <c r="G13" s="180"/>
      <c r="H13" s="180"/>
      <c r="I13" s="180"/>
      <c r="J13"/>
      <c r="L13" s="51"/>
      <c r="Y13" s="187"/>
      <c r="Z13" s="188"/>
      <c r="AA13" s="188"/>
      <c r="AB13" s="233"/>
    </row>
    <row r="14" spans="1:28" s="185" customFormat="1" ht="14.25" customHeight="1" thickBot="1">
      <c r="A14" s="181"/>
      <c r="B14" s="182"/>
      <c r="C14" s="183"/>
      <c r="D14" s="184" t="s">
        <v>383</v>
      </c>
      <c r="E14" s="184" t="s">
        <v>30</v>
      </c>
      <c r="F14" s="180"/>
      <c r="G14" s="180"/>
      <c r="H14" s="180"/>
      <c r="I14" s="180"/>
      <c r="J14"/>
      <c r="L14" s="51"/>
      <c r="P14" s="186"/>
      <c r="X14" s="187"/>
      <c r="Y14" s="187"/>
      <c r="Z14" s="187"/>
      <c r="AA14" s="187">
        <v>60000016</v>
      </c>
      <c r="AB14" s="234">
        <v>58</v>
      </c>
    </row>
    <row r="15" spans="1:28" s="185" customFormat="1" ht="14.25" customHeight="1">
      <c r="A15" s="181"/>
      <c r="B15" s="182"/>
      <c r="C15" s="189">
        <v>60000016</v>
      </c>
      <c r="D15" s="190">
        <v>58</v>
      </c>
      <c r="E15" s="191">
        <v>0.79452054794520544</v>
      </c>
      <c r="F15" s="180"/>
      <c r="G15" s="180"/>
      <c r="H15" s="180"/>
      <c r="I15" s="180"/>
      <c r="J15"/>
      <c r="L15" s="51"/>
      <c r="X15" s="187"/>
      <c r="Y15" s="187"/>
      <c r="Z15" s="187"/>
      <c r="AA15" s="187"/>
      <c r="AB15" s="234"/>
    </row>
    <row r="16" spans="1:28" s="185" customFormat="1" ht="14.25" customHeight="1">
      <c r="A16" s="181"/>
      <c r="B16" s="182"/>
      <c r="C16" s="192" t="s">
        <v>31</v>
      </c>
      <c r="D16" s="193">
        <v>24</v>
      </c>
      <c r="E16" s="194">
        <v>0.32876712328767121</v>
      </c>
      <c r="F16" s="180"/>
      <c r="G16" s="180"/>
      <c r="H16" s="180"/>
      <c r="I16" s="180"/>
      <c r="J16"/>
      <c r="L16" s="51"/>
      <c r="X16" s="187"/>
      <c r="Y16" s="187"/>
      <c r="Z16" s="187"/>
      <c r="AA16" s="187"/>
      <c r="AB16" s="234"/>
    </row>
    <row r="17" spans="1:28" s="185" customFormat="1" ht="14.25" customHeight="1">
      <c r="A17" s="181"/>
      <c r="B17" s="182"/>
      <c r="C17" s="192" t="s">
        <v>32</v>
      </c>
      <c r="D17" s="193">
        <v>10</v>
      </c>
      <c r="E17" s="194">
        <v>0.13698630136986301</v>
      </c>
      <c r="F17" s="180"/>
      <c r="G17" s="180"/>
      <c r="H17" s="180"/>
      <c r="I17" s="180"/>
      <c r="J17"/>
      <c r="L17" s="51"/>
      <c r="X17" s="187"/>
      <c r="Y17" s="187"/>
      <c r="Z17" s="187"/>
      <c r="AA17" s="187"/>
      <c r="AB17" s="234"/>
    </row>
    <row r="18" spans="1:28" s="185" customFormat="1" ht="14.25" customHeight="1" thickBot="1">
      <c r="A18" s="181"/>
      <c r="B18" s="182"/>
      <c r="C18" s="192" t="s">
        <v>33</v>
      </c>
      <c r="D18" s="193">
        <v>24</v>
      </c>
      <c r="E18" s="194">
        <v>0.32876712328767121</v>
      </c>
      <c r="F18" s="180"/>
      <c r="G18" s="180"/>
      <c r="H18" s="180"/>
      <c r="I18" s="180"/>
      <c r="J18"/>
      <c r="L18" s="51"/>
      <c r="X18" s="187"/>
      <c r="Y18" s="187"/>
      <c r="Z18" s="187"/>
      <c r="AA18" s="187"/>
      <c r="AB18" s="234"/>
    </row>
    <row r="19" spans="1:28" s="185" customFormat="1" ht="14.25" customHeight="1">
      <c r="A19" s="181"/>
      <c r="B19" s="182"/>
      <c r="C19" s="189">
        <v>60000017</v>
      </c>
      <c r="D19" s="190">
        <v>4</v>
      </c>
      <c r="E19" s="191">
        <v>5.4794520547945202E-2</v>
      </c>
      <c r="F19" s="180"/>
      <c r="G19" s="180"/>
      <c r="H19" s="180"/>
      <c r="I19" s="180"/>
      <c r="J19"/>
      <c r="L19" s="51"/>
      <c r="X19" s="187"/>
      <c r="Y19" s="187"/>
      <c r="Z19" s="187"/>
      <c r="AA19" s="187"/>
      <c r="AB19" s="234"/>
    </row>
    <row r="20" spans="1:28" s="185" customFormat="1" ht="14.25" customHeight="1">
      <c r="A20" s="181"/>
      <c r="B20" s="182"/>
      <c r="C20" s="192" t="s">
        <v>31</v>
      </c>
      <c r="D20" s="193">
        <v>2</v>
      </c>
      <c r="E20" s="194">
        <v>2.7397260273972601E-2</v>
      </c>
      <c r="F20" s="180"/>
      <c r="G20" s="180"/>
      <c r="H20" s="180"/>
      <c r="I20" s="180"/>
      <c r="J20"/>
      <c r="L20" s="51"/>
      <c r="X20" s="187"/>
      <c r="Y20" s="187"/>
      <c r="Z20" s="187"/>
      <c r="AA20" s="187"/>
      <c r="AB20" s="234"/>
    </row>
    <row r="21" spans="1:28" s="185" customFormat="1" ht="14.25" customHeight="1">
      <c r="A21" s="181"/>
      <c r="B21" s="182"/>
      <c r="C21" s="192" t="s">
        <v>32</v>
      </c>
      <c r="D21" s="193">
        <v>0</v>
      </c>
      <c r="E21" s="194">
        <v>0</v>
      </c>
      <c r="F21" s="180"/>
      <c r="G21" s="180"/>
      <c r="H21" s="180"/>
      <c r="I21" s="180"/>
      <c r="J21"/>
      <c r="L21" s="51"/>
      <c r="X21" s="187"/>
      <c r="Y21" s="187"/>
      <c r="Z21" s="187"/>
      <c r="AA21" s="187"/>
      <c r="AB21" s="234"/>
    </row>
    <row r="22" spans="1:28" s="185" customFormat="1" ht="14.25" customHeight="1" thickBot="1">
      <c r="A22" s="181"/>
      <c r="B22" s="182"/>
      <c r="C22" s="192" t="s">
        <v>33</v>
      </c>
      <c r="D22" s="193">
        <v>2</v>
      </c>
      <c r="E22" s="194">
        <v>2.7397260273972601E-2</v>
      </c>
      <c r="F22" s="180"/>
      <c r="G22" s="180"/>
      <c r="H22" s="180"/>
      <c r="I22" s="180"/>
      <c r="J22"/>
      <c r="L22" s="51"/>
      <c r="X22" s="187"/>
      <c r="Y22" s="187"/>
      <c r="Z22" s="187"/>
      <c r="AA22" s="187"/>
      <c r="AB22" s="234"/>
    </row>
    <row r="23" spans="1:28" s="185" customFormat="1" ht="14.25" customHeight="1">
      <c r="A23" s="181"/>
      <c r="B23" s="182"/>
      <c r="C23" s="189">
        <v>60000018</v>
      </c>
      <c r="D23" s="190">
        <v>8</v>
      </c>
      <c r="E23" s="191">
        <v>0.1095890410958904</v>
      </c>
      <c r="F23" s="180"/>
      <c r="G23" s="180"/>
      <c r="H23" s="180"/>
      <c r="I23" s="180"/>
      <c r="J23"/>
      <c r="L23" s="51"/>
      <c r="X23" s="187"/>
      <c r="Y23" s="187"/>
      <c r="Z23" s="187"/>
      <c r="AA23" s="187"/>
      <c r="AB23" s="234"/>
    </row>
    <row r="24" spans="1:28" s="185" customFormat="1" ht="14.25" customHeight="1">
      <c r="A24" s="181"/>
      <c r="B24" s="182"/>
      <c r="C24" s="192" t="s">
        <v>31</v>
      </c>
      <c r="D24" s="193">
        <v>6</v>
      </c>
      <c r="E24" s="194">
        <v>8.2191780821917804E-2</v>
      </c>
      <c r="F24" s="180"/>
      <c r="G24" s="180"/>
      <c r="H24" s="180"/>
      <c r="I24" s="180"/>
      <c r="J24"/>
      <c r="L24" s="51"/>
      <c r="X24" s="187"/>
      <c r="Y24" s="187"/>
      <c r="Z24" s="187"/>
      <c r="AA24" s="187"/>
      <c r="AB24" s="234"/>
    </row>
    <row r="25" spans="1:28" s="185" customFormat="1" ht="14.25" customHeight="1">
      <c r="A25" s="181"/>
      <c r="B25" s="182"/>
      <c r="C25" s="192" t="s">
        <v>32</v>
      </c>
      <c r="D25" s="193">
        <v>0</v>
      </c>
      <c r="E25" s="194">
        <v>0</v>
      </c>
      <c r="F25" s="180"/>
      <c r="G25" s="180"/>
      <c r="H25" s="180"/>
      <c r="I25" s="180"/>
      <c r="J25"/>
      <c r="L25" s="51"/>
      <c r="X25" s="187"/>
      <c r="Y25" s="187"/>
      <c r="Z25" s="187"/>
      <c r="AA25" s="187"/>
      <c r="AB25" s="234"/>
    </row>
    <row r="26" spans="1:28" s="185" customFormat="1" ht="14.25" customHeight="1" thickBot="1">
      <c r="A26" s="181"/>
      <c r="B26" s="182"/>
      <c r="C26" s="192" t="s">
        <v>33</v>
      </c>
      <c r="D26" s="193">
        <v>2</v>
      </c>
      <c r="E26" s="194">
        <v>2.7397260273972601E-2</v>
      </c>
      <c r="F26" s="180"/>
      <c r="G26" s="180"/>
      <c r="H26" s="180"/>
      <c r="I26" s="180"/>
      <c r="J26"/>
      <c r="L26" s="51"/>
      <c r="X26" s="187"/>
      <c r="Y26" s="187"/>
      <c r="Z26" s="187"/>
      <c r="AA26" s="187"/>
      <c r="AB26" s="234"/>
    </row>
    <row r="27" spans="1:28" s="185" customFormat="1" ht="14.25" customHeight="1">
      <c r="A27" s="181"/>
      <c r="B27" s="182"/>
      <c r="C27" s="189">
        <v>60000087</v>
      </c>
      <c r="D27" s="190">
        <v>3</v>
      </c>
      <c r="E27" s="191">
        <v>4.1095890410958902E-2</v>
      </c>
      <c r="F27" s="180"/>
      <c r="G27" s="180"/>
      <c r="H27" s="180"/>
      <c r="I27" s="180"/>
      <c r="J27"/>
      <c r="L27" s="51"/>
      <c r="X27" s="187"/>
      <c r="Y27" s="187"/>
      <c r="Z27" s="187"/>
      <c r="AA27" s="187"/>
      <c r="AB27" s="234"/>
    </row>
    <row r="28" spans="1:28" s="185" customFormat="1" ht="14.25" customHeight="1">
      <c r="A28" s="181"/>
      <c r="B28" s="182"/>
      <c r="C28" s="192" t="s">
        <v>31</v>
      </c>
      <c r="D28" s="193">
        <v>1</v>
      </c>
      <c r="E28" s="194">
        <v>1.3698630136986301E-2</v>
      </c>
      <c r="F28" s="180"/>
      <c r="G28" s="180"/>
      <c r="H28" s="180"/>
      <c r="I28" s="180"/>
      <c r="J28"/>
      <c r="L28" s="51"/>
      <c r="X28" s="187"/>
      <c r="Y28" s="187"/>
      <c r="Z28" s="187"/>
      <c r="AA28" s="187"/>
      <c r="AB28" s="234"/>
    </row>
    <row r="29" spans="1:28" s="185" customFormat="1" ht="14.25" customHeight="1">
      <c r="A29" s="181"/>
      <c r="B29" s="182"/>
      <c r="C29" s="192" t="s">
        <v>32</v>
      </c>
      <c r="D29" s="193">
        <v>0</v>
      </c>
      <c r="E29" s="194">
        <v>0</v>
      </c>
      <c r="F29" s="180"/>
      <c r="G29" s="180"/>
      <c r="H29" s="180"/>
      <c r="I29" s="180"/>
      <c r="J29"/>
      <c r="L29" s="51"/>
      <c r="X29" s="187"/>
      <c r="Y29" s="187"/>
      <c r="Z29" s="187"/>
      <c r="AA29" s="187"/>
      <c r="AB29" s="234"/>
    </row>
    <row r="30" spans="1:28" s="185" customFormat="1" ht="14.25" customHeight="1" thickBot="1">
      <c r="A30" s="181"/>
      <c r="B30" s="182"/>
      <c r="C30" s="192" t="s">
        <v>33</v>
      </c>
      <c r="D30" s="193">
        <v>2</v>
      </c>
      <c r="E30" s="194">
        <v>2.7397260273972601E-2</v>
      </c>
      <c r="F30" s="180"/>
      <c r="G30" s="180"/>
      <c r="H30" s="180"/>
      <c r="I30" s="180"/>
      <c r="J30"/>
      <c r="L30" s="51"/>
      <c r="X30" s="187"/>
      <c r="Y30" s="187"/>
      <c r="Z30" s="187"/>
      <c r="AA30" s="187"/>
      <c r="AB30" s="234"/>
    </row>
    <row r="31" spans="1:28" s="185" customFormat="1" ht="14.25" customHeight="1" thickBot="1">
      <c r="A31" s="181"/>
      <c r="B31" s="182"/>
      <c r="C31" s="195" t="s">
        <v>34</v>
      </c>
      <c r="D31" s="146">
        <v>73</v>
      </c>
      <c r="E31" s="147">
        <v>1</v>
      </c>
      <c r="F31" s="180"/>
      <c r="G31" s="180"/>
      <c r="H31" s="180"/>
      <c r="I31" s="180"/>
      <c r="J31"/>
      <c r="L31" s="51"/>
      <c r="AB31" s="235"/>
    </row>
    <row r="32" spans="1:28" ht="14.25" customHeight="1">
      <c r="B32" s="2"/>
      <c r="L32" s="51"/>
    </row>
    <row r="33" spans="2:12" ht="14.25" customHeight="1">
      <c r="B33" s="2"/>
      <c r="L33" s="51"/>
    </row>
    <row r="34" spans="2:12" ht="14.25" customHeight="1">
      <c r="B34" s="2"/>
      <c r="L34" s="51"/>
    </row>
    <row r="35" spans="2:12" ht="14.25" customHeight="1">
      <c r="B35" s="2"/>
      <c r="L35" s="51"/>
    </row>
    <row r="36" spans="2:12" ht="14.25" customHeight="1">
      <c r="B36" s="2"/>
      <c r="L36" s="51"/>
    </row>
    <row r="37" spans="2:12" ht="14.25" customHeight="1">
      <c r="B37" s="2"/>
      <c r="L37" s="51"/>
    </row>
    <row r="38" spans="2:12" ht="14.25" customHeight="1">
      <c r="B38" s="2"/>
      <c r="L38" s="51"/>
    </row>
    <row r="39" spans="2:12" ht="14.25" customHeight="1">
      <c r="B39" s="2"/>
      <c r="L39" s="51"/>
    </row>
    <row r="40" spans="2:12" ht="14.25" customHeight="1">
      <c r="B40" s="2"/>
      <c r="L40" s="51"/>
    </row>
    <row r="41" spans="2:12" ht="14.25" customHeight="1">
      <c r="B41" s="2"/>
      <c r="L41" s="51"/>
    </row>
    <row r="42" spans="2:12" ht="14.25" customHeight="1">
      <c r="B42" s="2"/>
      <c r="L42" s="51"/>
    </row>
    <row r="43" spans="2:12" ht="14.25" customHeight="1">
      <c r="B43" s="2"/>
      <c r="L43" s="51"/>
    </row>
    <row r="44" spans="2:12" ht="14.25" customHeight="1">
      <c r="B44" s="2"/>
      <c r="L44" s="51"/>
    </row>
    <row r="45" spans="2:12" ht="7.5" customHeight="1">
      <c r="B45" s="3"/>
      <c r="C45" s="4"/>
      <c r="D45" s="4"/>
      <c r="E45" s="4"/>
      <c r="F45" s="4"/>
      <c r="G45" s="4"/>
      <c r="H45" s="4"/>
      <c r="I45" s="4"/>
      <c r="J45" s="4"/>
      <c r="K45" s="4"/>
      <c r="L45" s="52"/>
    </row>
  </sheetData>
  <mergeCells count="1">
    <mergeCell ref="C8:K8"/>
  </mergeCells>
  <pageMargins left="0.70866141732283472" right="0.70866141732283472" top="0.74803149606299213" bottom="0.74803149606299213" header="0.31496062992125984" footer="0.31496062992125984"/>
  <pageSetup paperSize="9" scale="39" orientation="portrait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16">
    <tabColor theme="4" tint="0.79998168889431442"/>
    <pageSetUpPr fitToPage="1"/>
  </sheetPr>
  <dimension ref="A1:U48"/>
  <sheetViews>
    <sheetView showGridLines="0" zoomScale="85" zoomScaleNormal="85" workbookViewId="0">
      <selection activeCell="C4" sqref="C4"/>
    </sheetView>
  </sheetViews>
  <sheetFormatPr baseColWidth="10" defaultColWidth="11.42578125" defaultRowHeight="15"/>
  <cols>
    <col min="1" max="1" width="2.85546875" style="5" customWidth="1"/>
    <col min="2" max="2" width="4.28515625" customWidth="1"/>
    <col min="3" max="3" width="20" customWidth="1"/>
    <col min="4" max="4" width="11.42578125" customWidth="1"/>
    <col min="5" max="5" width="12.5703125" customWidth="1"/>
    <col min="6" max="6" width="11.42578125" customWidth="1"/>
    <col min="7" max="7" width="13.42578125" customWidth="1"/>
    <col min="8" max="9" width="11.42578125" customWidth="1"/>
    <col min="10" max="10" width="18.42578125" customWidth="1"/>
    <col min="11" max="11" width="34.28515625" customWidth="1"/>
    <col min="12" max="12" width="11.42578125" customWidth="1"/>
    <col min="13" max="13" width="17.140625" customWidth="1"/>
    <col min="14" max="16" width="11.42578125" customWidth="1"/>
    <col min="17" max="17" width="4.140625" customWidth="1"/>
    <col min="18" max="18" width="2.85546875" customWidth="1"/>
    <col min="19" max="20" width="11.42578125" customWidth="1"/>
    <col min="21" max="21" width="19.7109375" bestFit="1" customWidth="1"/>
    <col min="22" max="28" width="11.42578125" customWidth="1"/>
  </cols>
  <sheetData>
    <row r="1" spans="2:21" ht="15" customHeight="1"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</row>
    <row r="2" spans="2:21" ht="15" customHeight="1">
      <c r="B2" s="48"/>
      <c r="C2" s="49"/>
      <c r="D2" s="49"/>
      <c r="E2" s="49"/>
      <c r="F2" s="49"/>
      <c r="G2" s="49"/>
      <c r="H2" s="49"/>
      <c r="I2" s="49"/>
      <c r="J2" s="49"/>
      <c r="K2" s="49"/>
      <c r="L2" s="49"/>
      <c r="M2" s="49"/>
      <c r="N2" s="49"/>
      <c r="O2" s="49"/>
      <c r="P2" s="49"/>
      <c r="Q2" s="50"/>
      <c r="U2" s="35"/>
    </row>
    <row r="3" spans="2:21" ht="15" customHeight="1">
      <c r="B3" s="2"/>
      <c r="Q3" s="51"/>
    </row>
    <row r="4" spans="2:21" ht="15" customHeight="1">
      <c r="B4" s="2"/>
      <c r="Q4" s="51"/>
    </row>
    <row r="5" spans="2:21" ht="15" customHeight="1">
      <c r="B5" s="2"/>
      <c r="Q5" s="51"/>
    </row>
    <row r="6" spans="2:21" ht="15" customHeight="1" thickBot="1">
      <c r="B6" s="2"/>
      <c r="Q6" s="51"/>
    </row>
    <row r="7" spans="2:21" ht="15" hidden="1" customHeight="1">
      <c r="B7" s="2"/>
      <c r="Q7" s="51"/>
    </row>
    <row r="8" spans="2:21" ht="60" customHeight="1" thickBot="1">
      <c r="B8" s="2"/>
      <c r="C8" s="244" t="e">
        <f>'Page de garde'!C13&amp;" : Démographie des Assurés vue au "&amp;#REF!</f>
        <v>#REF!</v>
      </c>
      <c r="D8" s="245"/>
      <c r="E8" s="245"/>
      <c r="F8" s="245"/>
      <c r="G8" s="245"/>
      <c r="H8" s="245"/>
      <c r="I8" s="245"/>
      <c r="J8" s="245"/>
      <c r="K8" s="245"/>
      <c r="L8" s="245"/>
      <c r="M8" s="245"/>
      <c r="N8" s="245"/>
      <c r="O8" s="245"/>
      <c r="P8" s="246"/>
      <c r="Q8" s="51"/>
    </row>
    <row r="9" spans="2:21" ht="15" customHeight="1">
      <c r="B9" s="2"/>
      <c r="Q9" s="51"/>
    </row>
    <row r="10" spans="2:21" ht="15" customHeight="1">
      <c r="B10" s="2"/>
      <c r="Q10" s="51"/>
    </row>
    <row r="11" spans="2:21" ht="15" customHeight="1">
      <c r="B11" s="2"/>
      <c r="C11" s="111" t="s">
        <v>35</v>
      </c>
      <c r="K11" s="112" t="s">
        <v>36</v>
      </c>
      <c r="Q11" s="51"/>
    </row>
    <row r="12" spans="2:21" ht="30" customHeight="1" thickBot="1">
      <c r="B12" s="2"/>
      <c r="Q12" s="51"/>
    </row>
    <row r="13" spans="2:21" ht="45.75" thickBot="1">
      <c r="B13" s="2"/>
      <c r="C13" s="14"/>
      <c r="D13" s="224" t="s">
        <v>383</v>
      </c>
      <c r="E13" s="231" t="s">
        <v>51</v>
      </c>
      <c r="F13" s="225" t="s">
        <v>37</v>
      </c>
      <c r="K13" s="17" t="s">
        <v>38</v>
      </c>
      <c r="L13" s="17" t="s">
        <v>39</v>
      </c>
      <c r="M13" s="17" t="s">
        <v>40</v>
      </c>
      <c r="N13" s="31" t="s">
        <v>34</v>
      </c>
      <c r="Q13" s="51"/>
    </row>
    <row r="14" spans="2:21" ht="15" customHeight="1" thickBot="1">
      <c r="B14" s="2"/>
      <c r="C14" s="15" t="s">
        <v>39</v>
      </c>
      <c r="D14" s="228">
        <v>2</v>
      </c>
      <c r="E14" s="237">
        <v>54</v>
      </c>
      <c r="F14" s="226"/>
      <c r="K14" s="15" t="s">
        <v>41</v>
      </c>
      <c r="L14" s="18">
        <v>0</v>
      </c>
      <c r="M14" s="19">
        <v>1</v>
      </c>
      <c r="N14" s="29">
        <v>1</v>
      </c>
      <c r="Q14" s="51"/>
    </row>
    <row r="15" spans="2:21" ht="15" customHeight="1" thickBot="1">
      <c r="B15" s="2"/>
      <c r="C15" s="141" t="s">
        <v>40</v>
      </c>
      <c r="D15" s="229">
        <v>31</v>
      </c>
      <c r="E15" s="238">
        <v>45.774193548387096</v>
      </c>
      <c r="F15" s="226"/>
      <c r="K15" s="15" t="s">
        <v>42</v>
      </c>
      <c r="L15" s="18">
        <v>0</v>
      </c>
      <c r="M15" s="19">
        <v>4</v>
      </c>
      <c r="N15" s="29">
        <v>4</v>
      </c>
      <c r="Q15" s="51"/>
    </row>
    <row r="16" spans="2:21" ht="15" customHeight="1" thickBot="1">
      <c r="B16" s="2"/>
      <c r="C16" s="145" t="s">
        <v>34</v>
      </c>
      <c r="D16" s="230">
        <v>33</v>
      </c>
      <c r="E16" s="239">
        <v>46.272727272727273</v>
      </c>
      <c r="F16" s="227"/>
      <c r="K16" s="15" t="s">
        <v>43</v>
      </c>
      <c r="L16" s="18">
        <v>0</v>
      </c>
      <c r="M16" s="19">
        <v>0</v>
      </c>
      <c r="N16" s="29">
        <v>0</v>
      </c>
      <c r="Q16" s="51"/>
    </row>
    <row r="17" spans="2:17" ht="15" customHeight="1" thickBot="1">
      <c r="B17" s="2"/>
      <c r="K17" s="15" t="s">
        <v>44</v>
      </c>
      <c r="L17" s="18">
        <v>0</v>
      </c>
      <c r="M17" s="19">
        <v>3</v>
      </c>
      <c r="N17" s="29">
        <v>3</v>
      </c>
      <c r="Q17" s="51"/>
    </row>
    <row r="18" spans="2:17" ht="15" customHeight="1">
      <c r="B18" s="2"/>
      <c r="K18" s="15" t="s">
        <v>45</v>
      </c>
      <c r="L18" s="18">
        <v>0</v>
      </c>
      <c r="M18" s="19">
        <v>5</v>
      </c>
      <c r="N18" s="29">
        <v>5</v>
      </c>
      <c r="Q18" s="51"/>
    </row>
    <row r="19" spans="2:17" ht="15" customHeight="1">
      <c r="B19" s="2"/>
      <c r="K19" s="15" t="s">
        <v>46</v>
      </c>
      <c r="L19" s="18">
        <v>1</v>
      </c>
      <c r="M19" s="19">
        <v>4</v>
      </c>
      <c r="N19" s="29">
        <v>5</v>
      </c>
      <c r="Q19" s="51"/>
    </row>
    <row r="20" spans="2:17" ht="15" customHeight="1">
      <c r="B20" s="2"/>
      <c r="K20" s="15" t="s">
        <v>47</v>
      </c>
      <c r="L20" s="18">
        <v>0</v>
      </c>
      <c r="M20" s="19">
        <v>7</v>
      </c>
      <c r="N20" s="29">
        <v>7</v>
      </c>
      <c r="Q20" s="51"/>
    </row>
    <row r="21" spans="2:17" ht="15" customHeight="1">
      <c r="B21" s="2"/>
      <c r="K21" s="15" t="s">
        <v>48</v>
      </c>
      <c r="L21" s="18">
        <v>1</v>
      </c>
      <c r="M21" s="19">
        <v>4</v>
      </c>
      <c r="N21" s="29">
        <v>5</v>
      </c>
      <c r="Q21" s="51"/>
    </row>
    <row r="22" spans="2:17" ht="15" customHeight="1">
      <c r="B22" s="2"/>
      <c r="K22" s="15" t="s">
        <v>49</v>
      </c>
      <c r="L22" s="18">
        <v>0</v>
      </c>
      <c r="M22" s="19">
        <v>3</v>
      </c>
      <c r="N22" s="29">
        <v>3</v>
      </c>
      <c r="Q22" s="51"/>
    </row>
    <row r="23" spans="2:17" ht="15" customHeight="1">
      <c r="B23" s="2"/>
      <c r="K23" s="16" t="s">
        <v>34</v>
      </c>
      <c r="L23" s="20">
        <v>2</v>
      </c>
      <c r="M23" s="21">
        <v>31</v>
      </c>
      <c r="N23" s="30">
        <v>33</v>
      </c>
      <c r="Q23" s="51"/>
    </row>
    <row r="24" spans="2:17" ht="15" customHeight="1">
      <c r="B24" s="2"/>
      <c r="Q24" s="51"/>
    </row>
    <row r="25" spans="2:17" ht="15" customHeight="1">
      <c r="B25" s="2"/>
      <c r="Q25" s="51"/>
    </row>
    <row r="26" spans="2:17" ht="15" customHeight="1">
      <c r="B26" s="2"/>
      <c r="Q26" s="51"/>
    </row>
    <row r="27" spans="2:17" ht="15" customHeight="1">
      <c r="B27" s="2"/>
      <c r="Q27" s="51"/>
    </row>
    <row r="28" spans="2:17" ht="15" customHeight="1">
      <c r="B28" s="2"/>
      <c r="Q28" s="51"/>
    </row>
    <row r="29" spans="2:17" ht="15" customHeight="1">
      <c r="B29" s="2"/>
      <c r="Q29" s="51"/>
    </row>
    <row r="30" spans="2:17">
      <c r="B30" s="2"/>
      <c r="Q30" s="51"/>
    </row>
    <row r="31" spans="2:17" ht="12" customHeight="1">
      <c r="B31" s="2"/>
      <c r="Q31" s="51"/>
    </row>
    <row r="32" spans="2:17" ht="15" customHeight="1">
      <c r="B32" s="2"/>
      <c r="Q32" s="51"/>
    </row>
    <row r="33" spans="2:17" ht="15" customHeight="1">
      <c r="B33" s="2"/>
      <c r="Q33" s="51"/>
    </row>
    <row r="34" spans="2:17" ht="15" customHeight="1">
      <c r="B34" s="2"/>
      <c r="C34" s="112" t="s">
        <v>50</v>
      </c>
      <c r="K34" s="249"/>
      <c r="L34" s="249"/>
      <c r="M34" s="249"/>
      <c r="N34" s="249"/>
      <c r="O34" s="249"/>
      <c r="P34" s="249"/>
      <c r="Q34" s="51"/>
    </row>
    <row r="35" spans="2:17" ht="15" customHeight="1">
      <c r="B35" s="2"/>
      <c r="K35" s="249"/>
      <c r="L35" s="249"/>
      <c r="M35" s="249"/>
      <c r="N35" s="249"/>
      <c r="O35" s="249"/>
      <c r="P35" s="249"/>
      <c r="Q35" s="51"/>
    </row>
    <row r="36" spans="2:17" ht="30" customHeight="1">
      <c r="B36" s="2"/>
      <c r="C36" s="13"/>
      <c r="D36" s="224" t="s">
        <v>383</v>
      </c>
      <c r="E36" s="113" t="s">
        <v>51</v>
      </c>
      <c r="K36" s="249"/>
      <c r="L36" s="249"/>
      <c r="M36" s="249"/>
      <c r="N36" s="249"/>
      <c r="O36" s="249"/>
      <c r="P36" s="249"/>
      <c r="Q36" s="51"/>
    </row>
    <row r="37" spans="2:17" ht="15" customHeight="1">
      <c r="B37" s="2"/>
      <c r="C37" s="114" t="s">
        <v>52</v>
      </c>
      <c r="D37" s="22">
        <v>33</v>
      </c>
      <c r="E37" s="23">
        <v>46.272727272727273</v>
      </c>
      <c r="K37" s="249"/>
      <c r="L37" s="249"/>
      <c r="M37" s="249"/>
      <c r="N37" s="249"/>
      <c r="O37" s="249"/>
      <c r="P37" s="249"/>
      <c r="Q37" s="51"/>
    </row>
    <row r="38" spans="2:17" ht="15" customHeight="1">
      <c r="B38" s="2"/>
      <c r="C38" s="115" t="s">
        <v>53</v>
      </c>
      <c r="D38" s="24">
        <v>10</v>
      </c>
      <c r="E38" s="25">
        <v>50.5</v>
      </c>
      <c r="K38" s="249"/>
      <c r="L38" s="249"/>
      <c r="M38" s="249"/>
      <c r="N38" s="249"/>
      <c r="O38" s="249"/>
      <c r="P38" s="249"/>
      <c r="Q38" s="51"/>
    </row>
    <row r="39" spans="2:17" ht="15" customHeight="1">
      <c r="B39" s="2"/>
      <c r="C39" s="116" t="s">
        <v>54</v>
      </c>
      <c r="D39" s="24">
        <v>30</v>
      </c>
      <c r="E39" s="25">
        <v>15.3</v>
      </c>
      <c r="K39" s="249"/>
      <c r="L39" s="249"/>
      <c r="M39" s="249"/>
      <c r="N39" s="249"/>
      <c r="O39" s="249"/>
      <c r="P39" s="249"/>
      <c r="Q39" s="51"/>
    </row>
    <row r="40" spans="2:17" ht="15" customHeight="1">
      <c r="B40" s="2"/>
      <c r="C40" s="117" t="s">
        <v>34</v>
      </c>
      <c r="D40" s="26">
        <v>73</v>
      </c>
      <c r="E40" s="27"/>
      <c r="K40" s="249"/>
      <c r="L40" s="249"/>
      <c r="M40" s="249"/>
      <c r="N40" s="249"/>
      <c r="O40" s="249"/>
      <c r="P40" s="249"/>
      <c r="Q40" s="51"/>
    </row>
    <row r="41" spans="2:17" ht="15" customHeight="1">
      <c r="B41" s="2"/>
      <c r="C41" s="1"/>
      <c r="D41" s="1"/>
      <c r="E41" s="1"/>
      <c r="K41" s="249"/>
      <c r="L41" s="249"/>
      <c r="M41" s="249"/>
      <c r="N41" s="249"/>
      <c r="O41" s="249"/>
      <c r="P41" s="249"/>
      <c r="Q41" s="51"/>
    </row>
    <row r="42" spans="2:17" ht="15" customHeight="1">
      <c r="B42" s="2"/>
      <c r="C42" s="117" t="s">
        <v>55</v>
      </c>
      <c r="D42" s="28"/>
      <c r="E42" s="118">
        <f>D40/D16</f>
        <v>2.2121212121212119</v>
      </c>
      <c r="K42" s="249"/>
      <c r="L42" s="249"/>
      <c r="M42" s="249"/>
      <c r="N42" s="249"/>
      <c r="O42" s="249"/>
      <c r="P42" s="249"/>
      <c r="Q42" s="51"/>
    </row>
    <row r="43" spans="2:17" ht="15" customHeight="1">
      <c r="B43" s="2"/>
      <c r="Q43" s="51"/>
    </row>
    <row r="44" spans="2:17" ht="15" customHeight="1">
      <c r="B44" s="2"/>
      <c r="Q44" s="51"/>
    </row>
    <row r="45" spans="2:17" ht="15" customHeight="1">
      <c r="B45" s="2"/>
      <c r="Q45" s="51"/>
    </row>
    <row r="46" spans="2:17" s="71" customFormat="1" ht="15" customHeight="1">
      <c r="B46" s="75"/>
      <c r="Q46" s="76"/>
    </row>
    <row r="47" spans="2:17" ht="15" customHeight="1">
      <c r="B47" s="3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52"/>
    </row>
    <row r="48" spans="2:17" ht="15" customHeight="1"/>
  </sheetData>
  <mergeCells count="2">
    <mergeCell ref="K34:P42"/>
    <mergeCell ref="C8:P8"/>
  </mergeCells>
  <pageMargins left="0.70866141732283472" right="0.70866141732283472" top="0.74803149606299213" bottom="0.74803149606299213" header="0.31496062992125984" footer="0.31496062992125984"/>
  <pageSetup paperSize="9" scale="59"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18">
    <tabColor theme="4" tint="0.79998168889431442"/>
    <pageSetUpPr fitToPage="1"/>
  </sheetPr>
  <dimension ref="A1:V111"/>
  <sheetViews>
    <sheetView showGridLines="0" topLeftCell="A5" zoomScale="70" zoomScaleNormal="70" workbookViewId="0">
      <selection sqref="A1:XFD1048576"/>
    </sheetView>
  </sheetViews>
  <sheetFormatPr baseColWidth="10" defaultColWidth="11.42578125" defaultRowHeight="15"/>
  <cols>
    <col min="1" max="1" width="2.85546875" style="5" customWidth="1"/>
    <col min="2" max="2" width="4.28515625" customWidth="1"/>
    <col min="3" max="3" width="10" customWidth="1"/>
    <col min="4" max="4" width="50.7109375" customWidth="1"/>
    <col min="5" max="5" width="12" bestFit="1" customWidth="1"/>
    <col min="6" max="11" width="14.28515625" customWidth="1"/>
    <col min="12" max="12" width="15.7109375" customWidth="1"/>
    <col min="13" max="13" width="10.7109375" customWidth="1"/>
    <col min="14" max="14" width="1.42578125" customWidth="1"/>
    <col min="15" max="15" width="14.28515625" customWidth="1"/>
    <col min="16" max="16" width="15.7109375" customWidth="1"/>
    <col min="17" max="17" width="10.7109375" customWidth="1"/>
    <col min="18" max="18" width="4.28515625" customWidth="1"/>
    <col min="19" max="19" width="2.85546875" customWidth="1"/>
    <col min="20" max="21" width="11.42578125" customWidth="1"/>
    <col min="22" max="22" width="16.7109375" bestFit="1" customWidth="1"/>
    <col min="23" max="29" width="11.42578125" customWidth="1"/>
  </cols>
  <sheetData>
    <row r="1" spans="1:22">
      <c r="A1" s="5">
        <v>0</v>
      </c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</row>
    <row r="2" spans="1:22" ht="15" customHeight="1">
      <c r="B2" s="48"/>
      <c r="C2" s="49"/>
      <c r="D2" s="49"/>
      <c r="E2" s="49"/>
      <c r="F2" s="49"/>
      <c r="G2" s="49"/>
      <c r="H2" s="49"/>
      <c r="I2" s="49"/>
      <c r="J2" s="49"/>
      <c r="K2" s="49"/>
      <c r="L2" s="49"/>
      <c r="M2" s="49"/>
      <c r="N2" s="49"/>
      <c r="O2" s="49"/>
      <c r="P2" s="49"/>
      <c r="Q2" s="49"/>
      <c r="R2" s="50"/>
      <c r="V2" s="35"/>
    </row>
    <row r="3" spans="1:22" ht="15" customHeight="1">
      <c r="B3" s="2"/>
      <c r="R3" s="51"/>
    </row>
    <row r="4" spans="1:22" ht="15" customHeight="1">
      <c r="B4" s="2"/>
      <c r="R4" s="51"/>
    </row>
    <row r="5" spans="1:22" ht="15" customHeight="1">
      <c r="B5" s="2"/>
      <c r="R5" s="51"/>
    </row>
    <row r="6" spans="1:22" ht="15" customHeight="1" thickBot="1">
      <c r="B6" s="2"/>
      <c r="R6" s="51"/>
    </row>
    <row r="7" spans="1:22" ht="15" hidden="1" customHeight="1">
      <c r="B7" s="2"/>
      <c r="R7" s="51"/>
    </row>
    <row r="8" spans="1:22" ht="60" customHeight="1" thickBot="1">
      <c r="B8" s="2"/>
      <c r="C8" s="244" t="str">
        <f>'Page de garde'!C13&amp;" : Détail des Prestations Réglées - Synthèse par famille d'actes"</f>
        <v>60000016 - 60000017 - 60000018 - 60000087 : Détail des Prestations Réglées - Synthèse par famille d'actes</v>
      </c>
      <c r="D8" s="245"/>
      <c r="E8" s="245"/>
      <c r="F8" s="245"/>
      <c r="G8" s="245"/>
      <c r="H8" s="245"/>
      <c r="I8" s="245"/>
      <c r="J8" s="245"/>
      <c r="K8" s="245"/>
      <c r="L8" s="245"/>
      <c r="M8" s="245"/>
      <c r="N8" s="245"/>
      <c r="O8" s="245"/>
      <c r="P8" s="245"/>
      <c r="Q8" s="246"/>
      <c r="R8" s="51"/>
    </row>
    <row r="9" spans="1:22">
      <c r="B9" s="2"/>
      <c r="R9" s="51"/>
    </row>
    <row r="10" spans="1:22">
      <c r="B10" s="2"/>
      <c r="R10" s="51"/>
    </row>
    <row r="11" spans="1:22">
      <c r="B11" s="2"/>
      <c r="R11" s="51"/>
    </row>
    <row r="12" spans="1:22">
      <c r="B12" s="2"/>
      <c r="C12" s="34"/>
      <c r="D12" s="34"/>
      <c r="E12" s="250" t="s">
        <v>56</v>
      </c>
      <c r="F12" s="251"/>
      <c r="G12" s="251"/>
      <c r="H12" s="251"/>
      <c r="I12" s="251"/>
      <c r="J12" s="251"/>
      <c r="K12" s="251"/>
      <c r="L12" s="251"/>
      <c r="M12" s="252"/>
      <c r="N12" s="32"/>
      <c r="O12" s="250" t="s">
        <v>342</v>
      </c>
      <c r="P12" s="251"/>
      <c r="Q12" s="252"/>
      <c r="R12" s="51"/>
    </row>
    <row r="13" spans="1:22" ht="15.75" thickBot="1">
      <c r="B13" s="2"/>
      <c r="C13" s="34"/>
      <c r="D13" s="34"/>
      <c r="E13" s="34"/>
      <c r="F13" s="34"/>
      <c r="G13" s="34"/>
      <c r="H13" s="34"/>
      <c r="I13" s="34"/>
      <c r="J13" s="34"/>
      <c r="K13" s="34"/>
      <c r="L13" s="34"/>
      <c r="M13" s="34"/>
      <c r="N13" s="32"/>
      <c r="O13" s="34"/>
      <c r="P13" s="34"/>
      <c r="Q13" s="34"/>
      <c r="R13" s="51"/>
    </row>
    <row r="14" spans="1:22" ht="45" customHeight="1" thickBot="1">
      <c r="B14" s="2"/>
      <c r="C14" s="34"/>
      <c r="D14" s="34"/>
      <c r="E14" s="119" t="s">
        <v>57</v>
      </c>
      <c r="F14" s="119" t="s">
        <v>58</v>
      </c>
      <c r="G14" s="120" t="s">
        <v>59</v>
      </c>
      <c r="H14" s="119" t="s">
        <v>60</v>
      </c>
      <c r="I14" s="119" t="s">
        <v>61</v>
      </c>
      <c r="J14" s="119" t="s">
        <v>62</v>
      </c>
      <c r="K14" s="121" t="s">
        <v>63</v>
      </c>
      <c r="L14" s="121" t="s">
        <v>64</v>
      </c>
      <c r="M14" s="121" t="s">
        <v>65</v>
      </c>
      <c r="N14" s="32"/>
      <c r="O14" s="140" t="s">
        <v>63</v>
      </c>
      <c r="P14" s="140" t="s">
        <v>64</v>
      </c>
      <c r="Q14" s="121" t="s">
        <v>65</v>
      </c>
      <c r="R14" s="51"/>
    </row>
    <row r="15" spans="1:22" ht="15" customHeight="1" thickBot="1">
      <c r="B15" s="2"/>
      <c r="C15" s="130" t="s">
        <v>66</v>
      </c>
      <c r="D15" s="131"/>
      <c r="E15" s="55">
        <v>0</v>
      </c>
      <c r="F15" s="66">
        <v>0</v>
      </c>
      <c r="G15" s="56">
        <v>0</v>
      </c>
      <c r="H15" s="56">
        <v>0</v>
      </c>
      <c r="I15" s="56">
        <v>0</v>
      </c>
      <c r="J15" s="56">
        <v>0</v>
      </c>
      <c r="K15" s="56"/>
      <c r="L15" s="57">
        <v>0</v>
      </c>
      <c r="M15" s="57">
        <v>0</v>
      </c>
      <c r="N15" s="132"/>
      <c r="O15" s="56">
        <v>65.2403646308113</v>
      </c>
      <c r="P15" s="57">
        <v>1.7036384046037075E-2</v>
      </c>
      <c r="Q15" s="57">
        <v>0.76667046357425872</v>
      </c>
      <c r="R15" s="51"/>
    </row>
    <row r="16" spans="1:22" ht="15" customHeight="1" thickBot="1">
      <c r="B16" s="2"/>
      <c r="C16" s="170"/>
      <c r="D16" s="171" t="s">
        <v>67</v>
      </c>
      <c r="E16" s="172">
        <v>0</v>
      </c>
      <c r="F16" s="173">
        <v>0</v>
      </c>
      <c r="G16" s="174">
        <v>0</v>
      </c>
      <c r="H16" s="174">
        <v>0</v>
      </c>
      <c r="I16" s="174">
        <v>0</v>
      </c>
      <c r="J16" s="174">
        <v>0</v>
      </c>
      <c r="K16" s="174"/>
      <c r="L16" s="175">
        <v>0</v>
      </c>
      <c r="M16" s="175">
        <v>0</v>
      </c>
      <c r="N16" s="176"/>
      <c r="O16" s="174">
        <v>13.346117404737377</v>
      </c>
      <c r="P16" s="175">
        <v>3.0848111738726778E-3</v>
      </c>
      <c r="Q16" s="175">
        <v>0.85126539150370606</v>
      </c>
      <c r="R16" s="51"/>
    </row>
    <row r="17" spans="2:18" ht="15" customHeight="1" thickBot="1">
      <c r="B17" s="2"/>
      <c r="C17" s="170"/>
      <c r="D17" s="171" t="s">
        <v>68</v>
      </c>
      <c r="E17" s="172">
        <v>0</v>
      </c>
      <c r="F17" s="173">
        <v>0</v>
      </c>
      <c r="G17" s="174">
        <v>0</v>
      </c>
      <c r="H17" s="174">
        <v>0</v>
      </c>
      <c r="I17" s="174">
        <v>0</v>
      </c>
      <c r="J17" s="174">
        <v>0</v>
      </c>
      <c r="K17" s="174"/>
      <c r="L17" s="175">
        <v>0</v>
      </c>
      <c r="M17" s="175">
        <v>0</v>
      </c>
      <c r="N17" s="176"/>
      <c r="O17" s="174">
        <v>0.73846153846153828</v>
      </c>
      <c r="P17" s="175">
        <v>2.285207535502344E-6</v>
      </c>
      <c r="Q17" s="175">
        <v>0.12121212121212122</v>
      </c>
      <c r="R17" s="51"/>
    </row>
    <row r="18" spans="2:18" ht="15" customHeight="1" thickBot="1">
      <c r="B18" s="2"/>
      <c r="C18" s="170"/>
      <c r="D18" s="171" t="s">
        <v>69</v>
      </c>
      <c r="E18" s="172">
        <v>0</v>
      </c>
      <c r="F18" s="173">
        <v>0</v>
      </c>
      <c r="G18" s="174">
        <v>0</v>
      </c>
      <c r="H18" s="174">
        <v>0</v>
      </c>
      <c r="I18" s="174">
        <v>0</v>
      </c>
      <c r="J18" s="174">
        <v>0</v>
      </c>
      <c r="K18" s="174"/>
      <c r="L18" s="175">
        <v>0</v>
      </c>
      <c r="M18" s="175">
        <v>0</v>
      </c>
      <c r="N18" s="176"/>
      <c r="O18" s="174">
        <v>630</v>
      </c>
      <c r="P18" s="175">
        <v>2.9993348903468271E-4</v>
      </c>
      <c r="Q18" s="175">
        <v>1</v>
      </c>
      <c r="R18" s="51"/>
    </row>
    <row r="19" spans="2:18" ht="15" customHeight="1" thickBot="1">
      <c r="B19" s="2"/>
      <c r="C19" s="170"/>
      <c r="D19" s="171" t="s">
        <v>70</v>
      </c>
      <c r="E19" s="172">
        <v>0</v>
      </c>
      <c r="F19" s="173">
        <v>0</v>
      </c>
      <c r="G19" s="174">
        <v>0</v>
      </c>
      <c r="H19" s="174">
        <v>0</v>
      </c>
      <c r="I19" s="174">
        <v>0</v>
      </c>
      <c r="J19" s="174">
        <v>0</v>
      </c>
      <c r="K19" s="174"/>
      <c r="L19" s="175">
        <v>0</v>
      </c>
      <c r="M19" s="175">
        <v>0</v>
      </c>
      <c r="N19" s="176"/>
      <c r="O19" s="174">
        <v>253.33333333333334</v>
      </c>
      <c r="P19" s="175">
        <v>1.8091226322726893E-3</v>
      </c>
      <c r="Q19" s="175">
        <v>0.69504256384576868</v>
      </c>
      <c r="R19" s="51"/>
    </row>
    <row r="20" spans="2:18" ht="15" customHeight="1" thickBot="1">
      <c r="B20" s="2"/>
      <c r="C20" s="170"/>
      <c r="D20" s="171" t="s">
        <v>71</v>
      </c>
      <c r="E20" s="172">
        <v>0</v>
      </c>
      <c r="F20" s="173">
        <v>0</v>
      </c>
      <c r="G20" s="174">
        <v>0</v>
      </c>
      <c r="H20" s="174">
        <v>0</v>
      </c>
      <c r="I20" s="174">
        <v>0</v>
      </c>
      <c r="J20" s="174">
        <v>0</v>
      </c>
      <c r="K20" s="174"/>
      <c r="L20" s="175">
        <v>0</v>
      </c>
      <c r="M20" s="175">
        <v>0</v>
      </c>
      <c r="N20" s="176"/>
      <c r="O20" s="174">
        <v>304.84848484848487</v>
      </c>
      <c r="P20" s="175">
        <v>2.394707063245165E-3</v>
      </c>
      <c r="Q20" s="175">
        <v>0.73810544363480501</v>
      </c>
      <c r="R20" s="51"/>
    </row>
    <row r="21" spans="2:18" ht="15" customHeight="1" thickBot="1">
      <c r="B21" s="2"/>
      <c r="C21" s="170"/>
      <c r="D21" s="171" t="s">
        <v>72</v>
      </c>
      <c r="E21" s="172">
        <v>0</v>
      </c>
      <c r="F21" s="173">
        <v>0</v>
      </c>
      <c r="G21" s="174">
        <v>0</v>
      </c>
      <c r="H21" s="174">
        <v>0</v>
      </c>
      <c r="I21" s="174">
        <v>0</v>
      </c>
      <c r="J21" s="174">
        <v>0</v>
      </c>
      <c r="K21" s="174"/>
      <c r="L21" s="175">
        <v>0</v>
      </c>
      <c r="M21" s="175">
        <v>0</v>
      </c>
      <c r="N21" s="176"/>
      <c r="O21" s="174">
        <v>826.66666666666663</v>
      </c>
      <c r="P21" s="175">
        <v>9.4455244800763574E-3</v>
      </c>
      <c r="Q21" s="175">
        <v>0.75058999597075926</v>
      </c>
      <c r="R21" s="51"/>
    </row>
    <row r="22" spans="2:18" ht="15" customHeight="1" thickBot="1">
      <c r="B22" s="2"/>
      <c r="C22" s="130" t="s">
        <v>73</v>
      </c>
      <c r="D22" s="131"/>
      <c r="E22" s="55">
        <v>0</v>
      </c>
      <c r="F22" s="66">
        <v>0</v>
      </c>
      <c r="G22" s="56">
        <v>0</v>
      </c>
      <c r="H22" s="56">
        <v>0</v>
      </c>
      <c r="I22" s="56">
        <v>0</v>
      </c>
      <c r="J22" s="56">
        <v>0</v>
      </c>
      <c r="K22" s="56"/>
      <c r="L22" s="57">
        <v>0</v>
      </c>
      <c r="M22" s="57">
        <v>0</v>
      </c>
      <c r="N22" s="132"/>
      <c r="O22" s="56">
        <v>120.60686274509804</v>
      </c>
      <c r="P22" s="57">
        <v>1.4641872177602235E-3</v>
      </c>
      <c r="Q22" s="57">
        <v>0.91896185367609284</v>
      </c>
      <c r="R22" s="51"/>
    </row>
    <row r="23" spans="2:18" ht="15" customHeight="1" thickBot="1">
      <c r="B23" s="2"/>
      <c r="C23" s="170"/>
      <c r="D23" s="171" t="s">
        <v>276</v>
      </c>
      <c r="E23" s="172">
        <v>0</v>
      </c>
      <c r="F23" s="173">
        <v>0</v>
      </c>
      <c r="G23" s="174">
        <v>0</v>
      </c>
      <c r="H23" s="174">
        <v>0</v>
      </c>
      <c r="I23" s="174">
        <v>0</v>
      </c>
      <c r="J23" s="174">
        <v>0</v>
      </c>
      <c r="K23" s="174"/>
      <c r="L23" s="175">
        <v>0</v>
      </c>
      <c r="M23" s="175">
        <v>0</v>
      </c>
      <c r="N23" s="176"/>
      <c r="O23" s="174">
        <v>4.5</v>
      </c>
      <c r="P23" s="175">
        <v>1.0711910322667239E-5</v>
      </c>
      <c r="Q23" s="175">
        <v>1</v>
      </c>
      <c r="R23" s="51"/>
    </row>
    <row r="24" spans="2:18" ht="15" customHeight="1" thickBot="1">
      <c r="B24" s="2"/>
      <c r="C24" s="170"/>
      <c r="D24" s="171" t="s">
        <v>74</v>
      </c>
      <c r="E24" s="172">
        <v>0</v>
      </c>
      <c r="F24" s="173">
        <v>0</v>
      </c>
      <c r="G24" s="174">
        <v>0</v>
      </c>
      <c r="H24" s="174">
        <v>0</v>
      </c>
      <c r="I24" s="174">
        <v>0</v>
      </c>
      <c r="J24" s="174">
        <v>0</v>
      </c>
      <c r="K24" s="174"/>
      <c r="L24" s="175">
        <v>0</v>
      </c>
      <c r="M24" s="175">
        <v>0</v>
      </c>
      <c r="N24" s="176"/>
      <c r="O24" s="174">
        <v>500</v>
      </c>
      <c r="P24" s="175">
        <v>2.3804245161482753E-4</v>
      </c>
      <c r="Q24" s="175">
        <v>0.66666666666666663</v>
      </c>
      <c r="R24" s="51"/>
    </row>
    <row r="25" spans="2:18" ht="15" customHeight="1" thickBot="1">
      <c r="B25" s="2"/>
      <c r="C25" s="170"/>
      <c r="D25" s="171" t="s">
        <v>277</v>
      </c>
      <c r="E25" s="172">
        <v>0</v>
      </c>
      <c r="F25" s="173">
        <v>0</v>
      </c>
      <c r="G25" s="174">
        <v>0</v>
      </c>
      <c r="H25" s="174">
        <v>0</v>
      </c>
      <c r="I25" s="174">
        <v>0</v>
      </c>
      <c r="J25" s="174">
        <v>0</v>
      </c>
      <c r="K25" s="174"/>
      <c r="L25" s="175">
        <v>0</v>
      </c>
      <c r="M25" s="175">
        <v>0</v>
      </c>
      <c r="N25" s="176"/>
      <c r="O25" s="174">
        <v>363.79</v>
      </c>
      <c r="P25" s="175">
        <v>8.6597463472958116E-5</v>
      </c>
      <c r="Q25" s="175">
        <v>1</v>
      </c>
      <c r="R25" s="51"/>
    </row>
    <row r="26" spans="2:18" ht="15" customHeight="1" thickBot="1">
      <c r="B26" s="2"/>
      <c r="C26" s="170"/>
      <c r="D26" s="171" t="s">
        <v>75</v>
      </c>
      <c r="E26" s="172">
        <v>0</v>
      </c>
      <c r="F26" s="173">
        <v>0</v>
      </c>
      <c r="G26" s="174">
        <v>0</v>
      </c>
      <c r="H26" s="174">
        <v>0</v>
      </c>
      <c r="I26" s="174">
        <v>0</v>
      </c>
      <c r="J26" s="174">
        <v>0</v>
      </c>
      <c r="K26" s="174"/>
      <c r="L26" s="175">
        <v>0</v>
      </c>
      <c r="M26" s="175">
        <v>0</v>
      </c>
      <c r="N26" s="176"/>
      <c r="O26" s="174">
        <v>53.611111111111114</v>
      </c>
      <c r="P26" s="175">
        <v>4.5942193161661713E-4</v>
      </c>
      <c r="Q26" s="175">
        <v>0.91469194312796209</v>
      </c>
      <c r="R26" s="51"/>
    </row>
    <row r="27" spans="2:18" ht="15" customHeight="1" thickBot="1">
      <c r="B27" s="2"/>
      <c r="C27" s="170"/>
      <c r="D27" s="171" t="s">
        <v>77</v>
      </c>
      <c r="E27" s="172">
        <v>0</v>
      </c>
      <c r="F27" s="173">
        <v>0</v>
      </c>
      <c r="G27" s="174">
        <v>0</v>
      </c>
      <c r="H27" s="174">
        <v>0</v>
      </c>
      <c r="I27" s="174">
        <v>0</v>
      </c>
      <c r="J27" s="174">
        <v>0</v>
      </c>
      <c r="K27" s="174"/>
      <c r="L27" s="175">
        <v>0</v>
      </c>
      <c r="M27" s="175">
        <v>0</v>
      </c>
      <c r="N27" s="176"/>
      <c r="O27" s="174">
        <v>1406.0800000000002</v>
      </c>
      <c r="P27" s="175">
        <v>6.6941346073315345E-4</v>
      </c>
      <c r="Q27" s="175">
        <v>1</v>
      </c>
      <c r="R27" s="51"/>
    </row>
    <row r="28" spans="2:18" ht="15" customHeight="1" thickBot="1">
      <c r="B28" s="2"/>
      <c r="C28" s="130" t="s">
        <v>78</v>
      </c>
      <c r="D28" s="131"/>
      <c r="E28" s="55">
        <v>0</v>
      </c>
      <c r="F28" s="66">
        <v>0</v>
      </c>
      <c r="G28" s="56">
        <v>0</v>
      </c>
      <c r="H28" s="56">
        <v>0</v>
      </c>
      <c r="I28" s="56">
        <v>0</v>
      </c>
      <c r="J28" s="56">
        <v>0</v>
      </c>
      <c r="K28" s="56"/>
      <c r="L28" s="57">
        <v>0</v>
      </c>
      <c r="M28" s="57">
        <v>0</v>
      </c>
      <c r="N28" s="132"/>
      <c r="O28" s="56">
        <v>34.215586206896553</v>
      </c>
      <c r="P28" s="57">
        <v>1.1809904934985793E-3</v>
      </c>
      <c r="Q28" s="57">
        <v>0.72565318562875869</v>
      </c>
      <c r="R28" s="51"/>
    </row>
    <row r="29" spans="2:18" ht="15" customHeight="1" thickBot="1">
      <c r="B29" s="2"/>
      <c r="C29" s="170"/>
      <c r="D29" s="171" t="s">
        <v>79</v>
      </c>
      <c r="E29" s="172">
        <v>0</v>
      </c>
      <c r="F29" s="173">
        <v>0</v>
      </c>
      <c r="G29" s="174">
        <v>0</v>
      </c>
      <c r="H29" s="174">
        <v>0</v>
      </c>
      <c r="I29" s="174">
        <v>0</v>
      </c>
      <c r="J29" s="174">
        <v>0</v>
      </c>
      <c r="K29" s="174"/>
      <c r="L29" s="175">
        <v>0</v>
      </c>
      <c r="M29" s="175">
        <v>0</v>
      </c>
      <c r="N29" s="176"/>
      <c r="O29" s="174">
        <v>34.215586206896553</v>
      </c>
      <c r="P29" s="175">
        <v>1.1809904934985793E-3</v>
      </c>
      <c r="Q29" s="175">
        <v>0.72565318562875869</v>
      </c>
      <c r="R29" s="51"/>
    </row>
    <row r="30" spans="2:18" ht="15" customHeight="1" thickBot="1">
      <c r="B30" s="2"/>
      <c r="C30" s="130" t="s">
        <v>80</v>
      </c>
      <c r="D30" s="131"/>
      <c r="E30" s="55">
        <v>129</v>
      </c>
      <c r="F30" s="66">
        <v>1.7671232876712328</v>
      </c>
      <c r="G30" s="56">
        <v>15891.3</v>
      </c>
      <c r="H30" s="56">
        <v>3820.44</v>
      </c>
      <c r="I30" s="56">
        <v>0</v>
      </c>
      <c r="J30" s="56">
        <v>9606.92</v>
      </c>
      <c r="K30" s="56">
        <v>74.47224806201551</v>
      </c>
      <c r="L30" s="57">
        <v>0.23705343604500681</v>
      </c>
      <c r="M30" s="57">
        <v>0.84495038165537129</v>
      </c>
      <c r="N30" s="132"/>
      <c r="O30" s="56">
        <v>79.457567238156898</v>
      </c>
      <c r="P30" s="57">
        <v>0.23277797140679976</v>
      </c>
      <c r="Q30" s="57">
        <v>0.77483369660121415</v>
      </c>
      <c r="R30" s="51"/>
    </row>
    <row r="31" spans="2:18" ht="15" customHeight="1" thickBot="1">
      <c r="B31" s="2"/>
      <c r="C31" s="170"/>
      <c r="D31" s="171" t="s">
        <v>81</v>
      </c>
      <c r="E31" s="172">
        <v>0</v>
      </c>
      <c r="F31" s="173">
        <v>0</v>
      </c>
      <c r="G31" s="174">
        <v>0</v>
      </c>
      <c r="H31" s="174">
        <v>0</v>
      </c>
      <c r="I31" s="174">
        <v>0</v>
      </c>
      <c r="J31" s="174">
        <v>0</v>
      </c>
      <c r="K31" s="174"/>
      <c r="L31" s="175">
        <v>0</v>
      </c>
      <c r="M31" s="175">
        <v>0</v>
      </c>
      <c r="N31" s="176"/>
      <c r="O31" s="174">
        <v>7.3176926464112997</v>
      </c>
      <c r="P31" s="175">
        <v>3.9559037213119938E-3</v>
      </c>
      <c r="Q31" s="175">
        <v>0.99107234454247373</v>
      </c>
      <c r="R31" s="51"/>
    </row>
    <row r="32" spans="2:18" ht="15" customHeight="1" thickBot="1">
      <c r="B32" s="2"/>
      <c r="C32" s="170"/>
      <c r="D32" s="171" t="s">
        <v>82</v>
      </c>
      <c r="E32" s="172">
        <v>0</v>
      </c>
      <c r="F32" s="173">
        <v>0</v>
      </c>
      <c r="G32" s="174">
        <v>0</v>
      </c>
      <c r="H32" s="174">
        <v>0</v>
      </c>
      <c r="I32" s="174">
        <v>0</v>
      </c>
      <c r="J32" s="174">
        <v>0</v>
      </c>
      <c r="K32" s="174"/>
      <c r="L32" s="175">
        <v>0</v>
      </c>
      <c r="M32" s="175">
        <v>0</v>
      </c>
      <c r="N32" s="176"/>
      <c r="O32" s="174">
        <v>221.06330543933058</v>
      </c>
      <c r="P32" s="175">
        <v>2.515353166827302E-2</v>
      </c>
      <c r="Q32" s="175">
        <v>0.80388277007343334</v>
      </c>
      <c r="R32" s="51"/>
    </row>
    <row r="33" spans="2:18" ht="15" customHeight="1" thickBot="1">
      <c r="B33" s="2"/>
      <c r="C33" s="170"/>
      <c r="D33" s="171" t="s">
        <v>83</v>
      </c>
      <c r="E33" s="172">
        <v>0</v>
      </c>
      <c r="F33" s="173">
        <v>0</v>
      </c>
      <c r="G33" s="174">
        <v>0</v>
      </c>
      <c r="H33" s="174">
        <v>0</v>
      </c>
      <c r="I33" s="174">
        <v>0</v>
      </c>
      <c r="J33" s="174">
        <v>0</v>
      </c>
      <c r="K33" s="174"/>
      <c r="L33" s="175">
        <v>0</v>
      </c>
      <c r="M33" s="175">
        <v>0</v>
      </c>
      <c r="N33" s="176"/>
      <c r="O33" s="174">
        <v>66.046981981981972</v>
      </c>
      <c r="P33" s="175">
        <v>3.4902807838307955E-3</v>
      </c>
      <c r="Q33" s="175">
        <v>0.56694321641854373</v>
      </c>
      <c r="R33" s="51"/>
    </row>
    <row r="34" spans="2:18" ht="15" customHeight="1" thickBot="1">
      <c r="B34" s="2"/>
      <c r="C34" s="170"/>
      <c r="D34" s="171" t="s">
        <v>84</v>
      </c>
      <c r="E34" s="172">
        <v>118</v>
      </c>
      <c r="F34" s="173">
        <v>1.6164383561643836</v>
      </c>
      <c r="G34" s="174">
        <v>12041.3</v>
      </c>
      <c r="H34" s="174">
        <v>3050.44</v>
      </c>
      <c r="I34" s="174">
        <v>0</v>
      </c>
      <c r="J34" s="174">
        <v>7076.92</v>
      </c>
      <c r="K34" s="174">
        <v>59.973898305084745</v>
      </c>
      <c r="L34" s="175">
        <v>0.1746249789334802</v>
      </c>
      <c r="M34" s="175">
        <v>0.84105204587544546</v>
      </c>
      <c r="N34" s="176"/>
      <c r="O34" s="174">
        <v>81.574715621645922</v>
      </c>
      <c r="P34" s="175">
        <v>0.12666521406814954</v>
      </c>
      <c r="Q34" s="175">
        <v>0.81845279538552296</v>
      </c>
      <c r="R34" s="51"/>
    </row>
    <row r="35" spans="2:18" ht="15" customHeight="1" thickBot="1">
      <c r="B35" s="2"/>
      <c r="C35" s="170"/>
      <c r="D35" s="171" t="s">
        <v>85</v>
      </c>
      <c r="E35" s="172">
        <v>0</v>
      </c>
      <c r="F35" s="173">
        <v>0</v>
      </c>
      <c r="G35" s="174">
        <v>0</v>
      </c>
      <c r="H35" s="174">
        <v>0</v>
      </c>
      <c r="I35" s="174">
        <v>0</v>
      </c>
      <c r="J35" s="174">
        <v>0</v>
      </c>
      <c r="K35" s="174"/>
      <c r="L35" s="175">
        <v>0</v>
      </c>
      <c r="M35" s="175">
        <v>0</v>
      </c>
      <c r="N35" s="176"/>
      <c r="O35" s="174">
        <v>258.36938294010889</v>
      </c>
      <c r="P35" s="175">
        <v>3.3888087616837821E-2</v>
      </c>
      <c r="Q35" s="175">
        <v>0.66710305762277067</v>
      </c>
      <c r="R35" s="51"/>
    </row>
    <row r="36" spans="2:18" ht="15" customHeight="1" thickBot="1">
      <c r="B36" s="2"/>
      <c r="C36" s="170"/>
      <c r="D36" s="171" t="s">
        <v>86</v>
      </c>
      <c r="E36" s="172">
        <v>11</v>
      </c>
      <c r="F36" s="173">
        <v>0.15068493150684931</v>
      </c>
      <c r="G36" s="174">
        <v>3850</v>
      </c>
      <c r="H36" s="174">
        <v>770</v>
      </c>
      <c r="I36" s="174">
        <v>0</v>
      </c>
      <c r="J36" s="174">
        <v>2530</v>
      </c>
      <c r="K36" s="174">
        <v>230</v>
      </c>
      <c r="L36" s="175">
        <v>6.2428457111526614E-2</v>
      </c>
      <c r="M36" s="175">
        <v>0.8571428571428571</v>
      </c>
      <c r="N36" s="176"/>
      <c r="O36" s="174">
        <v>214.0994006309148</v>
      </c>
      <c r="P36" s="175">
        <v>3.2311649100594107E-2</v>
      </c>
      <c r="Q36" s="175">
        <v>0.67787574438152409</v>
      </c>
      <c r="R36" s="51"/>
    </row>
    <row r="37" spans="2:18" ht="15" customHeight="1" thickBot="1">
      <c r="B37" s="2"/>
      <c r="C37" s="170"/>
      <c r="D37" s="171" t="s">
        <v>87</v>
      </c>
      <c r="E37" s="172">
        <v>0</v>
      </c>
      <c r="F37" s="173">
        <v>0</v>
      </c>
      <c r="G37" s="174">
        <v>0</v>
      </c>
      <c r="H37" s="174">
        <v>0</v>
      </c>
      <c r="I37" s="174">
        <v>0</v>
      </c>
      <c r="J37" s="174">
        <v>0</v>
      </c>
      <c r="K37" s="174"/>
      <c r="L37" s="175">
        <v>0</v>
      </c>
      <c r="M37" s="175">
        <v>0</v>
      </c>
      <c r="N37" s="176"/>
      <c r="O37" s="174">
        <v>18.871431203931198</v>
      </c>
      <c r="P37" s="175">
        <v>7.3133044478023443E-3</v>
      </c>
      <c r="Q37" s="175">
        <v>0.870470414963608</v>
      </c>
      <c r="R37" s="51"/>
    </row>
    <row r="38" spans="2:18" ht="15" customHeight="1" thickBot="1">
      <c r="B38" s="2"/>
      <c r="C38" s="130" t="s">
        <v>88</v>
      </c>
      <c r="D38" s="131"/>
      <c r="E38" s="55">
        <v>33</v>
      </c>
      <c r="F38" s="66">
        <v>0.45205479452054792</v>
      </c>
      <c r="G38" s="56">
        <v>6932.71</v>
      </c>
      <c r="H38" s="56">
        <v>2466.0500000000002</v>
      </c>
      <c r="I38" s="56">
        <v>0</v>
      </c>
      <c r="J38" s="56">
        <v>2492.61</v>
      </c>
      <c r="K38" s="56">
        <v>75.533636363636361</v>
      </c>
      <c r="L38" s="57">
        <v>6.1505848411368517E-2</v>
      </c>
      <c r="M38" s="57">
        <v>0.71525565038779926</v>
      </c>
      <c r="N38" s="132"/>
      <c r="O38" s="56">
        <v>58.382425157923635</v>
      </c>
      <c r="P38" s="57">
        <v>0.10120156307433809</v>
      </c>
      <c r="Q38" s="57">
        <v>0.91552398849854166</v>
      </c>
      <c r="R38" s="51"/>
    </row>
    <row r="39" spans="2:18" ht="15" customHeight="1" thickBot="1">
      <c r="B39" s="2"/>
      <c r="C39" s="170"/>
      <c r="D39" s="171" t="s">
        <v>89</v>
      </c>
      <c r="E39" s="172">
        <v>0</v>
      </c>
      <c r="F39" s="173">
        <v>0</v>
      </c>
      <c r="G39" s="174">
        <v>0</v>
      </c>
      <c r="H39" s="174">
        <v>0</v>
      </c>
      <c r="I39" s="174">
        <v>0</v>
      </c>
      <c r="J39" s="174">
        <v>0</v>
      </c>
      <c r="K39" s="174"/>
      <c r="L39" s="175">
        <v>0</v>
      </c>
      <c r="M39" s="175">
        <v>0</v>
      </c>
      <c r="N39" s="176"/>
      <c r="O39" s="174">
        <v>131.8705915492958</v>
      </c>
      <c r="P39" s="175">
        <v>1.1143733612443635E-2</v>
      </c>
      <c r="Q39" s="175">
        <v>0.82891753730584361</v>
      </c>
      <c r="R39" s="51"/>
    </row>
    <row r="40" spans="2:18" ht="15" customHeight="1" thickBot="1">
      <c r="B40" s="2"/>
      <c r="C40" s="170"/>
      <c r="D40" s="171" t="s">
        <v>279</v>
      </c>
      <c r="E40" s="172">
        <v>0</v>
      </c>
      <c r="F40" s="173">
        <v>0</v>
      </c>
      <c r="G40" s="174">
        <v>0</v>
      </c>
      <c r="H40" s="174">
        <v>0</v>
      </c>
      <c r="I40" s="174">
        <v>0</v>
      </c>
      <c r="J40" s="174">
        <v>0</v>
      </c>
      <c r="K40" s="174"/>
      <c r="L40" s="175">
        <v>0</v>
      </c>
      <c r="M40" s="175">
        <v>0</v>
      </c>
      <c r="N40" s="176"/>
      <c r="O40" s="174">
        <v>68.724976958525346</v>
      </c>
      <c r="P40" s="175">
        <v>1.0650009763549319E-2</v>
      </c>
      <c r="Q40" s="175">
        <v>0.93636566459678605</v>
      </c>
      <c r="R40" s="51"/>
    </row>
    <row r="41" spans="2:18" ht="15" customHeight="1" thickBot="1">
      <c r="B41" s="2"/>
      <c r="C41" s="170"/>
      <c r="D41" s="171" t="s">
        <v>280</v>
      </c>
      <c r="E41" s="172">
        <v>0</v>
      </c>
      <c r="F41" s="173">
        <v>0</v>
      </c>
      <c r="G41" s="174">
        <v>0</v>
      </c>
      <c r="H41" s="174">
        <v>0</v>
      </c>
      <c r="I41" s="174">
        <v>0</v>
      </c>
      <c r="J41" s="174">
        <v>0</v>
      </c>
      <c r="K41" s="174"/>
      <c r="L41" s="175">
        <v>0</v>
      </c>
      <c r="M41" s="175">
        <v>0</v>
      </c>
      <c r="N41" s="176"/>
      <c r="O41" s="174">
        <v>6.5</v>
      </c>
      <c r="P41" s="175">
        <v>3.0945518709927579E-6</v>
      </c>
      <c r="Q41" s="175">
        <v>1</v>
      </c>
      <c r="R41" s="51"/>
    </row>
    <row r="42" spans="2:18" ht="15" customHeight="1" thickBot="1">
      <c r="B42" s="2"/>
      <c r="C42" s="170"/>
      <c r="D42" s="171" t="s">
        <v>282</v>
      </c>
      <c r="E42" s="172">
        <v>0</v>
      </c>
      <c r="F42" s="173">
        <v>0</v>
      </c>
      <c r="G42" s="174">
        <v>0</v>
      </c>
      <c r="H42" s="174">
        <v>0</v>
      </c>
      <c r="I42" s="174">
        <v>0</v>
      </c>
      <c r="J42" s="174">
        <v>0</v>
      </c>
      <c r="K42" s="174"/>
      <c r="L42" s="175">
        <v>0</v>
      </c>
      <c r="M42" s="175">
        <v>0</v>
      </c>
      <c r="N42" s="176"/>
      <c r="O42" s="174">
        <v>11.79</v>
      </c>
      <c r="P42" s="175">
        <v>2.8065205045388167E-6</v>
      </c>
      <c r="Q42" s="175">
        <v>1</v>
      </c>
      <c r="R42" s="51"/>
    </row>
    <row r="43" spans="2:18" ht="15" customHeight="1" thickBot="1">
      <c r="B43" s="2"/>
      <c r="C43" s="170"/>
      <c r="D43" s="171" t="s">
        <v>90</v>
      </c>
      <c r="E43" s="172">
        <v>2</v>
      </c>
      <c r="F43" s="173">
        <v>2.7397260273972601E-2</v>
      </c>
      <c r="G43" s="174">
        <v>60</v>
      </c>
      <c r="H43" s="174">
        <v>0</v>
      </c>
      <c r="I43" s="174">
        <v>0</v>
      </c>
      <c r="J43" s="174">
        <v>60</v>
      </c>
      <c r="K43" s="174">
        <v>30</v>
      </c>
      <c r="L43" s="175">
        <v>1.4805167694433188E-3</v>
      </c>
      <c r="M43" s="175">
        <v>1</v>
      </c>
      <c r="N43" s="176"/>
      <c r="O43" s="174">
        <v>55.364401544401595</v>
      </c>
      <c r="P43" s="175">
        <v>1.7066905849183144E-2</v>
      </c>
      <c r="Q43" s="175">
        <v>0.99780247443819958</v>
      </c>
      <c r="R43" s="51"/>
    </row>
    <row r="44" spans="2:18" ht="15" customHeight="1" thickBot="1">
      <c r="B44" s="2"/>
      <c r="C44" s="170"/>
      <c r="D44" s="171" t="s">
        <v>91</v>
      </c>
      <c r="E44" s="172">
        <v>3</v>
      </c>
      <c r="F44" s="173">
        <v>4.1095890410958902E-2</v>
      </c>
      <c r="G44" s="174">
        <v>72</v>
      </c>
      <c r="H44" s="174">
        <v>0</v>
      </c>
      <c r="I44" s="174">
        <v>0</v>
      </c>
      <c r="J44" s="174">
        <v>72</v>
      </c>
      <c r="K44" s="174">
        <v>24</v>
      </c>
      <c r="L44" s="175">
        <v>1.7766201233319827E-3</v>
      </c>
      <c r="M44" s="175">
        <v>1</v>
      </c>
      <c r="N44" s="176"/>
      <c r="O44" s="174">
        <v>23.772511848341232</v>
      </c>
      <c r="P44" s="175">
        <v>1.1940209372999749E-3</v>
      </c>
      <c r="Q44" s="175">
        <v>1</v>
      </c>
      <c r="R44" s="51"/>
    </row>
    <row r="45" spans="2:18" ht="15" customHeight="1" thickBot="1">
      <c r="B45" s="2"/>
      <c r="C45" s="170"/>
      <c r="D45" s="171" t="s">
        <v>92</v>
      </c>
      <c r="E45" s="172">
        <v>1</v>
      </c>
      <c r="F45" s="173">
        <v>1.3698630136986301E-2</v>
      </c>
      <c r="G45" s="174">
        <v>85.84</v>
      </c>
      <c r="H45" s="174">
        <v>55.8</v>
      </c>
      <c r="I45" s="174">
        <v>0</v>
      </c>
      <c r="J45" s="174">
        <v>30.04</v>
      </c>
      <c r="K45" s="174">
        <v>30.04</v>
      </c>
      <c r="L45" s="175">
        <v>7.4124539590128828E-4</v>
      </c>
      <c r="M45" s="175">
        <v>1</v>
      </c>
      <c r="N45" s="176"/>
      <c r="O45" s="174">
        <v>35.723216560509549</v>
      </c>
      <c r="P45" s="175">
        <v>2.6701436035841655E-3</v>
      </c>
      <c r="Q45" s="175">
        <v>0.99943133020107111</v>
      </c>
      <c r="R45" s="51"/>
    </row>
    <row r="46" spans="2:18" ht="15" customHeight="1" thickBot="1">
      <c r="B46" s="2"/>
      <c r="C46" s="170"/>
      <c r="D46" s="171" t="s">
        <v>283</v>
      </c>
      <c r="E46" s="172">
        <v>0</v>
      </c>
      <c r="F46" s="173">
        <v>0</v>
      </c>
      <c r="G46" s="174">
        <v>0</v>
      </c>
      <c r="H46" s="174">
        <v>0</v>
      </c>
      <c r="I46" s="174">
        <v>0</v>
      </c>
      <c r="J46" s="174">
        <v>0</v>
      </c>
      <c r="K46" s="174"/>
      <c r="L46" s="175">
        <v>0</v>
      </c>
      <c r="M46" s="175">
        <v>0</v>
      </c>
      <c r="N46" s="176"/>
      <c r="O46" s="174">
        <v>1.93</v>
      </c>
      <c r="P46" s="175">
        <v>4.5942193161661715E-7</v>
      </c>
      <c r="Q46" s="175">
        <v>1</v>
      </c>
      <c r="R46" s="51"/>
    </row>
    <row r="47" spans="2:18" ht="15" customHeight="1" thickBot="1">
      <c r="B47" s="2"/>
      <c r="C47" s="170"/>
      <c r="D47" s="171" t="s">
        <v>93</v>
      </c>
      <c r="E47" s="172">
        <v>0</v>
      </c>
      <c r="F47" s="173">
        <v>0</v>
      </c>
      <c r="G47" s="174">
        <v>0</v>
      </c>
      <c r="H47" s="174">
        <v>0</v>
      </c>
      <c r="I47" s="174">
        <v>0</v>
      </c>
      <c r="J47" s="174">
        <v>0</v>
      </c>
      <c r="K47" s="174"/>
      <c r="L47" s="175">
        <v>0</v>
      </c>
      <c r="M47" s="175">
        <v>0</v>
      </c>
      <c r="N47" s="176"/>
      <c r="O47" s="174">
        <v>315.77582822085895</v>
      </c>
      <c r="P47" s="175">
        <v>1.2252392526594533E-2</v>
      </c>
      <c r="Q47" s="175">
        <v>0.99976601412983768</v>
      </c>
      <c r="R47" s="51"/>
    </row>
    <row r="48" spans="2:18" ht="15" customHeight="1" thickBot="1">
      <c r="B48" s="2"/>
      <c r="C48" s="170"/>
      <c r="D48" s="171" t="s">
        <v>94</v>
      </c>
      <c r="E48" s="172">
        <v>23</v>
      </c>
      <c r="F48" s="173">
        <v>0.31506849315068491</v>
      </c>
      <c r="G48" s="174">
        <v>6636.43</v>
      </c>
      <c r="H48" s="174">
        <v>2410.25</v>
      </c>
      <c r="I48" s="174">
        <v>0</v>
      </c>
      <c r="J48" s="174">
        <v>2252.13</v>
      </c>
      <c r="K48" s="174">
        <v>97.918695652173923</v>
      </c>
      <c r="L48" s="175">
        <v>5.5571937199439696E-2</v>
      </c>
      <c r="M48" s="175">
        <v>0.7025433855250488</v>
      </c>
      <c r="N48" s="176"/>
      <c r="O48" s="174">
        <v>42.879474671669705</v>
      </c>
      <c r="P48" s="175">
        <v>3.8082821710279394E-2</v>
      </c>
      <c r="Q48" s="175">
        <v>0.82351778978848589</v>
      </c>
      <c r="R48" s="51"/>
    </row>
    <row r="49" spans="2:18" ht="15" customHeight="1" thickBot="1">
      <c r="B49" s="2"/>
      <c r="C49" s="170"/>
      <c r="D49" s="171" t="s">
        <v>95</v>
      </c>
      <c r="E49" s="172">
        <v>0</v>
      </c>
      <c r="F49" s="173">
        <v>0</v>
      </c>
      <c r="G49" s="174">
        <v>0</v>
      </c>
      <c r="H49" s="174">
        <v>0</v>
      </c>
      <c r="I49" s="174">
        <v>0</v>
      </c>
      <c r="J49" s="174">
        <v>0</v>
      </c>
      <c r="K49" s="174"/>
      <c r="L49" s="175">
        <v>0</v>
      </c>
      <c r="M49" s="175">
        <v>0</v>
      </c>
      <c r="N49" s="176"/>
      <c r="O49" s="174">
        <v>131.5102105263158</v>
      </c>
      <c r="P49" s="175">
        <v>2.9739762279762999E-3</v>
      </c>
      <c r="Q49" s="175">
        <v>0.78946947628619291</v>
      </c>
      <c r="R49" s="51"/>
    </row>
    <row r="50" spans="2:18" ht="15" customHeight="1" thickBot="1">
      <c r="B50" s="2"/>
      <c r="C50" s="170"/>
      <c r="D50" s="171" t="s">
        <v>194</v>
      </c>
      <c r="E50" s="172">
        <v>4</v>
      </c>
      <c r="F50" s="173">
        <v>5.4794520547945202E-2</v>
      </c>
      <c r="G50" s="174">
        <v>78.44</v>
      </c>
      <c r="H50" s="174">
        <v>0</v>
      </c>
      <c r="I50" s="174">
        <v>0</v>
      </c>
      <c r="J50" s="174">
        <v>78.44</v>
      </c>
      <c r="K50" s="174">
        <v>19.61</v>
      </c>
      <c r="L50" s="175">
        <v>1.9355289232522322E-3</v>
      </c>
      <c r="M50" s="175">
        <v>1</v>
      </c>
      <c r="N50" s="176"/>
      <c r="O50" s="174">
        <v>18.690203389830501</v>
      </c>
      <c r="P50" s="175">
        <v>1.3124732416480288E-3</v>
      </c>
      <c r="Q50" s="175">
        <v>1</v>
      </c>
      <c r="R50" s="51"/>
    </row>
    <row r="51" spans="2:18" ht="15" customHeight="1" thickBot="1">
      <c r="B51" s="2"/>
      <c r="C51" s="170"/>
      <c r="D51" s="171" t="s">
        <v>284</v>
      </c>
      <c r="E51" s="172">
        <v>0</v>
      </c>
      <c r="F51" s="173">
        <v>0</v>
      </c>
      <c r="G51" s="174">
        <v>0</v>
      </c>
      <c r="H51" s="174">
        <v>0</v>
      </c>
      <c r="I51" s="174">
        <v>0</v>
      </c>
      <c r="J51" s="174">
        <v>0</v>
      </c>
      <c r="K51" s="174"/>
      <c r="L51" s="175">
        <v>0</v>
      </c>
      <c r="M51" s="175">
        <v>0</v>
      </c>
      <c r="N51" s="176"/>
      <c r="O51" s="174">
        <v>472.19</v>
      </c>
      <c r="P51" s="175">
        <v>1.1240126522800542E-4</v>
      </c>
      <c r="Q51" s="175">
        <v>0.60737301107495212</v>
      </c>
      <c r="R51" s="51"/>
    </row>
    <row r="52" spans="2:18" ht="15" customHeight="1" thickBot="1">
      <c r="B52" s="2"/>
      <c r="C52" s="170"/>
      <c r="D52" s="171" t="s">
        <v>96</v>
      </c>
      <c r="E52" s="172">
        <v>0</v>
      </c>
      <c r="F52" s="173">
        <v>0</v>
      </c>
      <c r="G52" s="174">
        <v>0</v>
      </c>
      <c r="H52" s="174">
        <v>0</v>
      </c>
      <c r="I52" s="174">
        <v>0</v>
      </c>
      <c r="J52" s="174">
        <v>0</v>
      </c>
      <c r="K52" s="174"/>
      <c r="L52" s="175">
        <v>0</v>
      </c>
      <c r="M52" s="175">
        <v>0</v>
      </c>
      <c r="N52" s="176"/>
      <c r="O52" s="174">
        <v>317.64765957446809</v>
      </c>
      <c r="P52" s="175">
        <v>3.5538404988364712E-3</v>
      </c>
      <c r="Q52" s="175">
        <v>1</v>
      </c>
      <c r="R52" s="51"/>
    </row>
    <row r="53" spans="2:18" ht="15" customHeight="1" thickBot="1">
      <c r="B53" s="2"/>
      <c r="C53" s="170"/>
      <c r="D53" s="171" t="s">
        <v>285</v>
      </c>
      <c r="E53" s="172">
        <v>0</v>
      </c>
      <c r="F53" s="173">
        <v>0</v>
      </c>
      <c r="G53" s="174">
        <v>0</v>
      </c>
      <c r="H53" s="174">
        <v>0</v>
      </c>
      <c r="I53" s="174">
        <v>0</v>
      </c>
      <c r="J53" s="174">
        <v>0</v>
      </c>
      <c r="K53" s="174"/>
      <c r="L53" s="175">
        <v>0</v>
      </c>
      <c r="M53" s="175">
        <v>0</v>
      </c>
      <c r="N53" s="176"/>
      <c r="O53" s="174">
        <v>52.5</v>
      </c>
      <c r="P53" s="175">
        <v>1.2497228709778446E-5</v>
      </c>
      <c r="Q53" s="175">
        <v>1</v>
      </c>
      <c r="R53" s="51"/>
    </row>
    <row r="54" spans="2:18" ht="15" customHeight="1" thickBot="1">
      <c r="B54" s="2"/>
      <c r="C54" s="170"/>
      <c r="D54" s="171" t="s">
        <v>286</v>
      </c>
      <c r="E54" s="172">
        <v>0</v>
      </c>
      <c r="F54" s="173">
        <v>0</v>
      </c>
      <c r="G54" s="174">
        <v>0</v>
      </c>
      <c r="H54" s="174">
        <v>0</v>
      </c>
      <c r="I54" s="174">
        <v>0</v>
      </c>
      <c r="J54" s="174">
        <v>0</v>
      </c>
      <c r="K54" s="174"/>
      <c r="L54" s="175">
        <v>0</v>
      </c>
      <c r="M54" s="175">
        <v>0</v>
      </c>
      <c r="N54" s="176"/>
      <c r="O54" s="174">
        <v>52.5</v>
      </c>
      <c r="P54" s="175">
        <v>1.2497228709778446E-5</v>
      </c>
      <c r="Q54" s="175">
        <v>1</v>
      </c>
      <c r="R54" s="51"/>
    </row>
    <row r="55" spans="2:18" ht="15" customHeight="1" thickBot="1">
      <c r="B55" s="2"/>
      <c r="C55" s="170"/>
      <c r="D55" s="171" t="s">
        <v>97</v>
      </c>
      <c r="E55" s="172">
        <v>0</v>
      </c>
      <c r="F55" s="173">
        <v>0</v>
      </c>
      <c r="G55" s="174">
        <v>0</v>
      </c>
      <c r="H55" s="174">
        <v>0</v>
      </c>
      <c r="I55" s="174">
        <v>0</v>
      </c>
      <c r="J55" s="174">
        <v>0</v>
      </c>
      <c r="K55" s="174"/>
      <c r="L55" s="175">
        <v>0</v>
      </c>
      <c r="M55" s="175">
        <v>0</v>
      </c>
      <c r="N55" s="176"/>
      <c r="O55" s="174">
        <v>30</v>
      </c>
      <c r="P55" s="175">
        <v>7.141273548444826E-6</v>
      </c>
      <c r="Q55" s="175">
        <v>1</v>
      </c>
      <c r="R55" s="51"/>
    </row>
    <row r="56" spans="2:18" ht="15" customHeight="1" thickBot="1">
      <c r="B56" s="2"/>
      <c r="C56" s="170"/>
      <c r="D56" s="171" t="s">
        <v>287</v>
      </c>
      <c r="E56" s="172">
        <v>0</v>
      </c>
      <c r="F56" s="173">
        <v>0</v>
      </c>
      <c r="G56" s="174">
        <v>0</v>
      </c>
      <c r="H56" s="174">
        <v>0</v>
      </c>
      <c r="I56" s="174">
        <v>0</v>
      </c>
      <c r="J56" s="174">
        <v>0</v>
      </c>
      <c r="K56" s="174"/>
      <c r="L56" s="175">
        <v>0</v>
      </c>
      <c r="M56" s="175">
        <v>0</v>
      </c>
      <c r="N56" s="176"/>
      <c r="O56" s="174">
        <v>6.8999999999999995</v>
      </c>
      <c r="P56" s="175">
        <v>4.9274787484269303E-6</v>
      </c>
      <c r="Q56" s="175">
        <v>1</v>
      </c>
      <c r="R56" s="51"/>
    </row>
    <row r="57" spans="2:18" ht="15" customHeight="1" thickBot="1">
      <c r="B57" s="2"/>
      <c r="C57" s="170"/>
      <c r="D57" s="171" t="s">
        <v>288</v>
      </c>
      <c r="E57" s="172">
        <v>0</v>
      </c>
      <c r="F57" s="173">
        <v>0</v>
      </c>
      <c r="G57" s="174">
        <v>0</v>
      </c>
      <c r="H57" s="174">
        <v>0</v>
      </c>
      <c r="I57" s="174">
        <v>0</v>
      </c>
      <c r="J57" s="174">
        <v>0</v>
      </c>
      <c r="K57" s="174"/>
      <c r="L57" s="175">
        <v>0</v>
      </c>
      <c r="M57" s="175">
        <v>0</v>
      </c>
      <c r="N57" s="176"/>
      <c r="O57" s="174">
        <v>0.6</v>
      </c>
      <c r="P57" s="175">
        <v>4.2847641290668952E-7</v>
      </c>
      <c r="Q57" s="175">
        <v>1</v>
      </c>
      <c r="R57" s="51"/>
    </row>
    <row r="58" spans="2:18" ht="15" customHeight="1" thickBot="1">
      <c r="B58" s="2"/>
      <c r="C58" s="170"/>
      <c r="D58" s="171" t="s">
        <v>289</v>
      </c>
      <c r="E58" s="172">
        <v>0</v>
      </c>
      <c r="F58" s="173">
        <v>0</v>
      </c>
      <c r="G58" s="174">
        <v>0</v>
      </c>
      <c r="H58" s="174">
        <v>0</v>
      </c>
      <c r="I58" s="174">
        <v>0</v>
      </c>
      <c r="J58" s="174">
        <v>0</v>
      </c>
      <c r="K58" s="174"/>
      <c r="L58" s="175">
        <v>0</v>
      </c>
      <c r="M58" s="175">
        <v>0</v>
      </c>
      <c r="N58" s="176"/>
      <c r="O58" s="174">
        <v>1.4516129032258065</v>
      </c>
      <c r="P58" s="175">
        <v>3.213573096800172E-5</v>
      </c>
      <c r="Q58" s="175">
        <v>1</v>
      </c>
      <c r="R58" s="51"/>
    </row>
    <row r="59" spans="2:18" ht="15" customHeight="1" thickBot="1">
      <c r="B59" s="2"/>
      <c r="C59" s="170"/>
      <c r="D59" s="171" t="s">
        <v>290</v>
      </c>
      <c r="E59" s="172">
        <v>0</v>
      </c>
      <c r="F59" s="173">
        <v>0</v>
      </c>
      <c r="G59" s="174">
        <v>0</v>
      </c>
      <c r="H59" s="174">
        <v>0</v>
      </c>
      <c r="I59" s="174">
        <v>0</v>
      </c>
      <c r="J59" s="174">
        <v>0</v>
      </c>
      <c r="K59" s="174"/>
      <c r="L59" s="175">
        <v>0</v>
      </c>
      <c r="M59" s="175">
        <v>0</v>
      </c>
      <c r="N59" s="176"/>
      <c r="O59" s="174">
        <v>24</v>
      </c>
      <c r="P59" s="175">
        <v>4.5704150710046888E-5</v>
      </c>
      <c r="Q59" s="175">
        <v>1</v>
      </c>
      <c r="R59" s="51"/>
    </row>
    <row r="60" spans="2:18" ht="15" customHeight="1" thickBot="1">
      <c r="B60" s="2"/>
      <c r="C60" s="170"/>
      <c r="D60" s="171" t="s">
        <v>291</v>
      </c>
      <c r="E60" s="172">
        <v>0</v>
      </c>
      <c r="F60" s="173">
        <v>0</v>
      </c>
      <c r="G60" s="174">
        <v>0</v>
      </c>
      <c r="H60" s="174">
        <v>0</v>
      </c>
      <c r="I60" s="174">
        <v>0</v>
      </c>
      <c r="J60" s="174">
        <v>0</v>
      </c>
      <c r="K60" s="174"/>
      <c r="L60" s="175">
        <v>0</v>
      </c>
      <c r="M60" s="175">
        <v>0</v>
      </c>
      <c r="N60" s="176"/>
      <c r="O60" s="174">
        <v>28.21</v>
      </c>
      <c r="P60" s="175">
        <v>6.7151775600542851E-5</v>
      </c>
      <c r="Q60" s="175">
        <v>1</v>
      </c>
      <c r="R60" s="51"/>
    </row>
    <row r="61" spans="2:18" ht="15" customHeight="1" thickBot="1">
      <c r="B61" s="2"/>
      <c r="C61" s="130" t="s">
        <v>98</v>
      </c>
      <c r="D61" s="131"/>
      <c r="E61" s="55">
        <v>0</v>
      </c>
      <c r="F61" s="66">
        <v>0</v>
      </c>
      <c r="G61" s="56">
        <v>0</v>
      </c>
      <c r="H61" s="56">
        <v>0</v>
      </c>
      <c r="I61" s="56">
        <v>0</v>
      </c>
      <c r="J61" s="56">
        <v>0</v>
      </c>
      <c r="K61" s="56"/>
      <c r="L61" s="57">
        <v>0</v>
      </c>
      <c r="M61" s="57">
        <v>0</v>
      </c>
      <c r="N61" s="132"/>
      <c r="O61" s="56">
        <v>1986.4</v>
      </c>
      <c r="P61" s="57">
        <v>2.364237629438467E-3</v>
      </c>
      <c r="Q61" s="57">
        <v>0.37035752627125818</v>
      </c>
      <c r="R61" s="51"/>
    </row>
    <row r="62" spans="2:18" ht="15" customHeight="1" thickBot="1">
      <c r="B62" s="2"/>
      <c r="C62" s="170"/>
      <c r="D62" s="171" t="s">
        <v>99</v>
      </c>
      <c r="E62" s="172">
        <v>0</v>
      </c>
      <c r="F62" s="173">
        <v>0</v>
      </c>
      <c r="G62" s="174">
        <v>0</v>
      </c>
      <c r="H62" s="174">
        <v>0</v>
      </c>
      <c r="I62" s="174">
        <v>0</v>
      </c>
      <c r="J62" s="174">
        <v>0</v>
      </c>
      <c r="K62" s="174"/>
      <c r="L62" s="175">
        <v>0</v>
      </c>
      <c r="M62" s="175">
        <v>0</v>
      </c>
      <c r="N62" s="176"/>
      <c r="O62" s="174">
        <v>1986.4</v>
      </c>
      <c r="P62" s="175">
        <v>2.364237629438467E-3</v>
      </c>
      <c r="Q62" s="175">
        <v>0.37035752627125818</v>
      </c>
      <c r="R62" s="51"/>
    </row>
    <row r="63" spans="2:18" ht="15" customHeight="1" thickBot="1">
      <c r="B63" s="2"/>
      <c r="C63" s="130" t="s">
        <v>100</v>
      </c>
      <c r="D63" s="131"/>
      <c r="E63" s="55">
        <v>71</v>
      </c>
      <c r="F63" s="66">
        <v>0.9726027397260274</v>
      </c>
      <c r="G63" s="56">
        <v>11903.279999999999</v>
      </c>
      <c r="H63" s="56">
        <v>1.95</v>
      </c>
      <c r="I63" s="56">
        <v>0</v>
      </c>
      <c r="J63" s="56">
        <v>9997.58</v>
      </c>
      <c r="K63" s="56">
        <v>140.81098591549295</v>
      </c>
      <c r="L63" s="57">
        <v>0.24669308073085225</v>
      </c>
      <c r="M63" s="57">
        <v>0.84006509130256535</v>
      </c>
      <c r="N63" s="132"/>
      <c r="O63" s="56">
        <v>128.41015674850908</v>
      </c>
      <c r="P63" s="57">
        <v>0.22035799699426958</v>
      </c>
      <c r="Q63" s="57">
        <v>0.75718681748435945</v>
      </c>
      <c r="R63" s="51"/>
    </row>
    <row r="64" spans="2:18" ht="15" customHeight="1" thickBot="1">
      <c r="B64" s="2"/>
      <c r="C64" s="170"/>
      <c r="D64" s="171" t="s">
        <v>101</v>
      </c>
      <c r="E64" s="172">
        <v>0</v>
      </c>
      <c r="F64" s="173">
        <v>0</v>
      </c>
      <c r="G64" s="174">
        <v>0</v>
      </c>
      <c r="H64" s="174">
        <v>0</v>
      </c>
      <c r="I64" s="174">
        <v>0</v>
      </c>
      <c r="J64" s="174">
        <v>0</v>
      </c>
      <c r="K64" s="174"/>
      <c r="L64" s="175">
        <v>0</v>
      </c>
      <c r="M64" s="175">
        <v>0</v>
      </c>
      <c r="N64" s="176"/>
      <c r="O64" s="174">
        <v>168.52205254515647</v>
      </c>
      <c r="P64" s="175">
        <v>9.7721120585032822E-2</v>
      </c>
      <c r="Q64" s="175">
        <v>0.73980353921989217</v>
      </c>
      <c r="R64" s="51"/>
    </row>
    <row r="65" spans="2:18" ht="15" customHeight="1" thickBot="1">
      <c r="B65" s="2"/>
      <c r="C65" s="170"/>
      <c r="D65" s="171" t="s">
        <v>102</v>
      </c>
      <c r="E65" s="172">
        <v>0</v>
      </c>
      <c r="F65" s="173">
        <v>0</v>
      </c>
      <c r="G65" s="174">
        <v>0</v>
      </c>
      <c r="H65" s="174">
        <v>0</v>
      </c>
      <c r="I65" s="174">
        <v>0</v>
      </c>
      <c r="J65" s="174">
        <v>0</v>
      </c>
      <c r="K65" s="174"/>
      <c r="L65" s="175">
        <v>0</v>
      </c>
      <c r="M65" s="175">
        <v>0</v>
      </c>
      <c r="N65" s="176"/>
      <c r="O65" s="174">
        <v>35.641228070175444</v>
      </c>
      <c r="P65" s="175">
        <v>4.8359514257810299E-4</v>
      </c>
      <c r="Q65" s="175">
        <v>1.0000000000000002</v>
      </c>
      <c r="R65" s="51"/>
    </row>
    <row r="66" spans="2:18" ht="15" customHeight="1" thickBot="1">
      <c r="B66" s="2"/>
      <c r="C66" s="170"/>
      <c r="D66" s="171" t="s">
        <v>103</v>
      </c>
      <c r="E66" s="172">
        <v>0</v>
      </c>
      <c r="F66" s="173">
        <v>0</v>
      </c>
      <c r="G66" s="174">
        <v>0</v>
      </c>
      <c r="H66" s="174">
        <v>0</v>
      </c>
      <c r="I66" s="174">
        <v>0</v>
      </c>
      <c r="J66" s="174">
        <v>0</v>
      </c>
      <c r="K66" s="174"/>
      <c r="L66" s="175">
        <v>0</v>
      </c>
      <c r="M66" s="175">
        <v>0</v>
      </c>
      <c r="N66" s="176"/>
      <c r="O66" s="174">
        <v>230</v>
      </c>
      <c r="P66" s="175">
        <v>5.474976387141034E-4</v>
      </c>
      <c r="Q66" s="175">
        <v>0.1411042944785276</v>
      </c>
      <c r="R66" s="51"/>
    </row>
    <row r="67" spans="2:18" ht="15" customHeight="1" thickBot="1">
      <c r="B67" s="2"/>
      <c r="C67" s="170"/>
      <c r="D67" s="171" t="s">
        <v>104</v>
      </c>
      <c r="E67" s="172">
        <v>6</v>
      </c>
      <c r="F67" s="173">
        <v>8.2191780821917804E-2</v>
      </c>
      <c r="G67" s="174">
        <v>729.6</v>
      </c>
      <c r="H67" s="174">
        <v>0</v>
      </c>
      <c r="I67" s="174">
        <v>0</v>
      </c>
      <c r="J67" s="174">
        <v>729.6</v>
      </c>
      <c r="K67" s="174">
        <v>121.60000000000001</v>
      </c>
      <c r="L67" s="175">
        <v>1.8003083916430757E-2</v>
      </c>
      <c r="M67" s="175">
        <v>1</v>
      </c>
      <c r="N67" s="176"/>
      <c r="O67" s="174">
        <v>66.902633473305372</v>
      </c>
      <c r="P67" s="175">
        <v>2.6548086708086883E-2</v>
      </c>
      <c r="Q67" s="175">
        <v>0.84941158790978089</v>
      </c>
      <c r="R67" s="51"/>
    </row>
    <row r="68" spans="2:18" ht="15" customHeight="1" thickBot="1">
      <c r="B68" s="2"/>
      <c r="C68" s="170"/>
      <c r="D68" s="171" t="s">
        <v>105</v>
      </c>
      <c r="E68" s="172">
        <v>0</v>
      </c>
      <c r="F68" s="173">
        <v>0</v>
      </c>
      <c r="G68" s="174">
        <v>0</v>
      </c>
      <c r="H68" s="174">
        <v>0</v>
      </c>
      <c r="I68" s="174">
        <v>0</v>
      </c>
      <c r="J68" s="174">
        <v>0</v>
      </c>
      <c r="K68" s="174"/>
      <c r="L68" s="175">
        <v>0</v>
      </c>
      <c r="M68" s="175">
        <v>0</v>
      </c>
      <c r="N68" s="176"/>
      <c r="O68" s="174">
        <v>212.47750000000002</v>
      </c>
      <c r="P68" s="175">
        <v>2.0231466005195809E-4</v>
      </c>
      <c r="Q68" s="175">
        <v>0.49709356725146203</v>
      </c>
      <c r="R68" s="51"/>
    </row>
    <row r="69" spans="2:18" ht="15" customHeight="1" thickBot="1">
      <c r="B69" s="2"/>
      <c r="C69" s="170"/>
      <c r="D69" s="171" t="s">
        <v>106</v>
      </c>
      <c r="E69" s="172">
        <v>0</v>
      </c>
      <c r="F69" s="173">
        <v>0</v>
      </c>
      <c r="G69" s="174">
        <v>0</v>
      </c>
      <c r="H69" s="174">
        <v>0</v>
      </c>
      <c r="I69" s="174">
        <v>0</v>
      </c>
      <c r="J69" s="174">
        <v>0</v>
      </c>
      <c r="K69" s="174"/>
      <c r="L69" s="175">
        <v>0</v>
      </c>
      <c r="M69" s="175">
        <v>0</v>
      </c>
      <c r="N69" s="176"/>
      <c r="O69" s="174">
        <v>116.49935483870966</v>
      </c>
      <c r="P69" s="175">
        <v>1.7193711063158345E-3</v>
      </c>
      <c r="Q69" s="175">
        <v>0.84961898490051269</v>
      </c>
      <c r="R69" s="51"/>
    </row>
    <row r="70" spans="2:18" ht="15" customHeight="1" thickBot="1">
      <c r="B70" s="2"/>
      <c r="C70" s="170"/>
      <c r="D70" s="171" t="s">
        <v>107</v>
      </c>
      <c r="E70" s="172">
        <v>24</v>
      </c>
      <c r="F70" s="173">
        <v>0.32876712328767121</v>
      </c>
      <c r="G70" s="174">
        <v>5459.7</v>
      </c>
      <c r="H70" s="174">
        <v>0.72</v>
      </c>
      <c r="I70" s="174">
        <v>0</v>
      </c>
      <c r="J70" s="174">
        <v>4509.1499999999996</v>
      </c>
      <c r="K70" s="174">
        <v>187.88124999999999</v>
      </c>
      <c r="L70" s="175">
        <v>0.11126453651558901</v>
      </c>
      <c r="M70" s="175">
        <v>0.82602890268696083</v>
      </c>
      <c r="N70" s="176"/>
      <c r="O70" s="174">
        <v>177.07542197452275</v>
      </c>
      <c r="P70" s="175">
        <v>5.2942243264837152E-2</v>
      </c>
      <c r="Q70" s="175">
        <v>0.75965527447611847</v>
      </c>
      <c r="R70" s="51"/>
    </row>
    <row r="71" spans="2:18" ht="15" customHeight="1" thickBot="1">
      <c r="B71" s="2"/>
      <c r="C71" s="170"/>
      <c r="D71" s="171" t="s">
        <v>108</v>
      </c>
      <c r="E71" s="172">
        <v>41</v>
      </c>
      <c r="F71" s="173">
        <v>0.56164383561643838</v>
      </c>
      <c r="G71" s="174">
        <v>5713.98</v>
      </c>
      <c r="H71" s="174">
        <v>1.23</v>
      </c>
      <c r="I71" s="174">
        <v>0</v>
      </c>
      <c r="J71" s="174">
        <v>4758.83</v>
      </c>
      <c r="K71" s="174">
        <v>116.0690243902439</v>
      </c>
      <c r="L71" s="175">
        <v>0.11742546029883248</v>
      </c>
      <c r="M71" s="175">
        <v>0.83305506844616195</v>
      </c>
      <c r="N71" s="176"/>
      <c r="O71" s="174">
        <v>98.466481589714007</v>
      </c>
      <c r="P71" s="175">
        <v>4.0104475784627586E-2</v>
      </c>
      <c r="Q71" s="175">
        <v>0.78775984509150954</v>
      </c>
      <c r="R71" s="51"/>
    </row>
    <row r="72" spans="2:18" ht="15" customHeight="1" thickBot="1">
      <c r="B72" s="2"/>
      <c r="C72" s="170"/>
      <c r="D72" s="171" t="s">
        <v>110</v>
      </c>
      <c r="E72" s="172">
        <v>0</v>
      </c>
      <c r="F72" s="173">
        <v>0</v>
      </c>
      <c r="G72" s="174">
        <v>0</v>
      </c>
      <c r="H72" s="174">
        <v>0</v>
      </c>
      <c r="I72" s="174">
        <v>0</v>
      </c>
      <c r="J72" s="174">
        <v>0</v>
      </c>
      <c r="K72" s="174"/>
      <c r="L72" s="175">
        <v>0</v>
      </c>
      <c r="M72" s="175">
        <v>0</v>
      </c>
      <c r="N72" s="176"/>
      <c r="O72" s="174">
        <v>116.63666666666666</v>
      </c>
      <c r="P72" s="175">
        <v>8.3293434244544298E-5</v>
      </c>
      <c r="Q72" s="175">
        <v>0.87249158668827109</v>
      </c>
      <c r="R72" s="51"/>
    </row>
    <row r="73" spans="2:18" ht="15" customHeight="1" thickBot="1">
      <c r="B73" s="2"/>
      <c r="C73" s="170"/>
      <c r="D73" s="171" t="s">
        <v>292</v>
      </c>
      <c r="E73" s="172">
        <v>0</v>
      </c>
      <c r="F73" s="173">
        <v>0</v>
      </c>
      <c r="G73" s="174">
        <v>0</v>
      </c>
      <c r="H73" s="174">
        <v>0</v>
      </c>
      <c r="I73" s="174">
        <v>0</v>
      </c>
      <c r="J73" s="174">
        <v>0</v>
      </c>
      <c r="K73" s="174"/>
      <c r="L73" s="175">
        <v>0</v>
      </c>
      <c r="M73" s="175">
        <v>0</v>
      </c>
      <c r="N73" s="176"/>
      <c r="O73" s="174">
        <v>8.4</v>
      </c>
      <c r="P73" s="175">
        <v>5.9986697806936538E-6</v>
      </c>
      <c r="Q73" s="175">
        <v>1</v>
      </c>
      <c r="R73" s="51"/>
    </row>
    <row r="74" spans="2:18" ht="15" customHeight="1" thickBot="1">
      <c r="B74" s="2"/>
      <c r="C74" s="130" t="s">
        <v>111</v>
      </c>
      <c r="D74" s="131"/>
      <c r="E74" s="55">
        <v>42</v>
      </c>
      <c r="F74" s="66">
        <v>0.57534246575342463</v>
      </c>
      <c r="G74" s="56">
        <v>2453</v>
      </c>
      <c r="H74" s="56">
        <v>0</v>
      </c>
      <c r="I74" s="56">
        <v>0</v>
      </c>
      <c r="J74" s="56">
        <v>1574</v>
      </c>
      <c r="K74" s="56">
        <v>37.476190476190474</v>
      </c>
      <c r="L74" s="57">
        <v>3.8838889918396395E-2</v>
      </c>
      <c r="M74" s="57">
        <v>0.64166326946596008</v>
      </c>
      <c r="N74" s="132"/>
      <c r="O74" s="56">
        <v>40.888151311775466</v>
      </c>
      <c r="P74" s="57">
        <v>3.1905153527669532E-2</v>
      </c>
      <c r="Q74" s="57">
        <v>0.72449147429868277</v>
      </c>
      <c r="R74" s="51"/>
    </row>
    <row r="75" spans="2:18" ht="15" customHeight="1" thickBot="1">
      <c r="B75" s="2"/>
      <c r="C75" s="170"/>
      <c r="D75" s="171" t="s">
        <v>112</v>
      </c>
      <c r="E75" s="172">
        <v>42</v>
      </c>
      <c r="F75" s="173">
        <v>0.57534246575342463</v>
      </c>
      <c r="G75" s="174">
        <v>2453</v>
      </c>
      <c r="H75" s="174">
        <v>0</v>
      </c>
      <c r="I75" s="174">
        <v>0</v>
      </c>
      <c r="J75" s="174">
        <v>1574</v>
      </c>
      <c r="K75" s="174">
        <v>37.476190476190474</v>
      </c>
      <c r="L75" s="175">
        <v>3.8838889918396395E-2</v>
      </c>
      <c r="M75" s="175">
        <v>0.64166326946596008</v>
      </c>
      <c r="N75" s="176"/>
      <c r="O75" s="174">
        <v>42.058135109419595</v>
      </c>
      <c r="P75" s="175">
        <v>3.1566642878926146E-2</v>
      </c>
      <c r="Q75" s="175">
        <v>0.72603844319125954</v>
      </c>
      <c r="R75" s="51"/>
    </row>
    <row r="76" spans="2:18" ht="15" customHeight="1" thickBot="1">
      <c r="B76" s="2"/>
      <c r="C76" s="170"/>
      <c r="D76" s="171" t="s">
        <v>293</v>
      </c>
      <c r="E76" s="172">
        <v>0</v>
      </c>
      <c r="F76" s="173">
        <v>0</v>
      </c>
      <c r="G76" s="174">
        <v>0</v>
      </c>
      <c r="H76" s="174">
        <v>0</v>
      </c>
      <c r="I76" s="174">
        <v>0</v>
      </c>
      <c r="J76" s="174">
        <v>0</v>
      </c>
      <c r="K76" s="174"/>
      <c r="L76" s="175">
        <v>0</v>
      </c>
      <c r="M76" s="175">
        <v>0</v>
      </c>
      <c r="N76" s="176"/>
      <c r="O76" s="174">
        <v>2.1328000000000005</v>
      </c>
      <c r="P76" s="175">
        <v>3.8077270560307822E-5</v>
      </c>
      <c r="Q76" s="175">
        <v>1</v>
      </c>
      <c r="R76" s="51"/>
    </row>
    <row r="77" spans="2:18" ht="15" customHeight="1" thickBot="1">
      <c r="B77" s="2"/>
      <c r="C77" s="170"/>
      <c r="D77" s="171" t="s">
        <v>113</v>
      </c>
      <c r="E77" s="172">
        <v>0</v>
      </c>
      <c r="F77" s="173">
        <v>0</v>
      </c>
      <c r="G77" s="174">
        <v>0</v>
      </c>
      <c r="H77" s="174">
        <v>0</v>
      </c>
      <c r="I77" s="174">
        <v>0</v>
      </c>
      <c r="J77" s="174">
        <v>0</v>
      </c>
      <c r="K77" s="174"/>
      <c r="L77" s="175">
        <v>0</v>
      </c>
      <c r="M77" s="175">
        <v>0</v>
      </c>
      <c r="N77" s="176"/>
      <c r="O77" s="174">
        <v>25.241999999999997</v>
      </c>
      <c r="P77" s="175">
        <v>3.0043337818307385E-4</v>
      </c>
      <c r="Q77" s="175">
        <v>0.54202128331571653</v>
      </c>
      <c r="R77" s="51"/>
    </row>
    <row r="78" spans="2:18" ht="15" customHeight="1" thickBot="1">
      <c r="B78" s="2"/>
      <c r="C78" s="130" t="s">
        <v>114</v>
      </c>
      <c r="D78" s="131"/>
      <c r="E78" s="55">
        <v>2257</v>
      </c>
      <c r="F78" s="66">
        <v>30.917808219178081</v>
      </c>
      <c r="G78" s="56">
        <v>43167.900000000067</v>
      </c>
      <c r="H78" s="56">
        <v>20534.21000000001</v>
      </c>
      <c r="I78" s="56">
        <v>0</v>
      </c>
      <c r="J78" s="56">
        <v>16855.279999999981</v>
      </c>
      <c r="K78" s="56">
        <v>7.468001772264067</v>
      </c>
      <c r="L78" s="57">
        <v>0.41590874489437635</v>
      </c>
      <c r="M78" s="57">
        <v>0.86614104461880237</v>
      </c>
      <c r="N78" s="132"/>
      <c r="O78" s="56">
        <v>4.6795199488126045</v>
      </c>
      <c r="P78" s="57">
        <v>0.3917115156101888</v>
      </c>
      <c r="Q78" s="57">
        <v>0.93224282505416611</v>
      </c>
      <c r="R78" s="51"/>
    </row>
    <row r="79" spans="2:18" ht="15" customHeight="1" thickBot="1">
      <c r="B79" s="2"/>
      <c r="C79" s="170"/>
      <c r="D79" s="171" t="s">
        <v>294</v>
      </c>
      <c r="E79" s="172">
        <v>0</v>
      </c>
      <c r="F79" s="173">
        <v>0</v>
      </c>
      <c r="G79" s="174">
        <v>0</v>
      </c>
      <c r="H79" s="174">
        <v>0</v>
      </c>
      <c r="I79" s="174">
        <v>0</v>
      </c>
      <c r="J79" s="174">
        <v>0</v>
      </c>
      <c r="K79" s="174"/>
      <c r="L79" s="175">
        <v>0</v>
      </c>
      <c r="M79" s="175">
        <v>0</v>
      </c>
      <c r="N79" s="176"/>
      <c r="O79" s="174">
        <v>12.908224137931022</v>
      </c>
      <c r="P79" s="175">
        <v>7.1286763419053621E-3</v>
      </c>
      <c r="Q79" s="175">
        <v>0.82772882370320466</v>
      </c>
      <c r="R79" s="51"/>
    </row>
    <row r="80" spans="2:18" ht="15" customHeight="1" thickBot="1">
      <c r="B80" s="2"/>
      <c r="C80" s="170"/>
      <c r="D80" s="171" t="s">
        <v>295</v>
      </c>
      <c r="E80" s="172">
        <v>0</v>
      </c>
      <c r="F80" s="173">
        <v>0</v>
      </c>
      <c r="G80" s="174">
        <v>0</v>
      </c>
      <c r="H80" s="174">
        <v>0</v>
      </c>
      <c r="I80" s="174">
        <v>0</v>
      </c>
      <c r="J80" s="174">
        <v>0</v>
      </c>
      <c r="K80" s="174"/>
      <c r="L80" s="175">
        <v>0</v>
      </c>
      <c r="M80" s="175">
        <v>0</v>
      </c>
      <c r="N80" s="176"/>
      <c r="O80" s="174">
        <v>7.14</v>
      </c>
      <c r="P80" s="175">
        <v>3.3992462090597372E-6</v>
      </c>
      <c r="Q80" s="175">
        <v>1</v>
      </c>
      <c r="R80" s="51"/>
    </row>
    <row r="81" spans="2:18" ht="15" customHeight="1" thickBot="1">
      <c r="B81" s="2"/>
      <c r="C81" s="170"/>
      <c r="D81" s="171" t="s">
        <v>115</v>
      </c>
      <c r="E81" s="172">
        <v>79</v>
      </c>
      <c r="F81" s="173">
        <v>1.0821917808219179</v>
      </c>
      <c r="G81" s="174">
        <v>2843.73</v>
      </c>
      <c r="H81" s="174">
        <v>1706.18</v>
      </c>
      <c r="I81" s="174">
        <v>0</v>
      </c>
      <c r="J81" s="174">
        <v>1137.55</v>
      </c>
      <c r="K81" s="174">
        <v>14.399367088607594</v>
      </c>
      <c r="L81" s="175">
        <v>2.8069364184670789E-2</v>
      </c>
      <c r="M81" s="175">
        <v>1</v>
      </c>
      <c r="N81" s="176"/>
      <c r="O81" s="174">
        <v>11.111481637466333</v>
      </c>
      <c r="P81" s="175">
        <v>3.1401491406420373E-2</v>
      </c>
      <c r="Q81" s="175">
        <v>1.0000027765426043</v>
      </c>
      <c r="R81" s="51"/>
    </row>
    <row r="82" spans="2:18" ht="15" customHeight="1" thickBot="1">
      <c r="B82" s="2"/>
      <c r="C82" s="170"/>
      <c r="D82" s="171" t="s">
        <v>297</v>
      </c>
      <c r="E82" s="172">
        <v>0</v>
      </c>
      <c r="F82" s="173">
        <v>0</v>
      </c>
      <c r="G82" s="174">
        <v>0</v>
      </c>
      <c r="H82" s="174">
        <v>0</v>
      </c>
      <c r="I82" s="174">
        <v>0</v>
      </c>
      <c r="J82" s="174">
        <v>0</v>
      </c>
      <c r="K82" s="174"/>
      <c r="L82" s="175">
        <v>0</v>
      </c>
      <c r="M82" s="175">
        <v>0</v>
      </c>
      <c r="N82" s="176"/>
      <c r="O82" s="174">
        <v>17.42400793650793</v>
      </c>
      <c r="P82" s="175">
        <v>2.0904173973459303E-3</v>
      </c>
      <c r="Q82" s="175">
        <v>1.0000000000000007</v>
      </c>
      <c r="R82" s="51"/>
    </row>
    <row r="83" spans="2:18" ht="15" customHeight="1" thickBot="1">
      <c r="B83" s="2"/>
      <c r="C83" s="170"/>
      <c r="D83" s="171" t="s">
        <v>67</v>
      </c>
      <c r="E83" s="172">
        <v>33</v>
      </c>
      <c r="F83" s="173">
        <v>0.45205479452054792</v>
      </c>
      <c r="G83" s="174">
        <v>1060.51</v>
      </c>
      <c r="H83" s="174">
        <v>288.94</v>
      </c>
      <c r="I83" s="174">
        <v>0</v>
      </c>
      <c r="J83" s="174">
        <v>508.42</v>
      </c>
      <c r="K83" s="174">
        <v>15.406666666666666</v>
      </c>
      <c r="L83" s="175">
        <v>1.2545405598672869E-2</v>
      </c>
      <c r="M83" s="175">
        <v>0.75186466888572479</v>
      </c>
      <c r="N83" s="176"/>
      <c r="O83" s="174">
        <v>20.920003639010179</v>
      </c>
      <c r="P83" s="175">
        <v>1.3684624925649974E-2</v>
      </c>
      <c r="Q83" s="175">
        <v>0.84693508328271849</v>
      </c>
      <c r="R83" s="51"/>
    </row>
    <row r="84" spans="2:18" ht="15" customHeight="1" thickBot="1">
      <c r="B84" s="2"/>
      <c r="C84" s="170"/>
      <c r="D84" s="171" t="s">
        <v>298</v>
      </c>
      <c r="E84" s="172">
        <v>0</v>
      </c>
      <c r="F84" s="173">
        <v>0</v>
      </c>
      <c r="G84" s="174">
        <v>0</v>
      </c>
      <c r="H84" s="174">
        <v>0</v>
      </c>
      <c r="I84" s="174">
        <v>0</v>
      </c>
      <c r="J84" s="174">
        <v>0</v>
      </c>
      <c r="K84" s="174"/>
      <c r="L84" s="175">
        <v>0</v>
      </c>
      <c r="M84" s="175">
        <v>0</v>
      </c>
      <c r="N84" s="176"/>
      <c r="O84" s="174">
        <v>14.94</v>
      </c>
      <c r="P84" s="175">
        <v>3.5563542271255235E-6</v>
      </c>
      <c r="Q84" s="175">
        <v>1</v>
      </c>
      <c r="R84" s="51"/>
    </row>
    <row r="85" spans="2:18" ht="15" customHeight="1" thickBot="1">
      <c r="B85" s="2"/>
      <c r="C85" s="170"/>
      <c r="D85" s="171" t="s">
        <v>299</v>
      </c>
      <c r="E85" s="172">
        <v>0</v>
      </c>
      <c r="F85" s="173">
        <v>0</v>
      </c>
      <c r="G85" s="174">
        <v>0</v>
      </c>
      <c r="H85" s="174">
        <v>0</v>
      </c>
      <c r="I85" s="174">
        <v>0</v>
      </c>
      <c r="J85" s="174">
        <v>0</v>
      </c>
      <c r="K85" s="174"/>
      <c r="L85" s="175">
        <v>0</v>
      </c>
      <c r="M85" s="175">
        <v>0</v>
      </c>
      <c r="N85" s="176"/>
      <c r="O85" s="174">
        <v>7.4310278745644629</v>
      </c>
      <c r="P85" s="175">
        <v>1.015348653542402E-3</v>
      </c>
      <c r="Q85" s="175">
        <v>0.90534741339301028</v>
      </c>
      <c r="R85" s="51"/>
    </row>
    <row r="86" spans="2:18" ht="15" customHeight="1" thickBot="1">
      <c r="B86" s="2"/>
      <c r="C86" s="170"/>
      <c r="D86" s="171" t="s">
        <v>116</v>
      </c>
      <c r="E86" s="172">
        <v>319</v>
      </c>
      <c r="F86" s="173">
        <v>4.3698630136986303</v>
      </c>
      <c r="G86" s="174">
        <v>7955.7600000000202</v>
      </c>
      <c r="H86" s="174">
        <v>4357.6800000000203</v>
      </c>
      <c r="I86" s="174">
        <v>0</v>
      </c>
      <c r="J86" s="174">
        <v>3349.88</v>
      </c>
      <c r="K86" s="174">
        <v>10.501191222570533</v>
      </c>
      <c r="L86" s="175">
        <v>8.2659225260379748E-2</v>
      </c>
      <c r="M86" s="175">
        <v>0.96880247770169037</v>
      </c>
      <c r="N86" s="176"/>
      <c r="O86" s="174">
        <v>7.4918051543081194</v>
      </c>
      <c r="P86" s="175">
        <v>7.777979738283515E-2</v>
      </c>
      <c r="Q86" s="175">
        <v>0.94866482470826186</v>
      </c>
      <c r="R86" s="51"/>
    </row>
    <row r="87" spans="2:18" ht="15" customHeight="1" thickBot="1">
      <c r="B87" s="2"/>
      <c r="C87" s="170"/>
      <c r="D87" s="171" t="s">
        <v>117</v>
      </c>
      <c r="E87" s="172">
        <v>542</v>
      </c>
      <c r="F87" s="173">
        <v>7.4246575342465757</v>
      </c>
      <c r="G87" s="174">
        <v>26405.67</v>
      </c>
      <c r="H87" s="174">
        <v>11498.19</v>
      </c>
      <c r="I87" s="174">
        <v>0</v>
      </c>
      <c r="J87" s="174">
        <v>9655.7299999999796</v>
      </c>
      <c r="K87" s="174">
        <v>17.814999999999998</v>
      </c>
      <c r="L87" s="175">
        <v>0.23825783643694895</v>
      </c>
      <c r="M87" s="175">
        <v>0.8011127913058067</v>
      </c>
      <c r="N87" s="176"/>
      <c r="O87" s="174">
        <v>5.5401547950888528</v>
      </c>
      <c r="P87" s="175">
        <v>0.15565306689513719</v>
      </c>
      <c r="Q87" s="175">
        <v>0.90605135284518812</v>
      </c>
      <c r="R87" s="51"/>
    </row>
    <row r="88" spans="2:18" ht="15" customHeight="1" thickBot="1">
      <c r="B88" s="2"/>
      <c r="C88" s="170"/>
      <c r="D88" s="171" t="s">
        <v>302</v>
      </c>
      <c r="E88" s="172">
        <v>0</v>
      </c>
      <c r="F88" s="173">
        <v>0</v>
      </c>
      <c r="G88" s="174">
        <v>0</v>
      </c>
      <c r="H88" s="174">
        <v>0</v>
      </c>
      <c r="I88" s="174">
        <v>0</v>
      </c>
      <c r="J88" s="174">
        <v>0</v>
      </c>
      <c r="K88" s="174"/>
      <c r="L88" s="175">
        <v>0</v>
      </c>
      <c r="M88" s="175">
        <v>0</v>
      </c>
      <c r="N88" s="176"/>
      <c r="O88" s="174">
        <v>14.075000000000001</v>
      </c>
      <c r="P88" s="175">
        <v>6.700895012957396E-6</v>
      </c>
      <c r="Q88" s="175">
        <v>1</v>
      </c>
      <c r="R88" s="51"/>
    </row>
    <row r="89" spans="2:18" ht="15" customHeight="1" thickBot="1">
      <c r="B89" s="2"/>
      <c r="C89" s="170"/>
      <c r="D89" s="171" t="s">
        <v>303</v>
      </c>
      <c r="E89" s="172">
        <v>0</v>
      </c>
      <c r="F89" s="173">
        <v>0</v>
      </c>
      <c r="G89" s="174">
        <v>0</v>
      </c>
      <c r="H89" s="174">
        <v>0</v>
      </c>
      <c r="I89" s="174">
        <v>0</v>
      </c>
      <c r="J89" s="174">
        <v>0</v>
      </c>
      <c r="K89" s="174"/>
      <c r="L89" s="175">
        <v>0</v>
      </c>
      <c r="M89" s="175">
        <v>0</v>
      </c>
      <c r="N89" s="176"/>
      <c r="O89" s="174">
        <v>18</v>
      </c>
      <c r="P89" s="175">
        <v>4.284764129066896E-6</v>
      </c>
      <c r="Q89" s="175">
        <v>1</v>
      </c>
      <c r="R89" s="51"/>
    </row>
    <row r="90" spans="2:18" ht="15" customHeight="1" thickBot="1">
      <c r="B90" s="2"/>
      <c r="C90" s="170"/>
      <c r="D90" s="171" t="s">
        <v>309</v>
      </c>
      <c r="E90" s="172">
        <v>0</v>
      </c>
      <c r="F90" s="173">
        <v>0</v>
      </c>
      <c r="G90" s="174">
        <v>0</v>
      </c>
      <c r="H90" s="174">
        <v>0</v>
      </c>
      <c r="I90" s="174">
        <v>0</v>
      </c>
      <c r="J90" s="174">
        <v>0</v>
      </c>
      <c r="K90" s="174"/>
      <c r="L90" s="175">
        <v>0</v>
      </c>
      <c r="M90" s="175">
        <v>0</v>
      </c>
      <c r="N90" s="176"/>
      <c r="O90" s="174">
        <v>1.82</v>
      </c>
      <c r="P90" s="175">
        <v>6.0653216671458058E-6</v>
      </c>
      <c r="Q90" s="175">
        <v>1</v>
      </c>
      <c r="R90" s="51"/>
    </row>
    <row r="91" spans="2:18" ht="15" customHeight="1" thickBot="1">
      <c r="B91" s="2"/>
      <c r="C91" s="170"/>
      <c r="D91" s="171" t="s">
        <v>118</v>
      </c>
      <c r="E91" s="172">
        <v>0</v>
      </c>
      <c r="F91" s="173">
        <v>0</v>
      </c>
      <c r="G91" s="174">
        <v>0</v>
      </c>
      <c r="H91" s="174">
        <v>0</v>
      </c>
      <c r="I91" s="174">
        <v>0</v>
      </c>
      <c r="J91" s="174">
        <v>0</v>
      </c>
      <c r="K91" s="174"/>
      <c r="L91" s="175">
        <v>0</v>
      </c>
      <c r="M91" s="175">
        <v>0</v>
      </c>
      <c r="N91" s="176"/>
      <c r="O91" s="174">
        <v>13.647373855902366</v>
      </c>
      <c r="P91" s="175">
        <v>1.3842516103381573E-2</v>
      </c>
      <c r="Q91" s="175">
        <v>0.8777703020589247</v>
      </c>
      <c r="R91" s="51"/>
    </row>
    <row r="92" spans="2:18" ht="15" customHeight="1" thickBot="1">
      <c r="B92" s="2"/>
      <c r="C92" s="170"/>
      <c r="D92" s="171" t="s">
        <v>310</v>
      </c>
      <c r="E92" s="172">
        <v>0</v>
      </c>
      <c r="F92" s="173">
        <v>0</v>
      </c>
      <c r="G92" s="174">
        <v>0</v>
      </c>
      <c r="H92" s="174">
        <v>0</v>
      </c>
      <c r="I92" s="174">
        <v>0</v>
      </c>
      <c r="J92" s="174">
        <v>0</v>
      </c>
      <c r="K92" s="174"/>
      <c r="L92" s="175">
        <v>0</v>
      </c>
      <c r="M92" s="175">
        <v>0</v>
      </c>
      <c r="N92" s="176"/>
      <c r="O92" s="174">
        <v>1.6200000000000006</v>
      </c>
      <c r="P92" s="175">
        <v>3.8562877161602075E-6</v>
      </c>
      <c r="Q92" s="175">
        <v>1.0000000000000002</v>
      </c>
      <c r="R92" s="51"/>
    </row>
    <row r="93" spans="2:18" ht="15" customHeight="1" thickBot="1">
      <c r="B93" s="2"/>
      <c r="C93" s="170"/>
      <c r="D93" s="171" t="s">
        <v>311</v>
      </c>
      <c r="E93" s="172">
        <v>0</v>
      </c>
      <c r="F93" s="173">
        <v>0</v>
      </c>
      <c r="G93" s="174">
        <v>0</v>
      </c>
      <c r="H93" s="174">
        <v>0</v>
      </c>
      <c r="I93" s="174">
        <v>0</v>
      </c>
      <c r="J93" s="174">
        <v>0</v>
      </c>
      <c r="K93" s="174"/>
      <c r="L93" s="175">
        <v>0</v>
      </c>
      <c r="M93" s="175">
        <v>0</v>
      </c>
      <c r="N93" s="176"/>
      <c r="O93" s="174">
        <v>15.45</v>
      </c>
      <c r="P93" s="175">
        <v>7.3555117548981711E-6</v>
      </c>
      <c r="Q93" s="175">
        <v>1</v>
      </c>
      <c r="R93" s="51"/>
    </row>
    <row r="94" spans="2:18" ht="15" customHeight="1" thickBot="1">
      <c r="B94" s="2"/>
      <c r="C94" s="170"/>
      <c r="D94" s="171" t="s">
        <v>312</v>
      </c>
      <c r="E94" s="172">
        <v>0</v>
      </c>
      <c r="F94" s="173">
        <v>0</v>
      </c>
      <c r="G94" s="174">
        <v>0</v>
      </c>
      <c r="H94" s="174">
        <v>0</v>
      </c>
      <c r="I94" s="174">
        <v>0</v>
      </c>
      <c r="J94" s="174">
        <v>0</v>
      </c>
      <c r="K94" s="174"/>
      <c r="L94" s="175">
        <v>0</v>
      </c>
      <c r="M94" s="175">
        <v>0</v>
      </c>
      <c r="N94" s="176"/>
      <c r="O94" s="174">
        <v>0.9</v>
      </c>
      <c r="P94" s="175">
        <v>2.1423820645334479E-7</v>
      </c>
      <c r="Q94" s="175">
        <v>1</v>
      </c>
      <c r="R94" s="51"/>
    </row>
    <row r="95" spans="2:18" ht="15" customHeight="1" thickBot="1">
      <c r="B95" s="2"/>
      <c r="C95" s="170"/>
      <c r="D95" s="171" t="s">
        <v>119</v>
      </c>
      <c r="E95" s="172">
        <v>1284</v>
      </c>
      <c r="F95" s="173">
        <v>17.589041095890412</v>
      </c>
      <c r="G95" s="174">
        <v>4902.2300000000496</v>
      </c>
      <c r="H95" s="174">
        <v>2683.2199999999898</v>
      </c>
      <c r="I95" s="174">
        <v>0</v>
      </c>
      <c r="J95" s="174">
        <v>2203.6999999999998</v>
      </c>
      <c r="K95" s="174">
        <v>1.7162772585669781</v>
      </c>
      <c r="L95" s="175">
        <v>5.4376913413704021E-2</v>
      </c>
      <c r="M95" s="175">
        <v>0.99687693151892109</v>
      </c>
      <c r="N95" s="176"/>
      <c r="O95" s="174">
        <v>2.2199663130734342</v>
      </c>
      <c r="P95" s="175">
        <v>8.847458055111164E-2</v>
      </c>
      <c r="Q95" s="175">
        <v>0.98195491248106159</v>
      </c>
      <c r="R95" s="51"/>
    </row>
    <row r="96" spans="2:18" ht="15" customHeight="1" thickBot="1">
      <c r="B96" s="2"/>
      <c r="C96" s="170"/>
      <c r="D96" s="171" t="s">
        <v>314</v>
      </c>
      <c r="E96" s="172">
        <v>0</v>
      </c>
      <c r="F96" s="173">
        <v>0</v>
      </c>
      <c r="G96" s="174">
        <v>0</v>
      </c>
      <c r="H96" s="174">
        <v>0</v>
      </c>
      <c r="I96" s="174">
        <v>0</v>
      </c>
      <c r="J96" s="174">
        <v>0</v>
      </c>
      <c r="K96" s="174"/>
      <c r="L96" s="175">
        <v>0</v>
      </c>
      <c r="M96" s="175">
        <v>0</v>
      </c>
      <c r="N96" s="176"/>
      <c r="O96" s="174">
        <v>0.44</v>
      </c>
      <c r="P96" s="175">
        <v>3.1421603613157236E-7</v>
      </c>
      <c r="Q96" s="175">
        <v>0.99999999999999989</v>
      </c>
      <c r="R96" s="51"/>
    </row>
    <row r="97" spans="2:18" ht="15" customHeight="1" thickBot="1">
      <c r="B97" s="2"/>
      <c r="C97" s="170"/>
      <c r="D97" s="171" t="s">
        <v>267</v>
      </c>
      <c r="E97" s="172">
        <v>0</v>
      </c>
      <c r="F97" s="173">
        <v>0</v>
      </c>
      <c r="G97" s="174">
        <v>0</v>
      </c>
      <c r="H97" s="174">
        <v>0</v>
      </c>
      <c r="I97" s="174">
        <v>0</v>
      </c>
      <c r="J97" s="174">
        <v>0</v>
      </c>
      <c r="K97" s="174"/>
      <c r="L97" s="175">
        <v>0</v>
      </c>
      <c r="M97" s="175">
        <v>0</v>
      </c>
      <c r="N97" s="176"/>
      <c r="O97" s="174">
        <v>13.405405405405405</v>
      </c>
      <c r="P97" s="175">
        <v>1.1806905600095447E-4</v>
      </c>
      <c r="Q97" s="175">
        <v>1</v>
      </c>
      <c r="R97" s="51"/>
    </row>
    <row r="98" spans="2:18" ht="15" customHeight="1" thickBot="1">
      <c r="B98" s="2"/>
      <c r="C98" s="170"/>
      <c r="D98" s="171" t="s">
        <v>120</v>
      </c>
      <c r="E98" s="172">
        <v>0</v>
      </c>
      <c r="F98" s="173">
        <v>0</v>
      </c>
      <c r="G98" s="174">
        <v>0</v>
      </c>
      <c r="H98" s="174">
        <v>0</v>
      </c>
      <c r="I98" s="174">
        <v>0</v>
      </c>
      <c r="J98" s="174">
        <v>0</v>
      </c>
      <c r="K98" s="174"/>
      <c r="L98" s="175">
        <v>0</v>
      </c>
      <c r="M98" s="175">
        <v>0</v>
      </c>
      <c r="N98" s="176"/>
      <c r="O98" s="174">
        <v>8.8615837104072419</v>
      </c>
      <c r="P98" s="175">
        <v>4.6618471766699448E-4</v>
      </c>
      <c r="Q98" s="175">
        <v>0.98940599099760784</v>
      </c>
      <c r="R98" s="51"/>
    </row>
    <row r="99" spans="2:18" ht="15" customHeight="1" thickBot="1">
      <c r="B99" s="2"/>
      <c r="C99" s="170"/>
      <c r="D99" s="171" t="s">
        <v>316</v>
      </c>
      <c r="E99" s="172">
        <v>0</v>
      </c>
      <c r="F99" s="173">
        <v>0</v>
      </c>
      <c r="G99" s="174">
        <v>0</v>
      </c>
      <c r="H99" s="174">
        <v>0</v>
      </c>
      <c r="I99" s="174">
        <v>0</v>
      </c>
      <c r="J99" s="174">
        <v>0</v>
      </c>
      <c r="K99" s="174"/>
      <c r="L99" s="175">
        <v>0</v>
      </c>
      <c r="M99" s="175">
        <v>0</v>
      </c>
      <c r="N99" s="176"/>
      <c r="O99" s="174">
        <v>4.8</v>
      </c>
      <c r="P99" s="175">
        <v>1.1426037677511722E-6</v>
      </c>
      <c r="Q99" s="175">
        <v>1</v>
      </c>
      <c r="R99" s="51"/>
    </row>
    <row r="100" spans="2:18" ht="15" customHeight="1" thickBot="1">
      <c r="B100" s="2"/>
      <c r="C100" s="170"/>
      <c r="D100" s="171" t="s">
        <v>317</v>
      </c>
      <c r="E100" s="172">
        <v>0</v>
      </c>
      <c r="F100" s="173">
        <v>0</v>
      </c>
      <c r="G100" s="174">
        <v>0</v>
      </c>
      <c r="H100" s="174">
        <v>0</v>
      </c>
      <c r="I100" s="174">
        <v>0</v>
      </c>
      <c r="J100" s="174">
        <v>0</v>
      </c>
      <c r="K100" s="174"/>
      <c r="L100" s="175">
        <v>0</v>
      </c>
      <c r="M100" s="175">
        <v>0</v>
      </c>
      <c r="N100" s="176"/>
      <c r="O100" s="174">
        <v>1.8</v>
      </c>
      <c r="P100" s="175">
        <v>1.2854292387200688E-6</v>
      </c>
      <c r="Q100" s="175">
        <v>0.94736842105263153</v>
      </c>
      <c r="R100" s="51"/>
    </row>
    <row r="101" spans="2:18" ht="15" customHeight="1" thickBot="1">
      <c r="B101" s="2"/>
      <c r="C101" s="170"/>
      <c r="D101" s="171" t="s">
        <v>318</v>
      </c>
      <c r="E101" s="172">
        <v>0</v>
      </c>
      <c r="F101" s="173">
        <v>0</v>
      </c>
      <c r="G101" s="174">
        <v>0</v>
      </c>
      <c r="H101" s="174">
        <v>0</v>
      </c>
      <c r="I101" s="174">
        <v>0</v>
      </c>
      <c r="J101" s="174">
        <v>0</v>
      </c>
      <c r="K101" s="174"/>
      <c r="L101" s="175">
        <v>0</v>
      </c>
      <c r="M101" s="175">
        <v>0</v>
      </c>
      <c r="N101" s="176"/>
      <c r="O101" s="174">
        <v>39</v>
      </c>
      <c r="P101" s="175">
        <v>1.856731122595655E-5</v>
      </c>
      <c r="Q101" s="175">
        <v>0.7384615384615385</v>
      </c>
      <c r="R101" s="51"/>
    </row>
    <row r="102" spans="2:18" ht="15" customHeight="1" thickBot="1">
      <c r="B102" s="2"/>
      <c r="C102" s="133" t="s">
        <v>34</v>
      </c>
      <c r="D102" s="134"/>
      <c r="E102" s="122">
        <v>2532</v>
      </c>
      <c r="F102" s="123">
        <v>34.684931506849317</v>
      </c>
      <c r="G102" s="124">
        <v>80348.190000000061</v>
      </c>
      <c r="H102" s="124">
        <v>26822.650000000009</v>
      </c>
      <c r="I102" s="124">
        <v>0</v>
      </c>
      <c r="J102" s="124">
        <v>40526.389999999985</v>
      </c>
      <c r="K102" s="124">
        <v>16.005683254344387</v>
      </c>
      <c r="L102" s="125">
        <v>1.0000000000000002</v>
      </c>
      <c r="M102" s="125">
        <v>0.83821477496879448</v>
      </c>
      <c r="N102" s="132"/>
      <c r="O102" s="124">
        <v>10.967801913195911</v>
      </c>
      <c r="P102" s="125">
        <v>1</v>
      </c>
      <c r="Q102" s="125">
        <v>0.86233657514337936</v>
      </c>
      <c r="R102" s="51"/>
    </row>
    <row r="103" spans="2:18" ht="15" customHeight="1">
      <c r="B103" s="2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3"/>
      <c r="Q103" s="13"/>
      <c r="R103" s="51"/>
    </row>
    <row r="104" spans="2:18" ht="15" customHeight="1">
      <c r="B104" s="2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3"/>
      <c r="Q104" s="13"/>
      <c r="R104" s="51"/>
    </row>
    <row r="105" spans="2:18" ht="15" customHeight="1">
      <c r="B105" s="2"/>
      <c r="C105" s="134" t="s">
        <v>121</v>
      </c>
      <c r="D105" s="134"/>
      <c r="E105" s="1"/>
      <c r="F105" s="1"/>
      <c r="G105" s="1"/>
      <c r="H105" s="153">
        <v>0.39829999999999999</v>
      </c>
      <c r="I105" s="153">
        <v>0</v>
      </c>
      <c r="J105" s="153">
        <v>0.60170000000000001</v>
      </c>
      <c r="K105" s="1"/>
      <c r="L105" s="1"/>
      <c r="M105" s="1"/>
      <c r="N105" s="1"/>
      <c r="O105" s="1"/>
      <c r="P105" s="13"/>
      <c r="Q105" s="13"/>
      <c r="R105" s="51"/>
    </row>
    <row r="106" spans="2:18" ht="15" customHeight="1">
      <c r="B106" s="2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3"/>
      <c r="Q106" s="13"/>
      <c r="R106" s="51"/>
    </row>
    <row r="107" spans="2:18" ht="15" customHeight="1">
      <c r="B107" s="2"/>
      <c r="C107" s="134" t="s">
        <v>122</v>
      </c>
      <c r="D107" s="134"/>
      <c r="E107" s="1"/>
      <c r="F107" s="1"/>
      <c r="G107" s="124">
        <v>1100.6600000000001</v>
      </c>
      <c r="H107" s="124">
        <v>367.43</v>
      </c>
      <c r="I107" s="124">
        <v>0</v>
      </c>
      <c r="J107" s="124">
        <v>555.16</v>
      </c>
      <c r="K107" s="1"/>
      <c r="L107" s="1"/>
      <c r="M107" s="1"/>
      <c r="N107" s="1"/>
      <c r="O107" s="1"/>
      <c r="P107" s="13"/>
      <c r="Q107" s="13"/>
      <c r="R107" s="51"/>
    </row>
    <row r="108" spans="2:18" ht="15" customHeight="1">
      <c r="B108" s="2"/>
      <c r="C108" s="134" t="s">
        <v>123</v>
      </c>
      <c r="D108" s="134"/>
      <c r="E108" s="1"/>
      <c r="F108" s="1"/>
      <c r="G108" s="124">
        <v>2434.79</v>
      </c>
      <c r="H108" s="124">
        <v>812.81</v>
      </c>
      <c r="I108" s="124">
        <v>0</v>
      </c>
      <c r="J108" s="124">
        <v>1228.07</v>
      </c>
      <c r="K108" s="1"/>
      <c r="L108" s="1"/>
      <c r="M108" s="1"/>
      <c r="N108" s="1"/>
      <c r="O108" s="1"/>
      <c r="P108" s="13"/>
      <c r="Q108" s="13"/>
      <c r="R108" s="51"/>
    </row>
    <row r="109" spans="2:18" ht="15" customHeight="1">
      <c r="B109" s="2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3"/>
      <c r="Q109" s="13"/>
      <c r="R109" s="51"/>
    </row>
    <row r="110" spans="2:18" ht="15" customHeight="1">
      <c r="B110" s="2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3"/>
      <c r="Q110" s="13"/>
      <c r="R110" s="51"/>
    </row>
    <row r="111" spans="2:18" ht="12" customHeight="1">
      <c r="B111" s="3"/>
      <c r="C111" s="135"/>
      <c r="D111" s="135"/>
      <c r="E111" s="135"/>
      <c r="F111" s="135"/>
      <c r="G111" s="135"/>
      <c r="H111" s="135"/>
      <c r="I111" s="135"/>
      <c r="J111" s="135"/>
      <c r="K111" s="135"/>
      <c r="L111" s="135"/>
      <c r="M111" s="135"/>
      <c r="N111" s="135"/>
      <c r="O111" s="135"/>
      <c r="P111" s="136"/>
      <c r="Q111" s="136"/>
      <c r="R111" s="52"/>
    </row>
  </sheetData>
  <mergeCells count="3">
    <mergeCell ref="O12:Q12"/>
    <mergeCell ref="E12:M12"/>
    <mergeCell ref="C8:Q8"/>
  </mergeCells>
  <pageMargins left="0.70866141732283472" right="0.70866141732283472" top="0.74803149606299213" bottom="0.74803149606299213" header="0.31496062992125984" footer="0.31496062992125984"/>
  <pageSetup paperSize="9" scale="54"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27">
    <tabColor theme="4" tint="0.79998168889431442"/>
    <pageSetUpPr fitToPage="1"/>
  </sheetPr>
  <dimension ref="A1:AD76"/>
  <sheetViews>
    <sheetView showGridLines="0" zoomScale="85" zoomScaleNormal="85" workbookViewId="0">
      <selection activeCell="K20" sqref="K20"/>
    </sheetView>
  </sheetViews>
  <sheetFormatPr baseColWidth="10" defaultColWidth="11.42578125" defaultRowHeight="15"/>
  <cols>
    <col min="1" max="1" width="2.85546875" style="5" customWidth="1"/>
    <col min="2" max="2" width="4.28515625" customWidth="1"/>
    <col min="3" max="3" width="14.28515625" customWidth="1"/>
    <col min="4" max="9" width="11.42578125" customWidth="1"/>
    <col min="10" max="11" width="18.5703125" customWidth="1"/>
    <col min="12" max="12" width="4.28515625" customWidth="1"/>
    <col min="13" max="16" width="11.42578125" customWidth="1"/>
    <col min="17" max="17" width="14.28515625" customWidth="1"/>
    <col min="18" max="18" width="21.42578125" customWidth="1"/>
    <col min="19" max="19" width="4.28515625" customWidth="1"/>
    <col min="20" max="20" width="2.85546875" customWidth="1"/>
    <col min="21" max="27" width="11.42578125" customWidth="1"/>
  </cols>
  <sheetData>
    <row r="1" spans="1:30"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</row>
    <row r="2" spans="1:30">
      <c r="B2" s="48"/>
      <c r="C2" s="49"/>
      <c r="D2" s="49"/>
      <c r="E2" s="49"/>
      <c r="F2" s="49"/>
      <c r="G2" s="49"/>
      <c r="H2" s="49"/>
      <c r="I2" s="49"/>
      <c r="J2" s="49"/>
      <c r="K2" s="49"/>
      <c r="L2" s="49"/>
      <c r="M2" s="49"/>
      <c r="N2" s="49"/>
      <c r="O2" s="49"/>
      <c r="P2" s="49"/>
      <c r="Q2" s="49"/>
      <c r="R2" s="49"/>
      <c r="S2" s="50"/>
    </row>
    <row r="3" spans="1:30">
      <c r="B3" s="2"/>
      <c r="S3" s="51"/>
    </row>
    <row r="4" spans="1:30">
      <c r="B4" s="2"/>
      <c r="H4" s="33"/>
      <c r="S4" s="51"/>
    </row>
    <row r="5" spans="1:30">
      <c r="B5" s="2"/>
      <c r="S5" s="51"/>
    </row>
    <row r="6" spans="1:30">
      <c r="B6" s="2"/>
      <c r="S6" s="51"/>
    </row>
    <row r="7" spans="1:30">
      <c r="B7" s="2"/>
      <c r="S7" s="51"/>
    </row>
    <row r="8" spans="1:30" ht="60" customHeight="1">
      <c r="B8" s="2"/>
      <c r="C8" s="244" t="str">
        <f>'Page de garde'!C13&amp;" : Détail des Prestations Réglées - Synthèse par famille d'actes"</f>
        <v>60000016 - 60000017 - 60000018 - 60000087 : Détail des Prestations Réglées - Synthèse par famille d'actes</v>
      </c>
      <c r="D8" s="245"/>
      <c r="E8" s="245"/>
      <c r="F8" s="245"/>
      <c r="G8" s="245"/>
      <c r="H8" s="245"/>
      <c r="I8" s="245"/>
      <c r="J8" s="245"/>
      <c r="K8" s="245"/>
      <c r="L8" s="245"/>
      <c r="M8" s="245"/>
      <c r="N8" s="245"/>
      <c r="O8" s="245"/>
      <c r="P8" s="245"/>
      <c r="Q8" s="245"/>
      <c r="R8" s="246"/>
      <c r="S8" s="51"/>
    </row>
    <row r="9" spans="1:30" ht="11.25" customHeight="1">
      <c r="B9" s="2"/>
      <c r="S9" s="51"/>
    </row>
    <row r="10" spans="1:30" ht="7.5" customHeight="1">
      <c r="B10" s="2"/>
      <c r="S10" s="51"/>
    </row>
    <row r="11" spans="1:30">
      <c r="B11" s="2"/>
      <c r="D11" s="253" t="s">
        <v>124</v>
      </c>
      <c r="E11" s="253"/>
      <c r="F11" s="253"/>
      <c r="G11" s="253"/>
      <c r="H11" s="253"/>
      <c r="I11" s="253"/>
      <c r="J11" s="253"/>
      <c r="K11" s="253"/>
      <c r="L11" s="253"/>
      <c r="M11" s="253"/>
      <c r="N11" s="253"/>
      <c r="O11" s="253"/>
      <c r="P11" s="253"/>
      <c r="Q11" s="253"/>
      <c r="S11" s="51"/>
    </row>
    <row r="12" spans="1:30">
      <c r="B12" s="2"/>
      <c r="S12" s="51"/>
      <c r="AD12" s="61"/>
    </row>
    <row r="13" spans="1:30" s="59" customFormat="1">
      <c r="A13" s="58"/>
      <c r="B13" s="2"/>
      <c r="D13" s="253" t="s">
        <v>125</v>
      </c>
      <c r="E13" s="253"/>
      <c r="F13" s="253"/>
      <c r="G13" s="253"/>
      <c r="H13" s="62"/>
      <c r="O13" s="253" t="s">
        <v>126</v>
      </c>
      <c r="P13" s="253"/>
      <c r="Q13" s="253"/>
      <c r="S13" s="51"/>
    </row>
    <row r="14" spans="1:30">
      <c r="B14" s="2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1"/>
    </row>
    <row r="15" spans="1:30">
      <c r="B15" s="2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1"/>
    </row>
    <row r="16" spans="1:30">
      <c r="B16" s="2"/>
      <c r="C16" s="5"/>
      <c r="D16" s="5"/>
      <c r="E16" s="5"/>
      <c r="F16" s="60"/>
      <c r="G16" s="60"/>
      <c r="H16" s="60"/>
      <c r="I16" s="60"/>
      <c r="J16" s="60"/>
      <c r="K16" s="60"/>
      <c r="L16" s="60"/>
      <c r="M16" s="60"/>
      <c r="N16" s="5"/>
      <c r="O16" s="5"/>
      <c r="P16" s="5"/>
      <c r="Q16" s="5"/>
      <c r="R16" s="5"/>
      <c r="S16" s="51"/>
    </row>
    <row r="17" spans="1:19">
      <c r="B17" s="2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1"/>
    </row>
    <row r="18" spans="1:19">
      <c r="B18" s="2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1"/>
    </row>
    <row r="19" spans="1:19">
      <c r="B19" s="2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1"/>
    </row>
    <row r="20" spans="1:19">
      <c r="B20" s="2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1"/>
    </row>
    <row r="21" spans="1:19">
      <c r="B21" s="2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1"/>
    </row>
    <row r="22" spans="1:19">
      <c r="B22" s="2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1"/>
    </row>
    <row r="23" spans="1:19">
      <c r="B23" s="2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1"/>
    </row>
    <row r="24" spans="1:19">
      <c r="B24" s="2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1"/>
    </row>
    <row r="25" spans="1:19">
      <c r="B25" s="2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1"/>
    </row>
    <row r="26" spans="1:19">
      <c r="B26" s="2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1"/>
    </row>
    <row r="27" spans="1:19">
      <c r="B27" s="2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1"/>
    </row>
    <row r="28" spans="1:19">
      <c r="B28" s="2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1"/>
    </row>
    <row r="29" spans="1:19" s="59" customFormat="1">
      <c r="A29" s="58"/>
      <c r="B29" s="2"/>
      <c r="C29" s="58"/>
      <c r="D29" s="58"/>
      <c r="E29" s="58"/>
      <c r="F29" s="58"/>
      <c r="G29" s="58"/>
      <c r="H29" s="58"/>
      <c r="I29" s="58"/>
      <c r="J29" s="58"/>
      <c r="K29" s="58"/>
      <c r="L29" s="58"/>
      <c r="M29" s="58"/>
      <c r="N29" s="58"/>
      <c r="O29" s="58"/>
      <c r="P29" s="58"/>
      <c r="Q29" s="58"/>
      <c r="R29" s="58"/>
      <c r="S29" s="51"/>
    </row>
    <row r="30" spans="1:19">
      <c r="B30" s="2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1"/>
    </row>
    <row r="31" spans="1:19" s="59" customFormat="1">
      <c r="A31" s="58"/>
      <c r="B31" s="2"/>
      <c r="C31" s="58"/>
      <c r="D31" s="254" t="s">
        <v>127</v>
      </c>
      <c r="E31" s="254"/>
      <c r="F31" s="254"/>
      <c r="G31" s="254"/>
      <c r="H31" s="58"/>
      <c r="I31" s="58"/>
      <c r="L31" s="58"/>
      <c r="M31" s="58"/>
      <c r="O31" s="128" t="s">
        <v>128</v>
      </c>
      <c r="P31" s="63"/>
      <c r="Q31" s="63"/>
      <c r="R31" s="58"/>
      <c r="S31" s="51"/>
    </row>
    <row r="32" spans="1:19" s="126" customFormat="1">
      <c r="B32" s="75"/>
      <c r="J32" s="127"/>
      <c r="K32" s="127"/>
      <c r="S32" s="76"/>
    </row>
    <row r="33" spans="2:19">
      <c r="B33" s="2"/>
      <c r="H33" s="62"/>
      <c r="K33" s="68"/>
      <c r="S33" s="51"/>
    </row>
    <row r="34" spans="2:19">
      <c r="B34" s="2"/>
      <c r="C34" s="5"/>
      <c r="D34" s="5"/>
      <c r="E34" s="5">
        <v>0</v>
      </c>
      <c r="F34" s="5"/>
      <c r="G34" s="5"/>
      <c r="H34" s="5"/>
      <c r="I34" s="5"/>
      <c r="J34" s="64">
        <v>0.86614104461880081</v>
      </c>
      <c r="K34" s="65">
        <v>0.93224282505416611</v>
      </c>
      <c r="L34" s="5"/>
      <c r="M34" s="5"/>
      <c r="N34" s="5"/>
      <c r="O34" s="5"/>
      <c r="P34" s="5"/>
      <c r="Q34" s="5"/>
      <c r="R34" s="5"/>
      <c r="S34" s="51"/>
    </row>
    <row r="35" spans="2:19">
      <c r="B35" s="2"/>
      <c r="C35" s="5"/>
      <c r="D35" s="5"/>
      <c r="E35" s="5"/>
      <c r="F35" s="5"/>
      <c r="G35" s="5"/>
      <c r="H35" s="5"/>
      <c r="I35" s="5"/>
      <c r="J35" s="64">
        <v>0.64166326946596008</v>
      </c>
      <c r="K35" s="65">
        <v>0.72449147429868277</v>
      </c>
      <c r="L35" s="5"/>
      <c r="M35" s="5"/>
      <c r="N35" s="5"/>
      <c r="O35" s="5"/>
      <c r="P35" s="5"/>
      <c r="Q35" s="5"/>
      <c r="R35" s="5"/>
      <c r="S35" s="51"/>
    </row>
    <row r="36" spans="2:19">
      <c r="B36" s="2"/>
      <c r="C36" s="5"/>
      <c r="D36" s="5"/>
      <c r="E36" s="5"/>
      <c r="F36" s="5"/>
      <c r="G36" s="5"/>
      <c r="H36" s="5"/>
      <c r="I36" s="5"/>
      <c r="J36" s="64">
        <v>0.84006509130256546</v>
      </c>
      <c r="K36" s="65">
        <v>0.75718681748435945</v>
      </c>
      <c r="L36" s="5"/>
      <c r="M36" s="5"/>
      <c r="N36" s="5"/>
      <c r="O36" s="5"/>
      <c r="P36" s="5"/>
      <c r="Q36" s="5"/>
      <c r="R36" s="5"/>
      <c r="S36" s="51"/>
    </row>
    <row r="37" spans="2:19">
      <c r="B37" s="2"/>
      <c r="C37" s="5"/>
      <c r="D37" s="5"/>
      <c r="E37" s="5"/>
      <c r="F37" s="5"/>
      <c r="G37" s="5"/>
      <c r="H37" s="5"/>
      <c r="I37" s="5"/>
      <c r="J37" s="64">
        <v>0.71525565038779926</v>
      </c>
      <c r="K37" s="65">
        <v>0.91552398849854155</v>
      </c>
      <c r="L37" s="5"/>
      <c r="M37" s="5"/>
      <c r="N37" s="5"/>
      <c r="O37" s="5"/>
      <c r="P37" s="5"/>
      <c r="Q37" s="5"/>
      <c r="R37" s="5"/>
      <c r="S37" s="51"/>
    </row>
    <row r="38" spans="2:19">
      <c r="B38" s="2"/>
      <c r="C38" s="5"/>
      <c r="D38" s="5"/>
      <c r="E38" s="5"/>
      <c r="F38" s="5"/>
      <c r="G38" s="5"/>
      <c r="H38" s="5"/>
      <c r="I38" s="5"/>
      <c r="J38" s="64">
        <v>0.84495038165537129</v>
      </c>
      <c r="K38" s="65">
        <v>0.77483369660121415</v>
      </c>
      <c r="L38" s="5"/>
      <c r="M38" s="5"/>
      <c r="N38" s="5"/>
      <c r="O38" s="5"/>
      <c r="P38" s="5"/>
      <c r="Q38" s="5"/>
      <c r="R38" s="5"/>
      <c r="S38" s="51"/>
    </row>
    <row r="39" spans="2:19">
      <c r="B39" s="2"/>
      <c r="C39" s="5"/>
      <c r="D39" s="5"/>
      <c r="E39" s="5"/>
      <c r="F39" s="5"/>
      <c r="G39" s="5"/>
      <c r="H39" s="5"/>
      <c r="I39" s="5"/>
      <c r="J39" s="64"/>
      <c r="K39" s="65"/>
      <c r="L39" s="5"/>
      <c r="M39" s="5"/>
      <c r="N39" s="5"/>
      <c r="O39" s="5"/>
      <c r="P39" s="5"/>
      <c r="Q39" s="5"/>
      <c r="R39" s="5"/>
      <c r="S39" s="51"/>
    </row>
    <row r="40" spans="2:19">
      <c r="B40" s="2"/>
      <c r="C40" s="5"/>
      <c r="D40" s="5"/>
      <c r="E40" s="5"/>
      <c r="F40" s="5"/>
      <c r="G40" s="5"/>
      <c r="H40" s="5"/>
      <c r="I40" s="5"/>
      <c r="J40" s="64"/>
      <c r="K40" s="65"/>
      <c r="L40" s="5"/>
      <c r="M40" s="5"/>
      <c r="N40" s="5"/>
      <c r="O40" s="5"/>
      <c r="P40" s="5"/>
      <c r="Q40" s="5"/>
      <c r="R40" s="5"/>
      <c r="S40" s="51"/>
    </row>
    <row r="41" spans="2:19">
      <c r="B41" s="2"/>
      <c r="C41" s="5"/>
      <c r="D41" s="5"/>
      <c r="E41" s="5"/>
      <c r="F41" s="5"/>
      <c r="G41" s="5"/>
      <c r="H41" s="5"/>
      <c r="I41" s="5"/>
      <c r="J41" s="64"/>
      <c r="K41" s="65"/>
      <c r="L41" s="5"/>
      <c r="M41" s="5"/>
      <c r="N41" s="5"/>
      <c r="O41" s="5"/>
      <c r="P41" s="5"/>
      <c r="Q41" s="5"/>
      <c r="R41" s="5"/>
      <c r="S41" s="51"/>
    </row>
    <row r="42" spans="2:19">
      <c r="B42" s="2"/>
      <c r="C42" s="5"/>
      <c r="D42" s="5"/>
      <c r="E42" s="5"/>
      <c r="F42" s="5"/>
      <c r="G42" s="5"/>
      <c r="H42" s="5"/>
      <c r="I42" s="5"/>
      <c r="J42" s="64"/>
      <c r="K42" s="65"/>
      <c r="L42" s="5"/>
      <c r="M42" s="5"/>
      <c r="N42" s="5"/>
      <c r="O42" s="5"/>
      <c r="P42" s="5"/>
      <c r="Q42" s="5"/>
      <c r="R42" s="5"/>
      <c r="S42" s="51"/>
    </row>
    <row r="43" spans="2:19">
      <c r="B43" s="2"/>
      <c r="C43" s="5"/>
      <c r="D43" s="5"/>
      <c r="E43" s="5"/>
      <c r="F43" s="5"/>
      <c r="G43" s="5"/>
      <c r="H43" s="5"/>
      <c r="I43" s="5"/>
      <c r="J43" s="64"/>
      <c r="K43" s="65"/>
      <c r="L43" s="5"/>
      <c r="M43" s="5"/>
      <c r="N43" s="5"/>
      <c r="O43" s="5"/>
      <c r="P43" s="5"/>
      <c r="Q43" s="5"/>
      <c r="R43" s="5"/>
      <c r="S43" s="51"/>
    </row>
    <row r="44" spans="2:19">
      <c r="B44" s="2"/>
      <c r="C44" s="5"/>
      <c r="D44" s="5"/>
      <c r="E44" s="5"/>
      <c r="F44" s="5"/>
      <c r="G44" s="5"/>
      <c r="H44" s="5"/>
      <c r="I44" s="5"/>
      <c r="J44" s="64"/>
      <c r="K44" s="65"/>
      <c r="L44" s="5"/>
      <c r="M44" s="5"/>
      <c r="N44" s="5"/>
      <c r="O44" s="5"/>
      <c r="P44" s="5"/>
      <c r="Q44" s="5"/>
      <c r="R44" s="5"/>
      <c r="S44" s="51"/>
    </row>
    <row r="45" spans="2:19">
      <c r="B45" s="2"/>
      <c r="C45" s="5"/>
      <c r="D45" s="5"/>
      <c r="E45" s="5"/>
      <c r="F45" s="5"/>
      <c r="G45" s="5"/>
      <c r="H45" s="5"/>
      <c r="I45" s="5"/>
      <c r="J45" s="64"/>
      <c r="K45" s="65"/>
      <c r="L45" s="5"/>
      <c r="M45" s="5"/>
      <c r="N45" s="5"/>
      <c r="O45" s="5"/>
      <c r="P45" s="5"/>
      <c r="Q45" s="5"/>
      <c r="R45" s="5"/>
      <c r="S45" s="51"/>
    </row>
    <row r="46" spans="2:19">
      <c r="B46" s="2"/>
      <c r="C46" s="5"/>
      <c r="D46" s="5"/>
      <c r="E46" s="5"/>
      <c r="F46" s="5"/>
      <c r="G46" s="5"/>
      <c r="H46" s="5"/>
      <c r="I46" s="5"/>
      <c r="J46" s="64"/>
      <c r="K46" s="65"/>
      <c r="L46" s="5"/>
      <c r="M46" s="5"/>
      <c r="N46" s="5"/>
      <c r="O46" s="5"/>
      <c r="P46" s="5"/>
      <c r="Q46" s="5"/>
      <c r="R46" s="5"/>
      <c r="S46" s="51"/>
    </row>
    <row r="47" spans="2:19">
      <c r="B47" s="2"/>
      <c r="C47" s="5"/>
      <c r="D47" s="5"/>
      <c r="E47" s="5"/>
      <c r="F47" s="5"/>
      <c r="G47" s="5"/>
      <c r="H47" s="5"/>
      <c r="I47" s="5"/>
      <c r="J47" s="64"/>
      <c r="K47" s="65"/>
      <c r="L47" s="5"/>
      <c r="M47" s="5"/>
      <c r="N47" s="5"/>
      <c r="O47" s="5"/>
      <c r="P47" s="5"/>
      <c r="Q47" s="5"/>
      <c r="R47" s="5"/>
      <c r="S47" s="51"/>
    </row>
    <row r="48" spans="2:19">
      <c r="B48" s="2"/>
      <c r="C48" s="5"/>
      <c r="D48" s="5"/>
      <c r="E48" s="5"/>
      <c r="F48" s="5"/>
      <c r="G48" s="5"/>
      <c r="H48" s="5"/>
      <c r="I48" s="5"/>
      <c r="J48" s="64"/>
      <c r="K48" s="65"/>
      <c r="L48" s="5"/>
      <c r="M48" s="5"/>
      <c r="N48" s="5"/>
      <c r="O48" s="5"/>
      <c r="P48" s="5"/>
      <c r="Q48" s="5"/>
      <c r="R48" s="5"/>
      <c r="S48" s="51"/>
    </row>
    <row r="49" spans="2:19">
      <c r="B49" s="2"/>
      <c r="C49" s="5"/>
      <c r="D49" s="5"/>
      <c r="E49" s="5"/>
      <c r="F49" s="5"/>
      <c r="G49" s="5"/>
      <c r="H49" s="5"/>
      <c r="I49" s="5"/>
      <c r="J49" s="69"/>
      <c r="K49" s="67"/>
      <c r="L49" s="5"/>
      <c r="M49" s="5"/>
      <c r="N49" s="5"/>
      <c r="O49" s="5"/>
      <c r="P49" s="5"/>
      <c r="Q49" s="5"/>
      <c r="R49" s="5"/>
      <c r="S49" s="51"/>
    </row>
    <row r="50" spans="2:19">
      <c r="B50" s="2"/>
      <c r="J50" s="68"/>
      <c r="K50" s="68"/>
      <c r="S50" s="51"/>
    </row>
    <row r="51" spans="2:19">
      <c r="B51" s="3"/>
      <c r="C51" s="4"/>
      <c r="D51" s="4"/>
      <c r="E51" s="4"/>
      <c r="F51" s="4"/>
      <c r="G51" s="4"/>
      <c r="H51" s="4"/>
      <c r="I51" s="4"/>
      <c r="J51" s="70"/>
      <c r="K51" s="4"/>
      <c r="L51" s="4"/>
      <c r="M51" s="4"/>
      <c r="N51" s="4"/>
      <c r="O51" s="4"/>
      <c r="P51" s="4"/>
      <c r="Q51" s="4"/>
      <c r="R51" s="4"/>
      <c r="S51" s="52"/>
    </row>
    <row r="66" spans="5:14">
      <c r="E66" s="151"/>
      <c r="F66" s="152" t="s">
        <v>129</v>
      </c>
      <c r="G66" s="152" t="s">
        <v>130</v>
      </c>
      <c r="H66" s="152" t="s">
        <v>62</v>
      </c>
      <c r="I66" s="152" t="s">
        <v>60</v>
      </c>
      <c r="J66" s="152" t="s">
        <v>131</v>
      </c>
      <c r="K66" s="152" t="s">
        <v>62</v>
      </c>
      <c r="L66" s="152" t="s">
        <v>132</v>
      </c>
      <c r="M66" s="152" t="s">
        <v>129</v>
      </c>
      <c r="N66" s="152" t="s">
        <v>130</v>
      </c>
    </row>
    <row r="67" spans="5:14">
      <c r="E67" s="151" t="s">
        <v>80</v>
      </c>
      <c r="F67" s="151">
        <v>9606.92</v>
      </c>
      <c r="G67" s="151">
        <v>1955768.559999994</v>
      </c>
      <c r="H67" s="151">
        <v>9606.92</v>
      </c>
      <c r="I67" s="151">
        <v>3820.44</v>
      </c>
      <c r="J67" s="151">
        <v>0</v>
      </c>
      <c r="K67" s="151">
        <v>9606.92</v>
      </c>
      <c r="L67" s="151">
        <v>2463.9399999999987</v>
      </c>
      <c r="M67" s="151">
        <v>74.47224806201551</v>
      </c>
      <c r="N67" s="151">
        <v>79.457567238156898</v>
      </c>
    </row>
    <row r="68" spans="5:14">
      <c r="E68" s="151" t="s">
        <v>88</v>
      </c>
      <c r="F68" s="151">
        <v>2492.61</v>
      </c>
      <c r="G68" s="151">
        <v>850281.63999999978</v>
      </c>
      <c r="H68" s="151">
        <v>2492.61</v>
      </c>
      <c r="I68" s="151">
        <v>2466.0500000000002</v>
      </c>
      <c r="J68" s="151">
        <v>0</v>
      </c>
      <c r="K68" s="151">
        <v>2492.61</v>
      </c>
      <c r="L68" s="151">
        <v>1974.0499999999997</v>
      </c>
      <c r="M68" s="151">
        <v>75.533636363636361</v>
      </c>
      <c r="N68" s="151">
        <v>58.382425157923635</v>
      </c>
    </row>
    <row r="69" spans="5:14">
      <c r="E69" s="151" t="s">
        <v>100</v>
      </c>
      <c r="F69" s="151">
        <v>9997.58</v>
      </c>
      <c r="G69" s="151">
        <v>1851417.6400000041</v>
      </c>
      <c r="H69" s="151">
        <v>9997.58</v>
      </c>
      <c r="I69" s="151">
        <v>1.95</v>
      </c>
      <c r="J69" s="151">
        <v>0</v>
      </c>
      <c r="K69" s="151">
        <v>9997.58</v>
      </c>
      <c r="L69" s="151">
        <v>1903.7499999999982</v>
      </c>
      <c r="M69" s="151">
        <v>140.81098591549295</v>
      </c>
      <c r="N69" s="151">
        <v>128.41015674850908</v>
      </c>
    </row>
    <row r="70" spans="5:14">
      <c r="E70" s="151" t="s">
        <v>111</v>
      </c>
      <c r="F70" s="151">
        <v>1574</v>
      </c>
      <c r="G70" s="151">
        <v>268062.71999999997</v>
      </c>
      <c r="H70" s="151">
        <v>1574</v>
      </c>
      <c r="I70" s="151">
        <v>0</v>
      </c>
      <c r="J70" s="151">
        <v>0</v>
      </c>
      <c r="K70" s="151">
        <v>1574</v>
      </c>
      <c r="L70" s="151">
        <v>879</v>
      </c>
      <c r="M70" s="151">
        <v>37.476190476190474</v>
      </c>
      <c r="N70" s="151">
        <v>40.888151311775466</v>
      </c>
    </row>
    <row r="71" spans="5:14">
      <c r="E71" s="151" t="s">
        <v>114</v>
      </c>
      <c r="F71" s="151">
        <v>16855.279999999981</v>
      </c>
      <c r="G71" s="151">
        <v>3291106.3799999049</v>
      </c>
      <c r="H71" s="151">
        <v>16855.279999999981</v>
      </c>
      <c r="I71" s="151">
        <v>20534.21000000001</v>
      </c>
      <c r="J71" s="151">
        <v>0</v>
      </c>
      <c r="K71" s="151">
        <v>16855.279999999981</v>
      </c>
      <c r="L71" s="151">
        <v>5778.4100000000763</v>
      </c>
      <c r="M71" s="151">
        <v>7.468001772264059</v>
      </c>
      <c r="N71" s="151">
        <v>4.6795199488126045</v>
      </c>
    </row>
    <row r="72" spans="5:14">
      <c r="E72" s="151"/>
      <c r="F72" s="151"/>
      <c r="G72" s="151"/>
      <c r="H72" s="151"/>
      <c r="I72" s="151"/>
      <c r="J72" s="151"/>
      <c r="K72" s="151"/>
      <c r="L72" s="151"/>
      <c r="M72" s="151"/>
      <c r="N72" s="151"/>
    </row>
    <row r="73" spans="5:14">
      <c r="E73" s="151"/>
      <c r="F73" s="151"/>
      <c r="G73" s="151"/>
      <c r="H73" s="151"/>
      <c r="I73" s="151"/>
      <c r="J73" s="151"/>
      <c r="K73" s="151"/>
      <c r="L73" s="151"/>
      <c r="M73" s="151"/>
      <c r="N73" s="151"/>
    </row>
    <row r="74" spans="5:14">
      <c r="E74" s="151"/>
      <c r="F74" s="151"/>
      <c r="G74" s="151"/>
      <c r="H74" s="151"/>
      <c r="I74" s="151"/>
      <c r="J74" s="151"/>
      <c r="K74" s="151"/>
      <c r="L74" s="151"/>
      <c r="M74" s="151"/>
      <c r="N74" s="151"/>
    </row>
    <row r="75" spans="5:14">
      <c r="E75" s="151"/>
      <c r="F75" s="151"/>
      <c r="G75" s="151"/>
      <c r="H75" s="151"/>
      <c r="I75" s="151"/>
      <c r="J75" s="151"/>
      <c r="K75" s="151"/>
      <c r="L75" s="151"/>
      <c r="M75" s="151"/>
      <c r="N75" s="151"/>
    </row>
    <row r="76" spans="5:14">
      <c r="E76" s="151"/>
      <c r="F76" s="151"/>
      <c r="G76" s="151"/>
      <c r="H76" s="151"/>
      <c r="I76" s="151"/>
      <c r="J76" s="151"/>
      <c r="K76" s="151"/>
      <c r="L76" s="151"/>
      <c r="M76" s="151"/>
      <c r="N76" s="151"/>
    </row>
  </sheetData>
  <mergeCells count="5">
    <mergeCell ref="D11:Q11"/>
    <mergeCell ref="D13:G13"/>
    <mergeCell ref="O13:Q13"/>
    <mergeCell ref="D31:G31"/>
    <mergeCell ref="C8:R8"/>
  </mergeCells>
  <pageMargins left="0.70866141732283472" right="0.70866141732283472" top="0.74803149606299213" bottom="0.74803149606299213" header="0.31496062992125984" footer="0.31496062992125984"/>
  <pageSetup paperSize="9" scale="59" orientation="landscape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C73E7A-3B03-429C-90D6-1FC449305A8F}">
  <sheetPr>
    <tabColor theme="4" tint="0.79998168889431442"/>
  </sheetPr>
  <dimension ref="A1:V31"/>
  <sheetViews>
    <sheetView showGridLines="0" zoomScale="70" zoomScaleNormal="70" workbookViewId="0">
      <selection activeCell="C21" sqref="C21:Q21"/>
    </sheetView>
  </sheetViews>
  <sheetFormatPr baseColWidth="10" defaultColWidth="11.42578125" defaultRowHeight="15"/>
  <cols>
    <col min="1" max="1" width="2.85546875" style="5" customWidth="1"/>
    <col min="2" max="2" width="4.28515625" customWidth="1"/>
    <col min="3" max="3" width="10" customWidth="1"/>
    <col min="4" max="4" width="50.7109375" customWidth="1"/>
    <col min="5" max="5" width="12" bestFit="1" customWidth="1"/>
    <col min="6" max="11" width="14.28515625" customWidth="1"/>
    <col min="12" max="12" width="15.7109375" customWidth="1"/>
    <col min="13" max="13" width="10.7109375" customWidth="1"/>
    <col min="14" max="14" width="1.42578125" customWidth="1"/>
    <col min="15" max="15" width="14.28515625" customWidth="1"/>
    <col min="16" max="16" width="15.7109375" customWidth="1"/>
    <col min="17" max="17" width="10.7109375" customWidth="1"/>
    <col min="18" max="18" width="4.28515625" customWidth="1"/>
    <col min="19" max="19" width="2.85546875" customWidth="1"/>
    <col min="22" max="22" width="16.7109375" bestFit="1" customWidth="1"/>
  </cols>
  <sheetData>
    <row r="1" spans="1:22">
      <c r="A1" s="5">
        <v>0</v>
      </c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</row>
    <row r="2" spans="1:22" ht="15" customHeight="1">
      <c r="B2" s="48"/>
      <c r="C2" s="49"/>
      <c r="D2" s="49"/>
      <c r="E2" s="49"/>
      <c r="F2" s="49"/>
      <c r="G2" s="49"/>
      <c r="H2" s="49"/>
      <c r="I2" s="49"/>
      <c r="J2" s="49"/>
      <c r="K2" s="49"/>
      <c r="L2" s="49"/>
      <c r="M2" s="49"/>
      <c r="N2" s="49"/>
      <c r="O2" s="49"/>
      <c r="P2" s="49"/>
      <c r="Q2" s="49"/>
      <c r="R2" s="50"/>
      <c r="V2" s="35"/>
    </row>
    <row r="3" spans="1:22" ht="15" customHeight="1">
      <c r="B3" s="2"/>
      <c r="R3" s="51"/>
    </row>
    <row r="4" spans="1:22" ht="15" customHeight="1">
      <c r="B4" s="2"/>
      <c r="R4" s="51"/>
    </row>
    <row r="5" spans="1:22" ht="15" customHeight="1">
      <c r="B5" s="2"/>
      <c r="R5" s="51"/>
    </row>
    <row r="6" spans="1:22" ht="15" customHeight="1" thickBot="1">
      <c r="B6" s="2"/>
      <c r="R6" s="51"/>
    </row>
    <row r="7" spans="1:22" ht="15" hidden="1" customHeight="1">
      <c r="B7" s="2"/>
      <c r="R7" s="51"/>
    </row>
    <row r="8" spans="1:22" ht="60" customHeight="1" thickBot="1">
      <c r="B8" s="2"/>
      <c r="C8" s="244" t="str">
        <f>'Page de garde'!C13&amp;" : Détail des Prestations Réglées - Synthèse par famille d'actes"</f>
        <v>60000016 - 60000017 - 60000018 - 60000087 : Détail des Prestations Réglées - Synthèse par famille d'actes</v>
      </c>
      <c r="D8" s="245"/>
      <c r="E8" s="245"/>
      <c r="F8" s="245"/>
      <c r="G8" s="245"/>
      <c r="H8" s="245"/>
      <c r="I8" s="245"/>
      <c r="J8" s="245"/>
      <c r="K8" s="245"/>
      <c r="L8" s="245"/>
      <c r="M8" s="245"/>
      <c r="N8" s="245"/>
      <c r="O8" s="245"/>
      <c r="P8" s="245"/>
      <c r="Q8" s="246"/>
      <c r="R8" s="51"/>
    </row>
    <row r="9" spans="1:22">
      <c r="B9" s="2"/>
      <c r="R9" s="51"/>
    </row>
    <row r="10" spans="1:22">
      <c r="B10" s="2"/>
      <c r="R10" s="51"/>
    </row>
    <row r="11" spans="1:22" ht="15.75" thickBot="1">
      <c r="B11" s="2"/>
      <c r="R11" s="51"/>
    </row>
    <row r="12" spans="1:22" ht="15.75" thickBot="1">
      <c r="B12" s="2"/>
      <c r="C12" s="34"/>
      <c r="D12" s="34"/>
      <c r="E12" s="250" t="s">
        <v>56</v>
      </c>
      <c r="F12" s="251"/>
      <c r="G12" s="251"/>
      <c r="H12" s="251"/>
      <c r="I12" s="251"/>
      <c r="J12" s="251"/>
      <c r="K12" s="251"/>
      <c r="L12" s="251"/>
      <c r="M12" s="252"/>
      <c r="N12" s="32"/>
      <c r="O12" s="250" t="s">
        <v>342</v>
      </c>
      <c r="P12" s="251"/>
      <c r="Q12" s="252"/>
      <c r="R12" s="51"/>
    </row>
    <row r="13" spans="1:22" ht="15.75" thickBot="1">
      <c r="B13" s="2"/>
      <c r="C13" s="34"/>
      <c r="D13" s="34"/>
      <c r="E13" s="34"/>
      <c r="F13" s="34"/>
      <c r="G13" s="34"/>
      <c r="H13" s="34"/>
      <c r="I13" s="34"/>
      <c r="J13" s="34"/>
      <c r="K13" s="34"/>
      <c r="L13" s="34"/>
      <c r="M13" s="34"/>
      <c r="N13" s="32"/>
      <c r="O13" s="34"/>
      <c r="P13" s="34"/>
      <c r="Q13" s="34"/>
      <c r="R13" s="51"/>
    </row>
    <row r="14" spans="1:22" ht="45" customHeight="1" thickBot="1">
      <c r="B14" s="2"/>
      <c r="C14" s="34"/>
      <c r="D14" s="34"/>
      <c r="E14" s="119" t="s">
        <v>57</v>
      </c>
      <c r="F14" s="119" t="s">
        <v>58</v>
      </c>
      <c r="G14" s="120" t="s">
        <v>59</v>
      </c>
      <c r="H14" s="119" t="s">
        <v>60</v>
      </c>
      <c r="I14" s="119" t="s">
        <v>61</v>
      </c>
      <c r="J14" s="119" t="s">
        <v>62</v>
      </c>
      <c r="K14" s="121" t="s">
        <v>63</v>
      </c>
      <c r="L14" s="121" t="s">
        <v>64</v>
      </c>
      <c r="M14" s="121" t="s">
        <v>65</v>
      </c>
      <c r="N14" s="32"/>
      <c r="O14" s="140" t="s">
        <v>63</v>
      </c>
      <c r="P14" s="140" t="s">
        <v>64</v>
      </c>
      <c r="Q14" s="121" t="s">
        <v>65</v>
      </c>
      <c r="R14" s="51"/>
    </row>
    <row r="15" spans="1:22" ht="15" customHeight="1" thickBot="1">
      <c r="B15" s="2"/>
      <c r="C15" s="130" t="s">
        <v>66</v>
      </c>
      <c r="D15" s="131"/>
      <c r="E15" s="55">
        <v>0</v>
      </c>
      <c r="F15" s="66">
        <v>0</v>
      </c>
      <c r="G15" s="56">
        <v>0</v>
      </c>
      <c r="H15" s="56">
        <v>0</v>
      </c>
      <c r="I15" s="56">
        <v>0</v>
      </c>
      <c r="J15" s="56">
        <v>0</v>
      </c>
      <c r="K15" s="56"/>
      <c r="L15" s="57">
        <v>0</v>
      </c>
      <c r="M15" s="57">
        <v>0</v>
      </c>
      <c r="N15" s="132"/>
      <c r="O15" s="56">
        <v>65.2403646308113</v>
      </c>
      <c r="P15" s="57">
        <v>1</v>
      </c>
      <c r="Q15" s="57">
        <v>0.76667046357425872</v>
      </c>
      <c r="R15" s="51"/>
    </row>
    <row r="16" spans="1:22" ht="15" customHeight="1" thickBot="1">
      <c r="B16" s="2"/>
      <c r="C16" s="170"/>
      <c r="D16" s="171" t="s">
        <v>67</v>
      </c>
      <c r="E16" s="172">
        <v>0</v>
      </c>
      <c r="F16" s="173">
        <v>0</v>
      </c>
      <c r="G16" s="174">
        <v>0</v>
      </c>
      <c r="H16" s="174">
        <v>0</v>
      </c>
      <c r="I16" s="174">
        <v>0</v>
      </c>
      <c r="J16" s="174">
        <v>0</v>
      </c>
      <c r="K16" s="174"/>
      <c r="L16" s="175">
        <v>0</v>
      </c>
      <c r="M16" s="175">
        <v>0</v>
      </c>
      <c r="N16" s="176"/>
      <c r="O16" s="174">
        <v>13.346117404737377</v>
      </c>
      <c r="P16" s="175">
        <v>0.1810719437608741</v>
      </c>
      <c r="Q16" s="175">
        <v>0.85126539150370606</v>
      </c>
      <c r="R16" s="51"/>
    </row>
    <row r="17" spans="2:18" ht="15" customHeight="1" thickBot="1">
      <c r="B17" s="2"/>
      <c r="C17" s="170"/>
      <c r="D17" s="171" t="s">
        <v>68</v>
      </c>
      <c r="E17" s="172">
        <v>0</v>
      </c>
      <c r="F17" s="173">
        <v>0</v>
      </c>
      <c r="G17" s="174">
        <v>0</v>
      </c>
      <c r="H17" s="174">
        <v>0</v>
      </c>
      <c r="I17" s="174">
        <v>0</v>
      </c>
      <c r="J17" s="174">
        <v>0</v>
      </c>
      <c r="K17" s="174"/>
      <c r="L17" s="175">
        <v>0</v>
      </c>
      <c r="M17" s="175">
        <v>0</v>
      </c>
      <c r="N17" s="176"/>
      <c r="O17" s="174">
        <v>0.73846153846153828</v>
      </c>
      <c r="P17" s="175">
        <v>1.3413688781181935E-4</v>
      </c>
      <c r="Q17" s="175">
        <v>0.12121212121212122</v>
      </c>
      <c r="R17" s="51"/>
    </row>
    <row r="18" spans="2:18" ht="15" customHeight="1" thickBot="1">
      <c r="B18" s="2"/>
      <c r="C18" s="170"/>
      <c r="D18" s="171" t="s">
        <v>69</v>
      </c>
      <c r="E18" s="172">
        <v>0</v>
      </c>
      <c r="F18" s="173">
        <v>0</v>
      </c>
      <c r="G18" s="174">
        <v>0</v>
      </c>
      <c r="H18" s="174">
        <v>0</v>
      </c>
      <c r="I18" s="174">
        <v>0</v>
      </c>
      <c r="J18" s="174">
        <v>0</v>
      </c>
      <c r="K18" s="174"/>
      <c r="L18" s="175">
        <v>0</v>
      </c>
      <c r="M18" s="175">
        <v>0</v>
      </c>
      <c r="N18" s="176"/>
      <c r="O18" s="174">
        <v>630</v>
      </c>
      <c r="P18" s="175">
        <v>1.7605466525301292E-2</v>
      </c>
      <c r="Q18" s="175">
        <v>1</v>
      </c>
      <c r="R18" s="51"/>
    </row>
    <row r="19" spans="2:18" ht="15" customHeight="1" thickBot="1">
      <c r="B19" s="2"/>
      <c r="C19" s="170"/>
      <c r="D19" s="171" t="s">
        <v>70</v>
      </c>
      <c r="E19" s="172">
        <v>0</v>
      </c>
      <c r="F19" s="173">
        <v>0</v>
      </c>
      <c r="G19" s="174">
        <v>0</v>
      </c>
      <c r="H19" s="174">
        <v>0</v>
      </c>
      <c r="I19" s="174">
        <v>0</v>
      </c>
      <c r="J19" s="174">
        <v>0</v>
      </c>
      <c r="K19" s="174"/>
      <c r="L19" s="175">
        <v>0</v>
      </c>
      <c r="M19" s="175">
        <v>0</v>
      </c>
      <c r="N19" s="176"/>
      <c r="O19" s="174">
        <v>253.33333333333334</v>
      </c>
      <c r="P19" s="175">
        <v>0.10619170285102367</v>
      </c>
      <c r="Q19" s="175">
        <v>0.69504256384576868</v>
      </c>
      <c r="R19" s="51"/>
    </row>
    <row r="20" spans="2:18" ht="15" customHeight="1" thickBot="1">
      <c r="B20" s="2"/>
      <c r="C20" s="170"/>
      <c r="D20" s="171" t="s">
        <v>71</v>
      </c>
      <c r="E20" s="172">
        <v>0</v>
      </c>
      <c r="F20" s="173">
        <v>0</v>
      </c>
      <c r="G20" s="174">
        <v>0</v>
      </c>
      <c r="H20" s="174">
        <v>0</v>
      </c>
      <c r="I20" s="174">
        <v>0</v>
      </c>
      <c r="J20" s="174">
        <v>0</v>
      </c>
      <c r="K20" s="174"/>
      <c r="L20" s="175">
        <v>0</v>
      </c>
      <c r="M20" s="175">
        <v>0</v>
      </c>
      <c r="N20" s="176"/>
      <c r="O20" s="174">
        <v>304.84848484848487</v>
      </c>
      <c r="P20" s="175">
        <v>0.14056428035280238</v>
      </c>
      <c r="Q20" s="175">
        <v>0.73810544363480501</v>
      </c>
      <c r="R20" s="51"/>
    </row>
    <row r="21" spans="2:18" ht="15" customHeight="1" thickBot="1">
      <c r="B21" s="2"/>
      <c r="C21" s="170"/>
      <c r="D21" s="171" t="s">
        <v>72</v>
      </c>
      <c r="E21" s="172">
        <v>0</v>
      </c>
      <c r="F21" s="173">
        <v>0</v>
      </c>
      <c r="G21" s="174">
        <v>0</v>
      </c>
      <c r="H21" s="174">
        <v>0</v>
      </c>
      <c r="I21" s="174">
        <v>0</v>
      </c>
      <c r="J21" s="174">
        <v>0</v>
      </c>
      <c r="K21" s="174"/>
      <c r="L21" s="175">
        <v>0</v>
      </c>
      <c r="M21" s="175">
        <v>0</v>
      </c>
      <c r="N21" s="176"/>
      <c r="O21" s="174">
        <v>826.66666666666663</v>
      </c>
      <c r="P21" s="175">
        <v>0.55443246962218673</v>
      </c>
      <c r="Q21" s="175">
        <v>0.75058999597075926</v>
      </c>
      <c r="R21" s="51"/>
    </row>
    <row r="22" spans="2:18" ht="15" customHeight="1" thickBot="1">
      <c r="B22" s="2"/>
      <c r="C22" s="133" t="s">
        <v>34</v>
      </c>
      <c r="D22" s="134"/>
      <c r="E22" s="122">
        <v>0</v>
      </c>
      <c r="F22" s="123">
        <v>0</v>
      </c>
      <c r="G22" s="124">
        <v>0</v>
      </c>
      <c r="H22" s="124">
        <v>0</v>
      </c>
      <c r="I22" s="124">
        <v>0</v>
      </c>
      <c r="J22" s="124">
        <v>0</v>
      </c>
      <c r="K22" s="124"/>
      <c r="L22" s="125">
        <v>0</v>
      </c>
      <c r="M22" s="125"/>
      <c r="N22" s="132"/>
      <c r="O22" s="124">
        <v>65.2403646308113</v>
      </c>
      <c r="P22" s="125">
        <v>1</v>
      </c>
      <c r="Q22" s="125">
        <v>0.76667046357425872</v>
      </c>
      <c r="R22" s="51"/>
    </row>
    <row r="23" spans="2:18" ht="15" customHeight="1">
      <c r="B23" s="2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3"/>
      <c r="Q23" s="13"/>
      <c r="R23" s="51"/>
    </row>
    <row r="24" spans="2:18" ht="15" customHeight="1" thickBot="1">
      <c r="B24" s="2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3"/>
      <c r="Q24" s="13"/>
      <c r="R24" s="51"/>
    </row>
    <row r="25" spans="2:18" ht="15" customHeight="1" thickBot="1">
      <c r="B25" s="2"/>
      <c r="C25" s="134" t="s">
        <v>121</v>
      </c>
      <c r="D25" s="134"/>
      <c r="E25" s="1"/>
      <c r="F25" s="1"/>
      <c r="G25" s="1"/>
      <c r="H25" s="153"/>
      <c r="I25" s="153"/>
      <c r="J25" s="153"/>
      <c r="K25" s="1"/>
      <c r="L25" s="1"/>
      <c r="M25" s="1"/>
      <c r="N25" s="1"/>
      <c r="O25" s="1"/>
      <c r="P25" s="13"/>
      <c r="Q25" s="13"/>
      <c r="R25" s="51"/>
    </row>
    <row r="26" spans="2:18" ht="15" customHeight="1" thickBot="1">
      <c r="B26" s="2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3"/>
      <c r="Q26" s="13"/>
      <c r="R26" s="51"/>
    </row>
    <row r="27" spans="2:18" ht="15" customHeight="1" thickBot="1">
      <c r="B27" s="2"/>
      <c r="C27" s="134" t="s">
        <v>122</v>
      </c>
      <c r="D27" s="134"/>
      <c r="E27" s="1"/>
      <c r="F27" s="1"/>
      <c r="G27" s="124">
        <v>0</v>
      </c>
      <c r="H27" s="124">
        <v>0</v>
      </c>
      <c r="I27" s="124">
        <v>0</v>
      </c>
      <c r="J27" s="124">
        <v>0</v>
      </c>
      <c r="K27" s="1"/>
      <c r="L27" s="1"/>
      <c r="M27" s="1"/>
      <c r="N27" s="1"/>
      <c r="O27" s="1"/>
      <c r="P27" s="13"/>
      <c r="Q27" s="13"/>
      <c r="R27" s="51"/>
    </row>
    <row r="28" spans="2:18" ht="15" customHeight="1" thickBot="1">
      <c r="B28" s="2"/>
      <c r="C28" s="134" t="s">
        <v>123</v>
      </c>
      <c r="D28" s="134"/>
      <c r="E28" s="1"/>
      <c r="F28" s="1"/>
      <c r="G28" s="124">
        <v>0</v>
      </c>
      <c r="H28" s="124">
        <v>0</v>
      </c>
      <c r="I28" s="124">
        <v>0</v>
      </c>
      <c r="J28" s="124">
        <v>0</v>
      </c>
      <c r="K28" s="1"/>
      <c r="L28" s="1"/>
      <c r="M28" s="1"/>
      <c r="N28" s="1"/>
      <c r="O28" s="1"/>
      <c r="P28" s="13"/>
      <c r="Q28" s="13"/>
      <c r="R28" s="51"/>
    </row>
    <row r="29" spans="2:18" ht="15" customHeight="1">
      <c r="B29" s="2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3"/>
      <c r="Q29" s="13"/>
      <c r="R29" s="51"/>
    </row>
    <row r="30" spans="2:18" ht="15" customHeight="1">
      <c r="B30" s="2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3"/>
      <c r="Q30" s="13"/>
      <c r="R30" s="51"/>
    </row>
    <row r="31" spans="2:18" ht="12" customHeight="1">
      <c r="B31" s="3"/>
      <c r="C31" s="135"/>
      <c r="D31" s="135"/>
      <c r="E31" s="135"/>
      <c r="F31" s="135"/>
      <c r="G31" s="135"/>
      <c r="H31" s="135"/>
      <c r="I31" s="135"/>
      <c r="J31" s="135"/>
      <c r="K31" s="135"/>
      <c r="L31" s="135"/>
      <c r="M31" s="135"/>
      <c r="N31" s="135"/>
      <c r="O31" s="135"/>
      <c r="P31" s="136"/>
      <c r="Q31" s="136"/>
      <c r="R31" s="52"/>
    </row>
  </sheetData>
  <mergeCells count="3">
    <mergeCell ref="C8:Q8"/>
    <mergeCell ref="E12:M12"/>
    <mergeCell ref="O12:Q12"/>
  </mergeCell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64D2DD-B33D-4F51-A660-678C5BFE7E21}">
  <sheetPr>
    <tabColor theme="4" tint="0.79998168889431442"/>
  </sheetPr>
  <dimension ref="A1:V30"/>
  <sheetViews>
    <sheetView showGridLines="0" zoomScale="70" zoomScaleNormal="70" workbookViewId="0">
      <selection activeCell="A20" sqref="A20:XFD20"/>
    </sheetView>
  </sheetViews>
  <sheetFormatPr baseColWidth="10" defaultColWidth="11.42578125" defaultRowHeight="15"/>
  <cols>
    <col min="1" max="1" width="2.85546875" style="5" customWidth="1"/>
    <col min="2" max="2" width="4.28515625" customWidth="1"/>
    <col min="3" max="3" width="10" customWidth="1"/>
    <col min="4" max="4" width="50.7109375" customWidth="1"/>
    <col min="5" max="5" width="12" bestFit="1" customWidth="1"/>
    <col min="6" max="11" width="14.28515625" customWidth="1"/>
    <col min="12" max="12" width="15.7109375" customWidth="1"/>
    <col min="13" max="13" width="10.7109375" customWidth="1"/>
    <col min="14" max="14" width="1.42578125" customWidth="1"/>
    <col min="15" max="15" width="14.28515625" customWidth="1"/>
    <col min="16" max="16" width="15.7109375" customWidth="1"/>
    <col min="17" max="17" width="10.7109375" customWidth="1"/>
    <col min="18" max="18" width="4.28515625" customWidth="1"/>
    <col min="19" max="19" width="2.85546875" customWidth="1"/>
    <col min="22" max="22" width="16.7109375" bestFit="1" customWidth="1"/>
  </cols>
  <sheetData>
    <row r="1" spans="1:22">
      <c r="A1" s="5">
        <v>0</v>
      </c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</row>
    <row r="2" spans="1:22" ht="15" customHeight="1">
      <c r="B2" s="48"/>
      <c r="C2" s="49"/>
      <c r="D2" s="49"/>
      <c r="E2" s="49"/>
      <c r="F2" s="49"/>
      <c r="G2" s="49"/>
      <c r="H2" s="49"/>
      <c r="I2" s="49"/>
      <c r="J2" s="49"/>
      <c r="K2" s="49"/>
      <c r="L2" s="49"/>
      <c r="M2" s="49"/>
      <c r="N2" s="49"/>
      <c r="O2" s="49"/>
      <c r="P2" s="49"/>
      <c r="Q2" s="49"/>
      <c r="R2" s="50"/>
      <c r="V2" s="35"/>
    </row>
    <row r="3" spans="1:22" ht="15" customHeight="1">
      <c r="B3" s="2"/>
      <c r="R3" s="51"/>
    </row>
    <row r="4" spans="1:22" ht="15" customHeight="1">
      <c r="B4" s="2"/>
      <c r="R4" s="51"/>
    </row>
    <row r="5" spans="1:22" ht="15" customHeight="1">
      <c r="B5" s="2"/>
      <c r="R5" s="51"/>
    </row>
    <row r="6" spans="1:22" ht="15" customHeight="1" thickBot="1">
      <c r="B6" s="2"/>
      <c r="R6" s="51"/>
    </row>
    <row r="7" spans="1:22" ht="15" hidden="1" customHeight="1">
      <c r="B7" s="2"/>
      <c r="R7" s="51"/>
    </row>
    <row r="8" spans="1:22" ht="60" customHeight="1" thickBot="1">
      <c r="B8" s="2"/>
      <c r="C8" s="244" t="str">
        <f>'Page de garde'!C13&amp;" : Détail des Prestations Réglées - Synthèse par famille d'actes"</f>
        <v>60000016 - 60000017 - 60000018 - 60000087 : Détail des Prestations Réglées - Synthèse par famille d'actes</v>
      </c>
      <c r="D8" s="245"/>
      <c r="E8" s="245"/>
      <c r="F8" s="245"/>
      <c r="G8" s="245"/>
      <c r="H8" s="245"/>
      <c r="I8" s="245"/>
      <c r="J8" s="245"/>
      <c r="K8" s="245"/>
      <c r="L8" s="245"/>
      <c r="M8" s="245"/>
      <c r="N8" s="245"/>
      <c r="O8" s="245"/>
      <c r="P8" s="245"/>
      <c r="Q8" s="246"/>
      <c r="R8" s="51"/>
    </row>
    <row r="9" spans="1:22">
      <c r="B9" s="2"/>
      <c r="R9" s="51"/>
    </row>
    <row r="10" spans="1:22">
      <c r="B10" s="2"/>
      <c r="R10" s="51"/>
    </row>
    <row r="11" spans="1:22" ht="15.75" thickBot="1">
      <c r="B11" s="2"/>
      <c r="R11" s="51"/>
    </row>
    <row r="12" spans="1:22" ht="15.75" thickBot="1">
      <c r="B12" s="2"/>
      <c r="C12" s="34"/>
      <c r="D12" s="34"/>
      <c r="E12" s="250" t="s">
        <v>56</v>
      </c>
      <c r="F12" s="251"/>
      <c r="G12" s="251"/>
      <c r="H12" s="251"/>
      <c r="I12" s="251"/>
      <c r="J12" s="251"/>
      <c r="K12" s="251"/>
      <c r="L12" s="251"/>
      <c r="M12" s="252"/>
      <c r="N12" s="32"/>
      <c r="O12" s="250" t="s">
        <v>342</v>
      </c>
      <c r="P12" s="251"/>
      <c r="Q12" s="252"/>
      <c r="R12" s="51"/>
    </row>
    <row r="13" spans="1:22" ht="15.75" thickBot="1">
      <c r="B13" s="2"/>
      <c r="C13" s="34"/>
      <c r="D13" s="34"/>
      <c r="E13" s="34"/>
      <c r="F13" s="34"/>
      <c r="G13" s="34"/>
      <c r="H13" s="34"/>
      <c r="I13" s="34"/>
      <c r="J13" s="34"/>
      <c r="K13" s="34"/>
      <c r="L13" s="34"/>
      <c r="M13" s="34"/>
      <c r="N13" s="32"/>
      <c r="O13" s="34"/>
      <c r="P13" s="34"/>
      <c r="Q13" s="34"/>
      <c r="R13" s="51"/>
    </row>
    <row r="14" spans="1:22" ht="45" customHeight="1" thickBot="1">
      <c r="B14" s="2"/>
      <c r="C14" s="34"/>
      <c r="D14" s="34"/>
      <c r="E14" s="119" t="s">
        <v>57</v>
      </c>
      <c r="F14" s="119" t="s">
        <v>58</v>
      </c>
      <c r="G14" s="120" t="s">
        <v>59</v>
      </c>
      <c r="H14" s="119" t="s">
        <v>60</v>
      </c>
      <c r="I14" s="119" t="s">
        <v>61</v>
      </c>
      <c r="J14" s="119" t="s">
        <v>62</v>
      </c>
      <c r="K14" s="121" t="s">
        <v>63</v>
      </c>
      <c r="L14" s="121" t="s">
        <v>64</v>
      </c>
      <c r="M14" s="121" t="s">
        <v>65</v>
      </c>
      <c r="N14" s="32"/>
      <c r="O14" s="140" t="s">
        <v>63</v>
      </c>
      <c r="P14" s="140" t="s">
        <v>64</v>
      </c>
      <c r="Q14" s="121" t="s">
        <v>65</v>
      </c>
      <c r="R14" s="51"/>
    </row>
    <row r="15" spans="1:22" ht="15" customHeight="1" thickBot="1">
      <c r="B15" s="2"/>
      <c r="C15" s="130" t="s">
        <v>73</v>
      </c>
      <c r="D15" s="131"/>
      <c r="E15" s="55">
        <v>0</v>
      </c>
      <c r="F15" s="66">
        <v>0</v>
      </c>
      <c r="G15" s="56">
        <v>0</v>
      </c>
      <c r="H15" s="56">
        <v>0</v>
      </c>
      <c r="I15" s="56">
        <v>0</v>
      </c>
      <c r="J15" s="56">
        <v>0</v>
      </c>
      <c r="K15" s="56"/>
      <c r="L15" s="57">
        <v>0</v>
      </c>
      <c r="M15" s="57">
        <v>0</v>
      </c>
      <c r="N15" s="132"/>
      <c r="O15" s="56">
        <v>120.60686274509804</v>
      </c>
      <c r="P15" s="57">
        <v>1</v>
      </c>
      <c r="Q15" s="57">
        <v>0.91896185367609284</v>
      </c>
      <c r="R15" s="51"/>
    </row>
    <row r="16" spans="1:22" ht="15" customHeight="1" thickBot="1">
      <c r="B16" s="2"/>
      <c r="C16" s="170"/>
      <c r="D16" s="171" t="s">
        <v>276</v>
      </c>
      <c r="E16" s="172">
        <v>0</v>
      </c>
      <c r="F16" s="173">
        <v>0</v>
      </c>
      <c r="G16" s="174">
        <v>0</v>
      </c>
      <c r="H16" s="174">
        <v>0</v>
      </c>
      <c r="I16" s="174">
        <v>0</v>
      </c>
      <c r="J16" s="174">
        <v>0</v>
      </c>
      <c r="K16" s="174"/>
      <c r="L16" s="175">
        <v>0</v>
      </c>
      <c r="M16" s="175">
        <v>0</v>
      </c>
      <c r="N16" s="176"/>
      <c r="O16" s="174">
        <v>4.5</v>
      </c>
      <c r="P16" s="175">
        <v>7.3159430657052981E-3</v>
      </c>
      <c r="Q16" s="175">
        <v>1</v>
      </c>
      <c r="R16" s="51"/>
    </row>
    <row r="17" spans="2:18" ht="15" customHeight="1" thickBot="1">
      <c r="B17" s="2"/>
      <c r="C17" s="170"/>
      <c r="D17" s="171" t="s">
        <v>74</v>
      </c>
      <c r="E17" s="172">
        <v>0</v>
      </c>
      <c r="F17" s="173">
        <v>0</v>
      </c>
      <c r="G17" s="174">
        <v>0</v>
      </c>
      <c r="H17" s="174">
        <v>0</v>
      </c>
      <c r="I17" s="174">
        <v>0</v>
      </c>
      <c r="J17" s="174">
        <v>0</v>
      </c>
      <c r="K17" s="174"/>
      <c r="L17" s="175">
        <v>0</v>
      </c>
      <c r="M17" s="175">
        <v>0</v>
      </c>
      <c r="N17" s="176"/>
      <c r="O17" s="174">
        <v>500</v>
      </c>
      <c r="P17" s="175">
        <v>0.16257651257122885</v>
      </c>
      <c r="Q17" s="175">
        <v>0.66666666666666663</v>
      </c>
      <c r="R17" s="51"/>
    </row>
    <row r="18" spans="2:18" ht="15" customHeight="1" thickBot="1">
      <c r="B18" s="2"/>
      <c r="C18" s="170"/>
      <c r="D18" s="171" t="s">
        <v>277</v>
      </c>
      <c r="E18" s="172">
        <v>0</v>
      </c>
      <c r="F18" s="173">
        <v>0</v>
      </c>
      <c r="G18" s="174">
        <v>0</v>
      </c>
      <c r="H18" s="174">
        <v>0</v>
      </c>
      <c r="I18" s="174">
        <v>0</v>
      </c>
      <c r="J18" s="174">
        <v>0</v>
      </c>
      <c r="K18" s="174"/>
      <c r="L18" s="175">
        <v>0</v>
      </c>
      <c r="M18" s="175">
        <v>0</v>
      </c>
      <c r="N18" s="176"/>
      <c r="O18" s="174">
        <v>363.79</v>
      </c>
      <c r="P18" s="175">
        <v>5.9143709508287345E-2</v>
      </c>
      <c r="Q18" s="175">
        <v>1</v>
      </c>
      <c r="R18" s="51"/>
    </row>
    <row r="19" spans="2:18" ht="15" customHeight="1" thickBot="1">
      <c r="B19" s="2"/>
      <c r="C19" s="170"/>
      <c r="D19" s="171" t="s">
        <v>75</v>
      </c>
      <c r="E19" s="172">
        <v>0</v>
      </c>
      <c r="F19" s="173">
        <v>0</v>
      </c>
      <c r="G19" s="174">
        <v>0</v>
      </c>
      <c r="H19" s="174">
        <v>0</v>
      </c>
      <c r="I19" s="174">
        <v>0</v>
      </c>
      <c r="J19" s="174">
        <v>0</v>
      </c>
      <c r="K19" s="174"/>
      <c r="L19" s="175">
        <v>0</v>
      </c>
      <c r="M19" s="175">
        <v>0</v>
      </c>
      <c r="N19" s="176"/>
      <c r="O19" s="174">
        <v>53.611111111111114</v>
      </c>
      <c r="P19" s="175">
        <v>0.31377266926247166</v>
      </c>
      <c r="Q19" s="175">
        <v>0.91469194312796209</v>
      </c>
      <c r="R19" s="51"/>
    </row>
    <row r="20" spans="2:18" ht="15" customHeight="1" thickBot="1">
      <c r="B20" s="2"/>
      <c r="C20" s="170"/>
      <c r="D20" s="171" t="s">
        <v>77</v>
      </c>
      <c r="E20" s="172">
        <v>0</v>
      </c>
      <c r="F20" s="173">
        <v>0</v>
      </c>
      <c r="G20" s="174">
        <v>0</v>
      </c>
      <c r="H20" s="174">
        <v>0</v>
      </c>
      <c r="I20" s="174">
        <v>0</v>
      </c>
      <c r="J20" s="174">
        <v>0</v>
      </c>
      <c r="K20" s="174"/>
      <c r="L20" s="175">
        <v>0</v>
      </c>
      <c r="M20" s="175">
        <v>0</v>
      </c>
      <c r="N20" s="176"/>
      <c r="O20" s="174">
        <v>1406.0800000000002</v>
      </c>
      <c r="P20" s="175">
        <v>0.45719116559230694</v>
      </c>
      <c r="Q20" s="175">
        <v>1</v>
      </c>
      <c r="R20" s="51"/>
    </row>
    <row r="21" spans="2:18" ht="15" customHeight="1" thickBot="1">
      <c r="B21" s="2"/>
      <c r="C21" s="133" t="s">
        <v>34</v>
      </c>
      <c r="D21" s="134"/>
      <c r="E21" s="122">
        <v>0</v>
      </c>
      <c r="F21" s="123">
        <v>0</v>
      </c>
      <c r="G21" s="124">
        <v>0</v>
      </c>
      <c r="H21" s="124">
        <v>0</v>
      </c>
      <c r="I21" s="124">
        <v>0</v>
      </c>
      <c r="J21" s="124">
        <v>0</v>
      </c>
      <c r="K21" s="124"/>
      <c r="L21" s="125">
        <v>0</v>
      </c>
      <c r="M21" s="125"/>
      <c r="N21" s="132"/>
      <c r="O21" s="124">
        <v>120.60686274509804</v>
      </c>
      <c r="P21" s="125">
        <v>1</v>
      </c>
      <c r="Q21" s="125">
        <v>0.91896185367609284</v>
      </c>
      <c r="R21" s="51"/>
    </row>
    <row r="22" spans="2:18" ht="15" customHeight="1">
      <c r="B22" s="2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3"/>
      <c r="Q22" s="13"/>
      <c r="R22" s="51"/>
    </row>
    <row r="23" spans="2:18" ht="15" customHeight="1" thickBot="1">
      <c r="B23" s="2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3"/>
      <c r="Q23" s="13"/>
      <c r="R23" s="51"/>
    </row>
    <row r="24" spans="2:18" ht="15" customHeight="1" thickBot="1">
      <c r="B24" s="2"/>
      <c r="C24" s="134" t="s">
        <v>121</v>
      </c>
      <c r="D24" s="134"/>
      <c r="E24" s="1"/>
      <c r="F24" s="1"/>
      <c r="G24" s="1"/>
      <c r="H24" s="153"/>
      <c r="I24" s="153"/>
      <c r="J24" s="153"/>
      <c r="K24" s="1"/>
      <c r="L24" s="1"/>
      <c r="M24" s="1"/>
      <c r="N24" s="1"/>
      <c r="O24" s="1"/>
      <c r="P24" s="13"/>
      <c r="Q24" s="13"/>
      <c r="R24" s="51"/>
    </row>
    <row r="25" spans="2:18" ht="15" customHeight="1" thickBot="1">
      <c r="B25" s="2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3"/>
      <c r="Q25" s="13"/>
      <c r="R25" s="51"/>
    </row>
    <row r="26" spans="2:18" ht="15" customHeight="1" thickBot="1">
      <c r="B26" s="2"/>
      <c r="C26" s="134" t="s">
        <v>122</v>
      </c>
      <c r="D26" s="134"/>
      <c r="E26" s="1"/>
      <c r="F26" s="1"/>
      <c r="G26" s="124">
        <v>0</v>
      </c>
      <c r="H26" s="124">
        <v>0</v>
      </c>
      <c r="I26" s="124">
        <v>0</v>
      </c>
      <c r="J26" s="124">
        <v>0</v>
      </c>
      <c r="K26" s="1"/>
      <c r="L26" s="1"/>
      <c r="M26" s="1"/>
      <c r="N26" s="1"/>
      <c r="O26" s="1"/>
      <c r="P26" s="13"/>
      <c r="Q26" s="13"/>
      <c r="R26" s="51"/>
    </row>
    <row r="27" spans="2:18" ht="15" customHeight="1" thickBot="1">
      <c r="B27" s="2"/>
      <c r="C27" s="134" t="s">
        <v>123</v>
      </c>
      <c r="D27" s="134"/>
      <c r="E27" s="1"/>
      <c r="F27" s="1"/>
      <c r="G27" s="124">
        <v>0</v>
      </c>
      <c r="H27" s="124">
        <v>0</v>
      </c>
      <c r="I27" s="124">
        <v>0</v>
      </c>
      <c r="J27" s="124">
        <v>0</v>
      </c>
      <c r="K27" s="1"/>
      <c r="L27" s="1"/>
      <c r="M27" s="1"/>
      <c r="N27" s="1"/>
      <c r="O27" s="1"/>
      <c r="P27" s="13"/>
      <c r="Q27" s="13"/>
      <c r="R27" s="51"/>
    </row>
    <row r="28" spans="2:18" ht="15" customHeight="1">
      <c r="B28" s="2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3"/>
      <c r="Q28" s="13"/>
      <c r="R28" s="51"/>
    </row>
    <row r="29" spans="2:18" ht="15" customHeight="1">
      <c r="B29" s="2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3"/>
      <c r="Q29" s="13"/>
      <c r="R29" s="51"/>
    </row>
    <row r="30" spans="2:18" ht="12" customHeight="1">
      <c r="B30" s="3"/>
      <c r="C30" s="135"/>
      <c r="D30" s="135"/>
      <c r="E30" s="135"/>
      <c r="F30" s="135"/>
      <c r="G30" s="135"/>
      <c r="H30" s="135"/>
      <c r="I30" s="135"/>
      <c r="J30" s="135"/>
      <c r="K30" s="135"/>
      <c r="L30" s="135"/>
      <c r="M30" s="135"/>
      <c r="N30" s="135"/>
      <c r="O30" s="135"/>
      <c r="P30" s="136"/>
      <c r="Q30" s="136"/>
      <c r="R30" s="52"/>
    </row>
  </sheetData>
  <mergeCells count="3">
    <mergeCell ref="C8:Q8"/>
    <mergeCell ref="E12:M12"/>
    <mergeCell ref="O12:Q12"/>
  </mergeCell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DA6188-25F4-417B-8CA6-261E4F388A16}">
  <sheetPr>
    <tabColor theme="4" tint="0.79998168889431442"/>
  </sheetPr>
  <dimension ref="A1:V26"/>
  <sheetViews>
    <sheetView showGridLines="0" zoomScale="70" zoomScaleNormal="70" workbookViewId="0">
      <selection activeCell="C16" sqref="C16:Q16"/>
    </sheetView>
  </sheetViews>
  <sheetFormatPr baseColWidth="10" defaultColWidth="11.42578125" defaultRowHeight="15"/>
  <cols>
    <col min="1" max="1" width="2.85546875" style="5" customWidth="1"/>
    <col min="2" max="2" width="4.28515625" customWidth="1"/>
    <col min="3" max="3" width="10" customWidth="1"/>
    <col min="4" max="4" width="50.7109375" customWidth="1"/>
    <col min="5" max="5" width="12" bestFit="1" customWidth="1"/>
    <col min="6" max="11" width="14.28515625" customWidth="1"/>
    <col min="12" max="12" width="15.7109375" customWidth="1"/>
    <col min="13" max="13" width="10.7109375" customWidth="1"/>
    <col min="14" max="14" width="1.42578125" customWidth="1"/>
    <col min="15" max="15" width="14.28515625" customWidth="1"/>
    <col min="16" max="16" width="15.7109375" customWidth="1"/>
    <col min="17" max="17" width="10.7109375" customWidth="1"/>
    <col min="18" max="18" width="4.28515625" customWidth="1"/>
    <col min="19" max="19" width="2.85546875" customWidth="1"/>
    <col min="22" max="22" width="16.7109375" bestFit="1" customWidth="1"/>
  </cols>
  <sheetData>
    <row r="1" spans="1:22">
      <c r="A1" s="5">
        <v>0</v>
      </c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</row>
    <row r="2" spans="1:22" ht="15" customHeight="1">
      <c r="B2" s="48"/>
      <c r="C2" s="49"/>
      <c r="D2" s="49"/>
      <c r="E2" s="49"/>
      <c r="F2" s="49"/>
      <c r="G2" s="49"/>
      <c r="H2" s="49"/>
      <c r="I2" s="49"/>
      <c r="J2" s="49"/>
      <c r="K2" s="49"/>
      <c r="L2" s="49"/>
      <c r="M2" s="49"/>
      <c r="N2" s="49"/>
      <c r="O2" s="49"/>
      <c r="P2" s="49"/>
      <c r="Q2" s="49"/>
      <c r="R2" s="50"/>
      <c r="V2" s="35"/>
    </row>
    <row r="3" spans="1:22" ht="15" customHeight="1">
      <c r="B3" s="2"/>
      <c r="R3" s="51"/>
    </row>
    <row r="4" spans="1:22" ht="15" customHeight="1">
      <c r="B4" s="2"/>
      <c r="R4" s="51"/>
    </row>
    <row r="5" spans="1:22" ht="15" customHeight="1">
      <c r="B5" s="2"/>
      <c r="R5" s="51"/>
    </row>
    <row r="6" spans="1:22" ht="15" customHeight="1" thickBot="1">
      <c r="B6" s="2"/>
      <c r="R6" s="51"/>
    </row>
    <row r="7" spans="1:22" ht="15" hidden="1" customHeight="1">
      <c r="B7" s="2"/>
      <c r="R7" s="51"/>
    </row>
    <row r="8" spans="1:22" ht="60" customHeight="1" thickBot="1">
      <c r="B8" s="2"/>
      <c r="C8" s="244" t="str">
        <f>'Page de garde'!C13&amp;" : Détail des Prestations Réglées - Synthèse par famille d'actes"</f>
        <v>60000016 - 60000017 - 60000018 - 60000087 : Détail des Prestations Réglées - Synthèse par famille d'actes</v>
      </c>
      <c r="D8" s="245"/>
      <c r="E8" s="245"/>
      <c r="F8" s="245"/>
      <c r="G8" s="245"/>
      <c r="H8" s="245"/>
      <c r="I8" s="245"/>
      <c r="J8" s="245"/>
      <c r="K8" s="245"/>
      <c r="L8" s="245"/>
      <c r="M8" s="245"/>
      <c r="N8" s="245"/>
      <c r="O8" s="245"/>
      <c r="P8" s="245"/>
      <c r="Q8" s="246"/>
      <c r="R8" s="51"/>
    </row>
    <row r="9" spans="1:22">
      <c r="B9" s="2"/>
      <c r="R9" s="51"/>
    </row>
    <row r="10" spans="1:22">
      <c r="B10" s="2"/>
      <c r="R10" s="51"/>
    </row>
    <row r="11" spans="1:22" ht="15.75" thickBot="1">
      <c r="B11" s="2"/>
      <c r="R11" s="51"/>
    </row>
    <row r="12" spans="1:22" ht="15.75" thickBot="1">
      <c r="B12" s="2"/>
      <c r="C12" s="34"/>
      <c r="D12" s="34"/>
      <c r="E12" s="250" t="s">
        <v>56</v>
      </c>
      <c r="F12" s="251"/>
      <c r="G12" s="251"/>
      <c r="H12" s="251"/>
      <c r="I12" s="251"/>
      <c r="J12" s="251"/>
      <c r="K12" s="251"/>
      <c r="L12" s="251"/>
      <c r="M12" s="252"/>
      <c r="N12" s="32"/>
      <c r="O12" s="250" t="s">
        <v>342</v>
      </c>
      <c r="P12" s="251"/>
      <c r="Q12" s="252"/>
      <c r="R12" s="51"/>
    </row>
    <row r="13" spans="1:22" ht="15.75" thickBot="1">
      <c r="B13" s="2"/>
      <c r="C13" s="34"/>
      <c r="D13" s="34"/>
      <c r="E13" s="34"/>
      <c r="F13" s="34"/>
      <c r="G13" s="34"/>
      <c r="H13" s="34"/>
      <c r="I13" s="34"/>
      <c r="J13" s="34"/>
      <c r="K13" s="34"/>
      <c r="L13" s="34"/>
      <c r="M13" s="34"/>
      <c r="N13" s="32"/>
      <c r="O13" s="34"/>
      <c r="P13" s="34"/>
      <c r="Q13" s="34"/>
      <c r="R13" s="51"/>
    </row>
    <row r="14" spans="1:22" ht="45" customHeight="1" thickBot="1">
      <c r="B14" s="2"/>
      <c r="C14" s="34"/>
      <c r="D14" s="34"/>
      <c r="E14" s="119" t="s">
        <v>57</v>
      </c>
      <c r="F14" s="119" t="s">
        <v>58</v>
      </c>
      <c r="G14" s="120" t="s">
        <v>59</v>
      </c>
      <c r="H14" s="119" t="s">
        <v>60</v>
      </c>
      <c r="I14" s="119" t="s">
        <v>61</v>
      </c>
      <c r="J14" s="119" t="s">
        <v>62</v>
      </c>
      <c r="K14" s="121" t="s">
        <v>63</v>
      </c>
      <c r="L14" s="121" t="s">
        <v>64</v>
      </c>
      <c r="M14" s="121" t="s">
        <v>65</v>
      </c>
      <c r="N14" s="32"/>
      <c r="O14" s="140" t="s">
        <v>63</v>
      </c>
      <c r="P14" s="140" t="s">
        <v>64</v>
      </c>
      <c r="Q14" s="121" t="s">
        <v>65</v>
      </c>
      <c r="R14" s="51"/>
    </row>
    <row r="15" spans="1:22" ht="15" customHeight="1" thickBot="1">
      <c r="B15" s="2"/>
      <c r="C15" s="130" t="s">
        <v>78</v>
      </c>
      <c r="D15" s="131"/>
      <c r="E15" s="55">
        <v>0</v>
      </c>
      <c r="F15" s="66">
        <v>0</v>
      </c>
      <c r="G15" s="56">
        <v>0</v>
      </c>
      <c r="H15" s="56">
        <v>0</v>
      </c>
      <c r="I15" s="56">
        <v>0</v>
      </c>
      <c r="J15" s="56">
        <v>0</v>
      </c>
      <c r="K15" s="56"/>
      <c r="L15" s="57">
        <v>0</v>
      </c>
      <c r="M15" s="57">
        <v>0</v>
      </c>
      <c r="N15" s="132"/>
      <c r="O15" s="56">
        <v>34.215586206896553</v>
      </c>
      <c r="P15" s="57">
        <v>1</v>
      </c>
      <c r="Q15" s="57">
        <v>0.72565318562875869</v>
      </c>
      <c r="R15" s="51"/>
    </row>
    <row r="16" spans="1:22" ht="15" customHeight="1" thickBot="1">
      <c r="B16" s="2"/>
      <c r="C16" s="170"/>
      <c r="D16" s="171" t="s">
        <v>79</v>
      </c>
      <c r="E16" s="172">
        <v>0</v>
      </c>
      <c r="F16" s="173">
        <v>0</v>
      </c>
      <c r="G16" s="174">
        <v>0</v>
      </c>
      <c r="H16" s="174">
        <v>0</v>
      </c>
      <c r="I16" s="174">
        <v>0</v>
      </c>
      <c r="J16" s="174">
        <v>0</v>
      </c>
      <c r="K16" s="174"/>
      <c r="L16" s="175">
        <v>0</v>
      </c>
      <c r="M16" s="175">
        <v>0</v>
      </c>
      <c r="N16" s="176"/>
      <c r="O16" s="174">
        <v>34.215586206896553</v>
      </c>
      <c r="P16" s="175">
        <v>1</v>
      </c>
      <c r="Q16" s="175">
        <v>0.72565318562875869</v>
      </c>
      <c r="R16" s="51"/>
    </row>
    <row r="17" spans="2:18" ht="15" customHeight="1" thickBot="1">
      <c r="B17" s="2"/>
      <c r="C17" s="133" t="s">
        <v>34</v>
      </c>
      <c r="D17" s="134"/>
      <c r="E17" s="122">
        <v>0</v>
      </c>
      <c r="F17" s="123">
        <v>0</v>
      </c>
      <c r="G17" s="124">
        <v>0</v>
      </c>
      <c r="H17" s="124">
        <v>0</v>
      </c>
      <c r="I17" s="124">
        <v>0</v>
      </c>
      <c r="J17" s="124">
        <v>0</v>
      </c>
      <c r="K17" s="124"/>
      <c r="L17" s="125">
        <v>0</v>
      </c>
      <c r="M17" s="125"/>
      <c r="N17" s="132"/>
      <c r="O17" s="124">
        <v>34.215586206896553</v>
      </c>
      <c r="P17" s="125">
        <v>1</v>
      </c>
      <c r="Q17" s="125">
        <v>0.72565318562875869</v>
      </c>
      <c r="R17" s="51"/>
    </row>
    <row r="18" spans="2:18" ht="15" customHeight="1">
      <c r="B18" s="2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3"/>
      <c r="Q18" s="13"/>
      <c r="R18" s="51"/>
    </row>
    <row r="19" spans="2:18" ht="15" customHeight="1" thickBot="1">
      <c r="B19" s="2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3"/>
      <c r="Q19" s="13"/>
      <c r="R19" s="51"/>
    </row>
    <row r="20" spans="2:18" ht="15" customHeight="1" thickBot="1">
      <c r="B20" s="2"/>
      <c r="C20" s="134" t="s">
        <v>121</v>
      </c>
      <c r="D20" s="134"/>
      <c r="E20" s="1"/>
      <c r="F20" s="1"/>
      <c r="G20" s="1"/>
      <c r="H20" s="153"/>
      <c r="I20" s="153"/>
      <c r="J20" s="153"/>
      <c r="K20" s="1"/>
      <c r="L20" s="1"/>
      <c r="M20" s="1"/>
      <c r="N20" s="1"/>
      <c r="O20" s="1"/>
      <c r="P20" s="13"/>
      <c r="Q20" s="13"/>
      <c r="R20" s="51"/>
    </row>
    <row r="21" spans="2:18" ht="15" customHeight="1" thickBot="1">
      <c r="B21" s="2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3"/>
      <c r="Q21" s="13"/>
      <c r="R21" s="51"/>
    </row>
    <row r="22" spans="2:18" ht="15" customHeight="1" thickBot="1">
      <c r="B22" s="2"/>
      <c r="C22" s="134" t="s">
        <v>122</v>
      </c>
      <c r="D22" s="134"/>
      <c r="E22" s="1"/>
      <c r="F22" s="1"/>
      <c r="G22" s="124">
        <v>0</v>
      </c>
      <c r="H22" s="124">
        <v>0</v>
      </c>
      <c r="I22" s="124">
        <v>0</v>
      </c>
      <c r="J22" s="124">
        <v>0</v>
      </c>
      <c r="K22" s="1"/>
      <c r="L22" s="1"/>
      <c r="M22" s="1"/>
      <c r="N22" s="1"/>
      <c r="O22" s="1"/>
      <c r="P22" s="13"/>
      <c r="Q22" s="13"/>
      <c r="R22" s="51"/>
    </row>
    <row r="23" spans="2:18" ht="15" customHeight="1" thickBot="1">
      <c r="B23" s="2"/>
      <c r="C23" s="134" t="s">
        <v>123</v>
      </c>
      <c r="D23" s="134"/>
      <c r="E23" s="1"/>
      <c r="F23" s="1"/>
      <c r="G23" s="124">
        <v>0</v>
      </c>
      <c r="H23" s="124">
        <v>0</v>
      </c>
      <c r="I23" s="124">
        <v>0</v>
      </c>
      <c r="J23" s="124">
        <v>0</v>
      </c>
      <c r="K23" s="1"/>
      <c r="L23" s="1"/>
      <c r="M23" s="1"/>
      <c r="N23" s="1"/>
      <c r="O23" s="1"/>
      <c r="P23" s="13"/>
      <c r="Q23" s="13"/>
      <c r="R23" s="51"/>
    </row>
    <row r="24" spans="2:18" ht="15" customHeight="1">
      <c r="B24" s="2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3"/>
      <c r="Q24" s="13"/>
      <c r="R24" s="51"/>
    </row>
    <row r="25" spans="2:18" ht="15" customHeight="1">
      <c r="B25" s="2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3"/>
      <c r="Q25" s="13"/>
      <c r="R25" s="51"/>
    </row>
    <row r="26" spans="2:18" ht="12" customHeight="1">
      <c r="B26" s="3"/>
      <c r="C26" s="135"/>
      <c r="D26" s="135"/>
      <c r="E26" s="135"/>
      <c r="F26" s="135"/>
      <c r="G26" s="135"/>
      <c r="H26" s="135"/>
      <c r="I26" s="135"/>
      <c r="J26" s="135"/>
      <c r="K26" s="135"/>
      <c r="L26" s="135"/>
      <c r="M26" s="135"/>
      <c r="N26" s="135"/>
      <c r="O26" s="135"/>
      <c r="P26" s="136"/>
      <c r="Q26" s="136"/>
      <c r="R26" s="52"/>
    </row>
  </sheetData>
  <mergeCells count="3">
    <mergeCell ref="C8:Q8"/>
    <mergeCell ref="E12:M12"/>
    <mergeCell ref="O12:Q12"/>
  </mergeCells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E9192F-FBDF-4D41-8D36-328DDF9B485F}">
  <sheetPr>
    <tabColor theme="4" tint="0.79998168889431442"/>
  </sheetPr>
  <dimension ref="A1:V32"/>
  <sheetViews>
    <sheetView showGridLines="0" zoomScale="70" zoomScaleNormal="70" workbookViewId="0">
      <selection activeCell="A19" sqref="A19:XFD19"/>
    </sheetView>
  </sheetViews>
  <sheetFormatPr baseColWidth="10" defaultColWidth="11.42578125" defaultRowHeight="15"/>
  <cols>
    <col min="1" max="1" width="2.85546875" style="5" customWidth="1"/>
    <col min="2" max="2" width="4.28515625" customWidth="1"/>
    <col min="3" max="3" width="10" customWidth="1"/>
    <col min="4" max="4" width="50.7109375" customWidth="1"/>
    <col min="5" max="5" width="12" bestFit="1" customWidth="1"/>
    <col min="6" max="11" width="14.28515625" customWidth="1"/>
    <col min="12" max="12" width="15.7109375" customWidth="1"/>
    <col min="13" max="13" width="10.7109375" customWidth="1"/>
    <col min="14" max="14" width="1.42578125" customWidth="1"/>
    <col min="15" max="15" width="14.28515625" customWidth="1"/>
    <col min="16" max="16" width="15.7109375" customWidth="1"/>
    <col min="17" max="17" width="10.7109375" customWidth="1"/>
    <col min="18" max="18" width="4.28515625" customWidth="1"/>
    <col min="19" max="19" width="2.85546875" customWidth="1"/>
    <col min="22" max="22" width="16.7109375" bestFit="1" customWidth="1"/>
  </cols>
  <sheetData>
    <row r="1" spans="1:22">
      <c r="A1" s="5">
        <v>0</v>
      </c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</row>
    <row r="2" spans="1:22" ht="15" customHeight="1">
      <c r="B2" s="48"/>
      <c r="C2" s="49"/>
      <c r="D2" s="49"/>
      <c r="E2" s="49"/>
      <c r="F2" s="49"/>
      <c r="G2" s="49"/>
      <c r="H2" s="49"/>
      <c r="I2" s="49"/>
      <c r="J2" s="49"/>
      <c r="K2" s="49"/>
      <c r="L2" s="49"/>
      <c r="M2" s="49"/>
      <c r="N2" s="49"/>
      <c r="O2" s="49"/>
      <c r="P2" s="49"/>
      <c r="Q2" s="49"/>
      <c r="R2" s="50"/>
      <c r="V2" s="35"/>
    </row>
    <row r="3" spans="1:22" ht="15" customHeight="1">
      <c r="B3" s="2"/>
      <c r="R3" s="51"/>
    </row>
    <row r="4" spans="1:22" ht="15" customHeight="1">
      <c r="B4" s="2"/>
      <c r="R4" s="51"/>
    </row>
    <row r="5" spans="1:22" ht="15" customHeight="1">
      <c r="B5" s="2"/>
      <c r="R5" s="51"/>
    </row>
    <row r="6" spans="1:22" ht="15" customHeight="1" thickBot="1">
      <c r="B6" s="2"/>
      <c r="R6" s="51"/>
    </row>
    <row r="7" spans="1:22" ht="15" hidden="1" customHeight="1">
      <c r="B7" s="2"/>
      <c r="R7" s="51"/>
    </row>
    <row r="8" spans="1:22" ht="60" customHeight="1" thickBot="1">
      <c r="B8" s="2"/>
      <c r="C8" s="244" t="str">
        <f>'Page de garde'!C13&amp;" : Détail des Prestations Réglées - Synthèse par famille d'actes"</f>
        <v>60000016 - 60000017 - 60000018 - 60000087 : Détail des Prestations Réglées - Synthèse par famille d'actes</v>
      </c>
      <c r="D8" s="245"/>
      <c r="E8" s="245"/>
      <c r="F8" s="245"/>
      <c r="G8" s="245"/>
      <c r="H8" s="245"/>
      <c r="I8" s="245"/>
      <c r="J8" s="245"/>
      <c r="K8" s="245"/>
      <c r="L8" s="245"/>
      <c r="M8" s="245"/>
      <c r="N8" s="245"/>
      <c r="O8" s="245"/>
      <c r="P8" s="245"/>
      <c r="Q8" s="246"/>
      <c r="R8" s="51"/>
    </row>
    <row r="9" spans="1:22">
      <c r="B9" s="2"/>
      <c r="R9" s="51"/>
    </row>
    <row r="10" spans="1:22">
      <c r="B10" s="2"/>
      <c r="R10" s="51"/>
    </row>
    <row r="11" spans="1:22" ht="15.75" thickBot="1">
      <c r="B11" s="2"/>
      <c r="R11" s="51"/>
    </row>
    <row r="12" spans="1:22" ht="15.75" thickBot="1">
      <c r="B12" s="2"/>
      <c r="C12" s="34"/>
      <c r="D12" s="34"/>
      <c r="E12" s="250" t="s">
        <v>56</v>
      </c>
      <c r="F12" s="251"/>
      <c r="G12" s="251"/>
      <c r="H12" s="251"/>
      <c r="I12" s="251"/>
      <c r="J12" s="251"/>
      <c r="K12" s="251"/>
      <c r="L12" s="251"/>
      <c r="M12" s="252"/>
      <c r="N12" s="32"/>
      <c r="O12" s="250" t="s">
        <v>342</v>
      </c>
      <c r="P12" s="251"/>
      <c r="Q12" s="252"/>
      <c r="R12" s="51"/>
    </row>
    <row r="13" spans="1:22" ht="15.75" thickBot="1">
      <c r="B13" s="2"/>
      <c r="C13" s="34"/>
      <c r="D13" s="34"/>
      <c r="E13" s="34"/>
      <c r="F13" s="34"/>
      <c r="G13" s="34"/>
      <c r="H13" s="34"/>
      <c r="I13" s="34"/>
      <c r="J13" s="34"/>
      <c r="K13" s="34"/>
      <c r="L13" s="34"/>
      <c r="M13" s="34"/>
      <c r="N13" s="32"/>
      <c r="O13" s="34"/>
      <c r="P13" s="34"/>
      <c r="Q13" s="34"/>
      <c r="R13" s="51"/>
    </row>
    <row r="14" spans="1:22" ht="45" customHeight="1" thickBot="1">
      <c r="B14" s="2"/>
      <c r="C14" s="34"/>
      <c r="D14" s="34"/>
      <c r="E14" s="119" t="s">
        <v>57</v>
      </c>
      <c r="F14" s="119" t="s">
        <v>58</v>
      </c>
      <c r="G14" s="120" t="s">
        <v>59</v>
      </c>
      <c r="H14" s="119" t="s">
        <v>60</v>
      </c>
      <c r="I14" s="119" t="s">
        <v>61</v>
      </c>
      <c r="J14" s="119" t="s">
        <v>62</v>
      </c>
      <c r="K14" s="121" t="s">
        <v>63</v>
      </c>
      <c r="L14" s="121" t="s">
        <v>64</v>
      </c>
      <c r="M14" s="121" t="s">
        <v>65</v>
      </c>
      <c r="N14" s="32"/>
      <c r="O14" s="140" t="s">
        <v>63</v>
      </c>
      <c r="P14" s="140" t="s">
        <v>64</v>
      </c>
      <c r="Q14" s="121" t="s">
        <v>65</v>
      </c>
      <c r="R14" s="51"/>
    </row>
    <row r="15" spans="1:22" ht="15" customHeight="1" thickBot="1">
      <c r="B15" s="2"/>
      <c r="C15" s="130" t="s">
        <v>80</v>
      </c>
      <c r="D15" s="131"/>
      <c r="E15" s="55">
        <v>129</v>
      </c>
      <c r="F15" s="66">
        <v>1.7671232876712328</v>
      </c>
      <c r="G15" s="56">
        <v>15891.3</v>
      </c>
      <c r="H15" s="56">
        <v>3820.44</v>
      </c>
      <c r="I15" s="56">
        <v>0</v>
      </c>
      <c r="J15" s="56">
        <v>9606.92</v>
      </c>
      <c r="K15" s="56">
        <v>74.47224806201551</v>
      </c>
      <c r="L15" s="57">
        <v>1</v>
      </c>
      <c r="M15" s="57">
        <v>0.84495038165537129</v>
      </c>
      <c r="N15" s="132"/>
      <c r="O15" s="56">
        <v>79.457567238156898</v>
      </c>
      <c r="P15" s="57">
        <v>1</v>
      </c>
      <c r="Q15" s="57">
        <v>0.77483369660121415</v>
      </c>
      <c r="R15" s="51"/>
    </row>
    <row r="16" spans="1:22" ht="15" customHeight="1" thickBot="1">
      <c r="B16" s="2"/>
      <c r="C16" s="170"/>
      <c r="D16" s="171" t="s">
        <v>81</v>
      </c>
      <c r="E16" s="172">
        <v>0</v>
      </c>
      <c r="F16" s="173">
        <v>0</v>
      </c>
      <c r="G16" s="174">
        <v>0</v>
      </c>
      <c r="H16" s="174">
        <v>0</v>
      </c>
      <c r="I16" s="174">
        <v>0</v>
      </c>
      <c r="J16" s="174">
        <v>0</v>
      </c>
      <c r="K16" s="174"/>
      <c r="L16" s="175">
        <v>0</v>
      </c>
      <c r="M16" s="175">
        <v>0</v>
      </c>
      <c r="N16" s="176"/>
      <c r="O16" s="174">
        <v>7.3176926464112997</v>
      </c>
      <c r="P16" s="175">
        <v>1.6994321659409551E-2</v>
      </c>
      <c r="Q16" s="175">
        <v>0.99107234454247373</v>
      </c>
      <c r="R16" s="51"/>
    </row>
    <row r="17" spans="2:18" ht="15" customHeight="1" thickBot="1">
      <c r="B17" s="2"/>
      <c r="C17" s="170"/>
      <c r="D17" s="171" t="s">
        <v>82</v>
      </c>
      <c r="E17" s="172">
        <v>0</v>
      </c>
      <c r="F17" s="173">
        <v>0</v>
      </c>
      <c r="G17" s="174">
        <v>0</v>
      </c>
      <c r="H17" s="174">
        <v>0</v>
      </c>
      <c r="I17" s="174">
        <v>0</v>
      </c>
      <c r="J17" s="174">
        <v>0</v>
      </c>
      <c r="K17" s="174"/>
      <c r="L17" s="175">
        <v>0</v>
      </c>
      <c r="M17" s="175">
        <v>0</v>
      </c>
      <c r="N17" s="176"/>
      <c r="O17" s="174">
        <v>221.06330543933058</v>
      </c>
      <c r="P17" s="175">
        <v>0.10805804138706508</v>
      </c>
      <c r="Q17" s="175">
        <v>0.80388277007343334</v>
      </c>
      <c r="R17" s="51"/>
    </row>
    <row r="18" spans="2:18" ht="15" customHeight="1" thickBot="1">
      <c r="B18" s="2"/>
      <c r="C18" s="170"/>
      <c r="D18" s="171" t="s">
        <v>83</v>
      </c>
      <c r="E18" s="172">
        <v>0</v>
      </c>
      <c r="F18" s="173">
        <v>0</v>
      </c>
      <c r="G18" s="174">
        <v>0</v>
      </c>
      <c r="H18" s="174">
        <v>0</v>
      </c>
      <c r="I18" s="174">
        <v>0</v>
      </c>
      <c r="J18" s="174">
        <v>0</v>
      </c>
      <c r="K18" s="174"/>
      <c r="L18" s="175">
        <v>0</v>
      </c>
      <c r="M18" s="175">
        <v>0</v>
      </c>
      <c r="N18" s="176"/>
      <c r="O18" s="174">
        <v>66.046981981981972</v>
      </c>
      <c r="P18" s="175">
        <v>1.4994033854394349E-2</v>
      </c>
      <c r="Q18" s="175">
        <v>0.56694321641854373</v>
      </c>
      <c r="R18" s="51"/>
    </row>
    <row r="19" spans="2:18" ht="15" customHeight="1" thickBot="1">
      <c r="B19" s="2"/>
      <c r="C19" s="170"/>
      <c r="D19" s="171" t="s">
        <v>84</v>
      </c>
      <c r="E19" s="172">
        <v>118</v>
      </c>
      <c r="F19" s="173">
        <v>1.6164383561643836</v>
      </c>
      <c r="G19" s="174">
        <v>12041.3</v>
      </c>
      <c r="H19" s="174">
        <v>3050.44</v>
      </c>
      <c r="I19" s="174">
        <v>0</v>
      </c>
      <c r="J19" s="174">
        <v>7076.92</v>
      </c>
      <c r="K19" s="174">
        <v>59.973898305084745</v>
      </c>
      <c r="L19" s="175">
        <v>0.73664816611359307</v>
      </c>
      <c r="M19" s="175">
        <v>0.84105204587544546</v>
      </c>
      <c r="N19" s="176"/>
      <c r="O19" s="174">
        <v>81.574715621645922</v>
      </c>
      <c r="P19" s="175">
        <v>0.54414605171891917</v>
      </c>
      <c r="Q19" s="175">
        <v>0.81845279538552296</v>
      </c>
      <c r="R19" s="51"/>
    </row>
    <row r="20" spans="2:18" ht="15" customHeight="1" thickBot="1">
      <c r="B20" s="2"/>
      <c r="C20" s="170"/>
      <c r="D20" s="171" t="s">
        <v>85</v>
      </c>
      <c r="E20" s="172">
        <v>0</v>
      </c>
      <c r="F20" s="173">
        <v>0</v>
      </c>
      <c r="G20" s="174">
        <v>0</v>
      </c>
      <c r="H20" s="174">
        <v>0</v>
      </c>
      <c r="I20" s="174">
        <v>0</v>
      </c>
      <c r="J20" s="174">
        <v>0</v>
      </c>
      <c r="K20" s="174"/>
      <c r="L20" s="175">
        <v>0</v>
      </c>
      <c r="M20" s="175">
        <v>0</v>
      </c>
      <c r="N20" s="176"/>
      <c r="O20" s="174">
        <v>258.36938294010889</v>
      </c>
      <c r="P20" s="175">
        <v>0.14558116222095363</v>
      </c>
      <c r="Q20" s="175">
        <v>0.66710305762277067</v>
      </c>
      <c r="R20" s="51"/>
    </row>
    <row r="21" spans="2:18" ht="15" customHeight="1" thickBot="1">
      <c r="B21" s="2"/>
      <c r="C21" s="170"/>
      <c r="D21" s="171" t="s">
        <v>86</v>
      </c>
      <c r="E21" s="172">
        <v>11</v>
      </c>
      <c r="F21" s="173">
        <v>0.15068493150684931</v>
      </c>
      <c r="G21" s="174">
        <v>3850</v>
      </c>
      <c r="H21" s="174">
        <v>770</v>
      </c>
      <c r="I21" s="174">
        <v>0</v>
      </c>
      <c r="J21" s="174">
        <v>2530</v>
      </c>
      <c r="K21" s="174">
        <v>230</v>
      </c>
      <c r="L21" s="175">
        <v>0.26335183388640687</v>
      </c>
      <c r="M21" s="175">
        <v>0.8571428571428571</v>
      </c>
      <c r="N21" s="176"/>
      <c r="O21" s="174">
        <v>214.0994006309148</v>
      </c>
      <c r="P21" s="175">
        <v>0.13880887828568059</v>
      </c>
      <c r="Q21" s="175">
        <v>0.67787574438152409</v>
      </c>
      <c r="R21" s="51"/>
    </row>
    <row r="22" spans="2:18" ht="15" customHeight="1" thickBot="1">
      <c r="B22" s="2"/>
      <c r="C22" s="170"/>
      <c r="D22" s="171" t="s">
        <v>87</v>
      </c>
      <c r="E22" s="172">
        <v>0</v>
      </c>
      <c r="F22" s="173">
        <v>0</v>
      </c>
      <c r="G22" s="174">
        <v>0</v>
      </c>
      <c r="H22" s="174">
        <v>0</v>
      </c>
      <c r="I22" s="174">
        <v>0</v>
      </c>
      <c r="J22" s="174">
        <v>0</v>
      </c>
      <c r="K22" s="174"/>
      <c r="L22" s="175">
        <v>0</v>
      </c>
      <c r="M22" s="175">
        <v>0</v>
      </c>
      <c r="N22" s="176"/>
      <c r="O22" s="174">
        <v>18.871431203931198</v>
      </c>
      <c r="P22" s="175">
        <v>3.1417510873577074E-2</v>
      </c>
      <c r="Q22" s="175">
        <v>0.870470414963608</v>
      </c>
      <c r="R22" s="51"/>
    </row>
    <row r="23" spans="2:18" ht="15" customHeight="1" thickBot="1">
      <c r="B23" s="2"/>
      <c r="C23" s="133" t="s">
        <v>34</v>
      </c>
      <c r="D23" s="134"/>
      <c r="E23" s="122">
        <v>129</v>
      </c>
      <c r="F23" s="123">
        <v>1.7671232876712328</v>
      </c>
      <c r="G23" s="124">
        <v>15891.3</v>
      </c>
      <c r="H23" s="124">
        <v>3820.44</v>
      </c>
      <c r="I23" s="124">
        <v>0</v>
      </c>
      <c r="J23" s="124">
        <v>9606.92</v>
      </c>
      <c r="K23" s="124">
        <v>74.47224806201551</v>
      </c>
      <c r="L23" s="125">
        <v>1</v>
      </c>
      <c r="M23" s="125">
        <v>0.84495038165537129</v>
      </c>
      <c r="N23" s="132"/>
      <c r="O23" s="124">
        <v>79.457567238156898</v>
      </c>
      <c r="P23" s="125">
        <v>1</v>
      </c>
      <c r="Q23" s="125">
        <v>0.77483369660121415</v>
      </c>
      <c r="R23" s="51"/>
    </row>
    <row r="24" spans="2:18" ht="15" customHeight="1">
      <c r="B24" s="2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3"/>
      <c r="Q24" s="13"/>
      <c r="R24" s="51"/>
    </row>
    <row r="25" spans="2:18" ht="15" customHeight="1" thickBot="1">
      <c r="B25" s="2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3"/>
      <c r="Q25" s="13"/>
      <c r="R25" s="51"/>
    </row>
    <row r="26" spans="2:18" ht="15" customHeight="1" thickBot="1">
      <c r="B26" s="2"/>
      <c r="C26" s="134" t="s">
        <v>121</v>
      </c>
      <c r="D26" s="134"/>
      <c r="E26" s="1"/>
      <c r="F26" s="1"/>
      <c r="G26" s="1"/>
      <c r="H26" s="153">
        <v>0.28449999999999998</v>
      </c>
      <c r="I26" s="153">
        <v>0</v>
      </c>
      <c r="J26" s="153">
        <v>0.71550000000000002</v>
      </c>
      <c r="K26" s="1"/>
      <c r="L26" s="1"/>
      <c r="M26" s="1"/>
      <c r="N26" s="1"/>
      <c r="O26" s="1"/>
      <c r="P26" s="13"/>
      <c r="Q26" s="13"/>
      <c r="R26" s="51"/>
    </row>
    <row r="27" spans="2:18" ht="15" customHeight="1" thickBot="1">
      <c r="B27" s="2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3"/>
      <c r="Q27" s="13"/>
      <c r="R27" s="51"/>
    </row>
    <row r="28" spans="2:18" ht="15" customHeight="1" thickBot="1">
      <c r="B28" s="2"/>
      <c r="C28" s="134" t="s">
        <v>122</v>
      </c>
      <c r="D28" s="134"/>
      <c r="E28" s="1"/>
      <c r="F28" s="1"/>
      <c r="G28" s="124">
        <v>217.69</v>
      </c>
      <c r="H28" s="124">
        <v>52.33</v>
      </c>
      <c r="I28" s="124">
        <v>0</v>
      </c>
      <c r="J28" s="124">
        <v>131.6</v>
      </c>
      <c r="K28" s="1"/>
      <c r="L28" s="1"/>
      <c r="M28" s="1"/>
      <c r="N28" s="1"/>
      <c r="O28" s="1"/>
      <c r="P28" s="13"/>
      <c r="Q28" s="13"/>
      <c r="R28" s="51"/>
    </row>
    <row r="29" spans="2:18" ht="15" customHeight="1" thickBot="1">
      <c r="B29" s="2"/>
      <c r="C29" s="134" t="s">
        <v>123</v>
      </c>
      <c r="D29" s="134"/>
      <c r="E29" s="1"/>
      <c r="F29" s="1"/>
      <c r="G29" s="124">
        <v>481.55</v>
      </c>
      <c r="H29" s="124">
        <v>115.77</v>
      </c>
      <c r="I29" s="124">
        <v>0</v>
      </c>
      <c r="J29" s="124">
        <v>291.12</v>
      </c>
      <c r="K29" s="1"/>
      <c r="L29" s="1"/>
      <c r="M29" s="1"/>
      <c r="N29" s="1"/>
      <c r="O29" s="1"/>
      <c r="P29" s="13"/>
      <c r="Q29" s="13"/>
      <c r="R29" s="51"/>
    </row>
    <row r="30" spans="2:18" ht="15" customHeight="1">
      <c r="B30" s="2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3"/>
      <c r="Q30" s="13"/>
      <c r="R30" s="51"/>
    </row>
    <row r="31" spans="2:18" ht="15" customHeight="1">
      <c r="B31" s="2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3"/>
      <c r="Q31" s="13"/>
      <c r="R31" s="51"/>
    </row>
    <row r="32" spans="2:18" ht="12" customHeight="1">
      <c r="B32" s="3"/>
      <c r="C32" s="135"/>
      <c r="D32" s="135"/>
      <c r="E32" s="135"/>
      <c r="F32" s="135"/>
      <c r="G32" s="135"/>
      <c r="H32" s="135"/>
      <c r="I32" s="135"/>
      <c r="J32" s="135"/>
      <c r="K32" s="135"/>
      <c r="L32" s="135"/>
      <c r="M32" s="135"/>
      <c r="N32" s="135"/>
      <c r="O32" s="135"/>
      <c r="P32" s="136"/>
      <c r="Q32" s="136"/>
      <c r="R32" s="52"/>
    </row>
  </sheetData>
  <mergeCells count="3">
    <mergeCell ref="C8:Q8"/>
    <mergeCell ref="E12:M12"/>
    <mergeCell ref="O12:Q12"/>
  </mergeCell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42E83D-F31C-4019-86BC-FC5005FC3B7A}">
  <sheetPr>
    <tabColor theme="4" tint="0.79998168889431442"/>
  </sheetPr>
  <dimension ref="A1:V47"/>
  <sheetViews>
    <sheetView showGridLines="0" zoomScale="70" zoomScaleNormal="70" workbookViewId="0">
      <selection activeCell="A19" sqref="A19:XFD19"/>
    </sheetView>
  </sheetViews>
  <sheetFormatPr baseColWidth="10" defaultColWidth="11.42578125" defaultRowHeight="15"/>
  <cols>
    <col min="1" max="1" width="2.85546875" style="5" customWidth="1"/>
    <col min="2" max="2" width="4.28515625" customWidth="1"/>
    <col min="3" max="3" width="10" customWidth="1"/>
    <col min="4" max="4" width="50.7109375" customWidth="1"/>
    <col min="5" max="5" width="12" bestFit="1" customWidth="1"/>
    <col min="6" max="11" width="14.28515625" customWidth="1"/>
    <col min="12" max="12" width="15.7109375" customWidth="1"/>
    <col min="13" max="13" width="10.7109375" customWidth="1"/>
    <col min="14" max="14" width="1.42578125" customWidth="1"/>
    <col min="15" max="15" width="14.28515625" customWidth="1"/>
    <col min="16" max="16" width="15.7109375" customWidth="1"/>
    <col min="17" max="17" width="10.7109375" customWidth="1"/>
    <col min="18" max="18" width="4.28515625" customWidth="1"/>
    <col min="19" max="19" width="2.85546875" customWidth="1"/>
    <col min="22" max="22" width="16.7109375" bestFit="1" customWidth="1"/>
  </cols>
  <sheetData>
    <row r="1" spans="1:22">
      <c r="A1" s="5">
        <v>0</v>
      </c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</row>
    <row r="2" spans="1:22" ht="15" customHeight="1">
      <c r="B2" s="48"/>
      <c r="C2" s="49"/>
      <c r="D2" s="49"/>
      <c r="E2" s="49"/>
      <c r="F2" s="49"/>
      <c r="G2" s="49"/>
      <c r="H2" s="49"/>
      <c r="I2" s="49"/>
      <c r="J2" s="49"/>
      <c r="K2" s="49"/>
      <c r="L2" s="49"/>
      <c r="M2" s="49"/>
      <c r="N2" s="49"/>
      <c r="O2" s="49"/>
      <c r="P2" s="49"/>
      <c r="Q2" s="49"/>
      <c r="R2" s="50"/>
      <c r="V2" s="35"/>
    </row>
    <row r="3" spans="1:22" ht="15" customHeight="1">
      <c r="B3" s="2"/>
      <c r="R3" s="51"/>
    </row>
    <row r="4" spans="1:22" ht="15" customHeight="1">
      <c r="B4" s="2"/>
      <c r="R4" s="51"/>
    </row>
    <row r="5" spans="1:22" ht="15" customHeight="1">
      <c r="B5" s="2"/>
      <c r="R5" s="51"/>
    </row>
    <row r="6" spans="1:22" ht="15" customHeight="1" thickBot="1">
      <c r="B6" s="2"/>
      <c r="R6" s="51"/>
    </row>
    <row r="7" spans="1:22" ht="15" hidden="1" customHeight="1">
      <c r="B7" s="2"/>
      <c r="R7" s="51"/>
    </row>
    <row r="8" spans="1:22" ht="60" customHeight="1" thickBot="1">
      <c r="B8" s="2"/>
      <c r="C8" s="244" t="str">
        <f>'Page de garde'!C13&amp;" : Détail des Prestations Réglées - Synthèse par famille d'actes"</f>
        <v>60000016 - 60000017 - 60000018 - 60000087 : Détail des Prestations Réglées - Synthèse par famille d'actes</v>
      </c>
      <c r="D8" s="245"/>
      <c r="E8" s="245"/>
      <c r="F8" s="245"/>
      <c r="G8" s="245"/>
      <c r="H8" s="245"/>
      <c r="I8" s="245"/>
      <c r="J8" s="245"/>
      <c r="K8" s="245"/>
      <c r="L8" s="245"/>
      <c r="M8" s="245"/>
      <c r="N8" s="245"/>
      <c r="O8" s="245"/>
      <c r="P8" s="245"/>
      <c r="Q8" s="246"/>
      <c r="R8" s="51"/>
    </row>
    <row r="9" spans="1:22">
      <c r="B9" s="2"/>
      <c r="R9" s="51"/>
    </row>
    <row r="10" spans="1:22">
      <c r="B10" s="2"/>
      <c r="R10" s="51"/>
    </row>
    <row r="11" spans="1:22" ht="15.75" thickBot="1">
      <c r="B11" s="2"/>
      <c r="R11" s="51"/>
    </row>
    <row r="12" spans="1:22" ht="15.75" thickBot="1">
      <c r="B12" s="2"/>
      <c r="C12" s="34"/>
      <c r="D12" s="34"/>
      <c r="E12" s="250" t="s">
        <v>56</v>
      </c>
      <c r="F12" s="251"/>
      <c r="G12" s="251"/>
      <c r="H12" s="251"/>
      <c r="I12" s="251"/>
      <c r="J12" s="251"/>
      <c r="K12" s="251"/>
      <c r="L12" s="251"/>
      <c r="M12" s="252"/>
      <c r="N12" s="32"/>
      <c r="O12" s="250" t="s">
        <v>342</v>
      </c>
      <c r="P12" s="251"/>
      <c r="Q12" s="252"/>
      <c r="R12" s="51"/>
    </row>
    <row r="13" spans="1:22" ht="15.75" thickBot="1">
      <c r="B13" s="2"/>
      <c r="C13" s="34"/>
      <c r="D13" s="34"/>
      <c r="E13" s="34"/>
      <c r="F13" s="34"/>
      <c r="G13" s="34"/>
      <c r="H13" s="34"/>
      <c r="I13" s="34"/>
      <c r="J13" s="34"/>
      <c r="K13" s="34"/>
      <c r="L13" s="34"/>
      <c r="M13" s="34"/>
      <c r="N13" s="32"/>
      <c r="O13" s="34"/>
      <c r="P13" s="34"/>
      <c r="Q13" s="34"/>
      <c r="R13" s="51"/>
    </row>
    <row r="14" spans="1:22" ht="45" customHeight="1" thickBot="1">
      <c r="B14" s="2"/>
      <c r="C14" s="34"/>
      <c r="D14" s="34"/>
      <c r="E14" s="119" t="s">
        <v>57</v>
      </c>
      <c r="F14" s="119" t="s">
        <v>58</v>
      </c>
      <c r="G14" s="120" t="s">
        <v>59</v>
      </c>
      <c r="H14" s="119" t="s">
        <v>60</v>
      </c>
      <c r="I14" s="119" t="s">
        <v>61</v>
      </c>
      <c r="J14" s="119" t="s">
        <v>62</v>
      </c>
      <c r="K14" s="121" t="s">
        <v>63</v>
      </c>
      <c r="L14" s="121" t="s">
        <v>64</v>
      </c>
      <c r="M14" s="121" t="s">
        <v>65</v>
      </c>
      <c r="N14" s="32"/>
      <c r="O14" s="140" t="s">
        <v>63</v>
      </c>
      <c r="P14" s="140" t="s">
        <v>64</v>
      </c>
      <c r="Q14" s="121" t="s">
        <v>65</v>
      </c>
      <c r="R14" s="51"/>
    </row>
    <row r="15" spans="1:22" ht="15" customHeight="1" thickBot="1">
      <c r="B15" s="2"/>
      <c r="C15" s="130" t="s">
        <v>88</v>
      </c>
      <c r="D15" s="131"/>
      <c r="E15" s="55">
        <v>33</v>
      </c>
      <c r="F15" s="66">
        <v>0.45205479452054792</v>
      </c>
      <c r="G15" s="56">
        <v>6932.71</v>
      </c>
      <c r="H15" s="56">
        <v>2466.0500000000002</v>
      </c>
      <c r="I15" s="56">
        <v>0</v>
      </c>
      <c r="J15" s="56">
        <v>2492.61</v>
      </c>
      <c r="K15" s="56">
        <v>75.533636363636361</v>
      </c>
      <c r="L15" s="57">
        <v>1</v>
      </c>
      <c r="M15" s="57">
        <v>0.71525565038779926</v>
      </c>
      <c r="N15" s="132"/>
      <c r="O15" s="56">
        <v>58.382425157923635</v>
      </c>
      <c r="P15" s="57">
        <v>1</v>
      </c>
      <c r="Q15" s="57">
        <v>0.91552398849854166</v>
      </c>
      <c r="R15" s="51"/>
    </row>
    <row r="16" spans="1:22" ht="15" customHeight="1" thickBot="1">
      <c r="B16" s="2"/>
      <c r="C16" s="170"/>
      <c r="D16" s="171" t="s">
        <v>89</v>
      </c>
      <c r="E16" s="172">
        <v>0</v>
      </c>
      <c r="F16" s="173">
        <v>0</v>
      </c>
      <c r="G16" s="174">
        <v>0</v>
      </c>
      <c r="H16" s="174">
        <v>0</v>
      </c>
      <c r="I16" s="174">
        <v>0</v>
      </c>
      <c r="J16" s="174">
        <v>0</v>
      </c>
      <c r="K16" s="174"/>
      <c r="L16" s="175">
        <v>0</v>
      </c>
      <c r="M16" s="175">
        <v>0</v>
      </c>
      <c r="N16" s="176"/>
      <c r="O16" s="174">
        <v>131.8705915492958</v>
      </c>
      <c r="P16" s="175">
        <v>0.11011424402860213</v>
      </c>
      <c r="Q16" s="175">
        <v>0.82891753730584361</v>
      </c>
      <c r="R16" s="51"/>
    </row>
    <row r="17" spans="2:18" ht="15" customHeight="1" thickBot="1">
      <c r="B17" s="2"/>
      <c r="C17" s="170"/>
      <c r="D17" s="171" t="s">
        <v>279</v>
      </c>
      <c r="E17" s="172">
        <v>0</v>
      </c>
      <c r="F17" s="173">
        <v>0</v>
      </c>
      <c r="G17" s="174">
        <v>0</v>
      </c>
      <c r="H17" s="174">
        <v>0</v>
      </c>
      <c r="I17" s="174">
        <v>0</v>
      </c>
      <c r="J17" s="174">
        <v>0</v>
      </c>
      <c r="K17" s="174"/>
      <c r="L17" s="175">
        <v>0</v>
      </c>
      <c r="M17" s="175">
        <v>0</v>
      </c>
      <c r="N17" s="176"/>
      <c r="O17" s="174">
        <v>68.724976958525346</v>
      </c>
      <c r="P17" s="175">
        <v>0.10523562522177948</v>
      </c>
      <c r="Q17" s="175">
        <v>0.93636566459678605</v>
      </c>
      <c r="R17" s="51"/>
    </row>
    <row r="18" spans="2:18" ht="15" customHeight="1" thickBot="1">
      <c r="B18" s="2"/>
      <c r="C18" s="170"/>
      <c r="D18" s="171" t="s">
        <v>280</v>
      </c>
      <c r="E18" s="172">
        <v>0</v>
      </c>
      <c r="F18" s="173">
        <v>0</v>
      </c>
      <c r="G18" s="174">
        <v>0</v>
      </c>
      <c r="H18" s="174">
        <v>0</v>
      </c>
      <c r="I18" s="174">
        <v>0</v>
      </c>
      <c r="J18" s="174">
        <v>0</v>
      </c>
      <c r="K18" s="174"/>
      <c r="L18" s="175">
        <v>0</v>
      </c>
      <c r="M18" s="175">
        <v>0</v>
      </c>
      <c r="N18" s="176"/>
      <c r="O18" s="174">
        <v>6.5</v>
      </c>
      <c r="P18" s="175">
        <v>3.0578103509326637E-5</v>
      </c>
      <c r="Q18" s="175">
        <v>1</v>
      </c>
      <c r="R18" s="51"/>
    </row>
    <row r="19" spans="2:18" ht="15" customHeight="1" thickBot="1">
      <c r="B19" s="2"/>
      <c r="C19" s="170"/>
      <c r="D19" s="171" t="s">
        <v>282</v>
      </c>
      <c r="E19" s="172">
        <v>0</v>
      </c>
      <c r="F19" s="173">
        <v>0</v>
      </c>
      <c r="G19" s="174">
        <v>0</v>
      </c>
      <c r="H19" s="174">
        <v>0</v>
      </c>
      <c r="I19" s="174">
        <v>0</v>
      </c>
      <c r="J19" s="174">
        <v>0</v>
      </c>
      <c r="K19" s="174"/>
      <c r="L19" s="175">
        <v>0</v>
      </c>
      <c r="M19" s="175">
        <v>0</v>
      </c>
      <c r="N19" s="176"/>
      <c r="O19" s="174">
        <v>11.79</v>
      </c>
      <c r="P19" s="175">
        <v>2.7731987721150847E-5</v>
      </c>
      <c r="Q19" s="175">
        <v>1</v>
      </c>
      <c r="R19" s="51"/>
    </row>
    <row r="20" spans="2:18" ht="15" customHeight="1" thickBot="1">
      <c r="B20" s="2"/>
      <c r="C20" s="170"/>
      <c r="D20" s="171" t="s">
        <v>90</v>
      </c>
      <c r="E20" s="172">
        <v>2</v>
      </c>
      <c r="F20" s="173">
        <v>2.7397260273972601E-2</v>
      </c>
      <c r="G20" s="174">
        <v>60</v>
      </c>
      <c r="H20" s="174">
        <v>0</v>
      </c>
      <c r="I20" s="174">
        <v>0</v>
      </c>
      <c r="J20" s="174">
        <v>60</v>
      </c>
      <c r="K20" s="174">
        <v>30</v>
      </c>
      <c r="L20" s="175">
        <v>2.4071154332206E-2</v>
      </c>
      <c r="M20" s="175">
        <v>1</v>
      </c>
      <c r="N20" s="176"/>
      <c r="O20" s="174">
        <v>55.364401544401595</v>
      </c>
      <c r="P20" s="175">
        <v>0.16864270996137254</v>
      </c>
      <c r="Q20" s="175">
        <v>0.99780247443819958</v>
      </c>
      <c r="R20" s="51"/>
    </row>
    <row r="21" spans="2:18" ht="15" customHeight="1" thickBot="1">
      <c r="B21" s="2"/>
      <c r="C21" s="170"/>
      <c r="D21" s="171" t="s">
        <v>91</v>
      </c>
      <c r="E21" s="172">
        <v>3</v>
      </c>
      <c r="F21" s="173">
        <v>4.1095890410958902E-2</v>
      </c>
      <c r="G21" s="174">
        <v>72</v>
      </c>
      <c r="H21" s="174">
        <v>0</v>
      </c>
      <c r="I21" s="174">
        <v>0</v>
      </c>
      <c r="J21" s="174">
        <v>72</v>
      </c>
      <c r="K21" s="174">
        <v>24</v>
      </c>
      <c r="L21" s="175">
        <v>2.8885385198647199E-2</v>
      </c>
      <c r="M21" s="175">
        <v>1</v>
      </c>
      <c r="N21" s="176"/>
      <c r="O21" s="174">
        <v>23.772511848341232</v>
      </c>
      <c r="P21" s="175">
        <v>1.1798443630983261E-2</v>
      </c>
      <c r="Q21" s="175">
        <v>1</v>
      </c>
      <c r="R21" s="51"/>
    </row>
    <row r="22" spans="2:18" ht="15" customHeight="1" thickBot="1">
      <c r="B22" s="2"/>
      <c r="C22" s="170"/>
      <c r="D22" s="171" t="s">
        <v>92</v>
      </c>
      <c r="E22" s="172">
        <v>1</v>
      </c>
      <c r="F22" s="173">
        <v>1.3698630136986301E-2</v>
      </c>
      <c r="G22" s="174">
        <v>85.84</v>
      </c>
      <c r="H22" s="174">
        <v>55.8</v>
      </c>
      <c r="I22" s="174">
        <v>0</v>
      </c>
      <c r="J22" s="174">
        <v>30.04</v>
      </c>
      <c r="K22" s="174">
        <v>30.04</v>
      </c>
      <c r="L22" s="175">
        <v>1.205162460232447E-2</v>
      </c>
      <c r="M22" s="175">
        <v>1</v>
      </c>
      <c r="N22" s="176"/>
      <c r="O22" s="174">
        <v>35.723216560509549</v>
      </c>
      <c r="P22" s="175">
        <v>2.638441069949482E-2</v>
      </c>
      <c r="Q22" s="175">
        <v>0.99943133020107111</v>
      </c>
      <c r="R22" s="51"/>
    </row>
    <row r="23" spans="2:18" ht="15" customHeight="1" thickBot="1">
      <c r="B23" s="2"/>
      <c r="C23" s="170"/>
      <c r="D23" s="171" t="s">
        <v>283</v>
      </c>
      <c r="E23" s="172">
        <v>0</v>
      </c>
      <c r="F23" s="173">
        <v>0</v>
      </c>
      <c r="G23" s="174">
        <v>0</v>
      </c>
      <c r="H23" s="174">
        <v>0</v>
      </c>
      <c r="I23" s="174">
        <v>0</v>
      </c>
      <c r="J23" s="174">
        <v>0</v>
      </c>
      <c r="K23" s="174"/>
      <c r="L23" s="175">
        <v>0</v>
      </c>
      <c r="M23" s="175">
        <v>0</v>
      </c>
      <c r="N23" s="176"/>
      <c r="O23" s="174">
        <v>1.93</v>
      </c>
      <c r="P23" s="175">
        <v>4.5396722902308004E-6</v>
      </c>
      <c r="Q23" s="175">
        <v>1</v>
      </c>
      <c r="R23" s="51"/>
    </row>
    <row r="24" spans="2:18" ht="15" customHeight="1" thickBot="1">
      <c r="B24" s="2"/>
      <c r="C24" s="170"/>
      <c r="D24" s="171" t="s">
        <v>93</v>
      </c>
      <c r="E24" s="172">
        <v>0</v>
      </c>
      <c r="F24" s="173">
        <v>0</v>
      </c>
      <c r="G24" s="174">
        <v>0</v>
      </c>
      <c r="H24" s="174">
        <v>0</v>
      </c>
      <c r="I24" s="174">
        <v>0</v>
      </c>
      <c r="J24" s="174">
        <v>0</v>
      </c>
      <c r="K24" s="174"/>
      <c r="L24" s="175">
        <v>0</v>
      </c>
      <c r="M24" s="175">
        <v>0</v>
      </c>
      <c r="N24" s="176"/>
      <c r="O24" s="174">
        <v>315.77582822085895</v>
      </c>
      <c r="P24" s="175">
        <v>0.12106920243508967</v>
      </c>
      <c r="Q24" s="175">
        <v>0.99976601412983768</v>
      </c>
      <c r="R24" s="51"/>
    </row>
    <row r="25" spans="2:18" ht="15" customHeight="1" thickBot="1">
      <c r="B25" s="2"/>
      <c r="C25" s="170"/>
      <c r="D25" s="171" t="s">
        <v>94</v>
      </c>
      <c r="E25" s="172">
        <v>23</v>
      </c>
      <c r="F25" s="173">
        <v>0.31506849315068491</v>
      </c>
      <c r="G25" s="174">
        <v>6636.43</v>
      </c>
      <c r="H25" s="174">
        <v>2410.25</v>
      </c>
      <c r="I25" s="174">
        <v>0</v>
      </c>
      <c r="J25" s="174">
        <v>2252.13</v>
      </c>
      <c r="K25" s="174">
        <v>97.918695652173923</v>
      </c>
      <c r="L25" s="175">
        <v>0.9035228134365183</v>
      </c>
      <c r="M25" s="175">
        <v>0.7025433855250488</v>
      </c>
      <c r="N25" s="176"/>
      <c r="O25" s="174">
        <v>42.879474671669705</v>
      </c>
      <c r="P25" s="175">
        <v>0.37630665528659352</v>
      </c>
      <c r="Q25" s="175">
        <v>0.82351778978848589</v>
      </c>
      <c r="R25" s="51"/>
    </row>
    <row r="26" spans="2:18" ht="15" customHeight="1" thickBot="1">
      <c r="B26" s="2"/>
      <c r="C26" s="170"/>
      <c r="D26" s="171" t="s">
        <v>95</v>
      </c>
      <c r="E26" s="172">
        <v>0</v>
      </c>
      <c r="F26" s="173">
        <v>0</v>
      </c>
      <c r="G26" s="174">
        <v>0</v>
      </c>
      <c r="H26" s="174">
        <v>0</v>
      </c>
      <c r="I26" s="174">
        <v>0</v>
      </c>
      <c r="J26" s="174">
        <v>0</v>
      </c>
      <c r="K26" s="174"/>
      <c r="L26" s="175">
        <v>0</v>
      </c>
      <c r="M26" s="175">
        <v>0</v>
      </c>
      <c r="N26" s="176"/>
      <c r="O26" s="174">
        <v>131.5102105263158</v>
      </c>
      <c r="P26" s="175">
        <v>2.9386662988512852E-2</v>
      </c>
      <c r="Q26" s="175">
        <v>0.78946947628619291</v>
      </c>
      <c r="R26" s="51"/>
    </row>
    <row r="27" spans="2:18" ht="15" customHeight="1" thickBot="1">
      <c r="B27" s="2"/>
      <c r="C27" s="170"/>
      <c r="D27" s="171" t="s">
        <v>194</v>
      </c>
      <c r="E27" s="172">
        <v>4</v>
      </c>
      <c r="F27" s="173">
        <v>5.4794520547945202E-2</v>
      </c>
      <c r="G27" s="174">
        <v>78.44</v>
      </c>
      <c r="H27" s="174">
        <v>0</v>
      </c>
      <c r="I27" s="174">
        <v>0</v>
      </c>
      <c r="J27" s="174">
        <v>78.44</v>
      </c>
      <c r="K27" s="174">
        <v>19.61</v>
      </c>
      <c r="L27" s="175">
        <v>3.1469022430303979E-2</v>
      </c>
      <c r="M27" s="175">
        <v>1</v>
      </c>
      <c r="N27" s="176"/>
      <c r="O27" s="174">
        <v>18.690203389830501</v>
      </c>
      <c r="P27" s="175">
        <v>1.2968902868466027E-2</v>
      </c>
      <c r="Q27" s="175">
        <v>1</v>
      </c>
      <c r="R27" s="51"/>
    </row>
    <row r="28" spans="2:18" ht="15" customHeight="1" thickBot="1">
      <c r="B28" s="2"/>
      <c r="C28" s="170"/>
      <c r="D28" s="171" t="s">
        <v>284</v>
      </c>
      <c r="E28" s="172">
        <v>0</v>
      </c>
      <c r="F28" s="173">
        <v>0</v>
      </c>
      <c r="G28" s="174">
        <v>0</v>
      </c>
      <c r="H28" s="174">
        <v>0</v>
      </c>
      <c r="I28" s="174">
        <v>0</v>
      </c>
      <c r="J28" s="174">
        <v>0</v>
      </c>
      <c r="K28" s="174"/>
      <c r="L28" s="175">
        <v>0</v>
      </c>
      <c r="M28" s="175">
        <v>0</v>
      </c>
      <c r="N28" s="176"/>
      <c r="O28" s="174">
        <v>472.19</v>
      </c>
      <c r="P28" s="175">
        <v>1.1106672843129958E-3</v>
      </c>
      <c r="Q28" s="175">
        <v>0.60737301107495212</v>
      </c>
      <c r="R28" s="51"/>
    </row>
    <row r="29" spans="2:18" ht="15" customHeight="1" thickBot="1">
      <c r="B29" s="2"/>
      <c r="C29" s="170"/>
      <c r="D29" s="171" t="s">
        <v>96</v>
      </c>
      <c r="E29" s="172">
        <v>0</v>
      </c>
      <c r="F29" s="173">
        <v>0</v>
      </c>
      <c r="G29" s="174">
        <v>0</v>
      </c>
      <c r="H29" s="174">
        <v>0</v>
      </c>
      <c r="I29" s="174">
        <v>0</v>
      </c>
      <c r="J29" s="174">
        <v>0</v>
      </c>
      <c r="K29" s="174"/>
      <c r="L29" s="175">
        <v>0</v>
      </c>
      <c r="M29" s="175">
        <v>0</v>
      </c>
      <c r="N29" s="176"/>
      <c r="O29" s="174">
        <v>317.64765957446809</v>
      </c>
      <c r="P29" s="175">
        <v>3.5116458588944729E-2</v>
      </c>
      <c r="Q29" s="175">
        <v>1</v>
      </c>
      <c r="R29" s="51"/>
    </row>
    <row r="30" spans="2:18" ht="15" customHeight="1" thickBot="1">
      <c r="B30" s="2"/>
      <c r="C30" s="170"/>
      <c r="D30" s="171" t="s">
        <v>285</v>
      </c>
      <c r="E30" s="172">
        <v>0</v>
      </c>
      <c r="F30" s="173">
        <v>0</v>
      </c>
      <c r="G30" s="174">
        <v>0</v>
      </c>
      <c r="H30" s="174">
        <v>0</v>
      </c>
      <c r="I30" s="174">
        <v>0</v>
      </c>
      <c r="J30" s="174">
        <v>0</v>
      </c>
      <c r="K30" s="174"/>
      <c r="L30" s="175">
        <v>0</v>
      </c>
      <c r="M30" s="175">
        <v>0</v>
      </c>
      <c r="N30" s="176"/>
      <c r="O30" s="174">
        <v>52.5</v>
      </c>
      <c r="P30" s="175">
        <v>1.2348849494151141E-4</v>
      </c>
      <c r="Q30" s="175">
        <v>1</v>
      </c>
      <c r="R30" s="51"/>
    </row>
    <row r="31" spans="2:18" ht="15" customHeight="1" thickBot="1">
      <c r="B31" s="2"/>
      <c r="C31" s="170"/>
      <c r="D31" s="171" t="s">
        <v>286</v>
      </c>
      <c r="E31" s="172">
        <v>0</v>
      </c>
      <c r="F31" s="173">
        <v>0</v>
      </c>
      <c r="G31" s="174">
        <v>0</v>
      </c>
      <c r="H31" s="174">
        <v>0</v>
      </c>
      <c r="I31" s="174">
        <v>0</v>
      </c>
      <c r="J31" s="174">
        <v>0</v>
      </c>
      <c r="K31" s="174"/>
      <c r="L31" s="175">
        <v>0</v>
      </c>
      <c r="M31" s="175">
        <v>0</v>
      </c>
      <c r="N31" s="176"/>
      <c r="O31" s="174">
        <v>52.5</v>
      </c>
      <c r="P31" s="175">
        <v>1.2348849494151141E-4</v>
      </c>
      <c r="Q31" s="175">
        <v>1</v>
      </c>
      <c r="R31" s="51"/>
    </row>
    <row r="32" spans="2:18" ht="15" customHeight="1" thickBot="1">
      <c r="B32" s="2"/>
      <c r="C32" s="170"/>
      <c r="D32" s="171" t="s">
        <v>97</v>
      </c>
      <c r="E32" s="172">
        <v>0</v>
      </c>
      <c r="F32" s="173">
        <v>0</v>
      </c>
      <c r="G32" s="174">
        <v>0</v>
      </c>
      <c r="H32" s="174">
        <v>0</v>
      </c>
      <c r="I32" s="174">
        <v>0</v>
      </c>
      <c r="J32" s="174">
        <v>0</v>
      </c>
      <c r="K32" s="174"/>
      <c r="L32" s="175">
        <v>0</v>
      </c>
      <c r="M32" s="175">
        <v>0</v>
      </c>
      <c r="N32" s="176"/>
      <c r="O32" s="174">
        <v>30</v>
      </c>
      <c r="P32" s="175">
        <v>7.0564854252292233E-5</v>
      </c>
      <c r="Q32" s="175">
        <v>1</v>
      </c>
      <c r="R32" s="51"/>
    </row>
    <row r="33" spans="2:18" ht="15" customHeight="1" thickBot="1">
      <c r="B33" s="2"/>
      <c r="C33" s="170"/>
      <c r="D33" s="171" t="s">
        <v>287</v>
      </c>
      <c r="E33" s="172">
        <v>0</v>
      </c>
      <c r="F33" s="173">
        <v>0</v>
      </c>
      <c r="G33" s="174">
        <v>0</v>
      </c>
      <c r="H33" s="174">
        <v>0</v>
      </c>
      <c r="I33" s="174">
        <v>0</v>
      </c>
      <c r="J33" s="174">
        <v>0</v>
      </c>
      <c r="K33" s="174"/>
      <c r="L33" s="175">
        <v>0</v>
      </c>
      <c r="M33" s="175">
        <v>0</v>
      </c>
      <c r="N33" s="176"/>
      <c r="O33" s="174">
        <v>6.8999999999999995</v>
      </c>
      <c r="P33" s="175">
        <v>4.8689749434081641E-5</v>
      </c>
      <c r="Q33" s="175">
        <v>1</v>
      </c>
      <c r="R33" s="51"/>
    </row>
    <row r="34" spans="2:18" ht="15" customHeight="1" thickBot="1">
      <c r="B34" s="2"/>
      <c r="C34" s="170"/>
      <c r="D34" s="171" t="s">
        <v>288</v>
      </c>
      <c r="E34" s="172">
        <v>0</v>
      </c>
      <c r="F34" s="173">
        <v>0</v>
      </c>
      <c r="G34" s="174">
        <v>0</v>
      </c>
      <c r="H34" s="174">
        <v>0</v>
      </c>
      <c r="I34" s="174">
        <v>0</v>
      </c>
      <c r="J34" s="174">
        <v>0</v>
      </c>
      <c r="K34" s="174"/>
      <c r="L34" s="175">
        <v>0</v>
      </c>
      <c r="M34" s="175">
        <v>0</v>
      </c>
      <c r="N34" s="176"/>
      <c r="O34" s="174">
        <v>0.6</v>
      </c>
      <c r="P34" s="175">
        <v>4.233891255137534E-6</v>
      </c>
      <c r="Q34" s="175">
        <v>1</v>
      </c>
      <c r="R34" s="51"/>
    </row>
    <row r="35" spans="2:18" ht="15" customHeight="1" thickBot="1">
      <c r="B35" s="2"/>
      <c r="C35" s="170"/>
      <c r="D35" s="171" t="s">
        <v>289</v>
      </c>
      <c r="E35" s="172">
        <v>0</v>
      </c>
      <c r="F35" s="173">
        <v>0</v>
      </c>
      <c r="G35" s="174">
        <v>0</v>
      </c>
      <c r="H35" s="174">
        <v>0</v>
      </c>
      <c r="I35" s="174">
        <v>0</v>
      </c>
      <c r="J35" s="174">
        <v>0</v>
      </c>
      <c r="K35" s="174"/>
      <c r="L35" s="175">
        <v>0</v>
      </c>
      <c r="M35" s="175">
        <v>0</v>
      </c>
      <c r="N35" s="176"/>
      <c r="O35" s="174">
        <v>1.4516129032258065</v>
      </c>
      <c r="P35" s="175">
        <v>3.1754184413531505E-4</v>
      </c>
      <c r="Q35" s="175">
        <v>1</v>
      </c>
      <c r="R35" s="51"/>
    </row>
    <row r="36" spans="2:18" ht="15" customHeight="1" thickBot="1">
      <c r="B36" s="2"/>
      <c r="C36" s="170"/>
      <c r="D36" s="171" t="s">
        <v>290</v>
      </c>
      <c r="E36" s="172">
        <v>0</v>
      </c>
      <c r="F36" s="173">
        <v>0</v>
      </c>
      <c r="G36" s="174">
        <v>0</v>
      </c>
      <c r="H36" s="174">
        <v>0</v>
      </c>
      <c r="I36" s="174">
        <v>0</v>
      </c>
      <c r="J36" s="174">
        <v>0</v>
      </c>
      <c r="K36" s="174"/>
      <c r="L36" s="175">
        <v>0</v>
      </c>
      <c r="M36" s="175">
        <v>0</v>
      </c>
      <c r="N36" s="176"/>
      <c r="O36" s="174">
        <v>24</v>
      </c>
      <c r="P36" s="175">
        <v>4.5161506721467029E-4</v>
      </c>
      <c r="Q36" s="175">
        <v>1</v>
      </c>
      <c r="R36" s="51"/>
    </row>
    <row r="37" spans="2:18" ht="15" customHeight="1" thickBot="1">
      <c r="B37" s="2"/>
      <c r="C37" s="170"/>
      <c r="D37" s="171" t="s">
        <v>291</v>
      </c>
      <c r="E37" s="172">
        <v>0</v>
      </c>
      <c r="F37" s="173">
        <v>0</v>
      </c>
      <c r="G37" s="174">
        <v>0</v>
      </c>
      <c r="H37" s="174">
        <v>0</v>
      </c>
      <c r="I37" s="174">
        <v>0</v>
      </c>
      <c r="J37" s="174">
        <v>0</v>
      </c>
      <c r="K37" s="174"/>
      <c r="L37" s="175">
        <v>0</v>
      </c>
      <c r="M37" s="175">
        <v>0</v>
      </c>
      <c r="N37" s="176"/>
      <c r="O37" s="174">
        <v>28.21</v>
      </c>
      <c r="P37" s="175">
        <v>6.6354484615238803E-4</v>
      </c>
      <c r="Q37" s="175">
        <v>1</v>
      </c>
      <c r="R37" s="51"/>
    </row>
    <row r="38" spans="2:18" ht="15" customHeight="1" thickBot="1">
      <c r="B38" s="2"/>
      <c r="C38" s="133" t="s">
        <v>34</v>
      </c>
      <c r="D38" s="134"/>
      <c r="E38" s="122">
        <v>33</v>
      </c>
      <c r="F38" s="123">
        <v>0.45205479452054792</v>
      </c>
      <c r="G38" s="124">
        <v>6932.71</v>
      </c>
      <c r="H38" s="124">
        <v>2466.0500000000002</v>
      </c>
      <c r="I38" s="124">
        <v>0</v>
      </c>
      <c r="J38" s="124">
        <v>2492.61</v>
      </c>
      <c r="K38" s="124">
        <v>75.533636363636361</v>
      </c>
      <c r="L38" s="125">
        <v>1</v>
      </c>
      <c r="M38" s="125">
        <v>0.71525565038779926</v>
      </c>
      <c r="N38" s="132"/>
      <c r="O38" s="124">
        <v>58.382425157923635</v>
      </c>
      <c r="P38" s="125">
        <v>1</v>
      </c>
      <c r="Q38" s="125">
        <v>0.91552398849854166</v>
      </c>
      <c r="R38" s="51"/>
    </row>
    <row r="39" spans="2:18" ht="15" customHeight="1">
      <c r="B39" s="2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3"/>
      <c r="Q39" s="13"/>
      <c r="R39" s="51"/>
    </row>
    <row r="40" spans="2:18" ht="15" customHeight="1" thickBot="1">
      <c r="B40" s="2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3"/>
      <c r="Q40" s="13"/>
      <c r="R40" s="51"/>
    </row>
    <row r="41" spans="2:18" ht="15" customHeight="1" thickBot="1">
      <c r="B41" s="2"/>
      <c r="C41" s="134" t="s">
        <v>121</v>
      </c>
      <c r="D41" s="134"/>
      <c r="E41" s="1"/>
      <c r="F41" s="1"/>
      <c r="G41" s="1"/>
      <c r="H41" s="153">
        <v>0.49730000000000002</v>
      </c>
      <c r="I41" s="153">
        <v>0</v>
      </c>
      <c r="J41" s="153">
        <v>0.50269999999999992</v>
      </c>
      <c r="K41" s="1"/>
      <c r="L41" s="1"/>
      <c r="M41" s="1"/>
      <c r="N41" s="1"/>
      <c r="O41" s="1"/>
      <c r="P41" s="13"/>
      <c r="Q41" s="13"/>
      <c r="R41" s="51"/>
    </row>
    <row r="42" spans="2:18" ht="15" customHeight="1" thickBot="1">
      <c r="B42" s="2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3"/>
      <c r="Q42" s="13"/>
      <c r="R42" s="51"/>
    </row>
    <row r="43" spans="2:18" ht="15" customHeight="1" thickBot="1">
      <c r="B43" s="2"/>
      <c r="C43" s="134" t="s">
        <v>122</v>
      </c>
      <c r="D43" s="134"/>
      <c r="E43" s="1"/>
      <c r="F43" s="1"/>
      <c r="G43" s="124">
        <v>94.97</v>
      </c>
      <c r="H43" s="124">
        <v>33.78</v>
      </c>
      <c r="I43" s="124">
        <v>0</v>
      </c>
      <c r="J43" s="124">
        <v>34.15</v>
      </c>
      <c r="K43" s="1"/>
      <c r="L43" s="1"/>
      <c r="M43" s="1"/>
      <c r="N43" s="1"/>
      <c r="O43" s="1"/>
      <c r="P43" s="13"/>
      <c r="Q43" s="13"/>
      <c r="R43" s="51"/>
    </row>
    <row r="44" spans="2:18" ht="15" customHeight="1" thickBot="1">
      <c r="B44" s="2"/>
      <c r="C44" s="134" t="s">
        <v>123</v>
      </c>
      <c r="D44" s="134"/>
      <c r="E44" s="1"/>
      <c r="F44" s="1"/>
      <c r="G44" s="124">
        <v>210.08</v>
      </c>
      <c r="H44" s="124">
        <v>74.73</v>
      </c>
      <c r="I44" s="124">
        <v>0</v>
      </c>
      <c r="J44" s="124">
        <v>75.53</v>
      </c>
      <c r="K44" s="1"/>
      <c r="L44" s="1"/>
      <c r="M44" s="1"/>
      <c r="N44" s="1"/>
      <c r="O44" s="1"/>
      <c r="P44" s="13"/>
      <c r="Q44" s="13"/>
      <c r="R44" s="51"/>
    </row>
    <row r="45" spans="2:18" ht="15" customHeight="1">
      <c r="B45" s="2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3"/>
      <c r="Q45" s="13"/>
      <c r="R45" s="51"/>
    </row>
    <row r="46" spans="2:18" ht="15" customHeight="1">
      <c r="B46" s="2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3"/>
      <c r="Q46" s="13"/>
      <c r="R46" s="51"/>
    </row>
    <row r="47" spans="2:18" ht="12" customHeight="1">
      <c r="B47" s="3"/>
      <c r="C47" s="135"/>
      <c r="D47" s="135"/>
      <c r="E47" s="135"/>
      <c r="F47" s="135"/>
      <c r="G47" s="135"/>
      <c r="H47" s="135"/>
      <c r="I47" s="135"/>
      <c r="J47" s="135"/>
      <c r="K47" s="135"/>
      <c r="L47" s="135"/>
      <c r="M47" s="135"/>
      <c r="N47" s="135"/>
      <c r="O47" s="135"/>
      <c r="P47" s="136"/>
      <c r="Q47" s="136"/>
      <c r="R47" s="52"/>
    </row>
  </sheetData>
  <mergeCells count="3">
    <mergeCell ref="C8:Q8"/>
    <mergeCell ref="E12:M12"/>
    <mergeCell ref="O12:Q12"/>
  </mergeCell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127308-C746-4B8B-B607-3971F01D87AB}">
  <sheetPr>
    <tabColor theme="4" tint="0.79998168889431442"/>
  </sheetPr>
  <dimension ref="A1:V26"/>
  <sheetViews>
    <sheetView showGridLines="0" zoomScale="70" zoomScaleNormal="70" workbookViewId="0">
      <selection activeCell="C16" sqref="C16:Q16"/>
    </sheetView>
  </sheetViews>
  <sheetFormatPr baseColWidth="10" defaultColWidth="11.42578125" defaultRowHeight="15"/>
  <cols>
    <col min="1" max="1" width="2.85546875" style="5" customWidth="1"/>
    <col min="2" max="2" width="4.28515625" customWidth="1"/>
    <col min="3" max="3" width="10" customWidth="1"/>
    <col min="4" max="4" width="50.7109375" customWidth="1"/>
    <col min="5" max="5" width="12" bestFit="1" customWidth="1"/>
    <col min="6" max="11" width="14.28515625" customWidth="1"/>
    <col min="12" max="12" width="15.7109375" customWidth="1"/>
    <col min="13" max="13" width="10.7109375" customWidth="1"/>
    <col min="14" max="14" width="1.42578125" customWidth="1"/>
    <col min="15" max="15" width="14.28515625" customWidth="1"/>
    <col min="16" max="16" width="15.7109375" customWidth="1"/>
    <col min="17" max="17" width="10.7109375" customWidth="1"/>
    <col min="18" max="18" width="4.28515625" customWidth="1"/>
    <col min="19" max="19" width="2.85546875" customWidth="1"/>
    <col min="22" max="22" width="16.7109375" bestFit="1" customWidth="1"/>
  </cols>
  <sheetData>
    <row r="1" spans="1:22">
      <c r="A1" s="5">
        <v>0</v>
      </c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</row>
    <row r="2" spans="1:22" ht="15" customHeight="1">
      <c r="B2" s="48"/>
      <c r="C2" s="49"/>
      <c r="D2" s="49"/>
      <c r="E2" s="49"/>
      <c r="F2" s="49"/>
      <c r="G2" s="49"/>
      <c r="H2" s="49"/>
      <c r="I2" s="49"/>
      <c r="J2" s="49"/>
      <c r="K2" s="49"/>
      <c r="L2" s="49"/>
      <c r="M2" s="49"/>
      <c r="N2" s="49"/>
      <c r="O2" s="49"/>
      <c r="P2" s="49"/>
      <c r="Q2" s="49"/>
      <c r="R2" s="50"/>
      <c r="V2" s="35"/>
    </row>
    <row r="3" spans="1:22" ht="15" customHeight="1">
      <c r="B3" s="2"/>
      <c r="R3" s="51"/>
    </row>
    <row r="4" spans="1:22" ht="15" customHeight="1">
      <c r="B4" s="2"/>
      <c r="R4" s="51"/>
    </row>
    <row r="5" spans="1:22" ht="15" customHeight="1">
      <c r="B5" s="2"/>
      <c r="R5" s="51"/>
    </row>
    <row r="6" spans="1:22" ht="15" customHeight="1" thickBot="1">
      <c r="B6" s="2"/>
      <c r="R6" s="51"/>
    </row>
    <row r="7" spans="1:22" ht="15" hidden="1" customHeight="1">
      <c r="B7" s="2"/>
      <c r="R7" s="51"/>
    </row>
    <row r="8" spans="1:22" ht="60" customHeight="1" thickBot="1">
      <c r="B8" s="2"/>
      <c r="C8" s="244" t="str">
        <f>'Page de garde'!C13&amp;" : Détail des Prestations Réglées - Synthèse par famille d'actes"</f>
        <v>60000016 - 60000017 - 60000018 - 60000087 : Détail des Prestations Réglées - Synthèse par famille d'actes</v>
      </c>
      <c r="D8" s="245"/>
      <c r="E8" s="245"/>
      <c r="F8" s="245"/>
      <c r="G8" s="245"/>
      <c r="H8" s="245"/>
      <c r="I8" s="245"/>
      <c r="J8" s="245"/>
      <c r="K8" s="245"/>
      <c r="L8" s="245"/>
      <c r="M8" s="245"/>
      <c r="N8" s="245"/>
      <c r="O8" s="245"/>
      <c r="P8" s="245"/>
      <c r="Q8" s="246"/>
      <c r="R8" s="51"/>
    </row>
    <row r="9" spans="1:22">
      <c r="B9" s="2"/>
      <c r="R9" s="51"/>
    </row>
    <row r="10" spans="1:22">
      <c r="B10" s="2"/>
      <c r="R10" s="51"/>
    </row>
    <row r="11" spans="1:22" ht="15.75" thickBot="1">
      <c r="B11" s="2"/>
      <c r="R11" s="51"/>
    </row>
    <row r="12" spans="1:22" ht="15.75" thickBot="1">
      <c r="B12" s="2"/>
      <c r="C12" s="34"/>
      <c r="D12" s="34"/>
      <c r="E12" s="250" t="s">
        <v>56</v>
      </c>
      <c r="F12" s="251"/>
      <c r="G12" s="251"/>
      <c r="H12" s="251"/>
      <c r="I12" s="251"/>
      <c r="J12" s="251"/>
      <c r="K12" s="251"/>
      <c r="L12" s="251"/>
      <c r="M12" s="252"/>
      <c r="N12" s="32"/>
      <c r="O12" s="250" t="s">
        <v>342</v>
      </c>
      <c r="P12" s="251"/>
      <c r="Q12" s="252"/>
      <c r="R12" s="51"/>
    </row>
    <row r="13" spans="1:22" ht="15.75" thickBot="1">
      <c r="B13" s="2"/>
      <c r="C13" s="34"/>
      <c r="D13" s="34"/>
      <c r="E13" s="34"/>
      <c r="F13" s="34"/>
      <c r="G13" s="34"/>
      <c r="H13" s="34"/>
      <c r="I13" s="34"/>
      <c r="J13" s="34"/>
      <c r="K13" s="34"/>
      <c r="L13" s="34"/>
      <c r="M13" s="34"/>
      <c r="N13" s="32"/>
      <c r="O13" s="34"/>
      <c r="P13" s="34"/>
      <c r="Q13" s="34"/>
      <c r="R13" s="51"/>
    </row>
    <row r="14" spans="1:22" ht="45" customHeight="1" thickBot="1">
      <c r="B14" s="2"/>
      <c r="C14" s="34"/>
      <c r="D14" s="34"/>
      <c r="E14" s="119" t="s">
        <v>57</v>
      </c>
      <c r="F14" s="119" t="s">
        <v>58</v>
      </c>
      <c r="G14" s="120" t="s">
        <v>59</v>
      </c>
      <c r="H14" s="119" t="s">
        <v>60</v>
      </c>
      <c r="I14" s="119" t="s">
        <v>61</v>
      </c>
      <c r="J14" s="119" t="s">
        <v>62</v>
      </c>
      <c r="K14" s="121" t="s">
        <v>63</v>
      </c>
      <c r="L14" s="121" t="s">
        <v>64</v>
      </c>
      <c r="M14" s="121" t="s">
        <v>65</v>
      </c>
      <c r="N14" s="32"/>
      <c r="O14" s="140" t="s">
        <v>63</v>
      </c>
      <c r="P14" s="140" t="s">
        <v>64</v>
      </c>
      <c r="Q14" s="121" t="s">
        <v>65</v>
      </c>
      <c r="R14" s="51"/>
    </row>
    <row r="15" spans="1:22" ht="15" customHeight="1" thickBot="1">
      <c r="B15" s="2"/>
      <c r="C15" s="130" t="s">
        <v>98</v>
      </c>
      <c r="D15" s="131"/>
      <c r="E15" s="55">
        <v>0</v>
      </c>
      <c r="F15" s="66">
        <v>0</v>
      </c>
      <c r="G15" s="56">
        <v>0</v>
      </c>
      <c r="H15" s="56">
        <v>0</v>
      </c>
      <c r="I15" s="56">
        <v>0</v>
      </c>
      <c r="J15" s="56">
        <v>0</v>
      </c>
      <c r="K15" s="56"/>
      <c r="L15" s="57">
        <v>0</v>
      </c>
      <c r="M15" s="57">
        <v>0</v>
      </c>
      <c r="N15" s="132"/>
      <c r="O15" s="56">
        <v>1986.4</v>
      </c>
      <c r="P15" s="57">
        <v>1</v>
      </c>
      <c r="Q15" s="57">
        <v>0.37035752627125818</v>
      </c>
      <c r="R15" s="51"/>
    </row>
    <row r="16" spans="1:22" ht="15" customHeight="1" thickBot="1">
      <c r="B16" s="2"/>
      <c r="C16" s="170"/>
      <c r="D16" s="171" t="s">
        <v>99</v>
      </c>
      <c r="E16" s="172">
        <v>0</v>
      </c>
      <c r="F16" s="173">
        <v>0</v>
      </c>
      <c r="G16" s="174">
        <v>0</v>
      </c>
      <c r="H16" s="174">
        <v>0</v>
      </c>
      <c r="I16" s="174">
        <v>0</v>
      </c>
      <c r="J16" s="174">
        <v>0</v>
      </c>
      <c r="K16" s="174"/>
      <c r="L16" s="175">
        <v>0</v>
      </c>
      <c r="M16" s="175">
        <v>0</v>
      </c>
      <c r="N16" s="176"/>
      <c r="O16" s="174">
        <v>1986.4</v>
      </c>
      <c r="P16" s="175">
        <v>1</v>
      </c>
      <c r="Q16" s="175">
        <v>0.37035752627125818</v>
      </c>
      <c r="R16" s="51"/>
    </row>
    <row r="17" spans="2:18" ht="15" customHeight="1" thickBot="1">
      <c r="B17" s="2"/>
      <c r="C17" s="133" t="s">
        <v>34</v>
      </c>
      <c r="D17" s="134"/>
      <c r="E17" s="122">
        <v>0</v>
      </c>
      <c r="F17" s="123">
        <v>0</v>
      </c>
      <c r="G17" s="124">
        <v>0</v>
      </c>
      <c r="H17" s="124">
        <v>0</v>
      </c>
      <c r="I17" s="124">
        <v>0</v>
      </c>
      <c r="J17" s="124">
        <v>0</v>
      </c>
      <c r="K17" s="124"/>
      <c r="L17" s="125">
        <v>0</v>
      </c>
      <c r="M17" s="125"/>
      <c r="N17" s="132"/>
      <c r="O17" s="124">
        <v>1986.4</v>
      </c>
      <c r="P17" s="125">
        <v>1</v>
      </c>
      <c r="Q17" s="125">
        <v>0.37035752627125818</v>
      </c>
      <c r="R17" s="51"/>
    </row>
    <row r="18" spans="2:18" ht="15" customHeight="1">
      <c r="B18" s="2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3"/>
      <c r="Q18" s="13"/>
      <c r="R18" s="51"/>
    </row>
    <row r="19" spans="2:18" ht="15" customHeight="1" thickBot="1">
      <c r="B19" s="2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3"/>
      <c r="Q19" s="13"/>
      <c r="R19" s="51"/>
    </row>
    <row r="20" spans="2:18" ht="15" customHeight="1" thickBot="1">
      <c r="B20" s="2"/>
      <c r="C20" s="134" t="s">
        <v>121</v>
      </c>
      <c r="D20" s="134"/>
      <c r="E20" s="1"/>
      <c r="F20" s="1"/>
      <c r="G20" s="1"/>
      <c r="H20" s="153"/>
      <c r="I20" s="153"/>
      <c r="J20" s="153"/>
      <c r="K20" s="1"/>
      <c r="L20" s="1"/>
      <c r="M20" s="1"/>
      <c r="N20" s="1"/>
      <c r="O20" s="1"/>
      <c r="P20" s="13"/>
      <c r="Q20" s="13"/>
      <c r="R20" s="51"/>
    </row>
    <row r="21" spans="2:18" ht="15" customHeight="1" thickBot="1">
      <c r="B21" s="2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3"/>
      <c r="Q21" s="13"/>
      <c r="R21" s="51"/>
    </row>
    <row r="22" spans="2:18" ht="15" customHeight="1" thickBot="1">
      <c r="B22" s="2"/>
      <c r="C22" s="134" t="s">
        <v>122</v>
      </c>
      <c r="D22" s="134"/>
      <c r="E22" s="1"/>
      <c r="F22" s="1"/>
      <c r="G22" s="124">
        <v>0</v>
      </c>
      <c r="H22" s="124">
        <v>0</v>
      </c>
      <c r="I22" s="124">
        <v>0</v>
      </c>
      <c r="J22" s="124">
        <v>0</v>
      </c>
      <c r="K22" s="1"/>
      <c r="L22" s="1"/>
      <c r="M22" s="1"/>
      <c r="N22" s="1"/>
      <c r="O22" s="1"/>
      <c r="P22" s="13"/>
      <c r="Q22" s="13"/>
      <c r="R22" s="51"/>
    </row>
    <row r="23" spans="2:18" ht="15" customHeight="1" thickBot="1">
      <c r="B23" s="2"/>
      <c r="C23" s="134" t="s">
        <v>123</v>
      </c>
      <c r="D23" s="134"/>
      <c r="E23" s="1"/>
      <c r="F23" s="1"/>
      <c r="G23" s="124">
        <v>0</v>
      </c>
      <c r="H23" s="124">
        <v>0</v>
      </c>
      <c r="I23" s="124">
        <v>0</v>
      </c>
      <c r="J23" s="124">
        <v>0</v>
      </c>
      <c r="K23" s="1"/>
      <c r="L23" s="1"/>
      <c r="M23" s="1"/>
      <c r="N23" s="1"/>
      <c r="O23" s="1"/>
      <c r="P23" s="13"/>
      <c r="Q23" s="13"/>
      <c r="R23" s="51"/>
    </row>
    <row r="24" spans="2:18" ht="15" customHeight="1">
      <c r="B24" s="2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3"/>
      <c r="Q24" s="13"/>
      <c r="R24" s="51"/>
    </row>
    <row r="25" spans="2:18" ht="15" customHeight="1">
      <c r="B25" s="2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3"/>
      <c r="Q25" s="13"/>
      <c r="R25" s="51"/>
    </row>
    <row r="26" spans="2:18" ht="12" customHeight="1">
      <c r="B26" s="3"/>
      <c r="C26" s="135"/>
      <c r="D26" s="135"/>
      <c r="E26" s="135"/>
      <c r="F26" s="135"/>
      <c r="G26" s="135"/>
      <c r="H26" s="135"/>
      <c r="I26" s="135"/>
      <c r="J26" s="135"/>
      <c r="K26" s="135"/>
      <c r="L26" s="135"/>
      <c r="M26" s="135"/>
      <c r="N26" s="135"/>
      <c r="O26" s="135"/>
      <c r="P26" s="136"/>
      <c r="Q26" s="136"/>
      <c r="R26" s="52"/>
    </row>
  </sheetData>
  <mergeCells count="3">
    <mergeCell ref="C8:Q8"/>
    <mergeCell ref="E12:M12"/>
    <mergeCell ref="O12:Q12"/>
  </mergeCells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8D44BD-377F-412C-9C64-615CA22CB985}">
  <sheetPr>
    <tabColor theme="4" tint="0.79998168889431442"/>
  </sheetPr>
  <dimension ref="A1:V35"/>
  <sheetViews>
    <sheetView showGridLines="0" zoomScale="70" zoomScaleNormal="70" workbookViewId="0">
      <selection activeCell="A24" sqref="A24:XFD24"/>
    </sheetView>
  </sheetViews>
  <sheetFormatPr baseColWidth="10" defaultColWidth="11.42578125" defaultRowHeight="15"/>
  <cols>
    <col min="1" max="1" width="2.85546875" style="5" customWidth="1"/>
    <col min="2" max="2" width="4.28515625" customWidth="1"/>
    <col min="3" max="3" width="10" customWidth="1"/>
    <col min="4" max="4" width="50.7109375" customWidth="1"/>
    <col min="5" max="5" width="12" bestFit="1" customWidth="1"/>
    <col min="6" max="11" width="14.28515625" customWidth="1"/>
    <col min="12" max="12" width="15.7109375" customWidth="1"/>
    <col min="13" max="13" width="10.7109375" customWidth="1"/>
    <col min="14" max="14" width="1.42578125" customWidth="1"/>
    <col min="15" max="15" width="14.28515625" customWidth="1"/>
    <col min="16" max="16" width="15.7109375" customWidth="1"/>
    <col min="17" max="17" width="10.7109375" customWidth="1"/>
    <col min="18" max="18" width="4.28515625" customWidth="1"/>
    <col min="19" max="19" width="2.85546875" customWidth="1"/>
    <col min="22" max="22" width="16.7109375" bestFit="1" customWidth="1"/>
  </cols>
  <sheetData>
    <row r="1" spans="1:22">
      <c r="A1" s="5">
        <v>0</v>
      </c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</row>
    <row r="2" spans="1:22" ht="15" customHeight="1">
      <c r="B2" s="48"/>
      <c r="C2" s="49"/>
      <c r="D2" s="49"/>
      <c r="E2" s="49"/>
      <c r="F2" s="49"/>
      <c r="G2" s="49"/>
      <c r="H2" s="49"/>
      <c r="I2" s="49"/>
      <c r="J2" s="49"/>
      <c r="K2" s="49"/>
      <c r="L2" s="49"/>
      <c r="M2" s="49"/>
      <c r="N2" s="49"/>
      <c r="O2" s="49"/>
      <c r="P2" s="49"/>
      <c r="Q2" s="49"/>
      <c r="R2" s="50"/>
      <c r="V2" s="35"/>
    </row>
    <row r="3" spans="1:22" ht="15" customHeight="1">
      <c r="B3" s="2"/>
      <c r="R3" s="51"/>
    </row>
    <row r="4" spans="1:22" ht="15" customHeight="1">
      <c r="B4" s="2"/>
      <c r="R4" s="51"/>
    </row>
    <row r="5" spans="1:22" ht="15" customHeight="1">
      <c r="B5" s="2"/>
      <c r="R5" s="51"/>
    </row>
    <row r="6" spans="1:22" ht="15" customHeight="1" thickBot="1">
      <c r="B6" s="2"/>
      <c r="R6" s="51"/>
    </row>
    <row r="7" spans="1:22" ht="15" hidden="1" customHeight="1">
      <c r="B7" s="2"/>
      <c r="R7" s="51"/>
    </row>
    <row r="8" spans="1:22" ht="60" customHeight="1" thickBot="1">
      <c r="B8" s="2"/>
      <c r="C8" s="244" t="str">
        <f>'Page de garde'!C13&amp;" : Détail des Prestations Réglées - Synthèse par famille d'actes"</f>
        <v>60000016 - 60000017 - 60000018 - 60000087 : Détail des Prestations Réglées - Synthèse par famille d'actes</v>
      </c>
      <c r="D8" s="245"/>
      <c r="E8" s="245"/>
      <c r="F8" s="245"/>
      <c r="G8" s="245"/>
      <c r="H8" s="245"/>
      <c r="I8" s="245"/>
      <c r="J8" s="245"/>
      <c r="K8" s="245"/>
      <c r="L8" s="245"/>
      <c r="M8" s="245"/>
      <c r="N8" s="245"/>
      <c r="O8" s="245"/>
      <c r="P8" s="245"/>
      <c r="Q8" s="246"/>
      <c r="R8" s="51"/>
    </row>
    <row r="9" spans="1:22">
      <c r="B9" s="2"/>
      <c r="R9" s="51"/>
    </row>
    <row r="10" spans="1:22">
      <c r="B10" s="2"/>
      <c r="R10" s="51"/>
    </row>
    <row r="11" spans="1:22" ht="15.75" thickBot="1">
      <c r="B11" s="2"/>
      <c r="R11" s="51"/>
    </row>
    <row r="12" spans="1:22" ht="15.75" thickBot="1">
      <c r="B12" s="2"/>
      <c r="C12" s="34"/>
      <c r="D12" s="34"/>
      <c r="E12" s="250" t="s">
        <v>56</v>
      </c>
      <c r="F12" s="251"/>
      <c r="G12" s="251"/>
      <c r="H12" s="251"/>
      <c r="I12" s="251"/>
      <c r="J12" s="251"/>
      <c r="K12" s="251"/>
      <c r="L12" s="251"/>
      <c r="M12" s="252"/>
      <c r="N12" s="32"/>
      <c r="O12" s="250" t="s">
        <v>342</v>
      </c>
      <c r="P12" s="251"/>
      <c r="Q12" s="252"/>
      <c r="R12" s="51"/>
    </row>
    <row r="13" spans="1:22" ht="15.75" thickBot="1">
      <c r="B13" s="2"/>
      <c r="C13" s="34"/>
      <c r="D13" s="34"/>
      <c r="E13" s="34"/>
      <c r="F13" s="34"/>
      <c r="G13" s="34"/>
      <c r="H13" s="34"/>
      <c r="I13" s="34"/>
      <c r="J13" s="34"/>
      <c r="K13" s="34"/>
      <c r="L13" s="34"/>
      <c r="M13" s="34"/>
      <c r="N13" s="32"/>
      <c r="O13" s="34"/>
      <c r="P13" s="34"/>
      <c r="Q13" s="34"/>
      <c r="R13" s="51"/>
    </row>
    <row r="14" spans="1:22" ht="45" customHeight="1" thickBot="1">
      <c r="B14" s="2"/>
      <c r="C14" s="34"/>
      <c r="D14" s="34"/>
      <c r="E14" s="119" t="s">
        <v>57</v>
      </c>
      <c r="F14" s="119" t="s">
        <v>58</v>
      </c>
      <c r="G14" s="120" t="s">
        <v>59</v>
      </c>
      <c r="H14" s="119" t="s">
        <v>60</v>
      </c>
      <c r="I14" s="119" t="s">
        <v>61</v>
      </c>
      <c r="J14" s="119" t="s">
        <v>62</v>
      </c>
      <c r="K14" s="121" t="s">
        <v>63</v>
      </c>
      <c r="L14" s="121" t="s">
        <v>64</v>
      </c>
      <c r="M14" s="121" t="s">
        <v>65</v>
      </c>
      <c r="N14" s="32"/>
      <c r="O14" s="140" t="s">
        <v>63</v>
      </c>
      <c r="P14" s="140" t="s">
        <v>64</v>
      </c>
      <c r="Q14" s="121" t="s">
        <v>65</v>
      </c>
      <c r="R14" s="51"/>
    </row>
    <row r="15" spans="1:22" ht="15" customHeight="1" thickBot="1">
      <c r="B15" s="2"/>
      <c r="C15" s="130" t="s">
        <v>100</v>
      </c>
      <c r="D15" s="131"/>
      <c r="E15" s="55">
        <v>71</v>
      </c>
      <c r="F15" s="66">
        <v>0.9726027397260274</v>
      </c>
      <c r="G15" s="56">
        <v>11903.279999999999</v>
      </c>
      <c r="H15" s="56">
        <v>1.95</v>
      </c>
      <c r="I15" s="56">
        <v>0</v>
      </c>
      <c r="J15" s="56">
        <v>9997.58</v>
      </c>
      <c r="K15" s="56">
        <v>140.81098591549295</v>
      </c>
      <c r="L15" s="57">
        <v>1</v>
      </c>
      <c r="M15" s="57">
        <v>0.84006509130256535</v>
      </c>
      <c r="N15" s="132"/>
      <c r="O15" s="56">
        <v>128.41015674850908</v>
      </c>
      <c r="P15" s="57">
        <v>1</v>
      </c>
      <c r="Q15" s="57">
        <v>0.75718681748435945</v>
      </c>
      <c r="R15" s="51"/>
    </row>
    <row r="16" spans="1:22" ht="15" customHeight="1" thickBot="1">
      <c r="B16" s="2"/>
      <c r="C16" s="170"/>
      <c r="D16" s="171" t="s">
        <v>101</v>
      </c>
      <c r="E16" s="172">
        <v>0</v>
      </c>
      <c r="F16" s="173">
        <v>0</v>
      </c>
      <c r="G16" s="174">
        <v>0</v>
      </c>
      <c r="H16" s="174">
        <v>0</v>
      </c>
      <c r="I16" s="174">
        <v>0</v>
      </c>
      <c r="J16" s="174">
        <v>0</v>
      </c>
      <c r="K16" s="174"/>
      <c r="L16" s="175">
        <v>0</v>
      </c>
      <c r="M16" s="175">
        <v>0</v>
      </c>
      <c r="N16" s="176"/>
      <c r="O16" s="174">
        <v>168.52205254515647</v>
      </c>
      <c r="P16" s="175">
        <v>0.44346527885518067</v>
      </c>
      <c r="Q16" s="175">
        <v>0.73980353921989217</v>
      </c>
      <c r="R16" s="51"/>
    </row>
    <row r="17" spans="2:18" ht="15" customHeight="1" thickBot="1">
      <c r="B17" s="2"/>
      <c r="C17" s="170"/>
      <c r="D17" s="171" t="s">
        <v>102</v>
      </c>
      <c r="E17" s="172">
        <v>0</v>
      </c>
      <c r="F17" s="173">
        <v>0</v>
      </c>
      <c r="G17" s="174">
        <v>0</v>
      </c>
      <c r="H17" s="174">
        <v>0</v>
      </c>
      <c r="I17" s="174">
        <v>0</v>
      </c>
      <c r="J17" s="174">
        <v>0</v>
      </c>
      <c r="K17" s="174"/>
      <c r="L17" s="175">
        <v>0</v>
      </c>
      <c r="M17" s="175">
        <v>0</v>
      </c>
      <c r="N17" s="176"/>
      <c r="O17" s="174">
        <v>35.641228070175444</v>
      </c>
      <c r="P17" s="175">
        <v>2.194588574839328E-3</v>
      </c>
      <c r="Q17" s="175">
        <v>1.0000000000000002</v>
      </c>
      <c r="R17" s="51"/>
    </row>
    <row r="18" spans="2:18" ht="15" customHeight="1" thickBot="1">
      <c r="B18" s="2"/>
      <c r="C18" s="170"/>
      <c r="D18" s="171" t="s">
        <v>103</v>
      </c>
      <c r="E18" s="172">
        <v>0</v>
      </c>
      <c r="F18" s="173">
        <v>0</v>
      </c>
      <c r="G18" s="174">
        <v>0</v>
      </c>
      <c r="H18" s="174">
        <v>0</v>
      </c>
      <c r="I18" s="174">
        <v>0</v>
      </c>
      <c r="J18" s="174">
        <v>0</v>
      </c>
      <c r="K18" s="174"/>
      <c r="L18" s="175">
        <v>0</v>
      </c>
      <c r="M18" s="175">
        <v>0</v>
      </c>
      <c r="N18" s="176"/>
      <c r="O18" s="174">
        <v>230</v>
      </c>
      <c r="P18" s="175">
        <v>2.4845825710075819E-3</v>
      </c>
      <c r="Q18" s="175">
        <v>0.1411042944785276</v>
      </c>
      <c r="R18" s="51"/>
    </row>
    <row r="19" spans="2:18" ht="15" customHeight="1" thickBot="1">
      <c r="B19" s="2"/>
      <c r="C19" s="170"/>
      <c r="D19" s="171" t="s">
        <v>104</v>
      </c>
      <c r="E19" s="172">
        <v>6</v>
      </c>
      <c r="F19" s="173">
        <v>8.2191780821917804E-2</v>
      </c>
      <c r="G19" s="174">
        <v>729.6</v>
      </c>
      <c r="H19" s="174">
        <v>0</v>
      </c>
      <c r="I19" s="174">
        <v>0</v>
      </c>
      <c r="J19" s="174">
        <v>729.6</v>
      </c>
      <c r="K19" s="174">
        <v>121.60000000000001</v>
      </c>
      <c r="L19" s="175">
        <v>7.2977660593863722E-2</v>
      </c>
      <c r="M19" s="175">
        <v>1</v>
      </c>
      <c r="N19" s="176"/>
      <c r="O19" s="174">
        <v>66.902633473305372</v>
      </c>
      <c r="P19" s="175">
        <v>0.12047707398963726</v>
      </c>
      <c r="Q19" s="175">
        <v>0.84941158790978089</v>
      </c>
      <c r="R19" s="51"/>
    </row>
    <row r="20" spans="2:18" ht="15" customHeight="1" thickBot="1">
      <c r="B20" s="2"/>
      <c r="C20" s="170"/>
      <c r="D20" s="171" t="s">
        <v>105</v>
      </c>
      <c r="E20" s="172">
        <v>0</v>
      </c>
      <c r="F20" s="173">
        <v>0</v>
      </c>
      <c r="G20" s="174">
        <v>0</v>
      </c>
      <c r="H20" s="174">
        <v>0</v>
      </c>
      <c r="I20" s="174">
        <v>0</v>
      </c>
      <c r="J20" s="174">
        <v>0</v>
      </c>
      <c r="K20" s="174"/>
      <c r="L20" s="175">
        <v>0</v>
      </c>
      <c r="M20" s="175">
        <v>0</v>
      </c>
      <c r="N20" s="176"/>
      <c r="O20" s="174">
        <v>212.47750000000002</v>
      </c>
      <c r="P20" s="175">
        <v>9.1811807518480618E-4</v>
      </c>
      <c r="Q20" s="175">
        <v>0.49709356725146203</v>
      </c>
      <c r="R20" s="51"/>
    </row>
    <row r="21" spans="2:18" ht="15" customHeight="1" thickBot="1">
      <c r="B21" s="2"/>
      <c r="C21" s="170"/>
      <c r="D21" s="171" t="s">
        <v>106</v>
      </c>
      <c r="E21" s="172">
        <v>0</v>
      </c>
      <c r="F21" s="173">
        <v>0</v>
      </c>
      <c r="G21" s="174">
        <v>0</v>
      </c>
      <c r="H21" s="174">
        <v>0</v>
      </c>
      <c r="I21" s="174">
        <v>0</v>
      </c>
      <c r="J21" s="174">
        <v>0</v>
      </c>
      <c r="K21" s="174"/>
      <c r="L21" s="175">
        <v>0</v>
      </c>
      <c r="M21" s="175">
        <v>0</v>
      </c>
      <c r="N21" s="176"/>
      <c r="O21" s="174">
        <v>116.49935483870966</v>
      </c>
      <c r="P21" s="175">
        <v>7.8026263161238788E-3</v>
      </c>
      <c r="Q21" s="175">
        <v>0.84961898490051269</v>
      </c>
      <c r="R21" s="51"/>
    </row>
    <row r="22" spans="2:18" ht="15" customHeight="1" thickBot="1">
      <c r="B22" s="2"/>
      <c r="C22" s="170"/>
      <c r="D22" s="171" t="s">
        <v>107</v>
      </c>
      <c r="E22" s="172">
        <v>24</v>
      </c>
      <c r="F22" s="173">
        <v>0.32876712328767121</v>
      </c>
      <c r="G22" s="174">
        <v>5459.7</v>
      </c>
      <c r="H22" s="174">
        <v>0.72</v>
      </c>
      <c r="I22" s="174">
        <v>0</v>
      </c>
      <c r="J22" s="174">
        <v>4509.1499999999996</v>
      </c>
      <c r="K22" s="174">
        <v>187.88124999999999</v>
      </c>
      <c r="L22" s="175">
        <v>0.45102414784377814</v>
      </c>
      <c r="M22" s="175">
        <v>0.82602890268696083</v>
      </c>
      <c r="N22" s="176"/>
      <c r="O22" s="174">
        <v>177.07542197452275</v>
      </c>
      <c r="P22" s="175">
        <v>0.24025560218816983</v>
      </c>
      <c r="Q22" s="175">
        <v>0.75965527447611847</v>
      </c>
      <c r="R22" s="51"/>
    </row>
    <row r="23" spans="2:18" ht="15" customHeight="1" thickBot="1">
      <c r="B23" s="2"/>
      <c r="C23" s="170"/>
      <c r="D23" s="171" t="s">
        <v>108</v>
      </c>
      <c r="E23" s="172">
        <v>41</v>
      </c>
      <c r="F23" s="173">
        <v>0.56164383561643838</v>
      </c>
      <c r="G23" s="174">
        <v>5713.98</v>
      </c>
      <c r="H23" s="174">
        <v>1.23</v>
      </c>
      <c r="I23" s="174">
        <v>0</v>
      </c>
      <c r="J23" s="174">
        <v>4758.83</v>
      </c>
      <c r="K23" s="174">
        <v>116.0690243902439</v>
      </c>
      <c r="L23" s="175">
        <v>0.47599819156235806</v>
      </c>
      <c r="M23" s="175">
        <v>0.83305506844616195</v>
      </c>
      <c r="N23" s="176"/>
      <c r="O23" s="174">
        <v>98.466481589714007</v>
      </c>
      <c r="P23" s="175">
        <v>0.1819969156175916</v>
      </c>
      <c r="Q23" s="175">
        <v>0.78775984509150954</v>
      </c>
      <c r="R23" s="51"/>
    </row>
    <row r="24" spans="2:18" ht="15" customHeight="1" thickBot="1">
      <c r="B24" s="2"/>
      <c r="C24" s="170"/>
      <c r="D24" s="171" t="s">
        <v>110</v>
      </c>
      <c r="E24" s="172">
        <v>0</v>
      </c>
      <c r="F24" s="173">
        <v>0</v>
      </c>
      <c r="G24" s="174">
        <v>0</v>
      </c>
      <c r="H24" s="174">
        <v>0</v>
      </c>
      <c r="I24" s="174">
        <v>0</v>
      </c>
      <c r="J24" s="174">
        <v>0</v>
      </c>
      <c r="K24" s="174"/>
      <c r="L24" s="175">
        <v>0</v>
      </c>
      <c r="M24" s="175">
        <v>0</v>
      </c>
      <c r="N24" s="176"/>
      <c r="O24" s="174">
        <v>116.63666666666666</v>
      </c>
      <c r="P24" s="175">
        <v>3.7799142931359259E-4</v>
      </c>
      <c r="Q24" s="175">
        <v>0.87249158668827109</v>
      </c>
      <c r="R24" s="51"/>
    </row>
    <row r="25" spans="2:18" ht="15" customHeight="1" thickBot="1">
      <c r="B25" s="2"/>
      <c r="C25" s="170"/>
      <c r="D25" s="171" t="s">
        <v>292</v>
      </c>
      <c r="E25" s="172">
        <v>0</v>
      </c>
      <c r="F25" s="173">
        <v>0</v>
      </c>
      <c r="G25" s="174">
        <v>0</v>
      </c>
      <c r="H25" s="174">
        <v>0</v>
      </c>
      <c r="I25" s="174">
        <v>0</v>
      </c>
      <c r="J25" s="174">
        <v>0</v>
      </c>
      <c r="K25" s="174"/>
      <c r="L25" s="175">
        <v>0</v>
      </c>
      <c r="M25" s="175">
        <v>0</v>
      </c>
      <c r="N25" s="176"/>
      <c r="O25" s="174">
        <v>8.4</v>
      </c>
      <c r="P25" s="175">
        <v>2.7222382951909158E-5</v>
      </c>
      <c r="Q25" s="175">
        <v>1</v>
      </c>
      <c r="R25" s="51"/>
    </row>
    <row r="26" spans="2:18" ht="15" customHeight="1" thickBot="1">
      <c r="B26" s="2"/>
      <c r="C26" s="133" t="s">
        <v>34</v>
      </c>
      <c r="D26" s="134"/>
      <c r="E26" s="122">
        <v>71</v>
      </c>
      <c r="F26" s="123">
        <v>0.9726027397260274</v>
      </c>
      <c r="G26" s="124">
        <v>11903.279999999999</v>
      </c>
      <c r="H26" s="124">
        <v>1.95</v>
      </c>
      <c r="I26" s="124">
        <v>0</v>
      </c>
      <c r="J26" s="124">
        <v>9997.58</v>
      </c>
      <c r="K26" s="124">
        <v>140.81098591549295</v>
      </c>
      <c r="L26" s="125">
        <v>1</v>
      </c>
      <c r="M26" s="125">
        <v>0.84006509130256546</v>
      </c>
      <c r="N26" s="132"/>
      <c r="O26" s="124">
        <v>128.41015674850908</v>
      </c>
      <c r="P26" s="125">
        <v>1</v>
      </c>
      <c r="Q26" s="125">
        <v>0.75718681748435945</v>
      </c>
      <c r="R26" s="51"/>
    </row>
    <row r="27" spans="2:18" ht="15" customHeight="1">
      <c r="B27" s="2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3"/>
      <c r="Q27" s="13"/>
      <c r="R27" s="51"/>
    </row>
    <row r="28" spans="2:18" ht="15" customHeight="1" thickBot="1">
      <c r="B28" s="2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3"/>
      <c r="Q28" s="13"/>
      <c r="R28" s="51"/>
    </row>
    <row r="29" spans="2:18" ht="15" customHeight="1" thickBot="1">
      <c r="B29" s="2"/>
      <c r="C29" s="134" t="s">
        <v>121</v>
      </c>
      <c r="D29" s="134"/>
      <c r="E29" s="1"/>
      <c r="F29" s="1"/>
      <c r="G29" s="1"/>
      <c r="H29" s="153">
        <v>2.0000000000000001E-4</v>
      </c>
      <c r="I29" s="153">
        <v>0</v>
      </c>
      <c r="J29" s="153">
        <v>0.99980000000000002</v>
      </c>
      <c r="K29" s="1"/>
      <c r="L29" s="1"/>
      <c r="M29" s="1"/>
      <c r="N29" s="1"/>
      <c r="O29" s="1"/>
      <c r="P29" s="13"/>
      <c r="Q29" s="13"/>
      <c r="R29" s="51"/>
    </row>
    <row r="30" spans="2:18" ht="15" customHeight="1" thickBot="1">
      <c r="B30" s="2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3"/>
      <c r="Q30" s="13"/>
      <c r="R30" s="51"/>
    </row>
    <row r="31" spans="2:18" ht="15" customHeight="1" thickBot="1">
      <c r="B31" s="2"/>
      <c r="C31" s="134" t="s">
        <v>122</v>
      </c>
      <c r="D31" s="134"/>
      <c r="E31" s="1"/>
      <c r="F31" s="1"/>
      <c r="G31" s="124">
        <v>163.06</v>
      </c>
      <c r="H31" s="124">
        <v>0.03</v>
      </c>
      <c r="I31" s="124">
        <v>0</v>
      </c>
      <c r="J31" s="124">
        <v>136.94999999999999</v>
      </c>
      <c r="K31" s="1"/>
      <c r="L31" s="1"/>
      <c r="M31" s="1"/>
      <c r="N31" s="1"/>
      <c r="O31" s="1"/>
      <c r="P31" s="13"/>
      <c r="Q31" s="13"/>
      <c r="R31" s="51"/>
    </row>
    <row r="32" spans="2:18" ht="15" customHeight="1" thickBot="1">
      <c r="B32" s="2"/>
      <c r="C32" s="134" t="s">
        <v>123</v>
      </c>
      <c r="D32" s="134"/>
      <c r="E32" s="1"/>
      <c r="F32" s="1"/>
      <c r="G32" s="124">
        <v>360.71</v>
      </c>
      <c r="H32" s="124">
        <v>0.06</v>
      </c>
      <c r="I32" s="124">
        <v>0</v>
      </c>
      <c r="J32" s="124">
        <v>302.95999999999998</v>
      </c>
      <c r="K32" s="1"/>
      <c r="L32" s="1"/>
      <c r="M32" s="1"/>
      <c r="N32" s="1"/>
      <c r="O32" s="1"/>
      <c r="P32" s="13"/>
      <c r="Q32" s="13"/>
      <c r="R32" s="51"/>
    </row>
    <row r="33" spans="2:18" ht="15" customHeight="1">
      <c r="B33" s="2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3"/>
      <c r="Q33" s="13"/>
      <c r="R33" s="51"/>
    </row>
    <row r="34" spans="2:18" ht="15" customHeight="1">
      <c r="B34" s="2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3"/>
      <c r="Q34" s="13"/>
      <c r="R34" s="51"/>
    </row>
    <row r="35" spans="2:18" ht="12" customHeight="1">
      <c r="B35" s="3"/>
      <c r="C35" s="135"/>
      <c r="D35" s="135"/>
      <c r="E35" s="135"/>
      <c r="F35" s="135"/>
      <c r="G35" s="135"/>
      <c r="H35" s="135"/>
      <c r="I35" s="135"/>
      <c r="J35" s="135"/>
      <c r="K35" s="135"/>
      <c r="L35" s="135"/>
      <c r="M35" s="135"/>
      <c r="N35" s="135"/>
      <c r="O35" s="135"/>
      <c r="P35" s="136"/>
      <c r="Q35" s="136"/>
      <c r="R35" s="52"/>
    </row>
  </sheetData>
  <mergeCells count="3">
    <mergeCell ref="C8:Q8"/>
    <mergeCell ref="E12:M12"/>
    <mergeCell ref="O12:Q12"/>
  </mergeCells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CA86FD-10F1-415D-B02D-D98DF05D7565}">
  <sheetPr>
    <tabColor theme="4" tint="0.79998168889431442"/>
  </sheetPr>
  <dimension ref="A1:V28"/>
  <sheetViews>
    <sheetView showGridLines="0" zoomScale="70" zoomScaleNormal="70" workbookViewId="0">
      <selection activeCell="C18" sqref="C18:Q18"/>
    </sheetView>
  </sheetViews>
  <sheetFormatPr baseColWidth="10" defaultColWidth="11.42578125" defaultRowHeight="15"/>
  <cols>
    <col min="1" max="1" width="2.85546875" style="5" customWidth="1"/>
    <col min="2" max="2" width="4.28515625" customWidth="1"/>
    <col min="3" max="3" width="10" customWidth="1"/>
    <col min="4" max="4" width="50.7109375" customWidth="1"/>
    <col min="5" max="5" width="12" bestFit="1" customWidth="1"/>
    <col min="6" max="11" width="14.28515625" customWidth="1"/>
    <col min="12" max="12" width="15.7109375" customWidth="1"/>
    <col min="13" max="13" width="10.7109375" customWidth="1"/>
    <col min="14" max="14" width="1.42578125" customWidth="1"/>
    <col min="15" max="15" width="14.28515625" customWidth="1"/>
    <col min="16" max="16" width="15.7109375" customWidth="1"/>
    <col min="17" max="17" width="10.7109375" customWidth="1"/>
    <col min="18" max="18" width="4.28515625" customWidth="1"/>
    <col min="19" max="19" width="2.85546875" customWidth="1"/>
    <col min="22" max="22" width="16.7109375" bestFit="1" customWidth="1"/>
  </cols>
  <sheetData>
    <row r="1" spans="1:22">
      <c r="A1" s="5">
        <v>0</v>
      </c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</row>
    <row r="2" spans="1:22" ht="15" customHeight="1">
      <c r="B2" s="48"/>
      <c r="C2" s="49"/>
      <c r="D2" s="49"/>
      <c r="E2" s="49"/>
      <c r="F2" s="49"/>
      <c r="G2" s="49"/>
      <c r="H2" s="49"/>
      <c r="I2" s="49"/>
      <c r="J2" s="49"/>
      <c r="K2" s="49"/>
      <c r="L2" s="49"/>
      <c r="M2" s="49"/>
      <c r="N2" s="49"/>
      <c r="O2" s="49"/>
      <c r="P2" s="49"/>
      <c r="Q2" s="49"/>
      <c r="R2" s="50"/>
      <c r="V2" s="35"/>
    </row>
    <row r="3" spans="1:22" ht="15" customHeight="1">
      <c r="B3" s="2"/>
      <c r="R3" s="51"/>
    </row>
    <row r="4" spans="1:22" ht="15" customHeight="1">
      <c r="B4" s="2"/>
      <c r="R4" s="51"/>
    </row>
    <row r="5" spans="1:22" ht="15" customHeight="1">
      <c r="B5" s="2"/>
      <c r="R5" s="51"/>
    </row>
    <row r="6" spans="1:22" ht="15" customHeight="1" thickBot="1">
      <c r="B6" s="2"/>
      <c r="R6" s="51"/>
    </row>
    <row r="7" spans="1:22" ht="15" hidden="1" customHeight="1">
      <c r="B7" s="2"/>
      <c r="R7" s="51"/>
    </row>
    <row r="8" spans="1:22" ht="60" customHeight="1" thickBot="1">
      <c r="B8" s="2"/>
      <c r="C8" s="244" t="str">
        <f>'Page de garde'!C13&amp;" : Détail des Prestations Réglées - Synthèse par famille d'actes"</f>
        <v>60000016 - 60000017 - 60000018 - 60000087 : Détail des Prestations Réglées - Synthèse par famille d'actes</v>
      </c>
      <c r="D8" s="245"/>
      <c r="E8" s="245"/>
      <c r="F8" s="245"/>
      <c r="G8" s="245"/>
      <c r="H8" s="245"/>
      <c r="I8" s="245"/>
      <c r="J8" s="245"/>
      <c r="K8" s="245"/>
      <c r="L8" s="245"/>
      <c r="M8" s="245"/>
      <c r="N8" s="245"/>
      <c r="O8" s="245"/>
      <c r="P8" s="245"/>
      <c r="Q8" s="246"/>
      <c r="R8" s="51"/>
    </row>
    <row r="9" spans="1:22">
      <c r="B9" s="2"/>
      <c r="R9" s="51"/>
    </row>
    <row r="10" spans="1:22">
      <c r="B10" s="2"/>
      <c r="R10" s="51"/>
    </row>
    <row r="11" spans="1:22" ht="15.75" thickBot="1">
      <c r="B11" s="2"/>
      <c r="R11" s="51"/>
    </row>
    <row r="12" spans="1:22" ht="15.75" thickBot="1">
      <c r="B12" s="2"/>
      <c r="C12" s="34"/>
      <c r="D12" s="34"/>
      <c r="E12" s="250" t="s">
        <v>56</v>
      </c>
      <c r="F12" s="251"/>
      <c r="G12" s="251"/>
      <c r="H12" s="251"/>
      <c r="I12" s="251"/>
      <c r="J12" s="251"/>
      <c r="K12" s="251"/>
      <c r="L12" s="251"/>
      <c r="M12" s="252"/>
      <c r="N12" s="32"/>
      <c r="O12" s="250" t="s">
        <v>342</v>
      </c>
      <c r="P12" s="251"/>
      <c r="Q12" s="252"/>
      <c r="R12" s="51"/>
    </row>
    <row r="13" spans="1:22" ht="15.75" thickBot="1">
      <c r="B13" s="2"/>
      <c r="C13" s="34"/>
      <c r="D13" s="34"/>
      <c r="E13" s="34"/>
      <c r="F13" s="34"/>
      <c r="G13" s="34"/>
      <c r="H13" s="34"/>
      <c r="I13" s="34"/>
      <c r="J13" s="34"/>
      <c r="K13" s="34"/>
      <c r="L13" s="34"/>
      <c r="M13" s="34"/>
      <c r="N13" s="32"/>
      <c r="O13" s="34"/>
      <c r="P13" s="34"/>
      <c r="Q13" s="34"/>
      <c r="R13" s="51"/>
    </row>
    <row r="14" spans="1:22" ht="45" customHeight="1" thickBot="1">
      <c r="B14" s="2"/>
      <c r="C14" s="34"/>
      <c r="D14" s="34"/>
      <c r="E14" s="119" t="s">
        <v>57</v>
      </c>
      <c r="F14" s="119" t="s">
        <v>58</v>
      </c>
      <c r="G14" s="120" t="s">
        <v>59</v>
      </c>
      <c r="H14" s="119" t="s">
        <v>60</v>
      </c>
      <c r="I14" s="119" t="s">
        <v>61</v>
      </c>
      <c r="J14" s="119" t="s">
        <v>62</v>
      </c>
      <c r="K14" s="121" t="s">
        <v>63</v>
      </c>
      <c r="L14" s="121" t="s">
        <v>64</v>
      </c>
      <c r="M14" s="121" t="s">
        <v>65</v>
      </c>
      <c r="N14" s="32"/>
      <c r="O14" s="140" t="s">
        <v>63</v>
      </c>
      <c r="P14" s="140" t="s">
        <v>64</v>
      </c>
      <c r="Q14" s="121" t="s">
        <v>65</v>
      </c>
      <c r="R14" s="51"/>
    </row>
    <row r="15" spans="1:22" ht="15" customHeight="1" thickBot="1">
      <c r="B15" s="2"/>
      <c r="C15" s="130" t="s">
        <v>111</v>
      </c>
      <c r="D15" s="131"/>
      <c r="E15" s="55">
        <v>42</v>
      </c>
      <c r="F15" s="66">
        <v>0.57534246575342463</v>
      </c>
      <c r="G15" s="56">
        <v>2453</v>
      </c>
      <c r="H15" s="56">
        <v>0</v>
      </c>
      <c r="I15" s="56">
        <v>0</v>
      </c>
      <c r="J15" s="56">
        <v>1574</v>
      </c>
      <c r="K15" s="56">
        <v>37.476190476190474</v>
      </c>
      <c r="L15" s="57">
        <v>1</v>
      </c>
      <c r="M15" s="57">
        <v>0.64166326946596008</v>
      </c>
      <c r="N15" s="132"/>
      <c r="O15" s="56">
        <v>40.888151311775466</v>
      </c>
      <c r="P15" s="57">
        <v>1</v>
      </c>
      <c r="Q15" s="57">
        <v>0.72449147429868277</v>
      </c>
      <c r="R15" s="51"/>
    </row>
    <row r="16" spans="1:22" ht="15" customHeight="1" thickBot="1">
      <c r="B16" s="2"/>
      <c r="C16" s="170"/>
      <c r="D16" s="171" t="s">
        <v>112</v>
      </c>
      <c r="E16" s="172">
        <v>42</v>
      </c>
      <c r="F16" s="173">
        <v>0.57534246575342463</v>
      </c>
      <c r="G16" s="174">
        <v>2453</v>
      </c>
      <c r="H16" s="174">
        <v>0</v>
      </c>
      <c r="I16" s="174">
        <v>0</v>
      </c>
      <c r="J16" s="174">
        <v>1574</v>
      </c>
      <c r="K16" s="174">
        <v>37.476190476190474</v>
      </c>
      <c r="L16" s="175">
        <v>1</v>
      </c>
      <c r="M16" s="175">
        <v>0.64166326946596008</v>
      </c>
      <c r="N16" s="176"/>
      <c r="O16" s="174">
        <v>42.058135109419595</v>
      </c>
      <c r="P16" s="175">
        <v>0.98939009497478803</v>
      </c>
      <c r="Q16" s="175">
        <v>0.72603844319125954</v>
      </c>
      <c r="R16" s="51"/>
    </row>
    <row r="17" spans="2:18" ht="15" customHeight="1" thickBot="1">
      <c r="B17" s="2"/>
      <c r="C17" s="170"/>
      <c r="D17" s="171" t="s">
        <v>293</v>
      </c>
      <c r="E17" s="172">
        <v>0</v>
      </c>
      <c r="F17" s="173">
        <v>0</v>
      </c>
      <c r="G17" s="174">
        <v>0</v>
      </c>
      <c r="H17" s="174">
        <v>0</v>
      </c>
      <c r="I17" s="174">
        <v>0</v>
      </c>
      <c r="J17" s="174">
        <v>0</v>
      </c>
      <c r="K17" s="174"/>
      <c r="L17" s="175">
        <v>0</v>
      </c>
      <c r="M17" s="175">
        <v>0</v>
      </c>
      <c r="N17" s="176"/>
      <c r="O17" s="174">
        <v>2.1328000000000005</v>
      </c>
      <c r="P17" s="175">
        <v>1.1934520398808163E-3</v>
      </c>
      <c r="Q17" s="175">
        <v>1</v>
      </c>
      <c r="R17" s="51"/>
    </row>
    <row r="18" spans="2:18" ht="15" customHeight="1" thickBot="1">
      <c r="B18" s="2"/>
      <c r="C18" s="170"/>
      <c r="D18" s="171" t="s">
        <v>113</v>
      </c>
      <c r="E18" s="172">
        <v>0</v>
      </c>
      <c r="F18" s="173">
        <v>0</v>
      </c>
      <c r="G18" s="174">
        <v>0</v>
      </c>
      <c r="H18" s="174">
        <v>0</v>
      </c>
      <c r="I18" s="174">
        <v>0</v>
      </c>
      <c r="J18" s="174">
        <v>0</v>
      </c>
      <c r="K18" s="174"/>
      <c r="L18" s="175">
        <v>0</v>
      </c>
      <c r="M18" s="175">
        <v>0</v>
      </c>
      <c r="N18" s="176"/>
      <c r="O18" s="174">
        <v>25.241999999999997</v>
      </c>
      <c r="P18" s="175">
        <v>9.4164529853311939E-3</v>
      </c>
      <c r="Q18" s="175">
        <v>0.54202128331571653</v>
      </c>
      <c r="R18" s="51"/>
    </row>
    <row r="19" spans="2:18" ht="15" customHeight="1" thickBot="1">
      <c r="B19" s="2"/>
      <c r="C19" s="133" t="s">
        <v>34</v>
      </c>
      <c r="D19" s="134"/>
      <c r="E19" s="122">
        <v>42</v>
      </c>
      <c r="F19" s="123">
        <v>0.57534246575342463</v>
      </c>
      <c r="G19" s="124">
        <v>2453</v>
      </c>
      <c r="H19" s="124">
        <v>0</v>
      </c>
      <c r="I19" s="124">
        <v>0</v>
      </c>
      <c r="J19" s="124">
        <v>1574</v>
      </c>
      <c r="K19" s="124">
        <v>37.476190476190474</v>
      </c>
      <c r="L19" s="125">
        <v>1</v>
      </c>
      <c r="M19" s="125">
        <v>0.64166326946596008</v>
      </c>
      <c r="N19" s="132"/>
      <c r="O19" s="124">
        <v>40.888151311775466</v>
      </c>
      <c r="P19" s="125">
        <v>1</v>
      </c>
      <c r="Q19" s="125">
        <v>0.72449147429868277</v>
      </c>
      <c r="R19" s="51"/>
    </row>
    <row r="20" spans="2:18" ht="15" customHeight="1">
      <c r="B20" s="2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3"/>
      <c r="Q20" s="13"/>
      <c r="R20" s="51"/>
    </row>
    <row r="21" spans="2:18" ht="15" customHeight="1" thickBot="1">
      <c r="B21" s="2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3"/>
      <c r="Q21" s="13"/>
      <c r="R21" s="51"/>
    </row>
    <row r="22" spans="2:18" ht="15" customHeight="1" thickBot="1">
      <c r="B22" s="2"/>
      <c r="C22" s="134" t="s">
        <v>121</v>
      </c>
      <c r="D22" s="134"/>
      <c r="E22" s="1"/>
      <c r="F22" s="1"/>
      <c r="G22" s="1"/>
      <c r="H22" s="153">
        <v>0</v>
      </c>
      <c r="I22" s="153">
        <v>0</v>
      </c>
      <c r="J22" s="153">
        <v>1</v>
      </c>
      <c r="K22" s="1"/>
      <c r="L22" s="1"/>
      <c r="M22" s="1"/>
      <c r="N22" s="1"/>
      <c r="O22" s="1"/>
      <c r="P22" s="13"/>
      <c r="Q22" s="13"/>
      <c r="R22" s="51"/>
    </row>
    <row r="23" spans="2:18" ht="15" customHeight="1" thickBot="1">
      <c r="B23" s="2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3"/>
      <c r="Q23" s="13"/>
      <c r="R23" s="51"/>
    </row>
    <row r="24" spans="2:18" ht="15" customHeight="1" thickBot="1">
      <c r="B24" s="2"/>
      <c r="C24" s="134" t="s">
        <v>122</v>
      </c>
      <c r="D24" s="134"/>
      <c r="E24" s="1"/>
      <c r="F24" s="1"/>
      <c r="G24" s="124">
        <v>33.6</v>
      </c>
      <c r="H24" s="124">
        <v>0</v>
      </c>
      <c r="I24" s="124">
        <v>0</v>
      </c>
      <c r="J24" s="124">
        <v>21.56</v>
      </c>
      <c r="K24" s="1"/>
      <c r="L24" s="1"/>
      <c r="M24" s="1"/>
      <c r="N24" s="1"/>
      <c r="O24" s="1"/>
      <c r="P24" s="13"/>
      <c r="Q24" s="13"/>
      <c r="R24" s="51"/>
    </row>
    <row r="25" spans="2:18" ht="15" customHeight="1" thickBot="1">
      <c r="B25" s="2"/>
      <c r="C25" s="134" t="s">
        <v>123</v>
      </c>
      <c r="D25" s="134"/>
      <c r="E25" s="1"/>
      <c r="F25" s="1"/>
      <c r="G25" s="124">
        <v>74.33</v>
      </c>
      <c r="H25" s="124">
        <v>0</v>
      </c>
      <c r="I25" s="124">
        <v>0</v>
      </c>
      <c r="J25" s="124">
        <v>47.7</v>
      </c>
      <c r="K25" s="1"/>
      <c r="L25" s="1"/>
      <c r="M25" s="1"/>
      <c r="N25" s="1"/>
      <c r="O25" s="1"/>
      <c r="P25" s="13"/>
      <c r="Q25" s="13"/>
      <c r="R25" s="51"/>
    </row>
    <row r="26" spans="2:18" ht="15" customHeight="1">
      <c r="B26" s="2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3"/>
      <c r="Q26" s="13"/>
      <c r="R26" s="51"/>
    </row>
    <row r="27" spans="2:18" ht="15" customHeight="1">
      <c r="B27" s="2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3"/>
      <c r="Q27" s="13"/>
      <c r="R27" s="51"/>
    </row>
    <row r="28" spans="2:18" ht="12" customHeight="1">
      <c r="B28" s="3"/>
      <c r="C28" s="135"/>
      <c r="D28" s="135"/>
      <c r="E28" s="135"/>
      <c r="F28" s="135"/>
      <c r="G28" s="135"/>
      <c r="H28" s="135"/>
      <c r="I28" s="135"/>
      <c r="J28" s="135"/>
      <c r="K28" s="135"/>
      <c r="L28" s="135"/>
      <c r="M28" s="135"/>
      <c r="N28" s="135"/>
      <c r="O28" s="135"/>
      <c r="P28" s="136"/>
      <c r="Q28" s="136"/>
      <c r="R28" s="52"/>
    </row>
  </sheetData>
  <mergeCells count="3">
    <mergeCell ref="C8:Q8"/>
    <mergeCell ref="E12:M12"/>
    <mergeCell ref="O12:Q12"/>
  </mergeCells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B1AA8A-F7CD-46B6-AC01-6438DCE83150}">
  <sheetPr>
    <tabColor theme="4" tint="0.79998168889431442"/>
  </sheetPr>
  <dimension ref="A1:V48"/>
  <sheetViews>
    <sheetView showGridLines="0" zoomScale="70" zoomScaleNormal="70" workbookViewId="0">
      <selection activeCell="A35" sqref="A35:XFD35"/>
    </sheetView>
  </sheetViews>
  <sheetFormatPr baseColWidth="10" defaultColWidth="11.42578125" defaultRowHeight="15"/>
  <cols>
    <col min="1" max="1" width="2.85546875" style="5" customWidth="1"/>
    <col min="2" max="2" width="4.28515625" customWidth="1"/>
    <col min="3" max="3" width="10" customWidth="1"/>
    <col min="4" max="4" width="50.7109375" customWidth="1"/>
    <col min="5" max="5" width="12" bestFit="1" customWidth="1"/>
    <col min="6" max="11" width="14.28515625" customWidth="1"/>
    <col min="12" max="12" width="15.7109375" customWidth="1"/>
    <col min="13" max="13" width="10.7109375" customWidth="1"/>
    <col min="14" max="14" width="1.42578125" customWidth="1"/>
    <col min="15" max="15" width="14.28515625" customWidth="1"/>
    <col min="16" max="16" width="15.7109375" customWidth="1"/>
    <col min="17" max="17" width="10.7109375" customWidth="1"/>
    <col min="18" max="18" width="4.28515625" customWidth="1"/>
    <col min="19" max="19" width="2.85546875" customWidth="1"/>
    <col min="22" max="22" width="16.7109375" bestFit="1" customWidth="1"/>
  </cols>
  <sheetData>
    <row r="1" spans="1:22">
      <c r="A1" s="5">
        <v>0</v>
      </c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</row>
    <row r="2" spans="1:22" ht="15" customHeight="1">
      <c r="B2" s="48"/>
      <c r="C2" s="49"/>
      <c r="D2" s="49"/>
      <c r="E2" s="49"/>
      <c r="F2" s="49"/>
      <c r="G2" s="49"/>
      <c r="H2" s="49"/>
      <c r="I2" s="49"/>
      <c r="J2" s="49"/>
      <c r="K2" s="49"/>
      <c r="L2" s="49"/>
      <c r="M2" s="49"/>
      <c r="N2" s="49"/>
      <c r="O2" s="49"/>
      <c r="P2" s="49"/>
      <c r="Q2" s="49"/>
      <c r="R2" s="50"/>
      <c r="V2" s="35"/>
    </row>
    <row r="3" spans="1:22" ht="15" customHeight="1">
      <c r="B3" s="2"/>
      <c r="R3" s="51"/>
    </row>
    <row r="4" spans="1:22" ht="15" customHeight="1">
      <c r="B4" s="2"/>
      <c r="R4" s="51"/>
    </row>
    <row r="5" spans="1:22" ht="15" customHeight="1">
      <c r="B5" s="2"/>
      <c r="R5" s="51"/>
    </row>
    <row r="6" spans="1:22" ht="15" customHeight="1" thickBot="1">
      <c r="B6" s="2"/>
      <c r="R6" s="51"/>
    </row>
    <row r="7" spans="1:22" ht="15" hidden="1" customHeight="1">
      <c r="B7" s="2"/>
      <c r="R7" s="51"/>
    </row>
    <row r="8" spans="1:22" ht="60" customHeight="1" thickBot="1">
      <c r="B8" s="2"/>
      <c r="C8" s="244" t="str">
        <f>'Page de garde'!C13&amp;" : Détail des Prestations Réglées - Synthèse par famille d'actes"</f>
        <v>60000016 - 60000017 - 60000018 - 60000087 : Détail des Prestations Réglées - Synthèse par famille d'actes</v>
      </c>
      <c r="D8" s="245"/>
      <c r="E8" s="245"/>
      <c r="F8" s="245"/>
      <c r="G8" s="245"/>
      <c r="H8" s="245"/>
      <c r="I8" s="245"/>
      <c r="J8" s="245"/>
      <c r="K8" s="245"/>
      <c r="L8" s="245"/>
      <c r="M8" s="245"/>
      <c r="N8" s="245"/>
      <c r="O8" s="245"/>
      <c r="P8" s="245"/>
      <c r="Q8" s="246"/>
      <c r="R8" s="51"/>
    </row>
    <row r="9" spans="1:22">
      <c r="B9" s="2"/>
      <c r="R9" s="51"/>
    </row>
    <row r="10" spans="1:22">
      <c r="B10" s="2"/>
      <c r="R10" s="51"/>
    </row>
    <row r="11" spans="1:22" ht="15.75" thickBot="1">
      <c r="B11" s="2"/>
      <c r="R11" s="51"/>
    </row>
    <row r="12" spans="1:22" ht="15.75" thickBot="1">
      <c r="B12" s="2"/>
      <c r="C12" s="34"/>
      <c r="D12" s="34"/>
      <c r="E12" s="250" t="s">
        <v>56</v>
      </c>
      <c r="F12" s="251"/>
      <c r="G12" s="251"/>
      <c r="H12" s="251"/>
      <c r="I12" s="251"/>
      <c r="J12" s="251"/>
      <c r="K12" s="251"/>
      <c r="L12" s="251"/>
      <c r="M12" s="252"/>
      <c r="N12" s="32"/>
      <c r="O12" s="250" t="s">
        <v>342</v>
      </c>
      <c r="P12" s="251"/>
      <c r="Q12" s="252"/>
      <c r="R12" s="51"/>
    </row>
    <row r="13" spans="1:22" ht="15.75" thickBot="1">
      <c r="B13" s="2"/>
      <c r="C13" s="34"/>
      <c r="D13" s="34"/>
      <c r="E13" s="34"/>
      <c r="F13" s="34"/>
      <c r="G13" s="34"/>
      <c r="H13" s="34"/>
      <c r="I13" s="34"/>
      <c r="J13" s="34"/>
      <c r="K13" s="34"/>
      <c r="L13" s="34"/>
      <c r="M13" s="34"/>
      <c r="N13" s="32"/>
      <c r="O13" s="34"/>
      <c r="P13" s="34"/>
      <c r="Q13" s="34"/>
      <c r="R13" s="51"/>
    </row>
    <row r="14" spans="1:22" ht="45" customHeight="1" thickBot="1">
      <c r="B14" s="2"/>
      <c r="C14" s="34"/>
      <c r="D14" s="34"/>
      <c r="E14" s="119" t="s">
        <v>57</v>
      </c>
      <c r="F14" s="119" t="s">
        <v>58</v>
      </c>
      <c r="G14" s="120" t="s">
        <v>59</v>
      </c>
      <c r="H14" s="119" t="s">
        <v>60</v>
      </c>
      <c r="I14" s="119" t="s">
        <v>61</v>
      </c>
      <c r="J14" s="119" t="s">
        <v>62</v>
      </c>
      <c r="K14" s="121" t="s">
        <v>63</v>
      </c>
      <c r="L14" s="121" t="s">
        <v>64</v>
      </c>
      <c r="M14" s="121" t="s">
        <v>65</v>
      </c>
      <c r="N14" s="32"/>
      <c r="O14" s="140" t="s">
        <v>63</v>
      </c>
      <c r="P14" s="140" t="s">
        <v>64</v>
      </c>
      <c r="Q14" s="121" t="s">
        <v>65</v>
      </c>
      <c r="R14" s="51"/>
    </row>
    <row r="15" spans="1:22" ht="15" customHeight="1" thickBot="1">
      <c r="B15" s="2"/>
      <c r="C15" s="130" t="s">
        <v>114</v>
      </c>
      <c r="D15" s="131"/>
      <c r="E15" s="55">
        <v>2257</v>
      </c>
      <c r="F15" s="66">
        <v>30.917808219178081</v>
      </c>
      <c r="G15" s="56">
        <v>43167.900000000067</v>
      </c>
      <c r="H15" s="56">
        <v>20534.21000000001</v>
      </c>
      <c r="I15" s="56">
        <v>0</v>
      </c>
      <c r="J15" s="56">
        <v>16855.279999999981</v>
      </c>
      <c r="K15" s="56">
        <v>7.468001772264067</v>
      </c>
      <c r="L15" s="57">
        <v>1.0000000000000011</v>
      </c>
      <c r="M15" s="57">
        <v>0.86614104461880237</v>
      </c>
      <c r="N15" s="132"/>
      <c r="O15" s="56">
        <v>4.6795199488126045</v>
      </c>
      <c r="P15" s="57">
        <v>1</v>
      </c>
      <c r="Q15" s="57">
        <v>0.93224282505416611</v>
      </c>
      <c r="R15" s="51"/>
    </row>
    <row r="16" spans="1:22" ht="15" customHeight="1" thickBot="1">
      <c r="B16" s="2"/>
      <c r="C16" s="170"/>
      <c r="D16" s="171" t="s">
        <v>294</v>
      </c>
      <c r="E16" s="172">
        <v>0</v>
      </c>
      <c r="F16" s="173">
        <v>0</v>
      </c>
      <c r="G16" s="174">
        <v>0</v>
      </c>
      <c r="H16" s="174">
        <v>0</v>
      </c>
      <c r="I16" s="174">
        <v>0</v>
      </c>
      <c r="J16" s="174">
        <v>0</v>
      </c>
      <c r="K16" s="174"/>
      <c r="L16" s="175">
        <v>0</v>
      </c>
      <c r="M16" s="175">
        <v>0</v>
      </c>
      <c r="N16" s="176"/>
      <c r="O16" s="174">
        <v>12.908224137931022</v>
      </c>
      <c r="P16" s="175">
        <v>1.8198791860383944E-2</v>
      </c>
      <c r="Q16" s="175">
        <v>0.82772882370320466</v>
      </c>
      <c r="R16" s="51"/>
    </row>
    <row r="17" spans="2:18" ht="15" customHeight="1" thickBot="1">
      <c r="B17" s="2"/>
      <c r="C17" s="170"/>
      <c r="D17" s="171" t="s">
        <v>295</v>
      </c>
      <c r="E17" s="172">
        <v>0</v>
      </c>
      <c r="F17" s="173">
        <v>0</v>
      </c>
      <c r="G17" s="174">
        <v>0</v>
      </c>
      <c r="H17" s="174">
        <v>0</v>
      </c>
      <c r="I17" s="174">
        <v>0</v>
      </c>
      <c r="J17" s="174">
        <v>0</v>
      </c>
      <c r="K17" s="174"/>
      <c r="L17" s="175">
        <v>0</v>
      </c>
      <c r="M17" s="175">
        <v>0</v>
      </c>
      <c r="N17" s="176"/>
      <c r="O17" s="174">
        <v>7.14</v>
      </c>
      <c r="P17" s="175">
        <v>8.6779327990002021E-6</v>
      </c>
      <c r="Q17" s="175">
        <v>1</v>
      </c>
      <c r="R17" s="51"/>
    </row>
    <row r="18" spans="2:18" ht="15" customHeight="1" thickBot="1">
      <c r="B18" s="2"/>
      <c r="C18" s="170"/>
      <c r="D18" s="171" t="s">
        <v>115</v>
      </c>
      <c r="E18" s="172">
        <v>79</v>
      </c>
      <c r="F18" s="173">
        <v>1.0821917808219179</v>
      </c>
      <c r="G18" s="174">
        <v>2843.73</v>
      </c>
      <c r="H18" s="174">
        <v>1706.18</v>
      </c>
      <c r="I18" s="174">
        <v>0</v>
      </c>
      <c r="J18" s="174">
        <v>1137.55</v>
      </c>
      <c r="K18" s="174">
        <v>14.399367088607594</v>
      </c>
      <c r="L18" s="175">
        <v>6.7489237793735932E-2</v>
      </c>
      <c r="M18" s="175">
        <v>1</v>
      </c>
      <c r="N18" s="176"/>
      <c r="O18" s="174">
        <v>11.111481637466333</v>
      </c>
      <c r="P18" s="175">
        <v>8.0164841101249426E-2</v>
      </c>
      <c r="Q18" s="175">
        <v>1.0000027765426043</v>
      </c>
      <c r="R18" s="51"/>
    </row>
    <row r="19" spans="2:18" ht="15" customHeight="1" thickBot="1">
      <c r="B19" s="2"/>
      <c r="C19" s="170"/>
      <c r="D19" s="171" t="s">
        <v>297</v>
      </c>
      <c r="E19" s="172">
        <v>0</v>
      </c>
      <c r="F19" s="173">
        <v>0</v>
      </c>
      <c r="G19" s="174">
        <v>0</v>
      </c>
      <c r="H19" s="174">
        <v>0</v>
      </c>
      <c r="I19" s="174">
        <v>0</v>
      </c>
      <c r="J19" s="174">
        <v>0</v>
      </c>
      <c r="K19" s="174"/>
      <c r="L19" s="175">
        <v>0</v>
      </c>
      <c r="M19" s="175">
        <v>0</v>
      </c>
      <c r="N19" s="176"/>
      <c r="O19" s="174">
        <v>17.42400793650793</v>
      </c>
      <c r="P19" s="175">
        <v>5.3366248221974827E-3</v>
      </c>
      <c r="Q19" s="175">
        <v>1.0000000000000007</v>
      </c>
      <c r="R19" s="51"/>
    </row>
    <row r="20" spans="2:18" ht="15" customHeight="1" thickBot="1">
      <c r="B20" s="2"/>
      <c r="C20" s="170"/>
      <c r="D20" s="171" t="s">
        <v>67</v>
      </c>
      <c r="E20" s="172">
        <v>33</v>
      </c>
      <c r="F20" s="173">
        <v>0.45205479452054792</v>
      </c>
      <c r="G20" s="174">
        <v>1060.51</v>
      </c>
      <c r="H20" s="174">
        <v>288.94</v>
      </c>
      <c r="I20" s="174">
        <v>0</v>
      </c>
      <c r="J20" s="174">
        <v>508.42</v>
      </c>
      <c r="K20" s="174">
        <v>15.406666666666666</v>
      </c>
      <c r="L20" s="175">
        <v>3.0163841834724821E-2</v>
      </c>
      <c r="M20" s="175">
        <v>0.75186466888572479</v>
      </c>
      <c r="N20" s="176"/>
      <c r="O20" s="174">
        <v>20.920003639010179</v>
      </c>
      <c r="P20" s="175">
        <v>3.4935467506827682E-2</v>
      </c>
      <c r="Q20" s="175">
        <v>0.84693508328271849</v>
      </c>
      <c r="R20" s="51"/>
    </row>
    <row r="21" spans="2:18" ht="15" customHeight="1" thickBot="1">
      <c r="B21" s="2"/>
      <c r="C21" s="170"/>
      <c r="D21" s="171" t="s">
        <v>298</v>
      </c>
      <c r="E21" s="172">
        <v>0</v>
      </c>
      <c r="F21" s="173">
        <v>0</v>
      </c>
      <c r="G21" s="174">
        <v>0</v>
      </c>
      <c r="H21" s="174">
        <v>0</v>
      </c>
      <c r="I21" s="174">
        <v>0</v>
      </c>
      <c r="J21" s="174">
        <v>0</v>
      </c>
      <c r="K21" s="174"/>
      <c r="L21" s="175">
        <v>0</v>
      </c>
      <c r="M21" s="175">
        <v>0</v>
      </c>
      <c r="N21" s="176"/>
      <c r="O21" s="174">
        <v>14.94</v>
      </c>
      <c r="P21" s="175">
        <v>9.079013726685086E-6</v>
      </c>
      <c r="Q21" s="175">
        <v>1</v>
      </c>
      <c r="R21" s="51"/>
    </row>
    <row r="22" spans="2:18" ht="15" customHeight="1" thickBot="1">
      <c r="B22" s="2"/>
      <c r="C22" s="170"/>
      <c r="D22" s="171" t="s">
        <v>299</v>
      </c>
      <c r="E22" s="172">
        <v>0</v>
      </c>
      <c r="F22" s="173">
        <v>0</v>
      </c>
      <c r="G22" s="174">
        <v>0</v>
      </c>
      <c r="H22" s="174">
        <v>0</v>
      </c>
      <c r="I22" s="174">
        <v>0</v>
      </c>
      <c r="J22" s="174">
        <v>0</v>
      </c>
      <c r="K22" s="174"/>
      <c r="L22" s="175">
        <v>0</v>
      </c>
      <c r="M22" s="175">
        <v>0</v>
      </c>
      <c r="N22" s="176"/>
      <c r="O22" s="174">
        <v>7.4310278745644629</v>
      </c>
      <c r="P22" s="175">
        <v>2.5920827269036045E-3</v>
      </c>
      <c r="Q22" s="175">
        <v>0.90534741339301028</v>
      </c>
      <c r="R22" s="51"/>
    </row>
    <row r="23" spans="2:18" ht="15" customHeight="1" thickBot="1">
      <c r="B23" s="2"/>
      <c r="C23" s="170"/>
      <c r="D23" s="171" t="s">
        <v>116</v>
      </c>
      <c r="E23" s="172">
        <v>319</v>
      </c>
      <c r="F23" s="173">
        <v>4.3698630136986303</v>
      </c>
      <c r="G23" s="174">
        <v>7955.7600000000202</v>
      </c>
      <c r="H23" s="174">
        <v>4357.6800000000203</v>
      </c>
      <c r="I23" s="174">
        <v>0</v>
      </c>
      <c r="J23" s="174">
        <v>3349.88</v>
      </c>
      <c r="K23" s="174">
        <v>10.501191222570533</v>
      </c>
      <c r="L23" s="175">
        <v>0.19874365777370676</v>
      </c>
      <c r="M23" s="175">
        <v>0.96880247770169037</v>
      </c>
      <c r="N23" s="176"/>
      <c r="O23" s="174">
        <v>7.4918051543081194</v>
      </c>
      <c r="P23" s="175">
        <v>0.19856397956969338</v>
      </c>
      <c r="Q23" s="175">
        <v>0.94866482470826186</v>
      </c>
      <c r="R23" s="51"/>
    </row>
    <row r="24" spans="2:18" ht="15" customHeight="1" thickBot="1">
      <c r="B24" s="2"/>
      <c r="C24" s="170"/>
      <c r="D24" s="171" t="s">
        <v>117</v>
      </c>
      <c r="E24" s="172">
        <v>542</v>
      </c>
      <c r="F24" s="173">
        <v>7.4246575342465757</v>
      </c>
      <c r="G24" s="174">
        <v>26405.67</v>
      </c>
      <c r="H24" s="174">
        <v>11498.19</v>
      </c>
      <c r="I24" s="174">
        <v>0</v>
      </c>
      <c r="J24" s="174">
        <v>9655.7299999999796</v>
      </c>
      <c r="K24" s="174">
        <v>17.814999999999998</v>
      </c>
      <c r="L24" s="175">
        <v>0.57286084835137774</v>
      </c>
      <c r="M24" s="175">
        <v>0.8011127913058067</v>
      </c>
      <c r="N24" s="176"/>
      <c r="O24" s="174">
        <v>5.5401547950888528</v>
      </c>
      <c r="P24" s="175">
        <v>0.39736658406038572</v>
      </c>
      <c r="Q24" s="175">
        <v>0.90605135284518812</v>
      </c>
      <c r="R24" s="51"/>
    </row>
    <row r="25" spans="2:18" ht="15" customHeight="1" thickBot="1">
      <c r="B25" s="2"/>
      <c r="C25" s="170"/>
      <c r="D25" s="171" t="s">
        <v>302</v>
      </c>
      <c r="E25" s="172">
        <v>0</v>
      </c>
      <c r="F25" s="173">
        <v>0</v>
      </c>
      <c r="G25" s="174">
        <v>0</v>
      </c>
      <c r="H25" s="174">
        <v>0</v>
      </c>
      <c r="I25" s="174">
        <v>0</v>
      </c>
      <c r="J25" s="174">
        <v>0</v>
      </c>
      <c r="K25" s="174"/>
      <c r="L25" s="175">
        <v>0</v>
      </c>
      <c r="M25" s="175">
        <v>0</v>
      </c>
      <c r="N25" s="176"/>
      <c r="O25" s="174">
        <v>14.075000000000001</v>
      </c>
      <c r="P25" s="175">
        <v>1.7106709264135554E-5</v>
      </c>
      <c r="Q25" s="175">
        <v>1</v>
      </c>
      <c r="R25" s="51"/>
    </row>
    <row r="26" spans="2:18" ht="15" customHeight="1" thickBot="1">
      <c r="B26" s="2"/>
      <c r="C26" s="170"/>
      <c r="D26" s="171" t="s">
        <v>303</v>
      </c>
      <c r="E26" s="172">
        <v>0</v>
      </c>
      <c r="F26" s="173">
        <v>0</v>
      </c>
      <c r="G26" s="174">
        <v>0</v>
      </c>
      <c r="H26" s="174">
        <v>0</v>
      </c>
      <c r="I26" s="174">
        <v>0</v>
      </c>
      <c r="J26" s="174">
        <v>0</v>
      </c>
      <c r="K26" s="174"/>
      <c r="L26" s="175">
        <v>0</v>
      </c>
      <c r="M26" s="175">
        <v>0</v>
      </c>
      <c r="N26" s="176"/>
      <c r="O26" s="174">
        <v>18</v>
      </c>
      <c r="P26" s="175">
        <v>1.0938570755042273E-5</v>
      </c>
      <c r="Q26" s="175">
        <v>1</v>
      </c>
      <c r="R26" s="51"/>
    </row>
    <row r="27" spans="2:18" ht="15" customHeight="1" thickBot="1">
      <c r="B27" s="2"/>
      <c r="C27" s="170"/>
      <c r="D27" s="171" t="s">
        <v>309</v>
      </c>
      <c r="E27" s="172">
        <v>0</v>
      </c>
      <c r="F27" s="173">
        <v>0</v>
      </c>
      <c r="G27" s="174">
        <v>0</v>
      </c>
      <c r="H27" s="174">
        <v>0</v>
      </c>
      <c r="I27" s="174">
        <v>0</v>
      </c>
      <c r="J27" s="174">
        <v>0</v>
      </c>
      <c r="K27" s="174"/>
      <c r="L27" s="175">
        <v>0</v>
      </c>
      <c r="M27" s="175">
        <v>0</v>
      </c>
      <c r="N27" s="176"/>
      <c r="O27" s="174">
        <v>1.82</v>
      </c>
      <c r="P27" s="175">
        <v>1.5484154602137617E-5</v>
      </c>
      <c r="Q27" s="175">
        <v>1</v>
      </c>
      <c r="R27" s="51"/>
    </row>
    <row r="28" spans="2:18" ht="15" customHeight="1" thickBot="1">
      <c r="B28" s="2"/>
      <c r="C28" s="170"/>
      <c r="D28" s="171" t="s">
        <v>118</v>
      </c>
      <c r="E28" s="172">
        <v>0</v>
      </c>
      <c r="F28" s="173">
        <v>0</v>
      </c>
      <c r="G28" s="174">
        <v>0</v>
      </c>
      <c r="H28" s="174">
        <v>0</v>
      </c>
      <c r="I28" s="174">
        <v>0</v>
      </c>
      <c r="J28" s="174">
        <v>0</v>
      </c>
      <c r="K28" s="174"/>
      <c r="L28" s="175">
        <v>0</v>
      </c>
      <c r="M28" s="175">
        <v>0</v>
      </c>
      <c r="N28" s="176"/>
      <c r="O28" s="174">
        <v>13.647373855902366</v>
      </c>
      <c r="P28" s="175">
        <v>3.5338547762167237E-2</v>
      </c>
      <c r="Q28" s="175">
        <v>0.8777703020589247</v>
      </c>
      <c r="R28" s="51"/>
    </row>
    <row r="29" spans="2:18" ht="15" customHeight="1" thickBot="1">
      <c r="B29" s="2"/>
      <c r="C29" s="170"/>
      <c r="D29" s="171" t="s">
        <v>310</v>
      </c>
      <c r="E29" s="172">
        <v>0</v>
      </c>
      <c r="F29" s="173">
        <v>0</v>
      </c>
      <c r="G29" s="174">
        <v>0</v>
      </c>
      <c r="H29" s="174">
        <v>0</v>
      </c>
      <c r="I29" s="174">
        <v>0</v>
      </c>
      <c r="J29" s="174">
        <v>0</v>
      </c>
      <c r="K29" s="174"/>
      <c r="L29" s="175">
        <v>0</v>
      </c>
      <c r="M29" s="175">
        <v>0</v>
      </c>
      <c r="N29" s="176"/>
      <c r="O29" s="174">
        <v>1.6200000000000006</v>
      </c>
      <c r="P29" s="175">
        <v>9.8447136795380499E-6</v>
      </c>
      <c r="Q29" s="175">
        <v>1.0000000000000002</v>
      </c>
      <c r="R29" s="51"/>
    </row>
    <row r="30" spans="2:18" ht="15" customHeight="1" thickBot="1">
      <c r="B30" s="2"/>
      <c r="C30" s="170"/>
      <c r="D30" s="171" t="s">
        <v>311</v>
      </c>
      <c r="E30" s="172">
        <v>0</v>
      </c>
      <c r="F30" s="173">
        <v>0</v>
      </c>
      <c r="G30" s="174">
        <v>0</v>
      </c>
      <c r="H30" s="174">
        <v>0</v>
      </c>
      <c r="I30" s="174">
        <v>0</v>
      </c>
      <c r="J30" s="174">
        <v>0</v>
      </c>
      <c r="K30" s="174"/>
      <c r="L30" s="175">
        <v>0</v>
      </c>
      <c r="M30" s="175">
        <v>0</v>
      </c>
      <c r="N30" s="176"/>
      <c r="O30" s="174">
        <v>15.45</v>
      </c>
      <c r="P30" s="175">
        <v>1.8777879796155901E-5</v>
      </c>
      <c r="Q30" s="175">
        <v>1</v>
      </c>
      <c r="R30" s="51"/>
    </row>
    <row r="31" spans="2:18" ht="15" customHeight="1" thickBot="1">
      <c r="B31" s="2"/>
      <c r="C31" s="170"/>
      <c r="D31" s="171" t="s">
        <v>312</v>
      </c>
      <c r="E31" s="172">
        <v>0</v>
      </c>
      <c r="F31" s="173">
        <v>0</v>
      </c>
      <c r="G31" s="174">
        <v>0</v>
      </c>
      <c r="H31" s="174">
        <v>0</v>
      </c>
      <c r="I31" s="174">
        <v>0</v>
      </c>
      <c r="J31" s="174">
        <v>0</v>
      </c>
      <c r="K31" s="174"/>
      <c r="L31" s="175">
        <v>0</v>
      </c>
      <c r="M31" s="175">
        <v>0</v>
      </c>
      <c r="N31" s="176"/>
      <c r="O31" s="174">
        <v>0.9</v>
      </c>
      <c r="P31" s="175">
        <v>5.4692853775211367E-7</v>
      </c>
      <c r="Q31" s="175">
        <v>1</v>
      </c>
      <c r="R31" s="51"/>
    </row>
    <row r="32" spans="2:18" ht="15" customHeight="1" thickBot="1">
      <c r="B32" s="2"/>
      <c r="C32" s="170"/>
      <c r="D32" s="171" t="s">
        <v>119</v>
      </c>
      <c r="E32" s="172">
        <v>1284</v>
      </c>
      <c r="F32" s="173">
        <v>17.589041095890412</v>
      </c>
      <c r="G32" s="174">
        <v>4902.2300000000496</v>
      </c>
      <c r="H32" s="174">
        <v>2683.2199999999898</v>
      </c>
      <c r="I32" s="174">
        <v>0</v>
      </c>
      <c r="J32" s="174">
        <v>2203.6999999999998</v>
      </c>
      <c r="K32" s="174">
        <v>1.7162772585669781</v>
      </c>
      <c r="L32" s="175">
        <v>0.13074241424645586</v>
      </c>
      <c r="M32" s="175">
        <v>0.99687693151892109</v>
      </c>
      <c r="N32" s="176"/>
      <c r="O32" s="174">
        <v>2.2199663130734342</v>
      </c>
      <c r="P32" s="175">
        <v>0.22586668255920514</v>
      </c>
      <c r="Q32" s="175">
        <v>0.98195491248106159</v>
      </c>
      <c r="R32" s="51"/>
    </row>
    <row r="33" spans="2:18" ht="15" customHeight="1" thickBot="1">
      <c r="B33" s="2"/>
      <c r="C33" s="170"/>
      <c r="D33" s="171" t="s">
        <v>314</v>
      </c>
      <c r="E33" s="172">
        <v>0</v>
      </c>
      <c r="F33" s="173">
        <v>0</v>
      </c>
      <c r="G33" s="174">
        <v>0</v>
      </c>
      <c r="H33" s="174">
        <v>0</v>
      </c>
      <c r="I33" s="174">
        <v>0</v>
      </c>
      <c r="J33" s="174">
        <v>0</v>
      </c>
      <c r="K33" s="174"/>
      <c r="L33" s="175">
        <v>0</v>
      </c>
      <c r="M33" s="175">
        <v>0</v>
      </c>
      <c r="N33" s="176"/>
      <c r="O33" s="174">
        <v>0.44</v>
      </c>
      <c r="P33" s="175">
        <v>8.0216185536976666E-7</v>
      </c>
      <c r="Q33" s="175">
        <v>0.99999999999999989</v>
      </c>
      <c r="R33" s="51"/>
    </row>
    <row r="34" spans="2:18" ht="15" customHeight="1" thickBot="1">
      <c r="B34" s="2"/>
      <c r="C34" s="170"/>
      <c r="D34" s="171" t="s">
        <v>267</v>
      </c>
      <c r="E34" s="172">
        <v>0</v>
      </c>
      <c r="F34" s="173">
        <v>0</v>
      </c>
      <c r="G34" s="174">
        <v>0</v>
      </c>
      <c r="H34" s="174">
        <v>0</v>
      </c>
      <c r="I34" s="174">
        <v>0</v>
      </c>
      <c r="J34" s="174">
        <v>0</v>
      </c>
      <c r="K34" s="174"/>
      <c r="L34" s="175">
        <v>0</v>
      </c>
      <c r="M34" s="175">
        <v>0</v>
      </c>
      <c r="N34" s="176"/>
      <c r="O34" s="174">
        <v>13.405405405405405</v>
      </c>
      <c r="P34" s="175">
        <v>3.0141839413894264E-4</v>
      </c>
      <c r="Q34" s="175">
        <v>1</v>
      </c>
      <c r="R34" s="51"/>
    </row>
    <row r="35" spans="2:18" ht="15" customHeight="1" thickBot="1">
      <c r="B35" s="2"/>
      <c r="C35" s="170"/>
      <c r="D35" s="171" t="s">
        <v>120</v>
      </c>
      <c r="E35" s="172">
        <v>0</v>
      </c>
      <c r="F35" s="173">
        <v>0</v>
      </c>
      <c r="G35" s="174">
        <v>0</v>
      </c>
      <c r="H35" s="174">
        <v>0</v>
      </c>
      <c r="I35" s="174">
        <v>0</v>
      </c>
      <c r="J35" s="174">
        <v>0</v>
      </c>
      <c r="K35" s="174"/>
      <c r="L35" s="175">
        <v>0</v>
      </c>
      <c r="M35" s="175">
        <v>0</v>
      </c>
      <c r="N35" s="176"/>
      <c r="O35" s="174">
        <v>8.8615837104072419</v>
      </c>
      <c r="P35" s="175">
        <v>1.1901225751323522E-3</v>
      </c>
      <c r="Q35" s="175">
        <v>0.98940599099760784</v>
      </c>
      <c r="R35" s="51"/>
    </row>
    <row r="36" spans="2:18" ht="15" customHeight="1" thickBot="1">
      <c r="B36" s="2"/>
      <c r="C36" s="170"/>
      <c r="D36" s="171" t="s">
        <v>316</v>
      </c>
      <c r="E36" s="172">
        <v>0</v>
      </c>
      <c r="F36" s="173">
        <v>0</v>
      </c>
      <c r="G36" s="174">
        <v>0</v>
      </c>
      <c r="H36" s="174">
        <v>0</v>
      </c>
      <c r="I36" s="174">
        <v>0</v>
      </c>
      <c r="J36" s="174">
        <v>0</v>
      </c>
      <c r="K36" s="174"/>
      <c r="L36" s="175">
        <v>0</v>
      </c>
      <c r="M36" s="175">
        <v>0</v>
      </c>
      <c r="N36" s="176"/>
      <c r="O36" s="174">
        <v>4.8</v>
      </c>
      <c r="P36" s="175">
        <v>2.916952201344606E-6</v>
      </c>
      <c r="Q36" s="175">
        <v>1</v>
      </c>
      <c r="R36" s="51"/>
    </row>
    <row r="37" spans="2:18" ht="15" customHeight="1" thickBot="1">
      <c r="B37" s="2"/>
      <c r="C37" s="170"/>
      <c r="D37" s="171" t="s">
        <v>317</v>
      </c>
      <c r="E37" s="172">
        <v>0</v>
      </c>
      <c r="F37" s="173">
        <v>0</v>
      </c>
      <c r="G37" s="174">
        <v>0</v>
      </c>
      <c r="H37" s="174">
        <v>0</v>
      </c>
      <c r="I37" s="174">
        <v>0</v>
      </c>
      <c r="J37" s="174">
        <v>0</v>
      </c>
      <c r="K37" s="174"/>
      <c r="L37" s="175">
        <v>0</v>
      </c>
      <c r="M37" s="175">
        <v>0</v>
      </c>
      <c r="N37" s="176"/>
      <c r="O37" s="174">
        <v>1.8</v>
      </c>
      <c r="P37" s="175">
        <v>3.281571226512682E-6</v>
      </c>
      <c r="Q37" s="175">
        <v>0.94736842105263153</v>
      </c>
      <c r="R37" s="51"/>
    </row>
    <row r="38" spans="2:18" ht="15" customHeight="1" thickBot="1">
      <c r="B38" s="2"/>
      <c r="C38" s="170"/>
      <c r="D38" s="171" t="s">
        <v>318</v>
      </c>
      <c r="E38" s="172">
        <v>0</v>
      </c>
      <c r="F38" s="173">
        <v>0</v>
      </c>
      <c r="G38" s="174">
        <v>0</v>
      </c>
      <c r="H38" s="174">
        <v>0</v>
      </c>
      <c r="I38" s="174">
        <v>0</v>
      </c>
      <c r="J38" s="174">
        <v>0</v>
      </c>
      <c r="K38" s="174"/>
      <c r="L38" s="175">
        <v>0</v>
      </c>
      <c r="M38" s="175">
        <v>0</v>
      </c>
      <c r="N38" s="176"/>
      <c r="O38" s="174">
        <v>39</v>
      </c>
      <c r="P38" s="175">
        <v>4.7400473271849845E-5</v>
      </c>
      <c r="Q38" s="175">
        <v>0.7384615384615385</v>
      </c>
      <c r="R38" s="51"/>
    </row>
    <row r="39" spans="2:18" ht="15" customHeight="1" thickBot="1">
      <c r="B39" s="2"/>
      <c r="C39" s="133" t="s">
        <v>34</v>
      </c>
      <c r="D39" s="134"/>
      <c r="E39" s="122">
        <v>2257</v>
      </c>
      <c r="F39" s="123">
        <v>30.917808219178081</v>
      </c>
      <c r="G39" s="124">
        <v>43167.900000000067</v>
      </c>
      <c r="H39" s="124">
        <v>20534.21000000001</v>
      </c>
      <c r="I39" s="124">
        <v>0</v>
      </c>
      <c r="J39" s="124">
        <v>16855.279999999981</v>
      </c>
      <c r="K39" s="124">
        <v>7.468001772264059</v>
      </c>
      <c r="L39" s="125">
        <v>1.0000000000000011</v>
      </c>
      <c r="M39" s="125">
        <v>0.86614104461880081</v>
      </c>
      <c r="N39" s="132"/>
      <c r="O39" s="124">
        <v>4.6795199488126045</v>
      </c>
      <c r="P39" s="125">
        <v>1</v>
      </c>
      <c r="Q39" s="125">
        <v>0.93224282505416611</v>
      </c>
      <c r="R39" s="51"/>
    </row>
    <row r="40" spans="2:18" ht="15" customHeight="1">
      <c r="B40" s="2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3"/>
      <c r="Q40" s="13"/>
      <c r="R40" s="51"/>
    </row>
    <row r="41" spans="2:18" ht="15" customHeight="1" thickBot="1">
      <c r="B41" s="2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3"/>
      <c r="Q41" s="13"/>
      <c r="R41" s="51"/>
    </row>
    <row r="42" spans="2:18" ht="15" customHeight="1" thickBot="1">
      <c r="B42" s="2"/>
      <c r="C42" s="134" t="s">
        <v>121</v>
      </c>
      <c r="D42" s="134"/>
      <c r="E42" s="1"/>
      <c r="F42" s="1"/>
      <c r="G42" s="1"/>
      <c r="H42" s="153">
        <v>0.54920000000000002</v>
      </c>
      <c r="I42" s="153">
        <v>0</v>
      </c>
      <c r="J42" s="153">
        <v>0.45079999999999998</v>
      </c>
      <c r="K42" s="1"/>
      <c r="L42" s="1"/>
      <c r="M42" s="1"/>
      <c r="N42" s="1"/>
      <c r="O42" s="1"/>
      <c r="P42" s="13"/>
      <c r="Q42" s="13"/>
      <c r="R42" s="51"/>
    </row>
    <row r="43" spans="2:18" ht="15" customHeight="1" thickBot="1">
      <c r="B43" s="2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3"/>
      <c r="Q43" s="13"/>
      <c r="R43" s="51"/>
    </row>
    <row r="44" spans="2:18" ht="15" customHeight="1" thickBot="1">
      <c r="B44" s="2"/>
      <c r="C44" s="134" t="s">
        <v>122</v>
      </c>
      <c r="D44" s="134"/>
      <c r="E44" s="1"/>
      <c r="F44" s="1"/>
      <c r="G44" s="124">
        <v>591.34</v>
      </c>
      <c r="H44" s="124">
        <v>281.29000000000002</v>
      </c>
      <c r="I44" s="124">
        <v>0</v>
      </c>
      <c r="J44" s="124">
        <v>230.89</v>
      </c>
      <c r="K44" s="1"/>
      <c r="L44" s="1"/>
      <c r="M44" s="1"/>
      <c r="N44" s="1"/>
      <c r="O44" s="1"/>
      <c r="P44" s="13"/>
      <c r="Q44" s="13"/>
      <c r="R44" s="51"/>
    </row>
    <row r="45" spans="2:18" ht="15" customHeight="1" thickBot="1">
      <c r="B45" s="2"/>
      <c r="C45" s="134" t="s">
        <v>123</v>
      </c>
      <c r="D45" s="134"/>
      <c r="E45" s="1"/>
      <c r="F45" s="1"/>
      <c r="G45" s="124">
        <v>1308.1199999999999</v>
      </c>
      <c r="H45" s="124">
        <v>622.25</v>
      </c>
      <c r="I45" s="124">
        <v>0</v>
      </c>
      <c r="J45" s="124">
        <v>510.77</v>
      </c>
      <c r="K45" s="1"/>
      <c r="L45" s="1"/>
      <c r="M45" s="1"/>
      <c r="N45" s="1"/>
      <c r="O45" s="1"/>
      <c r="P45" s="13"/>
      <c r="Q45" s="13"/>
      <c r="R45" s="51"/>
    </row>
    <row r="46" spans="2:18" ht="15" customHeight="1">
      <c r="B46" s="2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3"/>
      <c r="Q46" s="13"/>
      <c r="R46" s="51"/>
    </row>
    <row r="47" spans="2:18" ht="15" customHeight="1">
      <c r="B47" s="2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3"/>
      <c r="Q47" s="13"/>
      <c r="R47" s="51"/>
    </row>
    <row r="48" spans="2:18" ht="12" customHeight="1">
      <c r="B48" s="3"/>
      <c r="C48" s="135"/>
      <c r="D48" s="135"/>
      <c r="E48" s="135"/>
      <c r="F48" s="135"/>
      <c r="G48" s="135"/>
      <c r="H48" s="135"/>
      <c r="I48" s="135"/>
      <c r="J48" s="135"/>
      <c r="K48" s="135"/>
      <c r="L48" s="135"/>
      <c r="M48" s="135"/>
      <c r="N48" s="135"/>
      <c r="O48" s="135"/>
      <c r="P48" s="136"/>
      <c r="Q48" s="136"/>
      <c r="R48" s="52"/>
    </row>
  </sheetData>
  <mergeCells count="3">
    <mergeCell ref="C8:Q8"/>
    <mergeCell ref="E12:M12"/>
    <mergeCell ref="O12:Q12"/>
  </mergeCells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Feuil19">
    <tabColor theme="4" tint="0.79998168889431442"/>
    <pageSetUpPr fitToPage="1"/>
  </sheetPr>
  <dimension ref="A1:V39"/>
  <sheetViews>
    <sheetView showGridLines="0" topLeftCell="A8" zoomScale="70" zoomScaleNormal="70" workbookViewId="0">
      <selection activeCell="A36" sqref="A36:XFD36"/>
    </sheetView>
  </sheetViews>
  <sheetFormatPr baseColWidth="10" defaultColWidth="11.42578125" defaultRowHeight="15"/>
  <cols>
    <col min="1" max="1" width="2.85546875" style="5" customWidth="1"/>
    <col min="2" max="2" width="4.28515625" customWidth="1"/>
    <col min="3" max="3" width="10" customWidth="1"/>
    <col min="4" max="4" width="50.7109375" customWidth="1"/>
    <col min="5" max="6" width="21.42578125" customWidth="1"/>
    <col min="7" max="7" width="26.7109375" style="139" customWidth="1"/>
    <col min="8" max="10" width="14.28515625" customWidth="1"/>
    <col min="11" max="11" width="10.42578125" customWidth="1"/>
    <col min="12" max="12" width="7.28515625" customWidth="1"/>
    <col min="13" max="13" width="10.7109375" customWidth="1"/>
    <col min="14" max="14" width="1.42578125" customWidth="1"/>
    <col min="15" max="15" width="7.5703125" customWidth="1"/>
    <col min="16" max="16" width="6.85546875" customWidth="1"/>
    <col min="17" max="17" width="10.7109375" customWidth="1"/>
    <col min="18" max="18" width="4.28515625" customWidth="1"/>
    <col min="19" max="19" width="2.85546875" customWidth="1"/>
    <col min="20" max="21" width="11.42578125" customWidth="1"/>
    <col min="22" max="22" width="16.7109375" bestFit="1" customWidth="1"/>
    <col min="23" max="29" width="11.42578125" customWidth="1"/>
  </cols>
  <sheetData>
    <row r="1" spans="2:22">
      <c r="B1" s="5"/>
      <c r="C1" s="5"/>
      <c r="D1" s="5"/>
      <c r="E1" s="5"/>
      <c r="F1" s="5"/>
      <c r="G1" s="143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</row>
    <row r="2" spans="2:22" ht="15" customHeight="1">
      <c r="B2" s="48"/>
      <c r="C2" s="49"/>
      <c r="D2" s="49"/>
      <c r="E2" s="49"/>
      <c r="F2" s="49"/>
      <c r="G2" s="144"/>
      <c r="H2" s="49"/>
      <c r="I2" s="49"/>
      <c r="J2" s="49"/>
      <c r="K2" s="49"/>
      <c r="L2" s="49"/>
      <c r="M2" s="49"/>
      <c r="N2" s="49"/>
      <c r="O2" s="49"/>
      <c r="P2" s="49"/>
      <c r="Q2" s="49"/>
      <c r="R2" s="50"/>
      <c r="V2" s="35"/>
    </row>
    <row r="3" spans="2:22" ht="15" customHeight="1">
      <c r="B3" s="2"/>
      <c r="R3" s="51"/>
    </row>
    <row r="4" spans="2:22" ht="15" customHeight="1">
      <c r="B4" s="2"/>
      <c r="R4" s="51"/>
    </row>
    <row r="5" spans="2:22" ht="15" customHeight="1">
      <c r="B5" s="2"/>
      <c r="R5" s="51"/>
    </row>
    <row r="6" spans="2:22" ht="15" customHeight="1" thickBot="1">
      <c r="B6" s="2"/>
      <c r="R6" s="51"/>
    </row>
    <row r="7" spans="2:22" ht="15" hidden="1" customHeight="1">
      <c r="B7" s="2"/>
      <c r="R7" s="51"/>
    </row>
    <row r="8" spans="2:22" ht="60" customHeight="1" thickBot="1">
      <c r="B8" s="2"/>
      <c r="C8" s="255" t="s">
        <v>381</v>
      </c>
      <c r="D8" s="256"/>
      <c r="E8" s="256"/>
      <c r="F8" s="256"/>
      <c r="G8" s="256"/>
      <c r="H8" s="256"/>
      <c r="I8" s="256"/>
      <c r="J8" s="256"/>
      <c r="K8" s="256"/>
      <c r="L8" s="256"/>
      <c r="M8" s="256"/>
      <c r="N8" s="256"/>
      <c r="O8" s="256"/>
      <c r="P8" s="256"/>
      <c r="Q8" s="257"/>
      <c r="R8" s="51"/>
    </row>
    <row r="9" spans="2:22">
      <c r="B9" s="2"/>
      <c r="R9" s="51"/>
    </row>
    <row r="10" spans="2:22">
      <c r="B10" s="2"/>
      <c r="R10" s="51"/>
    </row>
    <row r="11" spans="2:22" ht="15.75" thickBot="1">
      <c r="B11" s="2"/>
      <c r="R11" s="51"/>
    </row>
    <row r="12" spans="2:22" ht="29.25" customHeight="1" thickBot="1">
      <c r="B12" s="2"/>
      <c r="C12" s="34"/>
      <c r="D12" s="34"/>
      <c r="E12" s="142" t="s">
        <v>62</v>
      </c>
      <c r="G12"/>
      <c r="I12" s="34"/>
      <c r="M12" s="34"/>
      <c r="N12" s="32"/>
      <c r="R12" s="51"/>
    </row>
    <row r="13" spans="2:22" ht="15.75" thickBot="1">
      <c r="B13" s="2"/>
      <c r="C13" s="34"/>
      <c r="D13" s="34"/>
      <c r="E13" s="34"/>
      <c r="G13"/>
      <c r="I13" s="34"/>
      <c r="J13" s="34"/>
      <c r="K13" s="34"/>
      <c r="L13" s="34"/>
      <c r="M13" s="34"/>
      <c r="N13" s="32"/>
      <c r="R13" s="51"/>
    </row>
    <row r="14" spans="2:22" ht="45" customHeight="1" thickBot="1">
      <c r="B14" s="2"/>
      <c r="C14" s="34"/>
      <c r="D14" s="34"/>
      <c r="E14" s="142">
        <v>2022</v>
      </c>
      <c r="G14"/>
      <c r="I14" s="34"/>
      <c r="J14" s="34"/>
      <c r="K14" s="34"/>
      <c r="L14" s="32"/>
      <c r="R14" s="51"/>
    </row>
    <row r="15" spans="2:22" ht="15" customHeight="1" thickBot="1">
      <c r="B15" s="2"/>
      <c r="C15" s="130" t="s">
        <v>80</v>
      </c>
      <c r="D15" s="131"/>
      <c r="E15" s="55">
        <v>9606.92</v>
      </c>
      <c r="F15" s="34"/>
      <c r="G15" s="34"/>
      <c r="H15" s="34"/>
      <c r="I15" s="34"/>
      <c r="J15" s="34"/>
      <c r="K15" s="34"/>
      <c r="L15" s="132"/>
      <c r="R15" s="51"/>
      <c r="T15" s="201"/>
    </row>
    <row r="16" spans="2:22" ht="15" customHeight="1" thickBot="1">
      <c r="B16" s="2"/>
      <c r="C16" s="170"/>
      <c r="D16" s="171" t="s">
        <v>84</v>
      </c>
      <c r="E16" s="172">
        <v>7076.92</v>
      </c>
      <c r="F16" s="202"/>
      <c r="G16" s="202"/>
      <c r="H16" s="202"/>
      <c r="I16" s="202"/>
      <c r="J16" s="202"/>
      <c r="K16" s="202"/>
      <c r="L16" s="176"/>
      <c r="M16" s="59"/>
      <c r="N16" s="59"/>
      <c r="O16" s="59"/>
      <c r="P16" s="59"/>
      <c r="Q16" s="59"/>
      <c r="R16" s="51"/>
      <c r="T16" s="201"/>
    </row>
    <row r="17" spans="2:20" ht="15" customHeight="1" thickBot="1">
      <c r="B17" s="2"/>
      <c r="C17" s="170"/>
      <c r="D17" s="171" t="s">
        <v>86</v>
      </c>
      <c r="E17" s="172">
        <v>2530</v>
      </c>
      <c r="F17" s="202"/>
      <c r="G17" s="202"/>
      <c r="H17" s="202"/>
      <c r="I17" s="202"/>
      <c r="J17" s="202"/>
      <c r="K17" s="202"/>
      <c r="L17" s="176"/>
      <c r="M17" s="59"/>
      <c r="N17" s="59"/>
      <c r="O17" s="59"/>
      <c r="P17" s="59"/>
      <c r="Q17" s="59"/>
      <c r="R17" s="51"/>
      <c r="T17" s="201"/>
    </row>
    <row r="18" spans="2:20" ht="15" customHeight="1" thickBot="1">
      <c r="B18" s="2"/>
      <c r="C18" s="130" t="s">
        <v>88</v>
      </c>
      <c r="D18" s="131"/>
      <c r="E18" s="55">
        <v>2492.61</v>
      </c>
      <c r="F18" s="34"/>
      <c r="G18" s="34"/>
      <c r="H18" s="34"/>
      <c r="I18" s="34"/>
      <c r="J18" s="34"/>
      <c r="K18" s="34"/>
      <c r="L18" s="132"/>
      <c r="R18" s="51"/>
      <c r="T18" s="201"/>
    </row>
    <row r="19" spans="2:20" ht="15" customHeight="1" thickBot="1">
      <c r="B19" s="2"/>
      <c r="C19" s="170"/>
      <c r="D19" s="171" t="s">
        <v>90</v>
      </c>
      <c r="E19" s="172">
        <v>60</v>
      </c>
      <c r="F19" s="202"/>
      <c r="G19" s="202"/>
      <c r="H19" s="202"/>
      <c r="I19" s="202"/>
      <c r="J19" s="202"/>
      <c r="K19" s="202"/>
      <c r="L19" s="176"/>
      <c r="M19" s="59"/>
      <c r="N19" s="59"/>
      <c r="O19" s="59"/>
      <c r="P19" s="59"/>
      <c r="Q19" s="59"/>
      <c r="R19" s="51"/>
      <c r="T19" s="201"/>
    </row>
    <row r="20" spans="2:20" ht="15" customHeight="1" thickBot="1">
      <c r="B20" s="2"/>
      <c r="C20" s="170"/>
      <c r="D20" s="171" t="s">
        <v>91</v>
      </c>
      <c r="E20" s="172">
        <v>72</v>
      </c>
      <c r="F20" s="202"/>
      <c r="G20" s="202"/>
      <c r="H20" s="202"/>
      <c r="I20" s="202"/>
      <c r="J20" s="202"/>
      <c r="K20" s="202"/>
      <c r="L20" s="176"/>
      <c r="M20" s="59"/>
      <c r="N20" s="59"/>
      <c r="O20" s="59"/>
      <c r="P20" s="59"/>
      <c r="Q20" s="59"/>
      <c r="R20" s="51"/>
      <c r="T20" s="201"/>
    </row>
    <row r="21" spans="2:20" ht="15" customHeight="1" thickBot="1">
      <c r="B21" s="2"/>
      <c r="C21" s="170"/>
      <c r="D21" s="171" t="s">
        <v>92</v>
      </c>
      <c r="E21" s="172">
        <v>30.04</v>
      </c>
      <c r="F21" s="202"/>
      <c r="G21" s="202"/>
      <c r="H21" s="202"/>
      <c r="I21" s="202"/>
      <c r="J21" s="202"/>
      <c r="K21" s="202"/>
      <c r="L21" s="176"/>
      <c r="M21" s="59"/>
      <c r="N21" s="59"/>
      <c r="O21" s="59"/>
      <c r="P21" s="59"/>
      <c r="Q21" s="59"/>
      <c r="R21" s="51"/>
      <c r="T21" s="201"/>
    </row>
    <row r="22" spans="2:20" ht="15" customHeight="1" thickBot="1">
      <c r="B22" s="2"/>
      <c r="C22" s="170"/>
      <c r="D22" s="171" t="s">
        <v>94</v>
      </c>
      <c r="E22" s="172">
        <v>2252.13</v>
      </c>
      <c r="F22" s="202"/>
      <c r="G22" s="202"/>
      <c r="H22" s="202"/>
      <c r="I22" s="202"/>
      <c r="J22" s="202"/>
      <c r="K22" s="202"/>
      <c r="L22" s="176"/>
      <c r="M22" s="59"/>
      <c r="N22" s="59"/>
      <c r="O22" s="59"/>
      <c r="P22" s="59"/>
      <c r="Q22" s="59"/>
      <c r="R22" s="51"/>
      <c r="T22" s="201"/>
    </row>
    <row r="23" spans="2:20" ht="15" customHeight="1" thickBot="1">
      <c r="B23" s="2"/>
      <c r="C23" s="170"/>
      <c r="D23" s="171" t="s">
        <v>194</v>
      </c>
      <c r="E23" s="172">
        <v>78.44</v>
      </c>
      <c r="F23" s="202"/>
      <c r="G23" s="202"/>
      <c r="H23" s="202"/>
      <c r="I23" s="202"/>
      <c r="J23" s="202"/>
      <c r="K23" s="202"/>
      <c r="L23" s="176"/>
      <c r="M23" s="59"/>
      <c r="N23" s="59"/>
      <c r="O23" s="59"/>
      <c r="P23" s="59"/>
      <c r="Q23" s="59"/>
      <c r="R23" s="51"/>
      <c r="T23" s="201"/>
    </row>
    <row r="24" spans="2:20" ht="15" customHeight="1" thickBot="1">
      <c r="B24" s="2"/>
      <c r="C24" s="130" t="s">
        <v>100</v>
      </c>
      <c r="D24" s="131"/>
      <c r="E24" s="55">
        <v>9997.58</v>
      </c>
      <c r="F24" s="34"/>
      <c r="G24" s="34"/>
      <c r="H24" s="34"/>
      <c r="I24" s="34"/>
      <c r="J24" s="34"/>
      <c r="K24" s="34"/>
      <c r="L24" s="132"/>
      <c r="R24" s="51"/>
      <c r="T24" s="201"/>
    </row>
    <row r="25" spans="2:20" ht="15" customHeight="1" thickBot="1">
      <c r="B25" s="2"/>
      <c r="C25" s="170"/>
      <c r="D25" s="171" t="s">
        <v>104</v>
      </c>
      <c r="E25" s="172">
        <v>729.6</v>
      </c>
      <c r="F25" s="202"/>
      <c r="G25" s="202"/>
      <c r="H25" s="202"/>
      <c r="I25" s="202"/>
      <c r="J25" s="202"/>
      <c r="K25" s="202"/>
      <c r="L25" s="176"/>
      <c r="M25" s="59"/>
      <c r="N25" s="59"/>
      <c r="O25" s="59"/>
      <c r="P25" s="59"/>
      <c r="Q25" s="59"/>
      <c r="R25" s="51"/>
      <c r="T25" s="201"/>
    </row>
    <row r="26" spans="2:20" ht="15" customHeight="1" thickBot="1">
      <c r="B26" s="2"/>
      <c r="C26" s="170"/>
      <c r="D26" s="171" t="s">
        <v>107</v>
      </c>
      <c r="E26" s="172">
        <v>4509.1499999999996</v>
      </c>
      <c r="F26" s="202"/>
      <c r="G26" s="202"/>
      <c r="H26" s="202"/>
      <c r="I26" s="202"/>
      <c r="J26" s="202"/>
      <c r="K26" s="202"/>
      <c r="L26" s="176"/>
      <c r="M26" s="59"/>
      <c r="N26" s="59"/>
      <c r="O26" s="59"/>
      <c r="P26" s="59"/>
      <c r="Q26" s="59"/>
      <c r="R26" s="51"/>
      <c r="T26" s="201"/>
    </row>
    <row r="27" spans="2:20" ht="15" customHeight="1" thickBot="1">
      <c r="B27" s="2"/>
      <c r="C27" s="170"/>
      <c r="D27" s="171" t="s">
        <v>108</v>
      </c>
      <c r="E27" s="172">
        <v>4758.83</v>
      </c>
      <c r="F27" s="202"/>
      <c r="G27" s="202"/>
      <c r="H27" s="202"/>
      <c r="I27" s="202"/>
      <c r="J27" s="202"/>
      <c r="K27" s="202"/>
      <c r="L27" s="176"/>
      <c r="M27" s="59"/>
      <c r="N27" s="59"/>
      <c r="O27" s="59"/>
      <c r="P27" s="59"/>
      <c r="Q27" s="59"/>
      <c r="R27" s="51"/>
      <c r="T27" s="201"/>
    </row>
    <row r="28" spans="2:20" ht="15" customHeight="1" thickBot="1">
      <c r="B28" s="2"/>
      <c r="C28" s="130" t="s">
        <v>111</v>
      </c>
      <c r="D28" s="131"/>
      <c r="E28" s="55">
        <v>1574</v>
      </c>
      <c r="F28" s="34"/>
      <c r="G28" s="34"/>
      <c r="H28" s="34"/>
      <c r="I28" s="34"/>
      <c r="J28" s="34"/>
      <c r="K28" s="34"/>
      <c r="L28" s="132"/>
      <c r="R28" s="51"/>
      <c r="T28" s="201"/>
    </row>
    <row r="29" spans="2:20" ht="15" customHeight="1" thickBot="1">
      <c r="B29" s="2"/>
      <c r="C29" s="170"/>
      <c r="D29" s="171" t="s">
        <v>112</v>
      </c>
      <c r="E29" s="172">
        <v>1574</v>
      </c>
      <c r="F29" s="202"/>
      <c r="G29" s="202"/>
      <c r="H29" s="202"/>
      <c r="I29" s="202"/>
      <c r="J29" s="202"/>
      <c r="K29" s="202"/>
      <c r="L29" s="176"/>
      <c r="M29" s="59"/>
      <c r="N29" s="59"/>
      <c r="O29" s="59"/>
      <c r="P29" s="59"/>
      <c r="Q29" s="59"/>
      <c r="R29" s="51"/>
      <c r="T29" s="201"/>
    </row>
    <row r="30" spans="2:20" ht="15" customHeight="1" thickBot="1">
      <c r="B30" s="2"/>
      <c r="C30" s="130" t="s">
        <v>114</v>
      </c>
      <c r="D30" s="131"/>
      <c r="E30" s="55">
        <v>16855.279999999981</v>
      </c>
      <c r="F30" s="34"/>
      <c r="G30" s="34"/>
      <c r="H30" s="34"/>
      <c r="I30" s="34"/>
      <c r="J30" s="34"/>
      <c r="K30" s="34"/>
      <c r="L30" s="132"/>
      <c r="R30" s="51"/>
      <c r="T30" s="201"/>
    </row>
    <row r="31" spans="2:20" ht="15" customHeight="1" thickBot="1">
      <c r="B31" s="2"/>
      <c r="C31" s="170"/>
      <c r="D31" s="171" t="s">
        <v>115</v>
      </c>
      <c r="E31" s="172">
        <v>1137.55</v>
      </c>
      <c r="F31" s="202"/>
      <c r="G31" s="202"/>
      <c r="H31" s="202"/>
      <c r="I31" s="202"/>
      <c r="J31" s="202"/>
      <c r="K31" s="202"/>
      <c r="L31" s="176"/>
      <c r="M31" s="59"/>
      <c r="N31" s="59"/>
      <c r="O31" s="59"/>
      <c r="P31" s="59"/>
      <c r="Q31" s="59"/>
      <c r="R31" s="51"/>
      <c r="T31" s="201"/>
    </row>
    <row r="32" spans="2:20" ht="15" customHeight="1" thickBot="1">
      <c r="B32" s="2"/>
      <c r="C32" s="170"/>
      <c r="D32" s="171" t="s">
        <v>67</v>
      </c>
      <c r="E32" s="172">
        <v>508.42</v>
      </c>
      <c r="F32" s="202"/>
      <c r="G32" s="202"/>
      <c r="H32" s="202"/>
      <c r="I32" s="202"/>
      <c r="J32" s="202"/>
      <c r="K32" s="202"/>
      <c r="L32" s="176"/>
      <c r="M32" s="59"/>
      <c r="N32" s="59"/>
      <c r="O32" s="59"/>
      <c r="P32" s="59"/>
      <c r="Q32" s="59"/>
      <c r="R32" s="51"/>
      <c r="T32" s="201"/>
    </row>
    <row r="33" spans="2:20" ht="15" customHeight="1" thickBot="1">
      <c r="B33" s="2"/>
      <c r="C33" s="170"/>
      <c r="D33" s="171" t="s">
        <v>116</v>
      </c>
      <c r="E33" s="172">
        <v>3349.88</v>
      </c>
      <c r="F33" s="202"/>
      <c r="G33" s="202"/>
      <c r="H33" s="202"/>
      <c r="I33" s="202"/>
      <c r="J33" s="202"/>
      <c r="K33" s="202"/>
      <c r="L33" s="176"/>
      <c r="M33" s="59"/>
      <c r="N33" s="59"/>
      <c r="O33" s="59"/>
      <c r="P33" s="59"/>
      <c r="Q33" s="59"/>
      <c r="R33" s="51"/>
      <c r="T33" s="201"/>
    </row>
    <row r="34" spans="2:20" ht="15" customHeight="1" thickBot="1">
      <c r="B34" s="2"/>
      <c r="C34" s="170"/>
      <c r="D34" s="171" t="s">
        <v>117</v>
      </c>
      <c r="E34" s="172">
        <v>9655.7299999999796</v>
      </c>
      <c r="F34" s="202"/>
      <c r="G34" s="202"/>
      <c r="H34" s="202"/>
      <c r="I34" s="202"/>
      <c r="J34" s="202"/>
      <c r="K34" s="202"/>
      <c r="L34" s="176"/>
      <c r="M34" s="59"/>
      <c r="N34" s="59"/>
      <c r="O34" s="59"/>
      <c r="P34" s="59"/>
      <c r="Q34" s="59"/>
      <c r="R34" s="51"/>
      <c r="T34" s="201"/>
    </row>
    <row r="35" spans="2:20" ht="15" customHeight="1" thickBot="1">
      <c r="B35" s="2"/>
      <c r="C35" s="170"/>
      <c r="D35" s="171" t="s">
        <v>119</v>
      </c>
      <c r="E35" s="172">
        <v>2203.6999999999998</v>
      </c>
      <c r="F35" s="202"/>
      <c r="G35" s="202"/>
      <c r="H35" s="202"/>
      <c r="I35" s="202"/>
      <c r="J35" s="202"/>
      <c r="K35" s="202"/>
      <c r="L35" s="176"/>
      <c r="M35" s="59"/>
      <c r="N35" s="59"/>
      <c r="O35" s="59"/>
      <c r="P35" s="59"/>
      <c r="Q35" s="59"/>
      <c r="R35" s="51"/>
      <c r="T35" s="201"/>
    </row>
    <row r="36" spans="2:20" ht="15" customHeight="1" thickBot="1">
      <c r="B36" s="2"/>
      <c r="C36" s="133" t="s">
        <v>34</v>
      </c>
      <c r="D36" s="134"/>
      <c r="E36" s="203">
        <v>40526.389999999985</v>
      </c>
      <c r="F36" s="34"/>
      <c r="G36" s="34"/>
      <c r="H36" s="34"/>
      <c r="I36" s="34"/>
      <c r="J36" s="34"/>
      <c r="K36" s="34"/>
      <c r="L36" s="132"/>
      <c r="R36" s="51"/>
    </row>
    <row r="37" spans="2:20" ht="15" customHeight="1">
      <c r="B37" s="2"/>
      <c r="C37" s="1"/>
      <c r="D37" s="13"/>
      <c r="E37" s="204"/>
      <c r="F37" s="13"/>
      <c r="G37" s="204"/>
      <c r="H37" s="34"/>
      <c r="I37" s="34"/>
      <c r="J37" s="34"/>
      <c r="K37" s="34"/>
      <c r="L37" s="34"/>
      <c r="M37" s="34"/>
      <c r="N37" s="13"/>
      <c r="O37" s="13"/>
      <c r="P37" s="13"/>
      <c r="Q37" s="13"/>
      <c r="R37" s="51"/>
    </row>
    <row r="38" spans="2:20" ht="15" customHeight="1">
      <c r="B38" s="2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3"/>
      <c r="Q38" s="13"/>
      <c r="R38" s="51"/>
    </row>
    <row r="39" spans="2:20" ht="12" customHeight="1">
      <c r="B39" s="3"/>
      <c r="C39" s="135"/>
      <c r="D39" s="135"/>
      <c r="E39" s="135"/>
      <c r="F39" s="135"/>
      <c r="G39" s="135"/>
      <c r="H39" s="135"/>
      <c r="I39" s="135"/>
      <c r="J39" s="135"/>
      <c r="K39" s="135"/>
      <c r="L39" s="135"/>
      <c r="M39" s="135"/>
      <c r="N39" s="135"/>
      <c r="O39" s="135"/>
      <c r="P39" s="136"/>
      <c r="Q39" s="136"/>
      <c r="R39" s="52"/>
    </row>
  </sheetData>
  <mergeCells count="1">
    <mergeCell ref="C8:Q8"/>
  </mergeCells>
  <pageMargins left="0.70866141732283472" right="0.70866141732283472" top="0.74803149606299213" bottom="0.74803149606299213" header="0.31496062992125984" footer="0.31496062992125984"/>
  <pageSetup paperSize="9" scale="36" orientation="portrait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Feuil21">
    <tabColor theme="4" tint="0.79998168889431442"/>
    <pageSetUpPr fitToPage="1"/>
  </sheetPr>
  <dimension ref="A1:V114"/>
  <sheetViews>
    <sheetView showGridLines="0" topLeftCell="C1" zoomScale="70" zoomScaleNormal="70" workbookViewId="0">
      <selection activeCell="A98" sqref="A98:XFD98"/>
    </sheetView>
  </sheetViews>
  <sheetFormatPr baseColWidth="10" defaultColWidth="11.42578125" defaultRowHeight="15"/>
  <cols>
    <col min="1" max="1" width="2.85546875" style="5" customWidth="1"/>
    <col min="2" max="2" width="4.28515625" customWidth="1"/>
    <col min="3" max="3" width="10" customWidth="1"/>
    <col min="4" max="4" width="50.7109375" customWidth="1"/>
    <col min="5" max="5" width="12" bestFit="1" customWidth="1"/>
    <col min="6" max="6" width="14.28515625" customWidth="1"/>
    <col min="7" max="12" width="16.28515625" customWidth="1"/>
    <col min="13" max="13" width="10.7109375" customWidth="1"/>
    <col min="14" max="14" width="1.42578125" customWidth="1"/>
    <col min="15" max="16" width="15.28515625" customWidth="1"/>
    <col min="17" max="17" width="10.7109375" customWidth="1"/>
    <col min="18" max="18" width="4.28515625" customWidth="1"/>
    <col min="19" max="19" width="2.85546875" customWidth="1"/>
    <col min="20" max="21" width="11.42578125" customWidth="1"/>
    <col min="22" max="22" width="16.7109375" bestFit="1" customWidth="1"/>
    <col min="23" max="29" width="11.42578125" customWidth="1"/>
  </cols>
  <sheetData>
    <row r="1" spans="2:22"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</row>
    <row r="2" spans="2:22" ht="15" customHeight="1">
      <c r="B2" s="48"/>
      <c r="C2" s="49"/>
      <c r="D2" s="49"/>
      <c r="E2" s="49"/>
      <c r="F2" s="49"/>
      <c r="G2" s="49"/>
      <c r="H2" s="49"/>
      <c r="I2" s="49"/>
      <c r="J2" s="49"/>
      <c r="K2" s="49"/>
      <c r="L2" s="49"/>
      <c r="M2" s="49"/>
      <c r="N2" s="49"/>
      <c r="O2" s="49"/>
      <c r="P2" s="49"/>
      <c r="Q2" s="49"/>
      <c r="R2" s="50"/>
      <c r="V2" s="35"/>
    </row>
    <row r="3" spans="2:22" ht="15" customHeight="1">
      <c r="B3" s="2"/>
      <c r="R3" s="51"/>
    </row>
    <row r="4" spans="2:22" ht="15" customHeight="1">
      <c r="B4" s="2"/>
      <c r="R4" s="51"/>
    </row>
    <row r="5" spans="2:22" ht="15" customHeight="1">
      <c r="B5" s="2"/>
      <c r="R5" s="51"/>
    </row>
    <row r="6" spans="2:22" ht="15" customHeight="1" thickBot="1">
      <c r="B6" s="2"/>
      <c r="R6" s="51"/>
    </row>
    <row r="7" spans="2:22" ht="15" hidden="1" customHeight="1">
      <c r="B7" s="2"/>
      <c r="R7" s="51"/>
    </row>
    <row r="8" spans="2:22" ht="60" customHeight="1" thickBot="1">
      <c r="B8" s="2"/>
      <c r="C8" s="244" t="str">
        <f>'Page de garde'!C13&amp;" : Détail des Prestations Réglées - Synthèse par famille d'actes"</f>
        <v>60000016 - 60000017 - 60000018 - 60000087 : Détail des Prestations Réglées - Synthèse par famille d'actes</v>
      </c>
      <c r="D8" s="245"/>
      <c r="E8" s="245"/>
      <c r="F8" s="245"/>
      <c r="G8" s="245"/>
      <c r="H8" s="245"/>
      <c r="I8" s="245"/>
      <c r="J8" s="245"/>
      <c r="K8" s="245"/>
      <c r="L8" s="245"/>
      <c r="M8" s="245"/>
      <c r="N8" s="245"/>
      <c r="O8" s="245"/>
      <c r="P8" s="245"/>
      <c r="Q8" s="246"/>
      <c r="R8" s="51"/>
    </row>
    <row r="9" spans="2:22">
      <c r="B9" s="2"/>
      <c r="R9" s="51"/>
    </row>
    <row r="10" spans="2:22">
      <c r="B10" s="2"/>
      <c r="R10" s="51"/>
    </row>
    <row r="11" spans="2:22">
      <c r="B11" s="2"/>
      <c r="R11" s="51"/>
    </row>
    <row r="12" spans="2:22" ht="15.75" thickBot="1">
      <c r="B12" s="2"/>
      <c r="C12" s="34"/>
      <c r="D12" s="34"/>
      <c r="E12" s="250" t="s">
        <v>133</v>
      </c>
      <c r="F12" s="251"/>
      <c r="G12" s="251"/>
      <c r="H12" s="251"/>
      <c r="I12" s="251"/>
      <c r="J12" s="251"/>
      <c r="K12" s="251"/>
      <c r="L12" s="251"/>
      <c r="M12" s="252"/>
      <c r="N12" s="32"/>
      <c r="O12" s="250" t="s">
        <v>342</v>
      </c>
      <c r="P12" s="251"/>
      <c r="Q12" s="252"/>
      <c r="R12" s="51"/>
    </row>
    <row r="13" spans="2:22" ht="15.75" thickBot="1">
      <c r="B13" s="2"/>
      <c r="C13" s="34"/>
      <c r="D13" s="34"/>
      <c r="E13" s="34"/>
      <c r="F13" s="34"/>
      <c r="G13" s="34"/>
      <c r="H13" s="34"/>
      <c r="I13" s="34"/>
      <c r="J13" s="168" t="s">
        <v>134</v>
      </c>
      <c r="K13" s="34"/>
      <c r="L13" s="34"/>
      <c r="M13" s="34"/>
      <c r="N13" s="32"/>
      <c r="O13" s="34"/>
      <c r="P13" s="168" t="s">
        <v>135</v>
      </c>
      <c r="Q13" s="168" t="s">
        <v>136</v>
      </c>
      <c r="R13" s="51"/>
    </row>
    <row r="14" spans="2:22" ht="45" customHeight="1" thickBot="1">
      <c r="B14" s="2"/>
      <c r="C14" s="34"/>
      <c r="D14" s="34"/>
      <c r="E14" s="119" t="s">
        <v>57</v>
      </c>
      <c r="F14" s="119" t="s">
        <v>58</v>
      </c>
      <c r="G14" s="119" t="s">
        <v>137</v>
      </c>
      <c r="H14" s="119" t="s">
        <v>138</v>
      </c>
      <c r="I14" s="119" t="s">
        <v>139</v>
      </c>
      <c r="J14" s="119" t="s">
        <v>140</v>
      </c>
      <c r="K14" s="156" t="s">
        <v>141</v>
      </c>
      <c r="L14" s="156" t="s">
        <v>142</v>
      </c>
      <c r="M14" s="121"/>
      <c r="N14" s="32"/>
      <c r="O14" s="119" t="s">
        <v>137</v>
      </c>
      <c r="P14" s="140" t="s">
        <v>143</v>
      </c>
      <c r="Q14" s="169" t="s">
        <v>144</v>
      </c>
      <c r="R14" s="51"/>
    </row>
    <row r="15" spans="2:22" ht="15" customHeight="1" thickBot="1">
      <c r="B15" s="2"/>
      <c r="C15" s="130" t="s">
        <v>66</v>
      </c>
      <c r="D15" s="131"/>
      <c r="E15" s="55">
        <v>0</v>
      </c>
      <c r="F15" s="66">
        <v>0</v>
      </c>
      <c r="G15" s="205"/>
      <c r="H15" s="205">
        <v>0</v>
      </c>
      <c r="I15" s="205">
        <v>0</v>
      </c>
      <c r="J15" s="205">
        <v>0</v>
      </c>
      <c r="K15" s="205">
        <v>0</v>
      </c>
      <c r="L15" s="205">
        <v>0</v>
      </c>
      <c r="M15" s="57"/>
      <c r="N15" s="132"/>
      <c r="O15" s="205">
        <v>135.96761166818592</v>
      </c>
      <c r="P15" s="205">
        <v>65.2403646308113</v>
      </c>
      <c r="Q15" s="206">
        <v>-1</v>
      </c>
      <c r="R15" s="51"/>
      <c r="T15" s="201"/>
    </row>
    <row r="16" spans="2:22" ht="15" customHeight="1" thickBot="1">
      <c r="B16" s="2"/>
      <c r="C16" s="170"/>
      <c r="D16" s="171" t="s">
        <v>67</v>
      </c>
      <c r="E16" s="172">
        <v>0</v>
      </c>
      <c r="F16" s="173">
        <v>0</v>
      </c>
      <c r="G16" s="207"/>
      <c r="H16" s="207">
        <v>0</v>
      </c>
      <c r="I16" s="207">
        <v>0</v>
      </c>
      <c r="J16" s="207">
        <v>0</v>
      </c>
      <c r="K16" s="207">
        <v>0</v>
      </c>
      <c r="L16" s="207">
        <v>0</v>
      </c>
      <c r="M16" s="175"/>
      <c r="N16" s="176"/>
      <c r="O16" s="207">
        <v>35.289876416065894</v>
      </c>
      <c r="P16" s="207">
        <v>13.346117404737377</v>
      </c>
      <c r="Q16" s="208">
        <v>-1</v>
      </c>
      <c r="R16" s="51"/>
      <c r="T16" s="201"/>
    </row>
    <row r="17" spans="2:20" ht="15" customHeight="1" thickBot="1">
      <c r="B17" s="2"/>
      <c r="C17" s="170"/>
      <c r="D17" s="171" t="s">
        <v>68</v>
      </c>
      <c r="E17" s="172">
        <v>0</v>
      </c>
      <c r="F17" s="173">
        <v>0</v>
      </c>
      <c r="G17" s="207"/>
      <c r="H17" s="207">
        <v>0</v>
      </c>
      <c r="I17" s="207">
        <v>0</v>
      </c>
      <c r="J17" s="207">
        <v>0</v>
      </c>
      <c r="K17" s="207">
        <v>0</v>
      </c>
      <c r="L17" s="207">
        <v>0</v>
      </c>
      <c r="M17" s="175"/>
      <c r="N17" s="176"/>
      <c r="O17" s="207">
        <v>15.23076923076923</v>
      </c>
      <c r="P17" s="207">
        <v>0.73846153846153828</v>
      </c>
      <c r="Q17" s="208">
        <v>-1</v>
      </c>
      <c r="R17" s="51"/>
      <c r="T17" s="201"/>
    </row>
    <row r="18" spans="2:20" ht="15" customHeight="1" thickBot="1">
      <c r="B18" s="2"/>
      <c r="C18" s="170"/>
      <c r="D18" s="171" t="s">
        <v>69</v>
      </c>
      <c r="E18" s="172">
        <v>0</v>
      </c>
      <c r="F18" s="173">
        <v>0</v>
      </c>
      <c r="G18" s="207"/>
      <c r="H18" s="207">
        <v>0</v>
      </c>
      <c r="I18" s="207">
        <v>0</v>
      </c>
      <c r="J18" s="207">
        <v>0</v>
      </c>
      <c r="K18" s="207">
        <v>0</v>
      </c>
      <c r="L18" s="207">
        <v>0</v>
      </c>
      <c r="M18" s="175"/>
      <c r="N18" s="176"/>
      <c r="O18" s="207">
        <v>950</v>
      </c>
      <c r="P18" s="207">
        <v>630</v>
      </c>
      <c r="Q18" s="208">
        <v>-1</v>
      </c>
      <c r="R18" s="51"/>
      <c r="T18" s="201"/>
    </row>
    <row r="19" spans="2:20" ht="15" customHeight="1" thickBot="1">
      <c r="B19" s="2"/>
      <c r="C19" s="170"/>
      <c r="D19" s="171" t="s">
        <v>70</v>
      </c>
      <c r="E19" s="172">
        <v>0</v>
      </c>
      <c r="F19" s="173">
        <v>0</v>
      </c>
      <c r="G19" s="207"/>
      <c r="H19" s="207">
        <v>0</v>
      </c>
      <c r="I19" s="207">
        <v>0</v>
      </c>
      <c r="J19" s="207">
        <v>0</v>
      </c>
      <c r="K19" s="207">
        <v>0</v>
      </c>
      <c r="L19" s="207">
        <v>0</v>
      </c>
      <c r="M19" s="175"/>
      <c r="N19" s="176"/>
      <c r="O19" s="207">
        <v>665.66666666666663</v>
      </c>
      <c r="P19" s="207">
        <v>253.33333333333334</v>
      </c>
      <c r="Q19" s="208">
        <v>-1</v>
      </c>
      <c r="R19" s="51"/>
      <c r="T19" s="201"/>
    </row>
    <row r="20" spans="2:20" ht="15" customHeight="1" thickBot="1">
      <c r="B20" s="2"/>
      <c r="C20" s="170"/>
      <c r="D20" s="171" t="s">
        <v>71</v>
      </c>
      <c r="E20" s="172">
        <v>0</v>
      </c>
      <c r="F20" s="173">
        <v>0</v>
      </c>
      <c r="G20" s="207"/>
      <c r="H20" s="207">
        <v>0</v>
      </c>
      <c r="I20" s="207">
        <v>0</v>
      </c>
      <c r="J20" s="207">
        <v>0</v>
      </c>
      <c r="K20" s="207">
        <v>0</v>
      </c>
      <c r="L20" s="207">
        <v>0</v>
      </c>
      <c r="M20" s="175"/>
      <c r="N20" s="176"/>
      <c r="O20" s="207">
        <v>706.969696969697</v>
      </c>
      <c r="P20" s="207">
        <v>304.84848484848487</v>
      </c>
      <c r="Q20" s="208">
        <v>-1</v>
      </c>
      <c r="R20" s="51"/>
      <c r="T20" s="201"/>
    </row>
    <row r="21" spans="2:20" ht="15" customHeight="1" thickBot="1">
      <c r="B21" s="2"/>
      <c r="C21" s="170"/>
      <c r="D21" s="171" t="s">
        <v>72</v>
      </c>
      <c r="E21" s="172">
        <v>0</v>
      </c>
      <c r="F21" s="173">
        <v>0</v>
      </c>
      <c r="G21" s="207"/>
      <c r="H21" s="207">
        <v>0</v>
      </c>
      <c r="I21" s="207">
        <v>0</v>
      </c>
      <c r="J21" s="207">
        <v>0</v>
      </c>
      <c r="K21" s="207">
        <v>0</v>
      </c>
      <c r="L21" s="207">
        <v>0</v>
      </c>
      <c r="M21" s="175"/>
      <c r="N21" s="176"/>
      <c r="O21" s="207">
        <v>1447.75</v>
      </c>
      <c r="P21" s="207">
        <v>826.66666666666663</v>
      </c>
      <c r="Q21" s="208">
        <v>-1</v>
      </c>
      <c r="R21" s="51"/>
      <c r="T21" s="201"/>
    </row>
    <row r="22" spans="2:20" ht="15" customHeight="1" thickBot="1">
      <c r="B22" s="2"/>
      <c r="C22" s="130" t="s">
        <v>73</v>
      </c>
      <c r="D22" s="131"/>
      <c r="E22" s="55">
        <v>0</v>
      </c>
      <c r="F22" s="66">
        <v>0</v>
      </c>
      <c r="G22" s="205"/>
      <c r="H22" s="205">
        <v>0</v>
      </c>
      <c r="I22" s="205">
        <v>0</v>
      </c>
      <c r="J22" s="205">
        <v>0</v>
      </c>
      <c r="K22" s="205">
        <v>0</v>
      </c>
      <c r="L22" s="205">
        <v>0</v>
      </c>
      <c r="M22" s="57"/>
      <c r="N22" s="132"/>
      <c r="O22" s="205">
        <v>164.53156862745098</v>
      </c>
      <c r="P22" s="205">
        <v>120.60686274509804</v>
      </c>
      <c r="Q22" s="206">
        <v>-1</v>
      </c>
      <c r="R22" s="51"/>
      <c r="T22" s="201"/>
    </row>
    <row r="23" spans="2:20" ht="15" customHeight="1" thickBot="1">
      <c r="B23" s="2"/>
      <c r="C23" s="170"/>
      <c r="D23" s="171" t="s">
        <v>276</v>
      </c>
      <c r="E23" s="172">
        <v>0</v>
      </c>
      <c r="F23" s="173">
        <v>0</v>
      </c>
      <c r="G23" s="207"/>
      <c r="H23" s="207">
        <v>0</v>
      </c>
      <c r="I23" s="207">
        <v>0</v>
      </c>
      <c r="J23" s="207">
        <v>0</v>
      </c>
      <c r="K23" s="207">
        <v>0</v>
      </c>
      <c r="L23" s="207">
        <v>0</v>
      </c>
      <c r="M23" s="175"/>
      <c r="N23" s="176"/>
      <c r="O23" s="207">
        <v>15</v>
      </c>
      <c r="P23" s="207">
        <v>4.5</v>
      </c>
      <c r="Q23" s="208">
        <v>-1</v>
      </c>
      <c r="R23" s="51"/>
      <c r="T23" s="201"/>
    </row>
    <row r="24" spans="2:20" ht="15" customHeight="1" thickBot="1">
      <c r="B24" s="2"/>
      <c r="C24" s="170"/>
      <c r="D24" s="171" t="s">
        <v>74</v>
      </c>
      <c r="E24" s="172">
        <v>0</v>
      </c>
      <c r="F24" s="173">
        <v>0</v>
      </c>
      <c r="G24" s="207"/>
      <c r="H24" s="207">
        <v>0</v>
      </c>
      <c r="I24" s="207">
        <v>0</v>
      </c>
      <c r="J24" s="207">
        <v>0</v>
      </c>
      <c r="K24" s="207">
        <v>0</v>
      </c>
      <c r="L24" s="207">
        <v>0</v>
      </c>
      <c r="M24" s="175"/>
      <c r="N24" s="176"/>
      <c r="O24" s="207">
        <v>750</v>
      </c>
      <c r="P24" s="207">
        <v>500</v>
      </c>
      <c r="Q24" s="208">
        <v>-1</v>
      </c>
      <c r="R24" s="51"/>
      <c r="T24" s="201"/>
    </row>
    <row r="25" spans="2:20" ht="15" customHeight="1" thickBot="1">
      <c r="B25" s="2"/>
      <c r="C25" s="170"/>
      <c r="D25" s="171" t="s">
        <v>277</v>
      </c>
      <c r="E25" s="172">
        <v>0</v>
      </c>
      <c r="F25" s="173">
        <v>0</v>
      </c>
      <c r="G25" s="207"/>
      <c r="H25" s="207">
        <v>0</v>
      </c>
      <c r="I25" s="207">
        <v>0</v>
      </c>
      <c r="J25" s="207">
        <v>0</v>
      </c>
      <c r="K25" s="207">
        <v>0</v>
      </c>
      <c r="L25" s="207">
        <v>0</v>
      </c>
      <c r="M25" s="175"/>
      <c r="N25" s="176"/>
      <c r="O25" s="207">
        <v>1818.95</v>
      </c>
      <c r="P25" s="207">
        <v>363.79</v>
      </c>
      <c r="Q25" s="208">
        <v>-1</v>
      </c>
      <c r="R25" s="51"/>
      <c r="T25" s="201"/>
    </row>
    <row r="26" spans="2:20" ht="15" customHeight="1" thickBot="1">
      <c r="B26" s="2"/>
      <c r="C26" s="170"/>
      <c r="D26" s="171" t="s">
        <v>75</v>
      </c>
      <c r="E26" s="172">
        <v>0</v>
      </c>
      <c r="F26" s="173">
        <v>0</v>
      </c>
      <c r="G26" s="207"/>
      <c r="H26" s="207">
        <v>0</v>
      </c>
      <c r="I26" s="207">
        <v>0</v>
      </c>
      <c r="J26" s="207">
        <v>0</v>
      </c>
      <c r="K26" s="207">
        <v>0</v>
      </c>
      <c r="L26" s="207">
        <v>0</v>
      </c>
      <c r="M26" s="175"/>
      <c r="N26" s="176"/>
      <c r="O26" s="207">
        <v>58.611111111111114</v>
      </c>
      <c r="P26" s="207">
        <v>53.611111111111114</v>
      </c>
      <c r="Q26" s="208">
        <v>-1</v>
      </c>
      <c r="R26" s="51"/>
      <c r="T26" s="201"/>
    </row>
    <row r="27" spans="2:20" ht="15" customHeight="1" thickBot="1">
      <c r="B27" s="2"/>
      <c r="C27" s="170"/>
      <c r="D27" s="171" t="s">
        <v>77</v>
      </c>
      <c r="E27" s="172">
        <v>0</v>
      </c>
      <c r="F27" s="173">
        <v>0</v>
      </c>
      <c r="G27" s="207"/>
      <c r="H27" s="207">
        <v>0</v>
      </c>
      <c r="I27" s="207">
        <v>0</v>
      </c>
      <c r="J27" s="207">
        <v>0</v>
      </c>
      <c r="K27" s="207">
        <v>0</v>
      </c>
      <c r="L27" s="207">
        <v>0</v>
      </c>
      <c r="M27" s="175"/>
      <c r="N27" s="176"/>
      <c r="O27" s="207">
        <v>1406.0800000000002</v>
      </c>
      <c r="P27" s="207">
        <v>1406.0800000000002</v>
      </c>
      <c r="Q27" s="208">
        <v>-1</v>
      </c>
      <c r="R27" s="51"/>
      <c r="T27" s="201"/>
    </row>
    <row r="28" spans="2:20" ht="15" customHeight="1" thickBot="1">
      <c r="B28" s="2"/>
      <c r="C28" s="130" t="s">
        <v>78</v>
      </c>
      <c r="D28" s="131"/>
      <c r="E28" s="55">
        <v>0</v>
      </c>
      <c r="F28" s="66">
        <v>0</v>
      </c>
      <c r="G28" s="205"/>
      <c r="H28" s="205">
        <v>0</v>
      </c>
      <c r="I28" s="205">
        <v>0</v>
      </c>
      <c r="J28" s="205">
        <v>0</v>
      </c>
      <c r="K28" s="205">
        <v>0</v>
      </c>
      <c r="L28" s="205">
        <v>0</v>
      </c>
      <c r="M28" s="57"/>
      <c r="N28" s="132"/>
      <c r="O28" s="205">
        <v>101.30193103448276</v>
      </c>
      <c r="P28" s="205">
        <v>34.215586206896553</v>
      </c>
      <c r="Q28" s="206">
        <v>-1</v>
      </c>
      <c r="R28" s="51"/>
      <c r="T28" s="201"/>
    </row>
    <row r="29" spans="2:20" ht="15" customHeight="1" thickBot="1">
      <c r="B29" s="2"/>
      <c r="C29" s="170"/>
      <c r="D29" s="171" t="s">
        <v>79</v>
      </c>
      <c r="E29" s="172">
        <v>0</v>
      </c>
      <c r="F29" s="173">
        <v>0</v>
      </c>
      <c r="G29" s="207"/>
      <c r="H29" s="207">
        <v>0</v>
      </c>
      <c r="I29" s="207">
        <v>0</v>
      </c>
      <c r="J29" s="207">
        <v>0</v>
      </c>
      <c r="K29" s="207">
        <v>0</v>
      </c>
      <c r="L29" s="207">
        <v>0</v>
      </c>
      <c r="M29" s="175"/>
      <c r="N29" s="176"/>
      <c r="O29" s="207">
        <v>101.30193103448276</v>
      </c>
      <c r="P29" s="207">
        <v>34.215586206896553</v>
      </c>
      <c r="Q29" s="208">
        <v>-1</v>
      </c>
      <c r="R29" s="51"/>
      <c r="T29" s="201"/>
    </row>
    <row r="30" spans="2:20" ht="15" customHeight="1" thickBot="1">
      <c r="B30" s="2"/>
      <c r="C30" s="130" t="s">
        <v>80</v>
      </c>
      <c r="D30" s="131"/>
      <c r="E30" s="55">
        <v>129</v>
      </c>
      <c r="F30" s="66">
        <v>1.7671232876712328</v>
      </c>
      <c r="G30" s="205">
        <v>123.18837209302325</v>
      </c>
      <c r="H30" s="205">
        <v>7.98</v>
      </c>
      <c r="I30" s="205">
        <v>850</v>
      </c>
      <c r="J30" s="205">
        <v>74.47224806201551</v>
      </c>
      <c r="K30" s="205">
        <v>2.39</v>
      </c>
      <c r="L30" s="205">
        <v>850</v>
      </c>
      <c r="M30" s="57"/>
      <c r="N30" s="132"/>
      <c r="O30" s="205">
        <v>155.92057203217684</v>
      </c>
      <c r="P30" s="205">
        <v>79.457567238156898</v>
      </c>
      <c r="Q30" s="206">
        <v>-6.2742896840579099E-2</v>
      </c>
      <c r="R30" s="51"/>
      <c r="T30" s="201"/>
    </row>
    <row r="31" spans="2:20" ht="15" customHeight="1" thickBot="1">
      <c r="B31" s="2"/>
      <c r="C31" s="170"/>
      <c r="D31" s="171" t="s">
        <v>81</v>
      </c>
      <c r="E31" s="172">
        <v>0</v>
      </c>
      <c r="F31" s="173">
        <v>0</v>
      </c>
      <c r="G31" s="207"/>
      <c r="H31" s="207">
        <v>0</v>
      </c>
      <c r="I31" s="207">
        <v>0</v>
      </c>
      <c r="J31" s="207">
        <v>0</v>
      </c>
      <c r="K31" s="207">
        <v>0</v>
      </c>
      <c r="L31" s="207">
        <v>0</v>
      </c>
      <c r="M31" s="175"/>
      <c r="N31" s="176"/>
      <c r="O31" s="207">
        <v>23.521426684279838</v>
      </c>
      <c r="P31" s="207">
        <v>7.3176926464112997</v>
      </c>
      <c r="Q31" s="208">
        <v>-1</v>
      </c>
      <c r="R31" s="51"/>
      <c r="T31" s="201"/>
    </row>
    <row r="32" spans="2:20" ht="15" customHeight="1" thickBot="1">
      <c r="B32" s="2"/>
      <c r="C32" s="170"/>
      <c r="D32" s="171" t="s">
        <v>82</v>
      </c>
      <c r="E32" s="172">
        <v>0</v>
      </c>
      <c r="F32" s="173">
        <v>0</v>
      </c>
      <c r="G32" s="207"/>
      <c r="H32" s="207">
        <v>0</v>
      </c>
      <c r="I32" s="207">
        <v>0</v>
      </c>
      <c r="J32" s="207">
        <v>0</v>
      </c>
      <c r="K32" s="207">
        <v>0</v>
      </c>
      <c r="L32" s="207">
        <v>0</v>
      </c>
      <c r="M32" s="175"/>
      <c r="N32" s="176"/>
      <c r="O32" s="207">
        <v>461.25569037656902</v>
      </c>
      <c r="P32" s="207">
        <v>221.06330543933058</v>
      </c>
      <c r="Q32" s="208">
        <v>-1</v>
      </c>
      <c r="R32" s="51"/>
      <c r="T32" s="201"/>
    </row>
    <row r="33" spans="2:20" ht="15" customHeight="1" thickBot="1">
      <c r="B33" s="2"/>
      <c r="C33" s="170"/>
      <c r="D33" s="171" t="s">
        <v>83</v>
      </c>
      <c r="E33" s="172">
        <v>0</v>
      </c>
      <c r="F33" s="173">
        <v>0</v>
      </c>
      <c r="G33" s="207"/>
      <c r="H33" s="207">
        <v>0</v>
      </c>
      <c r="I33" s="207">
        <v>0</v>
      </c>
      <c r="J33" s="207">
        <v>0</v>
      </c>
      <c r="K33" s="207">
        <v>0</v>
      </c>
      <c r="L33" s="207">
        <v>0</v>
      </c>
      <c r="M33" s="175"/>
      <c r="N33" s="176"/>
      <c r="O33" s="207">
        <v>136.96225225225223</v>
      </c>
      <c r="P33" s="207">
        <v>66.046981981981972</v>
      </c>
      <c r="Q33" s="208">
        <v>-1</v>
      </c>
      <c r="R33" s="51"/>
      <c r="T33" s="201"/>
    </row>
    <row r="34" spans="2:20" ht="15" customHeight="1" thickBot="1">
      <c r="B34" s="2"/>
      <c r="C34" s="170"/>
      <c r="D34" s="171" t="s">
        <v>84</v>
      </c>
      <c r="E34" s="172">
        <v>118</v>
      </c>
      <c r="F34" s="173">
        <v>1.6164383561643836</v>
      </c>
      <c r="G34" s="207">
        <v>102.04491525423728</v>
      </c>
      <c r="H34" s="207">
        <v>7.98</v>
      </c>
      <c r="I34" s="207">
        <v>850</v>
      </c>
      <c r="J34" s="207">
        <v>59.973898305084745</v>
      </c>
      <c r="K34" s="207">
        <v>2.39</v>
      </c>
      <c r="L34" s="207">
        <v>850</v>
      </c>
      <c r="M34" s="175"/>
      <c r="N34" s="176"/>
      <c r="O34" s="207">
        <v>140.20316265522001</v>
      </c>
      <c r="P34" s="207">
        <v>81.574715621645922</v>
      </c>
      <c r="Q34" s="208">
        <v>-0.26479778656862984</v>
      </c>
      <c r="R34" s="51"/>
      <c r="T34" s="201"/>
    </row>
    <row r="35" spans="2:20" ht="15" customHeight="1" thickBot="1">
      <c r="B35" s="2"/>
      <c r="C35" s="170"/>
      <c r="D35" s="171" t="s">
        <v>85</v>
      </c>
      <c r="E35" s="172">
        <v>0</v>
      </c>
      <c r="F35" s="173">
        <v>0</v>
      </c>
      <c r="G35" s="207"/>
      <c r="H35" s="207">
        <v>0</v>
      </c>
      <c r="I35" s="207">
        <v>0</v>
      </c>
      <c r="J35" s="207">
        <v>0</v>
      </c>
      <c r="K35" s="207">
        <v>0</v>
      </c>
      <c r="L35" s="207">
        <v>0</v>
      </c>
      <c r="M35" s="175"/>
      <c r="N35" s="176"/>
      <c r="O35" s="207">
        <v>530.32196007259529</v>
      </c>
      <c r="P35" s="207">
        <v>258.36938294010889</v>
      </c>
      <c r="Q35" s="208">
        <v>-1</v>
      </c>
      <c r="R35" s="51"/>
      <c r="T35" s="201"/>
    </row>
    <row r="36" spans="2:20" ht="15" customHeight="1" thickBot="1">
      <c r="B36" s="2"/>
      <c r="C36" s="170"/>
      <c r="D36" s="171" t="s">
        <v>86</v>
      </c>
      <c r="E36" s="172">
        <v>11</v>
      </c>
      <c r="F36" s="173">
        <v>0.15068493150684931</v>
      </c>
      <c r="G36" s="207">
        <v>350</v>
      </c>
      <c r="H36" s="207">
        <v>350</v>
      </c>
      <c r="I36" s="207">
        <v>350</v>
      </c>
      <c r="J36" s="207">
        <v>230</v>
      </c>
      <c r="K36" s="207">
        <v>230</v>
      </c>
      <c r="L36" s="207">
        <v>230</v>
      </c>
      <c r="M36" s="175"/>
      <c r="N36" s="176"/>
      <c r="O36" s="207">
        <v>483.62296529968449</v>
      </c>
      <c r="P36" s="207">
        <v>214.0994006309148</v>
      </c>
      <c r="Q36" s="208">
        <v>7.4267373005248993E-2</v>
      </c>
      <c r="R36" s="51"/>
      <c r="T36" s="201"/>
    </row>
    <row r="37" spans="2:20" ht="15" customHeight="1" thickBot="1">
      <c r="B37" s="2"/>
      <c r="C37" s="170"/>
      <c r="D37" s="171" t="s">
        <v>87</v>
      </c>
      <c r="E37" s="172">
        <v>0</v>
      </c>
      <c r="F37" s="173">
        <v>0</v>
      </c>
      <c r="G37" s="207"/>
      <c r="H37" s="207">
        <v>0</v>
      </c>
      <c r="I37" s="207">
        <v>0</v>
      </c>
      <c r="J37" s="207">
        <v>0</v>
      </c>
      <c r="K37" s="207">
        <v>0</v>
      </c>
      <c r="L37" s="207">
        <v>0</v>
      </c>
      <c r="M37" s="175"/>
      <c r="N37" s="176"/>
      <c r="O37" s="207">
        <v>62.187893120393127</v>
      </c>
      <c r="P37" s="207">
        <v>18.871431203931198</v>
      </c>
      <c r="Q37" s="208">
        <v>-1</v>
      </c>
      <c r="R37" s="51"/>
      <c r="T37" s="201"/>
    </row>
    <row r="38" spans="2:20" ht="15" customHeight="1" thickBot="1">
      <c r="B38" s="2"/>
      <c r="C38" s="130" t="s">
        <v>88</v>
      </c>
      <c r="D38" s="131"/>
      <c r="E38" s="55">
        <v>33</v>
      </c>
      <c r="F38" s="66">
        <v>0.45205479452054792</v>
      </c>
      <c r="G38" s="205">
        <v>210.08212121212122</v>
      </c>
      <c r="H38" s="205">
        <v>19.61</v>
      </c>
      <c r="I38" s="205">
        <v>1062.7</v>
      </c>
      <c r="J38" s="205">
        <v>75.533636363636361</v>
      </c>
      <c r="K38" s="205">
        <v>2.5099999999999998</v>
      </c>
      <c r="L38" s="205">
        <v>303.63</v>
      </c>
      <c r="M38" s="57"/>
      <c r="N38" s="132"/>
      <c r="O38" s="205">
        <v>154.60824636089004</v>
      </c>
      <c r="P38" s="205">
        <v>58.382425157923635</v>
      </c>
      <c r="Q38" s="206">
        <v>0.29377346597604781</v>
      </c>
      <c r="R38" s="51"/>
      <c r="T38" s="201"/>
    </row>
    <row r="39" spans="2:20" ht="15" customHeight="1" thickBot="1">
      <c r="B39" s="2"/>
      <c r="C39" s="170"/>
      <c r="D39" s="171" t="s">
        <v>89</v>
      </c>
      <c r="E39" s="172">
        <v>0</v>
      </c>
      <c r="F39" s="173">
        <v>0</v>
      </c>
      <c r="G39" s="207"/>
      <c r="H39" s="207">
        <v>0</v>
      </c>
      <c r="I39" s="207">
        <v>0</v>
      </c>
      <c r="J39" s="207">
        <v>0</v>
      </c>
      <c r="K39" s="207">
        <v>0</v>
      </c>
      <c r="L39" s="207">
        <v>0</v>
      </c>
      <c r="M39" s="175"/>
      <c r="N39" s="176"/>
      <c r="O39" s="207">
        <v>166.19380281690141</v>
      </c>
      <c r="P39" s="207">
        <v>131.8705915492958</v>
      </c>
      <c r="Q39" s="208">
        <v>-1</v>
      </c>
      <c r="R39" s="51"/>
      <c r="T39" s="201"/>
    </row>
    <row r="40" spans="2:20" ht="15" customHeight="1" thickBot="1">
      <c r="B40" s="2"/>
      <c r="C40" s="170"/>
      <c r="D40" s="171" t="s">
        <v>279</v>
      </c>
      <c r="E40" s="172">
        <v>0</v>
      </c>
      <c r="F40" s="173">
        <v>0</v>
      </c>
      <c r="G40" s="207"/>
      <c r="H40" s="207">
        <v>0</v>
      </c>
      <c r="I40" s="207">
        <v>0</v>
      </c>
      <c r="J40" s="207">
        <v>0</v>
      </c>
      <c r="K40" s="207">
        <v>0</v>
      </c>
      <c r="L40" s="207">
        <v>0</v>
      </c>
      <c r="M40" s="175"/>
      <c r="N40" s="176"/>
      <c r="O40" s="207">
        <v>77.388202764976967</v>
      </c>
      <c r="P40" s="207">
        <v>68.724976958525346</v>
      </c>
      <c r="Q40" s="208">
        <v>-1</v>
      </c>
      <c r="R40" s="51"/>
      <c r="T40" s="201"/>
    </row>
    <row r="41" spans="2:20" ht="15" customHeight="1" thickBot="1">
      <c r="B41" s="2"/>
      <c r="C41" s="170"/>
      <c r="D41" s="171" t="s">
        <v>280</v>
      </c>
      <c r="E41" s="172">
        <v>0</v>
      </c>
      <c r="F41" s="173">
        <v>0</v>
      </c>
      <c r="G41" s="207"/>
      <c r="H41" s="207">
        <v>0</v>
      </c>
      <c r="I41" s="207">
        <v>0</v>
      </c>
      <c r="J41" s="207">
        <v>0</v>
      </c>
      <c r="K41" s="207">
        <v>0</v>
      </c>
      <c r="L41" s="207">
        <v>0</v>
      </c>
      <c r="M41" s="175"/>
      <c r="N41" s="176"/>
      <c r="O41" s="207">
        <v>32.5</v>
      </c>
      <c r="P41" s="207">
        <v>6.5</v>
      </c>
      <c r="Q41" s="208">
        <v>-1</v>
      </c>
      <c r="R41" s="51"/>
      <c r="T41" s="201"/>
    </row>
    <row r="42" spans="2:20" ht="15" customHeight="1" thickBot="1">
      <c r="B42" s="2"/>
      <c r="C42" s="170"/>
      <c r="D42" s="171" t="s">
        <v>282</v>
      </c>
      <c r="E42" s="172">
        <v>0</v>
      </c>
      <c r="F42" s="173">
        <v>0</v>
      </c>
      <c r="G42" s="207"/>
      <c r="H42" s="207">
        <v>0</v>
      </c>
      <c r="I42" s="207">
        <v>0</v>
      </c>
      <c r="J42" s="207">
        <v>0</v>
      </c>
      <c r="K42" s="207">
        <v>0</v>
      </c>
      <c r="L42" s="207">
        <v>0</v>
      </c>
      <c r="M42" s="175"/>
      <c r="N42" s="176"/>
      <c r="O42" s="207">
        <v>58.96</v>
      </c>
      <c r="P42" s="207">
        <v>11.79</v>
      </c>
      <c r="Q42" s="208">
        <v>-1</v>
      </c>
      <c r="R42" s="51"/>
      <c r="T42" s="201"/>
    </row>
    <row r="43" spans="2:20" ht="15" customHeight="1" thickBot="1">
      <c r="B43" s="2"/>
      <c r="C43" s="170"/>
      <c r="D43" s="171" t="s">
        <v>90</v>
      </c>
      <c r="E43" s="172">
        <v>2</v>
      </c>
      <c r="F43" s="173">
        <v>2.7397260273972601E-2</v>
      </c>
      <c r="G43" s="207">
        <v>30</v>
      </c>
      <c r="H43" s="207">
        <v>20</v>
      </c>
      <c r="I43" s="207">
        <v>40</v>
      </c>
      <c r="J43" s="207">
        <v>30</v>
      </c>
      <c r="K43" s="207">
        <v>20</v>
      </c>
      <c r="L43" s="207">
        <v>40</v>
      </c>
      <c r="M43" s="175"/>
      <c r="N43" s="176"/>
      <c r="O43" s="207">
        <v>189.75361389961404</v>
      </c>
      <c r="P43" s="207">
        <v>55.364401544401595</v>
      </c>
      <c r="Q43" s="208">
        <v>-0.45813555281010909</v>
      </c>
      <c r="R43" s="51"/>
      <c r="T43" s="201"/>
    </row>
    <row r="44" spans="2:20" ht="15" customHeight="1" thickBot="1">
      <c r="B44" s="2"/>
      <c r="C44" s="170"/>
      <c r="D44" s="171" t="s">
        <v>91</v>
      </c>
      <c r="E44" s="172">
        <v>3</v>
      </c>
      <c r="F44" s="173">
        <v>4.1095890410958902E-2</v>
      </c>
      <c r="G44" s="207">
        <v>24</v>
      </c>
      <c r="H44" s="207">
        <v>24</v>
      </c>
      <c r="I44" s="207">
        <v>24</v>
      </c>
      <c r="J44" s="207">
        <v>24</v>
      </c>
      <c r="K44" s="207">
        <v>24</v>
      </c>
      <c r="L44" s="207">
        <v>24</v>
      </c>
      <c r="M44" s="175"/>
      <c r="N44" s="176"/>
      <c r="O44" s="207">
        <v>23.772511848341232</v>
      </c>
      <c r="P44" s="207">
        <v>23.772511848341232</v>
      </c>
      <c r="Q44" s="208">
        <v>9.5698811652118465E-3</v>
      </c>
      <c r="R44" s="51"/>
      <c r="T44" s="201"/>
    </row>
    <row r="45" spans="2:20" ht="15" customHeight="1" thickBot="1">
      <c r="B45" s="2"/>
      <c r="C45" s="170"/>
      <c r="D45" s="171" t="s">
        <v>92</v>
      </c>
      <c r="E45" s="172">
        <v>1</v>
      </c>
      <c r="F45" s="173">
        <v>1.3698630136986301E-2</v>
      </c>
      <c r="G45" s="207">
        <v>85.84</v>
      </c>
      <c r="H45" s="207">
        <v>85.84</v>
      </c>
      <c r="I45" s="207">
        <v>85.84</v>
      </c>
      <c r="J45" s="207">
        <v>30.04</v>
      </c>
      <c r="K45" s="207">
        <v>30.04</v>
      </c>
      <c r="L45" s="207">
        <v>30.04</v>
      </c>
      <c r="M45" s="175"/>
      <c r="N45" s="176"/>
      <c r="O45" s="207">
        <v>100.86114649681525</v>
      </c>
      <c r="P45" s="207">
        <v>35.723216560509549</v>
      </c>
      <c r="Q45" s="208">
        <v>-0.15908989116316563</v>
      </c>
      <c r="R45" s="51"/>
      <c r="T45" s="201"/>
    </row>
    <row r="46" spans="2:20" ht="15" customHeight="1" thickBot="1">
      <c r="B46" s="2"/>
      <c r="C46" s="170"/>
      <c r="D46" s="171" t="s">
        <v>283</v>
      </c>
      <c r="E46" s="172">
        <v>0</v>
      </c>
      <c r="F46" s="173">
        <v>0</v>
      </c>
      <c r="G46" s="207"/>
      <c r="H46" s="207">
        <v>0</v>
      </c>
      <c r="I46" s="207">
        <v>0</v>
      </c>
      <c r="J46" s="207">
        <v>0</v>
      </c>
      <c r="K46" s="207">
        <v>0</v>
      </c>
      <c r="L46" s="207">
        <v>0</v>
      </c>
      <c r="M46" s="175"/>
      <c r="N46" s="176"/>
      <c r="O46" s="207">
        <v>2.76</v>
      </c>
      <c r="P46" s="207">
        <v>1.93</v>
      </c>
      <c r="Q46" s="208">
        <v>-1</v>
      </c>
      <c r="R46" s="51"/>
      <c r="T46" s="201"/>
    </row>
    <row r="47" spans="2:20" ht="15" customHeight="1" thickBot="1">
      <c r="B47" s="2"/>
      <c r="C47" s="170"/>
      <c r="D47" s="171" t="s">
        <v>93</v>
      </c>
      <c r="E47" s="172">
        <v>0</v>
      </c>
      <c r="F47" s="173">
        <v>0</v>
      </c>
      <c r="G47" s="207"/>
      <c r="H47" s="207">
        <v>0</v>
      </c>
      <c r="I47" s="207">
        <v>0</v>
      </c>
      <c r="J47" s="207">
        <v>0</v>
      </c>
      <c r="K47" s="207">
        <v>0</v>
      </c>
      <c r="L47" s="207">
        <v>0</v>
      </c>
      <c r="M47" s="175"/>
      <c r="N47" s="176"/>
      <c r="O47" s="207">
        <v>1577.6213496932514</v>
      </c>
      <c r="P47" s="207">
        <v>315.77582822085895</v>
      </c>
      <c r="Q47" s="208">
        <v>-1</v>
      </c>
      <c r="R47" s="51"/>
      <c r="T47" s="201"/>
    </row>
    <row r="48" spans="2:20" ht="15" customHeight="1" thickBot="1">
      <c r="B48" s="2"/>
      <c r="C48" s="170"/>
      <c r="D48" s="171" t="s">
        <v>94</v>
      </c>
      <c r="E48" s="172">
        <v>23</v>
      </c>
      <c r="F48" s="173">
        <v>0.31506849315068491</v>
      </c>
      <c r="G48" s="207">
        <v>288.54043478260871</v>
      </c>
      <c r="H48" s="207">
        <v>20</v>
      </c>
      <c r="I48" s="207">
        <v>1062.7</v>
      </c>
      <c r="J48" s="207">
        <v>97.918695652173923</v>
      </c>
      <c r="K48" s="207">
        <v>2.5099999999999998</v>
      </c>
      <c r="L48" s="207">
        <v>303.63</v>
      </c>
      <c r="M48" s="175"/>
      <c r="N48" s="176"/>
      <c r="O48" s="207">
        <v>116.04196998123815</v>
      </c>
      <c r="P48" s="207">
        <v>42.879474671669705</v>
      </c>
      <c r="Q48" s="208">
        <v>1.2835783999347008</v>
      </c>
      <c r="R48" s="51"/>
      <c r="T48" s="201"/>
    </row>
    <row r="49" spans="2:20" ht="15" customHeight="1" thickBot="1">
      <c r="B49" s="2"/>
      <c r="C49" s="170"/>
      <c r="D49" s="171" t="s">
        <v>95</v>
      </c>
      <c r="E49" s="172">
        <v>0</v>
      </c>
      <c r="F49" s="173">
        <v>0</v>
      </c>
      <c r="G49" s="207"/>
      <c r="H49" s="207">
        <v>0</v>
      </c>
      <c r="I49" s="207">
        <v>0</v>
      </c>
      <c r="J49" s="207">
        <v>0</v>
      </c>
      <c r="K49" s="207">
        <v>0</v>
      </c>
      <c r="L49" s="207">
        <v>0</v>
      </c>
      <c r="M49" s="175"/>
      <c r="N49" s="176"/>
      <c r="O49" s="207">
        <v>223.82252631578947</v>
      </c>
      <c r="P49" s="207">
        <v>131.5102105263158</v>
      </c>
      <c r="Q49" s="208">
        <v>-1</v>
      </c>
      <c r="R49" s="51"/>
      <c r="T49" s="201"/>
    </row>
    <row r="50" spans="2:20" ht="15" customHeight="1" thickBot="1">
      <c r="B50" s="2"/>
      <c r="C50" s="170"/>
      <c r="D50" s="171" t="s">
        <v>194</v>
      </c>
      <c r="E50" s="172">
        <v>4</v>
      </c>
      <c r="F50" s="173">
        <v>5.4794520547945202E-2</v>
      </c>
      <c r="G50" s="207">
        <v>19.61</v>
      </c>
      <c r="H50" s="207">
        <v>19.61</v>
      </c>
      <c r="I50" s="207">
        <v>19.61</v>
      </c>
      <c r="J50" s="207">
        <v>19.61</v>
      </c>
      <c r="K50" s="207">
        <v>19.61</v>
      </c>
      <c r="L50" s="207">
        <v>19.61</v>
      </c>
      <c r="M50" s="175"/>
      <c r="N50" s="176"/>
      <c r="O50" s="207">
        <v>18.690203389830501</v>
      </c>
      <c r="P50" s="207">
        <v>18.690203389830501</v>
      </c>
      <c r="Q50" s="208">
        <v>4.9212956522669549E-2</v>
      </c>
      <c r="R50" s="51"/>
      <c r="T50" s="201"/>
    </row>
    <row r="51" spans="2:20" ht="15" customHeight="1" thickBot="1">
      <c r="B51" s="2"/>
      <c r="C51" s="170"/>
      <c r="D51" s="171" t="s">
        <v>284</v>
      </c>
      <c r="E51" s="172">
        <v>0</v>
      </c>
      <c r="F51" s="173">
        <v>0</v>
      </c>
      <c r="G51" s="207"/>
      <c r="H51" s="207">
        <v>0</v>
      </c>
      <c r="I51" s="207">
        <v>0</v>
      </c>
      <c r="J51" s="207">
        <v>0</v>
      </c>
      <c r="K51" s="207">
        <v>0</v>
      </c>
      <c r="L51" s="207">
        <v>0</v>
      </c>
      <c r="M51" s="175"/>
      <c r="N51" s="176"/>
      <c r="O51" s="207">
        <v>777.43</v>
      </c>
      <c r="P51" s="207">
        <v>472.19</v>
      </c>
      <c r="Q51" s="208">
        <v>-1</v>
      </c>
      <c r="R51" s="51"/>
      <c r="T51" s="201"/>
    </row>
    <row r="52" spans="2:20" ht="15" customHeight="1" thickBot="1">
      <c r="B52" s="2"/>
      <c r="C52" s="170"/>
      <c r="D52" s="171" t="s">
        <v>96</v>
      </c>
      <c r="E52" s="172">
        <v>0</v>
      </c>
      <c r="F52" s="173">
        <v>0</v>
      </c>
      <c r="G52" s="207"/>
      <c r="H52" s="207">
        <v>0</v>
      </c>
      <c r="I52" s="207">
        <v>0</v>
      </c>
      <c r="J52" s="207">
        <v>0</v>
      </c>
      <c r="K52" s="207">
        <v>0</v>
      </c>
      <c r="L52" s="207">
        <v>0</v>
      </c>
      <c r="M52" s="175"/>
      <c r="N52" s="176"/>
      <c r="O52" s="207">
        <v>317.64765957446809</v>
      </c>
      <c r="P52" s="207">
        <v>317.64765957446809</v>
      </c>
      <c r="Q52" s="208">
        <v>-1</v>
      </c>
      <c r="R52" s="51"/>
      <c r="T52" s="201"/>
    </row>
    <row r="53" spans="2:20" ht="15" customHeight="1" thickBot="1">
      <c r="B53" s="2"/>
      <c r="C53" s="170"/>
      <c r="D53" s="171" t="s">
        <v>285</v>
      </c>
      <c r="E53" s="172">
        <v>0</v>
      </c>
      <c r="F53" s="173">
        <v>0</v>
      </c>
      <c r="G53" s="207"/>
      <c r="H53" s="207">
        <v>0</v>
      </c>
      <c r="I53" s="207">
        <v>0</v>
      </c>
      <c r="J53" s="207">
        <v>0</v>
      </c>
      <c r="K53" s="207">
        <v>0</v>
      </c>
      <c r="L53" s="207">
        <v>0</v>
      </c>
      <c r="M53" s="175"/>
      <c r="N53" s="176"/>
      <c r="O53" s="207">
        <v>150</v>
      </c>
      <c r="P53" s="207">
        <v>52.5</v>
      </c>
      <c r="Q53" s="208">
        <v>-1</v>
      </c>
      <c r="R53" s="51"/>
      <c r="T53" s="201"/>
    </row>
    <row r="54" spans="2:20" ht="15" customHeight="1" thickBot="1">
      <c r="B54" s="2"/>
      <c r="C54" s="170"/>
      <c r="D54" s="171" t="s">
        <v>286</v>
      </c>
      <c r="E54" s="172">
        <v>0</v>
      </c>
      <c r="F54" s="173">
        <v>0</v>
      </c>
      <c r="G54" s="207"/>
      <c r="H54" s="207">
        <v>0</v>
      </c>
      <c r="I54" s="207">
        <v>0</v>
      </c>
      <c r="J54" s="207">
        <v>0</v>
      </c>
      <c r="K54" s="207">
        <v>0</v>
      </c>
      <c r="L54" s="207">
        <v>0</v>
      </c>
      <c r="M54" s="175"/>
      <c r="N54" s="176"/>
      <c r="O54" s="207">
        <v>150</v>
      </c>
      <c r="P54" s="207">
        <v>52.5</v>
      </c>
      <c r="Q54" s="208">
        <v>-1</v>
      </c>
      <c r="R54" s="51"/>
      <c r="T54" s="201"/>
    </row>
    <row r="55" spans="2:20" ht="15" customHeight="1" thickBot="1">
      <c r="B55" s="2"/>
      <c r="C55" s="170"/>
      <c r="D55" s="171" t="s">
        <v>97</v>
      </c>
      <c r="E55" s="172">
        <v>0</v>
      </c>
      <c r="F55" s="173">
        <v>0</v>
      </c>
      <c r="G55" s="207"/>
      <c r="H55" s="207">
        <v>0</v>
      </c>
      <c r="I55" s="207">
        <v>0</v>
      </c>
      <c r="J55" s="207">
        <v>0</v>
      </c>
      <c r="K55" s="207">
        <v>0</v>
      </c>
      <c r="L55" s="207">
        <v>0</v>
      </c>
      <c r="M55" s="175"/>
      <c r="N55" s="176"/>
      <c r="O55" s="207">
        <v>30</v>
      </c>
      <c r="P55" s="207">
        <v>30</v>
      </c>
      <c r="Q55" s="208">
        <v>-1</v>
      </c>
      <c r="R55" s="51"/>
      <c r="T55" s="201"/>
    </row>
    <row r="56" spans="2:20" ht="15" customHeight="1" thickBot="1">
      <c r="B56" s="2"/>
      <c r="C56" s="170"/>
      <c r="D56" s="171" t="s">
        <v>287</v>
      </c>
      <c r="E56" s="172">
        <v>0</v>
      </c>
      <c r="F56" s="173">
        <v>0</v>
      </c>
      <c r="G56" s="207"/>
      <c r="H56" s="207">
        <v>0</v>
      </c>
      <c r="I56" s="207">
        <v>0</v>
      </c>
      <c r="J56" s="207">
        <v>0</v>
      </c>
      <c r="K56" s="207">
        <v>0</v>
      </c>
      <c r="L56" s="207">
        <v>0</v>
      </c>
      <c r="M56" s="175"/>
      <c r="N56" s="176"/>
      <c r="O56" s="207">
        <v>23</v>
      </c>
      <c r="P56" s="207">
        <v>6.8999999999999995</v>
      </c>
      <c r="Q56" s="208">
        <v>-1</v>
      </c>
      <c r="R56" s="51"/>
      <c r="T56" s="201"/>
    </row>
    <row r="57" spans="2:20" ht="15" customHeight="1" thickBot="1">
      <c r="B57" s="2"/>
      <c r="C57" s="170"/>
      <c r="D57" s="171" t="s">
        <v>288</v>
      </c>
      <c r="E57" s="172">
        <v>0</v>
      </c>
      <c r="F57" s="173">
        <v>0</v>
      </c>
      <c r="G57" s="207"/>
      <c r="H57" s="207">
        <v>0</v>
      </c>
      <c r="I57" s="207">
        <v>0</v>
      </c>
      <c r="J57" s="207">
        <v>0</v>
      </c>
      <c r="K57" s="207">
        <v>0</v>
      </c>
      <c r="L57" s="207">
        <v>0</v>
      </c>
      <c r="M57" s="175"/>
      <c r="N57" s="176"/>
      <c r="O57" s="207">
        <v>6.03</v>
      </c>
      <c r="P57" s="207">
        <v>0.6</v>
      </c>
      <c r="Q57" s="208">
        <v>-1</v>
      </c>
      <c r="R57" s="51"/>
      <c r="T57" s="201"/>
    </row>
    <row r="58" spans="2:20" ht="15" customHeight="1" thickBot="1">
      <c r="B58" s="2"/>
      <c r="C58" s="170"/>
      <c r="D58" s="171" t="s">
        <v>289</v>
      </c>
      <c r="E58" s="172">
        <v>0</v>
      </c>
      <c r="F58" s="173">
        <v>0</v>
      </c>
      <c r="G58" s="207"/>
      <c r="H58" s="207">
        <v>0</v>
      </c>
      <c r="I58" s="207">
        <v>0</v>
      </c>
      <c r="J58" s="207">
        <v>0</v>
      </c>
      <c r="K58" s="207">
        <v>0</v>
      </c>
      <c r="L58" s="207">
        <v>0</v>
      </c>
      <c r="M58" s="175"/>
      <c r="N58" s="176"/>
      <c r="O58" s="207">
        <v>4.89247311827957</v>
      </c>
      <c r="P58" s="207">
        <v>1.4516129032258065</v>
      </c>
      <c r="Q58" s="208">
        <v>-1</v>
      </c>
      <c r="R58" s="51"/>
      <c r="T58" s="201"/>
    </row>
    <row r="59" spans="2:20" ht="15" customHeight="1" thickBot="1">
      <c r="B59" s="2"/>
      <c r="C59" s="170"/>
      <c r="D59" s="171" t="s">
        <v>290</v>
      </c>
      <c r="E59" s="172">
        <v>0</v>
      </c>
      <c r="F59" s="173">
        <v>0</v>
      </c>
      <c r="G59" s="207"/>
      <c r="H59" s="207">
        <v>0</v>
      </c>
      <c r="I59" s="207">
        <v>0</v>
      </c>
      <c r="J59" s="207">
        <v>0</v>
      </c>
      <c r="K59" s="207">
        <v>0</v>
      </c>
      <c r="L59" s="207">
        <v>0</v>
      </c>
      <c r="M59" s="175"/>
      <c r="N59" s="176"/>
      <c r="O59" s="207">
        <v>24</v>
      </c>
      <c r="P59" s="207">
        <v>24</v>
      </c>
      <c r="Q59" s="208">
        <v>-1</v>
      </c>
      <c r="R59" s="51"/>
      <c r="T59" s="201"/>
    </row>
    <row r="60" spans="2:20" ht="15" customHeight="1" thickBot="1">
      <c r="B60" s="2"/>
      <c r="C60" s="170"/>
      <c r="D60" s="171" t="s">
        <v>291</v>
      </c>
      <c r="E60" s="172">
        <v>0</v>
      </c>
      <c r="F60" s="173">
        <v>0</v>
      </c>
      <c r="G60" s="207"/>
      <c r="H60" s="207">
        <v>0</v>
      </c>
      <c r="I60" s="207">
        <v>0</v>
      </c>
      <c r="J60" s="207">
        <v>0</v>
      </c>
      <c r="K60" s="207">
        <v>0</v>
      </c>
      <c r="L60" s="207">
        <v>0</v>
      </c>
      <c r="M60" s="175"/>
      <c r="N60" s="176"/>
      <c r="O60" s="207">
        <v>28.21</v>
      </c>
      <c r="P60" s="207">
        <v>28.21</v>
      </c>
      <c r="Q60" s="208">
        <v>-1</v>
      </c>
      <c r="R60" s="51"/>
      <c r="T60" s="201"/>
    </row>
    <row r="61" spans="2:20" ht="15" customHeight="1" thickBot="1">
      <c r="B61" s="2"/>
      <c r="C61" s="130" t="s">
        <v>98</v>
      </c>
      <c r="D61" s="131"/>
      <c r="E61" s="55">
        <v>0</v>
      </c>
      <c r="F61" s="66">
        <v>0</v>
      </c>
      <c r="G61" s="205"/>
      <c r="H61" s="205">
        <v>0</v>
      </c>
      <c r="I61" s="205">
        <v>0</v>
      </c>
      <c r="J61" s="205">
        <v>0</v>
      </c>
      <c r="K61" s="205">
        <v>0</v>
      </c>
      <c r="L61" s="205">
        <v>0</v>
      </c>
      <c r="M61" s="57"/>
      <c r="N61" s="132"/>
      <c r="O61" s="205">
        <v>5363.4660000000003</v>
      </c>
      <c r="P61" s="205">
        <v>1986.4</v>
      </c>
      <c r="Q61" s="206">
        <v>-1</v>
      </c>
      <c r="R61" s="51"/>
      <c r="T61" s="201"/>
    </row>
    <row r="62" spans="2:20" ht="15" customHeight="1" thickBot="1">
      <c r="B62" s="2"/>
      <c r="C62" s="170"/>
      <c r="D62" s="171" t="s">
        <v>99</v>
      </c>
      <c r="E62" s="172">
        <v>0</v>
      </c>
      <c r="F62" s="173">
        <v>0</v>
      </c>
      <c r="G62" s="207"/>
      <c r="H62" s="207">
        <v>0</v>
      </c>
      <c r="I62" s="207">
        <v>0</v>
      </c>
      <c r="J62" s="207">
        <v>0</v>
      </c>
      <c r="K62" s="207">
        <v>0</v>
      </c>
      <c r="L62" s="207">
        <v>0</v>
      </c>
      <c r="M62" s="175"/>
      <c r="N62" s="176"/>
      <c r="O62" s="207">
        <v>5363.4660000000003</v>
      </c>
      <c r="P62" s="207">
        <v>1986.4</v>
      </c>
      <c r="Q62" s="208">
        <v>-1</v>
      </c>
      <c r="R62" s="51"/>
      <c r="T62" s="201"/>
    </row>
    <row r="63" spans="2:20" ht="15" customHeight="1" thickBot="1">
      <c r="B63" s="2"/>
      <c r="C63" s="130" t="s">
        <v>100</v>
      </c>
      <c r="D63" s="131"/>
      <c r="E63" s="55">
        <v>71</v>
      </c>
      <c r="F63" s="66">
        <v>0.9726027397260274</v>
      </c>
      <c r="G63" s="205">
        <v>167.65183098591547</v>
      </c>
      <c r="H63" s="205">
        <v>70.2</v>
      </c>
      <c r="I63" s="205">
        <v>377</v>
      </c>
      <c r="J63" s="205">
        <v>140.81098591549295</v>
      </c>
      <c r="K63" s="205">
        <v>30.05</v>
      </c>
      <c r="L63" s="205">
        <v>376.97</v>
      </c>
      <c r="M63" s="57"/>
      <c r="N63" s="132"/>
      <c r="O63" s="205">
        <v>180.0465529199611</v>
      </c>
      <c r="P63" s="205">
        <v>128.41015674850908</v>
      </c>
      <c r="Q63" s="206">
        <v>9.6571767663316432E-2</v>
      </c>
      <c r="R63" s="51"/>
      <c r="T63" s="201"/>
    </row>
    <row r="64" spans="2:20" ht="15" customHeight="1" thickBot="1">
      <c r="B64" s="2"/>
      <c r="C64" s="170"/>
      <c r="D64" s="171" t="s">
        <v>101</v>
      </c>
      <c r="E64" s="172">
        <v>0</v>
      </c>
      <c r="F64" s="173">
        <v>0</v>
      </c>
      <c r="G64" s="207"/>
      <c r="H64" s="207">
        <v>0</v>
      </c>
      <c r="I64" s="207">
        <v>0</v>
      </c>
      <c r="J64" s="207">
        <v>0</v>
      </c>
      <c r="K64" s="207">
        <v>0</v>
      </c>
      <c r="L64" s="207">
        <v>0</v>
      </c>
      <c r="M64" s="175"/>
      <c r="N64" s="176"/>
      <c r="O64" s="207">
        <v>256.47623152709349</v>
      </c>
      <c r="P64" s="207">
        <v>168.52205254515647</v>
      </c>
      <c r="Q64" s="208">
        <v>-1</v>
      </c>
      <c r="R64" s="51"/>
      <c r="T64" s="201"/>
    </row>
    <row r="65" spans="2:20" ht="15" customHeight="1" thickBot="1">
      <c r="B65" s="2"/>
      <c r="C65" s="170"/>
      <c r="D65" s="171" t="s">
        <v>102</v>
      </c>
      <c r="E65" s="172">
        <v>0</v>
      </c>
      <c r="F65" s="173">
        <v>0</v>
      </c>
      <c r="G65" s="207"/>
      <c r="H65" s="207">
        <v>0</v>
      </c>
      <c r="I65" s="207">
        <v>0</v>
      </c>
      <c r="J65" s="207">
        <v>0</v>
      </c>
      <c r="K65" s="207">
        <v>0</v>
      </c>
      <c r="L65" s="207">
        <v>0</v>
      </c>
      <c r="M65" s="175"/>
      <c r="N65" s="176"/>
      <c r="O65" s="207">
        <v>43.464912280701753</v>
      </c>
      <c r="P65" s="207">
        <v>35.641228070175444</v>
      </c>
      <c r="Q65" s="208">
        <v>-1</v>
      </c>
      <c r="R65" s="51"/>
      <c r="T65" s="201"/>
    </row>
    <row r="66" spans="2:20" ht="15" customHeight="1" thickBot="1">
      <c r="B66" s="2"/>
      <c r="C66" s="170"/>
      <c r="D66" s="171" t="s">
        <v>103</v>
      </c>
      <c r="E66" s="172">
        <v>0</v>
      </c>
      <c r="F66" s="173">
        <v>0</v>
      </c>
      <c r="G66" s="207"/>
      <c r="H66" s="207">
        <v>0</v>
      </c>
      <c r="I66" s="207">
        <v>0</v>
      </c>
      <c r="J66" s="207">
        <v>0</v>
      </c>
      <c r="K66" s="207">
        <v>0</v>
      </c>
      <c r="L66" s="207">
        <v>0</v>
      </c>
      <c r="M66" s="175"/>
      <c r="N66" s="176"/>
      <c r="O66" s="207">
        <v>1630</v>
      </c>
      <c r="P66" s="207">
        <v>230</v>
      </c>
      <c r="Q66" s="208">
        <v>-1</v>
      </c>
      <c r="R66" s="51"/>
      <c r="T66" s="201"/>
    </row>
    <row r="67" spans="2:20" ht="15" customHeight="1" thickBot="1">
      <c r="B67" s="2"/>
      <c r="C67" s="170"/>
      <c r="D67" s="171" t="s">
        <v>104</v>
      </c>
      <c r="E67" s="172">
        <v>6</v>
      </c>
      <c r="F67" s="173">
        <v>8.2191780821917804E-2</v>
      </c>
      <c r="G67" s="207">
        <v>121.60000000000001</v>
      </c>
      <c r="H67" s="207">
        <v>70.2</v>
      </c>
      <c r="I67" s="207">
        <v>200</v>
      </c>
      <c r="J67" s="207">
        <v>121.60000000000001</v>
      </c>
      <c r="K67" s="207">
        <v>70.2</v>
      </c>
      <c r="L67" s="207">
        <v>200</v>
      </c>
      <c r="M67" s="175"/>
      <c r="N67" s="176"/>
      <c r="O67" s="207">
        <v>82.152003599280135</v>
      </c>
      <c r="P67" s="207">
        <v>66.902633473305372</v>
      </c>
      <c r="Q67" s="208">
        <v>0.8175676281639277</v>
      </c>
      <c r="R67" s="51"/>
      <c r="T67" s="201"/>
    </row>
    <row r="68" spans="2:20" ht="15" customHeight="1" thickBot="1">
      <c r="B68" s="2"/>
      <c r="C68" s="170"/>
      <c r="D68" s="171" t="s">
        <v>105</v>
      </c>
      <c r="E68" s="172">
        <v>0</v>
      </c>
      <c r="F68" s="173">
        <v>0</v>
      </c>
      <c r="G68" s="207"/>
      <c r="H68" s="207">
        <v>0</v>
      </c>
      <c r="I68" s="207">
        <v>0</v>
      </c>
      <c r="J68" s="207">
        <v>0</v>
      </c>
      <c r="K68" s="207">
        <v>0</v>
      </c>
      <c r="L68" s="207">
        <v>0</v>
      </c>
      <c r="M68" s="175"/>
      <c r="N68" s="176"/>
      <c r="O68" s="207">
        <v>427.5</v>
      </c>
      <c r="P68" s="207">
        <v>212.47750000000002</v>
      </c>
      <c r="Q68" s="208">
        <v>-1</v>
      </c>
      <c r="R68" s="51"/>
      <c r="T68" s="201"/>
    </row>
    <row r="69" spans="2:20" ht="15" customHeight="1" thickBot="1">
      <c r="B69" s="2"/>
      <c r="C69" s="170"/>
      <c r="D69" s="171" t="s">
        <v>106</v>
      </c>
      <c r="E69" s="172">
        <v>0</v>
      </c>
      <c r="F69" s="173">
        <v>0</v>
      </c>
      <c r="G69" s="207"/>
      <c r="H69" s="207">
        <v>0</v>
      </c>
      <c r="I69" s="207">
        <v>0</v>
      </c>
      <c r="J69" s="207">
        <v>0</v>
      </c>
      <c r="K69" s="207">
        <v>0</v>
      </c>
      <c r="L69" s="207">
        <v>0</v>
      </c>
      <c r="M69" s="175"/>
      <c r="N69" s="176"/>
      <c r="O69" s="207">
        <v>137.15483870967739</v>
      </c>
      <c r="P69" s="207">
        <v>116.49935483870966</v>
      </c>
      <c r="Q69" s="208">
        <v>-1</v>
      </c>
      <c r="R69" s="51"/>
      <c r="T69" s="201"/>
    </row>
    <row r="70" spans="2:20" ht="15" customHeight="1" thickBot="1">
      <c r="B70" s="2"/>
      <c r="C70" s="170"/>
      <c r="D70" s="171" t="s">
        <v>107</v>
      </c>
      <c r="E70" s="172">
        <v>24</v>
      </c>
      <c r="F70" s="173">
        <v>0.32876712328767121</v>
      </c>
      <c r="G70" s="207">
        <v>227.48749999999998</v>
      </c>
      <c r="H70" s="207">
        <v>98</v>
      </c>
      <c r="I70" s="207">
        <v>377</v>
      </c>
      <c r="J70" s="207">
        <v>187.88124999999999</v>
      </c>
      <c r="K70" s="207">
        <v>30.05</v>
      </c>
      <c r="L70" s="207">
        <v>376.97</v>
      </c>
      <c r="M70" s="175"/>
      <c r="N70" s="176"/>
      <c r="O70" s="207">
        <v>233.1394187898089</v>
      </c>
      <c r="P70" s="207">
        <v>177.07542197452275</v>
      </c>
      <c r="Q70" s="208">
        <v>6.1023722098044075E-2</v>
      </c>
      <c r="R70" s="51"/>
      <c r="T70" s="201"/>
    </row>
    <row r="71" spans="2:20" ht="15" customHeight="1" thickBot="1">
      <c r="B71" s="2"/>
      <c r="C71" s="170"/>
      <c r="D71" s="171" t="s">
        <v>108</v>
      </c>
      <c r="E71" s="172">
        <v>41</v>
      </c>
      <c r="F71" s="173">
        <v>0.56164383561643838</v>
      </c>
      <c r="G71" s="207">
        <v>139.36536585365852</v>
      </c>
      <c r="H71" s="207">
        <v>90</v>
      </c>
      <c r="I71" s="207">
        <v>266</v>
      </c>
      <c r="J71" s="207">
        <v>116.0690243902439</v>
      </c>
      <c r="K71" s="207">
        <v>53</v>
      </c>
      <c r="L71" s="207">
        <v>179.97</v>
      </c>
      <c r="M71" s="175"/>
      <c r="N71" s="176"/>
      <c r="O71" s="207">
        <v>125.0337521917008</v>
      </c>
      <c r="P71" s="207">
        <v>98.466481589714007</v>
      </c>
      <c r="Q71" s="208">
        <v>0.17876638247525811</v>
      </c>
      <c r="R71" s="51"/>
      <c r="T71" s="201"/>
    </row>
    <row r="72" spans="2:20" ht="15" customHeight="1" thickBot="1">
      <c r="B72" s="2"/>
      <c r="C72" s="170"/>
      <c r="D72" s="171" t="s">
        <v>110</v>
      </c>
      <c r="E72" s="172">
        <v>0</v>
      </c>
      <c r="F72" s="173">
        <v>0</v>
      </c>
      <c r="G72" s="207"/>
      <c r="H72" s="207">
        <v>0</v>
      </c>
      <c r="I72" s="207">
        <v>0</v>
      </c>
      <c r="J72" s="207">
        <v>0</v>
      </c>
      <c r="K72" s="207">
        <v>0</v>
      </c>
      <c r="L72" s="207">
        <v>0</v>
      </c>
      <c r="M72" s="175"/>
      <c r="N72" s="176"/>
      <c r="O72" s="207">
        <v>133.71666666666667</v>
      </c>
      <c r="P72" s="207">
        <v>116.63666666666666</v>
      </c>
      <c r="Q72" s="208">
        <v>-1</v>
      </c>
      <c r="R72" s="51"/>
      <c r="T72" s="201"/>
    </row>
    <row r="73" spans="2:20" ht="15" customHeight="1" thickBot="1">
      <c r="B73" s="2"/>
      <c r="C73" s="170"/>
      <c r="D73" s="171" t="s">
        <v>292</v>
      </c>
      <c r="E73" s="172">
        <v>0</v>
      </c>
      <c r="F73" s="173">
        <v>0</v>
      </c>
      <c r="G73" s="207"/>
      <c r="H73" s="207">
        <v>0</v>
      </c>
      <c r="I73" s="207">
        <v>0</v>
      </c>
      <c r="J73" s="207">
        <v>0</v>
      </c>
      <c r="K73" s="207">
        <v>0</v>
      </c>
      <c r="L73" s="207">
        <v>0</v>
      </c>
      <c r="M73" s="175"/>
      <c r="N73" s="176"/>
      <c r="O73" s="207">
        <v>28</v>
      </c>
      <c r="P73" s="207">
        <v>8.4</v>
      </c>
      <c r="Q73" s="208">
        <v>-1</v>
      </c>
      <c r="R73" s="51"/>
      <c r="T73" s="201"/>
    </row>
    <row r="74" spans="2:20" ht="15" customHeight="1" thickBot="1">
      <c r="B74" s="2"/>
      <c r="C74" s="130" t="s">
        <v>111</v>
      </c>
      <c r="D74" s="131"/>
      <c r="E74" s="55">
        <v>42</v>
      </c>
      <c r="F74" s="66">
        <v>0.57534246575342463</v>
      </c>
      <c r="G74" s="205">
        <v>58.404761904761905</v>
      </c>
      <c r="H74" s="205">
        <v>35</v>
      </c>
      <c r="I74" s="205">
        <v>80</v>
      </c>
      <c r="J74" s="205">
        <v>37.476190476190474</v>
      </c>
      <c r="K74" s="205">
        <v>5</v>
      </c>
      <c r="L74" s="205">
        <v>50</v>
      </c>
      <c r="M74" s="57"/>
      <c r="N74" s="132"/>
      <c r="O74" s="205">
        <v>57.273258084197678</v>
      </c>
      <c r="P74" s="205">
        <v>40.888151311775466</v>
      </c>
      <c r="Q74" s="206">
        <v>-8.3447058075434954E-2</v>
      </c>
      <c r="R74" s="51"/>
      <c r="T74" s="201"/>
    </row>
    <row r="75" spans="2:20" ht="15" customHeight="1" thickBot="1">
      <c r="B75" s="2"/>
      <c r="C75" s="170"/>
      <c r="D75" s="171" t="s">
        <v>112</v>
      </c>
      <c r="E75" s="172">
        <v>42</v>
      </c>
      <c r="F75" s="173">
        <v>0.57534246575342463</v>
      </c>
      <c r="G75" s="207">
        <v>58.404761904761905</v>
      </c>
      <c r="H75" s="207">
        <v>35</v>
      </c>
      <c r="I75" s="207">
        <v>80</v>
      </c>
      <c r="J75" s="207">
        <v>37.476190476190474</v>
      </c>
      <c r="K75" s="207">
        <v>5</v>
      </c>
      <c r="L75" s="207">
        <v>50</v>
      </c>
      <c r="M75" s="175"/>
      <c r="N75" s="176"/>
      <c r="O75" s="207">
        <v>58.621062480177613</v>
      </c>
      <c r="P75" s="207">
        <v>42.058135109419595</v>
      </c>
      <c r="Q75" s="208">
        <v>-0.10894215383005901</v>
      </c>
      <c r="R75" s="51"/>
      <c r="T75" s="201"/>
    </row>
    <row r="76" spans="2:20" ht="15" customHeight="1" thickBot="1">
      <c r="B76" s="2"/>
      <c r="C76" s="170"/>
      <c r="D76" s="171" t="s">
        <v>293</v>
      </c>
      <c r="E76" s="172">
        <v>0</v>
      </c>
      <c r="F76" s="173">
        <v>0</v>
      </c>
      <c r="G76" s="207"/>
      <c r="H76" s="207">
        <v>0</v>
      </c>
      <c r="I76" s="207">
        <v>0</v>
      </c>
      <c r="J76" s="207">
        <v>0</v>
      </c>
      <c r="K76" s="207">
        <v>0</v>
      </c>
      <c r="L76" s="207">
        <v>0</v>
      </c>
      <c r="M76" s="175"/>
      <c r="N76" s="176"/>
      <c r="O76" s="207">
        <v>7.1320000000000014</v>
      </c>
      <c r="P76" s="207">
        <v>2.1328000000000005</v>
      </c>
      <c r="Q76" s="208">
        <v>-1</v>
      </c>
      <c r="R76" s="51"/>
      <c r="T76" s="201"/>
    </row>
    <row r="77" spans="2:20" ht="15" customHeight="1" thickBot="1">
      <c r="B77" s="2"/>
      <c r="C77" s="170"/>
      <c r="D77" s="171" t="s">
        <v>113</v>
      </c>
      <c r="E77" s="172">
        <v>0</v>
      </c>
      <c r="F77" s="173">
        <v>0</v>
      </c>
      <c r="G77" s="207"/>
      <c r="H77" s="207">
        <v>0</v>
      </c>
      <c r="I77" s="207">
        <v>0</v>
      </c>
      <c r="J77" s="207">
        <v>0</v>
      </c>
      <c r="K77" s="207">
        <v>0</v>
      </c>
      <c r="L77" s="207">
        <v>0</v>
      </c>
      <c r="M77" s="175"/>
      <c r="N77" s="176"/>
      <c r="O77" s="207">
        <v>47.492600000000003</v>
      </c>
      <c r="P77" s="207">
        <v>25.241999999999997</v>
      </c>
      <c r="Q77" s="208">
        <v>-1</v>
      </c>
      <c r="R77" s="51"/>
      <c r="T77" s="201"/>
    </row>
    <row r="78" spans="2:20" ht="15" customHeight="1" thickBot="1">
      <c r="B78" s="2"/>
      <c r="C78" s="130" t="s">
        <v>114</v>
      </c>
      <c r="D78" s="131"/>
      <c r="E78" s="55">
        <v>2257</v>
      </c>
      <c r="F78" s="66">
        <v>30.917808219178081</v>
      </c>
      <c r="G78" s="205">
        <v>19.126229508196751</v>
      </c>
      <c r="H78" s="205">
        <v>0.51</v>
      </c>
      <c r="I78" s="205">
        <v>254.61</v>
      </c>
      <c r="J78" s="205">
        <v>7.468001772264059</v>
      </c>
      <c r="K78" s="205">
        <v>0.14000000000000001</v>
      </c>
      <c r="L78" s="205">
        <v>101.84</v>
      </c>
      <c r="M78" s="57"/>
      <c r="N78" s="132"/>
      <c r="O78" s="205">
        <v>12.178706384189107</v>
      </c>
      <c r="P78" s="205">
        <v>4.6795199488126045</v>
      </c>
      <c r="Q78" s="206">
        <v>0.59589699754247238</v>
      </c>
      <c r="R78" s="51"/>
      <c r="T78" s="201"/>
    </row>
    <row r="79" spans="2:20" ht="15" customHeight="1" thickBot="1">
      <c r="B79" s="2"/>
      <c r="C79" s="170"/>
      <c r="D79" s="171" t="s">
        <v>294</v>
      </c>
      <c r="E79" s="172">
        <v>0</v>
      </c>
      <c r="F79" s="173">
        <v>0</v>
      </c>
      <c r="G79" s="207"/>
      <c r="H79" s="207">
        <v>0</v>
      </c>
      <c r="I79" s="207">
        <v>0</v>
      </c>
      <c r="J79" s="207">
        <v>0</v>
      </c>
      <c r="K79" s="207">
        <v>0</v>
      </c>
      <c r="L79" s="207">
        <v>0</v>
      </c>
      <c r="M79" s="175"/>
      <c r="N79" s="176"/>
      <c r="O79" s="207">
        <v>43.15464655172417</v>
      </c>
      <c r="P79" s="207">
        <v>12.908224137931022</v>
      </c>
      <c r="Q79" s="208">
        <v>-1</v>
      </c>
      <c r="R79" s="51"/>
      <c r="T79" s="201"/>
    </row>
    <row r="80" spans="2:20" ht="15" customHeight="1" thickBot="1">
      <c r="B80" s="2"/>
      <c r="C80" s="170"/>
      <c r="D80" s="171" t="s">
        <v>295</v>
      </c>
      <c r="E80" s="172">
        <v>0</v>
      </c>
      <c r="F80" s="173">
        <v>0</v>
      </c>
      <c r="G80" s="207"/>
      <c r="H80" s="207">
        <v>0</v>
      </c>
      <c r="I80" s="207">
        <v>0</v>
      </c>
      <c r="J80" s="207">
        <v>0</v>
      </c>
      <c r="K80" s="207">
        <v>0</v>
      </c>
      <c r="L80" s="207">
        <v>0</v>
      </c>
      <c r="M80" s="175"/>
      <c r="N80" s="176"/>
      <c r="O80" s="207">
        <v>17.850000000000001</v>
      </c>
      <c r="P80" s="207">
        <v>7.14</v>
      </c>
      <c r="Q80" s="208">
        <v>-1</v>
      </c>
      <c r="R80" s="51"/>
      <c r="T80" s="201"/>
    </row>
    <row r="81" spans="2:20" ht="15" customHeight="1" thickBot="1">
      <c r="B81" s="2"/>
      <c r="C81" s="170"/>
      <c r="D81" s="171" t="s">
        <v>115</v>
      </c>
      <c r="E81" s="172">
        <v>79</v>
      </c>
      <c r="F81" s="173">
        <v>1.0821917808219179</v>
      </c>
      <c r="G81" s="207">
        <v>35.996582278481014</v>
      </c>
      <c r="H81" s="207">
        <v>3.78</v>
      </c>
      <c r="I81" s="207">
        <v>254.61</v>
      </c>
      <c r="J81" s="207">
        <v>14.399367088607594</v>
      </c>
      <c r="K81" s="207">
        <v>1.51</v>
      </c>
      <c r="L81" s="207">
        <v>101.84</v>
      </c>
      <c r="M81" s="175"/>
      <c r="N81" s="176"/>
      <c r="O81" s="207">
        <v>28.213354110511982</v>
      </c>
      <c r="P81" s="207">
        <v>11.111481637466333</v>
      </c>
      <c r="Q81" s="208">
        <v>0.29590064347747824</v>
      </c>
      <c r="R81" s="51"/>
      <c r="T81" s="201"/>
    </row>
    <row r="82" spans="2:20" ht="15" customHeight="1" thickBot="1">
      <c r="B82" s="2"/>
      <c r="C82" s="170"/>
      <c r="D82" s="171" t="s">
        <v>297</v>
      </c>
      <c r="E82" s="172">
        <v>0</v>
      </c>
      <c r="F82" s="173">
        <v>0</v>
      </c>
      <c r="G82" s="207"/>
      <c r="H82" s="207">
        <v>0</v>
      </c>
      <c r="I82" s="207">
        <v>0</v>
      </c>
      <c r="J82" s="207">
        <v>0</v>
      </c>
      <c r="K82" s="207">
        <v>0</v>
      </c>
      <c r="L82" s="207">
        <v>0</v>
      </c>
      <c r="M82" s="175"/>
      <c r="N82" s="176"/>
      <c r="O82" s="207">
        <v>43.578234126984086</v>
      </c>
      <c r="P82" s="207">
        <v>17.42400793650793</v>
      </c>
      <c r="Q82" s="208">
        <v>-1</v>
      </c>
      <c r="R82" s="51"/>
      <c r="T82" s="201"/>
    </row>
    <row r="83" spans="2:20" ht="15" customHeight="1" thickBot="1">
      <c r="B83" s="2"/>
      <c r="C83" s="170"/>
      <c r="D83" s="171" t="s">
        <v>67</v>
      </c>
      <c r="E83" s="172">
        <v>33</v>
      </c>
      <c r="F83" s="173">
        <v>0.45205479452054792</v>
      </c>
      <c r="G83" s="207">
        <v>32.136666666666663</v>
      </c>
      <c r="H83" s="207">
        <v>1.1499999999999999</v>
      </c>
      <c r="I83" s="207">
        <v>93</v>
      </c>
      <c r="J83" s="207">
        <v>15.406666666666666</v>
      </c>
      <c r="K83" s="207">
        <v>0.46</v>
      </c>
      <c r="L83" s="207">
        <v>49.06</v>
      </c>
      <c r="M83" s="175"/>
      <c r="N83" s="176"/>
      <c r="O83" s="207">
        <v>50.717485443959269</v>
      </c>
      <c r="P83" s="207">
        <v>20.920003639010179</v>
      </c>
      <c r="Q83" s="208">
        <v>-0.26354206500956023</v>
      </c>
      <c r="R83" s="51"/>
      <c r="T83" s="201"/>
    </row>
    <row r="84" spans="2:20" ht="15" customHeight="1" thickBot="1">
      <c r="B84" s="2"/>
      <c r="C84" s="170"/>
      <c r="D84" s="171" t="s">
        <v>298</v>
      </c>
      <c r="E84" s="172">
        <v>0</v>
      </c>
      <c r="F84" s="173">
        <v>0</v>
      </c>
      <c r="G84" s="207"/>
      <c r="H84" s="207">
        <v>0</v>
      </c>
      <c r="I84" s="207">
        <v>0</v>
      </c>
      <c r="J84" s="207">
        <v>0</v>
      </c>
      <c r="K84" s="207">
        <v>0</v>
      </c>
      <c r="L84" s="207">
        <v>0</v>
      </c>
      <c r="M84" s="175"/>
      <c r="N84" s="176"/>
      <c r="O84" s="207">
        <v>37.35</v>
      </c>
      <c r="P84" s="207">
        <v>14.94</v>
      </c>
      <c r="Q84" s="208">
        <v>-1</v>
      </c>
      <c r="R84" s="51"/>
      <c r="T84" s="201"/>
    </row>
    <row r="85" spans="2:20" ht="15" customHeight="1" thickBot="1">
      <c r="B85" s="2"/>
      <c r="C85" s="170"/>
      <c r="D85" s="171" t="s">
        <v>299</v>
      </c>
      <c r="E85" s="172">
        <v>0</v>
      </c>
      <c r="F85" s="173">
        <v>0</v>
      </c>
      <c r="G85" s="207"/>
      <c r="H85" s="207">
        <v>0</v>
      </c>
      <c r="I85" s="207">
        <v>0</v>
      </c>
      <c r="J85" s="207">
        <v>0</v>
      </c>
      <c r="K85" s="207">
        <v>0</v>
      </c>
      <c r="L85" s="207">
        <v>0</v>
      </c>
      <c r="M85" s="175"/>
      <c r="N85" s="176"/>
      <c r="O85" s="207">
        <v>21.922090592334502</v>
      </c>
      <c r="P85" s="207">
        <v>7.4310278745644629</v>
      </c>
      <c r="Q85" s="208">
        <v>-1</v>
      </c>
      <c r="R85" s="51"/>
      <c r="T85" s="201"/>
    </row>
    <row r="86" spans="2:20" ht="15" customHeight="1" thickBot="1">
      <c r="B86" s="2"/>
      <c r="C86" s="170"/>
      <c r="D86" s="171" t="s">
        <v>116</v>
      </c>
      <c r="E86" s="172">
        <v>319</v>
      </c>
      <c r="F86" s="173">
        <v>4.3698630136986303</v>
      </c>
      <c r="G86" s="207">
        <v>24.939686520376238</v>
      </c>
      <c r="H86" s="207">
        <v>0.75</v>
      </c>
      <c r="I86" s="207">
        <v>140</v>
      </c>
      <c r="J86" s="207">
        <v>10.501191222570533</v>
      </c>
      <c r="K86" s="207">
        <v>0.14000000000000001</v>
      </c>
      <c r="L86" s="207">
        <v>90.91</v>
      </c>
      <c r="M86" s="175"/>
      <c r="N86" s="176"/>
      <c r="O86" s="207">
        <v>18.127385701838833</v>
      </c>
      <c r="P86" s="207">
        <v>7.4918051543081194</v>
      </c>
      <c r="Q86" s="208">
        <v>0.40169251715208643</v>
      </c>
      <c r="R86" s="51"/>
      <c r="T86" s="201"/>
    </row>
    <row r="87" spans="2:20" ht="15" customHeight="1" thickBot="1">
      <c r="B87" s="2"/>
      <c r="C87" s="170"/>
      <c r="D87" s="171" t="s">
        <v>117</v>
      </c>
      <c r="E87" s="172">
        <v>542</v>
      </c>
      <c r="F87" s="173">
        <v>7.4246575342465757</v>
      </c>
      <c r="G87" s="207">
        <v>48.71894833948339</v>
      </c>
      <c r="H87" s="207">
        <v>2</v>
      </c>
      <c r="I87" s="207">
        <v>150</v>
      </c>
      <c r="J87" s="207">
        <v>17.814999999999962</v>
      </c>
      <c r="K87" s="207">
        <v>0.6</v>
      </c>
      <c r="L87" s="207">
        <v>66.400000000000006</v>
      </c>
      <c r="M87" s="175"/>
      <c r="N87" s="176"/>
      <c r="O87" s="207">
        <v>15.349998051294236</v>
      </c>
      <c r="P87" s="207">
        <v>5.5401547950888528</v>
      </c>
      <c r="Q87" s="208">
        <v>2.2155878849139024</v>
      </c>
      <c r="R87" s="51"/>
      <c r="T87" s="201"/>
    </row>
    <row r="88" spans="2:20" ht="15" customHeight="1" thickBot="1">
      <c r="B88" s="2"/>
      <c r="C88" s="170"/>
      <c r="D88" s="171" t="s">
        <v>302</v>
      </c>
      <c r="E88" s="172">
        <v>0</v>
      </c>
      <c r="F88" s="173">
        <v>0</v>
      </c>
      <c r="G88" s="207"/>
      <c r="H88" s="207">
        <v>0</v>
      </c>
      <c r="I88" s="207">
        <v>0</v>
      </c>
      <c r="J88" s="207">
        <v>0</v>
      </c>
      <c r="K88" s="207">
        <v>0</v>
      </c>
      <c r="L88" s="207">
        <v>0</v>
      </c>
      <c r="M88" s="175"/>
      <c r="N88" s="176"/>
      <c r="O88" s="207">
        <v>30.274999999999999</v>
      </c>
      <c r="P88" s="207">
        <v>14.075000000000001</v>
      </c>
      <c r="Q88" s="208">
        <v>-1</v>
      </c>
      <c r="R88" s="51"/>
      <c r="T88" s="201"/>
    </row>
    <row r="89" spans="2:20" ht="15" customHeight="1" thickBot="1">
      <c r="B89" s="2"/>
      <c r="C89" s="170"/>
      <c r="D89" s="171" t="s">
        <v>303</v>
      </c>
      <c r="E89" s="172">
        <v>0</v>
      </c>
      <c r="F89" s="173">
        <v>0</v>
      </c>
      <c r="G89" s="207"/>
      <c r="H89" s="207">
        <v>0</v>
      </c>
      <c r="I89" s="207">
        <v>0</v>
      </c>
      <c r="J89" s="207">
        <v>0</v>
      </c>
      <c r="K89" s="207">
        <v>0</v>
      </c>
      <c r="L89" s="207">
        <v>0</v>
      </c>
      <c r="M89" s="175"/>
      <c r="N89" s="176"/>
      <c r="O89" s="207">
        <v>50</v>
      </c>
      <c r="P89" s="207">
        <v>18</v>
      </c>
      <c r="Q89" s="208">
        <v>-1</v>
      </c>
      <c r="R89" s="51"/>
      <c r="T89" s="201"/>
    </row>
    <row r="90" spans="2:20" ht="15" customHeight="1" thickBot="1">
      <c r="B90" s="2"/>
      <c r="C90" s="170"/>
      <c r="D90" s="171" t="s">
        <v>309</v>
      </c>
      <c r="E90" s="172">
        <v>0</v>
      </c>
      <c r="F90" s="173">
        <v>0</v>
      </c>
      <c r="G90" s="207"/>
      <c r="H90" s="207">
        <v>0</v>
      </c>
      <c r="I90" s="207">
        <v>0</v>
      </c>
      <c r="J90" s="207">
        <v>0</v>
      </c>
      <c r="K90" s="207">
        <v>0</v>
      </c>
      <c r="L90" s="207">
        <v>0</v>
      </c>
      <c r="M90" s="175"/>
      <c r="N90" s="176"/>
      <c r="O90" s="207">
        <v>9.1</v>
      </c>
      <c r="P90" s="207">
        <v>1.82</v>
      </c>
      <c r="Q90" s="208">
        <v>-1</v>
      </c>
      <c r="R90" s="51"/>
      <c r="T90" s="201"/>
    </row>
    <row r="91" spans="2:20" ht="15" customHeight="1" thickBot="1">
      <c r="B91" s="2"/>
      <c r="C91" s="170"/>
      <c r="D91" s="171" t="s">
        <v>118</v>
      </c>
      <c r="E91" s="172">
        <v>0</v>
      </c>
      <c r="F91" s="173">
        <v>0</v>
      </c>
      <c r="G91" s="207"/>
      <c r="H91" s="207">
        <v>0</v>
      </c>
      <c r="I91" s="207">
        <v>0</v>
      </c>
      <c r="J91" s="207">
        <v>0</v>
      </c>
      <c r="K91" s="207">
        <v>0</v>
      </c>
      <c r="L91" s="207">
        <v>0</v>
      </c>
      <c r="M91" s="175"/>
      <c r="N91" s="176"/>
      <c r="O91" s="207">
        <v>45.698026284909673</v>
      </c>
      <c r="P91" s="207">
        <v>13.647373855902366</v>
      </c>
      <c r="Q91" s="208">
        <v>-1</v>
      </c>
      <c r="R91" s="51"/>
      <c r="T91" s="201"/>
    </row>
    <row r="92" spans="2:20" ht="15" customHeight="1" thickBot="1">
      <c r="B92" s="2"/>
      <c r="C92" s="170"/>
      <c r="D92" s="171" t="s">
        <v>310</v>
      </c>
      <c r="E92" s="172">
        <v>0</v>
      </c>
      <c r="F92" s="173">
        <v>0</v>
      </c>
      <c r="G92" s="207"/>
      <c r="H92" s="207">
        <v>0</v>
      </c>
      <c r="I92" s="207">
        <v>0</v>
      </c>
      <c r="J92" s="207">
        <v>0</v>
      </c>
      <c r="K92" s="207">
        <v>0</v>
      </c>
      <c r="L92" s="207">
        <v>0</v>
      </c>
      <c r="M92" s="175"/>
      <c r="N92" s="176"/>
      <c r="O92" s="207">
        <v>4.04</v>
      </c>
      <c r="P92" s="207">
        <v>1.6200000000000006</v>
      </c>
      <c r="Q92" s="208">
        <v>-1</v>
      </c>
      <c r="R92" s="51"/>
      <c r="T92" s="201"/>
    </row>
    <row r="93" spans="2:20" ht="15" customHeight="1" thickBot="1">
      <c r="B93" s="2"/>
      <c r="C93" s="170"/>
      <c r="D93" s="171" t="s">
        <v>311</v>
      </c>
      <c r="E93" s="172">
        <v>0</v>
      </c>
      <c r="F93" s="173">
        <v>0</v>
      </c>
      <c r="G93" s="207"/>
      <c r="H93" s="207">
        <v>0</v>
      </c>
      <c r="I93" s="207">
        <v>0</v>
      </c>
      <c r="J93" s="207">
        <v>0</v>
      </c>
      <c r="K93" s="207">
        <v>0</v>
      </c>
      <c r="L93" s="207">
        <v>0</v>
      </c>
      <c r="M93" s="175"/>
      <c r="N93" s="176"/>
      <c r="O93" s="207">
        <v>51.5</v>
      </c>
      <c r="P93" s="207">
        <v>15.45</v>
      </c>
      <c r="Q93" s="208">
        <v>-1</v>
      </c>
      <c r="R93" s="51"/>
      <c r="T93" s="201"/>
    </row>
    <row r="94" spans="2:20" ht="15" customHeight="1" thickBot="1">
      <c r="B94" s="2"/>
      <c r="C94" s="170"/>
      <c r="D94" s="171" t="s">
        <v>312</v>
      </c>
      <c r="E94" s="172">
        <v>0</v>
      </c>
      <c r="F94" s="173">
        <v>0</v>
      </c>
      <c r="G94" s="207"/>
      <c r="H94" s="207">
        <v>0</v>
      </c>
      <c r="I94" s="207">
        <v>0</v>
      </c>
      <c r="J94" s="207">
        <v>0</v>
      </c>
      <c r="K94" s="207">
        <v>0</v>
      </c>
      <c r="L94" s="207">
        <v>0</v>
      </c>
      <c r="M94" s="175"/>
      <c r="N94" s="176"/>
      <c r="O94" s="207">
        <v>3</v>
      </c>
      <c r="P94" s="207">
        <v>0.9</v>
      </c>
      <c r="Q94" s="208">
        <v>-1</v>
      </c>
      <c r="R94" s="51"/>
      <c r="T94" s="201"/>
    </row>
    <row r="95" spans="2:20" ht="15" customHeight="1" thickBot="1">
      <c r="B95" s="2"/>
      <c r="C95" s="170"/>
      <c r="D95" s="171" t="s">
        <v>119</v>
      </c>
      <c r="E95" s="172">
        <v>1284</v>
      </c>
      <c r="F95" s="173">
        <v>17.589041095890412</v>
      </c>
      <c r="G95" s="207">
        <v>3.8179361370716896</v>
      </c>
      <c r="H95" s="207">
        <v>0.51</v>
      </c>
      <c r="I95" s="207">
        <v>186.99</v>
      </c>
      <c r="J95" s="207">
        <v>1.7162772585669781</v>
      </c>
      <c r="K95" s="207">
        <v>0.18</v>
      </c>
      <c r="L95" s="207">
        <v>65.45</v>
      </c>
      <c r="M95" s="175"/>
      <c r="N95" s="176"/>
      <c r="O95" s="207">
        <v>5.194296994457182</v>
      </c>
      <c r="P95" s="207">
        <v>2.2199663130734342</v>
      </c>
      <c r="Q95" s="208">
        <v>-0.22689189189189196</v>
      </c>
      <c r="R95" s="51"/>
      <c r="T95" s="201"/>
    </row>
    <row r="96" spans="2:20" ht="15" customHeight="1" thickBot="1">
      <c r="B96" s="2"/>
      <c r="C96" s="170"/>
      <c r="D96" s="171" t="s">
        <v>314</v>
      </c>
      <c r="E96" s="172">
        <v>0</v>
      </c>
      <c r="F96" s="173">
        <v>0</v>
      </c>
      <c r="G96" s="207"/>
      <c r="H96" s="207">
        <v>0</v>
      </c>
      <c r="I96" s="207">
        <v>0</v>
      </c>
      <c r="J96" s="207">
        <v>0</v>
      </c>
      <c r="K96" s="207">
        <v>0</v>
      </c>
      <c r="L96" s="207">
        <v>0</v>
      </c>
      <c r="M96" s="175"/>
      <c r="N96" s="176"/>
      <c r="O96" s="207">
        <v>2.1800000000000002</v>
      </c>
      <c r="P96" s="207">
        <v>0.44</v>
      </c>
      <c r="Q96" s="208">
        <v>-1</v>
      </c>
      <c r="R96" s="51"/>
      <c r="T96" s="201"/>
    </row>
    <row r="97" spans="2:20" ht="15" customHeight="1" thickBot="1">
      <c r="B97" s="2"/>
      <c r="C97" s="170"/>
      <c r="D97" s="171" t="s">
        <v>267</v>
      </c>
      <c r="E97" s="172">
        <v>0</v>
      </c>
      <c r="F97" s="173">
        <v>0</v>
      </c>
      <c r="G97" s="207"/>
      <c r="H97" s="207">
        <v>0</v>
      </c>
      <c r="I97" s="207">
        <v>0</v>
      </c>
      <c r="J97" s="207">
        <v>0</v>
      </c>
      <c r="K97" s="207">
        <v>0</v>
      </c>
      <c r="L97" s="207">
        <v>0</v>
      </c>
      <c r="M97" s="175"/>
      <c r="N97" s="176"/>
      <c r="O97" s="207">
        <v>33.513513513513516</v>
      </c>
      <c r="P97" s="207">
        <v>13.405405405405405</v>
      </c>
      <c r="Q97" s="208">
        <v>-1</v>
      </c>
      <c r="R97" s="51"/>
      <c r="T97" s="201"/>
    </row>
    <row r="98" spans="2:20" ht="15" customHeight="1" thickBot="1">
      <c r="B98" s="2"/>
      <c r="C98" s="170"/>
      <c r="D98" s="171" t="s">
        <v>120</v>
      </c>
      <c r="E98" s="172">
        <v>0</v>
      </c>
      <c r="F98" s="173">
        <v>0</v>
      </c>
      <c r="G98" s="207"/>
      <c r="H98" s="207">
        <v>0</v>
      </c>
      <c r="I98" s="207">
        <v>0</v>
      </c>
      <c r="J98" s="207">
        <v>0</v>
      </c>
      <c r="K98" s="207">
        <v>0</v>
      </c>
      <c r="L98" s="207">
        <v>0</v>
      </c>
      <c r="M98" s="175"/>
      <c r="N98" s="176"/>
      <c r="O98" s="207">
        <v>22.487737556561086</v>
      </c>
      <c r="P98" s="207">
        <v>8.8615837104072419</v>
      </c>
      <c r="Q98" s="208">
        <v>-1</v>
      </c>
      <c r="R98" s="51"/>
      <c r="T98" s="201"/>
    </row>
    <row r="99" spans="2:20" ht="15" customHeight="1" thickBot="1">
      <c r="B99" s="2"/>
      <c r="C99" s="170"/>
      <c r="D99" s="171" t="s">
        <v>316</v>
      </c>
      <c r="E99" s="172">
        <v>0</v>
      </c>
      <c r="F99" s="173">
        <v>0</v>
      </c>
      <c r="G99" s="207"/>
      <c r="H99" s="207">
        <v>0</v>
      </c>
      <c r="I99" s="207">
        <v>0</v>
      </c>
      <c r="J99" s="207">
        <v>0</v>
      </c>
      <c r="K99" s="207">
        <v>0</v>
      </c>
      <c r="L99" s="207">
        <v>0</v>
      </c>
      <c r="M99" s="175"/>
      <c r="N99" s="176"/>
      <c r="O99" s="207">
        <v>12</v>
      </c>
      <c r="P99" s="207">
        <v>4.8</v>
      </c>
      <c r="Q99" s="208">
        <v>-1</v>
      </c>
      <c r="R99" s="51"/>
      <c r="T99" s="201"/>
    </row>
    <row r="100" spans="2:20" ht="15" customHeight="1" thickBot="1">
      <c r="B100" s="2"/>
      <c r="C100" s="170"/>
      <c r="D100" s="171" t="s">
        <v>317</v>
      </c>
      <c r="E100" s="172">
        <v>0</v>
      </c>
      <c r="F100" s="173">
        <v>0</v>
      </c>
      <c r="G100" s="207"/>
      <c r="H100" s="207">
        <v>0</v>
      </c>
      <c r="I100" s="207">
        <v>0</v>
      </c>
      <c r="J100" s="207">
        <v>0</v>
      </c>
      <c r="K100" s="207">
        <v>0</v>
      </c>
      <c r="L100" s="207">
        <v>0</v>
      </c>
      <c r="M100" s="175"/>
      <c r="N100" s="176"/>
      <c r="O100" s="207">
        <v>6.333333333333333</v>
      </c>
      <c r="P100" s="207">
        <v>1.8</v>
      </c>
      <c r="Q100" s="208">
        <v>-1</v>
      </c>
      <c r="R100" s="51"/>
      <c r="T100" s="201"/>
    </row>
    <row r="101" spans="2:20" ht="15" customHeight="1" thickBot="1">
      <c r="B101" s="2"/>
      <c r="C101" s="170"/>
      <c r="D101" s="171" t="s">
        <v>318</v>
      </c>
      <c r="E101" s="172">
        <v>0</v>
      </c>
      <c r="F101" s="173">
        <v>0</v>
      </c>
      <c r="G101" s="207"/>
      <c r="H101" s="207">
        <v>0</v>
      </c>
      <c r="I101" s="207">
        <v>0</v>
      </c>
      <c r="J101" s="207">
        <v>0</v>
      </c>
      <c r="K101" s="207">
        <v>0</v>
      </c>
      <c r="L101" s="207">
        <v>0</v>
      </c>
      <c r="M101" s="175"/>
      <c r="N101" s="176"/>
      <c r="O101" s="207">
        <v>130</v>
      </c>
      <c r="P101" s="207">
        <v>39</v>
      </c>
      <c r="Q101" s="208">
        <v>-1</v>
      </c>
      <c r="R101" s="51"/>
      <c r="T101" s="201"/>
    </row>
    <row r="102" spans="2:20" ht="15" customHeight="1" thickBot="1">
      <c r="B102" s="2"/>
      <c r="C102" s="133" t="s">
        <v>34</v>
      </c>
      <c r="D102" s="134"/>
      <c r="E102" s="122">
        <v>2532</v>
      </c>
      <c r="F102" s="123">
        <v>34.684931506849317</v>
      </c>
      <c r="G102" s="209">
        <v>31.733092417061634</v>
      </c>
      <c r="H102" s="209">
        <v>0.51</v>
      </c>
      <c r="I102" s="209">
        <v>1062.7</v>
      </c>
      <c r="J102" s="209">
        <v>16.005683254344387</v>
      </c>
      <c r="K102" s="209">
        <v>0.14000000000000001</v>
      </c>
      <c r="L102" s="209">
        <v>850</v>
      </c>
      <c r="M102" s="125"/>
      <c r="N102" s="132"/>
      <c r="O102" s="209">
        <v>23.528982152554669</v>
      </c>
      <c r="P102" s="209">
        <v>10.967801913195911</v>
      </c>
      <c r="Q102" s="210">
        <v>0.45933372803598393</v>
      </c>
      <c r="R102" s="51"/>
    </row>
    <row r="103" spans="2:20" ht="15" customHeight="1">
      <c r="B103" s="2"/>
      <c r="C103" s="1"/>
      <c r="D103" s="13"/>
      <c r="E103" s="13"/>
      <c r="F103" s="13"/>
      <c r="G103" s="13"/>
      <c r="H103" s="13"/>
      <c r="I103" s="13"/>
      <c r="J103" s="13"/>
      <c r="K103" s="13"/>
      <c r="L103" s="13"/>
      <c r="M103" s="13"/>
      <c r="N103" s="13"/>
      <c r="O103" s="13"/>
      <c r="P103" s="13"/>
      <c r="Q103" s="13"/>
      <c r="R103" s="51"/>
    </row>
    <row r="104" spans="2:20" ht="15" customHeight="1">
      <c r="B104" s="2"/>
      <c r="C104" s="1"/>
      <c r="D104" s="13"/>
      <c r="E104" s="13"/>
      <c r="F104" s="13"/>
      <c r="G104" s="13"/>
      <c r="H104" s="13"/>
      <c r="I104" s="13"/>
      <c r="J104" s="13"/>
      <c r="K104" s="13"/>
      <c r="L104" s="13"/>
      <c r="M104" s="13"/>
      <c r="N104" s="13"/>
      <c r="O104" s="13"/>
      <c r="P104" s="13"/>
      <c r="Q104" s="13"/>
      <c r="R104" s="51"/>
    </row>
    <row r="105" spans="2:20" ht="15" customHeight="1">
      <c r="B105" s="2"/>
      <c r="C105" s="134" t="s">
        <v>121</v>
      </c>
      <c r="D105" s="134"/>
      <c r="E105" s="1"/>
      <c r="F105" s="1"/>
      <c r="G105" s="1"/>
      <c r="H105" s="153">
        <v>0.39829999999999999</v>
      </c>
      <c r="I105" s="153">
        <v>0</v>
      </c>
      <c r="J105" s="153">
        <v>0.60170000000000001</v>
      </c>
      <c r="K105" s="1"/>
      <c r="L105" s="1"/>
      <c r="M105" s="1"/>
      <c r="N105" s="1"/>
      <c r="O105" s="1"/>
      <c r="P105" s="13"/>
      <c r="Q105" s="13"/>
      <c r="R105" s="51"/>
    </row>
    <row r="106" spans="2:20" ht="15" customHeight="1">
      <c r="B106" s="2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3"/>
      <c r="Q106" s="13"/>
      <c r="R106" s="51"/>
    </row>
    <row r="107" spans="2:20" ht="15" customHeight="1">
      <c r="B107" s="2"/>
      <c r="C107" s="134" t="s">
        <v>122</v>
      </c>
      <c r="D107" s="134"/>
      <c r="E107" s="1"/>
      <c r="F107" s="1"/>
      <c r="G107" s="124">
        <v>1100.6600000000001</v>
      </c>
      <c r="H107" s="124">
        <v>367.43</v>
      </c>
      <c r="I107" s="124">
        <v>0</v>
      </c>
      <c r="J107" s="124">
        <v>555.16</v>
      </c>
      <c r="K107" s="1"/>
      <c r="M107" s="1"/>
      <c r="N107" s="1"/>
      <c r="O107" s="1"/>
      <c r="P107" s="13"/>
      <c r="Q107" s="13"/>
      <c r="R107" s="51"/>
    </row>
    <row r="108" spans="2:20" ht="15" customHeight="1">
      <c r="B108" s="2"/>
      <c r="C108" s="134" t="s">
        <v>123</v>
      </c>
      <c r="D108" s="134"/>
      <c r="E108" s="1"/>
      <c r="F108" s="1"/>
      <c r="G108" s="124">
        <v>2434.79</v>
      </c>
      <c r="H108" s="124">
        <v>812.81</v>
      </c>
      <c r="I108" s="124">
        <v>0</v>
      </c>
      <c r="J108" s="124">
        <v>1228.07</v>
      </c>
      <c r="K108" s="1"/>
      <c r="L108" s="1"/>
      <c r="M108" s="1"/>
      <c r="N108" s="1"/>
      <c r="O108" s="1"/>
      <c r="P108" s="13"/>
      <c r="Q108" s="13"/>
      <c r="R108" s="51"/>
    </row>
    <row r="109" spans="2:20" ht="15" customHeight="1">
      <c r="B109" s="2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3"/>
      <c r="Q109" s="13"/>
      <c r="R109" s="51"/>
    </row>
    <row r="110" spans="2:20" ht="15" customHeight="1">
      <c r="B110" s="2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3"/>
      <c r="Q110" s="13"/>
      <c r="R110" s="51"/>
    </row>
    <row r="111" spans="2:20" ht="12" customHeight="1">
      <c r="B111" s="3"/>
      <c r="C111" s="135"/>
      <c r="D111" s="135"/>
      <c r="E111" s="135"/>
      <c r="F111" s="135"/>
      <c r="G111" s="135"/>
      <c r="H111" s="135"/>
      <c r="I111" s="135"/>
      <c r="J111" s="135"/>
      <c r="K111" s="135"/>
      <c r="L111" s="135"/>
      <c r="M111" s="135"/>
      <c r="N111" s="135"/>
      <c r="O111" s="135"/>
      <c r="P111" s="136"/>
      <c r="Q111" s="136"/>
      <c r="R111" s="52"/>
    </row>
    <row r="112" spans="2:20" ht="15.75">
      <c r="G112" s="37"/>
      <c r="J112" s="37"/>
      <c r="K112" s="1"/>
      <c r="L112" s="1"/>
      <c r="M112" s="1"/>
      <c r="N112" s="1"/>
      <c r="O112" s="1"/>
      <c r="P112" s="13"/>
      <c r="Q112" s="13"/>
    </row>
    <row r="113" spans="7:17" ht="15.75">
      <c r="G113" s="1"/>
      <c r="H113" s="211"/>
      <c r="I113" s="211"/>
      <c r="J113" s="1"/>
      <c r="K113" s="211"/>
      <c r="L113" s="211"/>
      <c r="M113" s="1"/>
      <c r="N113" s="1"/>
      <c r="O113" s="1"/>
      <c r="P113" s="13"/>
      <c r="Q113" s="13"/>
    </row>
    <row r="114" spans="7:17">
      <c r="H114" s="1"/>
      <c r="I114" s="1"/>
      <c r="J114" s="1"/>
    </row>
  </sheetData>
  <mergeCells count="3">
    <mergeCell ref="C8:Q8"/>
    <mergeCell ref="E12:M12"/>
    <mergeCell ref="O12:Q12"/>
  </mergeCells>
  <pageMargins left="0.70866141732283472" right="0.70866141732283472" top="0.74803149606299213" bottom="0.74803149606299213" header="0.31496062992125984" footer="0.31496062992125984"/>
  <pageSetup paperSize="9" scale="34" orientation="portrait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Feuil25">
    <tabColor theme="4" tint="0.79998168889431442"/>
    <pageSetUpPr fitToPage="1"/>
  </sheetPr>
  <dimension ref="A1:AA50"/>
  <sheetViews>
    <sheetView showGridLines="0" zoomScale="70" zoomScaleNormal="70" workbookViewId="0">
      <selection activeCell="U1" sqref="U1"/>
    </sheetView>
  </sheetViews>
  <sheetFormatPr baseColWidth="10" defaultColWidth="11.42578125" defaultRowHeight="15"/>
  <cols>
    <col min="1" max="1" width="2.85546875" style="5" customWidth="1"/>
    <col min="2" max="2" width="4.28515625" customWidth="1"/>
    <col min="3" max="3" width="18.5703125" customWidth="1"/>
    <col min="4" max="9" width="11.42578125" customWidth="1"/>
    <col min="10" max="10" width="14.28515625" customWidth="1"/>
    <col min="11" max="17" width="11.42578125" customWidth="1"/>
    <col min="18" max="18" width="18.5703125" customWidth="1"/>
    <col min="19" max="19" width="4.140625" customWidth="1"/>
    <col min="20" max="20" width="2.85546875" customWidth="1"/>
    <col min="21" max="21" width="11.42578125" customWidth="1"/>
    <col min="22" max="22" width="35.42578125" bestFit="1" customWidth="1"/>
    <col min="23" max="23" width="11.42578125" customWidth="1"/>
    <col min="24" max="24" width="9.42578125" bestFit="1" customWidth="1"/>
    <col min="25" max="26" width="11.42578125" customWidth="1"/>
  </cols>
  <sheetData>
    <row r="1" spans="2:26"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</row>
    <row r="2" spans="2:26">
      <c r="B2" s="48"/>
      <c r="C2" s="49"/>
      <c r="D2" s="49"/>
      <c r="E2" s="49"/>
      <c r="F2" s="49"/>
      <c r="G2" s="49"/>
      <c r="H2" s="49"/>
      <c r="I2" s="49"/>
      <c r="J2" s="49"/>
      <c r="K2" s="49"/>
      <c r="L2" s="49"/>
      <c r="M2" s="49"/>
      <c r="N2" s="49"/>
      <c r="O2" s="49"/>
      <c r="P2" s="49"/>
      <c r="Q2" s="49"/>
      <c r="R2" s="49"/>
      <c r="S2" s="50"/>
    </row>
    <row r="3" spans="2:26">
      <c r="B3" s="2"/>
      <c r="S3" s="51"/>
    </row>
    <row r="4" spans="2:26">
      <c r="B4" s="2"/>
      <c r="S4" s="51"/>
    </row>
    <row r="5" spans="2:26">
      <c r="B5" s="2"/>
      <c r="S5" s="51"/>
    </row>
    <row r="6" spans="2:26" hidden="1">
      <c r="B6" s="2"/>
      <c r="S6" s="51"/>
    </row>
    <row r="7" spans="2:26" hidden="1">
      <c r="B7" s="2"/>
      <c r="S7" s="51"/>
    </row>
    <row r="8" spans="2:26" ht="61.5" customHeight="1">
      <c r="B8" s="2"/>
      <c r="C8" s="258" t="str">
        <f>'Page de garde'!C13&amp;" : Analyse de la dépense médicale"</f>
        <v>60000016 - 60000017 - 60000018 - 60000087 : Analyse de la dépense médicale</v>
      </c>
      <c r="D8" s="259"/>
      <c r="E8" s="259"/>
      <c r="F8" s="259"/>
      <c r="G8" s="259"/>
      <c r="H8" s="259"/>
      <c r="I8" s="259"/>
      <c r="J8" s="259"/>
      <c r="K8" s="259"/>
      <c r="L8" s="259"/>
      <c r="M8" s="259"/>
      <c r="N8" s="259"/>
      <c r="O8" s="259"/>
      <c r="P8" s="259"/>
      <c r="Q8" s="259"/>
      <c r="R8" s="260"/>
      <c r="S8" s="51"/>
    </row>
    <row r="9" spans="2:26">
      <c r="B9" s="2"/>
      <c r="S9" s="51"/>
    </row>
    <row r="10" spans="2:26">
      <c r="B10" s="2"/>
      <c r="S10" s="51"/>
    </row>
    <row r="11" spans="2:26">
      <c r="B11" s="2"/>
      <c r="S11" s="51"/>
    </row>
    <row r="12" spans="2:26">
      <c r="B12" s="2"/>
      <c r="S12" s="51"/>
    </row>
    <row r="13" spans="2:26">
      <c r="B13" s="2"/>
      <c r="S13" s="51"/>
    </row>
    <row r="14" spans="2:26" ht="15.75" customHeight="1">
      <c r="B14" s="2"/>
      <c r="S14" s="51"/>
    </row>
    <row r="15" spans="2:26">
      <c r="B15" s="2"/>
      <c r="S15" s="51"/>
    </row>
    <row r="16" spans="2:26" ht="23.25">
      <c r="B16" s="2"/>
      <c r="S16" s="51"/>
      <c r="Z16" s="166"/>
    </row>
    <row r="17" spans="2:27">
      <c r="B17" s="2"/>
      <c r="S17" s="51"/>
    </row>
    <row r="18" spans="2:27">
      <c r="B18" s="2"/>
      <c r="S18" s="51"/>
      <c r="V18" s="167" t="str">
        <f>'DATA QUARTILE'!C2</f>
        <v>ACTES DE PROPHYLAXIE ET PREVENTION</v>
      </c>
      <c r="W18" s="157"/>
      <c r="X18" s="158"/>
      <c r="Y18" s="167"/>
      <c r="Z18" s="157"/>
      <c r="AA18" s="158"/>
    </row>
    <row r="19" spans="2:27">
      <c r="B19" s="2"/>
      <c r="S19" s="51"/>
      <c r="V19" s="159"/>
      <c r="X19" s="160" t="s">
        <v>145</v>
      </c>
      <c r="Y19" s="159"/>
      <c r="AA19" s="160" t="s">
        <v>145</v>
      </c>
    </row>
    <row r="20" spans="2:27">
      <c r="B20" s="2"/>
      <c r="S20" s="51"/>
      <c r="V20" s="159" t="s">
        <v>146</v>
      </c>
      <c r="W20" s="161">
        <f>VLOOKUP($V$18,'DATA QUARTILE'!$C:$J,2,FALSE)</f>
        <v>0</v>
      </c>
      <c r="X20" s="164">
        <f>ROUND(VLOOKUP($V$18,'DATA QUARTILE'!$C:$J,8,FALSE),0)</f>
        <v>0</v>
      </c>
      <c r="Y20" s="159"/>
      <c r="Z20" s="161" t="e">
        <f>VLOOKUP($Y$18,'DATA QUARTILE'!$C:$J,2,FALSE)</f>
        <v>#N/A</v>
      </c>
      <c r="AA20" s="164" t="e">
        <f>ROUND(VLOOKUP($Y$18,'DATA QUARTILE'!$C:$J,8,FALSE),0)</f>
        <v>#N/A</v>
      </c>
    </row>
    <row r="21" spans="2:27">
      <c r="B21" s="2"/>
      <c r="S21" s="51"/>
      <c r="V21" s="159" t="s">
        <v>147</v>
      </c>
      <c r="W21" s="161">
        <f>VLOOKUP($V$18,'DATA QUARTILE'!$C:$J,4,FALSE)</f>
        <v>0</v>
      </c>
      <c r="X21" s="164">
        <f>X20</f>
        <v>0</v>
      </c>
      <c r="Y21" s="159" t="s">
        <v>148</v>
      </c>
      <c r="Z21" s="161" t="e">
        <f>VLOOKUP($Y$18,'DATA QUARTILE'!$C:$J,4,FALSE)</f>
        <v>#N/A</v>
      </c>
      <c r="AA21" s="164" t="e">
        <f>AA20</f>
        <v>#N/A</v>
      </c>
    </row>
    <row r="22" spans="2:27">
      <c r="B22" s="2"/>
      <c r="S22" s="51"/>
      <c r="V22" s="159" t="s">
        <v>149</v>
      </c>
      <c r="W22" s="161">
        <f>VLOOKUP($V$18,'DATA QUARTILE'!$C:$J,5,FALSE)</f>
        <v>0</v>
      </c>
      <c r="X22" s="164">
        <f>X21</f>
        <v>0</v>
      </c>
      <c r="Y22" s="159" t="s">
        <v>150</v>
      </c>
      <c r="Z22" s="161" t="e">
        <f>VLOOKUP($Y$18,'DATA QUARTILE'!$C:$J,5,FALSE)</f>
        <v>#N/A</v>
      </c>
      <c r="AA22" s="164" t="e">
        <f>AA21</f>
        <v>#N/A</v>
      </c>
    </row>
    <row r="23" spans="2:27">
      <c r="B23" s="2"/>
      <c r="S23" s="51"/>
      <c r="V23" s="159" t="s">
        <v>151</v>
      </c>
      <c r="W23" s="161">
        <f>VLOOKUP($V$18,'DATA QUARTILE'!$C:$J,6,FALSE)</f>
        <v>0</v>
      </c>
      <c r="X23" s="164">
        <f>X22</f>
        <v>0</v>
      </c>
      <c r="Y23" s="159" t="s">
        <v>152</v>
      </c>
      <c r="Z23" s="161" t="e">
        <f>VLOOKUP($Y$18,'DATA QUARTILE'!$C:$J,6,FALSE)</f>
        <v>#N/A</v>
      </c>
      <c r="AA23" s="164" t="e">
        <f>AA22</f>
        <v>#N/A</v>
      </c>
    </row>
    <row r="24" spans="2:27">
      <c r="B24" s="2"/>
      <c r="S24" s="51"/>
      <c r="V24" s="159" t="s">
        <v>153</v>
      </c>
      <c r="W24" s="161">
        <f>VLOOKUP($V$18,'DATA QUARTILE'!$C:$J,7,FALSE)</f>
        <v>0</v>
      </c>
      <c r="X24" s="164">
        <f>X23</f>
        <v>0</v>
      </c>
      <c r="Y24" s="159" t="s">
        <v>154</v>
      </c>
      <c r="Z24" s="161" t="e">
        <f>VLOOKUP($Y$18,'DATA QUARTILE'!$C:$J,7,FALSE)</f>
        <v>#N/A</v>
      </c>
      <c r="AA24" s="164" t="e">
        <f>AA23</f>
        <v>#N/A</v>
      </c>
    </row>
    <row r="25" spans="2:27">
      <c r="B25" s="2"/>
      <c r="S25" s="51"/>
      <c r="V25" s="162" t="s">
        <v>155</v>
      </c>
      <c r="W25" s="163">
        <f>VLOOKUP($V$18,'DATA QUARTILE'!$C:$J,3,FALSE)</f>
        <v>0</v>
      </c>
      <c r="X25" s="165">
        <f>X24</f>
        <v>0</v>
      </c>
      <c r="Y25" s="162"/>
      <c r="Z25" s="163" t="e">
        <f>VLOOKUP($Y$18,'DATA QUARTILE'!$C:$J,3,FALSE)</f>
        <v>#N/A</v>
      </c>
      <c r="AA25" s="165" t="e">
        <f>AA24</f>
        <v>#N/A</v>
      </c>
    </row>
    <row r="26" spans="2:27">
      <c r="B26" s="2"/>
      <c r="S26" s="51"/>
    </row>
    <row r="27" spans="2:27">
      <c r="B27" s="2"/>
      <c r="S27" s="51"/>
    </row>
    <row r="28" spans="2:27">
      <c r="B28" s="2"/>
      <c r="S28" s="51"/>
    </row>
    <row r="29" spans="2:27">
      <c r="B29" s="2"/>
      <c r="S29" s="51"/>
    </row>
    <row r="30" spans="2:27">
      <c r="B30" s="2"/>
      <c r="S30" s="51"/>
    </row>
    <row r="31" spans="2:27">
      <c r="B31" s="2"/>
      <c r="S31" s="51"/>
    </row>
    <row r="32" spans="2:27">
      <c r="B32" s="2"/>
      <c r="S32" s="51"/>
    </row>
    <row r="33" spans="2:19">
      <c r="B33" s="2"/>
      <c r="S33" s="51"/>
    </row>
    <row r="34" spans="2:19">
      <c r="B34" s="2"/>
      <c r="S34" s="51"/>
    </row>
    <row r="35" spans="2:19">
      <c r="B35" s="2"/>
      <c r="S35" s="51"/>
    </row>
    <row r="36" spans="2:19">
      <c r="B36" s="2"/>
      <c r="S36" s="51"/>
    </row>
    <row r="37" spans="2:19">
      <c r="B37" s="2"/>
      <c r="S37" s="51"/>
    </row>
    <row r="38" spans="2:19">
      <c r="B38" s="2"/>
      <c r="S38" s="51"/>
    </row>
    <row r="39" spans="2:19">
      <c r="B39" s="2"/>
      <c r="S39" s="51"/>
    </row>
    <row r="40" spans="2:19">
      <c r="B40" s="2"/>
      <c r="S40" s="51"/>
    </row>
    <row r="41" spans="2:19">
      <c r="B41" s="2"/>
      <c r="S41" s="51"/>
    </row>
    <row r="42" spans="2:19">
      <c r="B42" s="2"/>
      <c r="S42" s="51"/>
    </row>
    <row r="43" spans="2:19">
      <c r="B43" s="2"/>
      <c r="S43" s="51"/>
    </row>
    <row r="44" spans="2:19">
      <c r="B44" s="2"/>
      <c r="S44" s="51"/>
    </row>
    <row r="45" spans="2:19" ht="12.75" customHeight="1">
      <c r="B45" s="2"/>
      <c r="S45" s="51"/>
    </row>
    <row r="46" spans="2:19" ht="14.25" customHeight="1">
      <c r="B46" s="2"/>
      <c r="S46" s="51"/>
    </row>
    <row r="47" spans="2:19">
      <c r="B47" s="2"/>
      <c r="S47" s="51"/>
    </row>
    <row r="48" spans="2:19">
      <c r="B48" s="2"/>
      <c r="S48" s="51"/>
    </row>
    <row r="49" spans="2:19">
      <c r="B49" s="2"/>
      <c r="S49" s="51"/>
    </row>
    <row r="50" spans="2:19" ht="18" customHeight="1">
      <c r="B50" s="3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52"/>
    </row>
  </sheetData>
  <mergeCells count="1">
    <mergeCell ref="C8:R8"/>
  </mergeCells>
  <pageMargins left="0.70866141732283472" right="0.70866141732283472" top="0.74803149606299213" bottom="0.74803149606299213" header="0.31496062992125984" footer="0.31496062992125984"/>
  <pageSetup paperSize="9" scale="61" orientation="landscape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Feuil20">
    <tabColor theme="4" tint="0.79998168889431442"/>
    <pageSetUpPr fitToPage="1"/>
  </sheetPr>
  <dimension ref="A1:AA50"/>
  <sheetViews>
    <sheetView showGridLines="0" zoomScale="70" zoomScaleNormal="70" workbookViewId="0">
      <selection activeCell="U1" sqref="U1"/>
    </sheetView>
  </sheetViews>
  <sheetFormatPr baseColWidth="10" defaultColWidth="11.42578125" defaultRowHeight="15"/>
  <cols>
    <col min="1" max="1" width="2.85546875" style="5" customWidth="1"/>
    <col min="2" max="2" width="4.28515625" customWidth="1"/>
    <col min="3" max="3" width="18.5703125" customWidth="1"/>
    <col min="4" max="9" width="11.42578125" customWidth="1"/>
    <col min="10" max="10" width="14.28515625" customWidth="1"/>
    <col min="11" max="17" width="11.42578125" customWidth="1"/>
    <col min="18" max="18" width="18.5703125" customWidth="1"/>
    <col min="19" max="19" width="4.140625" customWidth="1"/>
    <col min="20" max="20" width="2.85546875" customWidth="1"/>
    <col min="21" max="21" width="11.42578125" customWidth="1"/>
    <col min="22" max="22" width="35.7109375" bestFit="1" customWidth="1"/>
    <col min="23" max="23" width="11.42578125" customWidth="1"/>
    <col min="24" max="24" width="9.42578125" bestFit="1" customWidth="1"/>
    <col min="25" max="25" width="35.7109375" bestFit="1" customWidth="1"/>
    <col min="26" max="27" width="11.42578125" customWidth="1"/>
  </cols>
  <sheetData>
    <row r="1" spans="2:26"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</row>
    <row r="2" spans="2:26">
      <c r="B2" s="48"/>
      <c r="C2" s="49"/>
      <c r="D2" s="49"/>
      <c r="E2" s="49"/>
      <c r="F2" s="49"/>
      <c r="G2" s="49"/>
      <c r="H2" s="49"/>
      <c r="I2" s="49"/>
      <c r="J2" s="49"/>
      <c r="K2" s="49"/>
      <c r="L2" s="49"/>
      <c r="M2" s="49"/>
      <c r="N2" s="49"/>
      <c r="O2" s="49"/>
      <c r="P2" s="49"/>
      <c r="Q2" s="49"/>
      <c r="R2" s="49"/>
      <c r="S2" s="50"/>
    </row>
    <row r="3" spans="2:26">
      <c r="B3" s="2"/>
      <c r="S3" s="51"/>
    </row>
    <row r="4" spans="2:26">
      <c r="B4" s="2"/>
      <c r="S4" s="51"/>
    </row>
    <row r="5" spans="2:26">
      <c r="B5" s="2"/>
      <c r="S5" s="51"/>
    </row>
    <row r="6" spans="2:26" hidden="1">
      <c r="B6" s="2"/>
      <c r="S6" s="51"/>
    </row>
    <row r="7" spans="2:26" hidden="1">
      <c r="B7" s="2"/>
      <c r="S7" s="51"/>
    </row>
    <row r="8" spans="2:26" ht="61.5" customHeight="1">
      <c r="B8" s="2"/>
      <c r="C8" s="258" t="str">
        <f>'Page de garde'!C13&amp;" : Analyse de la dépense médicale optique"</f>
        <v>60000016 - 60000017 - 60000018 - 60000087 : Analyse de la dépense médicale optique</v>
      </c>
      <c r="D8" s="259"/>
      <c r="E8" s="259"/>
      <c r="F8" s="259"/>
      <c r="G8" s="259"/>
      <c r="H8" s="259"/>
      <c r="I8" s="259"/>
      <c r="J8" s="259"/>
      <c r="K8" s="259"/>
      <c r="L8" s="259"/>
      <c r="M8" s="259"/>
      <c r="N8" s="259"/>
      <c r="O8" s="259"/>
      <c r="P8" s="259"/>
      <c r="Q8" s="259"/>
      <c r="R8" s="260"/>
      <c r="S8" s="51"/>
    </row>
    <row r="9" spans="2:26">
      <c r="B9" s="2"/>
      <c r="S9" s="51"/>
    </row>
    <row r="10" spans="2:26">
      <c r="B10" s="2"/>
      <c r="S10" s="51"/>
    </row>
    <row r="11" spans="2:26">
      <c r="B11" s="2"/>
      <c r="S11" s="51"/>
    </row>
    <row r="12" spans="2:26">
      <c r="B12" s="2"/>
      <c r="S12" s="51"/>
    </row>
    <row r="13" spans="2:26">
      <c r="B13" s="2"/>
      <c r="S13" s="51"/>
    </row>
    <row r="14" spans="2:26" ht="15.75" customHeight="1">
      <c r="B14" s="2"/>
      <c r="S14" s="51"/>
    </row>
    <row r="15" spans="2:26">
      <c r="B15" s="2"/>
      <c r="S15" s="51"/>
    </row>
    <row r="16" spans="2:26" ht="23.25">
      <c r="B16" s="2"/>
      <c r="S16" s="51"/>
      <c r="Z16" s="166"/>
    </row>
    <row r="17" spans="2:27">
      <c r="B17" s="2"/>
      <c r="S17" s="51"/>
    </row>
    <row r="18" spans="2:27">
      <c r="B18" s="2"/>
      <c r="S18" s="51"/>
      <c r="V18" s="167" t="str">
        <f>'DATA QUARTILE'!C3</f>
        <v>APPAREILLAGE REFUSE</v>
      </c>
      <c r="W18" s="157"/>
      <c r="X18" s="158"/>
      <c r="Y18" s="167"/>
      <c r="Z18" s="157"/>
      <c r="AA18" s="158"/>
    </row>
    <row r="19" spans="2:27">
      <c r="B19" s="2"/>
      <c r="S19" s="51"/>
      <c r="V19" s="159"/>
      <c r="X19" s="160" t="s">
        <v>145</v>
      </c>
      <c r="Y19" s="159"/>
      <c r="AA19" s="160" t="s">
        <v>145</v>
      </c>
    </row>
    <row r="20" spans="2:27">
      <c r="B20" s="2"/>
      <c r="S20" s="51"/>
      <c r="V20" s="159" t="s">
        <v>146</v>
      </c>
      <c r="W20" s="161">
        <f>VLOOKUP($V$18,'DATA QUARTILE'!$C:$J,2,FALSE)</f>
        <v>0</v>
      </c>
      <c r="X20" s="164">
        <f>ROUND(VLOOKUP($V$18,'DATA QUARTILE'!$C:$J,8,FALSE),0)</f>
        <v>0</v>
      </c>
      <c r="Y20" s="159"/>
      <c r="Z20" s="161" t="e">
        <f>VLOOKUP($Y$18,'DATA QUARTILE'!$C:$J,2,FALSE)</f>
        <v>#N/A</v>
      </c>
      <c r="AA20" s="164" t="e">
        <f>ROUND(VLOOKUP($Y$18,'DATA QUARTILE'!$C:$J,8,FALSE),0)</f>
        <v>#N/A</v>
      </c>
    </row>
    <row r="21" spans="2:27">
      <c r="B21" s="2"/>
      <c r="S21" s="51"/>
      <c r="V21" s="159" t="s">
        <v>147</v>
      </c>
      <c r="W21" s="161">
        <f>VLOOKUP($V$18,'DATA QUARTILE'!$C:$J,4,FALSE)</f>
        <v>0</v>
      </c>
      <c r="X21" s="164">
        <f>X20</f>
        <v>0</v>
      </c>
      <c r="Y21" s="159" t="s">
        <v>148</v>
      </c>
      <c r="Z21" s="161" t="e">
        <f>VLOOKUP($Y$18,'DATA QUARTILE'!$C:$J,4,FALSE)</f>
        <v>#N/A</v>
      </c>
      <c r="AA21" s="164" t="e">
        <f>AA20</f>
        <v>#N/A</v>
      </c>
    </row>
    <row r="22" spans="2:27">
      <c r="B22" s="2"/>
      <c r="S22" s="51"/>
      <c r="V22" s="159" t="s">
        <v>149</v>
      </c>
      <c r="W22" s="161">
        <f>VLOOKUP($V$18,'DATA QUARTILE'!$C:$J,5,FALSE)</f>
        <v>0</v>
      </c>
      <c r="X22" s="164">
        <f>X21</f>
        <v>0</v>
      </c>
      <c r="Y22" s="159" t="s">
        <v>150</v>
      </c>
      <c r="Z22" s="161" t="e">
        <f>VLOOKUP($Y$18,'DATA QUARTILE'!$C:$J,5,FALSE)</f>
        <v>#N/A</v>
      </c>
      <c r="AA22" s="164" t="e">
        <f>AA21</f>
        <v>#N/A</v>
      </c>
    </row>
    <row r="23" spans="2:27">
      <c r="B23" s="2"/>
      <c r="S23" s="51"/>
      <c r="V23" s="159" t="s">
        <v>151</v>
      </c>
      <c r="W23" s="161">
        <f>VLOOKUP($V$18,'DATA QUARTILE'!$C:$J,6,FALSE)</f>
        <v>0</v>
      </c>
      <c r="X23" s="164">
        <f>X22</f>
        <v>0</v>
      </c>
      <c r="Y23" s="159" t="s">
        <v>152</v>
      </c>
      <c r="Z23" s="161" t="e">
        <f>VLOOKUP($Y$18,'DATA QUARTILE'!$C:$J,6,FALSE)</f>
        <v>#N/A</v>
      </c>
      <c r="AA23" s="164" t="e">
        <f>AA22</f>
        <v>#N/A</v>
      </c>
    </row>
    <row r="24" spans="2:27">
      <c r="B24" s="2"/>
      <c r="S24" s="51"/>
      <c r="V24" s="159" t="s">
        <v>153</v>
      </c>
      <c r="W24" s="161">
        <f>VLOOKUP($V$18,'DATA QUARTILE'!$C:$J,7,FALSE)</f>
        <v>0</v>
      </c>
      <c r="X24" s="164">
        <f>X23</f>
        <v>0</v>
      </c>
      <c r="Y24" s="159" t="s">
        <v>154</v>
      </c>
      <c r="Z24" s="161" t="e">
        <f>VLOOKUP($Y$18,'DATA QUARTILE'!$C:$J,7,FALSE)</f>
        <v>#N/A</v>
      </c>
      <c r="AA24" s="164" t="e">
        <f>AA23</f>
        <v>#N/A</v>
      </c>
    </row>
    <row r="25" spans="2:27">
      <c r="B25" s="2"/>
      <c r="S25" s="51"/>
      <c r="V25" s="162" t="s">
        <v>155</v>
      </c>
      <c r="W25" s="163">
        <f>VLOOKUP($V$18,'DATA QUARTILE'!$C:$J,3,FALSE)</f>
        <v>0</v>
      </c>
      <c r="X25" s="165">
        <f>X24</f>
        <v>0</v>
      </c>
      <c r="Y25" s="162"/>
      <c r="Z25" s="163" t="e">
        <f>VLOOKUP($Y$18,'DATA QUARTILE'!$C:$J,3,FALSE)</f>
        <v>#N/A</v>
      </c>
      <c r="AA25" s="165" t="e">
        <f>AA24</f>
        <v>#N/A</v>
      </c>
    </row>
    <row r="26" spans="2:27">
      <c r="B26" s="2"/>
      <c r="S26" s="51"/>
    </row>
    <row r="27" spans="2:27">
      <c r="B27" s="2"/>
      <c r="S27" s="51"/>
    </row>
    <row r="28" spans="2:27">
      <c r="B28" s="2"/>
      <c r="S28" s="51"/>
    </row>
    <row r="29" spans="2:27">
      <c r="B29" s="2"/>
      <c r="S29" s="51"/>
    </row>
    <row r="30" spans="2:27">
      <c r="B30" s="2"/>
      <c r="S30" s="51"/>
    </row>
    <row r="31" spans="2:27">
      <c r="B31" s="2"/>
      <c r="S31" s="51"/>
    </row>
    <row r="32" spans="2:27">
      <c r="B32" s="2"/>
      <c r="S32" s="51"/>
    </row>
    <row r="33" spans="2:19">
      <c r="B33" s="2"/>
      <c r="S33" s="51"/>
    </row>
    <row r="34" spans="2:19">
      <c r="B34" s="2"/>
      <c r="S34" s="51"/>
    </row>
    <row r="35" spans="2:19">
      <c r="B35" s="2"/>
      <c r="S35" s="51"/>
    </row>
    <row r="36" spans="2:19">
      <c r="B36" s="2"/>
      <c r="S36" s="51"/>
    </row>
    <row r="37" spans="2:19">
      <c r="B37" s="2"/>
      <c r="S37" s="51"/>
    </row>
    <row r="38" spans="2:19">
      <c r="B38" s="2"/>
      <c r="S38" s="51"/>
    </row>
    <row r="39" spans="2:19">
      <c r="B39" s="2"/>
      <c r="S39" s="51"/>
    </row>
    <row r="40" spans="2:19">
      <c r="B40" s="2"/>
      <c r="S40" s="51"/>
    </row>
    <row r="41" spans="2:19">
      <c r="B41" s="2"/>
      <c r="S41" s="51"/>
    </row>
    <row r="42" spans="2:19">
      <c r="B42" s="2"/>
      <c r="S42" s="51"/>
    </row>
    <row r="43" spans="2:19">
      <c r="B43" s="2"/>
      <c r="S43" s="51"/>
    </row>
    <row r="44" spans="2:19">
      <c r="B44" s="2"/>
      <c r="S44" s="51"/>
    </row>
    <row r="45" spans="2:19" ht="12.75" customHeight="1">
      <c r="B45" s="2"/>
      <c r="S45" s="51"/>
    </row>
    <row r="46" spans="2:19" ht="14.25" customHeight="1">
      <c r="B46" s="2"/>
      <c r="S46" s="51"/>
    </row>
    <row r="47" spans="2:19">
      <c r="B47" s="2"/>
      <c r="S47" s="51"/>
    </row>
    <row r="48" spans="2:19">
      <c r="B48" s="2"/>
      <c r="S48" s="51"/>
    </row>
    <row r="49" spans="2:19">
      <c r="B49" s="2"/>
      <c r="S49" s="51"/>
    </row>
    <row r="50" spans="2:19" ht="18" customHeight="1">
      <c r="B50" s="3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52"/>
    </row>
  </sheetData>
  <mergeCells count="1">
    <mergeCell ref="C8:R8"/>
  </mergeCells>
  <pageMargins left="0.70866141732283472" right="0.70866141732283472" top="0.74803149606299213" bottom="0.74803149606299213" header="0.31496062992125984" footer="0.31496062992125984"/>
  <pageSetup paperSize="9" scale="61" orientation="landscape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Feuil23">
    <tabColor theme="4" tint="0.79998168889431442"/>
    <pageSetUpPr fitToPage="1"/>
  </sheetPr>
  <dimension ref="A1:AA50"/>
  <sheetViews>
    <sheetView showGridLines="0" zoomScale="70" zoomScaleNormal="70" workbookViewId="0">
      <selection activeCell="U1" sqref="U1"/>
    </sheetView>
  </sheetViews>
  <sheetFormatPr baseColWidth="10" defaultColWidth="11.42578125" defaultRowHeight="15"/>
  <cols>
    <col min="1" max="1" width="2.85546875" style="5" customWidth="1"/>
    <col min="2" max="2" width="4.28515625" customWidth="1"/>
    <col min="3" max="3" width="18.5703125" customWidth="1"/>
    <col min="4" max="9" width="11.42578125" customWidth="1"/>
    <col min="10" max="10" width="14.28515625" customWidth="1"/>
    <col min="11" max="17" width="11.42578125" customWidth="1"/>
    <col min="18" max="18" width="18.5703125" customWidth="1"/>
    <col min="19" max="19" width="4.140625" customWidth="1"/>
    <col min="20" max="20" width="2.85546875" customWidth="1"/>
    <col min="21" max="21" width="11.42578125" customWidth="1"/>
    <col min="22" max="22" width="45" bestFit="1" customWidth="1"/>
    <col min="23" max="23" width="11.42578125" customWidth="1"/>
    <col min="24" max="24" width="9.42578125" bestFit="1" customWidth="1"/>
    <col min="25" max="26" width="11.42578125" customWidth="1"/>
  </cols>
  <sheetData>
    <row r="1" spans="2:26"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</row>
    <row r="2" spans="2:26">
      <c r="B2" s="48"/>
      <c r="C2" s="49"/>
      <c r="D2" s="49"/>
      <c r="E2" s="49"/>
      <c r="F2" s="49"/>
      <c r="G2" s="49"/>
      <c r="H2" s="49"/>
      <c r="I2" s="49"/>
      <c r="J2" s="49"/>
      <c r="K2" s="49"/>
      <c r="L2" s="49"/>
      <c r="M2" s="49"/>
      <c r="N2" s="49"/>
      <c r="O2" s="49"/>
      <c r="P2" s="49"/>
      <c r="Q2" s="49"/>
      <c r="R2" s="49"/>
      <c r="S2" s="50"/>
    </row>
    <row r="3" spans="2:26">
      <c r="B3" s="2"/>
      <c r="S3" s="51"/>
    </row>
    <row r="4" spans="2:26">
      <c r="B4" s="2"/>
      <c r="S4" s="51"/>
    </row>
    <row r="5" spans="2:26">
      <c r="B5" s="2"/>
      <c r="S5" s="51"/>
    </row>
    <row r="6" spans="2:26" hidden="1">
      <c r="B6" s="2"/>
      <c r="S6" s="51"/>
    </row>
    <row r="7" spans="2:26" hidden="1">
      <c r="B7" s="2"/>
      <c r="S7" s="51"/>
    </row>
    <row r="8" spans="2:26" ht="61.5" customHeight="1">
      <c r="B8" s="2"/>
      <c r="C8" s="258" t="str">
        <f>'Page de garde'!C13&amp;" : Analyse de la dépense médicale dentaire"</f>
        <v>60000016 - 60000017 - 60000018 - 60000087 : Analyse de la dépense médicale dentaire</v>
      </c>
      <c r="D8" s="259"/>
      <c r="E8" s="259"/>
      <c r="F8" s="259"/>
      <c r="G8" s="259"/>
      <c r="H8" s="259"/>
      <c r="I8" s="259"/>
      <c r="J8" s="259"/>
      <c r="K8" s="259"/>
      <c r="L8" s="259"/>
      <c r="M8" s="259"/>
      <c r="N8" s="259"/>
      <c r="O8" s="259"/>
      <c r="P8" s="259"/>
      <c r="Q8" s="259"/>
      <c r="R8" s="260"/>
      <c r="S8" s="51"/>
    </row>
    <row r="9" spans="2:26">
      <c r="B9" s="2"/>
      <c r="S9" s="51"/>
    </row>
    <row r="10" spans="2:26">
      <c r="B10" s="2"/>
      <c r="S10" s="51"/>
    </row>
    <row r="11" spans="2:26">
      <c r="B11" s="2"/>
      <c r="S11" s="51"/>
    </row>
    <row r="12" spans="2:26">
      <c r="B12" s="2"/>
      <c r="S12" s="51"/>
    </row>
    <row r="13" spans="2:26">
      <c r="B13" s="2"/>
      <c r="S13" s="51"/>
    </row>
    <row r="14" spans="2:26" ht="15.75" customHeight="1">
      <c r="B14" s="2"/>
      <c r="S14" s="51"/>
    </row>
    <row r="15" spans="2:26">
      <c r="B15" s="2"/>
      <c r="S15" s="51"/>
    </row>
    <row r="16" spans="2:26" ht="23.25">
      <c r="B16" s="2"/>
      <c r="S16" s="51"/>
      <c r="Z16" s="166"/>
    </row>
    <row r="17" spans="2:27">
      <c r="B17" s="2"/>
      <c r="S17" s="51"/>
    </row>
    <row r="18" spans="2:27">
      <c r="B18" s="2"/>
      <c r="S18" s="51"/>
      <c r="V18" s="167" t="str">
        <f>'DATA QUARTILE'!C4</f>
        <v>AUTRES</v>
      </c>
      <c r="W18" s="157"/>
      <c r="X18" s="158"/>
      <c r="Y18" s="167"/>
      <c r="Z18" s="157"/>
      <c r="AA18" s="158"/>
    </row>
    <row r="19" spans="2:27">
      <c r="B19" s="2"/>
      <c r="S19" s="51"/>
      <c r="V19" s="159"/>
      <c r="X19" s="160" t="s">
        <v>145</v>
      </c>
      <c r="Y19" s="159"/>
      <c r="AA19" s="160" t="s">
        <v>145</v>
      </c>
    </row>
    <row r="20" spans="2:27">
      <c r="B20" s="2"/>
      <c r="S20" s="51"/>
      <c r="V20" s="159" t="s">
        <v>146</v>
      </c>
      <c r="W20" s="161">
        <f>VLOOKUP($V$18,'DATA QUARTILE'!$C:$J,2,FALSE)</f>
        <v>0</v>
      </c>
      <c r="X20" s="164">
        <f>ROUND(VLOOKUP($V$18,'DATA QUARTILE'!$C:$J,8,FALSE),0)</f>
        <v>0</v>
      </c>
      <c r="Y20" s="159"/>
      <c r="Z20" s="161" t="e">
        <f>VLOOKUP($Y$18,'DATA QUARTILE'!$C:$J,2,FALSE)</f>
        <v>#N/A</v>
      </c>
      <c r="AA20" s="164" t="e">
        <f>ROUND(VLOOKUP($Y$18,'DATA QUARTILE'!$C:$J,8,FALSE),0)</f>
        <v>#N/A</v>
      </c>
    </row>
    <row r="21" spans="2:27">
      <c r="B21" s="2"/>
      <c r="S21" s="51"/>
      <c r="V21" s="159" t="s">
        <v>147</v>
      </c>
      <c r="W21" s="161">
        <f>VLOOKUP($V$18,'DATA QUARTILE'!$C:$J,4,FALSE)</f>
        <v>0</v>
      </c>
      <c r="X21" s="164">
        <f>X20</f>
        <v>0</v>
      </c>
      <c r="Y21" s="159" t="s">
        <v>148</v>
      </c>
      <c r="Z21" s="161" t="e">
        <f>VLOOKUP($Y$18,'DATA QUARTILE'!$C:$J,4,FALSE)</f>
        <v>#N/A</v>
      </c>
      <c r="AA21" s="164" t="e">
        <f>AA20</f>
        <v>#N/A</v>
      </c>
    </row>
    <row r="22" spans="2:27">
      <c r="B22" s="2"/>
      <c r="S22" s="51"/>
      <c r="V22" s="159" t="s">
        <v>149</v>
      </c>
      <c r="W22" s="161">
        <f>VLOOKUP($V$18,'DATA QUARTILE'!$C:$J,5,FALSE)</f>
        <v>0</v>
      </c>
      <c r="X22" s="164">
        <f>X21</f>
        <v>0</v>
      </c>
      <c r="Y22" s="159" t="s">
        <v>150</v>
      </c>
      <c r="Z22" s="161" t="e">
        <f>VLOOKUP($Y$18,'DATA QUARTILE'!$C:$J,5,FALSE)</f>
        <v>#N/A</v>
      </c>
      <c r="AA22" s="164" t="e">
        <f>AA21</f>
        <v>#N/A</v>
      </c>
    </row>
    <row r="23" spans="2:27">
      <c r="B23" s="2"/>
      <c r="S23" s="51"/>
      <c r="V23" s="159" t="s">
        <v>151</v>
      </c>
      <c r="W23" s="161">
        <f>VLOOKUP($V$18,'DATA QUARTILE'!$C:$J,6,FALSE)</f>
        <v>0</v>
      </c>
      <c r="X23" s="164">
        <f>X22</f>
        <v>0</v>
      </c>
      <c r="Y23" s="159" t="s">
        <v>152</v>
      </c>
      <c r="Z23" s="161" t="e">
        <f>VLOOKUP($Y$18,'DATA QUARTILE'!$C:$J,6,FALSE)</f>
        <v>#N/A</v>
      </c>
      <c r="AA23" s="164" t="e">
        <f>AA22</f>
        <v>#N/A</v>
      </c>
    </row>
    <row r="24" spans="2:27">
      <c r="B24" s="2"/>
      <c r="S24" s="51"/>
      <c r="V24" s="159" t="s">
        <v>153</v>
      </c>
      <c r="W24" s="161">
        <f>VLOOKUP($V$18,'DATA QUARTILE'!$C:$J,7,FALSE)</f>
        <v>0</v>
      </c>
      <c r="X24" s="164">
        <f>X23</f>
        <v>0</v>
      </c>
      <c r="Y24" s="159" t="s">
        <v>154</v>
      </c>
      <c r="Z24" s="161" t="e">
        <f>VLOOKUP($Y$18,'DATA QUARTILE'!$C:$J,7,FALSE)</f>
        <v>#N/A</v>
      </c>
      <c r="AA24" s="164" t="e">
        <f>AA23</f>
        <v>#N/A</v>
      </c>
    </row>
    <row r="25" spans="2:27">
      <c r="B25" s="2"/>
      <c r="S25" s="51"/>
      <c r="V25" s="162" t="s">
        <v>155</v>
      </c>
      <c r="W25" s="163">
        <f>VLOOKUP($V$18,'DATA QUARTILE'!$C:$J,3,FALSE)</f>
        <v>0</v>
      </c>
      <c r="X25" s="165">
        <f>X24</f>
        <v>0</v>
      </c>
      <c r="Y25" s="162"/>
      <c r="Z25" s="163" t="e">
        <f>VLOOKUP($Y$18,'DATA QUARTILE'!$C:$J,3,FALSE)</f>
        <v>#N/A</v>
      </c>
      <c r="AA25" s="165" t="e">
        <f>AA24</f>
        <v>#N/A</v>
      </c>
    </row>
    <row r="26" spans="2:27">
      <c r="B26" s="2"/>
      <c r="S26" s="51"/>
    </row>
    <row r="27" spans="2:27">
      <c r="B27" s="2"/>
      <c r="S27" s="51"/>
    </row>
    <row r="28" spans="2:27">
      <c r="B28" s="2"/>
      <c r="S28" s="51"/>
    </row>
    <row r="29" spans="2:27">
      <c r="B29" s="2"/>
      <c r="S29" s="51"/>
    </row>
    <row r="30" spans="2:27">
      <c r="B30" s="2"/>
      <c r="S30" s="51"/>
    </row>
    <row r="31" spans="2:27">
      <c r="B31" s="2"/>
      <c r="S31" s="51"/>
    </row>
    <row r="32" spans="2:27">
      <c r="B32" s="2"/>
      <c r="S32" s="51"/>
    </row>
    <row r="33" spans="2:19">
      <c r="B33" s="2"/>
      <c r="S33" s="51"/>
    </row>
    <row r="34" spans="2:19">
      <c r="B34" s="2"/>
      <c r="S34" s="51"/>
    </row>
    <row r="35" spans="2:19">
      <c r="B35" s="2"/>
      <c r="S35" s="51"/>
    </row>
    <row r="36" spans="2:19">
      <c r="B36" s="2"/>
      <c r="S36" s="51"/>
    </row>
    <row r="37" spans="2:19">
      <c r="B37" s="2"/>
      <c r="S37" s="51"/>
    </row>
    <row r="38" spans="2:19">
      <c r="B38" s="2"/>
      <c r="S38" s="51"/>
    </row>
    <row r="39" spans="2:19">
      <c r="B39" s="2"/>
      <c r="S39" s="51"/>
    </row>
    <row r="40" spans="2:19">
      <c r="B40" s="2"/>
      <c r="S40" s="51"/>
    </row>
    <row r="41" spans="2:19">
      <c r="B41" s="2"/>
      <c r="S41" s="51"/>
    </row>
    <row r="42" spans="2:19">
      <c r="B42" s="2"/>
      <c r="S42" s="51"/>
    </row>
    <row r="43" spans="2:19">
      <c r="B43" s="2"/>
      <c r="S43" s="51"/>
    </row>
    <row r="44" spans="2:19">
      <c r="B44" s="2"/>
      <c r="S44" s="51"/>
    </row>
    <row r="45" spans="2:19" ht="12.75" customHeight="1">
      <c r="B45" s="2"/>
      <c r="S45" s="51"/>
    </row>
    <row r="46" spans="2:19" ht="14.25" customHeight="1">
      <c r="B46" s="2"/>
      <c r="S46" s="51"/>
    </row>
    <row r="47" spans="2:19">
      <c r="B47" s="2"/>
      <c r="S47" s="51"/>
    </row>
    <row r="48" spans="2:19">
      <c r="B48" s="2"/>
      <c r="S48" s="51"/>
    </row>
    <row r="49" spans="2:19">
      <c r="B49" s="2"/>
      <c r="S49" s="51"/>
    </row>
    <row r="50" spans="2:19" ht="18" customHeight="1">
      <c r="B50" s="3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52"/>
    </row>
  </sheetData>
  <mergeCells count="1">
    <mergeCell ref="C8:R8"/>
  </mergeCells>
  <pageMargins left="0.70866141732283472" right="0.70866141732283472" top="0.74803149606299213" bottom="0.74803149606299213" header="0.31496062992125984" footer="0.31496062992125984"/>
  <pageSetup paperSize="9" scale="61" orientation="landscape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Feuil4">
    <tabColor theme="9" tint="0.79998168889431442"/>
  </sheetPr>
  <dimension ref="A1:J63"/>
  <sheetViews>
    <sheetView zoomScale="85" zoomScaleNormal="85" workbookViewId="0">
      <selection activeCell="A2" sqref="A2:XFD176"/>
    </sheetView>
  </sheetViews>
  <sheetFormatPr baseColWidth="10" defaultColWidth="11.42578125" defaultRowHeight="15"/>
  <cols>
    <col min="1" max="1" width="7.140625" bestFit="1" customWidth="1"/>
    <col min="2" max="2" width="21" bestFit="1" customWidth="1"/>
    <col min="3" max="3" width="4.7109375" bestFit="1" customWidth="1"/>
    <col min="4" max="4" width="9.5703125" bestFit="1" customWidth="1"/>
    <col min="5" max="5" width="8.7109375" bestFit="1" customWidth="1"/>
    <col min="6" max="6" width="25.85546875" bestFit="1" customWidth="1"/>
    <col min="7" max="7" width="14.5703125" bestFit="1" customWidth="1"/>
    <col min="8" max="8" width="20.140625" bestFit="1" customWidth="1"/>
    <col min="9" max="9" width="38" bestFit="1" customWidth="1"/>
    <col min="10" max="10" width="16.42578125" bestFit="1" customWidth="1"/>
    <col min="11" max="13" width="11.42578125" customWidth="1"/>
  </cols>
  <sheetData>
    <row r="1" spans="1:10">
      <c r="A1" t="s">
        <v>156</v>
      </c>
      <c r="B1" t="s">
        <v>157</v>
      </c>
      <c r="C1" t="s">
        <v>158</v>
      </c>
      <c r="D1" t="s">
        <v>159</v>
      </c>
      <c r="E1" t="s">
        <v>160</v>
      </c>
      <c r="F1" t="s">
        <v>161</v>
      </c>
      <c r="G1" t="s">
        <v>162</v>
      </c>
      <c r="H1" t="s">
        <v>163</v>
      </c>
      <c r="I1" t="s">
        <v>164</v>
      </c>
      <c r="J1" t="s">
        <v>165</v>
      </c>
    </row>
    <row r="2" spans="1:10">
      <c r="A2">
        <v>2022</v>
      </c>
      <c r="B2" t="s">
        <v>166</v>
      </c>
      <c r="C2">
        <v>2</v>
      </c>
      <c r="D2" t="s">
        <v>40</v>
      </c>
      <c r="E2" t="s">
        <v>54</v>
      </c>
      <c r="F2" t="s">
        <v>41</v>
      </c>
      <c r="G2">
        <v>1</v>
      </c>
      <c r="H2">
        <v>2</v>
      </c>
      <c r="I2" t="s">
        <v>8</v>
      </c>
      <c r="J2" t="s">
        <v>336</v>
      </c>
    </row>
    <row r="3" spans="1:10">
      <c r="A3">
        <v>2022</v>
      </c>
      <c r="B3" t="s">
        <v>166</v>
      </c>
      <c r="C3">
        <v>3</v>
      </c>
      <c r="D3" t="s">
        <v>39</v>
      </c>
      <c r="E3" t="s">
        <v>54</v>
      </c>
      <c r="F3" t="s">
        <v>41</v>
      </c>
      <c r="G3">
        <v>1</v>
      </c>
      <c r="H3">
        <v>3</v>
      </c>
      <c r="I3" t="s">
        <v>8</v>
      </c>
      <c r="J3" t="s">
        <v>336</v>
      </c>
    </row>
    <row r="4" spans="1:10">
      <c r="A4">
        <v>2022</v>
      </c>
      <c r="B4" t="s">
        <v>166</v>
      </c>
      <c r="C4">
        <v>3</v>
      </c>
      <c r="D4" t="s">
        <v>40</v>
      </c>
      <c r="E4" t="s">
        <v>54</v>
      </c>
      <c r="F4" t="s">
        <v>41</v>
      </c>
      <c r="G4">
        <v>1</v>
      </c>
      <c r="H4">
        <v>3</v>
      </c>
      <c r="I4" t="s">
        <v>8</v>
      </c>
      <c r="J4" t="s">
        <v>336</v>
      </c>
    </row>
    <row r="5" spans="1:10">
      <c r="A5">
        <v>2022</v>
      </c>
      <c r="B5" t="s">
        <v>166</v>
      </c>
      <c r="C5">
        <v>7</v>
      </c>
      <c r="D5" t="s">
        <v>40</v>
      </c>
      <c r="E5" t="s">
        <v>54</v>
      </c>
      <c r="F5" t="s">
        <v>41</v>
      </c>
      <c r="G5">
        <v>1</v>
      </c>
      <c r="H5">
        <v>7</v>
      </c>
      <c r="I5" t="s">
        <v>8</v>
      </c>
      <c r="J5" t="s">
        <v>336</v>
      </c>
    </row>
    <row r="6" spans="1:10">
      <c r="A6">
        <v>2022</v>
      </c>
      <c r="B6" t="s">
        <v>166</v>
      </c>
      <c r="C6">
        <v>9</v>
      </c>
      <c r="D6" t="s">
        <v>40</v>
      </c>
      <c r="E6" t="s">
        <v>54</v>
      </c>
      <c r="F6" t="s">
        <v>41</v>
      </c>
      <c r="G6">
        <v>2</v>
      </c>
      <c r="H6">
        <v>18</v>
      </c>
      <c r="I6" t="s">
        <v>8</v>
      </c>
      <c r="J6" t="s">
        <v>336</v>
      </c>
    </row>
    <row r="7" spans="1:10">
      <c r="A7">
        <v>2022</v>
      </c>
      <c r="B7" t="s">
        <v>166</v>
      </c>
      <c r="C7">
        <v>12</v>
      </c>
      <c r="D7" t="s">
        <v>40</v>
      </c>
      <c r="E7" t="s">
        <v>54</v>
      </c>
      <c r="F7" t="s">
        <v>41</v>
      </c>
      <c r="G7">
        <v>2</v>
      </c>
      <c r="H7">
        <v>24</v>
      </c>
      <c r="I7" t="s">
        <v>8</v>
      </c>
      <c r="J7" t="s">
        <v>336</v>
      </c>
    </row>
    <row r="8" spans="1:10">
      <c r="A8">
        <v>2022</v>
      </c>
      <c r="B8" t="s">
        <v>166</v>
      </c>
      <c r="C8">
        <v>13</v>
      </c>
      <c r="D8" t="s">
        <v>40</v>
      </c>
      <c r="E8" t="s">
        <v>54</v>
      </c>
      <c r="F8" t="s">
        <v>41</v>
      </c>
      <c r="G8">
        <v>2</v>
      </c>
      <c r="H8">
        <v>26</v>
      </c>
      <c r="I8" t="s">
        <v>8</v>
      </c>
      <c r="J8" t="s">
        <v>336</v>
      </c>
    </row>
    <row r="9" spans="1:10">
      <c r="A9">
        <v>2022</v>
      </c>
      <c r="B9" t="s">
        <v>166</v>
      </c>
      <c r="C9">
        <v>14</v>
      </c>
      <c r="D9" t="s">
        <v>40</v>
      </c>
      <c r="E9" t="s">
        <v>54</v>
      </c>
      <c r="F9" t="s">
        <v>41</v>
      </c>
      <c r="G9">
        <v>2</v>
      </c>
      <c r="H9">
        <v>28</v>
      </c>
      <c r="I9" t="s">
        <v>8</v>
      </c>
      <c r="J9" t="s">
        <v>336</v>
      </c>
    </row>
    <row r="10" spans="1:10">
      <c r="A10">
        <v>2022</v>
      </c>
      <c r="B10" t="s">
        <v>166</v>
      </c>
      <c r="C10">
        <v>15</v>
      </c>
      <c r="D10" t="s">
        <v>39</v>
      </c>
      <c r="E10" t="s">
        <v>54</v>
      </c>
      <c r="F10" t="s">
        <v>41</v>
      </c>
      <c r="G10">
        <v>1</v>
      </c>
      <c r="H10">
        <v>15</v>
      </c>
      <c r="I10" t="s">
        <v>8</v>
      </c>
      <c r="J10" t="s">
        <v>336</v>
      </c>
    </row>
    <row r="11" spans="1:10">
      <c r="A11">
        <v>2022</v>
      </c>
      <c r="B11" t="s">
        <v>166</v>
      </c>
      <c r="C11">
        <v>17</v>
      </c>
      <c r="D11" t="s">
        <v>40</v>
      </c>
      <c r="E11" t="s">
        <v>54</v>
      </c>
      <c r="F11" t="s">
        <v>41</v>
      </c>
      <c r="G11">
        <v>2</v>
      </c>
      <c r="H11">
        <v>34</v>
      </c>
      <c r="I11" t="s">
        <v>8</v>
      </c>
      <c r="J11" t="s">
        <v>336</v>
      </c>
    </row>
    <row r="12" spans="1:10">
      <c r="A12">
        <v>2022</v>
      </c>
      <c r="B12" t="s">
        <v>166</v>
      </c>
      <c r="C12">
        <v>19</v>
      </c>
      <c r="D12" t="s">
        <v>39</v>
      </c>
      <c r="E12" t="s">
        <v>54</v>
      </c>
      <c r="F12" t="s">
        <v>41</v>
      </c>
      <c r="G12">
        <v>1</v>
      </c>
      <c r="H12">
        <v>19</v>
      </c>
      <c r="I12" t="s">
        <v>8</v>
      </c>
      <c r="J12" t="s">
        <v>336</v>
      </c>
    </row>
    <row r="13" spans="1:10">
      <c r="A13">
        <v>2022</v>
      </c>
      <c r="B13" t="s">
        <v>166</v>
      </c>
      <c r="C13">
        <v>19</v>
      </c>
      <c r="D13" t="s">
        <v>40</v>
      </c>
      <c r="E13" t="s">
        <v>54</v>
      </c>
      <c r="F13" t="s">
        <v>41</v>
      </c>
      <c r="G13">
        <v>1</v>
      </c>
      <c r="H13">
        <v>19</v>
      </c>
      <c r="I13" t="s">
        <v>8</v>
      </c>
      <c r="J13" t="s">
        <v>336</v>
      </c>
    </row>
    <row r="14" spans="1:10">
      <c r="A14">
        <v>2022</v>
      </c>
      <c r="B14" t="s">
        <v>166</v>
      </c>
      <c r="C14">
        <v>20</v>
      </c>
      <c r="D14" t="s">
        <v>40</v>
      </c>
      <c r="E14" t="s">
        <v>54</v>
      </c>
      <c r="F14" t="s">
        <v>41</v>
      </c>
      <c r="G14">
        <v>1</v>
      </c>
      <c r="H14">
        <v>20</v>
      </c>
      <c r="I14" t="s">
        <v>8</v>
      </c>
      <c r="J14" t="s">
        <v>336</v>
      </c>
    </row>
    <row r="15" spans="1:10">
      <c r="A15">
        <v>2022</v>
      </c>
      <c r="B15" t="s">
        <v>166</v>
      </c>
      <c r="C15">
        <v>21</v>
      </c>
      <c r="D15" t="s">
        <v>39</v>
      </c>
      <c r="E15" t="s">
        <v>54</v>
      </c>
      <c r="F15" t="s">
        <v>41</v>
      </c>
      <c r="G15">
        <v>2</v>
      </c>
      <c r="H15">
        <v>42</v>
      </c>
      <c r="I15" t="s">
        <v>8</v>
      </c>
      <c r="J15" t="s">
        <v>336</v>
      </c>
    </row>
    <row r="16" spans="1:10">
      <c r="A16">
        <v>2022</v>
      </c>
      <c r="B16" t="s">
        <v>166</v>
      </c>
      <c r="C16">
        <v>22</v>
      </c>
      <c r="D16" t="s">
        <v>39</v>
      </c>
      <c r="E16" t="s">
        <v>54</v>
      </c>
      <c r="F16" t="s">
        <v>41</v>
      </c>
      <c r="G16">
        <v>1</v>
      </c>
      <c r="H16">
        <v>22</v>
      </c>
      <c r="I16" t="s">
        <v>8</v>
      </c>
      <c r="J16" t="s">
        <v>336</v>
      </c>
    </row>
    <row r="17" spans="1:10">
      <c r="A17">
        <v>2022</v>
      </c>
      <c r="B17" t="s">
        <v>166</v>
      </c>
      <c r="C17">
        <v>22</v>
      </c>
      <c r="D17" t="s">
        <v>40</v>
      </c>
      <c r="E17" t="s">
        <v>52</v>
      </c>
      <c r="F17" t="s">
        <v>41</v>
      </c>
      <c r="G17">
        <v>1</v>
      </c>
      <c r="H17">
        <v>22</v>
      </c>
      <c r="I17" t="s">
        <v>8</v>
      </c>
      <c r="J17" t="s">
        <v>336</v>
      </c>
    </row>
    <row r="18" spans="1:10">
      <c r="A18">
        <v>2022</v>
      </c>
      <c r="B18" t="s">
        <v>166</v>
      </c>
      <c r="C18">
        <v>22</v>
      </c>
      <c r="D18" t="s">
        <v>40</v>
      </c>
      <c r="E18" t="s">
        <v>54</v>
      </c>
      <c r="F18" t="s">
        <v>41</v>
      </c>
      <c r="G18">
        <v>1</v>
      </c>
      <c r="H18">
        <v>22</v>
      </c>
      <c r="I18" t="s">
        <v>8</v>
      </c>
      <c r="J18" t="s">
        <v>336</v>
      </c>
    </row>
    <row r="19" spans="1:10">
      <c r="A19">
        <v>2022</v>
      </c>
      <c r="B19" t="s">
        <v>166</v>
      </c>
      <c r="C19">
        <v>24</v>
      </c>
      <c r="D19" t="s">
        <v>40</v>
      </c>
      <c r="E19" t="s">
        <v>54</v>
      </c>
      <c r="F19" t="s">
        <v>41</v>
      </c>
      <c r="G19">
        <v>2</v>
      </c>
      <c r="H19">
        <v>48</v>
      </c>
      <c r="I19" t="s">
        <v>8</v>
      </c>
      <c r="J19" t="s">
        <v>336</v>
      </c>
    </row>
    <row r="20" spans="1:10">
      <c r="A20">
        <v>2022</v>
      </c>
      <c r="B20" t="s">
        <v>166</v>
      </c>
      <c r="C20">
        <v>25</v>
      </c>
      <c r="D20" t="s">
        <v>40</v>
      </c>
      <c r="E20" t="s">
        <v>52</v>
      </c>
      <c r="F20" t="s">
        <v>42</v>
      </c>
      <c r="G20">
        <v>1</v>
      </c>
      <c r="H20">
        <v>25</v>
      </c>
      <c r="I20" t="s">
        <v>8</v>
      </c>
      <c r="J20" t="s">
        <v>336</v>
      </c>
    </row>
    <row r="21" spans="1:10">
      <c r="A21">
        <v>2022</v>
      </c>
      <c r="B21" t="s">
        <v>166</v>
      </c>
      <c r="C21">
        <v>26</v>
      </c>
      <c r="D21" t="s">
        <v>40</v>
      </c>
      <c r="E21" t="s">
        <v>52</v>
      </c>
      <c r="F21" t="s">
        <v>42</v>
      </c>
      <c r="G21">
        <v>1</v>
      </c>
      <c r="H21">
        <v>26</v>
      </c>
      <c r="I21" t="s">
        <v>8</v>
      </c>
      <c r="J21" t="s">
        <v>336</v>
      </c>
    </row>
    <row r="22" spans="1:10">
      <c r="A22">
        <v>2022</v>
      </c>
      <c r="B22" t="s">
        <v>166</v>
      </c>
      <c r="C22">
        <v>28</v>
      </c>
      <c r="D22" t="s">
        <v>40</v>
      </c>
      <c r="E22" t="s">
        <v>52</v>
      </c>
      <c r="F22" t="s">
        <v>42</v>
      </c>
      <c r="G22">
        <v>1</v>
      </c>
      <c r="H22">
        <v>28</v>
      </c>
      <c r="I22" t="s">
        <v>8</v>
      </c>
      <c r="J22" t="s">
        <v>336</v>
      </c>
    </row>
    <row r="23" spans="1:10">
      <c r="A23">
        <v>2022</v>
      </c>
      <c r="B23" t="s">
        <v>166</v>
      </c>
      <c r="C23">
        <v>34</v>
      </c>
      <c r="D23" t="s">
        <v>39</v>
      </c>
      <c r="E23" t="s">
        <v>53</v>
      </c>
      <c r="F23" t="s">
        <v>43</v>
      </c>
      <c r="G23">
        <v>1</v>
      </c>
      <c r="H23">
        <v>34</v>
      </c>
      <c r="I23" t="s">
        <v>8</v>
      </c>
      <c r="J23" t="s">
        <v>336</v>
      </c>
    </row>
    <row r="24" spans="1:10">
      <c r="A24">
        <v>2022</v>
      </c>
      <c r="B24" t="s">
        <v>166</v>
      </c>
      <c r="C24">
        <v>38</v>
      </c>
      <c r="D24" t="s">
        <v>39</v>
      </c>
      <c r="E24" t="s">
        <v>53</v>
      </c>
      <c r="F24" t="s">
        <v>44</v>
      </c>
      <c r="G24">
        <v>1</v>
      </c>
      <c r="H24">
        <v>38</v>
      </c>
      <c r="I24" t="s">
        <v>8</v>
      </c>
      <c r="J24" t="s">
        <v>336</v>
      </c>
    </row>
    <row r="25" spans="1:10">
      <c r="A25">
        <v>2022</v>
      </c>
      <c r="B25" t="s">
        <v>166</v>
      </c>
      <c r="C25">
        <v>39</v>
      </c>
      <c r="D25" t="s">
        <v>40</v>
      </c>
      <c r="E25" t="s">
        <v>52</v>
      </c>
      <c r="F25" t="s">
        <v>44</v>
      </c>
      <c r="G25">
        <v>1</v>
      </c>
      <c r="H25">
        <v>39</v>
      </c>
      <c r="I25" t="s">
        <v>8</v>
      </c>
      <c r="J25" t="s">
        <v>336</v>
      </c>
    </row>
    <row r="26" spans="1:10">
      <c r="A26">
        <v>2022</v>
      </c>
      <c r="B26" t="s">
        <v>166</v>
      </c>
      <c r="C26">
        <v>40</v>
      </c>
      <c r="D26" t="s">
        <v>40</v>
      </c>
      <c r="E26" t="s">
        <v>52</v>
      </c>
      <c r="F26" t="s">
        <v>45</v>
      </c>
      <c r="G26">
        <v>2</v>
      </c>
      <c r="H26">
        <v>80</v>
      </c>
      <c r="I26" t="s">
        <v>8</v>
      </c>
      <c r="J26" t="s">
        <v>336</v>
      </c>
    </row>
    <row r="27" spans="1:10">
      <c r="A27">
        <v>2022</v>
      </c>
      <c r="B27" t="s">
        <v>166</v>
      </c>
      <c r="C27">
        <v>42</v>
      </c>
      <c r="D27" t="s">
        <v>40</v>
      </c>
      <c r="E27" t="s">
        <v>52</v>
      </c>
      <c r="F27" t="s">
        <v>45</v>
      </c>
      <c r="G27">
        <v>1</v>
      </c>
      <c r="H27">
        <v>42</v>
      </c>
      <c r="I27" t="s">
        <v>8</v>
      </c>
      <c r="J27" t="s">
        <v>336</v>
      </c>
    </row>
    <row r="28" spans="1:10">
      <c r="A28">
        <v>2022</v>
      </c>
      <c r="B28" t="s">
        <v>166</v>
      </c>
      <c r="C28">
        <v>42</v>
      </c>
      <c r="D28" t="s">
        <v>40</v>
      </c>
      <c r="E28" t="s">
        <v>53</v>
      </c>
      <c r="F28" t="s">
        <v>45</v>
      </c>
      <c r="G28">
        <v>1</v>
      </c>
      <c r="H28">
        <v>42</v>
      </c>
      <c r="I28" t="s">
        <v>8</v>
      </c>
      <c r="J28" t="s">
        <v>336</v>
      </c>
    </row>
    <row r="29" spans="1:10">
      <c r="A29">
        <v>2022</v>
      </c>
      <c r="B29" t="s">
        <v>166</v>
      </c>
      <c r="C29">
        <v>44</v>
      </c>
      <c r="D29" t="s">
        <v>40</v>
      </c>
      <c r="E29" t="s">
        <v>52</v>
      </c>
      <c r="F29" t="s">
        <v>45</v>
      </c>
      <c r="G29">
        <v>1</v>
      </c>
      <c r="H29">
        <v>44</v>
      </c>
      <c r="I29" t="s">
        <v>8</v>
      </c>
      <c r="J29" t="s">
        <v>336</v>
      </c>
    </row>
    <row r="30" spans="1:10">
      <c r="A30">
        <v>2022</v>
      </c>
      <c r="B30" t="s">
        <v>166</v>
      </c>
      <c r="C30">
        <v>45</v>
      </c>
      <c r="D30" t="s">
        <v>40</v>
      </c>
      <c r="E30" t="s">
        <v>52</v>
      </c>
      <c r="F30" t="s">
        <v>46</v>
      </c>
      <c r="G30">
        <v>1</v>
      </c>
      <c r="H30">
        <v>45</v>
      </c>
      <c r="I30" t="s">
        <v>8</v>
      </c>
      <c r="J30" t="s">
        <v>336</v>
      </c>
    </row>
    <row r="31" spans="1:10">
      <c r="A31">
        <v>2022</v>
      </c>
      <c r="B31" t="s">
        <v>166</v>
      </c>
      <c r="C31">
        <v>48</v>
      </c>
      <c r="D31" t="s">
        <v>39</v>
      </c>
      <c r="E31" t="s">
        <v>53</v>
      </c>
      <c r="F31" t="s">
        <v>46</v>
      </c>
      <c r="G31">
        <v>1</v>
      </c>
      <c r="H31">
        <v>48</v>
      </c>
      <c r="I31" t="s">
        <v>8</v>
      </c>
      <c r="J31" t="s">
        <v>336</v>
      </c>
    </row>
    <row r="32" spans="1:10">
      <c r="A32">
        <v>2022</v>
      </c>
      <c r="B32" t="s">
        <v>166</v>
      </c>
      <c r="C32">
        <v>49</v>
      </c>
      <c r="D32" t="s">
        <v>39</v>
      </c>
      <c r="E32" t="s">
        <v>52</v>
      </c>
      <c r="F32" t="s">
        <v>46</v>
      </c>
      <c r="G32">
        <v>1</v>
      </c>
      <c r="H32">
        <v>49</v>
      </c>
      <c r="I32" t="s">
        <v>8</v>
      </c>
      <c r="J32" t="s">
        <v>336</v>
      </c>
    </row>
    <row r="33" spans="1:10">
      <c r="A33">
        <v>2022</v>
      </c>
      <c r="B33" t="s">
        <v>166</v>
      </c>
      <c r="C33">
        <v>49</v>
      </c>
      <c r="D33" t="s">
        <v>40</v>
      </c>
      <c r="E33" t="s">
        <v>52</v>
      </c>
      <c r="F33" t="s">
        <v>46</v>
      </c>
      <c r="G33">
        <v>1</v>
      </c>
      <c r="H33">
        <v>49</v>
      </c>
      <c r="I33" t="s">
        <v>8</v>
      </c>
      <c r="J33" t="s">
        <v>336</v>
      </c>
    </row>
    <row r="34" spans="1:10">
      <c r="A34">
        <v>2022</v>
      </c>
      <c r="B34" t="s">
        <v>166</v>
      </c>
      <c r="C34">
        <v>50</v>
      </c>
      <c r="D34" t="s">
        <v>40</v>
      </c>
      <c r="E34" t="s">
        <v>52</v>
      </c>
      <c r="F34" t="s">
        <v>47</v>
      </c>
      <c r="G34">
        <v>1</v>
      </c>
      <c r="H34">
        <v>50</v>
      </c>
      <c r="I34" t="s">
        <v>8</v>
      </c>
      <c r="J34" t="s">
        <v>336</v>
      </c>
    </row>
    <row r="35" spans="1:10">
      <c r="A35">
        <v>2022</v>
      </c>
      <c r="B35" t="s">
        <v>166</v>
      </c>
      <c r="C35">
        <v>51</v>
      </c>
      <c r="D35" t="s">
        <v>40</v>
      </c>
      <c r="E35" t="s">
        <v>52</v>
      </c>
      <c r="F35" t="s">
        <v>47</v>
      </c>
      <c r="G35">
        <v>1</v>
      </c>
      <c r="H35">
        <v>51</v>
      </c>
      <c r="I35" t="s">
        <v>8</v>
      </c>
      <c r="J35" t="s">
        <v>336</v>
      </c>
    </row>
    <row r="36" spans="1:10">
      <c r="A36">
        <v>2022</v>
      </c>
      <c r="B36" t="s">
        <v>166</v>
      </c>
      <c r="C36">
        <v>53</v>
      </c>
      <c r="D36" t="s">
        <v>40</v>
      </c>
      <c r="E36" t="s">
        <v>53</v>
      </c>
      <c r="F36" t="s">
        <v>47</v>
      </c>
      <c r="G36">
        <v>1</v>
      </c>
      <c r="H36">
        <v>53</v>
      </c>
      <c r="I36" t="s">
        <v>8</v>
      </c>
      <c r="J36" t="s">
        <v>336</v>
      </c>
    </row>
    <row r="37" spans="1:10">
      <c r="A37">
        <v>2022</v>
      </c>
      <c r="B37" t="s">
        <v>166</v>
      </c>
      <c r="C37">
        <v>54</v>
      </c>
      <c r="D37" t="s">
        <v>39</v>
      </c>
      <c r="E37" t="s">
        <v>53</v>
      </c>
      <c r="F37" t="s">
        <v>47</v>
      </c>
      <c r="G37">
        <v>1</v>
      </c>
      <c r="H37">
        <v>54</v>
      </c>
      <c r="I37" t="s">
        <v>8</v>
      </c>
      <c r="J37" t="s">
        <v>336</v>
      </c>
    </row>
    <row r="38" spans="1:10">
      <c r="A38">
        <v>2022</v>
      </c>
      <c r="B38" t="s">
        <v>166</v>
      </c>
      <c r="C38">
        <v>54</v>
      </c>
      <c r="D38" t="s">
        <v>40</v>
      </c>
      <c r="E38" t="s">
        <v>52</v>
      </c>
      <c r="F38" t="s">
        <v>47</v>
      </c>
      <c r="G38">
        <v>3</v>
      </c>
      <c r="H38">
        <v>162</v>
      </c>
      <c r="I38" t="s">
        <v>8</v>
      </c>
      <c r="J38" t="s">
        <v>336</v>
      </c>
    </row>
    <row r="39" spans="1:10">
      <c r="A39">
        <v>2022</v>
      </c>
      <c r="B39" t="s">
        <v>166</v>
      </c>
      <c r="C39">
        <v>55</v>
      </c>
      <c r="D39" t="s">
        <v>40</v>
      </c>
      <c r="E39" t="s">
        <v>52</v>
      </c>
      <c r="F39" t="s">
        <v>48</v>
      </c>
      <c r="G39">
        <v>1</v>
      </c>
      <c r="H39">
        <v>55</v>
      </c>
      <c r="I39" t="s">
        <v>8</v>
      </c>
      <c r="J39" t="s">
        <v>336</v>
      </c>
    </row>
    <row r="40" spans="1:10">
      <c r="A40">
        <v>2022</v>
      </c>
      <c r="B40" t="s">
        <v>166</v>
      </c>
      <c r="C40">
        <v>56</v>
      </c>
      <c r="D40" t="s">
        <v>39</v>
      </c>
      <c r="E40" t="s">
        <v>53</v>
      </c>
      <c r="F40" t="s">
        <v>48</v>
      </c>
      <c r="G40">
        <v>1</v>
      </c>
      <c r="H40">
        <v>56</v>
      </c>
      <c r="I40" t="s">
        <v>8</v>
      </c>
      <c r="J40" t="s">
        <v>336</v>
      </c>
    </row>
    <row r="41" spans="1:10">
      <c r="A41">
        <v>2022</v>
      </c>
      <c r="B41" t="s">
        <v>166</v>
      </c>
      <c r="C41">
        <v>56</v>
      </c>
      <c r="D41" t="s">
        <v>40</v>
      </c>
      <c r="E41" t="s">
        <v>52</v>
      </c>
      <c r="F41" t="s">
        <v>48</v>
      </c>
      <c r="G41">
        <v>1</v>
      </c>
      <c r="H41">
        <v>56</v>
      </c>
      <c r="I41" t="s">
        <v>8</v>
      </c>
      <c r="J41" t="s">
        <v>336</v>
      </c>
    </row>
    <row r="42" spans="1:10">
      <c r="A42">
        <v>2022</v>
      </c>
      <c r="B42" t="s">
        <v>166</v>
      </c>
      <c r="C42">
        <v>57</v>
      </c>
      <c r="D42" t="s">
        <v>40</v>
      </c>
      <c r="E42" t="s">
        <v>52</v>
      </c>
      <c r="F42" t="s">
        <v>48</v>
      </c>
      <c r="G42">
        <v>1</v>
      </c>
      <c r="H42">
        <v>57</v>
      </c>
      <c r="I42" t="s">
        <v>8</v>
      </c>
      <c r="J42" t="s">
        <v>336</v>
      </c>
    </row>
    <row r="43" spans="1:10">
      <c r="A43">
        <v>2022</v>
      </c>
      <c r="B43" t="s">
        <v>166</v>
      </c>
      <c r="C43">
        <v>59</v>
      </c>
      <c r="D43" t="s">
        <v>39</v>
      </c>
      <c r="E43" t="s">
        <v>52</v>
      </c>
      <c r="F43" t="s">
        <v>48</v>
      </c>
      <c r="G43">
        <v>1</v>
      </c>
      <c r="H43">
        <v>59</v>
      </c>
      <c r="I43" t="s">
        <v>8</v>
      </c>
      <c r="J43" t="s">
        <v>336</v>
      </c>
    </row>
    <row r="44" spans="1:10">
      <c r="A44">
        <v>2022</v>
      </c>
      <c r="B44" t="s">
        <v>166</v>
      </c>
      <c r="C44">
        <v>59</v>
      </c>
      <c r="D44" t="s">
        <v>39</v>
      </c>
      <c r="E44" t="s">
        <v>53</v>
      </c>
      <c r="F44" t="s">
        <v>48</v>
      </c>
      <c r="G44">
        <v>1</v>
      </c>
      <c r="H44">
        <v>59</v>
      </c>
      <c r="I44" t="s">
        <v>8</v>
      </c>
      <c r="J44" t="s">
        <v>336</v>
      </c>
    </row>
    <row r="45" spans="1:10">
      <c r="A45">
        <v>2022</v>
      </c>
      <c r="B45" t="s">
        <v>166</v>
      </c>
      <c r="C45">
        <v>59</v>
      </c>
      <c r="D45" t="s">
        <v>40</v>
      </c>
      <c r="E45" t="s">
        <v>52</v>
      </c>
      <c r="F45" t="s">
        <v>48</v>
      </c>
      <c r="G45">
        <v>1</v>
      </c>
      <c r="H45">
        <v>59</v>
      </c>
      <c r="I45" t="s">
        <v>8</v>
      </c>
      <c r="J45" t="s">
        <v>336</v>
      </c>
    </row>
    <row r="46" spans="1:10">
      <c r="A46">
        <v>2022</v>
      </c>
      <c r="B46" t="s">
        <v>166</v>
      </c>
      <c r="C46">
        <v>60</v>
      </c>
      <c r="D46" t="s">
        <v>39</v>
      </c>
      <c r="E46" t="s">
        <v>53</v>
      </c>
      <c r="F46" t="s">
        <v>49</v>
      </c>
      <c r="G46">
        <v>1</v>
      </c>
      <c r="H46">
        <v>60</v>
      </c>
      <c r="I46" t="s">
        <v>8</v>
      </c>
      <c r="J46" t="s">
        <v>336</v>
      </c>
    </row>
    <row r="47" spans="1:10">
      <c r="A47">
        <v>2022</v>
      </c>
      <c r="B47" t="s">
        <v>166</v>
      </c>
      <c r="C47">
        <v>60</v>
      </c>
      <c r="D47" t="s">
        <v>40</v>
      </c>
      <c r="E47" t="s">
        <v>52</v>
      </c>
      <c r="F47" t="s">
        <v>49</v>
      </c>
      <c r="G47">
        <v>2</v>
      </c>
      <c r="H47">
        <v>120</v>
      </c>
      <c r="I47" t="s">
        <v>8</v>
      </c>
      <c r="J47" t="s">
        <v>336</v>
      </c>
    </row>
    <row r="48" spans="1:10">
      <c r="A48">
        <v>2022</v>
      </c>
      <c r="B48" t="s">
        <v>166</v>
      </c>
      <c r="C48">
        <v>61</v>
      </c>
      <c r="D48" t="s">
        <v>39</v>
      </c>
      <c r="E48" t="s">
        <v>53</v>
      </c>
      <c r="F48" t="s">
        <v>49</v>
      </c>
      <c r="G48">
        <v>1</v>
      </c>
      <c r="H48">
        <v>61</v>
      </c>
      <c r="I48" t="s">
        <v>8</v>
      </c>
      <c r="J48" t="s">
        <v>336</v>
      </c>
    </row>
    <row r="49" spans="1:10">
      <c r="A49">
        <v>2022</v>
      </c>
      <c r="B49" t="s">
        <v>167</v>
      </c>
      <c r="C49">
        <v>13</v>
      </c>
      <c r="D49" t="s">
        <v>40</v>
      </c>
      <c r="E49" t="s">
        <v>54</v>
      </c>
      <c r="F49" t="s">
        <v>41</v>
      </c>
      <c r="G49">
        <v>1</v>
      </c>
      <c r="H49">
        <v>13</v>
      </c>
      <c r="I49" t="s">
        <v>8</v>
      </c>
      <c r="J49" t="s">
        <v>336</v>
      </c>
    </row>
    <row r="50" spans="1:10">
      <c r="A50">
        <v>2022</v>
      </c>
      <c r="B50" t="s">
        <v>167</v>
      </c>
      <c r="C50">
        <v>18</v>
      </c>
      <c r="D50" t="s">
        <v>40</v>
      </c>
      <c r="E50" t="s">
        <v>54</v>
      </c>
      <c r="F50" t="s">
        <v>41</v>
      </c>
      <c r="G50">
        <v>1</v>
      </c>
      <c r="H50">
        <v>18</v>
      </c>
      <c r="I50" t="s">
        <v>8</v>
      </c>
      <c r="J50" t="s">
        <v>336</v>
      </c>
    </row>
    <row r="51" spans="1:10">
      <c r="A51">
        <v>2022</v>
      </c>
      <c r="B51" t="s">
        <v>167</v>
      </c>
      <c r="C51">
        <v>45</v>
      </c>
      <c r="D51" t="s">
        <v>40</v>
      </c>
      <c r="E51" t="s">
        <v>52</v>
      </c>
      <c r="F51" t="s">
        <v>46</v>
      </c>
      <c r="G51">
        <v>1</v>
      </c>
      <c r="H51">
        <v>45</v>
      </c>
      <c r="I51" t="s">
        <v>8</v>
      </c>
      <c r="J51" t="s">
        <v>336</v>
      </c>
    </row>
    <row r="52" spans="1:10">
      <c r="A52">
        <v>2022</v>
      </c>
      <c r="B52" t="s">
        <v>167</v>
      </c>
      <c r="C52">
        <v>53</v>
      </c>
      <c r="D52" t="s">
        <v>40</v>
      </c>
      <c r="E52" t="s">
        <v>52</v>
      </c>
      <c r="F52" t="s">
        <v>47</v>
      </c>
      <c r="G52">
        <v>1</v>
      </c>
      <c r="H52">
        <v>53</v>
      </c>
      <c r="I52" t="s">
        <v>8</v>
      </c>
      <c r="J52" t="s">
        <v>336</v>
      </c>
    </row>
    <row r="53" spans="1:10">
      <c r="A53">
        <v>2022</v>
      </c>
      <c r="B53" t="s">
        <v>168</v>
      </c>
      <c r="C53">
        <v>9</v>
      </c>
      <c r="D53" t="s">
        <v>39</v>
      </c>
      <c r="E53" t="s">
        <v>54</v>
      </c>
      <c r="F53" t="s">
        <v>41</v>
      </c>
      <c r="G53">
        <v>1</v>
      </c>
      <c r="H53">
        <v>9</v>
      </c>
      <c r="I53" t="s">
        <v>8</v>
      </c>
      <c r="J53" t="s">
        <v>336</v>
      </c>
    </row>
    <row r="54" spans="1:10">
      <c r="A54">
        <v>2022</v>
      </c>
      <c r="B54" t="s">
        <v>168</v>
      </c>
      <c r="C54">
        <v>9</v>
      </c>
      <c r="D54" t="s">
        <v>40</v>
      </c>
      <c r="E54" t="s">
        <v>54</v>
      </c>
      <c r="F54" t="s">
        <v>41</v>
      </c>
      <c r="G54">
        <v>1</v>
      </c>
      <c r="H54">
        <v>9</v>
      </c>
      <c r="I54" t="s">
        <v>8</v>
      </c>
      <c r="J54" t="s">
        <v>336</v>
      </c>
    </row>
    <row r="55" spans="1:10">
      <c r="A55">
        <v>2022</v>
      </c>
      <c r="B55" t="s">
        <v>168</v>
      </c>
      <c r="C55">
        <v>29</v>
      </c>
      <c r="D55" t="s">
        <v>40</v>
      </c>
      <c r="E55" t="s">
        <v>52</v>
      </c>
      <c r="F55" t="s">
        <v>42</v>
      </c>
      <c r="G55">
        <v>1</v>
      </c>
      <c r="H55">
        <v>29</v>
      </c>
      <c r="I55" t="s">
        <v>8</v>
      </c>
      <c r="J55" t="s">
        <v>336</v>
      </c>
    </row>
    <row r="56" spans="1:10">
      <c r="A56">
        <v>2022</v>
      </c>
      <c r="B56" t="s">
        <v>168</v>
      </c>
      <c r="C56">
        <v>35</v>
      </c>
      <c r="D56" t="s">
        <v>40</v>
      </c>
      <c r="E56" t="s">
        <v>52</v>
      </c>
      <c r="F56" t="s">
        <v>44</v>
      </c>
      <c r="G56">
        <v>1</v>
      </c>
      <c r="H56">
        <v>35</v>
      </c>
      <c r="I56" t="s">
        <v>8</v>
      </c>
      <c r="J56" t="s">
        <v>336</v>
      </c>
    </row>
    <row r="57" spans="1:10">
      <c r="A57">
        <v>2022</v>
      </c>
      <c r="B57" t="s">
        <v>168</v>
      </c>
      <c r="C57">
        <v>38</v>
      </c>
      <c r="D57" t="s">
        <v>40</v>
      </c>
      <c r="E57" t="s">
        <v>52</v>
      </c>
      <c r="F57" t="s">
        <v>44</v>
      </c>
      <c r="G57">
        <v>1</v>
      </c>
      <c r="H57">
        <v>38</v>
      </c>
      <c r="I57" t="s">
        <v>8</v>
      </c>
      <c r="J57" t="s">
        <v>336</v>
      </c>
    </row>
    <row r="58" spans="1:10">
      <c r="A58">
        <v>2022</v>
      </c>
      <c r="B58" t="s">
        <v>168</v>
      </c>
      <c r="C58">
        <v>46</v>
      </c>
      <c r="D58" t="s">
        <v>40</v>
      </c>
      <c r="E58" t="s">
        <v>52</v>
      </c>
      <c r="F58" t="s">
        <v>46</v>
      </c>
      <c r="G58">
        <v>1</v>
      </c>
      <c r="H58">
        <v>46</v>
      </c>
      <c r="I58" t="s">
        <v>8</v>
      </c>
      <c r="J58" t="s">
        <v>336</v>
      </c>
    </row>
    <row r="59" spans="1:10">
      <c r="A59">
        <v>2022</v>
      </c>
      <c r="B59" t="s">
        <v>168</v>
      </c>
      <c r="C59">
        <v>54</v>
      </c>
      <c r="D59" t="s">
        <v>40</v>
      </c>
      <c r="E59" t="s">
        <v>52</v>
      </c>
      <c r="F59" t="s">
        <v>47</v>
      </c>
      <c r="G59">
        <v>1</v>
      </c>
      <c r="H59">
        <v>54</v>
      </c>
      <c r="I59" t="s">
        <v>8</v>
      </c>
      <c r="J59" t="s">
        <v>336</v>
      </c>
    </row>
    <row r="60" spans="1:10">
      <c r="A60">
        <v>2022</v>
      </c>
      <c r="B60" t="s">
        <v>168</v>
      </c>
      <c r="C60">
        <v>65</v>
      </c>
      <c r="D60" t="s">
        <v>40</v>
      </c>
      <c r="E60" t="s">
        <v>52</v>
      </c>
      <c r="F60" t="s">
        <v>49</v>
      </c>
      <c r="G60">
        <v>1</v>
      </c>
      <c r="H60">
        <v>65</v>
      </c>
      <c r="I60" t="s">
        <v>8</v>
      </c>
      <c r="J60" t="s">
        <v>336</v>
      </c>
    </row>
    <row r="61" spans="1:10">
      <c r="A61">
        <v>2022</v>
      </c>
      <c r="B61" t="s">
        <v>169</v>
      </c>
      <c r="C61">
        <v>15</v>
      </c>
      <c r="D61" t="s">
        <v>40</v>
      </c>
      <c r="E61" t="s">
        <v>54</v>
      </c>
      <c r="F61" t="s">
        <v>41</v>
      </c>
      <c r="G61">
        <v>1</v>
      </c>
      <c r="H61">
        <v>15</v>
      </c>
      <c r="I61" t="s">
        <v>8</v>
      </c>
      <c r="J61" t="s">
        <v>336</v>
      </c>
    </row>
    <row r="62" spans="1:10">
      <c r="A62">
        <v>2022</v>
      </c>
      <c r="B62" t="s">
        <v>169</v>
      </c>
      <c r="C62">
        <v>43</v>
      </c>
      <c r="D62" t="s">
        <v>39</v>
      </c>
      <c r="E62" t="s">
        <v>54</v>
      </c>
      <c r="F62" t="s">
        <v>45</v>
      </c>
      <c r="G62">
        <v>1</v>
      </c>
      <c r="H62">
        <v>43</v>
      </c>
      <c r="I62" t="s">
        <v>8</v>
      </c>
      <c r="J62" t="s">
        <v>336</v>
      </c>
    </row>
    <row r="63" spans="1:10">
      <c r="A63">
        <v>2022</v>
      </c>
      <c r="B63" t="s">
        <v>169</v>
      </c>
      <c r="C63">
        <v>44</v>
      </c>
      <c r="D63" t="s">
        <v>40</v>
      </c>
      <c r="E63" t="s">
        <v>52</v>
      </c>
      <c r="F63" t="s">
        <v>45</v>
      </c>
      <c r="G63">
        <v>1</v>
      </c>
      <c r="H63">
        <v>44</v>
      </c>
      <c r="I63" t="s">
        <v>8</v>
      </c>
      <c r="J63" t="s">
        <v>336</v>
      </c>
    </row>
  </sheetData>
  <sortState xmlns:xlrd2="http://schemas.microsoft.com/office/spreadsheetml/2017/richdata2" ref="A2:J67">
    <sortCondition ref="B1:B1048576"/>
  </sortState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Feuil5">
    <tabColor theme="9" tint="0.79998168889431442"/>
  </sheetPr>
  <dimension ref="A1:H8"/>
  <sheetViews>
    <sheetView workbookViewId="0">
      <selection sqref="A1:B1048576"/>
    </sheetView>
  </sheetViews>
  <sheetFormatPr baseColWidth="10" defaultColWidth="11.42578125" defaultRowHeight="15"/>
  <cols>
    <col min="1" max="2" width="11.42578125" style="155" customWidth="1"/>
    <col min="3" max="3" width="16.140625" bestFit="1" customWidth="1"/>
    <col min="4" max="4" width="37.7109375" bestFit="1" customWidth="1"/>
    <col min="5" max="5" width="11.42578125" customWidth="1"/>
    <col min="6" max="6" width="18" bestFit="1" customWidth="1"/>
    <col min="7" max="7" width="16.42578125" bestFit="1" customWidth="1"/>
    <col min="8" max="8" width="18.140625" bestFit="1" customWidth="1"/>
    <col min="9" max="11" width="11.42578125" customWidth="1"/>
  </cols>
  <sheetData>
    <row r="1" spans="1:8">
      <c r="A1" s="155" t="s">
        <v>170</v>
      </c>
      <c r="B1" s="155" t="s">
        <v>171</v>
      </c>
      <c r="C1" t="s">
        <v>172</v>
      </c>
      <c r="D1" t="s">
        <v>173</v>
      </c>
      <c r="E1" t="s">
        <v>156</v>
      </c>
      <c r="F1" t="s">
        <v>174</v>
      </c>
      <c r="G1" t="s">
        <v>165</v>
      </c>
      <c r="H1" t="s">
        <v>175</v>
      </c>
    </row>
    <row r="2" spans="1:8">
      <c r="A2" s="155">
        <v>44562</v>
      </c>
      <c r="B2" s="155">
        <v>44926</v>
      </c>
      <c r="C2" t="s">
        <v>176</v>
      </c>
      <c r="D2" t="s">
        <v>8</v>
      </c>
      <c r="E2">
        <v>2022</v>
      </c>
      <c r="F2">
        <v>22225.919999999998</v>
      </c>
      <c r="G2" t="s">
        <v>336</v>
      </c>
      <c r="H2">
        <v>30388.6</v>
      </c>
    </row>
    <row r="3" spans="1:8">
      <c r="A3" s="155">
        <v>44562</v>
      </c>
      <c r="B3" s="155">
        <v>44926</v>
      </c>
      <c r="C3" t="s">
        <v>176</v>
      </c>
      <c r="D3" t="s">
        <v>8</v>
      </c>
      <c r="E3">
        <v>2022</v>
      </c>
      <c r="F3">
        <v>1028.98</v>
      </c>
      <c r="G3" t="s">
        <v>336</v>
      </c>
      <c r="H3">
        <v>1406.88</v>
      </c>
    </row>
    <row r="4" spans="1:8">
      <c r="A4" s="155">
        <v>44562</v>
      </c>
      <c r="B4" s="155">
        <v>44926</v>
      </c>
      <c r="C4" t="s">
        <v>176</v>
      </c>
      <c r="D4" t="s">
        <v>8</v>
      </c>
      <c r="E4">
        <v>2022</v>
      </c>
      <c r="F4">
        <v>4830.4799999999996</v>
      </c>
      <c r="G4" t="s">
        <v>336</v>
      </c>
      <c r="H4">
        <v>6604.52</v>
      </c>
    </row>
    <row r="5" spans="1:8">
      <c r="A5" s="155">
        <v>44562</v>
      </c>
      <c r="B5" s="155">
        <v>44926</v>
      </c>
      <c r="C5" t="s">
        <v>176</v>
      </c>
      <c r="D5" t="s">
        <v>8</v>
      </c>
      <c r="E5">
        <v>2022</v>
      </c>
      <c r="F5">
        <v>105.75</v>
      </c>
      <c r="G5" t="s">
        <v>336</v>
      </c>
      <c r="H5">
        <v>144.59</v>
      </c>
    </row>
    <row r="6" spans="1:8">
      <c r="A6" s="155">
        <v>44562</v>
      </c>
      <c r="B6" s="155">
        <v>44603</v>
      </c>
      <c r="C6" t="s">
        <v>176</v>
      </c>
      <c r="D6" t="s">
        <v>8</v>
      </c>
      <c r="E6">
        <v>2022</v>
      </c>
      <c r="F6">
        <v>237.67</v>
      </c>
      <c r="G6" t="s">
        <v>336</v>
      </c>
      <c r="H6">
        <v>324.95999999999998</v>
      </c>
    </row>
    <row r="7" spans="1:8">
      <c r="A7" s="155">
        <v>44562</v>
      </c>
      <c r="B7" s="155">
        <v>44603</v>
      </c>
      <c r="C7" t="s">
        <v>176</v>
      </c>
      <c r="D7" t="s">
        <v>8</v>
      </c>
      <c r="E7">
        <v>2022</v>
      </c>
      <c r="F7">
        <v>312.89</v>
      </c>
      <c r="G7" t="s">
        <v>336</v>
      </c>
      <c r="H7">
        <v>427.8</v>
      </c>
    </row>
    <row r="8" spans="1:8">
      <c r="A8" s="155">
        <v>44562</v>
      </c>
      <c r="B8" s="155">
        <v>44603</v>
      </c>
      <c r="C8" t="s">
        <v>176</v>
      </c>
      <c r="D8" t="s">
        <v>8</v>
      </c>
      <c r="E8">
        <v>2022</v>
      </c>
      <c r="F8">
        <v>3223.48</v>
      </c>
      <c r="G8" t="s">
        <v>336</v>
      </c>
      <c r="H8">
        <v>4407.34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Feuil6">
    <tabColor theme="9" tint="0.79998168889431442"/>
    <pageSetUpPr fitToPage="1"/>
  </sheetPr>
  <dimension ref="A1:R17"/>
  <sheetViews>
    <sheetView zoomScale="85" zoomScaleNormal="85" workbookViewId="0">
      <pane ySplit="1" topLeftCell="A2" activePane="bottomLeft" state="frozen"/>
      <selection activeCell="B1" sqref="B1"/>
      <selection pane="bottomLeft" sqref="A1:A1048576"/>
    </sheetView>
  </sheetViews>
  <sheetFormatPr baseColWidth="10" defaultColWidth="11.42578125" defaultRowHeight="15"/>
  <cols>
    <col min="1" max="1" width="10.85546875" style="155" bestFit="1" customWidth="1"/>
    <col min="2" max="2" width="17.5703125" bestFit="1" customWidth="1"/>
    <col min="3" max="3" width="18.5703125" bestFit="1" customWidth="1"/>
    <col min="4" max="4" width="11.5703125" bestFit="1" customWidth="1"/>
    <col min="5" max="6" width="31.85546875" bestFit="1" customWidth="1"/>
    <col min="7" max="7" width="17.7109375" bestFit="1" customWidth="1"/>
    <col min="8" max="8" width="10.140625" bestFit="1" customWidth="1"/>
    <col min="9" max="9" width="11.28515625" bestFit="1" customWidth="1"/>
    <col min="10" max="10" width="9.7109375" bestFit="1" customWidth="1"/>
    <col min="11" max="11" width="13.28515625" bestFit="1" customWidth="1"/>
    <col min="12" max="12" width="11.28515625" bestFit="1" customWidth="1"/>
    <col min="13" max="13" width="7.85546875" bestFit="1" customWidth="1"/>
    <col min="14" max="14" width="7" bestFit="1" customWidth="1"/>
    <col min="15" max="15" width="7.7109375" bestFit="1" customWidth="1"/>
    <col min="16" max="16" width="9.85546875" bestFit="1" customWidth="1"/>
    <col min="17" max="17" width="10.28515625" bestFit="1" customWidth="1"/>
    <col min="18" max="18" width="21.5703125" bestFit="1" customWidth="1"/>
    <col min="19" max="22" width="11.42578125" customWidth="1"/>
    <col min="23" max="23" width="33.42578125" bestFit="1" customWidth="1"/>
    <col min="24" max="30" width="11.42578125" customWidth="1"/>
  </cols>
  <sheetData>
    <row r="1" spans="1:18">
      <c r="A1" s="155" t="s">
        <v>177</v>
      </c>
      <c r="B1" t="s">
        <v>172</v>
      </c>
      <c r="C1" t="s">
        <v>173</v>
      </c>
      <c r="D1" t="s">
        <v>178</v>
      </c>
      <c r="E1" t="s">
        <v>179</v>
      </c>
      <c r="F1" t="s">
        <v>180</v>
      </c>
      <c r="G1" t="s">
        <v>181</v>
      </c>
      <c r="H1" t="s">
        <v>182</v>
      </c>
      <c r="I1" t="s">
        <v>183</v>
      </c>
      <c r="J1" t="s">
        <v>184</v>
      </c>
      <c r="K1" t="s">
        <v>185</v>
      </c>
      <c r="L1" t="s">
        <v>186</v>
      </c>
      <c r="M1" t="s">
        <v>187</v>
      </c>
      <c r="N1" t="s">
        <v>188</v>
      </c>
      <c r="O1" t="s">
        <v>189</v>
      </c>
      <c r="P1" t="s">
        <v>190</v>
      </c>
      <c r="Q1" t="s">
        <v>191</v>
      </c>
      <c r="R1" t="s">
        <v>165</v>
      </c>
    </row>
    <row r="2" spans="1:18">
      <c r="A2" s="155">
        <v>44926</v>
      </c>
      <c r="B2" t="s">
        <v>176</v>
      </c>
      <c r="C2" t="s">
        <v>8</v>
      </c>
      <c r="D2">
        <v>2022</v>
      </c>
      <c r="E2" t="s">
        <v>84</v>
      </c>
      <c r="F2" t="s">
        <v>80</v>
      </c>
      <c r="G2" t="s">
        <v>192</v>
      </c>
      <c r="H2">
        <v>118</v>
      </c>
      <c r="I2">
        <v>12041.3</v>
      </c>
      <c r="J2">
        <v>3050.44</v>
      </c>
      <c r="K2">
        <v>0</v>
      </c>
      <c r="L2">
        <v>7076.92</v>
      </c>
      <c r="M2" t="s">
        <v>193</v>
      </c>
      <c r="N2">
        <v>7.98</v>
      </c>
      <c r="O2">
        <v>850</v>
      </c>
      <c r="P2">
        <v>2.39</v>
      </c>
      <c r="Q2">
        <v>850</v>
      </c>
      <c r="R2" t="s">
        <v>336</v>
      </c>
    </row>
    <row r="3" spans="1:18">
      <c r="A3" s="155">
        <v>44926</v>
      </c>
      <c r="B3" t="s">
        <v>176</v>
      </c>
      <c r="C3" t="s">
        <v>8</v>
      </c>
      <c r="D3">
        <v>2022</v>
      </c>
      <c r="E3" t="s">
        <v>86</v>
      </c>
      <c r="F3" t="s">
        <v>80</v>
      </c>
      <c r="G3" t="s">
        <v>192</v>
      </c>
      <c r="H3">
        <v>11</v>
      </c>
      <c r="I3">
        <v>3850</v>
      </c>
      <c r="J3">
        <v>770</v>
      </c>
      <c r="K3">
        <v>0</v>
      </c>
      <c r="L3">
        <v>2530</v>
      </c>
      <c r="M3" t="s">
        <v>193</v>
      </c>
      <c r="N3">
        <v>350</v>
      </c>
      <c r="O3">
        <v>350</v>
      </c>
      <c r="P3">
        <v>230</v>
      </c>
      <c r="Q3">
        <v>230</v>
      </c>
      <c r="R3" t="s">
        <v>336</v>
      </c>
    </row>
    <row r="4" spans="1:18">
      <c r="A4" s="155">
        <v>44926</v>
      </c>
      <c r="B4" t="s">
        <v>176</v>
      </c>
      <c r="C4" t="s">
        <v>8</v>
      </c>
      <c r="D4">
        <v>2022</v>
      </c>
      <c r="E4" t="s">
        <v>90</v>
      </c>
      <c r="F4" t="s">
        <v>88</v>
      </c>
      <c r="G4" t="s">
        <v>192</v>
      </c>
      <c r="H4">
        <v>2</v>
      </c>
      <c r="I4">
        <v>60</v>
      </c>
      <c r="J4">
        <v>0</v>
      </c>
      <c r="K4">
        <v>0</v>
      </c>
      <c r="L4">
        <v>60</v>
      </c>
      <c r="M4" t="s">
        <v>193</v>
      </c>
      <c r="N4">
        <v>20</v>
      </c>
      <c r="O4">
        <v>40</v>
      </c>
      <c r="P4">
        <v>20</v>
      </c>
      <c r="Q4">
        <v>40</v>
      </c>
      <c r="R4" t="s">
        <v>336</v>
      </c>
    </row>
    <row r="5" spans="1:18">
      <c r="A5" s="155">
        <v>44926</v>
      </c>
      <c r="B5" t="s">
        <v>176</v>
      </c>
      <c r="C5" t="s">
        <v>8</v>
      </c>
      <c r="D5">
        <v>2022</v>
      </c>
      <c r="E5" t="s">
        <v>91</v>
      </c>
      <c r="F5" t="s">
        <v>88</v>
      </c>
      <c r="G5" t="s">
        <v>192</v>
      </c>
      <c r="H5">
        <v>3</v>
      </c>
      <c r="I5">
        <v>72</v>
      </c>
      <c r="J5">
        <v>0</v>
      </c>
      <c r="K5">
        <v>0</v>
      </c>
      <c r="L5">
        <v>72</v>
      </c>
      <c r="M5" t="s">
        <v>193</v>
      </c>
      <c r="N5">
        <v>24</v>
      </c>
      <c r="O5">
        <v>24</v>
      </c>
      <c r="P5">
        <v>24</v>
      </c>
      <c r="Q5">
        <v>24</v>
      </c>
      <c r="R5" t="s">
        <v>336</v>
      </c>
    </row>
    <row r="6" spans="1:18">
      <c r="A6" s="155">
        <v>44926</v>
      </c>
      <c r="B6" t="s">
        <v>176</v>
      </c>
      <c r="C6" t="s">
        <v>8</v>
      </c>
      <c r="D6">
        <v>2022</v>
      </c>
      <c r="E6" t="s">
        <v>92</v>
      </c>
      <c r="F6" t="s">
        <v>88</v>
      </c>
      <c r="G6" t="s">
        <v>192</v>
      </c>
      <c r="H6">
        <v>1</v>
      </c>
      <c r="I6">
        <v>85.84</v>
      </c>
      <c r="J6">
        <v>55.8</v>
      </c>
      <c r="K6">
        <v>0</v>
      </c>
      <c r="L6">
        <v>30.04</v>
      </c>
      <c r="M6" t="s">
        <v>193</v>
      </c>
      <c r="N6">
        <v>85.84</v>
      </c>
      <c r="O6">
        <v>85.84</v>
      </c>
      <c r="P6">
        <v>30.04</v>
      </c>
      <c r="Q6">
        <v>30.04</v>
      </c>
      <c r="R6" t="s">
        <v>336</v>
      </c>
    </row>
    <row r="7" spans="1:18">
      <c r="A7" s="155">
        <v>44926</v>
      </c>
      <c r="B7" t="s">
        <v>176</v>
      </c>
      <c r="C7" t="s">
        <v>8</v>
      </c>
      <c r="D7">
        <v>2022</v>
      </c>
      <c r="E7" t="s">
        <v>94</v>
      </c>
      <c r="F7" t="s">
        <v>88</v>
      </c>
      <c r="G7" t="s">
        <v>192</v>
      </c>
      <c r="H7">
        <v>23</v>
      </c>
      <c r="I7">
        <v>6636.43</v>
      </c>
      <c r="J7">
        <v>2410.25</v>
      </c>
      <c r="K7">
        <v>0</v>
      </c>
      <c r="L7">
        <v>2252.13</v>
      </c>
      <c r="M7" t="s">
        <v>193</v>
      </c>
      <c r="N7">
        <v>20</v>
      </c>
      <c r="O7">
        <v>1062.7</v>
      </c>
      <c r="P7">
        <v>2.5099999999999998</v>
      </c>
      <c r="Q7">
        <v>303.63</v>
      </c>
      <c r="R7" t="s">
        <v>336</v>
      </c>
    </row>
    <row r="8" spans="1:18">
      <c r="A8" s="155">
        <v>44926</v>
      </c>
      <c r="B8" t="s">
        <v>176</v>
      </c>
      <c r="C8" t="s">
        <v>8</v>
      </c>
      <c r="D8">
        <v>2022</v>
      </c>
      <c r="E8" t="s">
        <v>194</v>
      </c>
      <c r="F8" t="s">
        <v>88</v>
      </c>
      <c r="G8" t="s">
        <v>192</v>
      </c>
      <c r="H8">
        <v>4</v>
      </c>
      <c r="I8">
        <v>78.44</v>
      </c>
      <c r="J8">
        <v>0</v>
      </c>
      <c r="K8">
        <v>0</v>
      </c>
      <c r="L8">
        <v>78.44</v>
      </c>
      <c r="M8" t="s">
        <v>193</v>
      </c>
      <c r="N8">
        <v>19.61</v>
      </c>
      <c r="O8">
        <v>19.61</v>
      </c>
      <c r="P8">
        <v>19.61</v>
      </c>
      <c r="Q8">
        <v>19.61</v>
      </c>
      <c r="R8" t="s">
        <v>336</v>
      </c>
    </row>
    <row r="9" spans="1:18">
      <c r="A9" s="155">
        <v>44926</v>
      </c>
      <c r="B9" t="s">
        <v>176</v>
      </c>
      <c r="C9" t="s">
        <v>8</v>
      </c>
      <c r="D9">
        <v>2022</v>
      </c>
      <c r="E9" t="s">
        <v>104</v>
      </c>
      <c r="F9" t="s">
        <v>100</v>
      </c>
      <c r="G9" t="s">
        <v>192</v>
      </c>
      <c r="H9">
        <v>6</v>
      </c>
      <c r="I9">
        <v>729.6</v>
      </c>
      <c r="J9">
        <v>0</v>
      </c>
      <c r="K9">
        <v>0</v>
      </c>
      <c r="L9">
        <v>729.6</v>
      </c>
      <c r="M9" t="s">
        <v>193</v>
      </c>
      <c r="N9">
        <v>70.2</v>
      </c>
      <c r="O9">
        <v>200</v>
      </c>
      <c r="P9">
        <v>70.2</v>
      </c>
      <c r="Q9">
        <v>200</v>
      </c>
      <c r="R9" t="s">
        <v>336</v>
      </c>
    </row>
    <row r="10" spans="1:18">
      <c r="A10" s="155">
        <v>44926</v>
      </c>
      <c r="B10" t="s">
        <v>176</v>
      </c>
      <c r="C10" t="s">
        <v>8</v>
      </c>
      <c r="D10">
        <v>2022</v>
      </c>
      <c r="E10" t="s">
        <v>107</v>
      </c>
      <c r="F10" t="s">
        <v>100</v>
      </c>
      <c r="G10" t="s">
        <v>192</v>
      </c>
      <c r="H10">
        <v>24</v>
      </c>
      <c r="I10">
        <v>5459.7</v>
      </c>
      <c r="J10">
        <v>0.72</v>
      </c>
      <c r="K10">
        <v>0</v>
      </c>
      <c r="L10">
        <v>4509.1499999999996</v>
      </c>
      <c r="M10" t="s">
        <v>193</v>
      </c>
      <c r="N10">
        <v>98</v>
      </c>
      <c r="O10">
        <v>377</v>
      </c>
      <c r="P10">
        <v>30.05</v>
      </c>
      <c r="Q10">
        <v>376.97</v>
      </c>
      <c r="R10" t="s">
        <v>336</v>
      </c>
    </row>
    <row r="11" spans="1:18">
      <c r="A11" s="155">
        <v>44926</v>
      </c>
      <c r="B11" t="s">
        <v>176</v>
      </c>
      <c r="C11" t="s">
        <v>8</v>
      </c>
      <c r="D11">
        <v>2022</v>
      </c>
      <c r="E11" t="s">
        <v>108</v>
      </c>
      <c r="F11" t="s">
        <v>100</v>
      </c>
      <c r="G11" t="s">
        <v>192</v>
      </c>
      <c r="H11">
        <v>41</v>
      </c>
      <c r="I11">
        <v>5713.98</v>
      </c>
      <c r="J11">
        <v>1.23</v>
      </c>
      <c r="K11">
        <v>0</v>
      </c>
      <c r="L11">
        <v>4758.83</v>
      </c>
      <c r="M11" t="s">
        <v>193</v>
      </c>
      <c r="N11">
        <v>90</v>
      </c>
      <c r="O11">
        <v>266</v>
      </c>
      <c r="P11">
        <v>53</v>
      </c>
      <c r="Q11">
        <v>179.97</v>
      </c>
      <c r="R11" t="s">
        <v>336</v>
      </c>
    </row>
    <row r="12" spans="1:18">
      <c r="A12" s="155">
        <v>44926</v>
      </c>
      <c r="B12" t="s">
        <v>176</v>
      </c>
      <c r="C12" t="s">
        <v>8</v>
      </c>
      <c r="D12">
        <v>2022</v>
      </c>
      <c r="E12" t="s">
        <v>112</v>
      </c>
      <c r="F12" t="s">
        <v>111</v>
      </c>
      <c r="G12" t="s">
        <v>192</v>
      </c>
      <c r="H12">
        <v>42</v>
      </c>
      <c r="I12">
        <v>2453</v>
      </c>
      <c r="J12">
        <v>0</v>
      </c>
      <c r="K12">
        <v>0</v>
      </c>
      <c r="L12">
        <v>1574</v>
      </c>
      <c r="M12" t="s">
        <v>193</v>
      </c>
      <c r="N12">
        <v>35</v>
      </c>
      <c r="O12">
        <v>80</v>
      </c>
      <c r="P12">
        <v>5</v>
      </c>
      <c r="Q12">
        <v>50</v>
      </c>
      <c r="R12" t="s">
        <v>336</v>
      </c>
    </row>
    <row r="13" spans="1:18">
      <c r="A13" s="155">
        <v>44926</v>
      </c>
      <c r="B13" t="s">
        <v>176</v>
      </c>
      <c r="C13" t="s">
        <v>8</v>
      </c>
      <c r="D13">
        <v>2022</v>
      </c>
      <c r="E13" t="s">
        <v>115</v>
      </c>
      <c r="F13" t="s">
        <v>114</v>
      </c>
      <c r="G13" t="s">
        <v>192</v>
      </c>
      <c r="H13">
        <v>79</v>
      </c>
      <c r="I13">
        <v>2843.73</v>
      </c>
      <c r="J13">
        <v>1706.18</v>
      </c>
      <c r="K13">
        <v>0</v>
      </c>
      <c r="L13">
        <v>1137.55</v>
      </c>
      <c r="M13" t="s">
        <v>193</v>
      </c>
      <c r="N13">
        <v>3.78</v>
      </c>
      <c r="O13">
        <v>254.61</v>
      </c>
      <c r="P13">
        <v>1.51</v>
      </c>
      <c r="Q13">
        <v>101.84</v>
      </c>
      <c r="R13" t="s">
        <v>336</v>
      </c>
    </row>
    <row r="14" spans="1:18">
      <c r="A14" s="155">
        <v>44926</v>
      </c>
      <c r="B14" t="s">
        <v>176</v>
      </c>
      <c r="C14" t="s">
        <v>8</v>
      </c>
      <c r="D14">
        <v>2022</v>
      </c>
      <c r="E14" t="s">
        <v>67</v>
      </c>
      <c r="F14" t="s">
        <v>114</v>
      </c>
      <c r="G14" t="s">
        <v>192</v>
      </c>
      <c r="H14">
        <v>33</v>
      </c>
      <c r="I14">
        <v>1060.51</v>
      </c>
      <c r="J14">
        <v>288.94</v>
      </c>
      <c r="K14">
        <v>0</v>
      </c>
      <c r="L14">
        <v>508.42</v>
      </c>
      <c r="M14" t="s">
        <v>193</v>
      </c>
      <c r="N14">
        <v>1.1499999999999999</v>
      </c>
      <c r="O14">
        <v>93</v>
      </c>
      <c r="P14">
        <v>0.46</v>
      </c>
      <c r="Q14">
        <v>49.06</v>
      </c>
      <c r="R14" t="s">
        <v>336</v>
      </c>
    </row>
    <row r="15" spans="1:18">
      <c r="A15" s="155">
        <v>44926</v>
      </c>
      <c r="B15" t="s">
        <v>176</v>
      </c>
      <c r="C15" t="s">
        <v>8</v>
      </c>
      <c r="D15">
        <v>2022</v>
      </c>
      <c r="E15" t="s">
        <v>116</v>
      </c>
      <c r="F15" t="s">
        <v>114</v>
      </c>
      <c r="G15" t="s">
        <v>192</v>
      </c>
      <c r="H15">
        <v>319</v>
      </c>
      <c r="I15">
        <v>7955.7600000000202</v>
      </c>
      <c r="J15">
        <v>4357.6800000000203</v>
      </c>
      <c r="K15">
        <v>0</v>
      </c>
      <c r="L15">
        <v>3349.88</v>
      </c>
      <c r="M15" t="s">
        <v>193</v>
      </c>
      <c r="N15">
        <v>0.75</v>
      </c>
      <c r="O15">
        <v>140</v>
      </c>
      <c r="P15">
        <v>0.14000000000000001</v>
      </c>
      <c r="Q15">
        <v>90.91</v>
      </c>
      <c r="R15" t="s">
        <v>336</v>
      </c>
    </row>
    <row r="16" spans="1:18">
      <c r="A16" s="155">
        <v>44926</v>
      </c>
      <c r="B16" t="s">
        <v>176</v>
      </c>
      <c r="C16" t="s">
        <v>8</v>
      </c>
      <c r="D16">
        <v>2022</v>
      </c>
      <c r="E16" t="s">
        <v>117</v>
      </c>
      <c r="F16" t="s">
        <v>114</v>
      </c>
      <c r="G16" t="s">
        <v>192</v>
      </c>
      <c r="H16">
        <v>542</v>
      </c>
      <c r="I16">
        <v>26405.67</v>
      </c>
      <c r="J16">
        <v>11498.19</v>
      </c>
      <c r="K16">
        <v>0</v>
      </c>
      <c r="L16">
        <v>9655.7299999999796</v>
      </c>
      <c r="M16" t="s">
        <v>193</v>
      </c>
      <c r="N16">
        <v>2</v>
      </c>
      <c r="O16">
        <v>150</v>
      </c>
      <c r="P16">
        <v>0.6</v>
      </c>
      <c r="Q16">
        <v>66.400000000000006</v>
      </c>
      <c r="R16" t="s">
        <v>336</v>
      </c>
    </row>
    <row r="17" spans="1:18">
      <c r="A17" s="155">
        <v>44926</v>
      </c>
      <c r="B17" t="s">
        <v>176</v>
      </c>
      <c r="C17" t="s">
        <v>8</v>
      </c>
      <c r="D17">
        <v>2022</v>
      </c>
      <c r="E17" t="s">
        <v>119</v>
      </c>
      <c r="F17" t="s">
        <v>114</v>
      </c>
      <c r="G17" t="s">
        <v>192</v>
      </c>
      <c r="H17">
        <v>1284</v>
      </c>
      <c r="I17">
        <v>4902.2300000000496</v>
      </c>
      <c r="J17">
        <v>2683.2199999999898</v>
      </c>
      <c r="K17">
        <v>0</v>
      </c>
      <c r="L17">
        <v>2203.6999999999998</v>
      </c>
      <c r="M17" t="s">
        <v>193</v>
      </c>
      <c r="N17">
        <v>0.51</v>
      </c>
      <c r="O17">
        <v>186.99</v>
      </c>
      <c r="P17">
        <v>0.18</v>
      </c>
      <c r="Q17">
        <v>65.45</v>
      </c>
      <c r="R17" t="s">
        <v>336</v>
      </c>
    </row>
  </sheetData>
  <sortState xmlns:xlrd2="http://schemas.microsoft.com/office/spreadsheetml/2017/richdata2" ref="A2:R23">
    <sortCondition ref="D1:D1048576"/>
    <sortCondition ref="F1:F1048576"/>
    <sortCondition ref="E1:E1048576"/>
  </sortState>
  <pageMargins left="0.7" right="0.7" top="0.75" bottom="0.75" header="0.3" footer="0.3"/>
  <pageSetup paperSize="9" scale="55" orientation="landscape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Feuil7">
    <tabColor theme="9" tint="0.79998168889431442"/>
  </sheetPr>
  <dimension ref="A1:Q957"/>
  <sheetViews>
    <sheetView zoomScale="70" zoomScaleNormal="70" workbookViewId="0">
      <pane ySplit="1" topLeftCell="A2" activePane="bottomLeft" state="frozen"/>
      <selection pane="bottomLeft" sqref="A1:A1048576"/>
    </sheetView>
  </sheetViews>
  <sheetFormatPr baseColWidth="10" defaultColWidth="11.42578125" defaultRowHeight="15"/>
  <cols>
    <col min="1" max="1" width="12.42578125" style="155" bestFit="1" customWidth="1"/>
    <col min="2" max="2" width="20.140625" bestFit="1" customWidth="1"/>
    <col min="3" max="3" width="10.140625" bestFit="1" customWidth="1"/>
    <col min="4" max="4" width="13" bestFit="1" customWidth="1"/>
    <col min="5" max="5" width="44.85546875" bestFit="1" customWidth="1"/>
    <col min="6" max="6" width="8.7109375" bestFit="1" customWidth="1"/>
    <col min="7" max="7" width="21.140625" bestFit="1" customWidth="1"/>
    <col min="8" max="8" width="12.140625" bestFit="1" customWidth="1"/>
    <col min="9" max="10" width="15.85546875" bestFit="1" customWidth="1"/>
    <col min="11" max="11" width="15.28515625" bestFit="1" customWidth="1"/>
    <col min="12" max="12" width="15.85546875" bestFit="1" customWidth="1"/>
    <col min="13" max="13" width="9.5703125" bestFit="1" customWidth="1"/>
    <col min="14" max="14" width="13.5703125" bestFit="1" customWidth="1"/>
    <col min="15" max="15" width="10" bestFit="1" customWidth="1"/>
    <col min="16" max="16" width="14.85546875" bestFit="1" customWidth="1"/>
    <col min="17" max="17" width="11.7109375" bestFit="1" customWidth="1"/>
    <col min="18" max="18" width="10" bestFit="1" customWidth="1"/>
    <col min="19" max="19" width="14.85546875" bestFit="1" customWidth="1"/>
    <col min="20" max="20" width="11.7109375" bestFit="1" customWidth="1"/>
    <col min="21" max="22" width="11.42578125" customWidth="1"/>
    <col min="23" max="23" width="33.42578125" bestFit="1" customWidth="1"/>
    <col min="24" max="30" width="11.42578125" customWidth="1"/>
  </cols>
  <sheetData>
    <row r="1" spans="1:17">
      <c r="A1" s="155" t="s">
        <v>177</v>
      </c>
      <c r="B1" t="s">
        <v>172</v>
      </c>
      <c r="C1" t="s">
        <v>173</v>
      </c>
      <c r="D1" t="s">
        <v>178</v>
      </c>
      <c r="E1" t="s">
        <v>179</v>
      </c>
      <c r="F1" t="s">
        <v>180</v>
      </c>
      <c r="G1" t="s">
        <v>181</v>
      </c>
      <c r="H1" t="s">
        <v>182</v>
      </c>
      <c r="I1" t="s">
        <v>183</v>
      </c>
      <c r="J1" t="s">
        <v>184</v>
      </c>
      <c r="K1" t="s">
        <v>185</v>
      </c>
      <c r="L1" t="s">
        <v>186</v>
      </c>
      <c r="M1" t="s">
        <v>187</v>
      </c>
      <c r="N1" t="s">
        <v>188</v>
      </c>
      <c r="O1" t="s">
        <v>189</v>
      </c>
      <c r="P1" t="s">
        <v>190</v>
      </c>
      <c r="Q1" t="s">
        <v>191</v>
      </c>
    </row>
    <row r="2" spans="1:17">
      <c r="A2" s="155">
        <v>44926</v>
      </c>
      <c r="B2" t="s">
        <v>346</v>
      </c>
      <c r="C2" t="s">
        <v>8</v>
      </c>
      <c r="D2">
        <v>2022</v>
      </c>
      <c r="E2" t="s">
        <v>67</v>
      </c>
      <c r="F2" t="s">
        <v>66</v>
      </c>
      <c r="G2" t="s">
        <v>192</v>
      </c>
      <c r="H2">
        <v>440</v>
      </c>
      <c r="I2">
        <v>14362.499999999995</v>
      </c>
      <c r="J2">
        <v>6999.1599999999953</v>
      </c>
      <c r="K2">
        <v>151.55000000000001</v>
      </c>
      <c r="L2">
        <v>5494.4199999999928</v>
      </c>
      <c r="M2" t="s">
        <v>193</v>
      </c>
      <c r="N2">
        <v>-170.4</v>
      </c>
      <c r="O2">
        <v>304.89999999999998</v>
      </c>
      <c r="P2">
        <v>-68.16</v>
      </c>
      <c r="Q2">
        <v>133.13999999999999</v>
      </c>
    </row>
    <row r="3" spans="1:17">
      <c r="A3" s="155">
        <v>44926</v>
      </c>
      <c r="B3" t="s">
        <v>347</v>
      </c>
      <c r="C3" t="s">
        <v>8</v>
      </c>
      <c r="D3">
        <v>2022</v>
      </c>
      <c r="E3" t="s">
        <v>67</v>
      </c>
      <c r="F3" t="s">
        <v>66</v>
      </c>
      <c r="G3" t="s">
        <v>192</v>
      </c>
      <c r="H3">
        <v>234</v>
      </c>
      <c r="I3">
        <v>10664.769999999991</v>
      </c>
      <c r="J3">
        <v>4602.8699999999981</v>
      </c>
      <c r="K3">
        <v>363.40999999999991</v>
      </c>
      <c r="L3">
        <v>3228.7199999999993</v>
      </c>
      <c r="M3" t="s">
        <v>193</v>
      </c>
      <c r="N3">
        <v>-170.4</v>
      </c>
      <c r="O3">
        <v>304.89999999999998</v>
      </c>
      <c r="P3">
        <v>-68.16</v>
      </c>
      <c r="Q3">
        <v>133.13999999999999</v>
      </c>
    </row>
    <row r="4" spans="1:17">
      <c r="A4" s="155">
        <v>44926</v>
      </c>
      <c r="B4" t="s">
        <v>348</v>
      </c>
      <c r="C4" t="s">
        <v>8</v>
      </c>
      <c r="D4">
        <v>2022</v>
      </c>
      <c r="E4" t="s">
        <v>67</v>
      </c>
      <c r="F4" t="s">
        <v>66</v>
      </c>
      <c r="G4" t="s">
        <v>192</v>
      </c>
      <c r="H4">
        <v>3</v>
      </c>
      <c r="I4">
        <v>52.9</v>
      </c>
      <c r="J4">
        <v>25.22</v>
      </c>
      <c r="K4">
        <v>0</v>
      </c>
      <c r="L4">
        <v>27.68</v>
      </c>
      <c r="M4" t="s">
        <v>193</v>
      </c>
      <c r="N4">
        <v>-170.4</v>
      </c>
      <c r="O4">
        <v>304.89999999999998</v>
      </c>
      <c r="P4">
        <v>-68.16</v>
      </c>
      <c r="Q4">
        <v>133.13999999999999</v>
      </c>
    </row>
    <row r="5" spans="1:17">
      <c r="A5" s="155">
        <v>44926</v>
      </c>
      <c r="B5" t="s">
        <v>349</v>
      </c>
      <c r="C5" t="s">
        <v>8</v>
      </c>
      <c r="D5">
        <v>2022</v>
      </c>
      <c r="E5" t="s">
        <v>67</v>
      </c>
      <c r="F5" t="s">
        <v>66</v>
      </c>
      <c r="G5" t="s">
        <v>192</v>
      </c>
      <c r="H5">
        <v>185</v>
      </c>
      <c r="I5">
        <v>5743.3099999999995</v>
      </c>
      <c r="J5">
        <v>2559.0500000000002</v>
      </c>
      <c r="K5">
        <v>115.44</v>
      </c>
      <c r="L5">
        <v>2455.0100000000002</v>
      </c>
      <c r="M5" t="s">
        <v>193</v>
      </c>
      <c r="N5">
        <v>-170.4</v>
      </c>
      <c r="O5">
        <v>304.89999999999998</v>
      </c>
      <c r="P5">
        <v>-68.16</v>
      </c>
      <c r="Q5">
        <v>133.13999999999999</v>
      </c>
    </row>
    <row r="6" spans="1:17">
      <c r="A6" s="155">
        <v>44926</v>
      </c>
      <c r="B6" t="s">
        <v>350</v>
      </c>
      <c r="C6" t="s">
        <v>8</v>
      </c>
      <c r="D6">
        <v>2022</v>
      </c>
      <c r="E6" t="s">
        <v>67</v>
      </c>
      <c r="F6" t="s">
        <v>66</v>
      </c>
      <c r="G6" t="s">
        <v>192</v>
      </c>
      <c r="H6">
        <v>105</v>
      </c>
      <c r="I6">
        <v>3361.5300000000016</v>
      </c>
      <c r="J6">
        <v>1345.2000000000005</v>
      </c>
      <c r="K6">
        <v>0</v>
      </c>
      <c r="L6">
        <v>1720.6699999999994</v>
      </c>
      <c r="M6" t="s">
        <v>193</v>
      </c>
      <c r="N6">
        <v>-170.4</v>
      </c>
      <c r="O6">
        <v>304.89999999999998</v>
      </c>
      <c r="P6">
        <v>-68.16</v>
      </c>
      <c r="Q6">
        <v>133.13999999999999</v>
      </c>
    </row>
    <row r="7" spans="1:17">
      <c r="A7" s="155">
        <v>44926</v>
      </c>
      <c r="B7" t="s">
        <v>351</v>
      </c>
      <c r="C7" t="s">
        <v>8</v>
      </c>
      <c r="D7">
        <v>2022</v>
      </c>
      <c r="E7" t="s">
        <v>67</v>
      </c>
      <c r="F7" t="s">
        <v>66</v>
      </c>
      <c r="G7" t="s">
        <v>192</v>
      </c>
      <c r="H7">
        <v>2</v>
      </c>
      <c r="I7">
        <v>0</v>
      </c>
      <c r="J7">
        <v>0</v>
      </c>
      <c r="K7">
        <v>0</v>
      </c>
      <c r="L7">
        <v>0</v>
      </c>
      <c r="M7" t="s">
        <v>193</v>
      </c>
      <c r="N7">
        <v>-170.4</v>
      </c>
      <c r="O7">
        <v>304.89999999999998</v>
      </c>
      <c r="P7">
        <v>-68.16</v>
      </c>
      <c r="Q7">
        <v>133.13999999999999</v>
      </c>
    </row>
    <row r="8" spans="1:17">
      <c r="A8" s="155">
        <v>44926</v>
      </c>
      <c r="B8" t="s">
        <v>176</v>
      </c>
      <c r="C8" t="s">
        <v>8</v>
      </c>
      <c r="D8">
        <v>2022</v>
      </c>
      <c r="E8" t="s">
        <v>67</v>
      </c>
      <c r="F8" t="s">
        <v>66</v>
      </c>
      <c r="G8" t="s">
        <v>192</v>
      </c>
      <c r="H8">
        <v>2</v>
      </c>
      <c r="I8">
        <v>81.460000000000008</v>
      </c>
      <c r="J8">
        <v>48.88</v>
      </c>
      <c r="K8">
        <v>0</v>
      </c>
      <c r="L8">
        <v>32.58</v>
      </c>
      <c r="M8" t="s">
        <v>193</v>
      </c>
      <c r="N8">
        <v>-170.4</v>
      </c>
      <c r="O8">
        <v>304.89999999999998</v>
      </c>
      <c r="P8">
        <v>-68.16</v>
      </c>
      <c r="Q8">
        <v>133.13999999999999</v>
      </c>
    </row>
    <row r="9" spans="1:17">
      <c r="A9" s="155">
        <v>44926</v>
      </c>
      <c r="B9" t="s">
        <v>352</v>
      </c>
      <c r="C9" t="s">
        <v>8</v>
      </c>
      <c r="D9">
        <v>2022</v>
      </c>
      <c r="E9" t="s">
        <v>67</v>
      </c>
      <c r="F9" t="s">
        <v>66</v>
      </c>
      <c r="G9" t="s">
        <v>192</v>
      </c>
      <c r="H9">
        <v>440</v>
      </c>
      <c r="I9">
        <v>14362.499999999995</v>
      </c>
      <c r="J9">
        <v>6999.1599999999944</v>
      </c>
      <c r="K9">
        <v>151.55000000000001</v>
      </c>
      <c r="L9">
        <v>5494.4199999999928</v>
      </c>
      <c r="M9" t="s">
        <v>193</v>
      </c>
      <c r="N9">
        <v>-170.4</v>
      </c>
      <c r="O9">
        <v>304.89999999999998</v>
      </c>
      <c r="P9">
        <v>-68.16</v>
      </c>
      <c r="Q9">
        <v>133.13999999999999</v>
      </c>
    </row>
    <row r="10" spans="1:17">
      <c r="A10" s="155">
        <v>44926</v>
      </c>
      <c r="B10" t="s">
        <v>353</v>
      </c>
      <c r="C10" t="s">
        <v>8</v>
      </c>
      <c r="D10">
        <v>2022</v>
      </c>
      <c r="E10" t="s">
        <v>67</v>
      </c>
      <c r="F10" t="s">
        <v>66</v>
      </c>
      <c r="G10" t="s">
        <v>192</v>
      </c>
      <c r="H10">
        <v>234</v>
      </c>
      <c r="I10">
        <v>10664.769999999986</v>
      </c>
      <c r="J10">
        <v>4602.8699999999972</v>
      </c>
      <c r="K10">
        <v>363.40999999999997</v>
      </c>
      <c r="L10">
        <v>3228.7200000000012</v>
      </c>
      <c r="M10" t="s">
        <v>193</v>
      </c>
      <c r="N10">
        <v>-170.4</v>
      </c>
      <c r="O10">
        <v>304.89999999999998</v>
      </c>
      <c r="P10">
        <v>-68.16</v>
      </c>
      <c r="Q10">
        <v>133.13999999999999</v>
      </c>
    </row>
    <row r="11" spans="1:17">
      <c r="A11" s="155">
        <v>44926</v>
      </c>
      <c r="B11" t="s">
        <v>354</v>
      </c>
      <c r="C11" t="s">
        <v>8</v>
      </c>
      <c r="D11">
        <v>2022</v>
      </c>
      <c r="E11" t="s">
        <v>67</v>
      </c>
      <c r="F11" t="s">
        <v>66</v>
      </c>
      <c r="G11" t="s">
        <v>192</v>
      </c>
      <c r="H11">
        <v>3</v>
      </c>
      <c r="I11">
        <v>52.9</v>
      </c>
      <c r="J11">
        <v>25.22</v>
      </c>
      <c r="K11">
        <v>0</v>
      </c>
      <c r="L11">
        <v>27.68</v>
      </c>
      <c r="M11" t="s">
        <v>193</v>
      </c>
      <c r="N11">
        <v>-170.4</v>
      </c>
      <c r="O11">
        <v>304.89999999999998</v>
      </c>
      <c r="P11">
        <v>-68.16</v>
      </c>
      <c r="Q11">
        <v>133.13999999999999</v>
      </c>
    </row>
    <row r="12" spans="1:17">
      <c r="A12" s="155">
        <v>44926</v>
      </c>
      <c r="B12" t="s">
        <v>355</v>
      </c>
      <c r="C12" t="s">
        <v>8</v>
      </c>
      <c r="D12">
        <v>2022</v>
      </c>
      <c r="E12" t="s">
        <v>67</v>
      </c>
      <c r="F12" t="s">
        <v>66</v>
      </c>
      <c r="G12" t="s">
        <v>192</v>
      </c>
      <c r="H12">
        <v>185</v>
      </c>
      <c r="I12">
        <v>5743.3099999999968</v>
      </c>
      <c r="J12">
        <v>2559.0499999999997</v>
      </c>
      <c r="K12">
        <v>115.44</v>
      </c>
      <c r="L12">
        <v>2455.0099999999993</v>
      </c>
      <c r="M12" t="s">
        <v>193</v>
      </c>
      <c r="N12">
        <v>-170.4</v>
      </c>
      <c r="O12">
        <v>304.89999999999998</v>
      </c>
      <c r="P12">
        <v>-68.16</v>
      </c>
      <c r="Q12">
        <v>133.13999999999999</v>
      </c>
    </row>
    <row r="13" spans="1:17">
      <c r="A13" s="155">
        <v>44926</v>
      </c>
      <c r="B13" t="s">
        <v>356</v>
      </c>
      <c r="C13" t="s">
        <v>8</v>
      </c>
      <c r="D13">
        <v>2022</v>
      </c>
      <c r="E13" t="s">
        <v>67</v>
      </c>
      <c r="F13" t="s">
        <v>66</v>
      </c>
      <c r="G13" t="s">
        <v>192</v>
      </c>
      <c r="H13">
        <v>105</v>
      </c>
      <c r="I13">
        <v>3361.5300000000011</v>
      </c>
      <c r="J13">
        <v>1345.2000000000007</v>
      </c>
      <c r="K13">
        <v>0</v>
      </c>
      <c r="L13">
        <v>1720.6699999999992</v>
      </c>
      <c r="M13" t="s">
        <v>193</v>
      </c>
      <c r="N13">
        <v>-170.4</v>
      </c>
      <c r="O13">
        <v>304.89999999999998</v>
      </c>
      <c r="P13">
        <v>-68.16</v>
      </c>
      <c r="Q13">
        <v>133.13999999999999</v>
      </c>
    </row>
    <row r="14" spans="1:17">
      <c r="A14" s="155">
        <v>44926</v>
      </c>
      <c r="B14" t="s">
        <v>357</v>
      </c>
      <c r="C14" t="s">
        <v>8</v>
      </c>
      <c r="D14">
        <v>2022</v>
      </c>
      <c r="E14" t="s">
        <v>67</v>
      </c>
      <c r="F14" t="s">
        <v>66</v>
      </c>
      <c r="G14" t="s">
        <v>192</v>
      </c>
      <c r="H14">
        <v>2</v>
      </c>
      <c r="I14">
        <v>0</v>
      </c>
      <c r="J14">
        <v>0</v>
      </c>
      <c r="K14">
        <v>0</v>
      </c>
      <c r="L14">
        <v>0</v>
      </c>
      <c r="M14" t="s">
        <v>193</v>
      </c>
      <c r="N14">
        <v>-170.4</v>
      </c>
      <c r="O14">
        <v>304.89999999999998</v>
      </c>
      <c r="P14">
        <v>-68.16</v>
      </c>
      <c r="Q14">
        <v>133.13999999999999</v>
      </c>
    </row>
    <row r="15" spans="1:17">
      <c r="A15" s="155">
        <v>44926</v>
      </c>
      <c r="B15" t="s">
        <v>358</v>
      </c>
      <c r="C15" t="s">
        <v>8</v>
      </c>
      <c r="D15">
        <v>2022</v>
      </c>
      <c r="E15" t="s">
        <v>67</v>
      </c>
      <c r="F15" t="s">
        <v>66</v>
      </c>
      <c r="G15" t="s">
        <v>192</v>
      </c>
      <c r="H15">
        <v>2</v>
      </c>
      <c r="I15">
        <v>81.460000000000008</v>
      </c>
      <c r="J15">
        <v>48.88</v>
      </c>
      <c r="K15">
        <v>0</v>
      </c>
      <c r="L15">
        <v>32.58</v>
      </c>
      <c r="M15" t="s">
        <v>193</v>
      </c>
      <c r="N15">
        <v>-170.4</v>
      </c>
      <c r="O15">
        <v>304.89999999999998</v>
      </c>
      <c r="P15">
        <v>-68.16</v>
      </c>
      <c r="Q15">
        <v>133.13999999999999</v>
      </c>
    </row>
    <row r="16" spans="1:17">
      <c r="A16" s="155">
        <v>44926</v>
      </c>
      <c r="B16" t="s">
        <v>346</v>
      </c>
      <c r="C16" t="s">
        <v>8</v>
      </c>
      <c r="D16">
        <v>2022</v>
      </c>
      <c r="E16" t="s">
        <v>68</v>
      </c>
      <c r="F16" t="s">
        <v>66</v>
      </c>
      <c r="G16" t="s">
        <v>192</v>
      </c>
      <c r="H16">
        <v>12</v>
      </c>
      <c r="I16">
        <v>174</v>
      </c>
      <c r="J16">
        <v>10.800000000000002</v>
      </c>
      <c r="K16">
        <v>0</v>
      </c>
      <c r="L16">
        <v>7.1999999999999984</v>
      </c>
      <c r="M16" t="s">
        <v>193</v>
      </c>
      <c r="N16">
        <v>3.5</v>
      </c>
      <c r="O16">
        <v>100</v>
      </c>
      <c r="P16">
        <v>0.6</v>
      </c>
      <c r="Q16">
        <v>2.4</v>
      </c>
    </row>
    <row r="17" spans="1:17">
      <c r="A17" s="155">
        <v>44926</v>
      </c>
      <c r="B17" t="s">
        <v>347</v>
      </c>
      <c r="C17" t="s">
        <v>8</v>
      </c>
      <c r="D17">
        <v>2022</v>
      </c>
      <c r="E17" t="s">
        <v>68</v>
      </c>
      <c r="F17" t="s">
        <v>66</v>
      </c>
      <c r="G17" t="s">
        <v>192</v>
      </c>
      <c r="H17">
        <v>1</v>
      </c>
      <c r="I17">
        <v>24</v>
      </c>
      <c r="J17">
        <v>3.6</v>
      </c>
      <c r="K17">
        <v>0</v>
      </c>
      <c r="L17">
        <v>2.4</v>
      </c>
      <c r="M17" t="s">
        <v>193</v>
      </c>
      <c r="N17">
        <v>3.5</v>
      </c>
      <c r="O17">
        <v>100</v>
      </c>
      <c r="P17">
        <v>0.6</v>
      </c>
      <c r="Q17">
        <v>2.4</v>
      </c>
    </row>
    <row r="18" spans="1:17">
      <c r="A18" s="155">
        <v>44926</v>
      </c>
      <c r="B18" t="s">
        <v>352</v>
      </c>
      <c r="C18" t="s">
        <v>8</v>
      </c>
      <c r="D18">
        <v>2022</v>
      </c>
      <c r="E18" t="s">
        <v>68</v>
      </c>
      <c r="F18" t="s">
        <v>66</v>
      </c>
      <c r="G18" t="s">
        <v>192</v>
      </c>
      <c r="H18">
        <v>12</v>
      </c>
      <c r="I18">
        <v>174</v>
      </c>
      <c r="J18">
        <v>10.800000000000002</v>
      </c>
      <c r="K18">
        <v>0</v>
      </c>
      <c r="L18">
        <v>7.1999999999999984</v>
      </c>
      <c r="M18" t="s">
        <v>193</v>
      </c>
      <c r="N18">
        <v>3.5</v>
      </c>
      <c r="O18">
        <v>100</v>
      </c>
      <c r="P18">
        <v>0.6</v>
      </c>
      <c r="Q18">
        <v>2.4</v>
      </c>
    </row>
    <row r="19" spans="1:17">
      <c r="A19" s="155">
        <v>44926</v>
      </c>
      <c r="B19" t="s">
        <v>353</v>
      </c>
      <c r="C19" t="s">
        <v>8</v>
      </c>
      <c r="D19">
        <v>2022</v>
      </c>
      <c r="E19" t="s">
        <v>68</v>
      </c>
      <c r="F19" t="s">
        <v>66</v>
      </c>
      <c r="G19" t="s">
        <v>192</v>
      </c>
      <c r="H19">
        <v>1</v>
      </c>
      <c r="I19">
        <v>24</v>
      </c>
      <c r="J19">
        <v>3.6</v>
      </c>
      <c r="K19">
        <v>0</v>
      </c>
      <c r="L19">
        <v>2.4</v>
      </c>
      <c r="M19" t="s">
        <v>193</v>
      </c>
      <c r="N19">
        <v>3.5</v>
      </c>
      <c r="O19">
        <v>100</v>
      </c>
      <c r="P19">
        <v>0.6</v>
      </c>
      <c r="Q19">
        <v>2.4</v>
      </c>
    </row>
    <row r="20" spans="1:17">
      <c r="A20" s="155">
        <v>44926</v>
      </c>
      <c r="B20" t="s">
        <v>347</v>
      </c>
      <c r="C20" t="s">
        <v>8</v>
      </c>
      <c r="D20">
        <v>2022</v>
      </c>
      <c r="E20" t="s">
        <v>69</v>
      </c>
      <c r="F20" t="s">
        <v>66</v>
      </c>
      <c r="G20" t="s">
        <v>192</v>
      </c>
      <c r="H20">
        <v>2</v>
      </c>
      <c r="I20">
        <v>1900</v>
      </c>
      <c r="J20">
        <v>640</v>
      </c>
      <c r="K20">
        <v>0</v>
      </c>
      <c r="L20">
        <v>1260</v>
      </c>
      <c r="M20" t="s">
        <v>193</v>
      </c>
      <c r="N20">
        <v>950</v>
      </c>
      <c r="O20">
        <v>950</v>
      </c>
      <c r="P20">
        <v>550</v>
      </c>
      <c r="Q20">
        <v>710</v>
      </c>
    </row>
    <row r="21" spans="1:17">
      <c r="A21" s="155">
        <v>44926</v>
      </c>
      <c r="B21" t="s">
        <v>353</v>
      </c>
      <c r="C21" t="s">
        <v>8</v>
      </c>
      <c r="D21">
        <v>2022</v>
      </c>
      <c r="E21" t="s">
        <v>69</v>
      </c>
      <c r="F21" t="s">
        <v>66</v>
      </c>
      <c r="G21" t="s">
        <v>192</v>
      </c>
      <c r="H21">
        <v>2</v>
      </c>
      <c r="I21">
        <v>1900</v>
      </c>
      <c r="J21">
        <v>640</v>
      </c>
      <c r="K21">
        <v>0</v>
      </c>
      <c r="L21">
        <v>1260</v>
      </c>
      <c r="M21" t="s">
        <v>193</v>
      </c>
      <c r="N21">
        <v>950</v>
      </c>
      <c r="O21">
        <v>950</v>
      </c>
      <c r="P21">
        <v>550</v>
      </c>
      <c r="Q21">
        <v>710</v>
      </c>
    </row>
    <row r="22" spans="1:17">
      <c r="A22" s="155">
        <v>44926</v>
      </c>
      <c r="B22" t="s">
        <v>346</v>
      </c>
      <c r="C22" t="s">
        <v>8</v>
      </c>
      <c r="D22">
        <v>2022</v>
      </c>
      <c r="E22" t="s">
        <v>70</v>
      </c>
      <c r="F22" t="s">
        <v>66</v>
      </c>
      <c r="G22" t="s">
        <v>192</v>
      </c>
      <c r="H22">
        <v>9</v>
      </c>
      <c r="I22">
        <v>15780</v>
      </c>
      <c r="J22">
        <v>2160</v>
      </c>
      <c r="K22">
        <v>3200</v>
      </c>
      <c r="L22">
        <v>5600</v>
      </c>
      <c r="M22" t="s">
        <v>193</v>
      </c>
      <c r="N22">
        <v>-1320</v>
      </c>
      <c r="O22">
        <v>2100</v>
      </c>
      <c r="P22">
        <v>-600</v>
      </c>
      <c r="Q22">
        <v>1200</v>
      </c>
    </row>
    <row r="23" spans="1:17">
      <c r="A23" s="155">
        <v>44926</v>
      </c>
      <c r="B23" t="s">
        <v>347</v>
      </c>
      <c r="C23" t="s">
        <v>8</v>
      </c>
      <c r="D23">
        <v>2022</v>
      </c>
      <c r="E23" t="s">
        <v>70</v>
      </c>
      <c r="F23" t="s">
        <v>66</v>
      </c>
      <c r="G23" t="s">
        <v>192</v>
      </c>
      <c r="H23">
        <v>20</v>
      </c>
      <c r="I23">
        <v>2640</v>
      </c>
      <c r="J23">
        <v>480</v>
      </c>
      <c r="K23">
        <v>200</v>
      </c>
      <c r="L23">
        <v>800</v>
      </c>
      <c r="M23" t="s">
        <v>193</v>
      </c>
      <c r="N23">
        <v>-1320</v>
      </c>
      <c r="O23">
        <v>2100</v>
      </c>
      <c r="P23">
        <v>-600</v>
      </c>
      <c r="Q23">
        <v>1200</v>
      </c>
    </row>
    <row r="24" spans="1:17">
      <c r="A24" s="155">
        <v>44926</v>
      </c>
      <c r="B24" t="s">
        <v>349</v>
      </c>
      <c r="C24" t="s">
        <v>8</v>
      </c>
      <c r="D24">
        <v>2022</v>
      </c>
      <c r="E24" t="s">
        <v>70</v>
      </c>
      <c r="F24" t="s">
        <v>66</v>
      </c>
      <c r="G24" t="s">
        <v>192</v>
      </c>
      <c r="H24">
        <v>1</v>
      </c>
      <c r="I24">
        <v>1550</v>
      </c>
      <c r="J24">
        <v>240</v>
      </c>
      <c r="K24">
        <v>0</v>
      </c>
      <c r="L24">
        <v>1200</v>
      </c>
      <c r="M24" t="s">
        <v>193</v>
      </c>
      <c r="N24">
        <v>-1320</v>
      </c>
      <c r="O24">
        <v>2100</v>
      </c>
      <c r="P24">
        <v>-600</v>
      </c>
      <c r="Q24">
        <v>1200</v>
      </c>
    </row>
    <row r="25" spans="1:17">
      <c r="A25" s="155">
        <v>44926</v>
      </c>
      <c r="B25" t="s">
        <v>352</v>
      </c>
      <c r="C25" t="s">
        <v>8</v>
      </c>
      <c r="D25">
        <v>2022</v>
      </c>
      <c r="E25" t="s">
        <v>70</v>
      </c>
      <c r="F25" t="s">
        <v>66</v>
      </c>
      <c r="G25" t="s">
        <v>192</v>
      </c>
      <c r="H25">
        <v>9</v>
      </c>
      <c r="I25">
        <v>15780</v>
      </c>
      <c r="J25">
        <v>2160</v>
      </c>
      <c r="K25">
        <v>3200</v>
      </c>
      <c r="L25">
        <v>5600</v>
      </c>
      <c r="M25" t="s">
        <v>193</v>
      </c>
      <c r="N25">
        <v>-1320</v>
      </c>
      <c r="O25">
        <v>2100</v>
      </c>
      <c r="P25">
        <v>-600</v>
      </c>
      <c r="Q25">
        <v>1200</v>
      </c>
    </row>
    <row r="26" spans="1:17">
      <c r="A26" s="155">
        <v>44926</v>
      </c>
      <c r="B26" t="s">
        <v>353</v>
      </c>
      <c r="C26" t="s">
        <v>8</v>
      </c>
      <c r="D26">
        <v>2022</v>
      </c>
      <c r="E26" t="s">
        <v>70</v>
      </c>
      <c r="F26" t="s">
        <v>66</v>
      </c>
      <c r="G26" t="s">
        <v>192</v>
      </c>
      <c r="H26">
        <v>20</v>
      </c>
      <c r="I26">
        <v>2640</v>
      </c>
      <c r="J26">
        <v>480</v>
      </c>
      <c r="K26">
        <v>200</v>
      </c>
      <c r="L26">
        <v>800</v>
      </c>
      <c r="M26" t="s">
        <v>193</v>
      </c>
      <c r="N26">
        <v>-1320</v>
      </c>
      <c r="O26">
        <v>2100</v>
      </c>
      <c r="P26">
        <v>-600</v>
      </c>
      <c r="Q26">
        <v>1200</v>
      </c>
    </row>
    <row r="27" spans="1:17">
      <c r="A27" s="155">
        <v>44926</v>
      </c>
      <c r="B27" t="s">
        <v>355</v>
      </c>
      <c r="C27" t="s">
        <v>8</v>
      </c>
      <c r="D27">
        <v>2022</v>
      </c>
      <c r="E27" t="s">
        <v>70</v>
      </c>
      <c r="F27" t="s">
        <v>66</v>
      </c>
      <c r="G27" t="s">
        <v>192</v>
      </c>
      <c r="H27">
        <v>1</v>
      </c>
      <c r="I27">
        <v>1550</v>
      </c>
      <c r="J27">
        <v>240</v>
      </c>
      <c r="K27">
        <v>0</v>
      </c>
      <c r="L27">
        <v>1200</v>
      </c>
      <c r="M27" t="s">
        <v>193</v>
      </c>
      <c r="N27">
        <v>-1320</v>
      </c>
      <c r="O27">
        <v>2100</v>
      </c>
      <c r="P27">
        <v>-600</v>
      </c>
      <c r="Q27">
        <v>1200</v>
      </c>
    </row>
    <row r="28" spans="1:17">
      <c r="A28" s="155">
        <v>44926</v>
      </c>
      <c r="B28" t="s">
        <v>346</v>
      </c>
      <c r="C28" t="s">
        <v>8</v>
      </c>
      <c r="D28">
        <v>2022</v>
      </c>
      <c r="E28" t="s">
        <v>71</v>
      </c>
      <c r="F28" t="s">
        <v>66</v>
      </c>
      <c r="G28" t="s">
        <v>192</v>
      </c>
      <c r="H28">
        <v>10</v>
      </c>
      <c r="I28">
        <v>17240</v>
      </c>
      <c r="J28">
        <v>2400</v>
      </c>
      <c r="K28">
        <v>3200</v>
      </c>
      <c r="L28">
        <v>6800</v>
      </c>
      <c r="M28" t="s">
        <v>193</v>
      </c>
      <c r="N28">
        <v>-1320</v>
      </c>
      <c r="O28">
        <v>2100</v>
      </c>
      <c r="P28">
        <v>-600</v>
      </c>
      <c r="Q28">
        <v>1200</v>
      </c>
    </row>
    <row r="29" spans="1:17">
      <c r="A29" s="155">
        <v>44926</v>
      </c>
      <c r="B29" t="s">
        <v>347</v>
      </c>
      <c r="C29" t="s">
        <v>8</v>
      </c>
      <c r="D29">
        <v>2022</v>
      </c>
      <c r="E29" t="s">
        <v>71</v>
      </c>
      <c r="F29" t="s">
        <v>66</v>
      </c>
      <c r="G29" t="s">
        <v>192</v>
      </c>
      <c r="H29">
        <v>22</v>
      </c>
      <c r="I29">
        <v>4540</v>
      </c>
      <c r="J29">
        <v>1120</v>
      </c>
      <c r="K29">
        <v>200</v>
      </c>
      <c r="L29">
        <v>2060</v>
      </c>
      <c r="M29" t="s">
        <v>193</v>
      </c>
      <c r="N29">
        <v>-1320</v>
      </c>
      <c r="O29">
        <v>2100</v>
      </c>
      <c r="P29">
        <v>-600</v>
      </c>
      <c r="Q29">
        <v>1200</v>
      </c>
    </row>
    <row r="30" spans="1:17">
      <c r="A30" s="155">
        <v>44926</v>
      </c>
      <c r="B30" t="s">
        <v>349</v>
      </c>
      <c r="C30" t="s">
        <v>8</v>
      </c>
      <c r="D30">
        <v>2022</v>
      </c>
      <c r="E30" t="s">
        <v>71</v>
      </c>
      <c r="F30" t="s">
        <v>66</v>
      </c>
      <c r="G30" t="s">
        <v>192</v>
      </c>
      <c r="H30">
        <v>1</v>
      </c>
      <c r="I30">
        <v>1550</v>
      </c>
      <c r="J30">
        <v>240</v>
      </c>
      <c r="K30">
        <v>0</v>
      </c>
      <c r="L30">
        <v>1200</v>
      </c>
      <c r="M30" t="s">
        <v>193</v>
      </c>
      <c r="N30">
        <v>-1320</v>
      </c>
      <c r="O30">
        <v>2100</v>
      </c>
      <c r="P30">
        <v>-600</v>
      </c>
      <c r="Q30">
        <v>1200</v>
      </c>
    </row>
    <row r="31" spans="1:17">
      <c r="A31" s="155">
        <v>44926</v>
      </c>
      <c r="B31" t="s">
        <v>352</v>
      </c>
      <c r="C31" t="s">
        <v>8</v>
      </c>
      <c r="D31">
        <v>2022</v>
      </c>
      <c r="E31" t="s">
        <v>71</v>
      </c>
      <c r="F31" t="s">
        <v>66</v>
      </c>
      <c r="G31" t="s">
        <v>192</v>
      </c>
      <c r="H31">
        <v>10</v>
      </c>
      <c r="I31">
        <v>17240</v>
      </c>
      <c r="J31">
        <v>2400</v>
      </c>
      <c r="K31">
        <v>3200</v>
      </c>
      <c r="L31">
        <v>6800</v>
      </c>
      <c r="M31" t="s">
        <v>193</v>
      </c>
      <c r="N31">
        <v>-1320</v>
      </c>
      <c r="O31">
        <v>2100</v>
      </c>
      <c r="P31">
        <v>-600</v>
      </c>
      <c r="Q31">
        <v>1200</v>
      </c>
    </row>
    <row r="32" spans="1:17">
      <c r="A32" s="155">
        <v>44926</v>
      </c>
      <c r="B32" t="s">
        <v>353</v>
      </c>
      <c r="C32" t="s">
        <v>8</v>
      </c>
      <c r="D32">
        <v>2022</v>
      </c>
      <c r="E32" t="s">
        <v>71</v>
      </c>
      <c r="F32" t="s">
        <v>66</v>
      </c>
      <c r="G32" t="s">
        <v>192</v>
      </c>
      <c r="H32">
        <v>22</v>
      </c>
      <c r="I32">
        <v>4540</v>
      </c>
      <c r="J32">
        <v>1120</v>
      </c>
      <c r="K32">
        <v>200</v>
      </c>
      <c r="L32">
        <v>2060</v>
      </c>
      <c r="M32" t="s">
        <v>193</v>
      </c>
      <c r="N32">
        <v>-1320</v>
      </c>
      <c r="O32">
        <v>2100</v>
      </c>
      <c r="P32">
        <v>-600</v>
      </c>
      <c r="Q32">
        <v>1200</v>
      </c>
    </row>
    <row r="33" spans="1:17">
      <c r="A33" s="155">
        <v>44926</v>
      </c>
      <c r="B33" t="s">
        <v>355</v>
      </c>
      <c r="C33" t="s">
        <v>8</v>
      </c>
      <c r="D33">
        <v>2022</v>
      </c>
      <c r="E33" t="s">
        <v>71</v>
      </c>
      <c r="F33" t="s">
        <v>66</v>
      </c>
      <c r="G33" t="s">
        <v>192</v>
      </c>
      <c r="H33">
        <v>1</v>
      </c>
      <c r="I33">
        <v>1550</v>
      </c>
      <c r="J33">
        <v>240</v>
      </c>
      <c r="K33">
        <v>0</v>
      </c>
      <c r="L33">
        <v>1200</v>
      </c>
      <c r="M33" t="s">
        <v>193</v>
      </c>
      <c r="N33">
        <v>-1320</v>
      </c>
      <c r="O33">
        <v>2100</v>
      </c>
      <c r="P33">
        <v>-600</v>
      </c>
      <c r="Q33">
        <v>1200</v>
      </c>
    </row>
    <row r="34" spans="1:17">
      <c r="A34" s="155">
        <v>44926</v>
      </c>
      <c r="B34" t="s">
        <v>359</v>
      </c>
      <c r="C34" t="s">
        <v>8</v>
      </c>
      <c r="D34">
        <v>2022</v>
      </c>
      <c r="E34" t="s">
        <v>72</v>
      </c>
      <c r="F34" t="s">
        <v>66</v>
      </c>
      <c r="G34" t="s">
        <v>192</v>
      </c>
      <c r="H34">
        <v>2</v>
      </c>
      <c r="I34">
        <v>3500</v>
      </c>
      <c r="J34">
        <v>480</v>
      </c>
      <c r="K34">
        <v>0</v>
      </c>
      <c r="L34">
        <v>2920</v>
      </c>
      <c r="M34" t="s">
        <v>193</v>
      </c>
      <c r="N34">
        <v>950</v>
      </c>
      <c r="O34">
        <v>1921</v>
      </c>
      <c r="P34">
        <v>160</v>
      </c>
      <c r="Q34">
        <v>1460</v>
      </c>
    </row>
    <row r="35" spans="1:17">
      <c r="A35" s="155">
        <v>44926</v>
      </c>
      <c r="B35" t="s">
        <v>351</v>
      </c>
      <c r="C35" t="s">
        <v>8</v>
      </c>
      <c r="D35">
        <v>2022</v>
      </c>
      <c r="E35" t="s">
        <v>72</v>
      </c>
      <c r="F35" t="s">
        <v>66</v>
      </c>
      <c r="G35" t="s">
        <v>192</v>
      </c>
      <c r="H35">
        <v>12</v>
      </c>
      <c r="I35">
        <v>17700</v>
      </c>
      <c r="J35">
        <v>3200</v>
      </c>
      <c r="K35">
        <v>0</v>
      </c>
      <c r="L35">
        <v>7320</v>
      </c>
      <c r="M35" t="s">
        <v>193</v>
      </c>
      <c r="N35">
        <v>950</v>
      </c>
      <c r="O35">
        <v>1921</v>
      </c>
      <c r="P35">
        <v>160</v>
      </c>
      <c r="Q35">
        <v>1460</v>
      </c>
    </row>
    <row r="36" spans="1:17">
      <c r="A36" s="155">
        <v>44926</v>
      </c>
      <c r="B36" t="s">
        <v>360</v>
      </c>
      <c r="C36" t="s">
        <v>8</v>
      </c>
      <c r="D36">
        <v>2022</v>
      </c>
      <c r="E36" t="s">
        <v>72</v>
      </c>
      <c r="F36" t="s">
        <v>66</v>
      </c>
      <c r="G36" t="s">
        <v>192</v>
      </c>
      <c r="H36">
        <v>6</v>
      </c>
      <c r="I36">
        <v>6040</v>
      </c>
      <c r="J36">
        <v>1440</v>
      </c>
      <c r="K36">
        <v>0</v>
      </c>
      <c r="L36">
        <v>3880</v>
      </c>
      <c r="M36" t="s">
        <v>193</v>
      </c>
      <c r="N36">
        <v>950</v>
      </c>
      <c r="O36">
        <v>1921</v>
      </c>
      <c r="P36">
        <v>160</v>
      </c>
      <c r="Q36">
        <v>1460</v>
      </c>
    </row>
    <row r="37" spans="1:17">
      <c r="A37" s="155">
        <v>44926</v>
      </c>
      <c r="B37" t="s">
        <v>361</v>
      </c>
      <c r="C37" t="s">
        <v>8</v>
      </c>
      <c r="D37">
        <v>2022</v>
      </c>
      <c r="E37" t="s">
        <v>72</v>
      </c>
      <c r="F37" t="s">
        <v>66</v>
      </c>
      <c r="G37" t="s">
        <v>192</v>
      </c>
      <c r="H37">
        <v>14</v>
      </c>
      <c r="I37">
        <v>22632</v>
      </c>
      <c r="J37">
        <v>3360</v>
      </c>
      <c r="K37">
        <v>0</v>
      </c>
      <c r="L37">
        <v>11160</v>
      </c>
      <c r="M37" t="s">
        <v>193</v>
      </c>
      <c r="N37">
        <v>950</v>
      </c>
      <c r="O37">
        <v>1921</v>
      </c>
      <c r="P37">
        <v>160</v>
      </c>
      <c r="Q37">
        <v>1460</v>
      </c>
    </row>
    <row r="38" spans="1:17">
      <c r="A38" s="155">
        <v>44926</v>
      </c>
      <c r="B38" t="s">
        <v>176</v>
      </c>
      <c r="C38" t="s">
        <v>8</v>
      </c>
      <c r="D38">
        <v>2022</v>
      </c>
      <c r="E38" t="s">
        <v>72</v>
      </c>
      <c r="F38" t="s">
        <v>66</v>
      </c>
      <c r="G38" t="s">
        <v>192</v>
      </c>
      <c r="H38">
        <v>14</v>
      </c>
      <c r="I38">
        <v>19620</v>
      </c>
      <c r="J38">
        <v>4000</v>
      </c>
      <c r="K38">
        <v>0</v>
      </c>
      <c r="L38">
        <v>14400</v>
      </c>
      <c r="M38" t="s">
        <v>193</v>
      </c>
      <c r="N38">
        <v>950</v>
      </c>
      <c r="O38">
        <v>1921</v>
      </c>
      <c r="P38">
        <v>160</v>
      </c>
      <c r="Q38">
        <v>1460</v>
      </c>
    </row>
    <row r="39" spans="1:17">
      <c r="A39" s="155">
        <v>44926</v>
      </c>
      <c r="B39" t="s">
        <v>362</v>
      </c>
      <c r="C39" t="s">
        <v>8</v>
      </c>
      <c r="D39">
        <v>2022</v>
      </c>
      <c r="E39" t="s">
        <v>72</v>
      </c>
      <c r="F39" t="s">
        <v>66</v>
      </c>
      <c r="G39" t="s">
        <v>192</v>
      </c>
      <c r="H39">
        <v>2</v>
      </c>
      <c r="I39">
        <v>3500</v>
      </c>
      <c r="J39">
        <v>480</v>
      </c>
      <c r="K39">
        <v>0</v>
      </c>
      <c r="L39">
        <v>2920</v>
      </c>
      <c r="M39" t="s">
        <v>193</v>
      </c>
      <c r="N39">
        <v>950</v>
      </c>
      <c r="O39">
        <v>1921</v>
      </c>
      <c r="P39">
        <v>160</v>
      </c>
      <c r="Q39">
        <v>1460</v>
      </c>
    </row>
    <row r="40" spans="1:17">
      <c r="A40" s="155">
        <v>44926</v>
      </c>
      <c r="B40" t="s">
        <v>357</v>
      </c>
      <c r="C40" t="s">
        <v>8</v>
      </c>
      <c r="D40">
        <v>2022</v>
      </c>
      <c r="E40" t="s">
        <v>72</v>
      </c>
      <c r="F40" t="s">
        <v>66</v>
      </c>
      <c r="G40" t="s">
        <v>192</v>
      </c>
      <c r="H40">
        <v>12</v>
      </c>
      <c r="I40">
        <v>17700</v>
      </c>
      <c r="J40">
        <v>3200</v>
      </c>
      <c r="K40">
        <v>0</v>
      </c>
      <c r="L40">
        <v>7320</v>
      </c>
      <c r="M40" t="s">
        <v>193</v>
      </c>
      <c r="N40">
        <v>950</v>
      </c>
      <c r="O40">
        <v>1921</v>
      </c>
      <c r="P40">
        <v>160</v>
      </c>
      <c r="Q40">
        <v>1460</v>
      </c>
    </row>
    <row r="41" spans="1:17">
      <c r="A41" s="155">
        <v>44926</v>
      </c>
      <c r="B41" t="s">
        <v>363</v>
      </c>
      <c r="C41" t="s">
        <v>8</v>
      </c>
      <c r="D41">
        <v>2022</v>
      </c>
      <c r="E41" t="s">
        <v>72</v>
      </c>
      <c r="F41" t="s">
        <v>66</v>
      </c>
      <c r="G41" t="s">
        <v>192</v>
      </c>
      <c r="H41">
        <v>6</v>
      </c>
      <c r="I41">
        <v>6040</v>
      </c>
      <c r="J41">
        <v>1440</v>
      </c>
      <c r="K41">
        <v>0</v>
      </c>
      <c r="L41">
        <v>3880</v>
      </c>
      <c r="M41" t="s">
        <v>193</v>
      </c>
      <c r="N41">
        <v>950</v>
      </c>
      <c r="O41">
        <v>1921</v>
      </c>
      <c r="P41">
        <v>160</v>
      </c>
      <c r="Q41">
        <v>1460</v>
      </c>
    </row>
    <row r="42" spans="1:17">
      <c r="A42" s="155">
        <v>44926</v>
      </c>
      <c r="B42" t="s">
        <v>364</v>
      </c>
      <c r="C42" t="s">
        <v>8</v>
      </c>
      <c r="D42">
        <v>2022</v>
      </c>
      <c r="E42" t="s">
        <v>72</v>
      </c>
      <c r="F42" t="s">
        <v>66</v>
      </c>
      <c r="G42" t="s">
        <v>192</v>
      </c>
      <c r="H42">
        <v>14</v>
      </c>
      <c r="I42">
        <v>22632</v>
      </c>
      <c r="J42">
        <v>3360</v>
      </c>
      <c r="K42">
        <v>0</v>
      </c>
      <c r="L42">
        <v>11160</v>
      </c>
      <c r="M42" t="s">
        <v>193</v>
      </c>
      <c r="N42">
        <v>950</v>
      </c>
      <c r="O42">
        <v>1921</v>
      </c>
      <c r="P42">
        <v>160</v>
      </c>
      <c r="Q42">
        <v>1460</v>
      </c>
    </row>
    <row r="43" spans="1:17">
      <c r="A43" s="155">
        <v>44926</v>
      </c>
      <c r="B43" t="s">
        <v>358</v>
      </c>
      <c r="C43" t="s">
        <v>8</v>
      </c>
      <c r="D43">
        <v>2022</v>
      </c>
      <c r="E43" t="s">
        <v>72</v>
      </c>
      <c r="F43" t="s">
        <v>66</v>
      </c>
      <c r="G43" t="s">
        <v>192</v>
      </c>
      <c r="H43">
        <v>14</v>
      </c>
      <c r="I43">
        <v>19620</v>
      </c>
      <c r="J43">
        <v>4000</v>
      </c>
      <c r="K43">
        <v>0</v>
      </c>
      <c r="L43">
        <v>14400</v>
      </c>
      <c r="M43" t="s">
        <v>193</v>
      </c>
      <c r="N43">
        <v>950</v>
      </c>
      <c r="O43">
        <v>1921</v>
      </c>
      <c r="P43">
        <v>160</v>
      </c>
      <c r="Q43">
        <v>1460</v>
      </c>
    </row>
    <row r="44" spans="1:17">
      <c r="A44" s="155">
        <v>44926</v>
      </c>
      <c r="B44" t="s">
        <v>346</v>
      </c>
      <c r="C44" t="s">
        <v>8</v>
      </c>
      <c r="D44">
        <v>2022</v>
      </c>
      <c r="E44" t="s">
        <v>276</v>
      </c>
      <c r="F44" t="s">
        <v>73</v>
      </c>
      <c r="G44" t="s">
        <v>192</v>
      </c>
      <c r="H44">
        <v>5</v>
      </c>
      <c r="I44">
        <v>75</v>
      </c>
      <c r="J44">
        <v>52.5</v>
      </c>
      <c r="K44">
        <v>0</v>
      </c>
      <c r="L44">
        <v>22.5</v>
      </c>
      <c r="M44" t="s">
        <v>193</v>
      </c>
      <c r="N44">
        <v>15</v>
      </c>
      <c r="O44">
        <v>15</v>
      </c>
      <c r="P44">
        <v>4.5</v>
      </c>
      <c r="Q44">
        <v>4.5</v>
      </c>
    </row>
    <row r="45" spans="1:17">
      <c r="A45" s="155">
        <v>44926</v>
      </c>
      <c r="B45" t="s">
        <v>349</v>
      </c>
      <c r="C45" t="s">
        <v>8</v>
      </c>
      <c r="D45">
        <v>2022</v>
      </c>
      <c r="E45" t="s">
        <v>276</v>
      </c>
      <c r="F45" t="s">
        <v>73</v>
      </c>
      <c r="G45" t="s">
        <v>192</v>
      </c>
      <c r="H45">
        <v>3</v>
      </c>
      <c r="I45">
        <v>45</v>
      </c>
      <c r="J45">
        <v>31.5</v>
      </c>
      <c r="K45">
        <v>0</v>
      </c>
      <c r="L45">
        <v>13.5</v>
      </c>
      <c r="M45" t="s">
        <v>193</v>
      </c>
      <c r="N45">
        <v>15</v>
      </c>
      <c r="O45">
        <v>15</v>
      </c>
      <c r="P45">
        <v>4.5</v>
      </c>
      <c r="Q45">
        <v>4.5</v>
      </c>
    </row>
    <row r="46" spans="1:17">
      <c r="A46" s="155">
        <v>44926</v>
      </c>
      <c r="B46" t="s">
        <v>350</v>
      </c>
      <c r="C46" t="s">
        <v>8</v>
      </c>
      <c r="D46">
        <v>2022</v>
      </c>
      <c r="E46" t="s">
        <v>276</v>
      </c>
      <c r="F46" t="s">
        <v>73</v>
      </c>
      <c r="G46" t="s">
        <v>192</v>
      </c>
      <c r="H46">
        <v>2</v>
      </c>
      <c r="I46">
        <v>30</v>
      </c>
      <c r="J46">
        <v>21</v>
      </c>
      <c r="K46">
        <v>0</v>
      </c>
      <c r="L46">
        <v>9</v>
      </c>
      <c r="M46" t="s">
        <v>193</v>
      </c>
      <c r="N46">
        <v>15</v>
      </c>
      <c r="O46">
        <v>15</v>
      </c>
      <c r="P46">
        <v>4.5</v>
      </c>
      <c r="Q46">
        <v>4.5</v>
      </c>
    </row>
    <row r="47" spans="1:17">
      <c r="A47" s="155">
        <v>44926</v>
      </c>
      <c r="B47" t="s">
        <v>352</v>
      </c>
      <c r="C47" t="s">
        <v>8</v>
      </c>
      <c r="D47">
        <v>2022</v>
      </c>
      <c r="E47" t="s">
        <v>276</v>
      </c>
      <c r="F47" t="s">
        <v>73</v>
      </c>
      <c r="G47" t="s">
        <v>192</v>
      </c>
      <c r="H47">
        <v>5</v>
      </c>
      <c r="I47">
        <v>75</v>
      </c>
      <c r="J47">
        <v>52.5</v>
      </c>
      <c r="K47">
        <v>0</v>
      </c>
      <c r="L47">
        <v>22.5</v>
      </c>
      <c r="M47" t="s">
        <v>193</v>
      </c>
      <c r="N47">
        <v>15</v>
      </c>
      <c r="O47">
        <v>15</v>
      </c>
      <c r="P47">
        <v>4.5</v>
      </c>
      <c r="Q47">
        <v>4.5</v>
      </c>
    </row>
    <row r="48" spans="1:17">
      <c r="A48" s="155">
        <v>44926</v>
      </c>
      <c r="B48" t="s">
        <v>355</v>
      </c>
      <c r="C48" t="s">
        <v>8</v>
      </c>
      <c r="D48">
        <v>2022</v>
      </c>
      <c r="E48" t="s">
        <v>276</v>
      </c>
      <c r="F48" t="s">
        <v>73</v>
      </c>
      <c r="G48" t="s">
        <v>192</v>
      </c>
      <c r="H48">
        <v>3</v>
      </c>
      <c r="I48">
        <v>45</v>
      </c>
      <c r="J48">
        <v>31.5</v>
      </c>
      <c r="K48">
        <v>0</v>
      </c>
      <c r="L48">
        <v>13.5</v>
      </c>
      <c r="M48" t="s">
        <v>193</v>
      </c>
      <c r="N48">
        <v>15</v>
      </c>
      <c r="O48">
        <v>15</v>
      </c>
      <c r="P48">
        <v>4.5</v>
      </c>
      <c r="Q48">
        <v>4.5</v>
      </c>
    </row>
    <row r="49" spans="1:17">
      <c r="A49" s="155">
        <v>44926</v>
      </c>
      <c r="B49" t="s">
        <v>356</v>
      </c>
      <c r="C49" t="s">
        <v>8</v>
      </c>
      <c r="D49">
        <v>2022</v>
      </c>
      <c r="E49" t="s">
        <v>276</v>
      </c>
      <c r="F49" t="s">
        <v>73</v>
      </c>
      <c r="G49" t="s">
        <v>192</v>
      </c>
      <c r="H49">
        <v>2</v>
      </c>
      <c r="I49">
        <v>30</v>
      </c>
      <c r="J49">
        <v>21</v>
      </c>
      <c r="K49">
        <v>0</v>
      </c>
      <c r="L49">
        <v>9</v>
      </c>
      <c r="M49" t="s">
        <v>193</v>
      </c>
      <c r="N49">
        <v>15</v>
      </c>
      <c r="O49">
        <v>15</v>
      </c>
      <c r="P49">
        <v>4.5</v>
      </c>
      <c r="Q49">
        <v>4.5</v>
      </c>
    </row>
    <row r="50" spans="1:17">
      <c r="A50" s="155">
        <v>44926</v>
      </c>
      <c r="B50" t="s">
        <v>176</v>
      </c>
      <c r="C50" t="s">
        <v>8</v>
      </c>
      <c r="D50">
        <v>2022</v>
      </c>
      <c r="E50" t="s">
        <v>74</v>
      </c>
      <c r="F50" t="s">
        <v>73</v>
      </c>
      <c r="G50" t="s">
        <v>192</v>
      </c>
      <c r="H50">
        <v>2</v>
      </c>
      <c r="I50">
        <v>1500</v>
      </c>
      <c r="J50">
        <v>0</v>
      </c>
      <c r="K50">
        <v>0</v>
      </c>
      <c r="L50">
        <v>1000</v>
      </c>
      <c r="M50" t="s">
        <v>193</v>
      </c>
      <c r="N50">
        <v>750</v>
      </c>
      <c r="O50">
        <v>750</v>
      </c>
      <c r="P50">
        <v>250</v>
      </c>
      <c r="Q50">
        <v>750</v>
      </c>
    </row>
    <row r="51" spans="1:17">
      <c r="A51" s="155">
        <v>44926</v>
      </c>
      <c r="B51" t="s">
        <v>358</v>
      </c>
      <c r="C51" t="s">
        <v>8</v>
      </c>
      <c r="D51">
        <v>2022</v>
      </c>
      <c r="E51" t="s">
        <v>74</v>
      </c>
      <c r="F51" t="s">
        <v>73</v>
      </c>
      <c r="G51" t="s">
        <v>192</v>
      </c>
      <c r="H51">
        <v>2</v>
      </c>
      <c r="I51">
        <v>1500</v>
      </c>
      <c r="J51">
        <v>0</v>
      </c>
      <c r="K51">
        <v>0</v>
      </c>
      <c r="L51">
        <v>1000</v>
      </c>
      <c r="M51" t="s">
        <v>193</v>
      </c>
      <c r="N51">
        <v>750</v>
      </c>
      <c r="O51">
        <v>750</v>
      </c>
      <c r="P51">
        <v>250</v>
      </c>
      <c r="Q51">
        <v>750</v>
      </c>
    </row>
    <row r="52" spans="1:17">
      <c r="A52" s="155">
        <v>44926</v>
      </c>
      <c r="B52" t="s">
        <v>346</v>
      </c>
      <c r="C52" t="s">
        <v>8</v>
      </c>
      <c r="D52">
        <v>2022</v>
      </c>
      <c r="E52" t="s">
        <v>277</v>
      </c>
      <c r="F52" t="s">
        <v>73</v>
      </c>
      <c r="G52" t="s">
        <v>192</v>
      </c>
      <c r="H52">
        <v>1</v>
      </c>
      <c r="I52">
        <v>1818.95</v>
      </c>
      <c r="J52">
        <v>1455.16</v>
      </c>
      <c r="K52">
        <v>0</v>
      </c>
      <c r="L52">
        <v>363.79</v>
      </c>
      <c r="M52" t="s">
        <v>193</v>
      </c>
      <c r="N52">
        <v>1818.95</v>
      </c>
      <c r="O52">
        <v>1818.95</v>
      </c>
      <c r="P52">
        <v>363.79</v>
      </c>
      <c r="Q52">
        <v>363.79</v>
      </c>
    </row>
    <row r="53" spans="1:17">
      <c r="A53" s="155">
        <v>44926</v>
      </c>
      <c r="B53" t="s">
        <v>352</v>
      </c>
      <c r="C53" t="s">
        <v>8</v>
      </c>
      <c r="D53">
        <v>2022</v>
      </c>
      <c r="E53" t="s">
        <v>277</v>
      </c>
      <c r="F53" t="s">
        <v>73</v>
      </c>
      <c r="G53" t="s">
        <v>192</v>
      </c>
      <c r="H53">
        <v>1</v>
      </c>
      <c r="I53">
        <v>1818.95</v>
      </c>
      <c r="J53">
        <v>1455.16</v>
      </c>
      <c r="K53">
        <v>0</v>
      </c>
      <c r="L53">
        <v>363.79</v>
      </c>
      <c r="M53" t="s">
        <v>193</v>
      </c>
      <c r="N53">
        <v>1818.95</v>
      </c>
      <c r="O53">
        <v>1818.95</v>
      </c>
      <c r="P53">
        <v>363.79</v>
      </c>
      <c r="Q53">
        <v>363.79</v>
      </c>
    </row>
    <row r="54" spans="1:17">
      <c r="A54" s="155">
        <v>44926</v>
      </c>
      <c r="B54" t="s">
        <v>359</v>
      </c>
      <c r="C54" t="s">
        <v>8</v>
      </c>
      <c r="D54">
        <v>2022</v>
      </c>
      <c r="E54" t="s">
        <v>75</v>
      </c>
      <c r="F54" t="s">
        <v>73</v>
      </c>
      <c r="G54" t="s">
        <v>192</v>
      </c>
      <c r="H54">
        <v>1</v>
      </c>
      <c r="I54">
        <v>110</v>
      </c>
      <c r="J54">
        <v>0</v>
      </c>
      <c r="K54">
        <v>0</v>
      </c>
      <c r="L54">
        <v>60</v>
      </c>
      <c r="M54" t="s">
        <v>193</v>
      </c>
      <c r="N54">
        <v>40</v>
      </c>
      <c r="O54">
        <v>110</v>
      </c>
      <c r="P54">
        <v>40</v>
      </c>
      <c r="Q54">
        <v>60</v>
      </c>
    </row>
    <row r="55" spans="1:17">
      <c r="A55" s="155">
        <v>44926</v>
      </c>
      <c r="B55" t="s">
        <v>351</v>
      </c>
      <c r="C55" t="s">
        <v>8</v>
      </c>
      <c r="D55">
        <v>2022</v>
      </c>
      <c r="E55" t="s">
        <v>75</v>
      </c>
      <c r="F55" t="s">
        <v>73</v>
      </c>
      <c r="G55" t="s">
        <v>192</v>
      </c>
      <c r="H55">
        <v>5</v>
      </c>
      <c r="I55">
        <v>275</v>
      </c>
      <c r="J55">
        <v>0</v>
      </c>
      <c r="K55">
        <v>0</v>
      </c>
      <c r="L55">
        <v>275</v>
      </c>
      <c r="M55" t="s">
        <v>193</v>
      </c>
      <c r="N55">
        <v>40</v>
      </c>
      <c r="O55">
        <v>110</v>
      </c>
      <c r="P55">
        <v>40</v>
      </c>
      <c r="Q55">
        <v>60</v>
      </c>
    </row>
    <row r="56" spans="1:17">
      <c r="A56" s="155">
        <v>44926</v>
      </c>
      <c r="B56" t="s">
        <v>360</v>
      </c>
      <c r="C56" t="s">
        <v>8</v>
      </c>
      <c r="D56">
        <v>2022</v>
      </c>
      <c r="E56" t="s">
        <v>75</v>
      </c>
      <c r="F56" t="s">
        <v>73</v>
      </c>
      <c r="G56" t="s">
        <v>192</v>
      </c>
      <c r="H56">
        <v>4</v>
      </c>
      <c r="I56">
        <v>200</v>
      </c>
      <c r="J56">
        <v>0</v>
      </c>
      <c r="K56">
        <v>0</v>
      </c>
      <c r="L56">
        <v>200</v>
      </c>
      <c r="M56" t="s">
        <v>193</v>
      </c>
      <c r="N56">
        <v>40</v>
      </c>
      <c r="O56">
        <v>110</v>
      </c>
      <c r="P56">
        <v>40</v>
      </c>
      <c r="Q56">
        <v>60</v>
      </c>
    </row>
    <row r="57" spans="1:17">
      <c r="A57" s="155">
        <v>44926</v>
      </c>
      <c r="B57" t="s">
        <v>361</v>
      </c>
      <c r="C57" t="s">
        <v>8</v>
      </c>
      <c r="D57">
        <v>2022</v>
      </c>
      <c r="E57" t="s">
        <v>75</v>
      </c>
      <c r="F57" t="s">
        <v>73</v>
      </c>
      <c r="G57" t="s">
        <v>192</v>
      </c>
      <c r="H57">
        <v>8</v>
      </c>
      <c r="I57">
        <v>435</v>
      </c>
      <c r="J57">
        <v>0</v>
      </c>
      <c r="K57">
        <v>0</v>
      </c>
      <c r="L57">
        <v>435</v>
      </c>
      <c r="M57" t="s">
        <v>193</v>
      </c>
      <c r="N57">
        <v>40</v>
      </c>
      <c r="O57">
        <v>110</v>
      </c>
      <c r="P57">
        <v>40</v>
      </c>
      <c r="Q57">
        <v>60</v>
      </c>
    </row>
    <row r="58" spans="1:17">
      <c r="A58" s="155">
        <v>44926</v>
      </c>
      <c r="B58" t="s">
        <v>176</v>
      </c>
      <c r="C58" t="s">
        <v>8</v>
      </c>
      <c r="D58">
        <v>2022</v>
      </c>
      <c r="E58" t="s">
        <v>75</v>
      </c>
      <c r="F58" t="s">
        <v>73</v>
      </c>
      <c r="G58" t="s">
        <v>192</v>
      </c>
      <c r="H58">
        <v>18</v>
      </c>
      <c r="I58">
        <v>1090</v>
      </c>
      <c r="J58">
        <v>0</v>
      </c>
      <c r="K58">
        <v>0</v>
      </c>
      <c r="L58">
        <v>960</v>
      </c>
      <c r="M58" t="s">
        <v>193</v>
      </c>
      <c r="N58">
        <v>40</v>
      </c>
      <c r="O58">
        <v>110</v>
      </c>
      <c r="P58">
        <v>40</v>
      </c>
      <c r="Q58">
        <v>60</v>
      </c>
    </row>
    <row r="59" spans="1:17">
      <c r="A59" s="155">
        <v>44926</v>
      </c>
      <c r="B59" t="s">
        <v>362</v>
      </c>
      <c r="C59" t="s">
        <v>8</v>
      </c>
      <c r="D59">
        <v>2022</v>
      </c>
      <c r="E59" t="s">
        <v>75</v>
      </c>
      <c r="F59" t="s">
        <v>73</v>
      </c>
      <c r="G59" t="s">
        <v>192</v>
      </c>
      <c r="H59">
        <v>1</v>
      </c>
      <c r="I59">
        <v>110</v>
      </c>
      <c r="J59">
        <v>0</v>
      </c>
      <c r="K59">
        <v>0</v>
      </c>
      <c r="L59">
        <v>60</v>
      </c>
      <c r="M59" t="s">
        <v>193</v>
      </c>
      <c r="N59">
        <v>40</v>
      </c>
      <c r="O59">
        <v>110</v>
      </c>
      <c r="P59">
        <v>40</v>
      </c>
      <c r="Q59">
        <v>60</v>
      </c>
    </row>
    <row r="60" spans="1:17">
      <c r="A60" s="155">
        <v>44926</v>
      </c>
      <c r="B60" t="s">
        <v>357</v>
      </c>
      <c r="C60" t="s">
        <v>8</v>
      </c>
      <c r="D60">
        <v>2022</v>
      </c>
      <c r="E60" t="s">
        <v>75</v>
      </c>
      <c r="F60" t="s">
        <v>73</v>
      </c>
      <c r="G60" t="s">
        <v>192</v>
      </c>
      <c r="H60">
        <v>5</v>
      </c>
      <c r="I60">
        <v>275</v>
      </c>
      <c r="J60">
        <v>0</v>
      </c>
      <c r="K60">
        <v>0</v>
      </c>
      <c r="L60">
        <v>275</v>
      </c>
      <c r="M60" t="s">
        <v>193</v>
      </c>
      <c r="N60">
        <v>40</v>
      </c>
      <c r="O60">
        <v>110</v>
      </c>
      <c r="P60">
        <v>40</v>
      </c>
      <c r="Q60">
        <v>60</v>
      </c>
    </row>
    <row r="61" spans="1:17">
      <c r="A61" s="155">
        <v>44926</v>
      </c>
      <c r="B61" t="s">
        <v>363</v>
      </c>
      <c r="C61" t="s">
        <v>8</v>
      </c>
      <c r="D61">
        <v>2022</v>
      </c>
      <c r="E61" t="s">
        <v>75</v>
      </c>
      <c r="F61" t="s">
        <v>73</v>
      </c>
      <c r="G61" t="s">
        <v>192</v>
      </c>
      <c r="H61">
        <v>4</v>
      </c>
      <c r="I61">
        <v>200</v>
      </c>
      <c r="J61">
        <v>0</v>
      </c>
      <c r="K61">
        <v>0</v>
      </c>
      <c r="L61">
        <v>200</v>
      </c>
      <c r="M61" t="s">
        <v>193</v>
      </c>
      <c r="N61">
        <v>40</v>
      </c>
      <c r="O61">
        <v>110</v>
      </c>
      <c r="P61">
        <v>40</v>
      </c>
      <c r="Q61">
        <v>60</v>
      </c>
    </row>
    <row r="62" spans="1:17">
      <c r="A62" s="155">
        <v>44926</v>
      </c>
      <c r="B62" t="s">
        <v>364</v>
      </c>
      <c r="C62" t="s">
        <v>8</v>
      </c>
      <c r="D62">
        <v>2022</v>
      </c>
      <c r="E62" t="s">
        <v>75</v>
      </c>
      <c r="F62" t="s">
        <v>73</v>
      </c>
      <c r="G62" t="s">
        <v>192</v>
      </c>
      <c r="H62">
        <v>8</v>
      </c>
      <c r="I62">
        <v>435</v>
      </c>
      <c r="J62">
        <v>0</v>
      </c>
      <c r="K62">
        <v>0</v>
      </c>
      <c r="L62">
        <v>435</v>
      </c>
      <c r="M62" t="s">
        <v>193</v>
      </c>
      <c r="N62">
        <v>40</v>
      </c>
      <c r="O62">
        <v>110</v>
      </c>
      <c r="P62">
        <v>40</v>
      </c>
      <c r="Q62">
        <v>60</v>
      </c>
    </row>
    <row r="63" spans="1:17">
      <c r="A63" s="155">
        <v>44926</v>
      </c>
      <c r="B63" t="s">
        <v>358</v>
      </c>
      <c r="C63" t="s">
        <v>8</v>
      </c>
      <c r="D63">
        <v>2022</v>
      </c>
      <c r="E63" t="s">
        <v>75</v>
      </c>
      <c r="F63" t="s">
        <v>73</v>
      </c>
      <c r="G63" t="s">
        <v>192</v>
      </c>
      <c r="H63">
        <v>18</v>
      </c>
      <c r="I63">
        <v>1090</v>
      </c>
      <c r="J63">
        <v>0</v>
      </c>
      <c r="K63">
        <v>0</v>
      </c>
      <c r="L63">
        <v>960</v>
      </c>
      <c r="M63" t="s">
        <v>193</v>
      </c>
      <c r="N63">
        <v>40</v>
      </c>
      <c r="O63">
        <v>110</v>
      </c>
      <c r="P63">
        <v>40</v>
      </c>
      <c r="Q63">
        <v>60</v>
      </c>
    </row>
    <row r="64" spans="1:17">
      <c r="A64" s="155">
        <v>44926</v>
      </c>
      <c r="B64" t="s">
        <v>348</v>
      </c>
      <c r="C64" t="s">
        <v>8</v>
      </c>
      <c r="D64">
        <v>2022</v>
      </c>
      <c r="E64" t="s">
        <v>77</v>
      </c>
      <c r="F64" t="s">
        <v>73</v>
      </c>
      <c r="G64" t="s">
        <v>192</v>
      </c>
      <c r="H64">
        <v>1</v>
      </c>
      <c r="I64">
        <v>2498.94</v>
      </c>
      <c r="J64">
        <v>0</v>
      </c>
      <c r="K64">
        <v>0</v>
      </c>
      <c r="L64">
        <v>2498.94</v>
      </c>
      <c r="M64" t="s">
        <v>193</v>
      </c>
      <c r="N64">
        <v>313.22000000000003</v>
      </c>
      <c r="O64">
        <v>2498.94</v>
      </c>
      <c r="P64">
        <v>313.22000000000003</v>
      </c>
      <c r="Q64">
        <v>2498.94</v>
      </c>
    </row>
    <row r="65" spans="1:17">
      <c r="A65" s="155">
        <v>44926</v>
      </c>
      <c r="B65" t="s">
        <v>350</v>
      </c>
      <c r="C65" t="s">
        <v>8</v>
      </c>
      <c r="D65">
        <v>2022</v>
      </c>
      <c r="E65" t="s">
        <v>77</v>
      </c>
      <c r="F65" t="s">
        <v>73</v>
      </c>
      <c r="G65" t="s">
        <v>192</v>
      </c>
      <c r="H65">
        <v>1</v>
      </c>
      <c r="I65">
        <v>313.22000000000003</v>
      </c>
      <c r="J65">
        <v>0</v>
      </c>
      <c r="K65">
        <v>0</v>
      </c>
      <c r="L65">
        <v>313.22000000000003</v>
      </c>
      <c r="M65" t="s">
        <v>193</v>
      </c>
      <c r="N65">
        <v>313.22000000000003</v>
      </c>
      <c r="O65">
        <v>2498.94</v>
      </c>
      <c r="P65">
        <v>313.22000000000003</v>
      </c>
      <c r="Q65">
        <v>2498.94</v>
      </c>
    </row>
    <row r="66" spans="1:17">
      <c r="A66" s="155">
        <v>44926</v>
      </c>
      <c r="B66" t="s">
        <v>354</v>
      </c>
      <c r="C66" t="s">
        <v>8</v>
      </c>
      <c r="D66">
        <v>2022</v>
      </c>
      <c r="E66" t="s">
        <v>77</v>
      </c>
      <c r="F66" t="s">
        <v>73</v>
      </c>
      <c r="G66" t="s">
        <v>192</v>
      </c>
      <c r="H66">
        <v>1</v>
      </c>
      <c r="I66">
        <v>2498.94</v>
      </c>
      <c r="J66">
        <v>0</v>
      </c>
      <c r="K66">
        <v>0</v>
      </c>
      <c r="L66">
        <v>2498.94</v>
      </c>
      <c r="M66" t="s">
        <v>193</v>
      </c>
      <c r="N66">
        <v>313.22000000000003</v>
      </c>
      <c r="O66">
        <v>2498.94</v>
      </c>
      <c r="P66">
        <v>313.22000000000003</v>
      </c>
      <c r="Q66">
        <v>2498.94</v>
      </c>
    </row>
    <row r="67" spans="1:17">
      <c r="A67" s="155">
        <v>44926</v>
      </c>
      <c r="B67" t="s">
        <v>356</v>
      </c>
      <c r="C67" t="s">
        <v>8</v>
      </c>
      <c r="D67">
        <v>2022</v>
      </c>
      <c r="E67" t="s">
        <v>77</v>
      </c>
      <c r="F67" t="s">
        <v>73</v>
      </c>
      <c r="G67" t="s">
        <v>192</v>
      </c>
      <c r="H67">
        <v>1</v>
      </c>
      <c r="I67">
        <v>313.22000000000003</v>
      </c>
      <c r="J67">
        <v>0</v>
      </c>
      <c r="K67">
        <v>0</v>
      </c>
      <c r="L67">
        <v>313.22000000000003</v>
      </c>
      <c r="M67" t="s">
        <v>193</v>
      </c>
      <c r="N67">
        <v>313.22000000000003</v>
      </c>
      <c r="O67">
        <v>2498.94</v>
      </c>
      <c r="P67">
        <v>313.22000000000003</v>
      </c>
      <c r="Q67">
        <v>2498.94</v>
      </c>
    </row>
    <row r="68" spans="1:17">
      <c r="A68" s="155">
        <v>44926</v>
      </c>
      <c r="B68" t="s">
        <v>346</v>
      </c>
      <c r="C68" t="s">
        <v>8</v>
      </c>
      <c r="D68">
        <v>2022</v>
      </c>
      <c r="E68" t="s">
        <v>79</v>
      </c>
      <c r="F68" t="s">
        <v>78</v>
      </c>
      <c r="G68" t="s">
        <v>192</v>
      </c>
      <c r="H68">
        <v>70</v>
      </c>
      <c r="I68">
        <v>4784.62</v>
      </c>
      <c r="J68">
        <v>1090</v>
      </c>
      <c r="K68">
        <v>466</v>
      </c>
      <c r="L68">
        <v>1450.4</v>
      </c>
      <c r="M68" t="s">
        <v>193</v>
      </c>
      <c r="N68">
        <v>-60</v>
      </c>
      <c r="O68">
        <v>2013.1</v>
      </c>
      <c r="P68">
        <v>-20</v>
      </c>
      <c r="Q68">
        <v>685.6</v>
      </c>
    </row>
    <row r="69" spans="1:17">
      <c r="A69" s="155">
        <v>44926</v>
      </c>
      <c r="B69" t="s">
        <v>347</v>
      </c>
      <c r="C69" t="s">
        <v>8</v>
      </c>
      <c r="D69">
        <v>2022</v>
      </c>
      <c r="E69" t="s">
        <v>79</v>
      </c>
      <c r="F69" t="s">
        <v>78</v>
      </c>
      <c r="G69" t="s">
        <v>192</v>
      </c>
      <c r="H69">
        <v>50</v>
      </c>
      <c r="I69">
        <v>2400</v>
      </c>
      <c r="J69">
        <v>292</v>
      </c>
      <c r="K69">
        <v>231.5</v>
      </c>
      <c r="L69">
        <v>399</v>
      </c>
      <c r="M69" t="s">
        <v>193</v>
      </c>
      <c r="N69">
        <v>-60</v>
      </c>
      <c r="O69">
        <v>2013.1</v>
      </c>
      <c r="P69">
        <v>-20</v>
      </c>
      <c r="Q69">
        <v>685.6</v>
      </c>
    </row>
    <row r="70" spans="1:17">
      <c r="A70" s="155">
        <v>44926</v>
      </c>
      <c r="B70" t="s">
        <v>349</v>
      </c>
      <c r="C70" t="s">
        <v>8</v>
      </c>
      <c r="D70">
        <v>2022</v>
      </c>
      <c r="E70" t="s">
        <v>79</v>
      </c>
      <c r="F70" t="s">
        <v>78</v>
      </c>
      <c r="G70" t="s">
        <v>192</v>
      </c>
      <c r="H70">
        <v>13</v>
      </c>
      <c r="I70">
        <v>1305.17</v>
      </c>
      <c r="J70">
        <v>476.81</v>
      </c>
      <c r="K70">
        <v>0</v>
      </c>
      <c r="L70">
        <v>665.36</v>
      </c>
      <c r="M70" t="s">
        <v>193</v>
      </c>
      <c r="N70">
        <v>-60</v>
      </c>
      <c r="O70">
        <v>2013.1</v>
      </c>
      <c r="P70">
        <v>-20</v>
      </c>
      <c r="Q70">
        <v>685.6</v>
      </c>
    </row>
    <row r="71" spans="1:17">
      <c r="A71" s="155">
        <v>44926</v>
      </c>
      <c r="B71" t="s">
        <v>350</v>
      </c>
      <c r="C71" t="s">
        <v>8</v>
      </c>
      <c r="D71">
        <v>2022</v>
      </c>
      <c r="E71" t="s">
        <v>79</v>
      </c>
      <c r="F71" t="s">
        <v>78</v>
      </c>
      <c r="G71" t="s">
        <v>192</v>
      </c>
      <c r="H71">
        <v>4</v>
      </c>
      <c r="I71">
        <v>2754.27</v>
      </c>
      <c r="J71">
        <v>1372.56</v>
      </c>
      <c r="K71">
        <v>0</v>
      </c>
      <c r="L71">
        <v>985.01</v>
      </c>
      <c r="M71" t="s">
        <v>193</v>
      </c>
      <c r="N71">
        <v>-60</v>
      </c>
      <c r="O71">
        <v>2013.1</v>
      </c>
      <c r="P71">
        <v>-20</v>
      </c>
      <c r="Q71">
        <v>685.6</v>
      </c>
    </row>
    <row r="72" spans="1:17">
      <c r="A72" s="155">
        <v>44926</v>
      </c>
      <c r="B72" t="s">
        <v>361</v>
      </c>
      <c r="C72" t="s">
        <v>8</v>
      </c>
      <c r="D72">
        <v>2022</v>
      </c>
      <c r="E72" t="s">
        <v>79</v>
      </c>
      <c r="F72" t="s">
        <v>78</v>
      </c>
      <c r="G72" t="s">
        <v>192</v>
      </c>
      <c r="H72">
        <v>5</v>
      </c>
      <c r="I72">
        <v>1338.4199999999998</v>
      </c>
      <c r="J72">
        <v>555.56999999999994</v>
      </c>
      <c r="K72">
        <v>0</v>
      </c>
      <c r="L72">
        <v>703.89</v>
      </c>
      <c r="M72" t="s">
        <v>193</v>
      </c>
      <c r="N72">
        <v>-60</v>
      </c>
      <c r="O72">
        <v>2013.1</v>
      </c>
      <c r="P72">
        <v>-20</v>
      </c>
      <c r="Q72">
        <v>685.6</v>
      </c>
    </row>
    <row r="73" spans="1:17">
      <c r="A73" s="155">
        <v>44926</v>
      </c>
      <c r="B73" t="s">
        <v>365</v>
      </c>
      <c r="C73" t="s">
        <v>8</v>
      </c>
      <c r="D73">
        <v>2022</v>
      </c>
      <c r="E73" t="s">
        <v>79</v>
      </c>
      <c r="F73" t="s">
        <v>78</v>
      </c>
      <c r="G73" t="s">
        <v>192</v>
      </c>
      <c r="H73">
        <v>1</v>
      </c>
      <c r="I73">
        <v>60</v>
      </c>
      <c r="J73">
        <v>9</v>
      </c>
      <c r="K73">
        <v>0</v>
      </c>
      <c r="L73">
        <v>10.5</v>
      </c>
      <c r="M73" t="s">
        <v>193</v>
      </c>
      <c r="N73">
        <v>-60</v>
      </c>
      <c r="O73">
        <v>2013.1</v>
      </c>
      <c r="P73">
        <v>-20</v>
      </c>
      <c r="Q73">
        <v>685.6</v>
      </c>
    </row>
    <row r="74" spans="1:17">
      <c r="A74" s="155">
        <v>44926</v>
      </c>
      <c r="B74" t="s">
        <v>176</v>
      </c>
      <c r="C74" t="s">
        <v>8</v>
      </c>
      <c r="D74">
        <v>2022</v>
      </c>
      <c r="E74" t="s">
        <v>79</v>
      </c>
      <c r="F74" t="s">
        <v>78</v>
      </c>
      <c r="G74" t="s">
        <v>192</v>
      </c>
      <c r="H74">
        <v>2</v>
      </c>
      <c r="I74">
        <v>2046.3</v>
      </c>
      <c r="J74">
        <v>1204.26</v>
      </c>
      <c r="K74">
        <v>0</v>
      </c>
      <c r="L74">
        <v>747.1</v>
      </c>
      <c r="M74" t="s">
        <v>193</v>
      </c>
      <c r="N74">
        <v>-60</v>
      </c>
      <c r="O74">
        <v>2013.1</v>
      </c>
      <c r="P74">
        <v>-20</v>
      </c>
      <c r="Q74">
        <v>685.6</v>
      </c>
    </row>
    <row r="75" spans="1:17">
      <c r="A75" s="155">
        <v>44926</v>
      </c>
      <c r="B75" t="s">
        <v>352</v>
      </c>
      <c r="C75" t="s">
        <v>8</v>
      </c>
      <c r="D75">
        <v>2022</v>
      </c>
      <c r="E75" t="s">
        <v>79</v>
      </c>
      <c r="F75" t="s">
        <v>78</v>
      </c>
      <c r="G75" t="s">
        <v>192</v>
      </c>
      <c r="H75">
        <v>70</v>
      </c>
      <c r="I75">
        <v>4784.62</v>
      </c>
      <c r="J75">
        <v>1090</v>
      </c>
      <c r="K75">
        <v>466</v>
      </c>
      <c r="L75">
        <v>1450.4</v>
      </c>
      <c r="M75" t="s">
        <v>193</v>
      </c>
      <c r="N75">
        <v>-60</v>
      </c>
      <c r="O75">
        <v>2013.1</v>
      </c>
      <c r="P75">
        <v>-20</v>
      </c>
      <c r="Q75">
        <v>685.6</v>
      </c>
    </row>
    <row r="76" spans="1:17">
      <c r="A76" s="155">
        <v>44926</v>
      </c>
      <c r="B76" t="s">
        <v>353</v>
      </c>
      <c r="C76" t="s">
        <v>8</v>
      </c>
      <c r="D76">
        <v>2022</v>
      </c>
      <c r="E76" t="s">
        <v>79</v>
      </c>
      <c r="F76" t="s">
        <v>78</v>
      </c>
      <c r="G76" t="s">
        <v>192</v>
      </c>
      <c r="H76">
        <v>50</v>
      </c>
      <c r="I76">
        <v>2400</v>
      </c>
      <c r="J76">
        <v>292</v>
      </c>
      <c r="K76">
        <v>231.5</v>
      </c>
      <c r="L76">
        <v>399</v>
      </c>
      <c r="M76" t="s">
        <v>193</v>
      </c>
      <c r="N76">
        <v>-60</v>
      </c>
      <c r="O76">
        <v>2013.1</v>
      </c>
      <c r="P76">
        <v>-20</v>
      </c>
      <c r="Q76">
        <v>685.6</v>
      </c>
    </row>
    <row r="77" spans="1:17">
      <c r="A77" s="155">
        <v>44926</v>
      </c>
      <c r="B77" t="s">
        <v>355</v>
      </c>
      <c r="C77" t="s">
        <v>8</v>
      </c>
      <c r="D77">
        <v>2022</v>
      </c>
      <c r="E77" t="s">
        <v>79</v>
      </c>
      <c r="F77" t="s">
        <v>78</v>
      </c>
      <c r="G77" t="s">
        <v>192</v>
      </c>
      <c r="H77">
        <v>13</v>
      </c>
      <c r="I77">
        <v>1305.17</v>
      </c>
      <c r="J77">
        <v>476.81</v>
      </c>
      <c r="K77">
        <v>0</v>
      </c>
      <c r="L77">
        <v>665.36</v>
      </c>
      <c r="M77" t="s">
        <v>193</v>
      </c>
      <c r="N77">
        <v>-60</v>
      </c>
      <c r="O77">
        <v>2013.1</v>
      </c>
      <c r="P77">
        <v>-20</v>
      </c>
      <c r="Q77">
        <v>685.6</v>
      </c>
    </row>
    <row r="78" spans="1:17">
      <c r="A78" s="155">
        <v>44926</v>
      </c>
      <c r="B78" t="s">
        <v>356</v>
      </c>
      <c r="C78" t="s">
        <v>8</v>
      </c>
      <c r="D78">
        <v>2022</v>
      </c>
      <c r="E78" t="s">
        <v>79</v>
      </c>
      <c r="F78" t="s">
        <v>78</v>
      </c>
      <c r="G78" t="s">
        <v>192</v>
      </c>
      <c r="H78">
        <v>4</v>
      </c>
      <c r="I78">
        <v>2754.27</v>
      </c>
      <c r="J78">
        <v>1372.56</v>
      </c>
      <c r="K78">
        <v>0</v>
      </c>
      <c r="L78">
        <v>985.01</v>
      </c>
      <c r="M78" t="s">
        <v>193</v>
      </c>
      <c r="N78">
        <v>-60</v>
      </c>
      <c r="O78">
        <v>2013.1</v>
      </c>
      <c r="P78">
        <v>-20</v>
      </c>
      <c r="Q78">
        <v>685.6</v>
      </c>
    </row>
    <row r="79" spans="1:17">
      <c r="A79" s="155">
        <v>44926</v>
      </c>
      <c r="B79" t="s">
        <v>366</v>
      </c>
      <c r="C79" t="s">
        <v>8</v>
      </c>
      <c r="D79">
        <v>2022</v>
      </c>
      <c r="E79" t="s">
        <v>79</v>
      </c>
      <c r="F79" t="s">
        <v>78</v>
      </c>
      <c r="G79" t="s">
        <v>192</v>
      </c>
      <c r="H79">
        <v>1</v>
      </c>
      <c r="I79">
        <v>60</v>
      </c>
      <c r="J79">
        <v>9</v>
      </c>
      <c r="K79">
        <v>0</v>
      </c>
      <c r="L79">
        <v>10.5</v>
      </c>
      <c r="M79" t="s">
        <v>193</v>
      </c>
      <c r="N79">
        <v>-60</v>
      </c>
      <c r="O79">
        <v>2013.1</v>
      </c>
      <c r="P79">
        <v>-20</v>
      </c>
      <c r="Q79">
        <v>685.6</v>
      </c>
    </row>
    <row r="80" spans="1:17">
      <c r="A80" s="155">
        <v>44926</v>
      </c>
      <c r="B80" t="s">
        <v>364</v>
      </c>
      <c r="C80" t="s">
        <v>8</v>
      </c>
      <c r="D80">
        <v>2022</v>
      </c>
      <c r="E80" t="s">
        <v>79</v>
      </c>
      <c r="F80" t="s">
        <v>78</v>
      </c>
      <c r="G80" t="s">
        <v>192</v>
      </c>
      <c r="H80">
        <v>5</v>
      </c>
      <c r="I80">
        <v>1338.42</v>
      </c>
      <c r="J80">
        <v>555.56999999999994</v>
      </c>
      <c r="K80">
        <v>0</v>
      </c>
      <c r="L80">
        <v>703.8900000000001</v>
      </c>
      <c r="M80" t="s">
        <v>193</v>
      </c>
      <c r="N80">
        <v>-60</v>
      </c>
      <c r="O80">
        <v>2013.1</v>
      </c>
      <c r="P80">
        <v>-20</v>
      </c>
      <c r="Q80">
        <v>685.6</v>
      </c>
    </row>
    <row r="81" spans="1:17">
      <c r="A81" s="155">
        <v>44926</v>
      </c>
      <c r="B81" t="s">
        <v>358</v>
      </c>
      <c r="C81" t="s">
        <v>8</v>
      </c>
      <c r="D81">
        <v>2022</v>
      </c>
      <c r="E81" t="s">
        <v>79</v>
      </c>
      <c r="F81" t="s">
        <v>78</v>
      </c>
      <c r="G81" t="s">
        <v>192</v>
      </c>
      <c r="H81">
        <v>2</v>
      </c>
      <c r="I81">
        <v>2046.3</v>
      </c>
      <c r="J81">
        <v>1204.26</v>
      </c>
      <c r="K81">
        <v>0</v>
      </c>
      <c r="L81">
        <v>747.1</v>
      </c>
      <c r="M81" t="s">
        <v>193</v>
      </c>
      <c r="N81">
        <v>-60</v>
      </c>
      <c r="O81">
        <v>2013.1</v>
      </c>
      <c r="P81">
        <v>-20</v>
      </c>
      <c r="Q81">
        <v>685.6</v>
      </c>
    </row>
    <row r="82" spans="1:17">
      <c r="A82" s="155">
        <v>44926</v>
      </c>
      <c r="B82" t="s">
        <v>346</v>
      </c>
      <c r="C82" t="s">
        <v>8</v>
      </c>
      <c r="D82">
        <v>2022</v>
      </c>
      <c r="E82" t="s">
        <v>81</v>
      </c>
      <c r="F82" t="s">
        <v>80</v>
      </c>
      <c r="G82" t="s">
        <v>192</v>
      </c>
      <c r="H82">
        <v>987</v>
      </c>
      <c r="I82">
        <v>22836.089999999549</v>
      </c>
      <c r="J82">
        <v>15360.500000000031</v>
      </c>
      <c r="K82">
        <v>95.960000000000008</v>
      </c>
      <c r="L82">
        <v>7007.3600000000761</v>
      </c>
      <c r="M82" t="s">
        <v>193</v>
      </c>
      <c r="N82">
        <v>-28.92</v>
      </c>
      <c r="O82">
        <v>430</v>
      </c>
      <c r="P82">
        <v>-8.68</v>
      </c>
      <c r="Q82">
        <v>430</v>
      </c>
    </row>
    <row r="83" spans="1:17">
      <c r="A83" s="155">
        <v>44926</v>
      </c>
      <c r="B83" t="s">
        <v>347</v>
      </c>
      <c r="C83" t="s">
        <v>8</v>
      </c>
      <c r="D83">
        <v>2022</v>
      </c>
      <c r="E83" t="s">
        <v>81</v>
      </c>
      <c r="F83" t="s">
        <v>80</v>
      </c>
      <c r="G83" t="s">
        <v>192</v>
      </c>
      <c r="H83">
        <v>548</v>
      </c>
      <c r="I83">
        <v>12517.539999999957</v>
      </c>
      <c r="J83">
        <v>8671.91999999994</v>
      </c>
      <c r="K83">
        <v>52.08</v>
      </c>
      <c r="L83">
        <v>3688.9199999999923</v>
      </c>
      <c r="M83" t="s">
        <v>193</v>
      </c>
      <c r="N83">
        <v>-28.92</v>
      </c>
      <c r="O83">
        <v>430</v>
      </c>
      <c r="P83">
        <v>-8.68</v>
      </c>
      <c r="Q83">
        <v>430</v>
      </c>
    </row>
    <row r="84" spans="1:17">
      <c r="A84" s="155">
        <v>44926</v>
      </c>
      <c r="B84" t="s">
        <v>348</v>
      </c>
      <c r="C84" t="s">
        <v>8</v>
      </c>
      <c r="D84">
        <v>2022</v>
      </c>
      <c r="E84" t="s">
        <v>81</v>
      </c>
      <c r="F84" t="s">
        <v>80</v>
      </c>
      <c r="G84" t="s">
        <v>192</v>
      </c>
      <c r="H84">
        <v>7</v>
      </c>
      <c r="I84">
        <v>173.52000000000004</v>
      </c>
      <c r="J84">
        <v>121.43999999999998</v>
      </c>
      <c r="K84">
        <v>0</v>
      </c>
      <c r="L84">
        <v>52.08</v>
      </c>
      <c r="M84" t="s">
        <v>193</v>
      </c>
      <c r="N84">
        <v>-28.92</v>
      </c>
      <c r="O84">
        <v>430</v>
      </c>
      <c r="P84">
        <v>-8.68</v>
      </c>
      <c r="Q84">
        <v>430</v>
      </c>
    </row>
    <row r="85" spans="1:17">
      <c r="A85" s="155">
        <v>44926</v>
      </c>
      <c r="B85" t="s">
        <v>349</v>
      </c>
      <c r="C85" t="s">
        <v>8</v>
      </c>
      <c r="D85">
        <v>2022</v>
      </c>
      <c r="E85" t="s">
        <v>81</v>
      </c>
      <c r="F85" t="s">
        <v>80</v>
      </c>
      <c r="G85" t="s">
        <v>192</v>
      </c>
      <c r="H85">
        <v>396</v>
      </c>
      <c r="I85">
        <v>9173.0200000000023</v>
      </c>
      <c r="J85">
        <v>6333.4899999999543</v>
      </c>
      <c r="K85">
        <v>0</v>
      </c>
      <c r="L85">
        <v>2839.5299999999952</v>
      </c>
      <c r="M85" t="s">
        <v>193</v>
      </c>
      <c r="N85">
        <v>-28.92</v>
      </c>
      <c r="O85">
        <v>430</v>
      </c>
      <c r="P85">
        <v>-8.68</v>
      </c>
      <c r="Q85">
        <v>430</v>
      </c>
    </row>
    <row r="86" spans="1:17">
      <c r="A86" s="155">
        <v>44926</v>
      </c>
      <c r="B86" t="s">
        <v>350</v>
      </c>
      <c r="C86" t="s">
        <v>8</v>
      </c>
      <c r="D86">
        <v>2022</v>
      </c>
      <c r="E86" t="s">
        <v>81</v>
      </c>
      <c r="F86" t="s">
        <v>80</v>
      </c>
      <c r="G86" t="s">
        <v>192</v>
      </c>
      <c r="H86">
        <v>317</v>
      </c>
      <c r="I86">
        <v>8355.4900000000125</v>
      </c>
      <c r="J86">
        <v>5416.0399999999654</v>
      </c>
      <c r="K86">
        <v>0</v>
      </c>
      <c r="L86">
        <v>2939.4499999999966</v>
      </c>
      <c r="M86" t="s">
        <v>193</v>
      </c>
      <c r="N86">
        <v>-28.92</v>
      </c>
      <c r="O86">
        <v>430</v>
      </c>
      <c r="P86">
        <v>-8.68</v>
      </c>
      <c r="Q86">
        <v>430</v>
      </c>
    </row>
    <row r="87" spans="1:17">
      <c r="A87" s="155">
        <v>44926</v>
      </c>
      <c r="B87" t="s">
        <v>351</v>
      </c>
      <c r="C87" t="s">
        <v>8</v>
      </c>
      <c r="D87">
        <v>2022</v>
      </c>
      <c r="E87" t="s">
        <v>81</v>
      </c>
      <c r="F87" t="s">
        <v>80</v>
      </c>
      <c r="G87" t="s">
        <v>192</v>
      </c>
      <c r="H87">
        <v>2</v>
      </c>
      <c r="I87">
        <v>43.38</v>
      </c>
      <c r="J87">
        <v>30.36</v>
      </c>
      <c r="K87">
        <v>0</v>
      </c>
      <c r="L87">
        <v>13.02</v>
      </c>
      <c r="M87" t="s">
        <v>193</v>
      </c>
      <c r="N87">
        <v>-28.92</v>
      </c>
      <c r="O87">
        <v>430</v>
      </c>
      <c r="P87">
        <v>-8.68</v>
      </c>
      <c r="Q87">
        <v>430</v>
      </c>
    </row>
    <row r="88" spans="1:17">
      <c r="A88" s="155">
        <v>44926</v>
      </c>
      <c r="B88" t="s">
        <v>360</v>
      </c>
      <c r="C88" t="s">
        <v>8</v>
      </c>
      <c r="D88">
        <v>2022</v>
      </c>
      <c r="E88" t="s">
        <v>81</v>
      </c>
      <c r="F88" t="s">
        <v>80</v>
      </c>
      <c r="G88" t="s">
        <v>192</v>
      </c>
      <c r="H88">
        <v>1</v>
      </c>
      <c r="I88">
        <v>28.92</v>
      </c>
      <c r="J88">
        <v>20.239999999999998</v>
      </c>
      <c r="K88">
        <v>0</v>
      </c>
      <c r="L88">
        <v>8.68</v>
      </c>
      <c r="M88" t="s">
        <v>193</v>
      </c>
      <c r="N88">
        <v>-28.92</v>
      </c>
      <c r="O88">
        <v>430</v>
      </c>
      <c r="P88">
        <v>-8.68</v>
      </c>
      <c r="Q88">
        <v>430</v>
      </c>
    </row>
    <row r="89" spans="1:17">
      <c r="A89" s="155">
        <v>44926</v>
      </c>
      <c r="B89" t="s">
        <v>361</v>
      </c>
      <c r="C89" t="s">
        <v>8</v>
      </c>
      <c r="D89">
        <v>2022</v>
      </c>
      <c r="E89" t="s">
        <v>81</v>
      </c>
      <c r="F89" t="s">
        <v>80</v>
      </c>
      <c r="G89" t="s">
        <v>192</v>
      </c>
      <c r="H89">
        <v>5</v>
      </c>
      <c r="I89">
        <v>115.68000000000002</v>
      </c>
      <c r="J89">
        <v>80.959999999999994</v>
      </c>
      <c r="K89">
        <v>0</v>
      </c>
      <c r="L89">
        <v>34.72</v>
      </c>
      <c r="M89" t="s">
        <v>193</v>
      </c>
      <c r="N89">
        <v>-28.92</v>
      </c>
      <c r="O89">
        <v>430</v>
      </c>
      <c r="P89">
        <v>-8.68</v>
      </c>
      <c r="Q89">
        <v>430</v>
      </c>
    </row>
    <row r="90" spans="1:17">
      <c r="A90" s="155">
        <v>44926</v>
      </c>
      <c r="B90" t="s">
        <v>365</v>
      </c>
      <c r="C90" t="s">
        <v>8</v>
      </c>
      <c r="D90">
        <v>2022</v>
      </c>
      <c r="E90" t="s">
        <v>81</v>
      </c>
      <c r="F90" t="s">
        <v>80</v>
      </c>
      <c r="G90" t="s">
        <v>192</v>
      </c>
      <c r="H90">
        <v>4</v>
      </c>
      <c r="I90">
        <v>86.760000000000019</v>
      </c>
      <c r="J90">
        <v>78.08</v>
      </c>
      <c r="K90">
        <v>0</v>
      </c>
      <c r="L90">
        <v>8.68</v>
      </c>
      <c r="M90" t="s">
        <v>193</v>
      </c>
      <c r="N90">
        <v>-28.92</v>
      </c>
      <c r="O90">
        <v>430</v>
      </c>
      <c r="P90">
        <v>-8.68</v>
      </c>
      <c r="Q90">
        <v>430</v>
      </c>
    </row>
    <row r="91" spans="1:17">
      <c r="A91" s="155">
        <v>44926</v>
      </c>
      <c r="B91" t="s">
        <v>176</v>
      </c>
      <c r="C91" t="s">
        <v>8</v>
      </c>
      <c r="D91">
        <v>2022</v>
      </c>
      <c r="E91" t="s">
        <v>81</v>
      </c>
      <c r="F91" t="s">
        <v>80</v>
      </c>
      <c r="G91" t="s">
        <v>192</v>
      </c>
      <c r="H91">
        <v>4</v>
      </c>
      <c r="I91">
        <v>86.76</v>
      </c>
      <c r="J91">
        <v>60.72</v>
      </c>
      <c r="K91">
        <v>0</v>
      </c>
      <c r="L91">
        <v>26.04</v>
      </c>
      <c r="M91" t="s">
        <v>193</v>
      </c>
      <c r="N91">
        <v>-28.92</v>
      </c>
      <c r="O91">
        <v>430</v>
      </c>
      <c r="P91">
        <v>-8.68</v>
      </c>
      <c r="Q91">
        <v>430</v>
      </c>
    </row>
    <row r="92" spans="1:17">
      <c r="A92" s="155">
        <v>44926</v>
      </c>
      <c r="B92" t="s">
        <v>352</v>
      </c>
      <c r="C92" t="s">
        <v>8</v>
      </c>
      <c r="D92">
        <v>2022</v>
      </c>
      <c r="E92" t="s">
        <v>81</v>
      </c>
      <c r="F92" t="s">
        <v>80</v>
      </c>
      <c r="G92" t="s">
        <v>192</v>
      </c>
      <c r="H92">
        <v>987</v>
      </c>
      <c r="I92">
        <v>22836.089999999553</v>
      </c>
      <c r="J92">
        <v>15360.500000000035</v>
      </c>
      <c r="K92">
        <v>95.960000000000008</v>
      </c>
      <c r="L92">
        <v>7007.3600000000779</v>
      </c>
      <c r="M92" t="s">
        <v>193</v>
      </c>
      <c r="N92">
        <v>-28.92</v>
      </c>
      <c r="O92">
        <v>430</v>
      </c>
      <c r="P92">
        <v>-8.68</v>
      </c>
      <c r="Q92">
        <v>430</v>
      </c>
    </row>
    <row r="93" spans="1:17">
      <c r="A93" s="155">
        <v>44926</v>
      </c>
      <c r="B93" t="s">
        <v>353</v>
      </c>
      <c r="C93" t="s">
        <v>8</v>
      </c>
      <c r="D93">
        <v>2022</v>
      </c>
      <c r="E93" t="s">
        <v>81</v>
      </c>
      <c r="F93" t="s">
        <v>80</v>
      </c>
      <c r="G93" t="s">
        <v>192</v>
      </c>
      <c r="H93">
        <v>548</v>
      </c>
      <c r="I93">
        <v>12517.539999999959</v>
      </c>
      <c r="J93">
        <v>8671.9199999999419</v>
      </c>
      <c r="K93">
        <v>52.08</v>
      </c>
      <c r="L93">
        <v>3688.9199999999923</v>
      </c>
      <c r="M93" t="s">
        <v>193</v>
      </c>
      <c r="N93">
        <v>-28.92</v>
      </c>
      <c r="O93">
        <v>430</v>
      </c>
      <c r="P93">
        <v>-8.68</v>
      </c>
      <c r="Q93">
        <v>430</v>
      </c>
    </row>
    <row r="94" spans="1:17">
      <c r="A94" s="155">
        <v>44926</v>
      </c>
      <c r="B94" t="s">
        <v>354</v>
      </c>
      <c r="C94" t="s">
        <v>8</v>
      </c>
      <c r="D94">
        <v>2022</v>
      </c>
      <c r="E94" t="s">
        <v>81</v>
      </c>
      <c r="F94" t="s">
        <v>80</v>
      </c>
      <c r="G94" t="s">
        <v>192</v>
      </c>
      <c r="H94">
        <v>7</v>
      </c>
      <c r="I94">
        <v>173.52000000000004</v>
      </c>
      <c r="J94">
        <v>121.43999999999998</v>
      </c>
      <c r="K94">
        <v>0</v>
      </c>
      <c r="L94">
        <v>52.080000000000005</v>
      </c>
      <c r="M94" t="s">
        <v>193</v>
      </c>
      <c r="N94">
        <v>-28.92</v>
      </c>
      <c r="O94">
        <v>430</v>
      </c>
      <c r="P94">
        <v>-8.68</v>
      </c>
      <c r="Q94">
        <v>430</v>
      </c>
    </row>
    <row r="95" spans="1:17">
      <c r="A95" s="155">
        <v>44926</v>
      </c>
      <c r="B95" t="s">
        <v>355</v>
      </c>
      <c r="C95" t="s">
        <v>8</v>
      </c>
      <c r="D95">
        <v>2022</v>
      </c>
      <c r="E95" t="s">
        <v>81</v>
      </c>
      <c r="F95" t="s">
        <v>80</v>
      </c>
      <c r="G95" t="s">
        <v>192</v>
      </c>
      <c r="H95">
        <v>396</v>
      </c>
      <c r="I95">
        <v>9173.02</v>
      </c>
      <c r="J95">
        <v>6333.4899999999543</v>
      </c>
      <c r="K95">
        <v>0</v>
      </c>
      <c r="L95">
        <v>2839.5299999999966</v>
      </c>
      <c r="M95" t="s">
        <v>193</v>
      </c>
      <c r="N95">
        <v>-28.92</v>
      </c>
      <c r="O95">
        <v>430</v>
      </c>
      <c r="P95">
        <v>-8.68</v>
      </c>
      <c r="Q95">
        <v>430</v>
      </c>
    </row>
    <row r="96" spans="1:17">
      <c r="A96" s="155">
        <v>44926</v>
      </c>
      <c r="B96" t="s">
        <v>356</v>
      </c>
      <c r="C96" t="s">
        <v>8</v>
      </c>
      <c r="D96">
        <v>2022</v>
      </c>
      <c r="E96" t="s">
        <v>81</v>
      </c>
      <c r="F96" t="s">
        <v>80</v>
      </c>
      <c r="G96" t="s">
        <v>192</v>
      </c>
      <c r="H96">
        <v>317</v>
      </c>
      <c r="I96">
        <v>8355.4900000000125</v>
      </c>
      <c r="J96">
        <v>5416.0399999999663</v>
      </c>
      <c r="K96">
        <v>0</v>
      </c>
      <c r="L96">
        <v>2939.4499999999948</v>
      </c>
      <c r="M96" t="s">
        <v>193</v>
      </c>
      <c r="N96">
        <v>-28.92</v>
      </c>
      <c r="O96">
        <v>430</v>
      </c>
      <c r="P96">
        <v>-8.68</v>
      </c>
      <c r="Q96">
        <v>430</v>
      </c>
    </row>
    <row r="97" spans="1:17">
      <c r="A97" s="155">
        <v>44926</v>
      </c>
      <c r="B97" t="s">
        <v>357</v>
      </c>
      <c r="C97" t="s">
        <v>8</v>
      </c>
      <c r="D97">
        <v>2022</v>
      </c>
      <c r="E97" t="s">
        <v>81</v>
      </c>
      <c r="F97" t="s">
        <v>80</v>
      </c>
      <c r="G97" t="s">
        <v>192</v>
      </c>
      <c r="H97">
        <v>2</v>
      </c>
      <c r="I97">
        <v>43.38</v>
      </c>
      <c r="J97">
        <v>30.36</v>
      </c>
      <c r="K97">
        <v>0</v>
      </c>
      <c r="L97">
        <v>13.02</v>
      </c>
      <c r="M97" t="s">
        <v>193</v>
      </c>
      <c r="N97">
        <v>-28.92</v>
      </c>
      <c r="O97">
        <v>430</v>
      </c>
      <c r="P97">
        <v>-8.68</v>
      </c>
      <c r="Q97">
        <v>430</v>
      </c>
    </row>
    <row r="98" spans="1:17">
      <c r="A98" s="155">
        <v>44926</v>
      </c>
      <c r="B98" t="s">
        <v>363</v>
      </c>
      <c r="C98" t="s">
        <v>8</v>
      </c>
      <c r="D98">
        <v>2022</v>
      </c>
      <c r="E98" t="s">
        <v>81</v>
      </c>
      <c r="F98" t="s">
        <v>80</v>
      </c>
      <c r="G98" t="s">
        <v>192</v>
      </c>
      <c r="H98">
        <v>1</v>
      </c>
      <c r="I98">
        <v>28.92</v>
      </c>
      <c r="J98">
        <v>20.239999999999998</v>
      </c>
      <c r="K98">
        <v>0</v>
      </c>
      <c r="L98">
        <v>8.68</v>
      </c>
      <c r="M98" t="s">
        <v>193</v>
      </c>
      <c r="N98">
        <v>-28.92</v>
      </c>
      <c r="O98">
        <v>430</v>
      </c>
      <c r="P98">
        <v>-8.68</v>
      </c>
      <c r="Q98">
        <v>430</v>
      </c>
    </row>
    <row r="99" spans="1:17">
      <c r="A99" s="155">
        <v>44926</v>
      </c>
      <c r="B99" t="s">
        <v>366</v>
      </c>
      <c r="C99" t="s">
        <v>8</v>
      </c>
      <c r="D99">
        <v>2022</v>
      </c>
      <c r="E99" t="s">
        <v>81</v>
      </c>
      <c r="F99" t="s">
        <v>80</v>
      </c>
      <c r="G99" t="s">
        <v>192</v>
      </c>
      <c r="H99">
        <v>4</v>
      </c>
      <c r="I99">
        <v>86.760000000000019</v>
      </c>
      <c r="J99">
        <v>78.08</v>
      </c>
      <c r="K99">
        <v>0</v>
      </c>
      <c r="L99">
        <v>8.68</v>
      </c>
      <c r="M99" t="s">
        <v>193</v>
      </c>
      <c r="N99">
        <v>-28.92</v>
      </c>
      <c r="O99">
        <v>430</v>
      </c>
      <c r="P99">
        <v>-8.68</v>
      </c>
      <c r="Q99">
        <v>430</v>
      </c>
    </row>
    <row r="100" spans="1:17">
      <c r="A100" s="155">
        <v>44926</v>
      </c>
      <c r="B100" t="s">
        <v>364</v>
      </c>
      <c r="C100" t="s">
        <v>8</v>
      </c>
      <c r="D100">
        <v>2022</v>
      </c>
      <c r="E100" t="s">
        <v>81</v>
      </c>
      <c r="F100" t="s">
        <v>80</v>
      </c>
      <c r="G100" t="s">
        <v>192</v>
      </c>
      <c r="H100">
        <v>5</v>
      </c>
      <c r="I100">
        <v>115.68</v>
      </c>
      <c r="J100">
        <v>80.959999999999994</v>
      </c>
      <c r="K100">
        <v>0</v>
      </c>
      <c r="L100">
        <v>34.72</v>
      </c>
      <c r="M100" t="s">
        <v>193</v>
      </c>
      <c r="N100">
        <v>-28.92</v>
      </c>
      <c r="O100">
        <v>430</v>
      </c>
      <c r="P100">
        <v>-8.68</v>
      </c>
      <c r="Q100">
        <v>430</v>
      </c>
    </row>
    <row r="101" spans="1:17">
      <c r="A101" s="155">
        <v>44926</v>
      </c>
      <c r="B101" t="s">
        <v>358</v>
      </c>
      <c r="C101" t="s">
        <v>8</v>
      </c>
      <c r="D101">
        <v>2022</v>
      </c>
      <c r="E101" t="s">
        <v>81</v>
      </c>
      <c r="F101" t="s">
        <v>80</v>
      </c>
      <c r="G101" t="s">
        <v>192</v>
      </c>
      <c r="H101">
        <v>4</v>
      </c>
      <c r="I101">
        <v>86.76</v>
      </c>
      <c r="J101">
        <v>60.72</v>
      </c>
      <c r="K101">
        <v>0</v>
      </c>
      <c r="L101">
        <v>26.04</v>
      </c>
      <c r="M101" t="s">
        <v>193</v>
      </c>
      <c r="N101">
        <v>-28.92</v>
      </c>
      <c r="O101">
        <v>430</v>
      </c>
      <c r="P101">
        <v>-8.68</v>
      </c>
      <c r="Q101">
        <v>430</v>
      </c>
    </row>
    <row r="102" spans="1:17">
      <c r="A102" s="155">
        <v>44926</v>
      </c>
      <c r="B102" t="s">
        <v>346</v>
      </c>
      <c r="C102" t="s">
        <v>8</v>
      </c>
      <c r="D102">
        <v>2022</v>
      </c>
      <c r="E102" t="s">
        <v>82</v>
      </c>
      <c r="F102" t="s">
        <v>80</v>
      </c>
      <c r="G102" t="s">
        <v>192</v>
      </c>
      <c r="H102">
        <v>213</v>
      </c>
      <c r="I102">
        <v>93725.23000000001</v>
      </c>
      <c r="J102">
        <v>24223.73</v>
      </c>
      <c r="K102">
        <v>9220.27</v>
      </c>
      <c r="L102">
        <v>42376.030000000013</v>
      </c>
      <c r="M102" t="s">
        <v>193</v>
      </c>
      <c r="N102">
        <v>-890</v>
      </c>
      <c r="O102">
        <v>1600</v>
      </c>
      <c r="P102">
        <v>-387</v>
      </c>
      <c r="Q102">
        <v>774</v>
      </c>
    </row>
    <row r="103" spans="1:17">
      <c r="A103" s="155">
        <v>44926</v>
      </c>
      <c r="B103" t="s">
        <v>347</v>
      </c>
      <c r="C103" t="s">
        <v>8</v>
      </c>
      <c r="D103">
        <v>2022</v>
      </c>
      <c r="E103" t="s">
        <v>82</v>
      </c>
      <c r="F103" t="s">
        <v>80</v>
      </c>
      <c r="G103" t="s">
        <v>192</v>
      </c>
      <c r="H103">
        <v>121</v>
      </c>
      <c r="I103">
        <v>52541.39</v>
      </c>
      <c r="J103">
        <v>12910.890000000005</v>
      </c>
      <c r="K103">
        <v>7007.4399999999987</v>
      </c>
      <c r="L103">
        <v>13864.239999999993</v>
      </c>
      <c r="M103" t="s">
        <v>193</v>
      </c>
      <c r="N103">
        <v>-890</v>
      </c>
      <c r="O103">
        <v>1600</v>
      </c>
      <c r="P103">
        <v>-387</v>
      </c>
      <c r="Q103">
        <v>774</v>
      </c>
    </row>
    <row r="104" spans="1:17">
      <c r="A104" s="155">
        <v>44926</v>
      </c>
      <c r="B104" t="s">
        <v>359</v>
      </c>
      <c r="C104" t="s">
        <v>8</v>
      </c>
      <c r="D104">
        <v>2022</v>
      </c>
      <c r="E104" t="s">
        <v>82</v>
      </c>
      <c r="F104" t="s">
        <v>80</v>
      </c>
      <c r="G104" t="s">
        <v>192</v>
      </c>
      <c r="H104">
        <v>2</v>
      </c>
      <c r="I104">
        <v>1280</v>
      </c>
      <c r="J104">
        <v>0</v>
      </c>
      <c r="K104">
        <v>0</v>
      </c>
      <c r="L104">
        <v>600</v>
      </c>
      <c r="M104" t="s">
        <v>193</v>
      </c>
      <c r="N104">
        <v>-890</v>
      </c>
      <c r="O104">
        <v>1600</v>
      </c>
      <c r="P104">
        <v>-387</v>
      </c>
      <c r="Q104">
        <v>774</v>
      </c>
    </row>
    <row r="105" spans="1:17">
      <c r="A105" s="155">
        <v>44926</v>
      </c>
      <c r="B105" t="s">
        <v>348</v>
      </c>
      <c r="C105" t="s">
        <v>8</v>
      </c>
      <c r="D105">
        <v>2022</v>
      </c>
      <c r="E105" t="s">
        <v>82</v>
      </c>
      <c r="F105" t="s">
        <v>80</v>
      </c>
      <c r="G105" t="s">
        <v>192</v>
      </c>
      <c r="H105">
        <v>1</v>
      </c>
      <c r="I105">
        <v>430</v>
      </c>
      <c r="J105">
        <v>161.25</v>
      </c>
      <c r="K105">
        <v>0</v>
      </c>
      <c r="L105">
        <v>268.75</v>
      </c>
      <c r="M105" t="s">
        <v>193</v>
      </c>
      <c r="N105">
        <v>-890</v>
      </c>
      <c r="O105">
        <v>1600</v>
      </c>
      <c r="P105">
        <v>-387</v>
      </c>
      <c r="Q105">
        <v>774</v>
      </c>
    </row>
    <row r="106" spans="1:17">
      <c r="A106" s="155">
        <v>44926</v>
      </c>
      <c r="B106" t="s">
        <v>349</v>
      </c>
      <c r="C106" t="s">
        <v>8</v>
      </c>
      <c r="D106">
        <v>2022</v>
      </c>
      <c r="E106" t="s">
        <v>82</v>
      </c>
      <c r="F106" t="s">
        <v>80</v>
      </c>
      <c r="G106" t="s">
        <v>192</v>
      </c>
      <c r="H106">
        <v>74</v>
      </c>
      <c r="I106">
        <v>35073.599999999999</v>
      </c>
      <c r="J106">
        <v>7348.7400000000007</v>
      </c>
      <c r="K106">
        <v>2535</v>
      </c>
      <c r="L106">
        <v>20980.160000000003</v>
      </c>
      <c r="M106" t="s">
        <v>193</v>
      </c>
      <c r="N106">
        <v>-890</v>
      </c>
      <c r="O106">
        <v>1600</v>
      </c>
      <c r="P106">
        <v>-387</v>
      </c>
      <c r="Q106">
        <v>774</v>
      </c>
    </row>
    <row r="107" spans="1:17">
      <c r="A107" s="155">
        <v>44926</v>
      </c>
      <c r="B107" t="s">
        <v>350</v>
      </c>
      <c r="C107" t="s">
        <v>8</v>
      </c>
      <c r="D107">
        <v>2022</v>
      </c>
      <c r="E107" t="s">
        <v>82</v>
      </c>
      <c r="F107" t="s">
        <v>80</v>
      </c>
      <c r="G107" t="s">
        <v>192</v>
      </c>
      <c r="H107">
        <v>52</v>
      </c>
      <c r="I107">
        <v>34497.5</v>
      </c>
      <c r="J107">
        <v>7337.9800000000014</v>
      </c>
      <c r="K107">
        <v>0</v>
      </c>
      <c r="L107">
        <v>25473.27</v>
      </c>
      <c r="M107" t="s">
        <v>193</v>
      </c>
      <c r="N107">
        <v>-890</v>
      </c>
      <c r="O107">
        <v>1600</v>
      </c>
      <c r="P107">
        <v>-387</v>
      </c>
      <c r="Q107">
        <v>774</v>
      </c>
    </row>
    <row r="108" spans="1:17">
      <c r="A108" s="155">
        <v>44926</v>
      </c>
      <c r="B108" t="s">
        <v>351</v>
      </c>
      <c r="C108" t="s">
        <v>8</v>
      </c>
      <c r="D108">
        <v>2022</v>
      </c>
      <c r="E108" t="s">
        <v>82</v>
      </c>
      <c r="F108" t="s">
        <v>80</v>
      </c>
      <c r="G108" t="s">
        <v>192</v>
      </c>
      <c r="H108">
        <v>4</v>
      </c>
      <c r="I108">
        <v>0</v>
      </c>
      <c r="J108">
        <v>0</v>
      </c>
      <c r="K108">
        <v>0</v>
      </c>
      <c r="L108">
        <v>0</v>
      </c>
      <c r="M108" t="s">
        <v>193</v>
      </c>
      <c r="N108">
        <v>-890</v>
      </c>
      <c r="O108">
        <v>1600</v>
      </c>
      <c r="P108">
        <v>-387</v>
      </c>
      <c r="Q108">
        <v>774</v>
      </c>
    </row>
    <row r="109" spans="1:17">
      <c r="A109" s="155">
        <v>44926</v>
      </c>
      <c r="B109" t="s">
        <v>360</v>
      </c>
      <c r="C109" t="s">
        <v>8</v>
      </c>
      <c r="D109">
        <v>2022</v>
      </c>
      <c r="E109" t="s">
        <v>82</v>
      </c>
      <c r="F109" t="s">
        <v>80</v>
      </c>
      <c r="G109" t="s">
        <v>192</v>
      </c>
      <c r="H109">
        <v>1</v>
      </c>
      <c r="I109">
        <v>100</v>
      </c>
      <c r="J109">
        <v>30.1</v>
      </c>
      <c r="K109">
        <v>0</v>
      </c>
      <c r="L109">
        <v>69.900000000000006</v>
      </c>
      <c r="M109" t="s">
        <v>193</v>
      </c>
      <c r="N109">
        <v>-890</v>
      </c>
      <c r="O109">
        <v>1600</v>
      </c>
      <c r="P109">
        <v>-387</v>
      </c>
      <c r="Q109">
        <v>774</v>
      </c>
    </row>
    <row r="110" spans="1:17">
      <c r="A110" s="155">
        <v>44926</v>
      </c>
      <c r="B110" t="s">
        <v>361</v>
      </c>
      <c r="C110" t="s">
        <v>8</v>
      </c>
      <c r="D110">
        <v>2022</v>
      </c>
      <c r="E110" t="s">
        <v>82</v>
      </c>
      <c r="F110" t="s">
        <v>80</v>
      </c>
      <c r="G110" t="s">
        <v>192</v>
      </c>
      <c r="H110">
        <v>10</v>
      </c>
      <c r="I110">
        <v>2832.5</v>
      </c>
      <c r="J110">
        <v>796.58999999999992</v>
      </c>
      <c r="K110">
        <v>0</v>
      </c>
      <c r="L110">
        <v>2035.91</v>
      </c>
      <c r="M110" t="s">
        <v>193</v>
      </c>
      <c r="N110">
        <v>-890</v>
      </c>
      <c r="O110">
        <v>1600</v>
      </c>
      <c r="P110">
        <v>-387</v>
      </c>
      <c r="Q110">
        <v>774</v>
      </c>
    </row>
    <row r="111" spans="1:17">
      <c r="A111" s="155">
        <v>44926</v>
      </c>
      <c r="B111" t="s">
        <v>352</v>
      </c>
      <c r="C111" t="s">
        <v>8</v>
      </c>
      <c r="D111">
        <v>2022</v>
      </c>
      <c r="E111" t="s">
        <v>82</v>
      </c>
      <c r="F111" t="s">
        <v>80</v>
      </c>
      <c r="G111" t="s">
        <v>192</v>
      </c>
      <c r="H111">
        <v>213</v>
      </c>
      <c r="I111">
        <v>93725.23000000001</v>
      </c>
      <c r="J111">
        <v>24223.729999999992</v>
      </c>
      <c r="K111">
        <v>9220.27</v>
      </c>
      <c r="L111">
        <v>42376.030000000013</v>
      </c>
      <c r="M111" t="s">
        <v>193</v>
      </c>
      <c r="N111">
        <v>-890</v>
      </c>
      <c r="O111">
        <v>1600</v>
      </c>
      <c r="P111">
        <v>-387</v>
      </c>
      <c r="Q111">
        <v>774</v>
      </c>
    </row>
    <row r="112" spans="1:17">
      <c r="A112" s="155">
        <v>44926</v>
      </c>
      <c r="B112" t="s">
        <v>353</v>
      </c>
      <c r="C112" t="s">
        <v>8</v>
      </c>
      <c r="D112">
        <v>2022</v>
      </c>
      <c r="E112" t="s">
        <v>82</v>
      </c>
      <c r="F112" t="s">
        <v>80</v>
      </c>
      <c r="G112" t="s">
        <v>192</v>
      </c>
      <c r="H112">
        <v>121</v>
      </c>
      <c r="I112">
        <v>52541.39</v>
      </c>
      <c r="J112">
        <v>12910.890000000003</v>
      </c>
      <c r="K112">
        <v>7007.4399999999978</v>
      </c>
      <c r="L112">
        <v>13864.239999999994</v>
      </c>
      <c r="M112" t="s">
        <v>193</v>
      </c>
      <c r="N112">
        <v>-890</v>
      </c>
      <c r="O112">
        <v>1600</v>
      </c>
      <c r="P112">
        <v>-387</v>
      </c>
      <c r="Q112">
        <v>774</v>
      </c>
    </row>
    <row r="113" spans="1:17">
      <c r="A113" s="155">
        <v>44926</v>
      </c>
      <c r="B113" t="s">
        <v>362</v>
      </c>
      <c r="C113" t="s">
        <v>8</v>
      </c>
      <c r="D113">
        <v>2022</v>
      </c>
      <c r="E113" t="s">
        <v>82</v>
      </c>
      <c r="F113" t="s">
        <v>80</v>
      </c>
      <c r="G113" t="s">
        <v>192</v>
      </c>
      <c r="H113">
        <v>2</v>
      </c>
      <c r="I113">
        <v>1280</v>
      </c>
      <c r="J113">
        <v>0</v>
      </c>
      <c r="K113">
        <v>0</v>
      </c>
      <c r="L113">
        <v>600</v>
      </c>
      <c r="M113" t="s">
        <v>193</v>
      </c>
      <c r="N113">
        <v>-890</v>
      </c>
      <c r="O113">
        <v>1600</v>
      </c>
      <c r="P113">
        <v>-387</v>
      </c>
      <c r="Q113">
        <v>774</v>
      </c>
    </row>
    <row r="114" spans="1:17">
      <c r="A114" s="155">
        <v>44926</v>
      </c>
      <c r="B114" t="s">
        <v>354</v>
      </c>
      <c r="C114" t="s">
        <v>8</v>
      </c>
      <c r="D114">
        <v>2022</v>
      </c>
      <c r="E114" t="s">
        <v>82</v>
      </c>
      <c r="F114" t="s">
        <v>80</v>
      </c>
      <c r="G114" t="s">
        <v>192</v>
      </c>
      <c r="H114">
        <v>1</v>
      </c>
      <c r="I114">
        <v>430</v>
      </c>
      <c r="J114">
        <v>161.25</v>
      </c>
      <c r="K114">
        <v>0</v>
      </c>
      <c r="L114">
        <v>268.75</v>
      </c>
      <c r="M114" t="s">
        <v>193</v>
      </c>
      <c r="N114">
        <v>-890</v>
      </c>
      <c r="O114">
        <v>1600</v>
      </c>
      <c r="P114">
        <v>-387</v>
      </c>
      <c r="Q114">
        <v>774</v>
      </c>
    </row>
    <row r="115" spans="1:17">
      <c r="A115" s="155">
        <v>44926</v>
      </c>
      <c r="B115" t="s">
        <v>355</v>
      </c>
      <c r="C115" t="s">
        <v>8</v>
      </c>
      <c r="D115">
        <v>2022</v>
      </c>
      <c r="E115" t="s">
        <v>82</v>
      </c>
      <c r="F115" t="s">
        <v>80</v>
      </c>
      <c r="G115" t="s">
        <v>192</v>
      </c>
      <c r="H115">
        <v>74</v>
      </c>
      <c r="I115">
        <v>35073.599999999999</v>
      </c>
      <c r="J115">
        <v>7348.7400000000007</v>
      </c>
      <c r="K115">
        <v>2535</v>
      </c>
      <c r="L115">
        <v>20980.16</v>
      </c>
      <c r="M115" t="s">
        <v>193</v>
      </c>
      <c r="N115">
        <v>-890</v>
      </c>
      <c r="O115">
        <v>1600</v>
      </c>
      <c r="P115">
        <v>-387</v>
      </c>
      <c r="Q115">
        <v>774</v>
      </c>
    </row>
    <row r="116" spans="1:17">
      <c r="A116" s="155">
        <v>44926</v>
      </c>
      <c r="B116" t="s">
        <v>356</v>
      </c>
      <c r="C116" t="s">
        <v>8</v>
      </c>
      <c r="D116">
        <v>2022</v>
      </c>
      <c r="E116" t="s">
        <v>82</v>
      </c>
      <c r="F116" t="s">
        <v>80</v>
      </c>
      <c r="G116" t="s">
        <v>192</v>
      </c>
      <c r="H116">
        <v>52</v>
      </c>
      <c r="I116">
        <v>34497.5</v>
      </c>
      <c r="J116">
        <v>7337.98</v>
      </c>
      <c r="K116">
        <v>0</v>
      </c>
      <c r="L116">
        <v>25473.27</v>
      </c>
      <c r="M116" t="s">
        <v>193</v>
      </c>
      <c r="N116">
        <v>-890</v>
      </c>
      <c r="O116">
        <v>1600</v>
      </c>
      <c r="P116">
        <v>-387</v>
      </c>
      <c r="Q116">
        <v>774</v>
      </c>
    </row>
    <row r="117" spans="1:17">
      <c r="A117" s="155">
        <v>44926</v>
      </c>
      <c r="B117" t="s">
        <v>357</v>
      </c>
      <c r="C117" t="s">
        <v>8</v>
      </c>
      <c r="D117">
        <v>2022</v>
      </c>
      <c r="E117" t="s">
        <v>82</v>
      </c>
      <c r="F117" t="s">
        <v>80</v>
      </c>
      <c r="G117" t="s">
        <v>192</v>
      </c>
      <c r="H117">
        <v>4</v>
      </c>
      <c r="I117">
        <v>0</v>
      </c>
      <c r="J117">
        <v>0</v>
      </c>
      <c r="K117">
        <v>0</v>
      </c>
      <c r="L117">
        <v>0</v>
      </c>
      <c r="M117" t="s">
        <v>193</v>
      </c>
      <c r="N117">
        <v>-890</v>
      </c>
      <c r="O117">
        <v>1600</v>
      </c>
      <c r="P117">
        <v>-387</v>
      </c>
      <c r="Q117">
        <v>774</v>
      </c>
    </row>
    <row r="118" spans="1:17">
      <c r="A118" s="155">
        <v>44926</v>
      </c>
      <c r="B118" t="s">
        <v>363</v>
      </c>
      <c r="C118" t="s">
        <v>8</v>
      </c>
      <c r="D118">
        <v>2022</v>
      </c>
      <c r="E118" t="s">
        <v>82</v>
      </c>
      <c r="F118" t="s">
        <v>80</v>
      </c>
      <c r="G118" t="s">
        <v>192</v>
      </c>
      <c r="H118">
        <v>1</v>
      </c>
      <c r="I118">
        <v>100</v>
      </c>
      <c r="J118">
        <v>30.1</v>
      </c>
      <c r="K118">
        <v>0</v>
      </c>
      <c r="L118">
        <v>69.900000000000006</v>
      </c>
      <c r="M118" t="s">
        <v>193</v>
      </c>
      <c r="N118">
        <v>-890</v>
      </c>
      <c r="O118">
        <v>1600</v>
      </c>
      <c r="P118">
        <v>-387</v>
      </c>
      <c r="Q118">
        <v>774</v>
      </c>
    </row>
    <row r="119" spans="1:17">
      <c r="A119" s="155">
        <v>44926</v>
      </c>
      <c r="B119" t="s">
        <v>364</v>
      </c>
      <c r="C119" t="s">
        <v>8</v>
      </c>
      <c r="D119">
        <v>2022</v>
      </c>
      <c r="E119" t="s">
        <v>82</v>
      </c>
      <c r="F119" t="s">
        <v>80</v>
      </c>
      <c r="G119" t="s">
        <v>192</v>
      </c>
      <c r="H119">
        <v>10</v>
      </c>
      <c r="I119">
        <v>2832.5</v>
      </c>
      <c r="J119">
        <v>796.58999999999992</v>
      </c>
      <c r="K119">
        <v>0</v>
      </c>
      <c r="L119">
        <v>2035.91</v>
      </c>
      <c r="M119" t="s">
        <v>193</v>
      </c>
      <c r="N119">
        <v>-890</v>
      </c>
      <c r="O119">
        <v>1600</v>
      </c>
      <c r="P119">
        <v>-387</v>
      </c>
      <c r="Q119">
        <v>774</v>
      </c>
    </row>
    <row r="120" spans="1:17">
      <c r="A120" s="155">
        <v>44926</v>
      </c>
      <c r="B120" t="s">
        <v>346</v>
      </c>
      <c r="C120" t="s">
        <v>8</v>
      </c>
      <c r="D120">
        <v>2022</v>
      </c>
      <c r="E120" t="s">
        <v>83</v>
      </c>
      <c r="F120" t="s">
        <v>80</v>
      </c>
      <c r="G120" t="s">
        <v>192</v>
      </c>
      <c r="H120">
        <v>95</v>
      </c>
      <c r="I120">
        <v>12845.339999999997</v>
      </c>
      <c r="J120">
        <v>769.8599999999999</v>
      </c>
      <c r="K120">
        <v>800</v>
      </c>
      <c r="L120">
        <v>3713.6599999999989</v>
      </c>
      <c r="M120" t="s">
        <v>193</v>
      </c>
      <c r="N120">
        <v>-800</v>
      </c>
      <c r="O120">
        <v>1000</v>
      </c>
      <c r="P120">
        <v>-110</v>
      </c>
      <c r="Q120">
        <v>540</v>
      </c>
    </row>
    <row r="121" spans="1:17">
      <c r="A121" s="155">
        <v>44926</v>
      </c>
      <c r="B121" t="s">
        <v>347</v>
      </c>
      <c r="C121" t="s">
        <v>8</v>
      </c>
      <c r="D121">
        <v>2022</v>
      </c>
      <c r="E121" t="s">
        <v>83</v>
      </c>
      <c r="F121" t="s">
        <v>80</v>
      </c>
      <c r="G121" t="s">
        <v>192</v>
      </c>
      <c r="H121">
        <v>44</v>
      </c>
      <c r="I121">
        <v>3728.7000000000003</v>
      </c>
      <c r="J121">
        <v>613.97</v>
      </c>
      <c r="K121">
        <v>0</v>
      </c>
      <c r="L121">
        <v>1342.75</v>
      </c>
      <c r="M121" t="s">
        <v>193</v>
      </c>
      <c r="N121">
        <v>-800</v>
      </c>
      <c r="O121">
        <v>1000</v>
      </c>
      <c r="P121">
        <v>-110</v>
      </c>
      <c r="Q121">
        <v>540</v>
      </c>
    </row>
    <row r="122" spans="1:17">
      <c r="A122" s="155">
        <v>44926</v>
      </c>
      <c r="B122" t="s">
        <v>349</v>
      </c>
      <c r="C122" t="s">
        <v>8</v>
      </c>
      <c r="D122">
        <v>2022</v>
      </c>
      <c r="E122" t="s">
        <v>83</v>
      </c>
      <c r="F122" t="s">
        <v>80</v>
      </c>
      <c r="G122" t="s">
        <v>192</v>
      </c>
      <c r="H122">
        <v>47</v>
      </c>
      <c r="I122">
        <v>6290.7999999999993</v>
      </c>
      <c r="J122">
        <v>252</v>
      </c>
      <c r="K122">
        <v>0</v>
      </c>
      <c r="L122">
        <v>3579.3999999999996</v>
      </c>
      <c r="M122" t="s">
        <v>193</v>
      </c>
      <c r="N122">
        <v>-800</v>
      </c>
      <c r="O122">
        <v>1000</v>
      </c>
      <c r="P122">
        <v>-110</v>
      </c>
      <c r="Q122">
        <v>540</v>
      </c>
    </row>
    <row r="123" spans="1:17">
      <c r="A123" s="155">
        <v>44926</v>
      </c>
      <c r="B123" t="s">
        <v>350</v>
      </c>
      <c r="C123" t="s">
        <v>8</v>
      </c>
      <c r="D123">
        <v>2022</v>
      </c>
      <c r="E123" t="s">
        <v>83</v>
      </c>
      <c r="F123" t="s">
        <v>80</v>
      </c>
      <c r="G123" t="s">
        <v>192</v>
      </c>
      <c r="H123">
        <v>36</v>
      </c>
      <c r="I123">
        <v>7540.7799999999988</v>
      </c>
      <c r="J123">
        <v>140</v>
      </c>
      <c r="K123">
        <v>0</v>
      </c>
      <c r="L123">
        <v>6026.619999999999</v>
      </c>
      <c r="M123" t="s">
        <v>193</v>
      </c>
      <c r="N123">
        <v>-800</v>
      </c>
      <c r="O123">
        <v>1000</v>
      </c>
      <c r="P123">
        <v>-110</v>
      </c>
      <c r="Q123">
        <v>540</v>
      </c>
    </row>
    <row r="124" spans="1:17">
      <c r="A124" s="155">
        <v>44926</v>
      </c>
      <c r="B124" t="s">
        <v>352</v>
      </c>
      <c r="C124" t="s">
        <v>8</v>
      </c>
      <c r="D124">
        <v>2022</v>
      </c>
      <c r="E124" t="s">
        <v>83</v>
      </c>
      <c r="F124" t="s">
        <v>80</v>
      </c>
      <c r="G124" t="s">
        <v>192</v>
      </c>
      <c r="H124">
        <v>95</v>
      </c>
      <c r="I124">
        <v>12845.339999999998</v>
      </c>
      <c r="J124">
        <v>769.8599999999999</v>
      </c>
      <c r="K124">
        <v>800</v>
      </c>
      <c r="L124">
        <v>3713.6599999999994</v>
      </c>
      <c r="M124" t="s">
        <v>193</v>
      </c>
      <c r="N124">
        <v>-800</v>
      </c>
      <c r="O124">
        <v>1000</v>
      </c>
      <c r="P124">
        <v>-110</v>
      </c>
      <c r="Q124">
        <v>540</v>
      </c>
    </row>
    <row r="125" spans="1:17">
      <c r="A125" s="155">
        <v>44926</v>
      </c>
      <c r="B125" t="s">
        <v>353</v>
      </c>
      <c r="C125" t="s">
        <v>8</v>
      </c>
      <c r="D125">
        <v>2022</v>
      </c>
      <c r="E125" t="s">
        <v>83</v>
      </c>
      <c r="F125" t="s">
        <v>80</v>
      </c>
      <c r="G125" t="s">
        <v>192</v>
      </c>
      <c r="H125">
        <v>44</v>
      </c>
      <c r="I125">
        <v>3728.7000000000012</v>
      </c>
      <c r="J125">
        <v>613.96999999999991</v>
      </c>
      <c r="K125">
        <v>0</v>
      </c>
      <c r="L125">
        <v>1342.7499999999995</v>
      </c>
      <c r="M125" t="s">
        <v>193</v>
      </c>
      <c r="N125">
        <v>-800</v>
      </c>
      <c r="O125">
        <v>1000</v>
      </c>
      <c r="P125">
        <v>-110</v>
      </c>
      <c r="Q125">
        <v>540</v>
      </c>
    </row>
    <row r="126" spans="1:17">
      <c r="A126" s="155">
        <v>44926</v>
      </c>
      <c r="B126" t="s">
        <v>355</v>
      </c>
      <c r="C126" t="s">
        <v>8</v>
      </c>
      <c r="D126">
        <v>2022</v>
      </c>
      <c r="E126" t="s">
        <v>83</v>
      </c>
      <c r="F126" t="s">
        <v>80</v>
      </c>
      <c r="G126" t="s">
        <v>192</v>
      </c>
      <c r="H126">
        <v>47</v>
      </c>
      <c r="I126">
        <v>6290.7999999999993</v>
      </c>
      <c r="J126">
        <v>252</v>
      </c>
      <c r="K126">
        <v>0</v>
      </c>
      <c r="L126">
        <v>3579.3999999999996</v>
      </c>
      <c r="M126" t="s">
        <v>193</v>
      </c>
      <c r="N126">
        <v>-800</v>
      </c>
      <c r="O126">
        <v>1000</v>
      </c>
      <c r="P126">
        <v>-110</v>
      </c>
      <c r="Q126">
        <v>540</v>
      </c>
    </row>
    <row r="127" spans="1:17">
      <c r="A127" s="155">
        <v>44926</v>
      </c>
      <c r="B127" t="s">
        <v>356</v>
      </c>
      <c r="C127" t="s">
        <v>8</v>
      </c>
      <c r="D127">
        <v>2022</v>
      </c>
      <c r="E127" t="s">
        <v>83</v>
      </c>
      <c r="F127" t="s">
        <v>80</v>
      </c>
      <c r="G127" t="s">
        <v>192</v>
      </c>
      <c r="H127">
        <v>36</v>
      </c>
      <c r="I127">
        <v>7540.7799999999988</v>
      </c>
      <c r="J127">
        <v>140</v>
      </c>
      <c r="K127">
        <v>0</v>
      </c>
      <c r="L127">
        <v>6026.619999999999</v>
      </c>
      <c r="M127" t="s">
        <v>193</v>
      </c>
      <c r="N127">
        <v>-800</v>
      </c>
      <c r="O127">
        <v>1000</v>
      </c>
      <c r="P127">
        <v>-110</v>
      </c>
      <c r="Q127">
        <v>540</v>
      </c>
    </row>
    <row r="128" spans="1:17">
      <c r="A128" s="155">
        <v>44926</v>
      </c>
      <c r="B128" t="s">
        <v>346</v>
      </c>
      <c r="C128" t="s">
        <v>8</v>
      </c>
      <c r="D128">
        <v>2022</v>
      </c>
      <c r="E128" t="s">
        <v>84</v>
      </c>
      <c r="F128" t="s">
        <v>80</v>
      </c>
      <c r="G128" t="s">
        <v>192</v>
      </c>
      <c r="H128">
        <v>245</v>
      </c>
      <c r="I128">
        <v>66874.5</v>
      </c>
      <c r="J128">
        <v>12822.109999999999</v>
      </c>
      <c r="K128">
        <v>2607</v>
      </c>
      <c r="L128">
        <v>43857.389999999992</v>
      </c>
      <c r="M128" t="s">
        <v>193</v>
      </c>
      <c r="N128">
        <v>-980</v>
      </c>
      <c r="O128">
        <v>9000</v>
      </c>
      <c r="P128">
        <v>-980</v>
      </c>
      <c r="Q128">
        <v>2044.15</v>
      </c>
    </row>
    <row r="129" spans="1:17">
      <c r="A129" s="155">
        <v>44926</v>
      </c>
      <c r="B129" t="s">
        <v>347</v>
      </c>
      <c r="C129" t="s">
        <v>8</v>
      </c>
      <c r="D129">
        <v>2022</v>
      </c>
      <c r="E129" t="s">
        <v>84</v>
      </c>
      <c r="F129" t="s">
        <v>80</v>
      </c>
      <c r="G129" t="s">
        <v>192</v>
      </c>
      <c r="H129">
        <v>174</v>
      </c>
      <c r="I129">
        <v>37225.78</v>
      </c>
      <c r="J129">
        <v>8215.2000000000025</v>
      </c>
      <c r="K129">
        <v>850.5</v>
      </c>
      <c r="L129">
        <v>24028.880000000012</v>
      </c>
      <c r="M129" t="s">
        <v>193</v>
      </c>
      <c r="N129">
        <v>-980</v>
      </c>
      <c r="O129">
        <v>9000</v>
      </c>
      <c r="P129">
        <v>-980</v>
      </c>
      <c r="Q129">
        <v>2044.15</v>
      </c>
    </row>
    <row r="130" spans="1:17">
      <c r="A130" s="155">
        <v>44926</v>
      </c>
      <c r="B130" t="s">
        <v>359</v>
      </c>
      <c r="C130" t="s">
        <v>8</v>
      </c>
      <c r="D130">
        <v>2022</v>
      </c>
      <c r="E130" t="s">
        <v>84</v>
      </c>
      <c r="F130" t="s">
        <v>80</v>
      </c>
      <c r="G130" t="s">
        <v>192</v>
      </c>
      <c r="H130">
        <v>399</v>
      </c>
      <c r="I130">
        <v>62257.089999999931</v>
      </c>
      <c r="J130">
        <v>12456.620000000015</v>
      </c>
      <c r="K130">
        <v>0</v>
      </c>
      <c r="L130">
        <v>36402.880000000034</v>
      </c>
      <c r="M130" t="s">
        <v>193</v>
      </c>
      <c r="N130">
        <v>-980</v>
      </c>
      <c r="O130">
        <v>9000</v>
      </c>
      <c r="P130">
        <v>-980</v>
      </c>
      <c r="Q130">
        <v>2044.15</v>
      </c>
    </row>
    <row r="131" spans="1:17">
      <c r="A131" s="155">
        <v>44926</v>
      </c>
      <c r="B131" t="s">
        <v>367</v>
      </c>
      <c r="C131" t="s">
        <v>8</v>
      </c>
      <c r="D131">
        <v>2022</v>
      </c>
      <c r="E131" t="s">
        <v>84</v>
      </c>
      <c r="F131" t="s">
        <v>80</v>
      </c>
      <c r="G131" t="s">
        <v>192</v>
      </c>
      <c r="H131">
        <v>16</v>
      </c>
      <c r="I131">
        <v>1407.5100000000002</v>
      </c>
      <c r="J131">
        <v>292.26</v>
      </c>
      <c r="K131">
        <v>0</v>
      </c>
      <c r="L131">
        <v>1085.2499999999998</v>
      </c>
      <c r="M131" t="s">
        <v>193</v>
      </c>
      <c r="N131">
        <v>-980</v>
      </c>
      <c r="O131">
        <v>9000</v>
      </c>
      <c r="P131">
        <v>-980</v>
      </c>
      <c r="Q131">
        <v>2044.15</v>
      </c>
    </row>
    <row r="132" spans="1:17">
      <c r="A132" s="155">
        <v>44926</v>
      </c>
      <c r="B132" t="s">
        <v>348</v>
      </c>
      <c r="C132" t="s">
        <v>8</v>
      </c>
      <c r="D132">
        <v>2022</v>
      </c>
      <c r="E132" t="s">
        <v>84</v>
      </c>
      <c r="F132" t="s">
        <v>80</v>
      </c>
      <c r="G132" t="s">
        <v>192</v>
      </c>
      <c r="H132">
        <v>48</v>
      </c>
      <c r="I132">
        <v>5807.6100000000006</v>
      </c>
      <c r="J132">
        <v>1188.2899999999997</v>
      </c>
      <c r="K132">
        <v>0</v>
      </c>
      <c r="L132">
        <v>3117.0700000000006</v>
      </c>
      <c r="M132" t="s">
        <v>193</v>
      </c>
      <c r="N132">
        <v>-980</v>
      </c>
      <c r="O132">
        <v>9000</v>
      </c>
      <c r="P132">
        <v>-980</v>
      </c>
      <c r="Q132">
        <v>2044.15</v>
      </c>
    </row>
    <row r="133" spans="1:17">
      <c r="A133" s="155">
        <v>44926</v>
      </c>
      <c r="B133" t="s">
        <v>349</v>
      </c>
      <c r="C133" t="s">
        <v>8</v>
      </c>
      <c r="D133">
        <v>2022</v>
      </c>
      <c r="E133" t="s">
        <v>84</v>
      </c>
      <c r="F133" t="s">
        <v>80</v>
      </c>
      <c r="G133" t="s">
        <v>192</v>
      </c>
      <c r="H133">
        <v>90</v>
      </c>
      <c r="I133">
        <v>22869.27</v>
      </c>
      <c r="J133">
        <v>4923.6500000000015</v>
      </c>
      <c r="K133">
        <v>0</v>
      </c>
      <c r="L133">
        <v>17124.620000000003</v>
      </c>
      <c r="M133" t="s">
        <v>193</v>
      </c>
      <c r="N133">
        <v>-980</v>
      </c>
      <c r="O133">
        <v>9000</v>
      </c>
      <c r="P133">
        <v>-980</v>
      </c>
      <c r="Q133">
        <v>2044.15</v>
      </c>
    </row>
    <row r="134" spans="1:17">
      <c r="A134" s="155">
        <v>44926</v>
      </c>
      <c r="B134" t="s">
        <v>350</v>
      </c>
      <c r="C134" t="s">
        <v>8</v>
      </c>
      <c r="D134">
        <v>2022</v>
      </c>
      <c r="E134" t="s">
        <v>84</v>
      </c>
      <c r="F134" t="s">
        <v>80</v>
      </c>
      <c r="G134" t="s">
        <v>192</v>
      </c>
      <c r="H134">
        <v>76</v>
      </c>
      <c r="I134">
        <v>30052.400000000001</v>
      </c>
      <c r="J134">
        <v>5085.41</v>
      </c>
      <c r="K134">
        <v>225</v>
      </c>
      <c r="L134">
        <v>23985.489999999998</v>
      </c>
      <c r="M134" t="s">
        <v>193</v>
      </c>
      <c r="N134">
        <v>-980</v>
      </c>
      <c r="O134">
        <v>9000</v>
      </c>
      <c r="P134">
        <v>-980</v>
      </c>
      <c r="Q134">
        <v>2044.15</v>
      </c>
    </row>
    <row r="135" spans="1:17">
      <c r="A135" s="155">
        <v>44926</v>
      </c>
      <c r="B135" t="s">
        <v>351</v>
      </c>
      <c r="C135" t="s">
        <v>8</v>
      </c>
      <c r="D135">
        <v>2022</v>
      </c>
      <c r="E135" t="s">
        <v>84</v>
      </c>
      <c r="F135" t="s">
        <v>80</v>
      </c>
      <c r="G135" t="s">
        <v>192</v>
      </c>
      <c r="H135">
        <v>564</v>
      </c>
      <c r="I135">
        <v>59679.609999999833</v>
      </c>
      <c r="J135">
        <v>18169.450000000044</v>
      </c>
      <c r="K135">
        <v>0</v>
      </c>
      <c r="L135">
        <v>20379.220000000048</v>
      </c>
      <c r="M135" t="s">
        <v>193</v>
      </c>
      <c r="N135">
        <v>-980</v>
      </c>
      <c r="O135">
        <v>9000</v>
      </c>
      <c r="P135">
        <v>-980</v>
      </c>
      <c r="Q135">
        <v>2044.15</v>
      </c>
    </row>
    <row r="136" spans="1:17">
      <c r="A136" s="155">
        <v>44926</v>
      </c>
      <c r="B136" t="s">
        <v>368</v>
      </c>
      <c r="C136" t="s">
        <v>8</v>
      </c>
      <c r="D136">
        <v>2022</v>
      </c>
      <c r="E136" t="s">
        <v>84</v>
      </c>
      <c r="F136" t="s">
        <v>80</v>
      </c>
      <c r="G136" t="s">
        <v>192</v>
      </c>
      <c r="H136">
        <v>20</v>
      </c>
      <c r="I136">
        <v>1541.5700000000002</v>
      </c>
      <c r="J136">
        <v>555.77</v>
      </c>
      <c r="K136">
        <v>0</v>
      </c>
      <c r="L136">
        <v>985.8</v>
      </c>
      <c r="M136" t="s">
        <v>193</v>
      </c>
      <c r="N136">
        <v>-980</v>
      </c>
      <c r="O136">
        <v>9000</v>
      </c>
      <c r="P136">
        <v>-980</v>
      </c>
      <c r="Q136">
        <v>2044.15</v>
      </c>
    </row>
    <row r="137" spans="1:17">
      <c r="A137" s="155">
        <v>44926</v>
      </c>
      <c r="B137" t="s">
        <v>369</v>
      </c>
      <c r="C137" t="s">
        <v>8</v>
      </c>
      <c r="D137">
        <v>2022</v>
      </c>
      <c r="E137" t="s">
        <v>84</v>
      </c>
      <c r="F137" t="s">
        <v>80</v>
      </c>
      <c r="G137" t="s">
        <v>192</v>
      </c>
      <c r="H137">
        <v>553</v>
      </c>
      <c r="I137">
        <v>54013.899999999841</v>
      </c>
      <c r="J137">
        <v>15310.800000000016</v>
      </c>
      <c r="K137">
        <v>112.5</v>
      </c>
      <c r="L137">
        <v>22976.07000000004</v>
      </c>
      <c r="M137" t="s">
        <v>193</v>
      </c>
      <c r="N137">
        <v>-980</v>
      </c>
      <c r="O137">
        <v>9000</v>
      </c>
      <c r="P137">
        <v>-980</v>
      </c>
      <c r="Q137">
        <v>2044.15</v>
      </c>
    </row>
    <row r="138" spans="1:17">
      <c r="A138" s="155">
        <v>44926</v>
      </c>
      <c r="B138" t="s">
        <v>370</v>
      </c>
      <c r="C138" t="s">
        <v>8</v>
      </c>
      <c r="D138">
        <v>2022</v>
      </c>
      <c r="E138" t="s">
        <v>84</v>
      </c>
      <c r="F138" t="s">
        <v>80</v>
      </c>
      <c r="G138" t="s">
        <v>192</v>
      </c>
      <c r="H138">
        <v>2</v>
      </c>
      <c r="I138">
        <v>43.38</v>
      </c>
      <c r="J138">
        <v>39.04</v>
      </c>
      <c r="K138">
        <v>0</v>
      </c>
      <c r="L138">
        <v>4.34</v>
      </c>
      <c r="M138" t="s">
        <v>193</v>
      </c>
      <c r="N138">
        <v>-980</v>
      </c>
      <c r="O138">
        <v>9000</v>
      </c>
      <c r="P138">
        <v>-980</v>
      </c>
      <c r="Q138">
        <v>2044.15</v>
      </c>
    </row>
    <row r="139" spans="1:17">
      <c r="A139" s="155">
        <v>44926</v>
      </c>
      <c r="B139" t="s">
        <v>360</v>
      </c>
      <c r="C139" t="s">
        <v>8</v>
      </c>
      <c r="D139">
        <v>2022</v>
      </c>
      <c r="E139" t="s">
        <v>84</v>
      </c>
      <c r="F139" t="s">
        <v>80</v>
      </c>
      <c r="G139" t="s">
        <v>192</v>
      </c>
      <c r="H139">
        <v>626</v>
      </c>
      <c r="I139">
        <v>70961.559999999896</v>
      </c>
      <c r="J139">
        <v>18188.660000000029</v>
      </c>
      <c r="K139">
        <v>0</v>
      </c>
      <c r="L139">
        <v>38396.910000000003</v>
      </c>
      <c r="M139" t="s">
        <v>193</v>
      </c>
      <c r="N139">
        <v>-980</v>
      </c>
      <c r="O139">
        <v>9000</v>
      </c>
      <c r="P139">
        <v>-980</v>
      </c>
      <c r="Q139">
        <v>2044.15</v>
      </c>
    </row>
    <row r="140" spans="1:17">
      <c r="A140" s="155">
        <v>44926</v>
      </c>
      <c r="B140" t="s">
        <v>371</v>
      </c>
      <c r="C140" t="s">
        <v>8</v>
      </c>
      <c r="D140">
        <v>2022</v>
      </c>
      <c r="E140" t="s">
        <v>84</v>
      </c>
      <c r="F140" t="s">
        <v>80</v>
      </c>
      <c r="G140" t="s">
        <v>192</v>
      </c>
      <c r="H140">
        <v>10</v>
      </c>
      <c r="I140">
        <v>232.12000000000003</v>
      </c>
      <c r="J140">
        <v>208.89999999999998</v>
      </c>
      <c r="K140">
        <v>0</v>
      </c>
      <c r="L140">
        <v>23.22</v>
      </c>
      <c r="M140" t="s">
        <v>193</v>
      </c>
      <c r="N140">
        <v>-980</v>
      </c>
      <c r="O140">
        <v>9000</v>
      </c>
      <c r="P140">
        <v>-980</v>
      </c>
      <c r="Q140">
        <v>2044.15</v>
      </c>
    </row>
    <row r="141" spans="1:17">
      <c r="A141" s="155">
        <v>44926</v>
      </c>
      <c r="B141" t="s">
        <v>361</v>
      </c>
      <c r="C141" t="s">
        <v>8</v>
      </c>
      <c r="D141">
        <v>2022</v>
      </c>
      <c r="E141" t="s">
        <v>84</v>
      </c>
      <c r="F141" t="s">
        <v>80</v>
      </c>
      <c r="G141" t="s">
        <v>192</v>
      </c>
      <c r="H141">
        <v>1345</v>
      </c>
      <c r="I141">
        <v>151268.3900000006</v>
      </c>
      <c r="J141">
        <v>42386.13999999997</v>
      </c>
      <c r="K141">
        <v>0</v>
      </c>
      <c r="L141">
        <v>83847.289999999019</v>
      </c>
      <c r="M141" t="s">
        <v>193</v>
      </c>
      <c r="N141">
        <v>-980</v>
      </c>
      <c r="O141">
        <v>9000</v>
      </c>
      <c r="P141">
        <v>-980</v>
      </c>
      <c r="Q141">
        <v>2044.15</v>
      </c>
    </row>
    <row r="142" spans="1:17">
      <c r="A142" s="155">
        <v>44926</v>
      </c>
      <c r="B142" t="s">
        <v>365</v>
      </c>
      <c r="C142" t="s">
        <v>8</v>
      </c>
      <c r="D142">
        <v>2022</v>
      </c>
      <c r="E142" t="s">
        <v>84</v>
      </c>
      <c r="F142" t="s">
        <v>80</v>
      </c>
      <c r="G142" t="s">
        <v>192</v>
      </c>
      <c r="H142">
        <v>22</v>
      </c>
      <c r="I142">
        <v>547.52</v>
      </c>
      <c r="J142">
        <v>492.74999999999989</v>
      </c>
      <c r="K142">
        <v>0</v>
      </c>
      <c r="L142">
        <v>54.77000000000001</v>
      </c>
      <c r="M142" t="s">
        <v>193</v>
      </c>
      <c r="N142">
        <v>-980</v>
      </c>
      <c r="O142">
        <v>9000</v>
      </c>
      <c r="P142">
        <v>-980</v>
      </c>
      <c r="Q142">
        <v>2044.15</v>
      </c>
    </row>
    <row r="143" spans="1:17">
      <c r="A143" s="155">
        <v>44926</v>
      </c>
      <c r="B143" t="s">
        <v>176</v>
      </c>
      <c r="C143" t="s">
        <v>8</v>
      </c>
      <c r="D143">
        <v>2022</v>
      </c>
      <c r="E143" t="s">
        <v>84</v>
      </c>
      <c r="F143" t="s">
        <v>80</v>
      </c>
      <c r="G143" t="s">
        <v>192</v>
      </c>
      <c r="H143">
        <v>2313</v>
      </c>
      <c r="I143">
        <v>346601.50000000064</v>
      </c>
      <c r="J143">
        <v>71353.959999999686</v>
      </c>
      <c r="K143">
        <v>0</v>
      </c>
      <c r="L143">
        <v>214977.1199999972</v>
      </c>
      <c r="M143" t="s">
        <v>193</v>
      </c>
      <c r="N143">
        <v>-980</v>
      </c>
      <c r="O143">
        <v>9000</v>
      </c>
      <c r="P143">
        <v>-980</v>
      </c>
      <c r="Q143">
        <v>2044.15</v>
      </c>
    </row>
    <row r="144" spans="1:17">
      <c r="A144" s="155">
        <v>44926</v>
      </c>
      <c r="B144" t="s">
        <v>372</v>
      </c>
      <c r="C144" t="s">
        <v>8</v>
      </c>
      <c r="D144">
        <v>2022</v>
      </c>
      <c r="E144" t="s">
        <v>84</v>
      </c>
      <c r="F144" t="s">
        <v>80</v>
      </c>
      <c r="G144" t="s">
        <v>192</v>
      </c>
      <c r="H144">
        <v>3</v>
      </c>
      <c r="I144">
        <v>63.38</v>
      </c>
      <c r="J144">
        <v>57.04</v>
      </c>
      <c r="K144">
        <v>0</v>
      </c>
      <c r="L144">
        <v>6.34</v>
      </c>
      <c r="M144" t="s">
        <v>193</v>
      </c>
      <c r="N144">
        <v>-980</v>
      </c>
      <c r="O144">
        <v>9000</v>
      </c>
      <c r="P144">
        <v>-980</v>
      </c>
      <c r="Q144">
        <v>2044.15</v>
      </c>
    </row>
    <row r="145" spans="1:17">
      <c r="A145" s="155">
        <v>44926</v>
      </c>
      <c r="B145" t="s">
        <v>373</v>
      </c>
      <c r="C145" t="s">
        <v>8</v>
      </c>
      <c r="D145">
        <v>2022</v>
      </c>
      <c r="E145" t="s">
        <v>84</v>
      </c>
      <c r="F145" t="s">
        <v>80</v>
      </c>
      <c r="G145" t="s">
        <v>192</v>
      </c>
      <c r="H145">
        <v>17</v>
      </c>
      <c r="I145">
        <v>3098.1400000000003</v>
      </c>
      <c r="J145">
        <v>859.18</v>
      </c>
      <c r="K145">
        <v>0</v>
      </c>
      <c r="L145">
        <v>859.20999999999992</v>
      </c>
      <c r="M145" t="s">
        <v>193</v>
      </c>
      <c r="N145">
        <v>-980</v>
      </c>
      <c r="O145">
        <v>9000</v>
      </c>
      <c r="P145">
        <v>-980</v>
      </c>
      <c r="Q145">
        <v>2044.15</v>
      </c>
    </row>
    <row r="146" spans="1:17">
      <c r="A146" s="155">
        <v>44926</v>
      </c>
      <c r="B146" t="s">
        <v>352</v>
      </c>
      <c r="C146" t="s">
        <v>8</v>
      </c>
      <c r="D146">
        <v>2022</v>
      </c>
      <c r="E146" t="s">
        <v>84</v>
      </c>
      <c r="F146" t="s">
        <v>80</v>
      </c>
      <c r="G146" t="s">
        <v>192</v>
      </c>
      <c r="H146">
        <v>245</v>
      </c>
      <c r="I146">
        <v>66874.5</v>
      </c>
      <c r="J146">
        <v>12822.109999999999</v>
      </c>
      <c r="K146">
        <v>2607</v>
      </c>
      <c r="L146">
        <v>43857.39</v>
      </c>
      <c r="M146" t="s">
        <v>193</v>
      </c>
      <c r="N146">
        <v>-980</v>
      </c>
      <c r="O146">
        <v>9000</v>
      </c>
      <c r="P146">
        <v>-980</v>
      </c>
      <c r="Q146">
        <v>2044.15</v>
      </c>
    </row>
    <row r="147" spans="1:17">
      <c r="A147" s="155">
        <v>44926</v>
      </c>
      <c r="B147" t="s">
        <v>353</v>
      </c>
      <c r="C147" t="s">
        <v>8</v>
      </c>
      <c r="D147">
        <v>2022</v>
      </c>
      <c r="E147" t="s">
        <v>84</v>
      </c>
      <c r="F147" t="s">
        <v>80</v>
      </c>
      <c r="G147" t="s">
        <v>192</v>
      </c>
      <c r="H147">
        <v>174</v>
      </c>
      <c r="I147">
        <v>37225.780000000006</v>
      </c>
      <c r="J147">
        <v>8215.2000000000025</v>
      </c>
      <c r="K147">
        <v>850.5</v>
      </c>
      <c r="L147">
        <v>24028.880000000012</v>
      </c>
      <c r="M147" t="s">
        <v>193</v>
      </c>
      <c r="N147">
        <v>-980</v>
      </c>
      <c r="O147">
        <v>9000</v>
      </c>
      <c r="P147">
        <v>-980</v>
      </c>
      <c r="Q147">
        <v>2044.15</v>
      </c>
    </row>
    <row r="148" spans="1:17">
      <c r="A148" s="155">
        <v>44926</v>
      </c>
      <c r="B148" t="s">
        <v>374</v>
      </c>
      <c r="C148" t="s">
        <v>8</v>
      </c>
      <c r="D148">
        <v>2022</v>
      </c>
      <c r="E148" t="s">
        <v>84</v>
      </c>
      <c r="F148" t="s">
        <v>80</v>
      </c>
      <c r="G148" t="s">
        <v>192</v>
      </c>
      <c r="H148">
        <v>16</v>
      </c>
      <c r="I148">
        <v>1407.51</v>
      </c>
      <c r="J148">
        <v>292.26</v>
      </c>
      <c r="K148">
        <v>0</v>
      </c>
      <c r="L148">
        <v>1085.25</v>
      </c>
      <c r="M148" t="s">
        <v>193</v>
      </c>
      <c r="N148">
        <v>-980</v>
      </c>
      <c r="O148">
        <v>9000</v>
      </c>
      <c r="P148">
        <v>-980</v>
      </c>
      <c r="Q148">
        <v>2044.15</v>
      </c>
    </row>
    <row r="149" spans="1:17">
      <c r="A149" s="155">
        <v>44926</v>
      </c>
      <c r="B149" t="s">
        <v>362</v>
      </c>
      <c r="C149" t="s">
        <v>8</v>
      </c>
      <c r="D149">
        <v>2022</v>
      </c>
      <c r="E149" t="s">
        <v>84</v>
      </c>
      <c r="F149" t="s">
        <v>80</v>
      </c>
      <c r="G149" t="s">
        <v>192</v>
      </c>
      <c r="H149">
        <v>399</v>
      </c>
      <c r="I149">
        <v>62257.089999999953</v>
      </c>
      <c r="J149">
        <v>12456.620000000015</v>
      </c>
      <c r="K149">
        <v>0</v>
      </c>
      <c r="L149">
        <v>36402.880000000026</v>
      </c>
      <c r="M149" t="s">
        <v>193</v>
      </c>
      <c r="N149">
        <v>-980</v>
      </c>
      <c r="O149">
        <v>9000</v>
      </c>
      <c r="P149">
        <v>-980</v>
      </c>
      <c r="Q149">
        <v>2044.15</v>
      </c>
    </row>
    <row r="150" spans="1:17">
      <c r="A150" s="155">
        <v>44926</v>
      </c>
      <c r="B150" t="s">
        <v>354</v>
      </c>
      <c r="C150" t="s">
        <v>8</v>
      </c>
      <c r="D150">
        <v>2022</v>
      </c>
      <c r="E150" t="s">
        <v>84</v>
      </c>
      <c r="F150" t="s">
        <v>80</v>
      </c>
      <c r="G150" t="s">
        <v>192</v>
      </c>
      <c r="H150">
        <v>48</v>
      </c>
      <c r="I150">
        <v>5807.6100000000015</v>
      </c>
      <c r="J150">
        <v>1188.2900000000002</v>
      </c>
      <c r="K150">
        <v>0</v>
      </c>
      <c r="L150">
        <v>3117.07</v>
      </c>
      <c r="M150" t="s">
        <v>193</v>
      </c>
      <c r="N150">
        <v>-980</v>
      </c>
      <c r="O150">
        <v>9000</v>
      </c>
      <c r="P150">
        <v>-980</v>
      </c>
      <c r="Q150">
        <v>2044.15</v>
      </c>
    </row>
    <row r="151" spans="1:17">
      <c r="A151" s="155">
        <v>44926</v>
      </c>
      <c r="B151" t="s">
        <v>355</v>
      </c>
      <c r="C151" t="s">
        <v>8</v>
      </c>
      <c r="D151">
        <v>2022</v>
      </c>
      <c r="E151" t="s">
        <v>84</v>
      </c>
      <c r="F151" t="s">
        <v>80</v>
      </c>
      <c r="G151" t="s">
        <v>192</v>
      </c>
      <c r="H151">
        <v>90</v>
      </c>
      <c r="I151">
        <v>22869.27</v>
      </c>
      <c r="J151">
        <v>4923.6500000000015</v>
      </c>
      <c r="K151">
        <v>0</v>
      </c>
      <c r="L151">
        <v>17124.620000000003</v>
      </c>
      <c r="M151" t="s">
        <v>193</v>
      </c>
      <c r="N151">
        <v>-980</v>
      </c>
      <c r="O151">
        <v>9000</v>
      </c>
      <c r="P151">
        <v>-980</v>
      </c>
      <c r="Q151">
        <v>2044.15</v>
      </c>
    </row>
    <row r="152" spans="1:17">
      <c r="A152" s="155">
        <v>44926</v>
      </c>
      <c r="B152" t="s">
        <v>356</v>
      </c>
      <c r="C152" t="s">
        <v>8</v>
      </c>
      <c r="D152">
        <v>2022</v>
      </c>
      <c r="E152" t="s">
        <v>84</v>
      </c>
      <c r="F152" t="s">
        <v>80</v>
      </c>
      <c r="G152" t="s">
        <v>192</v>
      </c>
      <c r="H152">
        <v>76</v>
      </c>
      <c r="I152">
        <v>30052.400000000001</v>
      </c>
      <c r="J152">
        <v>5085.41</v>
      </c>
      <c r="K152">
        <v>225</v>
      </c>
      <c r="L152">
        <v>23985.489999999998</v>
      </c>
      <c r="M152" t="s">
        <v>193</v>
      </c>
      <c r="N152">
        <v>-980</v>
      </c>
      <c r="O152">
        <v>9000</v>
      </c>
      <c r="P152">
        <v>-980</v>
      </c>
      <c r="Q152">
        <v>2044.15</v>
      </c>
    </row>
    <row r="153" spans="1:17">
      <c r="A153" s="155">
        <v>44926</v>
      </c>
      <c r="B153" t="s">
        <v>375</v>
      </c>
      <c r="C153" t="s">
        <v>8</v>
      </c>
      <c r="D153">
        <v>2022</v>
      </c>
      <c r="E153" t="s">
        <v>84</v>
      </c>
      <c r="F153" t="s">
        <v>80</v>
      </c>
      <c r="G153" t="s">
        <v>192</v>
      </c>
      <c r="H153">
        <v>20</v>
      </c>
      <c r="I153">
        <v>1541.5700000000002</v>
      </c>
      <c r="J153">
        <v>555.77</v>
      </c>
      <c r="K153">
        <v>0</v>
      </c>
      <c r="L153">
        <v>985.8</v>
      </c>
      <c r="M153" t="s">
        <v>193</v>
      </c>
      <c r="N153">
        <v>-980</v>
      </c>
      <c r="O153">
        <v>9000</v>
      </c>
      <c r="P153">
        <v>-980</v>
      </c>
      <c r="Q153">
        <v>2044.15</v>
      </c>
    </row>
    <row r="154" spans="1:17">
      <c r="A154" s="155">
        <v>44926</v>
      </c>
      <c r="B154" t="s">
        <v>357</v>
      </c>
      <c r="C154" t="s">
        <v>8</v>
      </c>
      <c r="D154">
        <v>2022</v>
      </c>
      <c r="E154" t="s">
        <v>84</v>
      </c>
      <c r="F154" t="s">
        <v>80</v>
      </c>
      <c r="G154" t="s">
        <v>192</v>
      </c>
      <c r="H154">
        <v>564</v>
      </c>
      <c r="I154">
        <v>59679.609999999884</v>
      </c>
      <c r="J154">
        <v>18169.450000000015</v>
      </c>
      <c r="K154">
        <v>0</v>
      </c>
      <c r="L154">
        <v>20379.220000000041</v>
      </c>
      <c r="M154" t="s">
        <v>193</v>
      </c>
      <c r="N154">
        <v>-980</v>
      </c>
      <c r="O154">
        <v>9000</v>
      </c>
      <c r="P154">
        <v>-980</v>
      </c>
      <c r="Q154">
        <v>2044.15</v>
      </c>
    </row>
    <row r="155" spans="1:17">
      <c r="A155" s="155">
        <v>44926</v>
      </c>
      <c r="B155" t="s">
        <v>376</v>
      </c>
      <c r="C155" t="s">
        <v>8</v>
      </c>
      <c r="D155">
        <v>2022</v>
      </c>
      <c r="E155" t="s">
        <v>84</v>
      </c>
      <c r="F155" t="s">
        <v>80</v>
      </c>
      <c r="G155" t="s">
        <v>192</v>
      </c>
      <c r="H155">
        <v>2</v>
      </c>
      <c r="I155">
        <v>43.38</v>
      </c>
      <c r="J155">
        <v>39.04</v>
      </c>
      <c r="K155">
        <v>0</v>
      </c>
      <c r="L155">
        <v>4.34</v>
      </c>
      <c r="M155" t="s">
        <v>193</v>
      </c>
      <c r="N155">
        <v>-980</v>
      </c>
      <c r="O155">
        <v>9000</v>
      </c>
      <c r="P155">
        <v>-980</v>
      </c>
      <c r="Q155">
        <v>2044.15</v>
      </c>
    </row>
    <row r="156" spans="1:17">
      <c r="A156" s="155">
        <v>44926</v>
      </c>
      <c r="B156" t="s">
        <v>377</v>
      </c>
      <c r="C156" t="s">
        <v>8</v>
      </c>
      <c r="D156">
        <v>2022</v>
      </c>
      <c r="E156" t="s">
        <v>84</v>
      </c>
      <c r="F156" t="s">
        <v>80</v>
      </c>
      <c r="G156" t="s">
        <v>192</v>
      </c>
      <c r="H156">
        <v>553</v>
      </c>
      <c r="I156">
        <v>54013.899999999783</v>
      </c>
      <c r="J156">
        <v>15310.800000000016</v>
      </c>
      <c r="K156">
        <v>112.5</v>
      </c>
      <c r="L156">
        <v>22976.070000000065</v>
      </c>
      <c r="M156" t="s">
        <v>193</v>
      </c>
      <c r="N156">
        <v>-980</v>
      </c>
      <c r="O156">
        <v>9000</v>
      </c>
      <c r="P156">
        <v>-980</v>
      </c>
      <c r="Q156">
        <v>2044.15</v>
      </c>
    </row>
    <row r="157" spans="1:17">
      <c r="A157" s="155">
        <v>44926</v>
      </c>
      <c r="B157" t="s">
        <v>378</v>
      </c>
      <c r="C157" t="s">
        <v>8</v>
      </c>
      <c r="D157">
        <v>2022</v>
      </c>
      <c r="E157" t="s">
        <v>84</v>
      </c>
      <c r="F157" t="s">
        <v>80</v>
      </c>
      <c r="G157" t="s">
        <v>192</v>
      </c>
      <c r="H157">
        <v>10</v>
      </c>
      <c r="I157">
        <v>232.12000000000003</v>
      </c>
      <c r="J157">
        <v>208.9</v>
      </c>
      <c r="K157">
        <v>0</v>
      </c>
      <c r="L157">
        <v>23.22</v>
      </c>
      <c r="M157" t="s">
        <v>193</v>
      </c>
      <c r="N157">
        <v>-980</v>
      </c>
      <c r="O157">
        <v>9000</v>
      </c>
      <c r="P157">
        <v>-980</v>
      </c>
      <c r="Q157">
        <v>2044.15</v>
      </c>
    </row>
    <row r="158" spans="1:17">
      <c r="A158" s="155">
        <v>44926</v>
      </c>
      <c r="B158" t="s">
        <v>363</v>
      </c>
      <c r="C158" t="s">
        <v>8</v>
      </c>
      <c r="D158">
        <v>2022</v>
      </c>
      <c r="E158" t="s">
        <v>84</v>
      </c>
      <c r="F158" t="s">
        <v>80</v>
      </c>
      <c r="G158" t="s">
        <v>192</v>
      </c>
      <c r="H158">
        <v>626</v>
      </c>
      <c r="I158">
        <v>70961.559999999838</v>
      </c>
      <c r="J158">
        <v>18188.66000000004</v>
      </c>
      <c r="K158">
        <v>0</v>
      </c>
      <c r="L158">
        <v>38396.91000000004</v>
      </c>
      <c r="M158" t="s">
        <v>193</v>
      </c>
      <c r="N158">
        <v>-980</v>
      </c>
      <c r="O158">
        <v>9000</v>
      </c>
      <c r="P158">
        <v>-980</v>
      </c>
      <c r="Q158">
        <v>2044.15</v>
      </c>
    </row>
    <row r="159" spans="1:17">
      <c r="A159" s="155">
        <v>44926</v>
      </c>
      <c r="B159" t="s">
        <v>366</v>
      </c>
      <c r="C159" t="s">
        <v>8</v>
      </c>
      <c r="D159">
        <v>2022</v>
      </c>
      <c r="E159" t="s">
        <v>84</v>
      </c>
      <c r="F159" t="s">
        <v>80</v>
      </c>
      <c r="G159" t="s">
        <v>192</v>
      </c>
      <c r="H159">
        <v>22</v>
      </c>
      <c r="I159">
        <v>547.5200000000001</v>
      </c>
      <c r="J159">
        <v>492.74999999999989</v>
      </c>
      <c r="K159">
        <v>0</v>
      </c>
      <c r="L159">
        <v>54.77000000000001</v>
      </c>
      <c r="M159" t="s">
        <v>193</v>
      </c>
      <c r="N159">
        <v>-980</v>
      </c>
      <c r="O159">
        <v>9000</v>
      </c>
      <c r="P159">
        <v>-980</v>
      </c>
      <c r="Q159">
        <v>2044.15</v>
      </c>
    </row>
    <row r="160" spans="1:17">
      <c r="A160" s="155">
        <v>44926</v>
      </c>
      <c r="B160" t="s">
        <v>364</v>
      </c>
      <c r="C160" t="s">
        <v>8</v>
      </c>
      <c r="D160">
        <v>2022</v>
      </c>
      <c r="E160" t="s">
        <v>84</v>
      </c>
      <c r="F160" t="s">
        <v>80</v>
      </c>
      <c r="G160" t="s">
        <v>192</v>
      </c>
      <c r="H160">
        <v>1345</v>
      </c>
      <c r="I160">
        <v>151268.39000000048</v>
      </c>
      <c r="J160">
        <v>42386.139999999978</v>
      </c>
      <c r="K160">
        <v>0</v>
      </c>
      <c r="L160">
        <v>83847.289999999266</v>
      </c>
      <c r="M160" t="s">
        <v>193</v>
      </c>
      <c r="N160">
        <v>-980</v>
      </c>
      <c r="O160">
        <v>9000</v>
      </c>
      <c r="P160">
        <v>-980</v>
      </c>
      <c r="Q160">
        <v>2044.15</v>
      </c>
    </row>
    <row r="161" spans="1:17">
      <c r="A161" s="155">
        <v>44926</v>
      </c>
      <c r="B161" t="s">
        <v>379</v>
      </c>
      <c r="C161" t="s">
        <v>8</v>
      </c>
      <c r="D161">
        <v>2022</v>
      </c>
      <c r="E161" t="s">
        <v>84</v>
      </c>
      <c r="F161" t="s">
        <v>80</v>
      </c>
      <c r="G161" t="s">
        <v>192</v>
      </c>
      <c r="H161">
        <v>3</v>
      </c>
      <c r="I161">
        <v>63.38</v>
      </c>
      <c r="J161">
        <v>57.04</v>
      </c>
      <c r="K161">
        <v>0</v>
      </c>
      <c r="L161">
        <v>6.34</v>
      </c>
      <c r="M161" t="s">
        <v>193</v>
      </c>
      <c r="N161">
        <v>-980</v>
      </c>
      <c r="O161">
        <v>9000</v>
      </c>
      <c r="P161">
        <v>-980</v>
      </c>
      <c r="Q161">
        <v>2044.15</v>
      </c>
    </row>
    <row r="162" spans="1:17">
      <c r="A162" s="155">
        <v>44926</v>
      </c>
      <c r="B162" t="s">
        <v>358</v>
      </c>
      <c r="C162" t="s">
        <v>8</v>
      </c>
      <c r="D162">
        <v>2022</v>
      </c>
      <c r="E162" t="s">
        <v>84</v>
      </c>
      <c r="F162" t="s">
        <v>80</v>
      </c>
      <c r="G162" t="s">
        <v>192</v>
      </c>
      <c r="H162">
        <v>2313</v>
      </c>
      <c r="I162">
        <v>346601.49999999994</v>
      </c>
      <c r="J162">
        <v>71353.959999999759</v>
      </c>
      <c r="K162">
        <v>0</v>
      </c>
      <c r="L162">
        <v>214977.11999999732</v>
      </c>
      <c r="M162" t="s">
        <v>193</v>
      </c>
      <c r="N162">
        <v>-980</v>
      </c>
      <c r="O162">
        <v>9000</v>
      </c>
      <c r="P162">
        <v>-980</v>
      </c>
      <c r="Q162">
        <v>2044.15</v>
      </c>
    </row>
    <row r="163" spans="1:17">
      <c r="A163" s="155">
        <v>44926</v>
      </c>
      <c r="B163" t="s">
        <v>380</v>
      </c>
      <c r="C163" t="s">
        <v>8</v>
      </c>
      <c r="D163">
        <v>2022</v>
      </c>
      <c r="E163" t="s">
        <v>84</v>
      </c>
      <c r="F163" t="s">
        <v>80</v>
      </c>
      <c r="G163" t="s">
        <v>192</v>
      </c>
      <c r="H163">
        <v>17</v>
      </c>
      <c r="I163">
        <v>3098.14</v>
      </c>
      <c r="J163">
        <v>859.18</v>
      </c>
      <c r="K163">
        <v>0</v>
      </c>
      <c r="L163">
        <v>859.21</v>
      </c>
      <c r="M163" t="s">
        <v>193</v>
      </c>
      <c r="N163">
        <v>-980</v>
      </c>
      <c r="O163">
        <v>9000</v>
      </c>
      <c r="P163">
        <v>-980</v>
      </c>
      <c r="Q163">
        <v>2044.15</v>
      </c>
    </row>
    <row r="164" spans="1:17">
      <c r="A164" s="155">
        <v>44926</v>
      </c>
      <c r="B164" t="s">
        <v>346</v>
      </c>
      <c r="C164" t="s">
        <v>8</v>
      </c>
      <c r="D164">
        <v>2022</v>
      </c>
      <c r="E164" t="s">
        <v>85</v>
      </c>
      <c r="F164" t="s">
        <v>80</v>
      </c>
      <c r="G164" t="s">
        <v>192</v>
      </c>
      <c r="H164">
        <v>247</v>
      </c>
      <c r="I164">
        <v>141193</v>
      </c>
      <c r="J164">
        <v>11123.17</v>
      </c>
      <c r="K164">
        <v>20514.3</v>
      </c>
      <c r="L164">
        <v>54258.68</v>
      </c>
      <c r="M164" t="s">
        <v>193</v>
      </c>
      <c r="N164">
        <v>-1150</v>
      </c>
      <c r="O164">
        <v>2312</v>
      </c>
      <c r="P164">
        <v>-800</v>
      </c>
      <c r="Q164">
        <v>1201.8499999999999</v>
      </c>
    </row>
    <row r="165" spans="1:17">
      <c r="A165" s="155">
        <v>44926</v>
      </c>
      <c r="B165" t="s">
        <v>347</v>
      </c>
      <c r="C165" t="s">
        <v>8</v>
      </c>
      <c r="D165">
        <v>2022</v>
      </c>
      <c r="E165" t="s">
        <v>85</v>
      </c>
      <c r="F165" t="s">
        <v>80</v>
      </c>
      <c r="G165" t="s">
        <v>192</v>
      </c>
      <c r="H165">
        <v>69</v>
      </c>
      <c r="I165">
        <v>27292</v>
      </c>
      <c r="J165">
        <v>2898</v>
      </c>
      <c r="K165">
        <v>2666.15</v>
      </c>
      <c r="L165">
        <v>8319.25</v>
      </c>
      <c r="M165" t="s">
        <v>193</v>
      </c>
      <c r="N165">
        <v>-1150</v>
      </c>
      <c r="O165">
        <v>2312</v>
      </c>
      <c r="P165">
        <v>-800</v>
      </c>
      <c r="Q165">
        <v>1201.8499999999999</v>
      </c>
    </row>
    <row r="166" spans="1:17">
      <c r="A166" s="155">
        <v>44926</v>
      </c>
      <c r="B166" t="s">
        <v>348</v>
      </c>
      <c r="C166" t="s">
        <v>8</v>
      </c>
      <c r="D166">
        <v>2022</v>
      </c>
      <c r="E166" t="s">
        <v>85</v>
      </c>
      <c r="F166" t="s">
        <v>80</v>
      </c>
      <c r="G166" t="s">
        <v>192</v>
      </c>
      <c r="H166">
        <v>5</v>
      </c>
      <c r="I166">
        <v>2412.5</v>
      </c>
      <c r="J166">
        <v>182</v>
      </c>
      <c r="K166">
        <v>1658</v>
      </c>
      <c r="L166">
        <v>427.5</v>
      </c>
      <c r="M166" t="s">
        <v>193</v>
      </c>
      <c r="N166">
        <v>-1150</v>
      </c>
      <c r="O166">
        <v>2312</v>
      </c>
      <c r="P166">
        <v>-800</v>
      </c>
      <c r="Q166">
        <v>1201.8499999999999</v>
      </c>
    </row>
    <row r="167" spans="1:17">
      <c r="A167" s="155">
        <v>44926</v>
      </c>
      <c r="B167" t="s">
        <v>349</v>
      </c>
      <c r="C167" t="s">
        <v>8</v>
      </c>
      <c r="D167">
        <v>2022</v>
      </c>
      <c r="E167" t="s">
        <v>85</v>
      </c>
      <c r="F167" t="s">
        <v>80</v>
      </c>
      <c r="G167" t="s">
        <v>192</v>
      </c>
      <c r="H167">
        <v>88</v>
      </c>
      <c r="I167">
        <v>44132.9</v>
      </c>
      <c r="J167">
        <v>3717.65</v>
      </c>
      <c r="K167">
        <v>1257</v>
      </c>
      <c r="L167">
        <v>29231.5</v>
      </c>
      <c r="M167" t="s">
        <v>193</v>
      </c>
      <c r="N167">
        <v>-1150</v>
      </c>
      <c r="O167">
        <v>2312</v>
      </c>
      <c r="P167">
        <v>-800</v>
      </c>
      <c r="Q167">
        <v>1201.8499999999999</v>
      </c>
    </row>
    <row r="168" spans="1:17">
      <c r="A168" s="155">
        <v>44926</v>
      </c>
      <c r="B168" t="s">
        <v>350</v>
      </c>
      <c r="C168" t="s">
        <v>8</v>
      </c>
      <c r="D168">
        <v>2022</v>
      </c>
      <c r="E168" t="s">
        <v>85</v>
      </c>
      <c r="F168" t="s">
        <v>80</v>
      </c>
      <c r="G168" t="s">
        <v>192</v>
      </c>
      <c r="H168">
        <v>131</v>
      </c>
      <c r="I168">
        <v>71007</v>
      </c>
      <c r="J168">
        <v>6062.65</v>
      </c>
      <c r="K168">
        <v>1766.25</v>
      </c>
      <c r="L168">
        <v>45988.6</v>
      </c>
      <c r="M168" t="s">
        <v>193</v>
      </c>
      <c r="N168">
        <v>-1150</v>
      </c>
      <c r="O168">
        <v>2312</v>
      </c>
      <c r="P168">
        <v>-800</v>
      </c>
      <c r="Q168">
        <v>1201.8499999999999</v>
      </c>
    </row>
    <row r="169" spans="1:17">
      <c r="A169" s="155">
        <v>44926</v>
      </c>
      <c r="B169" t="s">
        <v>369</v>
      </c>
      <c r="C169" t="s">
        <v>8</v>
      </c>
      <c r="D169">
        <v>2022</v>
      </c>
      <c r="E169" t="s">
        <v>85</v>
      </c>
      <c r="F169" t="s">
        <v>80</v>
      </c>
      <c r="G169" t="s">
        <v>192</v>
      </c>
      <c r="H169">
        <v>2</v>
      </c>
      <c r="I169">
        <v>1240</v>
      </c>
      <c r="J169">
        <v>168</v>
      </c>
      <c r="K169">
        <v>150</v>
      </c>
      <c r="L169">
        <v>240</v>
      </c>
      <c r="M169" t="s">
        <v>193</v>
      </c>
      <c r="N169">
        <v>-1150</v>
      </c>
      <c r="O169">
        <v>2312</v>
      </c>
      <c r="P169">
        <v>-800</v>
      </c>
      <c r="Q169">
        <v>1201.8499999999999</v>
      </c>
    </row>
    <row r="170" spans="1:17">
      <c r="A170" s="155">
        <v>44926</v>
      </c>
      <c r="B170" t="s">
        <v>361</v>
      </c>
      <c r="C170" t="s">
        <v>8</v>
      </c>
      <c r="D170">
        <v>2022</v>
      </c>
      <c r="E170" t="s">
        <v>85</v>
      </c>
      <c r="F170" t="s">
        <v>80</v>
      </c>
      <c r="G170" t="s">
        <v>192</v>
      </c>
      <c r="H170">
        <v>9</v>
      </c>
      <c r="I170">
        <v>4930</v>
      </c>
      <c r="J170">
        <v>407.75</v>
      </c>
      <c r="K170">
        <v>0</v>
      </c>
      <c r="L170">
        <v>3896</v>
      </c>
      <c r="M170" t="s">
        <v>193</v>
      </c>
      <c r="N170">
        <v>-1150</v>
      </c>
      <c r="O170">
        <v>2312</v>
      </c>
      <c r="P170">
        <v>-800</v>
      </c>
      <c r="Q170">
        <v>1201.8499999999999</v>
      </c>
    </row>
    <row r="171" spans="1:17">
      <c r="A171" s="155">
        <v>44926</v>
      </c>
      <c r="B171" t="s">
        <v>352</v>
      </c>
      <c r="C171" t="s">
        <v>8</v>
      </c>
      <c r="D171">
        <v>2022</v>
      </c>
      <c r="E171" t="s">
        <v>85</v>
      </c>
      <c r="F171" t="s">
        <v>80</v>
      </c>
      <c r="G171" t="s">
        <v>192</v>
      </c>
      <c r="H171">
        <v>247</v>
      </c>
      <c r="I171">
        <v>141193</v>
      </c>
      <c r="J171">
        <v>11123.17</v>
      </c>
      <c r="K171">
        <v>20514.3</v>
      </c>
      <c r="L171">
        <v>54258.68</v>
      </c>
      <c r="M171" t="s">
        <v>193</v>
      </c>
      <c r="N171">
        <v>-1150</v>
      </c>
      <c r="O171">
        <v>2312</v>
      </c>
      <c r="P171">
        <v>-800</v>
      </c>
      <c r="Q171">
        <v>1201.8499999999999</v>
      </c>
    </row>
    <row r="172" spans="1:17">
      <c r="A172" s="155">
        <v>44926</v>
      </c>
      <c r="B172" t="s">
        <v>353</v>
      </c>
      <c r="C172" t="s">
        <v>8</v>
      </c>
      <c r="D172">
        <v>2022</v>
      </c>
      <c r="E172" t="s">
        <v>85</v>
      </c>
      <c r="F172" t="s">
        <v>80</v>
      </c>
      <c r="G172" t="s">
        <v>192</v>
      </c>
      <c r="H172">
        <v>69</v>
      </c>
      <c r="I172">
        <v>27292</v>
      </c>
      <c r="J172">
        <v>2898</v>
      </c>
      <c r="K172">
        <v>2666.15</v>
      </c>
      <c r="L172">
        <v>8319.25</v>
      </c>
      <c r="M172" t="s">
        <v>193</v>
      </c>
      <c r="N172">
        <v>-1150</v>
      </c>
      <c r="O172">
        <v>2312</v>
      </c>
      <c r="P172">
        <v>-800</v>
      </c>
      <c r="Q172">
        <v>1201.8499999999999</v>
      </c>
    </row>
    <row r="173" spans="1:17">
      <c r="A173" s="155">
        <v>44926</v>
      </c>
      <c r="B173" t="s">
        <v>354</v>
      </c>
      <c r="C173" t="s">
        <v>8</v>
      </c>
      <c r="D173">
        <v>2022</v>
      </c>
      <c r="E173" t="s">
        <v>85</v>
      </c>
      <c r="F173" t="s">
        <v>80</v>
      </c>
      <c r="G173" t="s">
        <v>192</v>
      </c>
      <c r="H173">
        <v>5</v>
      </c>
      <c r="I173">
        <v>2412.5</v>
      </c>
      <c r="J173">
        <v>182</v>
      </c>
      <c r="K173">
        <v>1658</v>
      </c>
      <c r="L173">
        <v>427.5</v>
      </c>
      <c r="M173" t="s">
        <v>193</v>
      </c>
      <c r="N173">
        <v>-1150</v>
      </c>
      <c r="O173">
        <v>2312</v>
      </c>
      <c r="P173">
        <v>-800</v>
      </c>
      <c r="Q173">
        <v>1201.8499999999999</v>
      </c>
    </row>
    <row r="174" spans="1:17">
      <c r="A174" s="155">
        <v>44926</v>
      </c>
      <c r="B174" t="s">
        <v>355</v>
      </c>
      <c r="C174" t="s">
        <v>8</v>
      </c>
      <c r="D174">
        <v>2022</v>
      </c>
      <c r="E174" t="s">
        <v>85</v>
      </c>
      <c r="F174" t="s">
        <v>80</v>
      </c>
      <c r="G174" t="s">
        <v>192</v>
      </c>
      <c r="H174">
        <v>88</v>
      </c>
      <c r="I174">
        <v>44132.9</v>
      </c>
      <c r="J174">
        <v>3717.65</v>
      </c>
      <c r="K174">
        <v>1257</v>
      </c>
      <c r="L174">
        <v>29231.5</v>
      </c>
      <c r="M174" t="s">
        <v>193</v>
      </c>
      <c r="N174">
        <v>-1150</v>
      </c>
      <c r="O174">
        <v>2312</v>
      </c>
      <c r="P174">
        <v>-800</v>
      </c>
      <c r="Q174">
        <v>1201.8499999999999</v>
      </c>
    </row>
    <row r="175" spans="1:17">
      <c r="A175" s="155">
        <v>44926</v>
      </c>
      <c r="B175" t="s">
        <v>356</v>
      </c>
      <c r="C175" t="s">
        <v>8</v>
      </c>
      <c r="D175">
        <v>2022</v>
      </c>
      <c r="E175" t="s">
        <v>85</v>
      </c>
      <c r="F175" t="s">
        <v>80</v>
      </c>
      <c r="G175" t="s">
        <v>192</v>
      </c>
      <c r="H175">
        <v>131</v>
      </c>
      <c r="I175">
        <v>71007</v>
      </c>
      <c r="J175">
        <v>6062.65</v>
      </c>
      <c r="K175">
        <v>1766.25</v>
      </c>
      <c r="L175">
        <v>45988.6</v>
      </c>
      <c r="M175" t="s">
        <v>193</v>
      </c>
      <c r="N175">
        <v>-1150</v>
      </c>
      <c r="O175">
        <v>2312</v>
      </c>
      <c r="P175">
        <v>-800</v>
      </c>
      <c r="Q175">
        <v>1201.8499999999999</v>
      </c>
    </row>
    <row r="176" spans="1:17">
      <c r="A176" s="155">
        <v>44926</v>
      </c>
      <c r="B176" t="s">
        <v>377</v>
      </c>
      <c r="C176" t="s">
        <v>8</v>
      </c>
      <c r="D176">
        <v>2022</v>
      </c>
      <c r="E176" t="s">
        <v>85</v>
      </c>
      <c r="F176" t="s">
        <v>80</v>
      </c>
      <c r="G176" t="s">
        <v>192</v>
      </c>
      <c r="H176">
        <v>2</v>
      </c>
      <c r="I176">
        <v>1240</v>
      </c>
      <c r="J176">
        <v>168</v>
      </c>
      <c r="K176">
        <v>150</v>
      </c>
      <c r="L176">
        <v>240</v>
      </c>
      <c r="M176" t="s">
        <v>193</v>
      </c>
      <c r="N176">
        <v>-1150</v>
      </c>
      <c r="O176">
        <v>2312</v>
      </c>
      <c r="P176">
        <v>-800</v>
      </c>
      <c r="Q176">
        <v>1201.8499999999999</v>
      </c>
    </row>
    <row r="177" spans="1:17">
      <c r="A177" s="155">
        <v>44926</v>
      </c>
      <c r="B177" t="s">
        <v>364</v>
      </c>
      <c r="C177" t="s">
        <v>8</v>
      </c>
      <c r="D177">
        <v>2022</v>
      </c>
      <c r="E177" t="s">
        <v>85</v>
      </c>
      <c r="F177" t="s">
        <v>80</v>
      </c>
      <c r="G177" t="s">
        <v>192</v>
      </c>
      <c r="H177">
        <v>9</v>
      </c>
      <c r="I177">
        <v>4930</v>
      </c>
      <c r="J177">
        <v>407.75</v>
      </c>
      <c r="K177">
        <v>0</v>
      </c>
      <c r="L177">
        <v>3896</v>
      </c>
      <c r="M177" t="s">
        <v>193</v>
      </c>
      <c r="N177">
        <v>-1150</v>
      </c>
      <c r="O177">
        <v>2312</v>
      </c>
      <c r="P177">
        <v>-800</v>
      </c>
      <c r="Q177">
        <v>1201.8499999999999</v>
      </c>
    </row>
    <row r="178" spans="1:17">
      <c r="A178" s="155">
        <v>44926</v>
      </c>
      <c r="B178" t="s">
        <v>346</v>
      </c>
      <c r="C178" t="s">
        <v>8</v>
      </c>
      <c r="D178">
        <v>2022</v>
      </c>
      <c r="E178" t="s">
        <v>86</v>
      </c>
      <c r="F178" t="s">
        <v>80</v>
      </c>
      <c r="G178" t="s">
        <v>192</v>
      </c>
      <c r="H178">
        <v>159</v>
      </c>
      <c r="I178">
        <v>91397</v>
      </c>
      <c r="J178">
        <v>15767.88</v>
      </c>
      <c r="K178">
        <v>11311.25</v>
      </c>
      <c r="L178">
        <v>35683.279999999999</v>
      </c>
      <c r="M178" t="s">
        <v>193</v>
      </c>
      <c r="N178">
        <v>-550</v>
      </c>
      <c r="O178">
        <v>1635</v>
      </c>
      <c r="P178">
        <v>-240</v>
      </c>
      <c r="Q178">
        <v>1340.52</v>
      </c>
    </row>
    <row r="179" spans="1:17">
      <c r="A179" s="155">
        <v>44926</v>
      </c>
      <c r="B179" t="s">
        <v>347</v>
      </c>
      <c r="C179" t="s">
        <v>8</v>
      </c>
      <c r="D179">
        <v>2022</v>
      </c>
      <c r="E179" t="s">
        <v>86</v>
      </c>
      <c r="F179" t="s">
        <v>80</v>
      </c>
      <c r="G179" t="s">
        <v>192</v>
      </c>
      <c r="H179">
        <v>130</v>
      </c>
      <c r="I179">
        <v>57202.96</v>
      </c>
      <c r="J179">
        <v>10535.949999999999</v>
      </c>
      <c r="K179">
        <v>6701.6600000000008</v>
      </c>
      <c r="L179">
        <v>14240.31</v>
      </c>
      <c r="M179" t="s">
        <v>193</v>
      </c>
      <c r="N179">
        <v>-550</v>
      </c>
      <c r="O179">
        <v>1635</v>
      </c>
      <c r="P179">
        <v>-240</v>
      </c>
      <c r="Q179">
        <v>1340.52</v>
      </c>
    </row>
    <row r="180" spans="1:17">
      <c r="A180" s="155">
        <v>44926</v>
      </c>
      <c r="B180" t="s">
        <v>359</v>
      </c>
      <c r="C180" t="s">
        <v>8</v>
      </c>
      <c r="D180">
        <v>2022</v>
      </c>
      <c r="E180" t="s">
        <v>86</v>
      </c>
      <c r="F180" t="s">
        <v>80</v>
      </c>
      <c r="G180" t="s">
        <v>192</v>
      </c>
      <c r="H180">
        <v>13</v>
      </c>
      <c r="I180">
        <v>6780</v>
      </c>
      <c r="J180">
        <v>1013.61</v>
      </c>
      <c r="K180">
        <v>0</v>
      </c>
      <c r="L180">
        <v>4283.25</v>
      </c>
      <c r="M180" t="s">
        <v>193</v>
      </c>
      <c r="N180">
        <v>-550</v>
      </c>
      <c r="O180">
        <v>1635</v>
      </c>
      <c r="P180">
        <v>-240</v>
      </c>
      <c r="Q180">
        <v>1340.52</v>
      </c>
    </row>
    <row r="181" spans="1:17">
      <c r="A181" s="155">
        <v>44926</v>
      </c>
      <c r="B181" t="s">
        <v>348</v>
      </c>
      <c r="C181" t="s">
        <v>8</v>
      </c>
      <c r="D181">
        <v>2022</v>
      </c>
      <c r="E181" t="s">
        <v>86</v>
      </c>
      <c r="F181" t="s">
        <v>80</v>
      </c>
      <c r="G181" t="s">
        <v>192</v>
      </c>
      <c r="H181">
        <v>2</v>
      </c>
      <c r="I181">
        <v>1900</v>
      </c>
      <c r="J181">
        <v>301</v>
      </c>
      <c r="K181">
        <v>0</v>
      </c>
      <c r="L181">
        <v>799.5</v>
      </c>
      <c r="M181" t="s">
        <v>193</v>
      </c>
      <c r="N181">
        <v>-550</v>
      </c>
      <c r="O181">
        <v>1635</v>
      </c>
      <c r="P181">
        <v>-240</v>
      </c>
      <c r="Q181">
        <v>1340.52</v>
      </c>
    </row>
    <row r="182" spans="1:17">
      <c r="A182" s="155">
        <v>44926</v>
      </c>
      <c r="B182" t="s">
        <v>349</v>
      </c>
      <c r="C182" t="s">
        <v>8</v>
      </c>
      <c r="D182">
        <v>2022</v>
      </c>
      <c r="E182" t="s">
        <v>86</v>
      </c>
      <c r="F182" t="s">
        <v>80</v>
      </c>
      <c r="G182" t="s">
        <v>192</v>
      </c>
      <c r="H182">
        <v>47</v>
      </c>
      <c r="I182">
        <v>24466</v>
      </c>
      <c r="J182">
        <v>4367.33</v>
      </c>
      <c r="K182">
        <v>251.55</v>
      </c>
      <c r="L182">
        <v>18410.949999999997</v>
      </c>
      <c r="M182" t="s">
        <v>193</v>
      </c>
      <c r="N182">
        <v>-550</v>
      </c>
      <c r="O182">
        <v>1635</v>
      </c>
      <c r="P182">
        <v>-240</v>
      </c>
      <c r="Q182">
        <v>1340.52</v>
      </c>
    </row>
    <row r="183" spans="1:17">
      <c r="A183" s="155">
        <v>44926</v>
      </c>
      <c r="B183" t="s">
        <v>350</v>
      </c>
      <c r="C183" t="s">
        <v>8</v>
      </c>
      <c r="D183">
        <v>2022</v>
      </c>
      <c r="E183" t="s">
        <v>86</v>
      </c>
      <c r="F183" t="s">
        <v>80</v>
      </c>
      <c r="G183" t="s">
        <v>192</v>
      </c>
      <c r="H183">
        <v>15</v>
      </c>
      <c r="I183">
        <v>11706</v>
      </c>
      <c r="J183">
        <v>1763.67</v>
      </c>
      <c r="K183">
        <v>200</v>
      </c>
      <c r="L183">
        <v>9201.33</v>
      </c>
      <c r="M183" t="s">
        <v>193</v>
      </c>
      <c r="N183">
        <v>-550</v>
      </c>
      <c r="O183">
        <v>1635</v>
      </c>
      <c r="P183">
        <v>-240</v>
      </c>
      <c r="Q183">
        <v>1340.52</v>
      </c>
    </row>
    <row r="184" spans="1:17">
      <c r="A184" s="155">
        <v>44926</v>
      </c>
      <c r="B184" t="s">
        <v>351</v>
      </c>
      <c r="C184" t="s">
        <v>8</v>
      </c>
      <c r="D184">
        <v>2022</v>
      </c>
      <c r="E184" t="s">
        <v>86</v>
      </c>
      <c r="F184" t="s">
        <v>80</v>
      </c>
      <c r="G184" t="s">
        <v>192</v>
      </c>
      <c r="H184">
        <v>44</v>
      </c>
      <c r="I184">
        <v>16200</v>
      </c>
      <c r="J184">
        <v>3126</v>
      </c>
      <c r="K184">
        <v>0</v>
      </c>
      <c r="L184">
        <v>3996.88</v>
      </c>
      <c r="M184" t="s">
        <v>193</v>
      </c>
      <c r="N184">
        <v>-550</v>
      </c>
      <c r="O184">
        <v>1635</v>
      </c>
      <c r="P184">
        <v>-240</v>
      </c>
      <c r="Q184">
        <v>1340.52</v>
      </c>
    </row>
    <row r="185" spans="1:17">
      <c r="A185" s="155">
        <v>44926</v>
      </c>
      <c r="B185" t="s">
        <v>368</v>
      </c>
      <c r="C185" t="s">
        <v>8</v>
      </c>
      <c r="D185">
        <v>2022</v>
      </c>
      <c r="E185" t="s">
        <v>86</v>
      </c>
      <c r="F185" t="s">
        <v>80</v>
      </c>
      <c r="G185" t="s">
        <v>192</v>
      </c>
      <c r="H185">
        <v>3</v>
      </c>
      <c r="I185">
        <v>1401</v>
      </c>
      <c r="J185">
        <v>243.75</v>
      </c>
      <c r="K185">
        <v>0</v>
      </c>
      <c r="L185">
        <v>79.94</v>
      </c>
      <c r="M185" t="s">
        <v>193</v>
      </c>
      <c r="N185">
        <v>-550</v>
      </c>
      <c r="O185">
        <v>1635</v>
      </c>
      <c r="P185">
        <v>-240</v>
      </c>
      <c r="Q185">
        <v>1340.52</v>
      </c>
    </row>
    <row r="186" spans="1:17">
      <c r="A186" s="155">
        <v>44926</v>
      </c>
      <c r="B186" t="s">
        <v>369</v>
      </c>
      <c r="C186" t="s">
        <v>8</v>
      </c>
      <c r="D186">
        <v>2022</v>
      </c>
      <c r="E186" t="s">
        <v>86</v>
      </c>
      <c r="F186" t="s">
        <v>80</v>
      </c>
      <c r="G186" t="s">
        <v>192</v>
      </c>
      <c r="H186">
        <v>34</v>
      </c>
      <c r="I186">
        <v>15909</v>
      </c>
      <c r="J186">
        <v>2454.2100000000005</v>
      </c>
      <c r="K186">
        <v>0</v>
      </c>
      <c r="L186">
        <v>5282.87</v>
      </c>
      <c r="M186" t="s">
        <v>193</v>
      </c>
      <c r="N186">
        <v>-550</v>
      </c>
      <c r="O186">
        <v>1635</v>
      </c>
      <c r="P186">
        <v>-240</v>
      </c>
      <c r="Q186">
        <v>1340.52</v>
      </c>
    </row>
    <row r="187" spans="1:17">
      <c r="A187" s="155">
        <v>44926</v>
      </c>
      <c r="B187" t="s">
        <v>360</v>
      </c>
      <c r="C187" t="s">
        <v>8</v>
      </c>
      <c r="D187">
        <v>2022</v>
      </c>
      <c r="E187" t="s">
        <v>86</v>
      </c>
      <c r="F187" t="s">
        <v>80</v>
      </c>
      <c r="G187" t="s">
        <v>192</v>
      </c>
      <c r="H187">
        <v>33</v>
      </c>
      <c r="I187">
        <v>16735</v>
      </c>
      <c r="J187">
        <v>3014.1800000000003</v>
      </c>
      <c r="K187">
        <v>0</v>
      </c>
      <c r="L187">
        <v>7128.62</v>
      </c>
      <c r="M187" t="s">
        <v>193</v>
      </c>
      <c r="N187">
        <v>-550</v>
      </c>
      <c r="O187">
        <v>1635</v>
      </c>
      <c r="P187">
        <v>-240</v>
      </c>
      <c r="Q187">
        <v>1340.52</v>
      </c>
    </row>
    <row r="188" spans="1:17">
      <c r="A188" s="155">
        <v>44926</v>
      </c>
      <c r="B188" t="s">
        <v>361</v>
      </c>
      <c r="C188" t="s">
        <v>8</v>
      </c>
      <c r="D188">
        <v>2022</v>
      </c>
      <c r="E188" t="s">
        <v>86</v>
      </c>
      <c r="F188" t="s">
        <v>80</v>
      </c>
      <c r="G188" t="s">
        <v>192</v>
      </c>
      <c r="H188">
        <v>78</v>
      </c>
      <c r="I188">
        <v>33115</v>
      </c>
      <c r="J188">
        <v>5678.7399999999989</v>
      </c>
      <c r="K188">
        <v>0</v>
      </c>
      <c r="L188">
        <v>17092.689999999999</v>
      </c>
      <c r="M188" t="s">
        <v>193</v>
      </c>
      <c r="N188">
        <v>-550</v>
      </c>
      <c r="O188">
        <v>1635</v>
      </c>
      <c r="P188">
        <v>-240</v>
      </c>
      <c r="Q188">
        <v>1340.52</v>
      </c>
    </row>
    <row r="189" spans="1:17">
      <c r="A189" s="155">
        <v>44926</v>
      </c>
      <c r="B189" t="s">
        <v>365</v>
      </c>
      <c r="C189" t="s">
        <v>8</v>
      </c>
      <c r="D189">
        <v>2022</v>
      </c>
      <c r="E189" t="s">
        <v>86</v>
      </c>
      <c r="F189" t="s">
        <v>80</v>
      </c>
      <c r="G189" t="s">
        <v>192</v>
      </c>
      <c r="H189">
        <v>1</v>
      </c>
      <c r="I189">
        <v>550</v>
      </c>
      <c r="J189">
        <v>108</v>
      </c>
      <c r="K189">
        <v>0</v>
      </c>
      <c r="L189">
        <v>126</v>
      </c>
      <c r="M189" t="s">
        <v>193</v>
      </c>
      <c r="N189">
        <v>-550</v>
      </c>
      <c r="O189">
        <v>1635</v>
      </c>
      <c r="P189">
        <v>-240</v>
      </c>
      <c r="Q189">
        <v>1340.52</v>
      </c>
    </row>
    <row r="190" spans="1:17">
      <c r="A190" s="155">
        <v>44926</v>
      </c>
      <c r="B190" t="s">
        <v>176</v>
      </c>
      <c r="C190" t="s">
        <v>8</v>
      </c>
      <c r="D190">
        <v>2022</v>
      </c>
      <c r="E190" t="s">
        <v>86</v>
      </c>
      <c r="F190" t="s">
        <v>80</v>
      </c>
      <c r="G190" t="s">
        <v>192</v>
      </c>
      <c r="H190">
        <v>73</v>
      </c>
      <c r="I190">
        <v>28375</v>
      </c>
      <c r="J190">
        <v>5102.3999999999996</v>
      </c>
      <c r="K190">
        <v>0</v>
      </c>
      <c r="L190">
        <v>19107.399999999998</v>
      </c>
      <c r="M190" t="s">
        <v>193</v>
      </c>
      <c r="N190">
        <v>-550</v>
      </c>
      <c r="O190">
        <v>1635</v>
      </c>
      <c r="P190">
        <v>-240</v>
      </c>
      <c r="Q190">
        <v>1340.52</v>
      </c>
    </row>
    <row r="191" spans="1:17">
      <c r="A191" s="155">
        <v>44926</v>
      </c>
      <c r="B191" t="s">
        <v>373</v>
      </c>
      <c r="C191" t="s">
        <v>8</v>
      </c>
      <c r="D191">
        <v>2022</v>
      </c>
      <c r="E191" t="s">
        <v>86</v>
      </c>
      <c r="F191" t="s">
        <v>80</v>
      </c>
      <c r="G191" t="s">
        <v>192</v>
      </c>
      <c r="H191">
        <v>2</v>
      </c>
      <c r="I191">
        <v>880</v>
      </c>
      <c r="J191">
        <v>168</v>
      </c>
      <c r="K191">
        <v>0</v>
      </c>
      <c r="L191">
        <v>306</v>
      </c>
      <c r="M191" t="s">
        <v>193</v>
      </c>
      <c r="N191">
        <v>-550</v>
      </c>
      <c r="O191">
        <v>1635</v>
      </c>
      <c r="P191">
        <v>-240</v>
      </c>
      <c r="Q191">
        <v>1340.52</v>
      </c>
    </row>
    <row r="192" spans="1:17">
      <c r="A192" s="155">
        <v>44926</v>
      </c>
      <c r="B192" t="s">
        <v>352</v>
      </c>
      <c r="C192" t="s">
        <v>8</v>
      </c>
      <c r="D192">
        <v>2022</v>
      </c>
      <c r="E192" t="s">
        <v>86</v>
      </c>
      <c r="F192" t="s">
        <v>80</v>
      </c>
      <c r="G192" t="s">
        <v>192</v>
      </c>
      <c r="H192">
        <v>159</v>
      </c>
      <c r="I192">
        <v>91397</v>
      </c>
      <c r="J192">
        <v>15767.879999999997</v>
      </c>
      <c r="K192">
        <v>11311.25</v>
      </c>
      <c r="L192">
        <v>35683.279999999999</v>
      </c>
      <c r="M192" t="s">
        <v>193</v>
      </c>
      <c r="N192">
        <v>-550</v>
      </c>
      <c r="O192">
        <v>1635</v>
      </c>
      <c r="P192">
        <v>-240</v>
      </c>
      <c r="Q192">
        <v>1340.52</v>
      </c>
    </row>
    <row r="193" spans="1:17">
      <c r="A193" s="155">
        <v>44926</v>
      </c>
      <c r="B193" t="s">
        <v>353</v>
      </c>
      <c r="C193" t="s">
        <v>8</v>
      </c>
      <c r="D193">
        <v>2022</v>
      </c>
      <c r="E193" t="s">
        <v>86</v>
      </c>
      <c r="F193" t="s">
        <v>80</v>
      </c>
      <c r="G193" t="s">
        <v>192</v>
      </c>
      <c r="H193">
        <v>130</v>
      </c>
      <c r="I193">
        <v>57202.96</v>
      </c>
      <c r="J193">
        <v>10535.949999999999</v>
      </c>
      <c r="K193">
        <v>6701.6600000000008</v>
      </c>
      <c r="L193">
        <v>14240.31</v>
      </c>
      <c r="M193" t="s">
        <v>193</v>
      </c>
      <c r="N193">
        <v>-550</v>
      </c>
      <c r="O193">
        <v>1635</v>
      </c>
      <c r="P193">
        <v>-240</v>
      </c>
      <c r="Q193">
        <v>1340.52</v>
      </c>
    </row>
    <row r="194" spans="1:17">
      <c r="A194" s="155">
        <v>44926</v>
      </c>
      <c r="B194" t="s">
        <v>362</v>
      </c>
      <c r="C194" t="s">
        <v>8</v>
      </c>
      <c r="D194">
        <v>2022</v>
      </c>
      <c r="E194" t="s">
        <v>86</v>
      </c>
      <c r="F194" t="s">
        <v>80</v>
      </c>
      <c r="G194" t="s">
        <v>192</v>
      </c>
      <c r="H194">
        <v>13</v>
      </c>
      <c r="I194">
        <v>6780</v>
      </c>
      <c r="J194">
        <v>1013.61</v>
      </c>
      <c r="K194">
        <v>0</v>
      </c>
      <c r="L194">
        <v>4283.25</v>
      </c>
      <c r="M194" t="s">
        <v>193</v>
      </c>
      <c r="N194">
        <v>-550</v>
      </c>
      <c r="O194">
        <v>1635</v>
      </c>
      <c r="P194">
        <v>-240</v>
      </c>
      <c r="Q194">
        <v>1340.52</v>
      </c>
    </row>
    <row r="195" spans="1:17">
      <c r="A195" s="155">
        <v>44926</v>
      </c>
      <c r="B195" t="s">
        <v>354</v>
      </c>
      <c r="C195" t="s">
        <v>8</v>
      </c>
      <c r="D195">
        <v>2022</v>
      </c>
      <c r="E195" t="s">
        <v>86</v>
      </c>
      <c r="F195" t="s">
        <v>80</v>
      </c>
      <c r="G195" t="s">
        <v>192</v>
      </c>
      <c r="H195">
        <v>2</v>
      </c>
      <c r="I195">
        <v>1900</v>
      </c>
      <c r="J195">
        <v>301</v>
      </c>
      <c r="K195">
        <v>0</v>
      </c>
      <c r="L195">
        <v>799.5</v>
      </c>
      <c r="M195" t="s">
        <v>193</v>
      </c>
      <c r="N195">
        <v>-550</v>
      </c>
      <c r="O195">
        <v>1635</v>
      </c>
      <c r="P195">
        <v>-240</v>
      </c>
      <c r="Q195">
        <v>1340.52</v>
      </c>
    </row>
    <row r="196" spans="1:17">
      <c r="A196" s="155">
        <v>44926</v>
      </c>
      <c r="B196" t="s">
        <v>355</v>
      </c>
      <c r="C196" t="s">
        <v>8</v>
      </c>
      <c r="D196">
        <v>2022</v>
      </c>
      <c r="E196" t="s">
        <v>86</v>
      </c>
      <c r="F196" t="s">
        <v>80</v>
      </c>
      <c r="G196" t="s">
        <v>192</v>
      </c>
      <c r="H196">
        <v>47</v>
      </c>
      <c r="I196">
        <v>24466</v>
      </c>
      <c r="J196">
        <v>4367.3300000000008</v>
      </c>
      <c r="K196">
        <v>251.55</v>
      </c>
      <c r="L196">
        <v>18410.950000000004</v>
      </c>
      <c r="M196" t="s">
        <v>193</v>
      </c>
      <c r="N196">
        <v>-550</v>
      </c>
      <c r="O196">
        <v>1635</v>
      </c>
      <c r="P196">
        <v>-240</v>
      </c>
      <c r="Q196">
        <v>1340.52</v>
      </c>
    </row>
    <row r="197" spans="1:17">
      <c r="A197" s="155">
        <v>44926</v>
      </c>
      <c r="B197" t="s">
        <v>356</v>
      </c>
      <c r="C197" t="s">
        <v>8</v>
      </c>
      <c r="D197">
        <v>2022</v>
      </c>
      <c r="E197" t="s">
        <v>86</v>
      </c>
      <c r="F197" t="s">
        <v>80</v>
      </c>
      <c r="G197" t="s">
        <v>192</v>
      </c>
      <c r="H197">
        <v>15</v>
      </c>
      <c r="I197">
        <v>11706</v>
      </c>
      <c r="J197">
        <v>1763.67</v>
      </c>
      <c r="K197">
        <v>200</v>
      </c>
      <c r="L197">
        <v>9201.33</v>
      </c>
      <c r="M197" t="s">
        <v>193</v>
      </c>
      <c r="N197">
        <v>-550</v>
      </c>
      <c r="O197">
        <v>1635</v>
      </c>
      <c r="P197">
        <v>-240</v>
      </c>
      <c r="Q197">
        <v>1340.52</v>
      </c>
    </row>
    <row r="198" spans="1:17">
      <c r="A198" s="155">
        <v>44926</v>
      </c>
      <c r="B198" t="s">
        <v>375</v>
      </c>
      <c r="C198" t="s">
        <v>8</v>
      </c>
      <c r="D198">
        <v>2022</v>
      </c>
      <c r="E198" t="s">
        <v>86</v>
      </c>
      <c r="F198" t="s">
        <v>80</v>
      </c>
      <c r="G198" t="s">
        <v>192</v>
      </c>
      <c r="H198">
        <v>3</v>
      </c>
      <c r="I198">
        <v>1401</v>
      </c>
      <c r="J198">
        <v>243.75</v>
      </c>
      <c r="K198">
        <v>0</v>
      </c>
      <c r="L198">
        <v>79.94</v>
      </c>
      <c r="M198" t="s">
        <v>193</v>
      </c>
      <c r="N198">
        <v>-550</v>
      </c>
      <c r="O198">
        <v>1635</v>
      </c>
      <c r="P198">
        <v>-240</v>
      </c>
      <c r="Q198">
        <v>1340.52</v>
      </c>
    </row>
    <row r="199" spans="1:17">
      <c r="A199" s="155">
        <v>44926</v>
      </c>
      <c r="B199" t="s">
        <v>357</v>
      </c>
      <c r="C199" t="s">
        <v>8</v>
      </c>
      <c r="D199">
        <v>2022</v>
      </c>
      <c r="E199" t="s">
        <v>86</v>
      </c>
      <c r="F199" t="s">
        <v>80</v>
      </c>
      <c r="G199" t="s">
        <v>192</v>
      </c>
      <c r="H199">
        <v>44</v>
      </c>
      <c r="I199">
        <v>16200</v>
      </c>
      <c r="J199">
        <v>3126</v>
      </c>
      <c r="K199">
        <v>0</v>
      </c>
      <c r="L199">
        <v>3996.88</v>
      </c>
      <c r="M199" t="s">
        <v>193</v>
      </c>
      <c r="N199">
        <v>-550</v>
      </c>
      <c r="O199">
        <v>1635</v>
      </c>
      <c r="P199">
        <v>-240</v>
      </c>
      <c r="Q199">
        <v>1340.52</v>
      </c>
    </row>
    <row r="200" spans="1:17">
      <c r="A200" s="155">
        <v>44926</v>
      </c>
      <c r="B200" t="s">
        <v>377</v>
      </c>
      <c r="C200" t="s">
        <v>8</v>
      </c>
      <c r="D200">
        <v>2022</v>
      </c>
      <c r="E200" t="s">
        <v>86</v>
      </c>
      <c r="F200" t="s">
        <v>80</v>
      </c>
      <c r="G200" t="s">
        <v>192</v>
      </c>
      <c r="H200">
        <v>34</v>
      </c>
      <c r="I200">
        <v>15909</v>
      </c>
      <c r="J200">
        <v>2454.2100000000005</v>
      </c>
      <c r="K200">
        <v>0</v>
      </c>
      <c r="L200">
        <v>5282.87</v>
      </c>
      <c r="M200" t="s">
        <v>193</v>
      </c>
      <c r="N200">
        <v>-550</v>
      </c>
      <c r="O200">
        <v>1635</v>
      </c>
      <c r="P200">
        <v>-240</v>
      </c>
      <c r="Q200">
        <v>1340.52</v>
      </c>
    </row>
    <row r="201" spans="1:17">
      <c r="A201" s="155">
        <v>44926</v>
      </c>
      <c r="B201" t="s">
        <v>363</v>
      </c>
      <c r="C201" t="s">
        <v>8</v>
      </c>
      <c r="D201">
        <v>2022</v>
      </c>
      <c r="E201" t="s">
        <v>86</v>
      </c>
      <c r="F201" t="s">
        <v>80</v>
      </c>
      <c r="G201" t="s">
        <v>192</v>
      </c>
      <c r="H201">
        <v>33</v>
      </c>
      <c r="I201">
        <v>16735</v>
      </c>
      <c r="J201">
        <v>3014.1800000000003</v>
      </c>
      <c r="K201">
        <v>0</v>
      </c>
      <c r="L201">
        <v>7128.62</v>
      </c>
      <c r="M201" t="s">
        <v>193</v>
      </c>
      <c r="N201">
        <v>-550</v>
      </c>
      <c r="O201">
        <v>1635</v>
      </c>
      <c r="P201">
        <v>-240</v>
      </c>
      <c r="Q201">
        <v>1340.52</v>
      </c>
    </row>
    <row r="202" spans="1:17">
      <c r="A202" s="155">
        <v>44926</v>
      </c>
      <c r="B202" t="s">
        <v>366</v>
      </c>
      <c r="C202" t="s">
        <v>8</v>
      </c>
      <c r="D202">
        <v>2022</v>
      </c>
      <c r="E202" t="s">
        <v>86</v>
      </c>
      <c r="F202" t="s">
        <v>80</v>
      </c>
      <c r="G202" t="s">
        <v>192</v>
      </c>
      <c r="H202">
        <v>1</v>
      </c>
      <c r="I202">
        <v>550</v>
      </c>
      <c r="J202">
        <v>108</v>
      </c>
      <c r="K202">
        <v>0</v>
      </c>
      <c r="L202">
        <v>126</v>
      </c>
      <c r="M202" t="s">
        <v>193</v>
      </c>
      <c r="N202">
        <v>-550</v>
      </c>
      <c r="O202">
        <v>1635</v>
      </c>
      <c r="P202">
        <v>-240</v>
      </c>
      <c r="Q202">
        <v>1340.52</v>
      </c>
    </row>
    <row r="203" spans="1:17">
      <c r="A203" s="155">
        <v>44926</v>
      </c>
      <c r="B203" t="s">
        <v>364</v>
      </c>
      <c r="C203" t="s">
        <v>8</v>
      </c>
      <c r="D203">
        <v>2022</v>
      </c>
      <c r="E203" t="s">
        <v>86</v>
      </c>
      <c r="F203" t="s">
        <v>80</v>
      </c>
      <c r="G203" t="s">
        <v>192</v>
      </c>
      <c r="H203">
        <v>78</v>
      </c>
      <c r="I203">
        <v>33115</v>
      </c>
      <c r="J203">
        <v>5678.739999999998</v>
      </c>
      <c r="K203">
        <v>0</v>
      </c>
      <c r="L203">
        <v>17092.690000000002</v>
      </c>
      <c r="M203" t="s">
        <v>193</v>
      </c>
      <c r="N203">
        <v>-550</v>
      </c>
      <c r="O203">
        <v>1635</v>
      </c>
      <c r="P203">
        <v>-240</v>
      </c>
      <c r="Q203">
        <v>1340.52</v>
      </c>
    </row>
    <row r="204" spans="1:17">
      <c r="A204" s="155">
        <v>44926</v>
      </c>
      <c r="B204" t="s">
        <v>358</v>
      </c>
      <c r="C204" t="s">
        <v>8</v>
      </c>
      <c r="D204">
        <v>2022</v>
      </c>
      <c r="E204" t="s">
        <v>86</v>
      </c>
      <c r="F204" t="s">
        <v>80</v>
      </c>
      <c r="G204" t="s">
        <v>192</v>
      </c>
      <c r="H204">
        <v>73</v>
      </c>
      <c r="I204">
        <v>28375</v>
      </c>
      <c r="J204">
        <v>5102.3999999999996</v>
      </c>
      <c r="K204">
        <v>0</v>
      </c>
      <c r="L204">
        <v>19107.400000000001</v>
      </c>
      <c r="M204" t="s">
        <v>193</v>
      </c>
      <c r="N204">
        <v>-550</v>
      </c>
      <c r="O204">
        <v>1635</v>
      </c>
      <c r="P204">
        <v>-240</v>
      </c>
      <c r="Q204">
        <v>1340.52</v>
      </c>
    </row>
    <row r="205" spans="1:17">
      <c r="A205" s="155">
        <v>44926</v>
      </c>
      <c r="B205" t="s">
        <v>380</v>
      </c>
      <c r="C205" t="s">
        <v>8</v>
      </c>
      <c r="D205">
        <v>2022</v>
      </c>
      <c r="E205" t="s">
        <v>86</v>
      </c>
      <c r="F205" t="s">
        <v>80</v>
      </c>
      <c r="G205" t="s">
        <v>192</v>
      </c>
      <c r="H205">
        <v>2</v>
      </c>
      <c r="I205">
        <v>880</v>
      </c>
      <c r="J205">
        <v>168</v>
      </c>
      <c r="K205">
        <v>0</v>
      </c>
      <c r="L205">
        <v>306</v>
      </c>
      <c r="M205" t="s">
        <v>193</v>
      </c>
      <c r="N205">
        <v>-550</v>
      </c>
      <c r="O205">
        <v>1635</v>
      </c>
      <c r="P205">
        <v>-240</v>
      </c>
      <c r="Q205">
        <v>1340.52</v>
      </c>
    </row>
    <row r="206" spans="1:17">
      <c r="A206" s="155">
        <v>44926</v>
      </c>
      <c r="B206" t="s">
        <v>346</v>
      </c>
      <c r="C206" t="s">
        <v>8</v>
      </c>
      <c r="D206">
        <v>2022</v>
      </c>
      <c r="E206" t="s">
        <v>87</v>
      </c>
      <c r="F206" t="s">
        <v>80</v>
      </c>
      <c r="G206" t="s">
        <v>192</v>
      </c>
      <c r="H206">
        <v>682</v>
      </c>
      <c r="I206">
        <v>44007.930000000037</v>
      </c>
      <c r="J206">
        <v>23530.189999999937</v>
      </c>
      <c r="K206">
        <v>350</v>
      </c>
      <c r="L206">
        <v>11582.410000000009</v>
      </c>
      <c r="M206" t="s">
        <v>193</v>
      </c>
      <c r="N206">
        <v>-325.39999999999998</v>
      </c>
      <c r="O206">
        <v>1000</v>
      </c>
      <c r="P206">
        <v>-87.78</v>
      </c>
      <c r="Q206">
        <v>540</v>
      </c>
    </row>
    <row r="207" spans="1:17">
      <c r="A207" s="155">
        <v>44926</v>
      </c>
      <c r="B207" t="s">
        <v>347</v>
      </c>
      <c r="C207" t="s">
        <v>8</v>
      </c>
      <c r="D207">
        <v>2022</v>
      </c>
      <c r="E207" t="s">
        <v>87</v>
      </c>
      <c r="F207" t="s">
        <v>80</v>
      </c>
      <c r="G207" t="s">
        <v>192</v>
      </c>
      <c r="H207">
        <v>390</v>
      </c>
      <c r="I207">
        <v>20519.629999999972</v>
      </c>
      <c r="J207">
        <v>13362.130000000028</v>
      </c>
      <c r="K207">
        <v>26.03</v>
      </c>
      <c r="L207">
        <v>6000.6099999999906</v>
      </c>
      <c r="M207" t="s">
        <v>193</v>
      </c>
      <c r="N207">
        <v>-325.39999999999998</v>
      </c>
      <c r="O207">
        <v>1000</v>
      </c>
      <c r="P207">
        <v>-87.78</v>
      </c>
      <c r="Q207">
        <v>540</v>
      </c>
    </row>
    <row r="208" spans="1:17">
      <c r="A208" s="155">
        <v>44926</v>
      </c>
      <c r="B208" t="s">
        <v>348</v>
      </c>
      <c r="C208" t="s">
        <v>8</v>
      </c>
      <c r="D208">
        <v>2022</v>
      </c>
      <c r="E208" t="s">
        <v>87</v>
      </c>
      <c r="F208" t="s">
        <v>80</v>
      </c>
      <c r="G208" t="s">
        <v>192</v>
      </c>
      <c r="H208">
        <v>20</v>
      </c>
      <c r="I208">
        <v>1630.2399999999998</v>
      </c>
      <c r="J208">
        <v>651.16999999999996</v>
      </c>
      <c r="K208">
        <v>540</v>
      </c>
      <c r="L208">
        <v>439.07000000000005</v>
      </c>
      <c r="M208" t="s">
        <v>193</v>
      </c>
      <c r="N208">
        <v>-325.39999999999998</v>
      </c>
      <c r="O208">
        <v>1000</v>
      </c>
      <c r="P208">
        <v>-87.78</v>
      </c>
      <c r="Q208">
        <v>540</v>
      </c>
    </row>
    <row r="209" spans="1:17">
      <c r="A209" s="155">
        <v>44926</v>
      </c>
      <c r="B209" t="s">
        <v>349</v>
      </c>
      <c r="C209" t="s">
        <v>8</v>
      </c>
      <c r="D209">
        <v>2022</v>
      </c>
      <c r="E209" t="s">
        <v>87</v>
      </c>
      <c r="F209" t="s">
        <v>80</v>
      </c>
      <c r="G209" t="s">
        <v>192</v>
      </c>
      <c r="H209">
        <v>256</v>
      </c>
      <c r="I209">
        <v>17957.929999999989</v>
      </c>
      <c r="J209">
        <v>9526.390000000014</v>
      </c>
      <c r="K209">
        <v>0</v>
      </c>
      <c r="L209">
        <v>5627.7899999999991</v>
      </c>
      <c r="M209" t="s">
        <v>193</v>
      </c>
      <c r="N209">
        <v>-325.39999999999998</v>
      </c>
      <c r="O209">
        <v>1000</v>
      </c>
      <c r="P209">
        <v>-87.78</v>
      </c>
      <c r="Q209">
        <v>540</v>
      </c>
    </row>
    <row r="210" spans="1:17">
      <c r="A210" s="155">
        <v>44926</v>
      </c>
      <c r="B210" t="s">
        <v>350</v>
      </c>
      <c r="C210" t="s">
        <v>8</v>
      </c>
      <c r="D210">
        <v>2022</v>
      </c>
      <c r="E210" t="s">
        <v>87</v>
      </c>
      <c r="F210" t="s">
        <v>80</v>
      </c>
      <c r="G210" t="s">
        <v>192</v>
      </c>
      <c r="H210">
        <v>251</v>
      </c>
      <c r="I210">
        <v>15698.809999999989</v>
      </c>
      <c r="J210">
        <v>8567.3200000000143</v>
      </c>
      <c r="K210">
        <v>0</v>
      </c>
      <c r="L210">
        <v>6597.6099999999988</v>
      </c>
      <c r="M210" t="s">
        <v>193</v>
      </c>
      <c r="N210">
        <v>-325.39999999999998</v>
      </c>
      <c r="O210">
        <v>1000</v>
      </c>
      <c r="P210">
        <v>-87.78</v>
      </c>
      <c r="Q210">
        <v>540</v>
      </c>
    </row>
    <row r="211" spans="1:17">
      <c r="A211" s="155">
        <v>44926</v>
      </c>
      <c r="B211" t="s">
        <v>351</v>
      </c>
      <c r="C211" t="s">
        <v>8</v>
      </c>
      <c r="D211">
        <v>2022</v>
      </c>
      <c r="E211" t="s">
        <v>87</v>
      </c>
      <c r="F211" t="s">
        <v>80</v>
      </c>
      <c r="G211" t="s">
        <v>192</v>
      </c>
      <c r="H211">
        <v>4</v>
      </c>
      <c r="I211">
        <v>231</v>
      </c>
      <c r="J211">
        <v>161.69999999999999</v>
      </c>
      <c r="K211">
        <v>0</v>
      </c>
      <c r="L211">
        <v>69.3</v>
      </c>
      <c r="M211" t="s">
        <v>193</v>
      </c>
      <c r="N211">
        <v>-325.39999999999998</v>
      </c>
      <c r="O211">
        <v>1000</v>
      </c>
      <c r="P211">
        <v>-87.78</v>
      </c>
      <c r="Q211">
        <v>540</v>
      </c>
    </row>
    <row r="212" spans="1:17">
      <c r="A212" s="155">
        <v>44926</v>
      </c>
      <c r="B212" t="s">
        <v>360</v>
      </c>
      <c r="C212" t="s">
        <v>8</v>
      </c>
      <c r="D212">
        <v>2022</v>
      </c>
      <c r="E212" t="s">
        <v>87</v>
      </c>
      <c r="F212" t="s">
        <v>80</v>
      </c>
      <c r="G212" t="s">
        <v>192</v>
      </c>
      <c r="H212">
        <v>1</v>
      </c>
      <c r="I212">
        <v>50</v>
      </c>
      <c r="J212">
        <v>35</v>
      </c>
      <c r="K212">
        <v>0</v>
      </c>
      <c r="L212">
        <v>15</v>
      </c>
      <c r="M212" t="s">
        <v>193</v>
      </c>
      <c r="N212">
        <v>-325.39999999999998</v>
      </c>
      <c r="O212">
        <v>1000</v>
      </c>
      <c r="P212">
        <v>-87.78</v>
      </c>
      <c r="Q212">
        <v>540</v>
      </c>
    </row>
    <row r="213" spans="1:17">
      <c r="A213" s="155">
        <v>44926</v>
      </c>
      <c r="B213" t="s">
        <v>361</v>
      </c>
      <c r="C213" t="s">
        <v>8</v>
      </c>
      <c r="D213">
        <v>2022</v>
      </c>
      <c r="E213" t="s">
        <v>87</v>
      </c>
      <c r="F213" t="s">
        <v>80</v>
      </c>
      <c r="G213" t="s">
        <v>192</v>
      </c>
      <c r="H213">
        <v>12</v>
      </c>
      <c r="I213">
        <v>700.95</v>
      </c>
      <c r="J213">
        <v>343.67</v>
      </c>
      <c r="K213">
        <v>0</v>
      </c>
      <c r="L213">
        <v>257.27999999999997</v>
      </c>
      <c r="M213" t="s">
        <v>193</v>
      </c>
      <c r="N213">
        <v>-325.39999999999998</v>
      </c>
      <c r="O213">
        <v>1000</v>
      </c>
      <c r="P213">
        <v>-87.78</v>
      </c>
      <c r="Q213">
        <v>540</v>
      </c>
    </row>
    <row r="214" spans="1:17">
      <c r="A214" s="155">
        <v>44926</v>
      </c>
      <c r="B214" t="s">
        <v>176</v>
      </c>
      <c r="C214" t="s">
        <v>8</v>
      </c>
      <c r="D214">
        <v>2022</v>
      </c>
      <c r="E214" t="s">
        <v>87</v>
      </c>
      <c r="F214" t="s">
        <v>80</v>
      </c>
      <c r="G214" t="s">
        <v>192</v>
      </c>
      <c r="H214">
        <v>12</v>
      </c>
      <c r="I214">
        <v>445.40000000000003</v>
      </c>
      <c r="J214">
        <v>311.77999999999997</v>
      </c>
      <c r="K214">
        <v>0</v>
      </c>
      <c r="L214">
        <v>133.62</v>
      </c>
      <c r="M214" t="s">
        <v>193</v>
      </c>
      <c r="N214">
        <v>-325.39999999999998</v>
      </c>
      <c r="O214">
        <v>1000</v>
      </c>
      <c r="P214">
        <v>-87.78</v>
      </c>
      <c r="Q214">
        <v>540</v>
      </c>
    </row>
    <row r="215" spans="1:17">
      <c r="A215" s="155">
        <v>44926</v>
      </c>
      <c r="B215" t="s">
        <v>352</v>
      </c>
      <c r="C215" t="s">
        <v>8</v>
      </c>
      <c r="D215">
        <v>2022</v>
      </c>
      <c r="E215" t="s">
        <v>87</v>
      </c>
      <c r="F215" t="s">
        <v>80</v>
      </c>
      <c r="G215" t="s">
        <v>192</v>
      </c>
      <c r="H215">
        <v>682</v>
      </c>
      <c r="I215">
        <v>44007.930000000066</v>
      </c>
      <c r="J215">
        <v>23530.189999999926</v>
      </c>
      <c r="K215">
        <v>350</v>
      </c>
      <c r="L215">
        <v>11582.410000000011</v>
      </c>
      <c r="M215" t="s">
        <v>193</v>
      </c>
      <c r="N215">
        <v>-325.39999999999998</v>
      </c>
      <c r="O215">
        <v>1000</v>
      </c>
      <c r="P215">
        <v>-87.78</v>
      </c>
      <c r="Q215">
        <v>540</v>
      </c>
    </row>
    <row r="216" spans="1:17">
      <c r="A216" s="155">
        <v>44926</v>
      </c>
      <c r="B216" t="s">
        <v>353</v>
      </c>
      <c r="C216" t="s">
        <v>8</v>
      </c>
      <c r="D216">
        <v>2022</v>
      </c>
      <c r="E216" t="s">
        <v>87</v>
      </c>
      <c r="F216" t="s">
        <v>80</v>
      </c>
      <c r="G216" t="s">
        <v>192</v>
      </c>
      <c r="H216">
        <v>390</v>
      </c>
      <c r="I216">
        <v>20519.629999999965</v>
      </c>
      <c r="J216">
        <v>13362.130000000026</v>
      </c>
      <c r="K216">
        <v>26.03</v>
      </c>
      <c r="L216">
        <v>6000.6099999999897</v>
      </c>
      <c r="M216" t="s">
        <v>193</v>
      </c>
      <c r="N216">
        <v>-325.39999999999998</v>
      </c>
      <c r="O216">
        <v>1000</v>
      </c>
      <c r="P216">
        <v>-87.78</v>
      </c>
      <c r="Q216">
        <v>540</v>
      </c>
    </row>
    <row r="217" spans="1:17">
      <c r="A217" s="155">
        <v>44926</v>
      </c>
      <c r="B217" t="s">
        <v>354</v>
      </c>
      <c r="C217" t="s">
        <v>8</v>
      </c>
      <c r="D217">
        <v>2022</v>
      </c>
      <c r="E217" t="s">
        <v>87</v>
      </c>
      <c r="F217" t="s">
        <v>80</v>
      </c>
      <c r="G217" t="s">
        <v>192</v>
      </c>
      <c r="H217">
        <v>20</v>
      </c>
      <c r="I217">
        <v>1630.2399999999998</v>
      </c>
      <c r="J217">
        <v>651.16999999999996</v>
      </c>
      <c r="K217">
        <v>540</v>
      </c>
      <c r="L217">
        <v>439.07</v>
      </c>
      <c r="M217" t="s">
        <v>193</v>
      </c>
      <c r="N217">
        <v>-325.39999999999998</v>
      </c>
      <c r="O217">
        <v>1000</v>
      </c>
      <c r="P217">
        <v>-87.78</v>
      </c>
      <c r="Q217">
        <v>540</v>
      </c>
    </row>
    <row r="218" spans="1:17">
      <c r="A218" s="155">
        <v>44926</v>
      </c>
      <c r="B218" t="s">
        <v>355</v>
      </c>
      <c r="C218" t="s">
        <v>8</v>
      </c>
      <c r="D218">
        <v>2022</v>
      </c>
      <c r="E218" t="s">
        <v>87</v>
      </c>
      <c r="F218" t="s">
        <v>80</v>
      </c>
      <c r="G218" t="s">
        <v>192</v>
      </c>
      <c r="H218">
        <v>256</v>
      </c>
      <c r="I218">
        <v>17957.929999999986</v>
      </c>
      <c r="J218">
        <v>9526.3900000000103</v>
      </c>
      <c r="K218">
        <v>0</v>
      </c>
      <c r="L218">
        <v>5627.7899999999972</v>
      </c>
      <c r="M218" t="s">
        <v>193</v>
      </c>
      <c r="N218">
        <v>-325.39999999999998</v>
      </c>
      <c r="O218">
        <v>1000</v>
      </c>
      <c r="P218">
        <v>-87.78</v>
      </c>
      <c r="Q218">
        <v>540</v>
      </c>
    </row>
    <row r="219" spans="1:17">
      <c r="A219" s="155">
        <v>44926</v>
      </c>
      <c r="B219" t="s">
        <v>356</v>
      </c>
      <c r="C219" t="s">
        <v>8</v>
      </c>
      <c r="D219">
        <v>2022</v>
      </c>
      <c r="E219" t="s">
        <v>87</v>
      </c>
      <c r="F219" t="s">
        <v>80</v>
      </c>
      <c r="G219" t="s">
        <v>192</v>
      </c>
      <c r="H219">
        <v>251</v>
      </c>
      <c r="I219">
        <v>15698.810000000001</v>
      </c>
      <c r="J219">
        <v>8567.3200000000124</v>
      </c>
      <c r="K219">
        <v>0</v>
      </c>
      <c r="L219">
        <v>6597.6099999999869</v>
      </c>
      <c r="M219" t="s">
        <v>193</v>
      </c>
      <c r="N219">
        <v>-325.39999999999998</v>
      </c>
      <c r="O219">
        <v>1000</v>
      </c>
      <c r="P219">
        <v>-87.78</v>
      </c>
      <c r="Q219">
        <v>540</v>
      </c>
    </row>
    <row r="220" spans="1:17">
      <c r="A220" s="155">
        <v>44926</v>
      </c>
      <c r="B220" t="s">
        <v>357</v>
      </c>
      <c r="C220" t="s">
        <v>8</v>
      </c>
      <c r="D220">
        <v>2022</v>
      </c>
      <c r="E220" t="s">
        <v>87</v>
      </c>
      <c r="F220" t="s">
        <v>80</v>
      </c>
      <c r="G220" t="s">
        <v>192</v>
      </c>
      <c r="H220">
        <v>4</v>
      </c>
      <c r="I220">
        <v>231</v>
      </c>
      <c r="J220">
        <v>161.69999999999999</v>
      </c>
      <c r="K220">
        <v>0</v>
      </c>
      <c r="L220">
        <v>69.3</v>
      </c>
      <c r="M220" t="s">
        <v>193</v>
      </c>
      <c r="N220">
        <v>-325.39999999999998</v>
      </c>
      <c r="O220">
        <v>1000</v>
      </c>
      <c r="P220">
        <v>-87.78</v>
      </c>
      <c r="Q220">
        <v>540</v>
      </c>
    </row>
    <row r="221" spans="1:17">
      <c r="A221" s="155">
        <v>44926</v>
      </c>
      <c r="B221" t="s">
        <v>363</v>
      </c>
      <c r="C221" t="s">
        <v>8</v>
      </c>
      <c r="D221">
        <v>2022</v>
      </c>
      <c r="E221" t="s">
        <v>87</v>
      </c>
      <c r="F221" t="s">
        <v>80</v>
      </c>
      <c r="G221" t="s">
        <v>192</v>
      </c>
      <c r="H221">
        <v>1</v>
      </c>
      <c r="I221">
        <v>50</v>
      </c>
      <c r="J221">
        <v>35</v>
      </c>
      <c r="K221">
        <v>0</v>
      </c>
      <c r="L221">
        <v>15</v>
      </c>
      <c r="M221" t="s">
        <v>193</v>
      </c>
      <c r="N221">
        <v>-325.39999999999998</v>
      </c>
      <c r="O221">
        <v>1000</v>
      </c>
      <c r="P221">
        <v>-87.78</v>
      </c>
      <c r="Q221">
        <v>540</v>
      </c>
    </row>
    <row r="222" spans="1:17">
      <c r="A222" s="155">
        <v>44926</v>
      </c>
      <c r="B222" t="s">
        <v>364</v>
      </c>
      <c r="C222" t="s">
        <v>8</v>
      </c>
      <c r="D222">
        <v>2022</v>
      </c>
      <c r="E222" t="s">
        <v>87</v>
      </c>
      <c r="F222" t="s">
        <v>80</v>
      </c>
      <c r="G222" t="s">
        <v>192</v>
      </c>
      <c r="H222">
        <v>12</v>
      </c>
      <c r="I222">
        <v>700.95</v>
      </c>
      <c r="J222">
        <v>343.67</v>
      </c>
      <c r="K222">
        <v>0</v>
      </c>
      <c r="L222">
        <v>257.27999999999997</v>
      </c>
      <c r="M222" t="s">
        <v>193</v>
      </c>
      <c r="N222">
        <v>-325.39999999999998</v>
      </c>
      <c r="O222">
        <v>1000</v>
      </c>
      <c r="P222">
        <v>-87.78</v>
      </c>
      <c r="Q222">
        <v>540</v>
      </c>
    </row>
    <row r="223" spans="1:17">
      <c r="A223" s="155">
        <v>44926</v>
      </c>
      <c r="B223" t="s">
        <v>358</v>
      </c>
      <c r="C223" t="s">
        <v>8</v>
      </c>
      <c r="D223">
        <v>2022</v>
      </c>
      <c r="E223" t="s">
        <v>87</v>
      </c>
      <c r="F223" t="s">
        <v>80</v>
      </c>
      <c r="G223" t="s">
        <v>192</v>
      </c>
      <c r="H223">
        <v>12</v>
      </c>
      <c r="I223">
        <v>445.4</v>
      </c>
      <c r="J223">
        <v>311.77999999999997</v>
      </c>
      <c r="K223">
        <v>0</v>
      </c>
      <c r="L223">
        <v>133.62</v>
      </c>
      <c r="M223" t="s">
        <v>193</v>
      </c>
      <c r="N223">
        <v>-325.39999999999998</v>
      </c>
      <c r="O223">
        <v>1000</v>
      </c>
      <c r="P223">
        <v>-87.78</v>
      </c>
      <c r="Q223">
        <v>540</v>
      </c>
    </row>
    <row r="224" spans="1:17">
      <c r="A224" s="155">
        <v>44926</v>
      </c>
      <c r="B224" t="s">
        <v>346</v>
      </c>
      <c r="C224" t="s">
        <v>8</v>
      </c>
      <c r="D224">
        <v>2022</v>
      </c>
      <c r="E224" t="s">
        <v>89</v>
      </c>
      <c r="F224" t="s">
        <v>88</v>
      </c>
      <c r="G224" t="s">
        <v>192</v>
      </c>
      <c r="H224">
        <v>142</v>
      </c>
      <c r="I224">
        <v>11850.599999999999</v>
      </c>
      <c r="J224">
        <v>0</v>
      </c>
      <c r="K224">
        <v>1165.52</v>
      </c>
      <c r="L224">
        <v>8668.92</v>
      </c>
      <c r="M224" t="s">
        <v>193</v>
      </c>
      <c r="N224">
        <v>20</v>
      </c>
      <c r="O224">
        <v>2571</v>
      </c>
      <c r="P224">
        <v>6.44</v>
      </c>
      <c r="Q224">
        <v>2571</v>
      </c>
    </row>
    <row r="225" spans="1:17">
      <c r="A225" s="155">
        <v>44926</v>
      </c>
      <c r="B225" t="s">
        <v>347</v>
      </c>
      <c r="C225" t="s">
        <v>8</v>
      </c>
      <c r="D225">
        <v>2022</v>
      </c>
      <c r="E225" t="s">
        <v>89</v>
      </c>
      <c r="F225" t="s">
        <v>88</v>
      </c>
      <c r="G225" t="s">
        <v>192</v>
      </c>
      <c r="H225">
        <v>47</v>
      </c>
      <c r="I225">
        <v>3137.48</v>
      </c>
      <c r="J225">
        <v>0</v>
      </c>
      <c r="K225">
        <v>0</v>
      </c>
      <c r="L225">
        <v>2996.9599999999996</v>
      </c>
      <c r="M225" t="s">
        <v>193</v>
      </c>
      <c r="N225">
        <v>20</v>
      </c>
      <c r="O225">
        <v>2571</v>
      </c>
      <c r="P225">
        <v>6.44</v>
      </c>
      <c r="Q225">
        <v>2571</v>
      </c>
    </row>
    <row r="226" spans="1:17">
      <c r="A226" s="155">
        <v>44926</v>
      </c>
      <c r="B226" t="s">
        <v>359</v>
      </c>
      <c r="C226" t="s">
        <v>8</v>
      </c>
      <c r="D226">
        <v>2022</v>
      </c>
      <c r="E226" t="s">
        <v>89</v>
      </c>
      <c r="F226" t="s">
        <v>88</v>
      </c>
      <c r="G226" t="s">
        <v>192</v>
      </c>
      <c r="H226">
        <v>2</v>
      </c>
      <c r="I226">
        <v>510</v>
      </c>
      <c r="J226">
        <v>0</v>
      </c>
      <c r="K226">
        <v>0</v>
      </c>
      <c r="L226">
        <v>510</v>
      </c>
      <c r="M226" t="s">
        <v>193</v>
      </c>
      <c r="N226">
        <v>20</v>
      </c>
      <c r="O226">
        <v>2571</v>
      </c>
      <c r="P226">
        <v>6.44</v>
      </c>
      <c r="Q226">
        <v>2571</v>
      </c>
    </row>
    <row r="227" spans="1:17">
      <c r="A227" s="155">
        <v>44926</v>
      </c>
      <c r="B227" t="s">
        <v>348</v>
      </c>
      <c r="C227" t="s">
        <v>8</v>
      </c>
      <c r="D227">
        <v>2022</v>
      </c>
      <c r="E227" t="s">
        <v>89</v>
      </c>
      <c r="F227" t="s">
        <v>88</v>
      </c>
      <c r="G227" t="s">
        <v>192</v>
      </c>
      <c r="H227">
        <v>2</v>
      </c>
      <c r="I227">
        <v>690</v>
      </c>
      <c r="J227">
        <v>0</v>
      </c>
      <c r="K227">
        <v>0</v>
      </c>
      <c r="L227">
        <v>345</v>
      </c>
      <c r="M227" t="s">
        <v>193</v>
      </c>
      <c r="N227">
        <v>20</v>
      </c>
      <c r="O227">
        <v>2571</v>
      </c>
      <c r="P227">
        <v>6.44</v>
      </c>
      <c r="Q227">
        <v>2571</v>
      </c>
    </row>
    <row r="228" spans="1:17">
      <c r="A228" s="155">
        <v>44926</v>
      </c>
      <c r="B228" t="s">
        <v>349</v>
      </c>
      <c r="C228" t="s">
        <v>8</v>
      </c>
      <c r="D228">
        <v>2022</v>
      </c>
      <c r="E228" t="s">
        <v>89</v>
      </c>
      <c r="F228" t="s">
        <v>88</v>
      </c>
      <c r="G228" t="s">
        <v>192</v>
      </c>
      <c r="H228">
        <v>13</v>
      </c>
      <c r="I228">
        <v>1199</v>
      </c>
      <c r="J228">
        <v>0</v>
      </c>
      <c r="K228">
        <v>0</v>
      </c>
      <c r="L228">
        <v>1107.48</v>
      </c>
      <c r="M228" t="s">
        <v>193</v>
      </c>
      <c r="N228">
        <v>20</v>
      </c>
      <c r="O228">
        <v>2571</v>
      </c>
      <c r="P228">
        <v>6.44</v>
      </c>
      <c r="Q228">
        <v>2571</v>
      </c>
    </row>
    <row r="229" spans="1:17">
      <c r="A229" s="155">
        <v>44926</v>
      </c>
      <c r="B229" t="s">
        <v>350</v>
      </c>
      <c r="C229" t="s">
        <v>8</v>
      </c>
      <c r="D229">
        <v>2022</v>
      </c>
      <c r="E229" t="s">
        <v>89</v>
      </c>
      <c r="F229" t="s">
        <v>88</v>
      </c>
      <c r="G229" t="s">
        <v>192</v>
      </c>
      <c r="H229">
        <v>25</v>
      </c>
      <c r="I229">
        <v>3424.52</v>
      </c>
      <c r="J229">
        <v>0</v>
      </c>
      <c r="K229">
        <v>925.56</v>
      </c>
      <c r="L229">
        <v>1802.24</v>
      </c>
      <c r="M229" t="s">
        <v>193</v>
      </c>
      <c r="N229">
        <v>20</v>
      </c>
      <c r="O229">
        <v>2571</v>
      </c>
      <c r="P229">
        <v>6.44</v>
      </c>
      <c r="Q229">
        <v>2571</v>
      </c>
    </row>
    <row r="230" spans="1:17">
      <c r="A230" s="155">
        <v>44926</v>
      </c>
      <c r="B230" t="s">
        <v>351</v>
      </c>
      <c r="C230" t="s">
        <v>8</v>
      </c>
      <c r="D230">
        <v>2022</v>
      </c>
      <c r="E230" t="s">
        <v>89</v>
      </c>
      <c r="F230" t="s">
        <v>88</v>
      </c>
      <c r="G230" t="s">
        <v>192</v>
      </c>
      <c r="H230">
        <v>10</v>
      </c>
      <c r="I230">
        <v>3020</v>
      </c>
      <c r="J230">
        <v>0</v>
      </c>
      <c r="K230">
        <v>0</v>
      </c>
      <c r="L230">
        <v>2170</v>
      </c>
      <c r="M230" t="s">
        <v>193</v>
      </c>
      <c r="N230">
        <v>20</v>
      </c>
      <c r="O230">
        <v>2571</v>
      </c>
      <c r="P230">
        <v>6.44</v>
      </c>
      <c r="Q230">
        <v>2571</v>
      </c>
    </row>
    <row r="231" spans="1:17">
      <c r="A231" s="155">
        <v>44926</v>
      </c>
      <c r="B231" t="s">
        <v>369</v>
      </c>
      <c r="C231" t="s">
        <v>8</v>
      </c>
      <c r="D231">
        <v>2022</v>
      </c>
      <c r="E231" t="s">
        <v>89</v>
      </c>
      <c r="F231" t="s">
        <v>88</v>
      </c>
      <c r="G231" t="s">
        <v>192</v>
      </c>
      <c r="H231">
        <v>21</v>
      </c>
      <c r="I231">
        <v>4766.2</v>
      </c>
      <c r="J231">
        <v>0</v>
      </c>
      <c r="K231">
        <v>0</v>
      </c>
      <c r="L231">
        <v>3787.52</v>
      </c>
      <c r="M231" t="s">
        <v>193</v>
      </c>
      <c r="N231">
        <v>20</v>
      </c>
      <c r="O231">
        <v>2571</v>
      </c>
      <c r="P231">
        <v>6.44</v>
      </c>
      <c r="Q231">
        <v>2571</v>
      </c>
    </row>
    <row r="232" spans="1:17">
      <c r="A232" s="155">
        <v>44926</v>
      </c>
      <c r="B232" t="s">
        <v>360</v>
      </c>
      <c r="C232" t="s">
        <v>8</v>
      </c>
      <c r="D232">
        <v>2022</v>
      </c>
      <c r="E232" t="s">
        <v>89</v>
      </c>
      <c r="F232" t="s">
        <v>88</v>
      </c>
      <c r="G232" t="s">
        <v>192</v>
      </c>
      <c r="H232">
        <v>20</v>
      </c>
      <c r="I232">
        <v>4139.8</v>
      </c>
      <c r="J232">
        <v>0</v>
      </c>
      <c r="K232">
        <v>0</v>
      </c>
      <c r="L232">
        <v>3273.5000000000005</v>
      </c>
      <c r="M232" t="s">
        <v>193</v>
      </c>
      <c r="N232">
        <v>20</v>
      </c>
      <c r="O232">
        <v>2571</v>
      </c>
      <c r="P232">
        <v>6.44</v>
      </c>
      <c r="Q232">
        <v>2571</v>
      </c>
    </row>
    <row r="233" spans="1:17">
      <c r="A233" s="155">
        <v>44926</v>
      </c>
      <c r="B233" t="s">
        <v>361</v>
      </c>
      <c r="C233" t="s">
        <v>8</v>
      </c>
      <c r="D233">
        <v>2022</v>
      </c>
      <c r="E233" t="s">
        <v>89</v>
      </c>
      <c r="F233" t="s">
        <v>88</v>
      </c>
      <c r="G233" t="s">
        <v>192</v>
      </c>
      <c r="H233">
        <v>34</v>
      </c>
      <c r="I233">
        <v>8545</v>
      </c>
      <c r="J233">
        <v>0</v>
      </c>
      <c r="K233">
        <v>0</v>
      </c>
      <c r="L233">
        <v>6557.84</v>
      </c>
      <c r="M233" t="s">
        <v>193</v>
      </c>
      <c r="N233">
        <v>20</v>
      </c>
      <c r="O233">
        <v>2571</v>
      </c>
      <c r="P233">
        <v>6.44</v>
      </c>
      <c r="Q233">
        <v>2571</v>
      </c>
    </row>
    <row r="234" spans="1:17">
      <c r="A234" s="155">
        <v>44926</v>
      </c>
      <c r="B234" t="s">
        <v>176</v>
      </c>
      <c r="C234" t="s">
        <v>8</v>
      </c>
      <c r="D234">
        <v>2022</v>
      </c>
      <c r="E234" t="s">
        <v>89</v>
      </c>
      <c r="F234" t="s">
        <v>88</v>
      </c>
      <c r="G234" t="s">
        <v>192</v>
      </c>
      <c r="H234">
        <v>39</v>
      </c>
      <c r="I234">
        <v>17716.2</v>
      </c>
      <c r="J234">
        <v>0</v>
      </c>
      <c r="K234">
        <v>0</v>
      </c>
      <c r="L234">
        <v>15594.6</v>
      </c>
      <c r="M234" t="s">
        <v>193</v>
      </c>
      <c r="N234">
        <v>20</v>
      </c>
      <c r="O234">
        <v>2571</v>
      </c>
      <c r="P234">
        <v>6.44</v>
      </c>
      <c r="Q234">
        <v>2571</v>
      </c>
    </row>
    <row r="235" spans="1:17">
      <c r="A235" s="155">
        <v>44926</v>
      </c>
      <c r="B235" t="s">
        <v>352</v>
      </c>
      <c r="C235" t="s">
        <v>8</v>
      </c>
      <c r="D235">
        <v>2022</v>
      </c>
      <c r="E235" t="s">
        <v>89</v>
      </c>
      <c r="F235" t="s">
        <v>88</v>
      </c>
      <c r="G235" t="s">
        <v>192</v>
      </c>
      <c r="H235">
        <v>142</v>
      </c>
      <c r="I235">
        <v>11850.6</v>
      </c>
      <c r="J235">
        <v>0</v>
      </c>
      <c r="K235">
        <v>1165.52</v>
      </c>
      <c r="L235">
        <v>8668.9200000000037</v>
      </c>
      <c r="M235" t="s">
        <v>193</v>
      </c>
      <c r="N235">
        <v>20</v>
      </c>
      <c r="O235">
        <v>2571</v>
      </c>
      <c r="P235">
        <v>6.44</v>
      </c>
      <c r="Q235">
        <v>2571</v>
      </c>
    </row>
    <row r="236" spans="1:17">
      <c r="A236" s="155">
        <v>44926</v>
      </c>
      <c r="B236" t="s">
        <v>353</v>
      </c>
      <c r="C236" t="s">
        <v>8</v>
      </c>
      <c r="D236">
        <v>2022</v>
      </c>
      <c r="E236" t="s">
        <v>89</v>
      </c>
      <c r="F236" t="s">
        <v>88</v>
      </c>
      <c r="G236" t="s">
        <v>192</v>
      </c>
      <c r="H236">
        <v>47</v>
      </c>
      <c r="I236">
        <v>3137.48</v>
      </c>
      <c r="J236">
        <v>0</v>
      </c>
      <c r="K236">
        <v>0</v>
      </c>
      <c r="L236">
        <v>2996.9599999999996</v>
      </c>
      <c r="M236" t="s">
        <v>193</v>
      </c>
      <c r="N236">
        <v>20</v>
      </c>
      <c r="O236">
        <v>2571</v>
      </c>
      <c r="P236">
        <v>6.44</v>
      </c>
      <c r="Q236">
        <v>2571</v>
      </c>
    </row>
    <row r="237" spans="1:17">
      <c r="A237" s="155">
        <v>44926</v>
      </c>
      <c r="B237" t="s">
        <v>362</v>
      </c>
      <c r="C237" t="s">
        <v>8</v>
      </c>
      <c r="D237">
        <v>2022</v>
      </c>
      <c r="E237" t="s">
        <v>89</v>
      </c>
      <c r="F237" t="s">
        <v>88</v>
      </c>
      <c r="G237" t="s">
        <v>192</v>
      </c>
      <c r="H237">
        <v>2</v>
      </c>
      <c r="I237">
        <v>510</v>
      </c>
      <c r="J237">
        <v>0</v>
      </c>
      <c r="K237">
        <v>0</v>
      </c>
      <c r="L237">
        <v>510</v>
      </c>
      <c r="M237" t="s">
        <v>193</v>
      </c>
      <c r="N237">
        <v>20</v>
      </c>
      <c r="O237">
        <v>2571</v>
      </c>
      <c r="P237">
        <v>6.44</v>
      </c>
      <c r="Q237">
        <v>2571</v>
      </c>
    </row>
    <row r="238" spans="1:17">
      <c r="A238" s="155">
        <v>44926</v>
      </c>
      <c r="B238" t="s">
        <v>354</v>
      </c>
      <c r="C238" t="s">
        <v>8</v>
      </c>
      <c r="D238">
        <v>2022</v>
      </c>
      <c r="E238" t="s">
        <v>89</v>
      </c>
      <c r="F238" t="s">
        <v>88</v>
      </c>
      <c r="G238" t="s">
        <v>192</v>
      </c>
      <c r="H238">
        <v>2</v>
      </c>
      <c r="I238">
        <v>690</v>
      </c>
      <c r="J238">
        <v>0</v>
      </c>
      <c r="K238">
        <v>0</v>
      </c>
      <c r="L238">
        <v>345</v>
      </c>
      <c r="M238" t="s">
        <v>193</v>
      </c>
      <c r="N238">
        <v>20</v>
      </c>
      <c r="O238">
        <v>2571</v>
      </c>
      <c r="P238">
        <v>6.44</v>
      </c>
      <c r="Q238">
        <v>2571</v>
      </c>
    </row>
    <row r="239" spans="1:17">
      <c r="A239" s="155">
        <v>44926</v>
      </c>
      <c r="B239" t="s">
        <v>355</v>
      </c>
      <c r="C239" t="s">
        <v>8</v>
      </c>
      <c r="D239">
        <v>2022</v>
      </c>
      <c r="E239" t="s">
        <v>89</v>
      </c>
      <c r="F239" t="s">
        <v>88</v>
      </c>
      <c r="G239" t="s">
        <v>192</v>
      </c>
      <c r="H239">
        <v>13</v>
      </c>
      <c r="I239">
        <v>1199</v>
      </c>
      <c r="J239">
        <v>0</v>
      </c>
      <c r="K239">
        <v>0</v>
      </c>
      <c r="L239">
        <v>1107.48</v>
      </c>
      <c r="M239" t="s">
        <v>193</v>
      </c>
      <c r="N239">
        <v>20</v>
      </c>
      <c r="O239">
        <v>2571</v>
      </c>
      <c r="P239">
        <v>6.44</v>
      </c>
      <c r="Q239">
        <v>2571</v>
      </c>
    </row>
    <row r="240" spans="1:17">
      <c r="A240" s="155">
        <v>44926</v>
      </c>
      <c r="B240" t="s">
        <v>356</v>
      </c>
      <c r="C240" t="s">
        <v>8</v>
      </c>
      <c r="D240">
        <v>2022</v>
      </c>
      <c r="E240" t="s">
        <v>89</v>
      </c>
      <c r="F240" t="s">
        <v>88</v>
      </c>
      <c r="G240" t="s">
        <v>192</v>
      </c>
      <c r="H240">
        <v>25</v>
      </c>
      <c r="I240">
        <v>3424.52</v>
      </c>
      <c r="J240">
        <v>0</v>
      </c>
      <c r="K240">
        <v>925.56</v>
      </c>
      <c r="L240">
        <v>1802.24</v>
      </c>
      <c r="M240" t="s">
        <v>193</v>
      </c>
      <c r="N240">
        <v>20</v>
      </c>
      <c r="O240">
        <v>2571</v>
      </c>
      <c r="P240">
        <v>6.44</v>
      </c>
      <c r="Q240">
        <v>2571</v>
      </c>
    </row>
    <row r="241" spans="1:17">
      <c r="A241" s="155">
        <v>44926</v>
      </c>
      <c r="B241" t="s">
        <v>357</v>
      </c>
      <c r="C241" t="s">
        <v>8</v>
      </c>
      <c r="D241">
        <v>2022</v>
      </c>
      <c r="E241" t="s">
        <v>89</v>
      </c>
      <c r="F241" t="s">
        <v>88</v>
      </c>
      <c r="G241" t="s">
        <v>192</v>
      </c>
      <c r="H241">
        <v>10</v>
      </c>
      <c r="I241">
        <v>3020</v>
      </c>
      <c r="J241">
        <v>0</v>
      </c>
      <c r="K241">
        <v>0</v>
      </c>
      <c r="L241">
        <v>2170</v>
      </c>
      <c r="M241" t="s">
        <v>193</v>
      </c>
      <c r="N241">
        <v>20</v>
      </c>
      <c r="O241">
        <v>2571</v>
      </c>
      <c r="P241">
        <v>6.44</v>
      </c>
      <c r="Q241">
        <v>2571</v>
      </c>
    </row>
    <row r="242" spans="1:17">
      <c r="A242" s="155">
        <v>44926</v>
      </c>
      <c r="B242" t="s">
        <v>377</v>
      </c>
      <c r="C242" t="s">
        <v>8</v>
      </c>
      <c r="D242">
        <v>2022</v>
      </c>
      <c r="E242" t="s">
        <v>89</v>
      </c>
      <c r="F242" t="s">
        <v>88</v>
      </c>
      <c r="G242" t="s">
        <v>192</v>
      </c>
      <c r="H242">
        <v>21</v>
      </c>
      <c r="I242">
        <v>4766.2</v>
      </c>
      <c r="J242">
        <v>0</v>
      </c>
      <c r="K242">
        <v>0</v>
      </c>
      <c r="L242">
        <v>3787.52</v>
      </c>
      <c r="M242" t="s">
        <v>193</v>
      </c>
      <c r="N242">
        <v>20</v>
      </c>
      <c r="O242">
        <v>2571</v>
      </c>
      <c r="P242">
        <v>6.44</v>
      </c>
      <c r="Q242">
        <v>2571</v>
      </c>
    </row>
    <row r="243" spans="1:17">
      <c r="A243" s="155">
        <v>44926</v>
      </c>
      <c r="B243" t="s">
        <v>363</v>
      </c>
      <c r="C243" t="s">
        <v>8</v>
      </c>
      <c r="D243">
        <v>2022</v>
      </c>
      <c r="E243" t="s">
        <v>89</v>
      </c>
      <c r="F243" t="s">
        <v>88</v>
      </c>
      <c r="G243" t="s">
        <v>192</v>
      </c>
      <c r="H243">
        <v>20</v>
      </c>
      <c r="I243">
        <v>4139.8</v>
      </c>
      <c r="J243">
        <v>0</v>
      </c>
      <c r="K243">
        <v>0</v>
      </c>
      <c r="L243">
        <v>3273.5000000000005</v>
      </c>
      <c r="M243" t="s">
        <v>193</v>
      </c>
      <c r="N243">
        <v>20</v>
      </c>
      <c r="O243">
        <v>2571</v>
      </c>
      <c r="P243">
        <v>6.44</v>
      </c>
      <c r="Q243">
        <v>2571</v>
      </c>
    </row>
    <row r="244" spans="1:17">
      <c r="A244" s="155">
        <v>44926</v>
      </c>
      <c r="B244" t="s">
        <v>364</v>
      </c>
      <c r="C244" t="s">
        <v>8</v>
      </c>
      <c r="D244">
        <v>2022</v>
      </c>
      <c r="E244" t="s">
        <v>89</v>
      </c>
      <c r="F244" t="s">
        <v>88</v>
      </c>
      <c r="G244" t="s">
        <v>192</v>
      </c>
      <c r="H244">
        <v>34</v>
      </c>
      <c r="I244">
        <v>8545</v>
      </c>
      <c r="J244">
        <v>0</v>
      </c>
      <c r="K244">
        <v>0</v>
      </c>
      <c r="L244">
        <v>6557.8399999999992</v>
      </c>
      <c r="M244" t="s">
        <v>193</v>
      </c>
      <c r="N244">
        <v>20</v>
      </c>
      <c r="O244">
        <v>2571</v>
      </c>
      <c r="P244">
        <v>6.44</v>
      </c>
      <c r="Q244">
        <v>2571</v>
      </c>
    </row>
    <row r="245" spans="1:17">
      <c r="A245" s="155">
        <v>44926</v>
      </c>
      <c r="B245" t="s">
        <v>358</v>
      </c>
      <c r="C245" t="s">
        <v>8</v>
      </c>
      <c r="D245">
        <v>2022</v>
      </c>
      <c r="E245" t="s">
        <v>89</v>
      </c>
      <c r="F245" t="s">
        <v>88</v>
      </c>
      <c r="G245" t="s">
        <v>192</v>
      </c>
      <c r="H245">
        <v>39</v>
      </c>
      <c r="I245">
        <v>17716.2</v>
      </c>
      <c r="J245">
        <v>0</v>
      </c>
      <c r="K245">
        <v>0</v>
      </c>
      <c r="L245">
        <v>15594.6</v>
      </c>
      <c r="M245" t="s">
        <v>193</v>
      </c>
      <c r="N245">
        <v>20</v>
      </c>
      <c r="O245">
        <v>2571</v>
      </c>
      <c r="P245">
        <v>6.44</v>
      </c>
      <c r="Q245">
        <v>2571</v>
      </c>
    </row>
    <row r="246" spans="1:17">
      <c r="A246" s="155">
        <v>44926</v>
      </c>
      <c r="B246" t="s">
        <v>346</v>
      </c>
      <c r="C246" t="s">
        <v>8</v>
      </c>
      <c r="D246">
        <v>2022</v>
      </c>
      <c r="E246" t="s">
        <v>279</v>
      </c>
      <c r="F246" t="s">
        <v>88</v>
      </c>
      <c r="G246" t="s">
        <v>192</v>
      </c>
      <c r="H246">
        <v>287</v>
      </c>
      <c r="I246">
        <v>17850.88</v>
      </c>
      <c r="J246">
        <v>0</v>
      </c>
      <c r="K246">
        <v>891.28</v>
      </c>
      <c r="L246">
        <v>16038.84</v>
      </c>
      <c r="M246" t="s">
        <v>193</v>
      </c>
      <c r="N246">
        <v>-220</v>
      </c>
      <c r="O246">
        <v>150</v>
      </c>
      <c r="P246">
        <v>-220</v>
      </c>
      <c r="Q246">
        <v>137.12</v>
      </c>
    </row>
    <row r="247" spans="1:17">
      <c r="A247" s="155">
        <v>44926</v>
      </c>
      <c r="B247" t="s">
        <v>347</v>
      </c>
      <c r="C247" t="s">
        <v>8</v>
      </c>
      <c r="D247">
        <v>2022</v>
      </c>
      <c r="E247" t="s">
        <v>279</v>
      </c>
      <c r="F247" t="s">
        <v>88</v>
      </c>
      <c r="G247" t="s">
        <v>192</v>
      </c>
      <c r="H247">
        <v>104</v>
      </c>
      <c r="I247">
        <v>7591.5999999999995</v>
      </c>
      <c r="J247">
        <v>0</v>
      </c>
      <c r="K247">
        <v>0</v>
      </c>
      <c r="L247">
        <v>7063.64</v>
      </c>
      <c r="M247" t="s">
        <v>193</v>
      </c>
      <c r="N247">
        <v>-220</v>
      </c>
      <c r="O247">
        <v>150</v>
      </c>
      <c r="P247">
        <v>-220</v>
      </c>
      <c r="Q247">
        <v>137.12</v>
      </c>
    </row>
    <row r="248" spans="1:17">
      <c r="A248" s="155">
        <v>44926</v>
      </c>
      <c r="B248" t="s">
        <v>348</v>
      </c>
      <c r="C248" t="s">
        <v>8</v>
      </c>
      <c r="D248">
        <v>2022</v>
      </c>
      <c r="E248" t="s">
        <v>279</v>
      </c>
      <c r="F248" t="s">
        <v>88</v>
      </c>
      <c r="G248" t="s">
        <v>192</v>
      </c>
      <c r="H248">
        <v>2</v>
      </c>
      <c r="I248">
        <v>200</v>
      </c>
      <c r="J248">
        <v>0</v>
      </c>
      <c r="K248">
        <v>102.84</v>
      </c>
      <c r="L248">
        <v>84.28</v>
      </c>
      <c r="M248" t="s">
        <v>193</v>
      </c>
      <c r="N248">
        <v>-220</v>
      </c>
      <c r="O248">
        <v>150</v>
      </c>
      <c r="P248">
        <v>-220</v>
      </c>
      <c r="Q248">
        <v>137.12</v>
      </c>
    </row>
    <row r="249" spans="1:17">
      <c r="A249" s="155">
        <v>44926</v>
      </c>
      <c r="B249" t="s">
        <v>349</v>
      </c>
      <c r="C249" t="s">
        <v>8</v>
      </c>
      <c r="D249">
        <v>2022</v>
      </c>
      <c r="E249" t="s">
        <v>279</v>
      </c>
      <c r="F249" t="s">
        <v>88</v>
      </c>
      <c r="G249" t="s">
        <v>192</v>
      </c>
      <c r="H249">
        <v>167</v>
      </c>
      <c r="I249">
        <v>15830.480000000003</v>
      </c>
      <c r="J249">
        <v>0</v>
      </c>
      <c r="K249">
        <v>0</v>
      </c>
      <c r="L249">
        <v>15830.480000000003</v>
      </c>
      <c r="M249" t="s">
        <v>193</v>
      </c>
      <c r="N249">
        <v>-220</v>
      </c>
      <c r="O249">
        <v>150</v>
      </c>
      <c r="P249">
        <v>-220</v>
      </c>
      <c r="Q249">
        <v>137.12</v>
      </c>
    </row>
    <row r="250" spans="1:17">
      <c r="A250" s="155">
        <v>44926</v>
      </c>
      <c r="B250" t="s">
        <v>350</v>
      </c>
      <c r="C250" t="s">
        <v>8</v>
      </c>
      <c r="D250">
        <v>2022</v>
      </c>
      <c r="E250" t="s">
        <v>279</v>
      </c>
      <c r="F250" t="s">
        <v>88</v>
      </c>
      <c r="G250" t="s">
        <v>192</v>
      </c>
      <c r="H250">
        <v>89</v>
      </c>
      <c r="I250">
        <v>8822.76</v>
      </c>
      <c r="J250">
        <v>0</v>
      </c>
      <c r="K250">
        <v>1439.76</v>
      </c>
      <c r="L250">
        <v>5638.72</v>
      </c>
      <c r="M250" t="s">
        <v>193</v>
      </c>
      <c r="N250">
        <v>-220</v>
      </c>
      <c r="O250">
        <v>150</v>
      </c>
      <c r="P250">
        <v>-220</v>
      </c>
      <c r="Q250">
        <v>137.12</v>
      </c>
    </row>
    <row r="251" spans="1:17">
      <c r="A251" s="155">
        <v>44926</v>
      </c>
      <c r="B251" t="s">
        <v>360</v>
      </c>
      <c r="C251" t="s">
        <v>8</v>
      </c>
      <c r="D251">
        <v>2022</v>
      </c>
      <c r="E251" t="s">
        <v>279</v>
      </c>
      <c r="F251" t="s">
        <v>88</v>
      </c>
      <c r="G251" t="s">
        <v>192</v>
      </c>
      <c r="H251">
        <v>1</v>
      </c>
      <c r="I251">
        <v>49</v>
      </c>
      <c r="J251">
        <v>0</v>
      </c>
      <c r="K251">
        <v>0</v>
      </c>
      <c r="L251">
        <v>49</v>
      </c>
      <c r="M251" t="s">
        <v>193</v>
      </c>
      <c r="N251">
        <v>-220</v>
      </c>
      <c r="O251">
        <v>150</v>
      </c>
      <c r="P251">
        <v>-220</v>
      </c>
      <c r="Q251">
        <v>137.12</v>
      </c>
    </row>
    <row r="252" spans="1:17">
      <c r="A252" s="155">
        <v>44926</v>
      </c>
      <c r="B252" t="s">
        <v>361</v>
      </c>
      <c r="C252" t="s">
        <v>8</v>
      </c>
      <c r="D252">
        <v>2022</v>
      </c>
      <c r="E252" t="s">
        <v>279</v>
      </c>
      <c r="F252" t="s">
        <v>88</v>
      </c>
      <c r="G252" t="s">
        <v>192</v>
      </c>
      <c r="H252">
        <v>1</v>
      </c>
      <c r="I252">
        <v>35</v>
      </c>
      <c r="J252">
        <v>0</v>
      </c>
      <c r="K252">
        <v>0</v>
      </c>
      <c r="L252">
        <v>35</v>
      </c>
      <c r="M252" t="s">
        <v>193</v>
      </c>
      <c r="N252">
        <v>-220</v>
      </c>
      <c r="O252">
        <v>150</v>
      </c>
      <c r="P252">
        <v>-220</v>
      </c>
      <c r="Q252">
        <v>137.12</v>
      </c>
    </row>
    <row r="253" spans="1:17">
      <c r="A253" s="155">
        <v>44926</v>
      </c>
      <c r="B253" t="s">
        <v>352</v>
      </c>
      <c r="C253" t="s">
        <v>8</v>
      </c>
      <c r="D253">
        <v>2022</v>
      </c>
      <c r="E253" t="s">
        <v>279</v>
      </c>
      <c r="F253" t="s">
        <v>88</v>
      </c>
      <c r="G253" t="s">
        <v>192</v>
      </c>
      <c r="H253">
        <v>287</v>
      </c>
      <c r="I253">
        <v>17850.879999999997</v>
      </c>
      <c r="J253">
        <v>0</v>
      </c>
      <c r="K253">
        <v>891.28</v>
      </c>
      <c r="L253">
        <v>16038.839999999997</v>
      </c>
      <c r="M253" t="s">
        <v>193</v>
      </c>
      <c r="N253">
        <v>-220</v>
      </c>
      <c r="O253">
        <v>150</v>
      </c>
      <c r="P253">
        <v>-220</v>
      </c>
      <c r="Q253">
        <v>137.12</v>
      </c>
    </row>
    <row r="254" spans="1:17">
      <c r="A254" s="155">
        <v>44926</v>
      </c>
      <c r="B254" t="s">
        <v>353</v>
      </c>
      <c r="C254" t="s">
        <v>8</v>
      </c>
      <c r="D254">
        <v>2022</v>
      </c>
      <c r="E254" t="s">
        <v>279</v>
      </c>
      <c r="F254" t="s">
        <v>88</v>
      </c>
      <c r="G254" t="s">
        <v>192</v>
      </c>
      <c r="H254">
        <v>104</v>
      </c>
      <c r="I254">
        <v>7591.5999999999995</v>
      </c>
      <c r="J254">
        <v>0</v>
      </c>
      <c r="K254">
        <v>0</v>
      </c>
      <c r="L254">
        <v>7063.6399999999994</v>
      </c>
      <c r="M254" t="s">
        <v>193</v>
      </c>
      <c r="N254">
        <v>-220</v>
      </c>
      <c r="O254">
        <v>150</v>
      </c>
      <c r="P254">
        <v>-220</v>
      </c>
      <c r="Q254">
        <v>137.12</v>
      </c>
    </row>
    <row r="255" spans="1:17">
      <c r="A255" s="155">
        <v>44926</v>
      </c>
      <c r="B255" t="s">
        <v>354</v>
      </c>
      <c r="C255" t="s">
        <v>8</v>
      </c>
      <c r="D255">
        <v>2022</v>
      </c>
      <c r="E255" t="s">
        <v>279</v>
      </c>
      <c r="F255" t="s">
        <v>88</v>
      </c>
      <c r="G255" t="s">
        <v>192</v>
      </c>
      <c r="H255">
        <v>2</v>
      </c>
      <c r="I255">
        <v>200</v>
      </c>
      <c r="J255">
        <v>0</v>
      </c>
      <c r="K255">
        <v>102.84</v>
      </c>
      <c r="L255">
        <v>84.28</v>
      </c>
      <c r="M255" t="s">
        <v>193</v>
      </c>
      <c r="N255">
        <v>-220</v>
      </c>
      <c r="O255">
        <v>150</v>
      </c>
      <c r="P255">
        <v>-220</v>
      </c>
      <c r="Q255">
        <v>137.12</v>
      </c>
    </row>
    <row r="256" spans="1:17">
      <c r="A256" s="155">
        <v>44926</v>
      </c>
      <c r="B256" t="s">
        <v>355</v>
      </c>
      <c r="C256" t="s">
        <v>8</v>
      </c>
      <c r="D256">
        <v>2022</v>
      </c>
      <c r="E256" t="s">
        <v>279</v>
      </c>
      <c r="F256" t="s">
        <v>88</v>
      </c>
      <c r="G256" t="s">
        <v>192</v>
      </c>
      <c r="H256">
        <v>167</v>
      </c>
      <c r="I256">
        <v>15830.480000000001</v>
      </c>
      <c r="J256">
        <v>0</v>
      </c>
      <c r="K256">
        <v>0</v>
      </c>
      <c r="L256">
        <v>15830.480000000001</v>
      </c>
      <c r="M256" t="s">
        <v>193</v>
      </c>
      <c r="N256">
        <v>-220</v>
      </c>
      <c r="O256">
        <v>150</v>
      </c>
      <c r="P256">
        <v>-220</v>
      </c>
      <c r="Q256">
        <v>137.12</v>
      </c>
    </row>
    <row r="257" spans="1:17">
      <c r="A257" s="155">
        <v>44926</v>
      </c>
      <c r="B257" t="s">
        <v>356</v>
      </c>
      <c r="C257" t="s">
        <v>8</v>
      </c>
      <c r="D257">
        <v>2022</v>
      </c>
      <c r="E257" t="s">
        <v>279</v>
      </c>
      <c r="F257" t="s">
        <v>88</v>
      </c>
      <c r="G257" t="s">
        <v>192</v>
      </c>
      <c r="H257">
        <v>89</v>
      </c>
      <c r="I257">
        <v>8822.76</v>
      </c>
      <c r="J257">
        <v>0</v>
      </c>
      <c r="K257">
        <v>1439.7600000000002</v>
      </c>
      <c r="L257">
        <v>5638.72</v>
      </c>
      <c r="M257" t="s">
        <v>193</v>
      </c>
      <c r="N257">
        <v>-220</v>
      </c>
      <c r="O257">
        <v>150</v>
      </c>
      <c r="P257">
        <v>-220</v>
      </c>
      <c r="Q257">
        <v>137.12</v>
      </c>
    </row>
    <row r="258" spans="1:17">
      <c r="A258" s="155">
        <v>44926</v>
      </c>
      <c r="B258" t="s">
        <v>363</v>
      </c>
      <c r="C258" t="s">
        <v>8</v>
      </c>
      <c r="D258">
        <v>2022</v>
      </c>
      <c r="E258" t="s">
        <v>279</v>
      </c>
      <c r="F258" t="s">
        <v>88</v>
      </c>
      <c r="G258" t="s">
        <v>192</v>
      </c>
      <c r="H258">
        <v>1</v>
      </c>
      <c r="I258">
        <v>49</v>
      </c>
      <c r="J258">
        <v>0</v>
      </c>
      <c r="K258">
        <v>0</v>
      </c>
      <c r="L258">
        <v>49</v>
      </c>
      <c r="M258" t="s">
        <v>193</v>
      </c>
      <c r="N258">
        <v>-220</v>
      </c>
      <c r="O258">
        <v>150</v>
      </c>
      <c r="P258">
        <v>-220</v>
      </c>
      <c r="Q258">
        <v>137.12</v>
      </c>
    </row>
    <row r="259" spans="1:17">
      <c r="A259" s="155">
        <v>44926</v>
      </c>
      <c r="B259" t="s">
        <v>364</v>
      </c>
      <c r="C259" t="s">
        <v>8</v>
      </c>
      <c r="D259">
        <v>2022</v>
      </c>
      <c r="E259" t="s">
        <v>279</v>
      </c>
      <c r="F259" t="s">
        <v>88</v>
      </c>
      <c r="G259" t="s">
        <v>192</v>
      </c>
      <c r="H259">
        <v>1</v>
      </c>
      <c r="I259">
        <v>35</v>
      </c>
      <c r="J259">
        <v>0</v>
      </c>
      <c r="K259">
        <v>0</v>
      </c>
      <c r="L259">
        <v>35</v>
      </c>
      <c r="M259" t="s">
        <v>193</v>
      </c>
      <c r="N259">
        <v>-220</v>
      </c>
      <c r="O259">
        <v>150</v>
      </c>
      <c r="P259">
        <v>-220</v>
      </c>
      <c r="Q259">
        <v>137.12</v>
      </c>
    </row>
    <row r="260" spans="1:17">
      <c r="A260" s="155">
        <v>44926</v>
      </c>
      <c r="B260" t="s">
        <v>347</v>
      </c>
      <c r="C260" t="s">
        <v>8</v>
      </c>
      <c r="D260">
        <v>2022</v>
      </c>
      <c r="E260" t="s">
        <v>280</v>
      </c>
      <c r="F260" t="s">
        <v>88</v>
      </c>
      <c r="G260" t="s">
        <v>192</v>
      </c>
      <c r="H260">
        <v>2</v>
      </c>
      <c r="I260">
        <v>65</v>
      </c>
      <c r="J260">
        <v>52</v>
      </c>
      <c r="K260">
        <v>0</v>
      </c>
      <c r="L260">
        <v>13</v>
      </c>
      <c r="M260" t="s">
        <v>193</v>
      </c>
      <c r="N260">
        <v>30</v>
      </c>
      <c r="O260">
        <v>35</v>
      </c>
      <c r="P260">
        <v>6</v>
      </c>
      <c r="Q260">
        <v>7</v>
      </c>
    </row>
    <row r="261" spans="1:17">
      <c r="A261" s="155">
        <v>44926</v>
      </c>
      <c r="B261" t="s">
        <v>353</v>
      </c>
      <c r="C261" t="s">
        <v>8</v>
      </c>
      <c r="D261">
        <v>2022</v>
      </c>
      <c r="E261" t="s">
        <v>280</v>
      </c>
      <c r="F261" t="s">
        <v>88</v>
      </c>
      <c r="G261" t="s">
        <v>192</v>
      </c>
      <c r="H261">
        <v>2</v>
      </c>
      <c r="I261">
        <v>65</v>
      </c>
      <c r="J261">
        <v>52</v>
      </c>
      <c r="K261">
        <v>0</v>
      </c>
      <c r="L261">
        <v>13</v>
      </c>
      <c r="M261" t="s">
        <v>193</v>
      </c>
      <c r="N261">
        <v>30</v>
      </c>
      <c r="O261">
        <v>35</v>
      </c>
      <c r="P261">
        <v>6</v>
      </c>
      <c r="Q261">
        <v>7</v>
      </c>
    </row>
    <row r="262" spans="1:17">
      <c r="A262" s="155">
        <v>44926</v>
      </c>
      <c r="B262" t="s">
        <v>347</v>
      </c>
      <c r="C262" t="s">
        <v>8</v>
      </c>
      <c r="D262">
        <v>2022</v>
      </c>
      <c r="E262" t="s">
        <v>282</v>
      </c>
      <c r="F262" t="s">
        <v>88</v>
      </c>
      <c r="G262" t="s">
        <v>192</v>
      </c>
      <c r="H262">
        <v>1</v>
      </c>
      <c r="I262">
        <v>58.96</v>
      </c>
      <c r="J262">
        <v>47.17</v>
      </c>
      <c r="K262">
        <v>0</v>
      </c>
      <c r="L262">
        <v>11.79</v>
      </c>
      <c r="M262" t="s">
        <v>193</v>
      </c>
      <c r="N262">
        <v>58.96</v>
      </c>
      <c r="O262">
        <v>58.96</v>
      </c>
      <c r="P262">
        <v>11.79</v>
      </c>
      <c r="Q262">
        <v>11.79</v>
      </c>
    </row>
    <row r="263" spans="1:17">
      <c r="A263" s="155">
        <v>44926</v>
      </c>
      <c r="B263" t="s">
        <v>353</v>
      </c>
      <c r="C263" t="s">
        <v>8</v>
      </c>
      <c r="D263">
        <v>2022</v>
      </c>
      <c r="E263" t="s">
        <v>282</v>
      </c>
      <c r="F263" t="s">
        <v>88</v>
      </c>
      <c r="G263" t="s">
        <v>192</v>
      </c>
      <c r="H263">
        <v>1</v>
      </c>
      <c r="I263">
        <v>58.96</v>
      </c>
      <c r="J263">
        <v>47.17</v>
      </c>
      <c r="K263">
        <v>0</v>
      </c>
      <c r="L263">
        <v>11.79</v>
      </c>
      <c r="M263" t="s">
        <v>193</v>
      </c>
      <c r="N263">
        <v>58.96</v>
      </c>
      <c r="O263">
        <v>58.96</v>
      </c>
      <c r="P263">
        <v>11.79</v>
      </c>
      <c r="Q263">
        <v>11.79</v>
      </c>
    </row>
    <row r="264" spans="1:17">
      <c r="A264" s="155">
        <v>44926</v>
      </c>
      <c r="B264" t="s">
        <v>346</v>
      </c>
      <c r="C264" t="s">
        <v>8</v>
      </c>
      <c r="D264">
        <v>2022</v>
      </c>
      <c r="E264" t="s">
        <v>90</v>
      </c>
      <c r="F264" t="s">
        <v>88</v>
      </c>
      <c r="G264" t="s">
        <v>192</v>
      </c>
      <c r="H264">
        <v>549</v>
      </c>
      <c r="I264">
        <v>102921.17000000013</v>
      </c>
      <c r="J264">
        <v>77843.160000000105</v>
      </c>
      <c r="K264">
        <v>0</v>
      </c>
      <c r="L264">
        <v>24858.010000000064</v>
      </c>
      <c r="M264" t="s">
        <v>193</v>
      </c>
      <c r="N264">
        <v>-20</v>
      </c>
      <c r="O264">
        <v>7275.75</v>
      </c>
      <c r="P264">
        <v>-20</v>
      </c>
      <c r="Q264">
        <v>1455.15</v>
      </c>
    </row>
    <row r="265" spans="1:17">
      <c r="A265" s="155">
        <v>44926</v>
      </c>
      <c r="B265" t="s">
        <v>347</v>
      </c>
      <c r="C265" t="s">
        <v>8</v>
      </c>
      <c r="D265">
        <v>2022</v>
      </c>
      <c r="E265" t="s">
        <v>90</v>
      </c>
      <c r="F265" t="s">
        <v>88</v>
      </c>
      <c r="G265" t="s">
        <v>192</v>
      </c>
      <c r="H265">
        <v>199</v>
      </c>
      <c r="I265">
        <v>38840.37000000001</v>
      </c>
      <c r="J265">
        <v>28465.740000000016</v>
      </c>
      <c r="K265">
        <v>0</v>
      </c>
      <c r="L265">
        <v>10374.630000000001</v>
      </c>
      <c r="M265" t="s">
        <v>193</v>
      </c>
      <c r="N265">
        <v>-20</v>
      </c>
      <c r="O265">
        <v>7275.75</v>
      </c>
      <c r="P265">
        <v>-20</v>
      </c>
      <c r="Q265">
        <v>1455.15</v>
      </c>
    </row>
    <row r="266" spans="1:17">
      <c r="A266" s="155">
        <v>44926</v>
      </c>
      <c r="B266" t="s">
        <v>359</v>
      </c>
      <c r="C266" t="s">
        <v>8</v>
      </c>
      <c r="D266">
        <v>2022</v>
      </c>
      <c r="E266" t="s">
        <v>90</v>
      </c>
      <c r="F266" t="s">
        <v>88</v>
      </c>
      <c r="G266" t="s">
        <v>192</v>
      </c>
      <c r="H266">
        <v>2</v>
      </c>
      <c r="I266">
        <v>60</v>
      </c>
      <c r="J266">
        <v>0</v>
      </c>
      <c r="K266">
        <v>0</v>
      </c>
      <c r="L266">
        <v>60</v>
      </c>
      <c r="M266" t="s">
        <v>193</v>
      </c>
      <c r="N266">
        <v>-20</v>
      </c>
      <c r="O266">
        <v>7275.75</v>
      </c>
      <c r="P266">
        <v>-20</v>
      </c>
      <c r="Q266">
        <v>1455.15</v>
      </c>
    </row>
    <row r="267" spans="1:17">
      <c r="A267" s="155">
        <v>44926</v>
      </c>
      <c r="B267" t="s">
        <v>367</v>
      </c>
      <c r="C267" t="s">
        <v>8</v>
      </c>
      <c r="D267">
        <v>2022</v>
      </c>
      <c r="E267" t="s">
        <v>90</v>
      </c>
      <c r="F267" t="s">
        <v>88</v>
      </c>
      <c r="G267" t="s">
        <v>192</v>
      </c>
      <c r="H267">
        <v>2</v>
      </c>
      <c r="I267">
        <v>40</v>
      </c>
      <c r="J267">
        <v>0</v>
      </c>
      <c r="K267">
        <v>0</v>
      </c>
      <c r="L267">
        <v>40</v>
      </c>
      <c r="M267" t="s">
        <v>193</v>
      </c>
      <c r="N267">
        <v>-20</v>
      </c>
      <c r="O267">
        <v>7275.75</v>
      </c>
      <c r="P267">
        <v>-20</v>
      </c>
      <c r="Q267">
        <v>1455.15</v>
      </c>
    </row>
    <row r="268" spans="1:17">
      <c r="A268" s="155">
        <v>44926</v>
      </c>
      <c r="B268" t="s">
        <v>348</v>
      </c>
      <c r="C268" t="s">
        <v>8</v>
      </c>
      <c r="D268">
        <v>2022</v>
      </c>
      <c r="E268" t="s">
        <v>90</v>
      </c>
      <c r="F268" t="s">
        <v>88</v>
      </c>
      <c r="G268" t="s">
        <v>192</v>
      </c>
      <c r="H268">
        <v>5</v>
      </c>
      <c r="I268">
        <v>119.61</v>
      </c>
      <c r="J268">
        <v>0</v>
      </c>
      <c r="K268">
        <v>0</v>
      </c>
      <c r="L268">
        <v>119.61</v>
      </c>
      <c r="M268" t="s">
        <v>193</v>
      </c>
      <c r="N268">
        <v>-20</v>
      </c>
      <c r="O268">
        <v>7275.75</v>
      </c>
      <c r="P268">
        <v>-20</v>
      </c>
      <c r="Q268">
        <v>1455.15</v>
      </c>
    </row>
    <row r="269" spans="1:17">
      <c r="A269" s="155">
        <v>44926</v>
      </c>
      <c r="B269" t="s">
        <v>349</v>
      </c>
      <c r="C269" t="s">
        <v>8</v>
      </c>
      <c r="D269">
        <v>2022</v>
      </c>
      <c r="E269" t="s">
        <v>90</v>
      </c>
      <c r="F269" t="s">
        <v>88</v>
      </c>
      <c r="G269" t="s">
        <v>192</v>
      </c>
      <c r="H269">
        <v>148</v>
      </c>
      <c r="I269">
        <v>53384.070000000022</v>
      </c>
      <c r="J269">
        <v>41578.310000000005</v>
      </c>
      <c r="K269">
        <v>0</v>
      </c>
      <c r="L269">
        <v>11505.760000000018</v>
      </c>
      <c r="M269" t="s">
        <v>193</v>
      </c>
      <c r="N269">
        <v>-20</v>
      </c>
      <c r="O269">
        <v>7275.75</v>
      </c>
      <c r="P269">
        <v>-20</v>
      </c>
      <c r="Q269">
        <v>1455.15</v>
      </c>
    </row>
    <row r="270" spans="1:17">
      <c r="A270" s="155">
        <v>44926</v>
      </c>
      <c r="B270" t="s">
        <v>350</v>
      </c>
      <c r="C270" t="s">
        <v>8</v>
      </c>
      <c r="D270">
        <v>2022</v>
      </c>
      <c r="E270" t="s">
        <v>90</v>
      </c>
      <c r="F270" t="s">
        <v>88</v>
      </c>
      <c r="G270" t="s">
        <v>192</v>
      </c>
      <c r="H270">
        <v>93</v>
      </c>
      <c r="I270">
        <v>32217.050000000028</v>
      </c>
      <c r="J270">
        <v>25211.579999999998</v>
      </c>
      <c r="K270">
        <v>0</v>
      </c>
      <c r="L270">
        <v>6985.4699999999948</v>
      </c>
      <c r="M270" t="s">
        <v>193</v>
      </c>
      <c r="N270">
        <v>-20</v>
      </c>
      <c r="O270">
        <v>7275.75</v>
      </c>
      <c r="P270">
        <v>-20</v>
      </c>
      <c r="Q270">
        <v>1455.15</v>
      </c>
    </row>
    <row r="271" spans="1:17">
      <c r="A271" s="155">
        <v>44926</v>
      </c>
      <c r="B271" t="s">
        <v>351</v>
      </c>
      <c r="C271" t="s">
        <v>8</v>
      </c>
      <c r="D271">
        <v>2022</v>
      </c>
      <c r="E271" t="s">
        <v>90</v>
      </c>
      <c r="F271" t="s">
        <v>88</v>
      </c>
      <c r="G271" t="s">
        <v>192</v>
      </c>
      <c r="H271">
        <v>35</v>
      </c>
      <c r="I271">
        <v>2090</v>
      </c>
      <c r="J271">
        <v>0</v>
      </c>
      <c r="K271">
        <v>0</v>
      </c>
      <c r="L271">
        <v>2090</v>
      </c>
      <c r="M271" t="s">
        <v>193</v>
      </c>
      <c r="N271">
        <v>-20</v>
      </c>
      <c r="O271">
        <v>7275.75</v>
      </c>
      <c r="P271">
        <v>-20</v>
      </c>
      <c r="Q271">
        <v>1455.15</v>
      </c>
    </row>
    <row r="272" spans="1:17">
      <c r="A272" s="155">
        <v>44926</v>
      </c>
      <c r="B272" t="s">
        <v>369</v>
      </c>
      <c r="C272" t="s">
        <v>8</v>
      </c>
      <c r="D272">
        <v>2022</v>
      </c>
      <c r="E272" t="s">
        <v>90</v>
      </c>
      <c r="F272" t="s">
        <v>88</v>
      </c>
      <c r="G272" t="s">
        <v>192</v>
      </c>
      <c r="H272">
        <v>50</v>
      </c>
      <c r="I272">
        <v>3460</v>
      </c>
      <c r="J272">
        <v>0</v>
      </c>
      <c r="K272">
        <v>0</v>
      </c>
      <c r="L272">
        <v>3460</v>
      </c>
      <c r="M272" t="s">
        <v>193</v>
      </c>
      <c r="N272">
        <v>-20</v>
      </c>
      <c r="O272">
        <v>7275.75</v>
      </c>
      <c r="P272">
        <v>-20</v>
      </c>
      <c r="Q272">
        <v>1455.15</v>
      </c>
    </row>
    <row r="273" spans="1:17">
      <c r="A273" s="155">
        <v>44926</v>
      </c>
      <c r="B273" t="s">
        <v>360</v>
      </c>
      <c r="C273" t="s">
        <v>8</v>
      </c>
      <c r="D273">
        <v>2022</v>
      </c>
      <c r="E273" t="s">
        <v>90</v>
      </c>
      <c r="F273" t="s">
        <v>88</v>
      </c>
      <c r="G273" t="s">
        <v>192</v>
      </c>
      <c r="H273">
        <v>38</v>
      </c>
      <c r="I273">
        <v>2379.61</v>
      </c>
      <c r="J273">
        <v>0</v>
      </c>
      <c r="K273">
        <v>0</v>
      </c>
      <c r="L273">
        <v>2379.61</v>
      </c>
      <c r="M273" t="s">
        <v>193</v>
      </c>
      <c r="N273">
        <v>-20</v>
      </c>
      <c r="O273">
        <v>7275.75</v>
      </c>
      <c r="P273">
        <v>-20</v>
      </c>
      <c r="Q273">
        <v>1455.15</v>
      </c>
    </row>
    <row r="274" spans="1:17">
      <c r="A274" s="155">
        <v>44926</v>
      </c>
      <c r="B274" t="s">
        <v>361</v>
      </c>
      <c r="C274" t="s">
        <v>8</v>
      </c>
      <c r="D274">
        <v>2022</v>
      </c>
      <c r="E274" t="s">
        <v>90</v>
      </c>
      <c r="F274" t="s">
        <v>88</v>
      </c>
      <c r="G274" t="s">
        <v>192</v>
      </c>
      <c r="H274">
        <v>62</v>
      </c>
      <c r="I274">
        <v>2920</v>
      </c>
      <c r="J274">
        <v>0</v>
      </c>
      <c r="K274">
        <v>0</v>
      </c>
      <c r="L274">
        <v>2920</v>
      </c>
      <c r="M274" t="s">
        <v>193</v>
      </c>
      <c r="N274">
        <v>-20</v>
      </c>
      <c r="O274">
        <v>7275.75</v>
      </c>
      <c r="P274">
        <v>-20</v>
      </c>
      <c r="Q274">
        <v>1455.15</v>
      </c>
    </row>
    <row r="275" spans="1:17">
      <c r="A275" s="155">
        <v>44926</v>
      </c>
      <c r="B275" t="s">
        <v>176</v>
      </c>
      <c r="C275" t="s">
        <v>8</v>
      </c>
      <c r="D275">
        <v>2022</v>
      </c>
      <c r="E275" t="s">
        <v>90</v>
      </c>
      <c r="F275" t="s">
        <v>88</v>
      </c>
      <c r="G275" t="s">
        <v>192</v>
      </c>
      <c r="H275">
        <v>112</v>
      </c>
      <c r="I275">
        <v>7299.05</v>
      </c>
      <c r="J275">
        <v>395.24</v>
      </c>
      <c r="K275">
        <v>0</v>
      </c>
      <c r="L275">
        <v>6903.8099999999995</v>
      </c>
      <c r="M275" t="s">
        <v>193</v>
      </c>
      <c r="N275">
        <v>-20</v>
      </c>
      <c r="O275">
        <v>7275.75</v>
      </c>
      <c r="P275">
        <v>-20</v>
      </c>
      <c r="Q275">
        <v>1455.15</v>
      </c>
    </row>
    <row r="276" spans="1:17">
      <c r="A276" s="155">
        <v>44926</v>
      </c>
      <c r="B276" t="s">
        <v>352</v>
      </c>
      <c r="C276" t="s">
        <v>8</v>
      </c>
      <c r="D276">
        <v>2022</v>
      </c>
      <c r="E276" t="s">
        <v>90</v>
      </c>
      <c r="F276" t="s">
        <v>88</v>
      </c>
      <c r="G276" t="s">
        <v>192</v>
      </c>
      <c r="H276">
        <v>549</v>
      </c>
      <c r="I276">
        <v>102921.17000000013</v>
      </c>
      <c r="J276">
        <v>77843.160000000047</v>
      </c>
      <c r="K276">
        <v>0</v>
      </c>
      <c r="L276">
        <v>24858.010000000049</v>
      </c>
      <c r="M276" t="s">
        <v>193</v>
      </c>
      <c r="N276">
        <v>-20</v>
      </c>
      <c r="O276">
        <v>7275.75</v>
      </c>
      <c r="P276">
        <v>-20</v>
      </c>
      <c r="Q276">
        <v>1455.15</v>
      </c>
    </row>
    <row r="277" spans="1:17">
      <c r="A277" s="155">
        <v>44926</v>
      </c>
      <c r="B277" t="s">
        <v>353</v>
      </c>
      <c r="C277" t="s">
        <v>8</v>
      </c>
      <c r="D277">
        <v>2022</v>
      </c>
      <c r="E277" t="s">
        <v>90</v>
      </c>
      <c r="F277" t="s">
        <v>88</v>
      </c>
      <c r="G277" t="s">
        <v>192</v>
      </c>
      <c r="H277">
        <v>199</v>
      </c>
      <c r="I277">
        <v>38840.370000000032</v>
      </c>
      <c r="J277">
        <v>28465.740000000016</v>
      </c>
      <c r="K277">
        <v>0</v>
      </c>
      <c r="L277">
        <v>10374.630000000001</v>
      </c>
      <c r="M277" t="s">
        <v>193</v>
      </c>
      <c r="N277">
        <v>-20</v>
      </c>
      <c r="O277">
        <v>7275.75</v>
      </c>
      <c r="P277">
        <v>-20</v>
      </c>
      <c r="Q277">
        <v>1455.15</v>
      </c>
    </row>
    <row r="278" spans="1:17">
      <c r="A278" s="155">
        <v>44926</v>
      </c>
      <c r="B278" t="s">
        <v>374</v>
      </c>
      <c r="C278" t="s">
        <v>8</v>
      </c>
      <c r="D278">
        <v>2022</v>
      </c>
      <c r="E278" t="s">
        <v>90</v>
      </c>
      <c r="F278" t="s">
        <v>88</v>
      </c>
      <c r="G278" t="s">
        <v>192</v>
      </c>
      <c r="H278">
        <v>2</v>
      </c>
      <c r="I278">
        <v>40</v>
      </c>
      <c r="J278">
        <v>0</v>
      </c>
      <c r="K278">
        <v>0</v>
      </c>
      <c r="L278">
        <v>40</v>
      </c>
      <c r="M278" t="s">
        <v>193</v>
      </c>
      <c r="N278">
        <v>-20</v>
      </c>
      <c r="O278">
        <v>7275.75</v>
      </c>
      <c r="P278">
        <v>-20</v>
      </c>
      <c r="Q278">
        <v>1455.15</v>
      </c>
    </row>
    <row r="279" spans="1:17">
      <c r="A279" s="155">
        <v>44926</v>
      </c>
      <c r="B279" t="s">
        <v>362</v>
      </c>
      <c r="C279" t="s">
        <v>8</v>
      </c>
      <c r="D279">
        <v>2022</v>
      </c>
      <c r="E279" t="s">
        <v>90</v>
      </c>
      <c r="F279" t="s">
        <v>88</v>
      </c>
      <c r="G279" t="s">
        <v>192</v>
      </c>
      <c r="H279">
        <v>2</v>
      </c>
      <c r="I279">
        <v>60</v>
      </c>
      <c r="J279">
        <v>0</v>
      </c>
      <c r="K279">
        <v>0</v>
      </c>
      <c r="L279">
        <v>60</v>
      </c>
      <c r="M279" t="s">
        <v>193</v>
      </c>
      <c r="N279">
        <v>-20</v>
      </c>
      <c r="O279">
        <v>7275.75</v>
      </c>
      <c r="P279">
        <v>-20</v>
      </c>
      <c r="Q279">
        <v>1455.15</v>
      </c>
    </row>
    <row r="280" spans="1:17">
      <c r="A280" s="155">
        <v>44926</v>
      </c>
      <c r="B280" t="s">
        <v>354</v>
      </c>
      <c r="C280" t="s">
        <v>8</v>
      </c>
      <c r="D280">
        <v>2022</v>
      </c>
      <c r="E280" t="s">
        <v>90</v>
      </c>
      <c r="F280" t="s">
        <v>88</v>
      </c>
      <c r="G280" t="s">
        <v>192</v>
      </c>
      <c r="H280">
        <v>5</v>
      </c>
      <c r="I280">
        <v>119.61</v>
      </c>
      <c r="J280">
        <v>0</v>
      </c>
      <c r="K280">
        <v>0</v>
      </c>
      <c r="L280">
        <v>119.61</v>
      </c>
      <c r="M280" t="s">
        <v>193</v>
      </c>
      <c r="N280">
        <v>-20</v>
      </c>
      <c r="O280">
        <v>7275.75</v>
      </c>
      <c r="P280">
        <v>-20</v>
      </c>
      <c r="Q280">
        <v>1455.15</v>
      </c>
    </row>
    <row r="281" spans="1:17">
      <c r="A281" s="155">
        <v>44926</v>
      </c>
      <c r="B281" t="s">
        <v>355</v>
      </c>
      <c r="C281" t="s">
        <v>8</v>
      </c>
      <c r="D281">
        <v>2022</v>
      </c>
      <c r="E281" t="s">
        <v>90</v>
      </c>
      <c r="F281" t="s">
        <v>88</v>
      </c>
      <c r="G281" t="s">
        <v>192</v>
      </c>
      <c r="H281">
        <v>148</v>
      </c>
      <c r="I281">
        <v>53384.070000000022</v>
      </c>
      <c r="J281">
        <v>41578.31</v>
      </c>
      <c r="K281">
        <v>0</v>
      </c>
      <c r="L281">
        <v>11505.760000000011</v>
      </c>
      <c r="M281" t="s">
        <v>193</v>
      </c>
      <c r="N281">
        <v>-20</v>
      </c>
      <c r="O281">
        <v>7275.75</v>
      </c>
      <c r="P281">
        <v>-20</v>
      </c>
      <c r="Q281">
        <v>1455.15</v>
      </c>
    </row>
    <row r="282" spans="1:17">
      <c r="A282" s="155">
        <v>44926</v>
      </c>
      <c r="B282" t="s">
        <v>356</v>
      </c>
      <c r="C282" t="s">
        <v>8</v>
      </c>
      <c r="D282">
        <v>2022</v>
      </c>
      <c r="E282" t="s">
        <v>90</v>
      </c>
      <c r="F282" t="s">
        <v>88</v>
      </c>
      <c r="G282" t="s">
        <v>192</v>
      </c>
      <c r="H282">
        <v>93</v>
      </c>
      <c r="I282">
        <v>32217.050000000028</v>
      </c>
      <c r="J282">
        <v>25211.579999999998</v>
      </c>
      <c r="K282">
        <v>0</v>
      </c>
      <c r="L282">
        <v>6985.4699999999939</v>
      </c>
      <c r="M282" t="s">
        <v>193</v>
      </c>
      <c r="N282">
        <v>-20</v>
      </c>
      <c r="O282">
        <v>7275.75</v>
      </c>
      <c r="P282">
        <v>-20</v>
      </c>
      <c r="Q282">
        <v>1455.15</v>
      </c>
    </row>
    <row r="283" spans="1:17">
      <c r="A283" s="155">
        <v>44926</v>
      </c>
      <c r="B283" t="s">
        <v>357</v>
      </c>
      <c r="C283" t="s">
        <v>8</v>
      </c>
      <c r="D283">
        <v>2022</v>
      </c>
      <c r="E283" t="s">
        <v>90</v>
      </c>
      <c r="F283" t="s">
        <v>88</v>
      </c>
      <c r="G283" t="s">
        <v>192</v>
      </c>
      <c r="H283">
        <v>35</v>
      </c>
      <c r="I283">
        <v>2090</v>
      </c>
      <c r="J283">
        <v>0</v>
      </c>
      <c r="K283">
        <v>0</v>
      </c>
      <c r="L283">
        <v>2090</v>
      </c>
      <c r="M283" t="s">
        <v>193</v>
      </c>
      <c r="N283">
        <v>-20</v>
      </c>
      <c r="O283">
        <v>7275.75</v>
      </c>
      <c r="P283">
        <v>-20</v>
      </c>
      <c r="Q283">
        <v>1455.15</v>
      </c>
    </row>
    <row r="284" spans="1:17">
      <c r="A284" s="155">
        <v>44926</v>
      </c>
      <c r="B284" t="s">
        <v>377</v>
      </c>
      <c r="C284" t="s">
        <v>8</v>
      </c>
      <c r="D284">
        <v>2022</v>
      </c>
      <c r="E284" t="s">
        <v>90</v>
      </c>
      <c r="F284" t="s">
        <v>88</v>
      </c>
      <c r="G284" t="s">
        <v>192</v>
      </c>
      <c r="H284">
        <v>50</v>
      </c>
      <c r="I284">
        <v>3460</v>
      </c>
      <c r="J284">
        <v>0</v>
      </c>
      <c r="K284">
        <v>0</v>
      </c>
      <c r="L284">
        <v>3460</v>
      </c>
      <c r="M284" t="s">
        <v>193</v>
      </c>
      <c r="N284">
        <v>-20</v>
      </c>
      <c r="O284">
        <v>7275.75</v>
      </c>
      <c r="P284">
        <v>-20</v>
      </c>
      <c r="Q284">
        <v>1455.15</v>
      </c>
    </row>
    <row r="285" spans="1:17">
      <c r="A285" s="155">
        <v>44926</v>
      </c>
      <c r="B285" t="s">
        <v>363</v>
      </c>
      <c r="C285" t="s">
        <v>8</v>
      </c>
      <c r="D285">
        <v>2022</v>
      </c>
      <c r="E285" t="s">
        <v>90</v>
      </c>
      <c r="F285" t="s">
        <v>88</v>
      </c>
      <c r="G285" t="s">
        <v>192</v>
      </c>
      <c r="H285">
        <v>38</v>
      </c>
      <c r="I285">
        <v>2379.61</v>
      </c>
      <c r="J285">
        <v>0</v>
      </c>
      <c r="K285">
        <v>0</v>
      </c>
      <c r="L285">
        <v>2379.61</v>
      </c>
      <c r="M285" t="s">
        <v>193</v>
      </c>
      <c r="N285">
        <v>-20</v>
      </c>
      <c r="O285">
        <v>7275.75</v>
      </c>
      <c r="P285">
        <v>-20</v>
      </c>
      <c r="Q285">
        <v>1455.15</v>
      </c>
    </row>
    <row r="286" spans="1:17">
      <c r="A286" s="155">
        <v>44926</v>
      </c>
      <c r="B286" t="s">
        <v>364</v>
      </c>
      <c r="C286" t="s">
        <v>8</v>
      </c>
      <c r="D286">
        <v>2022</v>
      </c>
      <c r="E286" t="s">
        <v>90</v>
      </c>
      <c r="F286" t="s">
        <v>88</v>
      </c>
      <c r="G286" t="s">
        <v>192</v>
      </c>
      <c r="H286">
        <v>62</v>
      </c>
      <c r="I286">
        <v>2920</v>
      </c>
      <c r="J286">
        <v>0</v>
      </c>
      <c r="K286">
        <v>0</v>
      </c>
      <c r="L286">
        <v>2920</v>
      </c>
      <c r="M286" t="s">
        <v>193</v>
      </c>
      <c r="N286">
        <v>-20</v>
      </c>
      <c r="O286">
        <v>7275.75</v>
      </c>
      <c r="P286">
        <v>-20</v>
      </c>
      <c r="Q286">
        <v>1455.15</v>
      </c>
    </row>
    <row r="287" spans="1:17">
      <c r="A287" s="155">
        <v>44926</v>
      </c>
      <c r="B287" t="s">
        <v>358</v>
      </c>
      <c r="C287" t="s">
        <v>8</v>
      </c>
      <c r="D287">
        <v>2022</v>
      </c>
      <c r="E287" t="s">
        <v>90</v>
      </c>
      <c r="F287" t="s">
        <v>88</v>
      </c>
      <c r="G287" t="s">
        <v>192</v>
      </c>
      <c r="H287">
        <v>112</v>
      </c>
      <c r="I287">
        <v>7299.05</v>
      </c>
      <c r="J287">
        <v>395.24</v>
      </c>
      <c r="K287">
        <v>0</v>
      </c>
      <c r="L287">
        <v>6903.8099999999995</v>
      </c>
      <c r="M287" t="s">
        <v>193</v>
      </c>
      <c r="N287">
        <v>-20</v>
      </c>
      <c r="O287">
        <v>7275.75</v>
      </c>
      <c r="P287">
        <v>-20</v>
      </c>
      <c r="Q287">
        <v>1455.15</v>
      </c>
    </row>
    <row r="288" spans="1:17">
      <c r="A288" s="155">
        <v>44926</v>
      </c>
      <c r="B288" t="s">
        <v>359</v>
      </c>
      <c r="C288" t="s">
        <v>8</v>
      </c>
      <c r="D288">
        <v>2022</v>
      </c>
      <c r="E288" t="s">
        <v>91</v>
      </c>
      <c r="F288" t="s">
        <v>88</v>
      </c>
      <c r="G288" t="s">
        <v>192</v>
      </c>
      <c r="H288">
        <v>12</v>
      </c>
      <c r="I288">
        <v>288</v>
      </c>
      <c r="J288">
        <v>0</v>
      </c>
      <c r="K288">
        <v>0</v>
      </c>
      <c r="L288">
        <v>288</v>
      </c>
      <c r="M288" t="s">
        <v>193</v>
      </c>
      <c r="N288">
        <v>-24</v>
      </c>
      <c r="O288">
        <v>24</v>
      </c>
      <c r="P288">
        <v>-24</v>
      </c>
      <c r="Q288">
        <v>24</v>
      </c>
    </row>
    <row r="289" spans="1:17">
      <c r="A289" s="155">
        <v>44926</v>
      </c>
      <c r="B289" t="s">
        <v>367</v>
      </c>
      <c r="C289" t="s">
        <v>8</v>
      </c>
      <c r="D289">
        <v>2022</v>
      </c>
      <c r="E289" t="s">
        <v>91</v>
      </c>
      <c r="F289" t="s">
        <v>88</v>
      </c>
      <c r="G289" t="s">
        <v>192</v>
      </c>
      <c r="H289">
        <v>1</v>
      </c>
      <c r="I289">
        <v>24</v>
      </c>
      <c r="J289">
        <v>0</v>
      </c>
      <c r="K289">
        <v>0</v>
      </c>
      <c r="L289">
        <v>24</v>
      </c>
      <c r="M289" t="s">
        <v>193</v>
      </c>
      <c r="N289">
        <v>-24</v>
      </c>
      <c r="O289">
        <v>24</v>
      </c>
      <c r="P289">
        <v>-24</v>
      </c>
      <c r="Q289">
        <v>24</v>
      </c>
    </row>
    <row r="290" spans="1:17">
      <c r="A290" s="155">
        <v>44926</v>
      </c>
      <c r="B290" t="s">
        <v>348</v>
      </c>
      <c r="C290" t="s">
        <v>8</v>
      </c>
      <c r="D290">
        <v>2022</v>
      </c>
      <c r="E290" t="s">
        <v>91</v>
      </c>
      <c r="F290" t="s">
        <v>88</v>
      </c>
      <c r="G290" t="s">
        <v>192</v>
      </c>
      <c r="H290">
        <v>3</v>
      </c>
      <c r="I290">
        <v>72</v>
      </c>
      <c r="J290">
        <v>0</v>
      </c>
      <c r="K290">
        <v>0</v>
      </c>
      <c r="L290">
        <v>72</v>
      </c>
      <c r="M290" t="s">
        <v>193</v>
      </c>
      <c r="N290">
        <v>-24</v>
      </c>
      <c r="O290">
        <v>24</v>
      </c>
      <c r="P290">
        <v>-24</v>
      </c>
      <c r="Q290">
        <v>24</v>
      </c>
    </row>
    <row r="291" spans="1:17">
      <c r="A291" s="155">
        <v>44926</v>
      </c>
      <c r="B291" t="s">
        <v>351</v>
      </c>
      <c r="C291" t="s">
        <v>8</v>
      </c>
      <c r="D291">
        <v>2022</v>
      </c>
      <c r="E291" t="s">
        <v>91</v>
      </c>
      <c r="F291" t="s">
        <v>88</v>
      </c>
      <c r="G291" t="s">
        <v>192</v>
      </c>
      <c r="H291">
        <v>20</v>
      </c>
      <c r="I291">
        <v>480</v>
      </c>
      <c r="J291">
        <v>0</v>
      </c>
      <c r="K291">
        <v>0</v>
      </c>
      <c r="L291">
        <v>480</v>
      </c>
      <c r="M291" t="s">
        <v>193</v>
      </c>
      <c r="N291">
        <v>-24</v>
      </c>
      <c r="O291">
        <v>24</v>
      </c>
      <c r="P291">
        <v>-24</v>
      </c>
      <c r="Q291">
        <v>24</v>
      </c>
    </row>
    <row r="292" spans="1:17">
      <c r="A292" s="155">
        <v>44926</v>
      </c>
      <c r="B292" t="s">
        <v>369</v>
      </c>
      <c r="C292" t="s">
        <v>8</v>
      </c>
      <c r="D292">
        <v>2022</v>
      </c>
      <c r="E292" t="s">
        <v>91</v>
      </c>
      <c r="F292" t="s">
        <v>88</v>
      </c>
      <c r="G292" t="s">
        <v>192</v>
      </c>
      <c r="H292">
        <v>26</v>
      </c>
      <c r="I292">
        <v>624</v>
      </c>
      <c r="J292">
        <v>0</v>
      </c>
      <c r="K292">
        <v>0</v>
      </c>
      <c r="L292">
        <v>624</v>
      </c>
      <c r="M292" t="s">
        <v>193</v>
      </c>
      <c r="N292">
        <v>-24</v>
      </c>
      <c r="O292">
        <v>24</v>
      </c>
      <c r="P292">
        <v>-24</v>
      </c>
      <c r="Q292">
        <v>24</v>
      </c>
    </row>
    <row r="293" spans="1:17">
      <c r="A293" s="155">
        <v>44926</v>
      </c>
      <c r="B293" t="s">
        <v>360</v>
      </c>
      <c r="C293" t="s">
        <v>8</v>
      </c>
      <c r="D293">
        <v>2022</v>
      </c>
      <c r="E293" t="s">
        <v>91</v>
      </c>
      <c r="F293" t="s">
        <v>88</v>
      </c>
      <c r="G293" t="s">
        <v>192</v>
      </c>
      <c r="H293">
        <v>19</v>
      </c>
      <c r="I293">
        <v>456</v>
      </c>
      <c r="J293">
        <v>0</v>
      </c>
      <c r="K293">
        <v>0</v>
      </c>
      <c r="L293">
        <v>456</v>
      </c>
      <c r="M293" t="s">
        <v>193</v>
      </c>
      <c r="N293">
        <v>-24</v>
      </c>
      <c r="O293">
        <v>24</v>
      </c>
      <c r="P293">
        <v>-24</v>
      </c>
      <c r="Q293">
        <v>24</v>
      </c>
    </row>
    <row r="294" spans="1:17">
      <c r="A294" s="155">
        <v>44926</v>
      </c>
      <c r="B294" t="s">
        <v>361</v>
      </c>
      <c r="C294" t="s">
        <v>8</v>
      </c>
      <c r="D294">
        <v>2022</v>
      </c>
      <c r="E294" t="s">
        <v>91</v>
      </c>
      <c r="F294" t="s">
        <v>88</v>
      </c>
      <c r="G294" t="s">
        <v>192</v>
      </c>
      <c r="H294">
        <v>49</v>
      </c>
      <c r="I294">
        <v>1176</v>
      </c>
      <c r="J294">
        <v>0</v>
      </c>
      <c r="K294">
        <v>0</v>
      </c>
      <c r="L294">
        <v>1176</v>
      </c>
      <c r="M294" t="s">
        <v>193</v>
      </c>
      <c r="N294">
        <v>-24</v>
      </c>
      <c r="O294">
        <v>24</v>
      </c>
      <c r="P294">
        <v>-24</v>
      </c>
      <c r="Q294">
        <v>24</v>
      </c>
    </row>
    <row r="295" spans="1:17">
      <c r="A295" s="155">
        <v>44926</v>
      </c>
      <c r="B295" t="s">
        <v>176</v>
      </c>
      <c r="C295" t="s">
        <v>8</v>
      </c>
      <c r="D295">
        <v>2022</v>
      </c>
      <c r="E295" t="s">
        <v>91</v>
      </c>
      <c r="F295" t="s">
        <v>88</v>
      </c>
      <c r="G295" t="s">
        <v>192</v>
      </c>
      <c r="H295">
        <v>80</v>
      </c>
      <c r="I295">
        <v>1872</v>
      </c>
      <c r="J295">
        <v>0</v>
      </c>
      <c r="K295">
        <v>0</v>
      </c>
      <c r="L295">
        <v>1872</v>
      </c>
      <c r="M295" t="s">
        <v>193</v>
      </c>
      <c r="N295">
        <v>-24</v>
      </c>
      <c r="O295">
        <v>24</v>
      </c>
      <c r="P295">
        <v>-24</v>
      </c>
      <c r="Q295">
        <v>24</v>
      </c>
    </row>
    <row r="296" spans="1:17">
      <c r="A296" s="155">
        <v>44926</v>
      </c>
      <c r="B296" t="s">
        <v>373</v>
      </c>
      <c r="C296" t="s">
        <v>8</v>
      </c>
      <c r="D296">
        <v>2022</v>
      </c>
      <c r="E296" t="s">
        <v>91</v>
      </c>
      <c r="F296" t="s">
        <v>88</v>
      </c>
      <c r="G296" t="s">
        <v>192</v>
      </c>
      <c r="H296">
        <v>1</v>
      </c>
      <c r="I296">
        <v>24</v>
      </c>
      <c r="J296">
        <v>0</v>
      </c>
      <c r="K296">
        <v>0</v>
      </c>
      <c r="L296">
        <v>24</v>
      </c>
      <c r="M296" t="s">
        <v>193</v>
      </c>
      <c r="N296">
        <v>-24</v>
      </c>
      <c r="O296">
        <v>24</v>
      </c>
      <c r="P296">
        <v>-24</v>
      </c>
      <c r="Q296">
        <v>24</v>
      </c>
    </row>
    <row r="297" spans="1:17">
      <c r="A297" s="155">
        <v>44926</v>
      </c>
      <c r="B297" t="s">
        <v>374</v>
      </c>
      <c r="C297" t="s">
        <v>8</v>
      </c>
      <c r="D297">
        <v>2022</v>
      </c>
      <c r="E297" t="s">
        <v>91</v>
      </c>
      <c r="F297" t="s">
        <v>88</v>
      </c>
      <c r="G297" t="s">
        <v>192</v>
      </c>
      <c r="H297">
        <v>1</v>
      </c>
      <c r="I297">
        <v>24</v>
      </c>
      <c r="J297">
        <v>0</v>
      </c>
      <c r="K297">
        <v>0</v>
      </c>
      <c r="L297">
        <v>24</v>
      </c>
      <c r="M297" t="s">
        <v>193</v>
      </c>
      <c r="N297">
        <v>-24</v>
      </c>
      <c r="O297">
        <v>24</v>
      </c>
      <c r="P297">
        <v>-24</v>
      </c>
      <c r="Q297">
        <v>24</v>
      </c>
    </row>
    <row r="298" spans="1:17">
      <c r="A298" s="155">
        <v>44926</v>
      </c>
      <c r="B298" t="s">
        <v>362</v>
      </c>
      <c r="C298" t="s">
        <v>8</v>
      </c>
      <c r="D298">
        <v>2022</v>
      </c>
      <c r="E298" t="s">
        <v>91</v>
      </c>
      <c r="F298" t="s">
        <v>88</v>
      </c>
      <c r="G298" t="s">
        <v>192</v>
      </c>
      <c r="H298">
        <v>12</v>
      </c>
      <c r="I298">
        <v>288</v>
      </c>
      <c r="J298">
        <v>0</v>
      </c>
      <c r="K298">
        <v>0</v>
      </c>
      <c r="L298">
        <v>288</v>
      </c>
      <c r="M298" t="s">
        <v>193</v>
      </c>
      <c r="N298">
        <v>-24</v>
      </c>
      <c r="O298">
        <v>24</v>
      </c>
      <c r="P298">
        <v>-24</v>
      </c>
      <c r="Q298">
        <v>24</v>
      </c>
    </row>
    <row r="299" spans="1:17">
      <c r="A299" s="155">
        <v>44926</v>
      </c>
      <c r="B299" t="s">
        <v>354</v>
      </c>
      <c r="C299" t="s">
        <v>8</v>
      </c>
      <c r="D299">
        <v>2022</v>
      </c>
      <c r="E299" t="s">
        <v>91</v>
      </c>
      <c r="F299" t="s">
        <v>88</v>
      </c>
      <c r="G299" t="s">
        <v>192</v>
      </c>
      <c r="H299">
        <v>3</v>
      </c>
      <c r="I299">
        <v>72</v>
      </c>
      <c r="J299">
        <v>0</v>
      </c>
      <c r="K299">
        <v>0</v>
      </c>
      <c r="L299">
        <v>72</v>
      </c>
      <c r="M299" t="s">
        <v>193</v>
      </c>
      <c r="N299">
        <v>-24</v>
      </c>
      <c r="O299">
        <v>24</v>
      </c>
      <c r="P299">
        <v>-24</v>
      </c>
      <c r="Q299">
        <v>24</v>
      </c>
    </row>
    <row r="300" spans="1:17">
      <c r="A300" s="155">
        <v>44926</v>
      </c>
      <c r="B300" t="s">
        <v>357</v>
      </c>
      <c r="C300" t="s">
        <v>8</v>
      </c>
      <c r="D300">
        <v>2022</v>
      </c>
      <c r="E300" t="s">
        <v>91</v>
      </c>
      <c r="F300" t="s">
        <v>88</v>
      </c>
      <c r="G300" t="s">
        <v>192</v>
      </c>
      <c r="H300">
        <v>20</v>
      </c>
      <c r="I300">
        <v>480</v>
      </c>
      <c r="J300">
        <v>0</v>
      </c>
      <c r="K300">
        <v>0</v>
      </c>
      <c r="L300">
        <v>480</v>
      </c>
      <c r="M300" t="s">
        <v>193</v>
      </c>
      <c r="N300">
        <v>-24</v>
      </c>
      <c r="O300">
        <v>24</v>
      </c>
      <c r="P300">
        <v>-24</v>
      </c>
      <c r="Q300">
        <v>24</v>
      </c>
    </row>
    <row r="301" spans="1:17">
      <c r="A301" s="155">
        <v>44926</v>
      </c>
      <c r="B301" t="s">
        <v>377</v>
      </c>
      <c r="C301" t="s">
        <v>8</v>
      </c>
      <c r="D301">
        <v>2022</v>
      </c>
      <c r="E301" t="s">
        <v>91</v>
      </c>
      <c r="F301" t="s">
        <v>88</v>
      </c>
      <c r="G301" t="s">
        <v>192</v>
      </c>
      <c r="H301">
        <v>26</v>
      </c>
      <c r="I301">
        <v>624</v>
      </c>
      <c r="J301">
        <v>0</v>
      </c>
      <c r="K301">
        <v>0</v>
      </c>
      <c r="L301">
        <v>624</v>
      </c>
      <c r="M301" t="s">
        <v>193</v>
      </c>
      <c r="N301">
        <v>-24</v>
      </c>
      <c r="O301">
        <v>24</v>
      </c>
      <c r="P301">
        <v>-24</v>
      </c>
      <c r="Q301">
        <v>24</v>
      </c>
    </row>
    <row r="302" spans="1:17">
      <c r="A302" s="155">
        <v>44926</v>
      </c>
      <c r="B302" t="s">
        <v>363</v>
      </c>
      <c r="C302" t="s">
        <v>8</v>
      </c>
      <c r="D302">
        <v>2022</v>
      </c>
      <c r="E302" t="s">
        <v>91</v>
      </c>
      <c r="F302" t="s">
        <v>88</v>
      </c>
      <c r="G302" t="s">
        <v>192</v>
      </c>
      <c r="H302">
        <v>19</v>
      </c>
      <c r="I302">
        <v>456</v>
      </c>
      <c r="J302">
        <v>0</v>
      </c>
      <c r="K302">
        <v>0</v>
      </c>
      <c r="L302">
        <v>456</v>
      </c>
      <c r="M302" t="s">
        <v>193</v>
      </c>
      <c r="N302">
        <v>-24</v>
      </c>
      <c r="O302">
        <v>24</v>
      </c>
      <c r="P302">
        <v>-24</v>
      </c>
      <c r="Q302">
        <v>24</v>
      </c>
    </row>
    <row r="303" spans="1:17">
      <c r="A303" s="155">
        <v>44926</v>
      </c>
      <c r="B303" t="s">
        <v>364</v>
      </c>
      <c r="C303" t="s">
        <v>8</v>
      </c>
      <c r="D303">
        <v>2022</v>
      </c>
      <c r="E303" t="s">
        <v>91</v>
      </c>
      <c r="F303" t="s">
        <v>88</v>
      </c>
      <c r="G303" t="s">
        <v>192</v>
      </c>
      <c r="H303">
        <v>49</v>
      </c>
      <c r="I303">
        <v>1176</v>
      </c>
      <c r="J303">
        <v>0</v>
      </c>
      <c r="K303">
        <v>0</v>
      </c>
      <c r="L303">
        <v>1176</v>
      </c>
      <c r="M303" t="s">
        <v>193</v>
      </c>
      <c r="N303">
        <v>-24</v>
      </c>
      <c r="O303">
        <v>24</v>
      </c>
      <c r="P303">
        <v>-24</v>
      </c>
      <c r="Q303">
        <v>24</v>
      </c>
    </row>
    <row r="304" spans="1:17">
      <c r="A304" s="155">
        <v>44926</v>
      </c>
      <c r="B304" t="s">
        <v>358</v>
      </c>
      <c r="C304" t="s">
        <v>8</v>
      </c>
      <c r="D304">
        <v>2022</v>
      </c>
      <c r="E304" t="s">
        <v>91</v>
      </c>
      <c r="F304" t="s">
        <v>88</v>
      </c>
      <c r="G304" t="s">
        <v>192</v>
      </c>
      <c r="H304">
        <v>80</v>
      </c>
      <c r="I304">
        <v>1872</v>
      </c>
      <c r="J304">
        <v>0</v>
      </c>
      <c r="K304">
        <v>0</v>
      </c>
      <c r="L304">
        <v>1872</v>
      </c>
      <c r="M304" t="s">
        <v>193</v>
      </c>
      <c r="N304">
        <v>-24</v>
      </c>
      <c r="O304">
        <v>24</v>
      </c>
      <c r="P304">
        <v>-24</v>
      </c>
      <c r="Q304">
        <v>24</v>
      </c>
    </row>
    <row r="305" spans="1:17">
      <c r="A305" s="155">
        <v>44926</v>
      </c>
      <c r="B305" t="s">
        <v>380</v>
      </c>
      <c r="C305" t="s">
        <v>8</v>
      </c>
      <c r="D305">
        <v>2022</v>
      </c>
      <c r="E305" t="s">
        <v>91</v>
      </c>
      <c r="F305" t="s">
        <v>88</v>
      </c>
      <c r="G305" t="s">
        <v>192</v>
      </c>
      <c r="H305">
        <v>1</v>
      </c>
      <c r="I305">
        <v>24</v>
      </c>
      <c r="J305">
        <v>0</v>
      </c>
      <c r="K305">
        <v>0</v>
      </c>
      <c r="L305">
        <v>24</v>
      </c>
      <c r="M305" t="s">
        <v>193</v>
      </c>
      <c r="N305">
        <v>-24</v>
      </c>
      <c r="O305">
        <v>24</v>
      </c>
      <c r="P305">
        <v>-24</v>
      </c>
      <c r="Q305">
        <v>24</v>
      </c>
    </row>
    <row r="306" spans="1:17">
      <c r="A306" s="155">
        <v>44926</v>
      </c>
      <c r="B306" t="s">
        <v>346</v>
      </c>
      <c r="C306" t="s">
        <v>8</v>
      </c>
      <c r="D306">
        <v>2022</v>
      </c>
      <c r="E306" t="s">
        <v>92</v>
      </c>
      <c r="F306" t="s">
        <v>88</v>
      </c>
      <c r="G306" t="s">
        <v>192</v>
      </c>
      <c r="H306">
        <v>135</v>
      </c>
      <c r="I306">
        <v>16440.269999999997</v>
      </c>
      <c r="J306">
        <v>10683.250000000004</v>
      </c>
      <c r="K306">
        <v>0</v>
      </c>
      <c r="L306">
        <v>5754.01</v>
      </c>
      <c r="M306" t="s">
        <v>193</v>
      </c>
      <c r="N306">
        <v>-123.67</v>
      </c>
      <c r="O306">
        <v>722.16</v>
      </c>
      <c r="P306">
        <v>-43.28</v>
      </c>
      <c r="Q306">
        <v>252.76</v>
      </c>
    </row>
    <row r="307" spans="1:17">
      <c r="A307" s="155">
        <v>44926</v>
      </c>
      <c r="B307" t="s">
        <v>347</v>
      </c>
      <c r="C307" t="s">
        <v>8</v>
      </c>
      <c r="D307">
        <v>2022</v>
      </c>
      <c r="E307" t="s">
        <v>92</v>
      </c>
      <c r="F307" t="s">
        <v>88</v>
      </c>
      <c r="G307" t="s">
        <v>192</v>
      </c>
      <c r="H307">
        <v>55</v>
      </c>
      <c r="I307">
        <v>2402.44</v>
      </c>
      <c r="J307">
        <v>1561.6</v>
      </c>
      <c r="K307">
        <v>0</v>
      </c>
      <c r="L307">
        <v>840.84</v>
      </c>
      <c r="M307" t="s">
        <v>193</v>
      </c>
      <c r="N307">
        <v>-123.67</v>
      </c>
      <c r="O307">
        <v>722.16</v>
      </c>
      <c r="P307">
        <v>-43.28</v>
      </c>
      <c r="Q307">
        <v>252.76</v>
      </c>
    </row>
    <row r="308" spans="1:17">
      <c r="A308" s="155">
        <v>44926</v>
      </c>
      <c r="B308" t="s">
        <v>359</v>
      </c>
      <c r="C308" t="s">
        <v>8</v>
      </c>
      <c r="D308">
        <v>2022</v>
      </c>
      <c r="E308" t="s">
        <v>92</v>
      </c>
      <c r="F308" t="s">
        <v>88</v>
      </c>
      <c r="G308" t="s">
        <v>192</v>
      </c>
      <c r="H308">
        <v>2</v>
      </c>
      <c r="I308">
        <v>246.1</v>
      </c>
      <c r="J308">
        <v>159.96</v>
      </c>
      <c r="K308">
        <v>0</v>
      </c>
      <c r="L308">
        <v>86.14</v>
      </c>
      <c r="M308" t="s">
        <v>193</v>
      </c>
      <c r="N308">
        <v>-123.67</v>
      </c>
      <c r="O308">
        <v>722.16</v>
      </c>
      <c r="P308">
        <v>-43.28</v>
      </c>
      <c r="Q308">
        <v>252.76</v>
      </c>
    </row>
    <row r="309" spans="1:17">
      <c r="A309" s="155">
        <v>44926</v>
      </c>
      <c r="B309" t="s">
        <v>348</v>
      </c>
      <c r="C309" t="s">
        <v>8</v>
      </c>
      <c r="D309">
        <v>2022</v>
      </c>
      <c r="E309" t="s">
        <v>92</v>
      </c>
      <c r="F309" t="s">
        <v>88</v>
      </c>
      <c r="G309" t="s">
        <v>192</v>
      </c>
      <c r="H309">
        <v>1</v>
      </c>
      <c r="I309">
        <v>52.89</v>
      </c>
      <c r="J309">
        <v>34.380000000000003</v>
      </c>
      <c r="K309">
        <v>0</v>
      </c>
      <c r="L309">
        <v>18.510000000000002</v>
      </c>
      <c r="M309" t="s">
        <v>193</v>
      </c>
      <c r="N309">
        <v>-123.67</v>
      </c>
      <c r="O309">
        <v>722.16</v>
      </c>
      <c r="P309">
        <v>-43.28</v>
      </c>
      <c r="Q309">
        <v>252.76</v>
      </c>
    </row>
    <row r="310" spans="1:17">
      <c r="A310" s="155">
        <v>44926</v>
      </c>
      <c r="B310" t="s">
        <v>349</v>
      </c>
      <c r="C310" t="s">
        <v>8</v>
      </c>
      <c r="D310">
        <v>2022</v>
      </c>
      <c r="E310" t="s">
        <v>92</v>
      </c>
      <c r="F310" t="s">
        <v>88</v>
      </c>
      <c r="G310" t="s">
        <v>192</v>
      </c>
      <c r="H310">
        <v>9</v>
      </c>
      <c r="I310">
        <v>1045.5300000000002</v>
      </c>
      <c r="J310">
        <v>679.59999999999991</v>
      </c>
      <c r="K310">
        <v>0</v>
      </c>
      <c r="L310">
        <v>365.93</v>
      </c>
      <c r="M310" t="s">
        <v>193</v>
      </c>
      <c r="N310">
        <v>-123.67</v>
      </c>
      <c r="O310">
        <v>722.16</v>
      </c>
      <c r="P310">
        <v>-43.28</v>
      </c>
      <c r="Q310">
        <v>252.76</v>
      </c>
    </row>
    <row r="311" spans="1:17">
      <c r="A311" s="155">
        <v>44926</v>
      </c>
      <c r="B311" t="s">
        <v>350</v>
      </c>
      <c r="C311" t="s">
        <v>8</v>
      </c>
      <c r="D311">
        <v>2022</v>
      </c>
      <c r="E311" t="s">
        <v>92</v>
      </c>
      <c r="F311" t="s">
        <v>88</v>
      </c>
      <c r="G311" t="s">
        <v>192</v>
      </c>
      <c r="H311">
        <v>8</v>
      </c>
      <c r="I311">
        <v>1313.61</v>
      </c>
      <c r="J311">
        <v>853.84</v>
      </c>
      <c r="K311">
        <v>0</v>
      </c>
      <c r="L311">
        <v>459.77000000000004</v>
      </c>
      <c r="M311" t="s">
        <v>193</v>
      </c>
      <c r="N311">
        <v>-123.67</v>
      </c>
      <c r="O311">
        <v>722.16</v>
      </c>
      <c r="P311">
        <v>-43.28</v>
      </c>
      <c r="Q311">
        <v>252.76</v>
      </c>
    </row>
    <row r="312" spans="1:17">
      <c r="A312" s="155">
        <v>44926</v>
      </c>
      <c r="B312" t="s">
        <v>351</v>
      </c>
      <c r="C312" t="s">
        <v>8</v>
      </c>
      <c r="D312">
        <v>2022</v>
      </c>
      <c r="E312" t="s">
        <v>92</v>
      </c>
      <c r="F312" t="s">
        <v>88</v>
      </c>
      <c r="G312" t="s">
        <v>192</v>
      </c>
      <c r="H312">
        <v>8</v>
      </c>
      <c r="I312">
        <v>722.44</v>
      </c>
      <c r="J312">
        <v>469.59</v>
      </c>
      <c r="K312">
        <v>0</v>
      </c>
      <c r="L312">
        <v>252.85000000000002</v>
      </c>
      <c r="M312" t="s">
        <v>193</v>
      </c>
      <c r="N312">
        <v>-123.67</v>
      </c>
      <c r="O312">
        <v>722.16</v>
      </c>
      <c r="P312">
        <v>-43.28</v>
      </c>
      <c r="Q312">
        <v>252.76</v>
      </c>
    </row>
    <row r="313" spans="1:17">
      <c r="A313" s="155">
        <v>44926</v>
      </c>
      <c r="B313" t="s">
        <v>369</v>
      </c>
      <c r="C313" t="s">
        <v>8</v>
      </c>
      <c r="D313">
        <v>2022</v>
      </c>
      <c r="E313" t="s">
        <v>92</v>
      </c>
      <c r="F313" t="s">
        <v>88</v>
      </c>
      <c r="G313" t="s">
        <v>192</v>
      </c>
      <c r="H313">
        <v>8</v>
      </c>
      <c r="I313">
        <v>1158.96</v>
      </c>
      <c r="J313">
        <v>753.33</v>
      </c>
      <c r="K313">
        <v>0</v>
      </c>
      <c r="L313">
        <v>405.63000000000005</v>
      </c>
      <c r="M313" t="s">
        <v>193</v>
      </c>
      <c r="N313">
        <v>-123.67</v>
      </c>
      <c r="O313">
        <v>722.16</v>
      </c>
      <c r="P313">
        <v>-43.28</v>
      </c>
      <c r="Q313">
        <v>252.76</v>
      </c>
    </row>
    <row r="314" spans="1:17">
      <c r="A314" s="155">
        <v>44926</v>
      </c>
      <c r="B314" t="s">
        <v>360</v>
      </c>
      <c r="C314" t="s">
        <v>8</v>
      </c>
      <c r="D314">
        <v>2022</v>
      </c>
      <c r="E314" t="s">
        <v>92</v>
      </c>
      <c r="F314" t="s">
        <v>88</v>
      </c>
      <c r="G314" t="s">
        <v>192</v>
      </c>
      <c r="H314">
        <v>2</v>
      </c>
      <c r="I314">
        <v>233.95</v>
      </c>
      <c r="J314">
        <v>152.07</v>
      </c>
      <c r="K314">
        <v>0</v>
      </c>
      <c r="L314">
        <v>81.88</v>
      </c>
      <c r="M314" t="s">
        <v>193</v>
      </c>
      <c r="N314">
        <v>-123.67</v>
      </c>
      <c r="O314">
        <v>722.16</v>
      </c>
      <c r="P314">
        <v>-43.28</v>
      </c>
      <c r="Q314">
        <v>252.76</v>
      </c>
    </row>
    <row r="315" spans="1:17">
      <c r="A315" s="155">
        <v>44926</v>
      </c>
      <c r="B315" t="s">
        <v>361</v>
      </c>
      <c r="C315" t="s">
        <v>8</v>
      </c>
      <c r="D315">
        <v>2022</v>
      </c>
      <c r="E315" t="s">
        <v>92</v>
      </c>
      <c r="F315" t="s">
        <v>88</v>
      </c>
      <c r="G315" t="s">
        <v>192</v>
      </c>
      <c r="H315">
        <v>42</v>
      </c>
      <c r="I315">
        <v>2043.9499999999996</v>
      </c>
      <c r="J315">
        <v>1270.0600000000004</v>
      </c>
      <c r="K315">
        <v>0</v>
      </c>
      <c r="L315">
        <v>758.8900000000001</v>
      </c>
      <c r="M315" t="s">
        <v>193</v>
      </c>
      <c r="N315">
        <v>-123.67</v>
      </c>
      <c r="O315">
        <v>722.16</v>
      </c>
      <c r="P315">
        <v>-43.28</v>
      </c>
      <c r="Q315">
        <v>252.76</v>
      </c>
    </row>
    <row r="316" spans="1:17">
      <c r="A316" s="155">
        <v>44926</v>
      </c>
      <c r="B316" t="s">
        <v>176</v>
      </c>
      <c r="C316" t="s">
        <v>8</v>
      </c>
      <c r="D316">
        <v>2022</v>
      </c>
      <c r="E316" t="s">
        <v>92</v>
      </c>
      <c r="F316" t="s">
        <v>88</v>
      </c>
      <c r="G316" t="s">
        <v>192</v>
      </c>
      <c r="H316">
        <v>44</v>
      </c>
      <c r="I316">
        <v>6010.2599999999993</v>
      </c>
      <c r="J316">
        <v>3817.6199999999985</v>
      </c>
      <c r="K316">
        <v>0</v>
      </c>
      <c r="L316">
        <v>2192.6400000000003</v>
      </c>
      <c r="M316" t="s">
        <v>193</v>
      </c>
      <c r="N316">
        <v>-123.67</v>
      </c>
      <c r="O316">
        <v>722.16</v>
      </c>
      <c r="P316">
        <v>-43.28</v>
      </c>
      <c r="Q316">
        <v>252.76</v>
      </c>
    </row>
    <row r="317" spans="1:17">
      <c r="A317" s="155">
        <v>44926</v>
      </c>
      <c r="B317" t="s">
        <v>352</v>
      </c>
      <c r="C317" t="s">
        <v>8</v>
      </c>
      <c r="D317">
        <v>2022</v>
      </c>
      <c r="E317" t="s">
        <v>92</v>
      </c>
      <c r="F317" t="s">
        <v>88</v>
      </c>
      <c r="G317" t="s">
        <v>192</v>
      </c>
      <c r="H317">
        <v>135</v>
      </c>
      <c r="I317">
        <v>16440.269999999997</v>
      </c>
      <c r="J317">
        <v>10683.250000000002</v>
      </c>
      <c r="K317">
        <v>0</v>
      </c>
      <c r="L317">
        <v>5754.01</v>
      </c>
      <c r="M317" t="s">
        <v>193</v>
      </c>
      <c r="N317">
        <v>-123.67</v>
      </c>
      <c r="O317">
        <v>722.16</v>
      </c>
      <c r="P317">
        <v>-43.28</v>
      </c>
      <c r="Q317">
        <v>252.76</v>
      </c>
    </row>
    <row r="318" spans="1:17">
      <c r="A318" s="155">
        <v>44926</v>
      </c>
      <c r="B318" t="s">
        <v>353</v>
      </c>
      <c r="C318" t="s">
        <v>8</v>
      </c>
      <c r="D318">
        <v>2022</v>
      </c>
      <c r="E318" t="s">
        <v>92</v>
      </c>
      <c r="F318" t="s">
        <v>88</v>
      </c>
      <c r="G318" t="s">
        <v>192</v>
      </c>
      <c r="H318">
        <v>55</v>
      </c>
      <c r="I318">
        <v>2402.44</v>
      </c>
      <c r="J318">
        <v>1561.6</v>
      </c>
      <c r="K318">
        <v>0</v>
      </c>
      <c r="L318">
        <v>840.83999999999992</v>
      </c>
      <c r="M318" t="s">
        <v>193</v>
      </c>
      <c r="N318">
        <v>-123.67</v>
      </c>
      <c r="O318">
        <v>722.16</v>
      </c>
      <c r="P318">
        <v>-43.28</v>
      </c>
      <c r="Q318">
        <v>252.76</v>
      </c>
    </row>
    <row r="319" spans="1:17">
      <c r="A319" s="155">
        <v>44926</v>
      </c>
      <c r="B319" t="s">
        <v>362</v>
      </c>
      <c r="C319" t="s">
        <v>8</v>
      </c>
      <c r="D319">
        <v>2022</v>
      </c>
      <c r="E319" t="s">
        <v>92</v>
      </c>
      <c r="F319" t="s">
        <v>88</v>
      </c>
      <c r="G319" t="s">
        <v>192</v>
      </c>
      <c r="H319">
        <v>2</v>
      </c>
      <c r="I319">
        <v>246.1</v>
      </c>
      <c r="J319">
        <v>159.96</v>
      </c>
      <c r="K319">
        <v>0</v>
      </c>
      <c r="L319">
        <v>86.14</v>
      </c>
      <c r="M319" t="s">
        <v>193</v>
      </c>
      <c r="N319">
        <v>-123.67</v>
      </c>
      <c r="O319">
        <v>722.16</v>
      </c>
      <c r="P319">
        <v>-43.28</v>
      </c>
      <c r="Q319">
        <v>252.76</v>
      </c>
    </row>
    <row r="320" spans="1:17">
      <c r="A320" s="155">
        <v>44926</v>
      </c>
      <c r="B320" t="s">
        <v>354</v>
      </c>
      <c r="C320" t="s">
        <v>8</v>
      </c>
      <c r="D320">
        <v>2022</v>
      </c>
      <c r="E320" t="s">
        <v>92</v>
      </c>
      <c r="F320" t="s">
        <v>88</v>
      </c>
      <c r="G320" t="s">
        <v>192</v>
      </c>
      <c r="H320">
        <v>1</v>
      </c>
      <c r="I320">
        <v>52.89</v>
      </c>
      <c r="J320">
        <v>34.380000000000003</v>
      </c>
      <c r="K320">
        <v>0</v>
      </c>
      <c r="L320">
        <v>18.510000000000002</v>
      </c>
      <c r="M320" t="s">
        <v>193</v>
      </c>
      <c r="N320">
        <v>-123.67</v>
      </c>
      <c r="O320">
        <v>722.16</v>
      </c>
      <c r="P320">
        <v>-43.28</v>
      </c>
      <c r="Q320">
        <v>252.76</v>
      </c>
    </row>
    <row r="321" spans="1:17">
      <c r="A321" s="155">
        <v>44926</v>
      </c>
      <c r="B321" t="s">
        <v>355</v>
      </c>
      <c r="C321" t="s">
        <v>8</v>
      </c>
      <c r="D321">
        <v>2022</v>
      </c>
      <c r="E321" t="s">
        <v>92</v>
      </c>
      <c r="F321" t="s">
        <v>88</v>
      </c>
      <c r="G321" t="s">
        <v>192</v>
      </c>
      <c r="H321">
        <v>9</v>
      </c>
      <c r="I321">
        <v>1045.5300000000002</v>
      </c>
      <c r="J321">
        <v>679.59999999999991</v>
      </c>
      <c r="K321">
        <v>0</v>
      </c>
      <c r="L321">
        <v>365.93</v>
      </c>
      <c r="M321" t="s">
        <v>193</v>
      </c>
      <c r="N321">
        <v>-123.67</v>
      </c>
      <c r="O321">
        <v>722.16</v>
      </c>
      <c r="P321">
        <v>-43.28</v>
      </c>
      <c r="Q321">
        <v>252.76</v>
      </c>
    </row>
    <row r="322" spans="1:17">
      <c r="A322" s="155">
        <v>44926</v>
      </c>
      <c r="B322" t="s">
        <v>356</v>
      </c>
      <c r="C322" t="s">
        <v>8</v>
      </c>
      <c r="D322">
        <v>2022</v>
      </c>
      <c r="E322" t="s">
        <v>92</v>
      </c>
      <c r="F322" t="s">
        <v>88</v>
      </c>
      <c r="G322" t="s">
        <v>192</v>
      </c>
      <c r="H322">
        <v>8</v>
      </c>
      <c r="I322">
        <v>1313.61</v>
      </c>
      <c r="J322">
        <v>853.83999999999992</v>
      </c>
      <c r="K322">
        <v>0</v>
      </c>
      <c r="L322">
        <v>459.77</v>
      </c>
      <c r="M322" t="s">
        <v>193</v>
      </c>
      <c r="N322">
        <v>-123.67</v>
      </c>
      <c r="O322">
        <v>722.16</v>
      </c>
      <c r="P322">
        <v>-43.28</v>
      </c>
      <c r="Q322">
        <v>252.76</v>
      </c>
    </row>
    <row r="323" spans="1:17">
      <c r="A323" s="155">
        <v>44926</v>
      </c>
      <c r="B323" t="s">
        <v>357</v>
      </c>
      <c r="C323" t="s">
        <v>8</v>
      </c>
      <c r="D323">
        <v>2022</v>
      </c>
      <c r="E323" t="s">
        <v>92</v>
      </c>
      <c r="F323" t="s">
        <v>88</v>
      </c>
      <c r="G323" t="s">
        <v>192</v>
      </c>
      <c r="H323">
        <v>8</v>
      </c>
      <c r="I323">
        <v>722.44</v>
      </c>
      <c r="J323">
        <v>469.59000000000003</v>
      </c>
      <c r="K323">
        <v>0</v>
      </c>
      <c r="L323">
        <v>252.85000000000002</v>
      </c>
      <c r="M323" t="s">
        <v>193</v>
      </c>
      <c r="N323">
        <v>-123.67</v>
      </c>
      <c r="O323">
        <v>722.16</v>
      </c>
      <c r="P323">
        <v>-43.28</v>
      </c>
      <c r="Q323">
        <v>252.76</v>
      </c>
    </row>
    <row r="324" spans="1:17">
      <c r="A324" s="155">
        <v>44926</v>
      </c>
      <c r="B324" t="s">
        <v>377</v>
      </c>
      <c r="C324" t="s">
        <v>8</v>
      </c>
      <c r="D324">
        <v>2022</v>
      </c>
      <c r="E324" t="s">
        <v>92</v>
      </c>
      <c r="F324" t="s">
        <v>88</v>
      </c>
      <c r="G324" t="s">
        <v>192</v>
      </c>
      <c r="H324">
        <v>8</v>
      </c>
      <c r="I324">
        <v>1158.96</v>
      </c>
      <c r="J324">
        <v>753.33</v>
      </c>
      <c r="K324">
        <v>0</v>
      </c>
      <c r="L324">
        <v>405.63</v>
      </c>
      <c r="M324" t="s">
        <v>193</v>
      </c>
      <c r="N324">
        <v>-123.67</v>
      </c>
      <c r="O324">
        <v>722.16</v>
      </c>
      <c r="P324">
        <v>-43.28</v>
      </c>
      <c r="Q324">
        <v>252.76</v>
      </c>
    </row>
    <row r="325" spans="1:17">
      <c r="A325" s="155">
        <v>44926</v>
      </c>
      <c r="B325" t="s">
        <v>363</v>
      </c>
      <c r="C325" t="s">
        <v>8</v>
      </c>
      <c r="D325">
        <v>2022</v>
      </c>
      <c r="E325" t="s">
        <v>92</v>
      </c>
      <c r="F325" t="s">
        <v>88</v>
      </c>
      <c r="G325" t="s">
        <v>192</v>
      </c>
      <c r="H325">
        <v>2</v>
      </c>
      <c r="I325">
        <v>233.95</v>
      </c>
      <c r="J325">
        <v>152.07</v>
      </c>
      <c r="K325">
        <v>0</v>
      </c>
      <c r="L325">
        <v>81.88</v>
      </c>
      <c r="M325" t="s">
        <v>193</v>
      </c>
      <c r="N325">
        <v>-123.67</v>
      </c>
      <c r="O325">
        <v>722.16</v>
      </c>
      <c r="P325">
        <v>-43.28</v>
      </c>
      <c r="Q325">
        <v>252.76</v>
      </c>
    </row>
    <row r="326" spans="1:17">
      <c r="A326" s="155">
        <v>44926</v>
      </c>
      <c r="B326" t="s">
        <v>364</v>
      </c>
      <c r="C326" t="s">
        <v>8</v>
      </c>
      <c r="D326">
        <v>2022</v>
      </c>
      <c r="E326" t="s">
        <v>92</v>
      </c>
      <c r="F326" t="s">
        <v>88</v>
      </c>
      <c r="G326" t="s">
        <v>192</v>
      </c>
      <c r="H326">
        <v>42</v>
      </c>
      <c r="I326">
        <v>2043.9499999999996</v>
      </c>
      <c r="J326">
        <v>1270.0600000000002</v>
      </c>
      <c r="K326">
        <v>0</v>
      </c>
      <c r="L326">
        <v>758.89000000000021</v>
      </c>
      <c r="M326" t="s">
        <v>193</v>
      </c>
      <c r="N326">
        <v>-123.67</v>
      </c>
      <c r="O326">
        <v>722.16</v>
      </c>
      <c r="P326">
        <v>-43.28</v>
      </c>
      <c r="Q326">
        <v>252.76</v>
      </c>
    </row>
    <row r="327" spans="1:17">
      <c r="A327" s="155">
        <v>44926</v>
      </c>
      <c r="B327" t="s">
        <v>358</v>
      </c>
      <c r="C327" t="s">
        <v>8</v>
      </c>
      <c r="D327">
        <v>2022</v>
      </c>
      <c r="E327" t="s">
        <v>92</v>
      </c>
      <c r="F327" t="s">
        <v>88</v>
      </c>
      <c r="G327" t="s">
        <v>192</v>
      </c>
      <c r="H327">
        <v>44</v>
      </c>
      <c r="I327">
        <v>6010.26</v>
      </c>
      <c r="J327">
        <v>3817.6199999999994</v>
      </c>
      <c r="K327">
        <v>0</v>
      </c>
      <c r="L327">
        <v>2192.64</v>
      </c>
      <c r="M327" t="s">
        <v>193</v>
      </c>
      <c r="N327">
        <v>-123.67</v>
      </c>
      <c r="O327">
        <v>722.16</v>
      </c>
      <c r="P327">
        <v>-43.28</v>
      </c>
      <c r="Q327">
        <v>252.76</v>
      </c>
    </row>
    <row r="328" spans="1:17">
      <c r="A328" s="155">
        <v>44926</v>
      </c>
      <c r="B328" t="s">
        <v>349</v>
      </c>
      <c r="C328" t="s">
        <v>8</v>
      </c>
      <c r="D328">
        <v>2022</v>
      </c>
      <c r="E328" t="s">
        <v>283</v>
      </c>
      <c r="F328" t="s">
        <v>88</v>
      </c>
      <c r="G328" t="s">
        <v>192</v>
      </c>
      <c r="H328">
        <v>1</v>
      </c>
      <c r="I328">
        <v>2.76</v>
      </c>
      <c r="J328">
        <v>0.83</v>
      </c>
      <c r="K328">
        <v>0</v>
      </c>
      <c r="L328">
        <v>1.93</v>
      </c>
      <c r="M328" t="s">
        <v>193</v>
      </c>
      <c r="N328">
        <v>2.76</v>
      </c>
      <c r="O328">
        <v>2.76</v>
      </c>
      <c r="P328">
        <v>1.93</v>
      </c>
      <c r="Q328">
        <v>1.93</v>
      </c>
    </row>
    <row r="329" spans="1:17">
      <c r="A329" s="155">
        <v>44926</v>
      </c>
      <c r="B329" t="s">
        <v>355</v>
      </c>
      <c r="C329" t="s">
        <v>8</v>
      </c>
      <c r="D329">
        <v>2022</v>
      </c>
      <c r="E329" t="s">
        <v>283</v>
      </c>
      <c r="F329" t="s">
        <v>88</v>
      </c>
      <c r="G329" t="s">
        <v>192</v>
      </c>
      <c r="H329">
        <v>1</v>
      </c>
      <c r="I329">
        <v>2.76</v>
      </c>
      <c r="J329">
        <v>0.83</v>
      </c>
      <c r="K329">
        <v>0</v>
      </c>
      <c r="L329">
        <v>1.93</v>
      </c>
      <c r="M329" t="s">
        <v>193</v>
      </c>
      <c r="N329">
        <v>2.76</v>
      </c>
      <c r="O329">
        <v>2.76</v>
      </c>
      <c r="P329">
        <v>1.93</v>
      </c>
      <c r="Q329">
        <v>1.93</v>
      </c>
    </row>
    <row r="330" spans="1:17">
      <c r="A330" s="155">
        <v>44926</v>
      </c>
      <c r="B330" t="s">
        <v>367</v>
      </c>
      <c r="C330" t="s">
        <v>8</v>
      </c>
      <c r="D330">
        <v>2022</v>
      </c>
      <c r="E330" t="s">
        <v>93</v>
      </c>
      <c r="F330" t="s">
        <v>88</v>
      </c>
      <c r="G330" t="s">
        <v>192</v>
      </c>
      <c r="H330">
        <v>1</v>
      </c>
      <c r="I330">
        <v>969.05</v>
      </c>
      <c r="J330">
        <v>775.24</v>
      </c>
      <c r="K330">
        <v>0</v>
      </c>
      <c r="L330">
        <v>193.81</v>
      </c>
      <c r="M330" t="s">
        <v>193</v>
      </c>
      <c r="N330">
        <v>1.59</v>
      </c>
      <c r="O330">
        <v>19307.86</v>
      </c>
      <c r="P330">
        <v>0.32</v>
      </c>
      <c r="Q330">
        <v>3861.57</v>
      </c>
    </row>
    <row r="331" spans="1:17">
      <c r="A331" s="155">
        <v>44926</v>
      </c>
      <c r="B331" t="s">
        <v>348</v>
      </c>
      <c r="C331" t="s">
        <v>8</v>
      </c>
      <c r="D331">
        <v>2022</v>
      </c>
      <c r="E331" t="s">
        <v>93</v>
      </c>
      <c r="F331" t="s">
        <v>88</v>
      </c>
      <c r="G331" t="s">
        <v>192</v>
      </c>
      <c r="H331">
        <v>10</v>
      </c>
      <c r="I331">
        <v>846.22</v>
      </c>
      <c r="J331">
        <v>676.97</v>
      </c>
      <c r="K331">
        <v>0</v>
      </c>
      <c r="L331">
        <v>169.25</v>
      </c>
      <c r="M331" t="s">
        <v>193</v>
      </c>
      <c r="N331">
        <v>1.59</v>
      </c>
      <c r="O331">
        <v>19307.86</v>
      </c>
      <c r="P331">
        <v>0.32</v>
      </c>
      <c r="Q331">
        <v>3861.57</v>
      </c>
    </row>
    <row r="332" spans="1:17">
      <c r="A332" s="155">
        <v>44926</v>
      </c>
      <c r="B332" t="s">
        <v>351</v>
      </c>
      <c r="C332" t="s">
        <v>8</v>
      </c>
      <c r="D332">
        <v>2022</v>
      </c>
      <c r="E332" t="s">
        <v>93</v>
      </c>
      <c r="F332" t="s">
        <v>88</v>
      </c>
      <c r="G332" t="s">
        <v>192</v>
      </c>
      <c r="H332">
        <v>25</v>
      </c>
      <c r="I332">
        <v>41092.389999999992</v>
      </c>
      <c r="J332">
        <v>32873.910000000003</v>
      </c>
      <c r="K332">
        <v>0</v>
      </c>
      <c r="L332">
        <v>8218.48</v>
      </c>
      <c r="M332" t="s">
        <v>193</v>
      </c>
      <c r="N332">
        <v>1.59</v>
      </c>
      <c r="O332">
        <v>19307.86</v>
      </c>
      <c r="P332">
        <v>0.32</v>
      </c>
      <c r="Q332">
        <v>3861.57</v>
      </c>
    </row>
    <row r="333" spans="1:17">
      <c r="A333" s="155">
        <v>44926</v>
      </c>
      <c r="B333" t="s">
        <v>369</v>
      </c>
      <c r="C333" t="s">
        <v>8</v>
      </c>
      <c r="D333">
        <v>2022</v>
      </c>
      <c r="E333" t="s">
        <v>93</v>
      </c>
      <c r="F333" t="s">
        <v>88</v>
      </c>
      <c r="G333" t="s">
        <v>192</v>
      </c>
      <c r="H333">
        <v>9</v>
      </c>
      <c r="I333">
        <v>39964.919999999991</v>
      </c>
      <c r="J333">
        <v>31952.74</v>
      </c>
      <c r="K333">
        <v>0</v>
      </c>
      <c r="L333">
        <v>8012.18</v>
      </c>
      <c r="M333" t="s">
        <v>193</v>
      </c>
      <c r="N333">
        <v>1.59</v>
      </c>
      <c r="O333">
        <v>19307.86</v>
      </c>
      <c r="P333">
        <v>0.32</v>
      </c>
      <c r="Q333">
        <v>3861.57</v>
      </c>
    </row>
    <row r="334" spans="1:17">
      <c r="A334" s="155">
        <v>44926</v>
      </c>
      <c r="B334" t="s">
        <v>360</v>
      </c>
      <c r="C334" t="s">
        <v>8</v>
      </c>
      <c r="D334">
        <v>2022</v>
      </c>
      <c r="E334" t="s">
        <v>93</v>
      </c>
      <c r="F334" t="s">
        <v>88</v>
      </c>
      <c r="G334" t="s">
        <v>192</v>
      </c>
      <c r="H334">
        <v>18</v>
      </c>
      <c r="I334">
        <v>25235.630000000005</v>
      </c>
      <c r="J334">
        <v>20188.399999999998</v>
      </c>
      <c r="K334">
        <v>0</v>
      </c>
      <c r="L334">
        <v>5047.2300000000014</v>
      </c>
      <c r="M334" t="s">
        <v>193</v>
      </c>
      <c r="N334">
        <v>1.59</v>
      </c>
      <c r="O334">
        <v>19307.86</v>
      </c>
      <c r="P334">
        <v>0.32</v>
      </c>
      <c r="Q334">
        <v>3861.57</v>
      </c>
    </row>
    <row r="335" spans="1:17">
      <c r="A335" s="155">
        <v>44926</v>
      </c>
      <c r="B335" t="s">
        <v>361</v>
      </c>
      <c r="C335" t="s">
        <v>8</v>
      </c>
      <c r="D335">
        <v>2022</v>
      </c>
      <c r="E335" t="s">
        <v>93</v>
      </c>
      <c r="F335" t="s">
        <v>88</v>
      </c>
      <c r="G335" t="s">
        <v>192</v>
      </c>
      <c r="H335">
        <v>32</v>
      </c>
      <c r="I335">
        <v>52948.19</v>
      </c>
      <c r="J335">
        <v>42148.86</v>
      </c>
      <c r="K335">
        <v>0</v>
      </c>
      <c r="L335">
        <v>10799.330000000002</v>
      </c>
      <c r="M335" t="s">
        <v>193</v>
      </c>
      <c r="N335">
        <v>1.59</v>
      </c>
      <c r="O335">
        <v>19307.86</v>
      </c>
      <c r="P335">
        <v>0.32</v>
      </c>
      <c r="Q335">
        <v>3861.57</v>
      </c>
    </row>
    <row r="336" spans="1:17">
      <c r="A336" s="155">
        <v>44926</v>
      </c>
      <c r="B336" t="s">
        <v>176</v>
      </c>
      <c r="C336" t="s">
        <v>8</v>
      </c>
      <c r="D336">
        <v>2022</v>
      </c>
      <c r="E336" t="s">
        <v>93</v>
      </c>
      <c r="F336" t="s">
        <v>88</v>
      </c>
      <c r="G336" t="s">
        <v>192</v>
      </c>
      <c r="H336">
        <v>68</v>
      </c>
      <c r="I336">
        <v>96095.880000000019</v>
      </c>
      <c r="J336">
        <v>77004.53</v>
      </c>
      <c r="K336">
        <v>0</v>
      </c>
      <c r="L336">
        <v>19031.180000000004</v>
      </c>
      <c r="M336" t="s">
        <v>193</v>
      </c>
      <c r="N336">
        <v>1.59</v>
      </c>
      <c r="O336">
        <v>19307.86</v>
      </c>
      <c r="P336">
        <v>0.32</v>
      </c>
      <c r="Q336">
        <v>3861.57</v>
      </c>
    </row>
    <row r="337" spans="1:17">
      <c r="A337" s="155">
        <v>44926</v>
      </c>
      <c r="B337" t="s">
        <v>374</v>
      </c>
      <c r="C337" t="s">
        <v>8</v>
      </c>
      <c r="D337">
        <v>2022</v>
      </c>
      <c r="E337" t="s">
        <v>93</v>
      </c>
      <c r="F337" t="s">
        <v>88</v>
      </c>
      <c r="G337" t="s">
        <v>192</v>
      </c>
      <c r="H337">
        <v>1</v>
      </c>
      <c r="I337">
        <v>969.05</v>
      </c>
      <c r="J337">
        <v>775.24</v>
      </c>
      <c r="K337">
        <v>0</v>
      </c>
      <c r="L337">
        <v>193.81</v>
      </c>
      <c r="M337" t="s">
        <v>193</v>
      </c>
      <c r="N337">
        <v>1.59</v>
      </c>
      <c r="O337">
        <v>19307.86</v>
      </c>
      <c r="P337">
        <v>0.32</v>
      </c>
      <c r="Q337">
        <v>3861.57</v>
      </c>
    </row>
    <row r="338" spans="1:17">
      <c r="A338" s="155">
        <v>44926</v>
      </c>
      <c r="B338" t="s">
        <v>354</v>
      </c>
      <c r="C338" t="s">
        <v>8</v>
      </c>
      <c r="D338">
        <v>2022</v>
      </c>
      <c r="E338" t="s">
        <v>93</v>
      </c>
      <c r="F338" t="s">
        <v>88</v>
      </c>
      <c r="G338" t="s">
        <v>192</v>
      </c>
      <c r="H338">
        <v>10</v>
      </c>
      <c r="I338">
        <v>846.22</v>
      </c>
      <c r="J338">
        <v>676.97</v>
      </c>
      <c r="K338">
        <v>0</v>
      </c>
      <c r="L338">
        <v>169.25</v>
      </c>
      <c r="M338" t="s">
        <v>193</v>
      </c>
      <c r="N338">
        <v>1.59</v>
      </c>
      <c r="O338">
        <v>19307.86</v>
      </c>
      <c r="P338">
        <v>0.32</v>
      </c>
      <c r="Q338">
        <v>3861.57</v>
      </c>
    </row>
    <row r="339" spans="1:17">
      <c r="A339" s="155">
        <v>44926</v>
      </c>
      <c r="B339" t="s">
        <v>357</v>
      </c>
      <c r="C339" t="s">
        <v>8</v>
      </c>
      <c r="D339">
        <v>2022</v>
      </c>
      <c r="E339" t="s">
        <v>93</v>
      </c>
      <c r="F339" t="s">
        <v>88</v>
      </c>
      <c r="G339" t="s">
        <v>192</v>
      </c>
      <c r="H339">
        <v>25</v>
      </c>
      <c r="I339">
        <v>41092.39</v>
      </c>
      <c r="J339">
        <v>32873.910000000003</v>
      </c>
      <c r="K339">
        <v>0</v>
      </c>
      <c r="L339">
        <v>8218.48</v>
      </c>
      <c r="M339" t="s">
        <v>193</v>
      </c>
      <c r="N339">
        <v>1.59</v>
      </c>
      <c r="O339">
        <v>19307.86</v>
      </c>
      <c r="P339">
        <v>0.32</v>
      </c>
      <c r="Q339">
        <v>3861.57</v>
      </c>
    </row>
    <row r="340" spans="1:17">
      <c r="A340" s="155">
        <v>44926</v>
      </c>
      <c r="B340" t="s">
        <v>377</v>
      </c>
      <c r="C340" t="s">
        <v>8</v>
      </c>
      <c r="D340">
        <v>2022</v>
      </c>
      <c r="E340" t="s">
        <v>93</v>
      </c>
      <c r="F340" t="s">
        <v>88</v>
      </c>
      <c r="G340" t="s">
        <v>192</v>
      </c>
      <c r="H340">
        <v>9</v>
      </c>
      <c r="I340">
        <v>39964.92</v>
      </c>
      <c r="J340">
        <v>31952.739999999998</v>
      </c>
      <c r="K340">
        <v>0</v>
      </c>
      <c r="L340">
        <v>8012.1800000000012</v>
      </c>
      <c r="M340" t="s">
        <v>193</v>
      </c>
      <c r="N340">
        <v>1.59</v>
      </c>
      <c r="O340">
        <v>19307.86</v>
      </c>
      <c r="P340">
        <v>0.32</v>
      </c>
      <c r="Q340">
        <v>3861.57</v>
      </c>
    </row>
    <row r="341" spans="1:17">
      <c r="A341" s="155">
        <v>44926</v>
      </c>
      <c r="B341" t="s">
        <v>363</v>
      </c>
      <c r="C341" t="s">
        <v>8</v>
      </c>
      <c r="D341">
        <v>2022</v>
      </c>
      <c r="E341" t="s">
        <v>93</v>
      </c>
      <c r="F341" t="s">
        <v>88</v>
      </c>
      <c r="G341" t="s">
        <v>192</v>
      </c>
      <c r="H341">
        <v>18</v>
      </c>
      <c r="I341">
        <v>25235.630000000005</v>
      </c>
      <c r="J341">
        <v>20188.399999999998</v>
      </c>
      <c r="K341">
        <v>0</v>
      </c>
      <c r="L341">
        <v>5047.2300000000014</v>
      </c>
      <c r="M341" t="s">
        <v>193</v>
      </c>
      <c r="N341">
        <v>1.59</v>
      </c>
      <c r="O341">
        <v>19307.86</v>
      </c>
      <c r="P341">
        <v>0.32</v>
      </c>
      <c r="Q341">
        <v>3861.57</v>
      </c>
    </row>
    <row r="342" spans="1:17">
      <c r="A342" s="155">
        <v>44926</v>
      </c>
      <c r="B342" t="s">
        <v>364</v>
      </c>
      <c r="C342" t="s">
        <v>8</v>
      </c>
      <c r="D342">
        <v>2022</v>
      </c>
      <c r="E342" t="s">
        <v>93</v>
      </c>
      <c r="F342" t="s">
        <v>88</v>
      </c>
      <c r="G342" t="s">
        <v>192</v>
      </c>
      <c r="H342">
        <v>32</v>
      </c>
      <c r="I342">
        <v>52948.19</v>
      </c>
      <c r="J342">
        <v>42148.86</v>
      </c>
      <c r="K342">
        <v>0</v>
      </c>
      <c r="L342">
        <v>10799.330000000004</v>
      </c>
      <c r="M342" t="s">
        <v>193</v>
      </c>
      <c r="N342">
        <v>1.59</v>
      </c>
      <c r="O342">
        <v>19307.86</v>
      </c>
      <c r="P342">
        <v>0.32</v>
      </c>
      <c r="Q342">
        <v>3861.57</v>
      </c>
    </row>
    <row r="343" spans="1:17">
      <c r="A343" s="155">
        <v>44926</v>
      </c>
      <c r="B343" t="s">
        <v>358</v>
      </c>
      <c r="C343" t="s">
        <v>8</v>
      </c>
      <c r="D343">
        <v>2022</v>
      </c>
      <c r="E343" t="s">
        <v>93</v>
      </c>
      <c r="F343" t="s">
        <v>88</v>
      </c>
      <c r="G343" t="s">
        <v>192</v>
      </c>
      <c r="H343">
        <v>68</v>
      </c>
      <c r="I343">
        <v>96095.880000000019</v>
      </c>
      <c r="J343">
        <v>77004.529999999984</v>
      </c>
      <c r="K343">
        <v>0</v>
      </c>
      <c r="L343">
        <v>19031.180000000008</v>
      </c>
      <c r="M343" t="s">
        <v>193</v>
      </c>
      <c r="N343">
        <v>1.59</v>
      </c>
      <c r="O343">
        <v>19307.86</v>
      </c>
      <c r="P343">
        <v>0.32</v>
      </c>
      <c r="Q343">
        <v>3861.57</v>
      </c>
    </row>
    <row r="344" spans="1:17">
      <c r="A344" s="155">
        <v>44926</v>
      </c>
      <c r="B344" t="s">
        <v>346</v>
      </c>
      <c r="C344" t="s">
        <v>8</v>
      </c>
      <c r="D344">
        <v>2022</v>
      </c>
      <c r="E344" t="s">
        <v>94</v>
      </c>
      <c r="F344" t="s">
        <v>88</v>
      </c>
      <c r="G344" t="s">
        <v>192</v>
      </c>
      <c r="H344">
        <v>1443</v>
      </c>
      <c r="I344">
        <v>104546.91999999974</v>
      </c>
      <c r="J344">
        <v>50102.350000000391</v>
      </c>
      <c r="K344">
        <v>957.49</v>
      </c>
      <c r="L344">
        <v>41749.649999999565</v>
      </c>
      <c r="M344" t="s">
        <v>193</v>
      </c>
      <c r="N344">
        <v>-1700.8</v>
      </c>
      <c r="O344">
        <v>4235.5600000000004</v>
      </c>
      <c r="P344">
        <v>-315</v>
      </c>
      <c r="Q344">
        <v>2500</v>
      </c>
    </row>
    <row r="345" spans="1:17">
      <c r="A345" s="155">
        <v>44926</v>
      </c>
      <c r="B345" t="s">
        <v>347</v>
      </c>
      <c r="C345" t="s">
        <v>8</v>
      </c>
      <c r="D345">
        <v>2022</v>
      </c>
      <c r="E345" t="s">
        <v>94</v>
      </c>
      <c r="F345" t="s">
        <v>88</v>
      </c>
      <c r="G345" t="s">
        <v>192</v>
      </c>
      <c r="H345">
        <v>853</v>
      </c>
      <c r="I345">
        <v>60102.469999999914</v>
      </c>
      <c r="J345">
        <v>29731.590000000037</v>
      </c>
      <c r="K345">
        <v>1411.97</v>
      </c>
      <c r="L345">
        <v>16584.290000000034</v>
      </c>
      <c r="M345" t="s">
        <v>193</v>
      </c>
      <c r="N345">
        <v>-1700.8</v>
      </c>
      <c r="O345">
        <v>4235.5600000000004</v>
      </c>
      <c r="P345">
        <v>-315</v>
      </c>
      <c r="Q345">
        <v>2500</v>
      </c>
    </row>
    <row r="346" spans="1:17">
      <c r="A346" s="155">
        <v>44926</v>
      </c>
      <c r="B346" t="s">
        <v>359</v>
      </c>
      <c r="C346" t="s">
        <v>8</v>
      </c>
      <c r="D346">
        <v>2022</v>
      </c>
      <c r="E346" t="s">
        <v>94</v>
      </c>
      <c r="F346" t="s">
        <v>88</v>
      </c>
      <c r="G346" t="s">
        <v>192</v>
      </c>
      <c r="H346">
        <v>41</v>
      </c>
      <c r="I346">
        <v>18244.47</v>
      </c>
      <c r="J346">
        <v>5679.47</v>
      </c>
      <c r="K346">
        <v>0</v>
      </c>
      <c r="L346">
        <v>6669.7899999999991</v>
      </c>
      <c r="M346" t="s">
        <v>193</v>
      </c>
      <c r="N346">
        <v>-1700.8</v>
      </c>
      <c r="O346">
        <v>4235.5600000000004</v>
      </c>
      <c r="P346">
        <v>-315</v>
      </c>
      <c r="Q346">
        <v>2500</v>
      </c>
    </row>
    <row r="347" spans="1:17">
      <c r="A347" s="155">
        <v>44926</v>
      </c>
      <c r="B347" t="s">
        <v>348</v>
      </c>
      <c r="C347" t="s">
        <v>8</v>
      </c>
      <c r="D347">
        <v>2022</v>
      </c>
      <c r="E347" t="s">
        <v>94</v>
      </c>
      <c r="F347" t="s">
        <v>88</v>
      </c>
      <c r="G347" t="s">
        <v>192</v>
      </c>
      <c r="H347">
        <v>12</v>
      </c>
      <c r="I347">
        <v>3986.3199999999997</v>
      </c>
      <c r="J347">
        <v>813.99999999999989</v>
      </c>
      <c r="K347">
        <v>175.65</v>
      </c>
      <c r="L347">
        <v>1047.1600000000001</v>
      </c>
      <c r="M347" t="s">
        <v>193</v>
      </c>
      <c r="N347">
        <v>-1700.8</v>
      </c>
      <c r="O347">
        <v>4235.5600000000004</v>
      </c>
      <c r="P347">
        <v>-315</v>
      </c>
      <c r="Q347">
        <v>2500</v>
      </c>
    </row>
    <row r="348" spans="1:17">
      <c r="A348" s="155">
        <v>44926</v>
      </c>
      <c r="B348" t="s">
        <v>349</v>
      </c>
      <c r="C348" t="s">
        <v>8</v>
      </c>
      <c r="D348">
        <v>2022</v>
      </c>
      <c r="E348" t="s">
        <v>94</v>
      </c>
      <c r="F348" t="s">
        <v>88</v>
      </c>
      <c r="G348" t="s">
        <v>192</v>
      </c>
      <c r="H348">
        <v>588</v>
      </c>
      <c r="I348">
        <v>57277.269999999909</v>
      </c>
      <c r="J348">
        <v>29814.200000000161</v>
      </c>
      <c r="K348">
        <v>0</v>
      </c>
      <c r="L348">
        <v>21541.35</v>
      </c>
      <c r="M348" t="s">
        <v>193</v>
      </c>
      <c r="N348">
        <v>-1700.8</v>
      </c>
      <c r="O348">
        <v>4235.5600000000004</v>
      </c>
      <c r="P348">
        <v>-315</v>
      </c>
      <c r="Q348">
        <v>2500</v>
      </c>
    </row>
    <row r="349" spans="1:17">
      <c r="A349" s="155">
        <v>44926</v>
      </c>
      <c r="B349" t="s">
        <v>350</v>
      </c>
      <c r="C349" t="s">
        <v>8</v>
      </c>
      <c r="D349">
        <v>2022</v>
      </c>
      <c r="E349" t="s">
        <v>94</v>
      </c>
      <c r="F349" t="s">
        <v>88</v>
      </c>
      <c r="G349" t="s">
        <v>192</v>
      </c>
      <c r="H349">
        <v>258</v>
      </c>
      <c r="I349">
        <v>23183.540000000008</v>
      </c>
      <c r="J349">
        <v>8645.0399999999827</v>
      </c>
      <c r="K349">
        <v>1127.1500000000001</v>
      </c>
      <c r="L349">
        <v>10064.540000000025</v>
      </c>
      <c r="M349" t="s">
        <v>193</v>
      </c>
      <c r="N349">
        <v>-1700.8</v>
      </c>
      <c r="O349">
        <v>4235.5600000000004</v>
      </c>
      <c r="P349">
        <v>-315</v>
      </c>
      <c r="Q349">
        <v>2500</v>
      </c>
    </row>
    <row r="350" spans="1:17">
      <c r="A350" s="155">
        <v>44926</v>
      </c>
      <c r="B350" t="s">
        <v>351</v>
      </c>
      <c r="C350" t="s">
        <v>8</v>
      </c>
      <c r="D350">
        <v>2022</v>
      </c>
      <c r="E350" t="s">
        <v>94</v>
      </c>
      <c r="F350" t="s">
        <v>88</v>
      </c>
      <c r="G350" t="s">
        <v>192</v>
      </c>
      <c r="H350">
        <v>45</v>
      </c>
      <c r="I350">
        <v>6644.2499999999964</v>
      </c>
      <c r="J350">
        <v>3578.2200000000012</v>
      </c>
      <c r="K350">
        <v>0</v>
      </c>
      <c r="L350">
        <v>2794.66</v>
      </c>
      <c r="M350" t="s">
        <v>193</v>
      </c>
      <c r="N350">
        <v>-1700.8</v>
      </c>
      <c r="O350">
        <v>4235.5600000000004</v>
      </c>
      <c r="P350">
        <v>-315</v>
      </c>
      <c r="Q350">
        <v>2500</v>
      </c>
    </row>
    <row r="351" spans="1:17">
      <c r="A351" s="155">
        <v>44926</v>
      </c>
      <c r="B351" t="s">
        <v>369</v>
      </c>
      <c r="C351" t="s">
        <v>8</v>
      </c>
      <c r="D351">
        <v>2022</v>
      </c>
      <c r="E351" t="s">
        <v>94</v>
      </c>
      <c r="F351" t="s">
        <v>88</v>
      </c>
      <c r="G351" t="s">
        <v>192</v>
      </c>
      <c r="H351">
        <v>67</v>
      </c>
      <c r="I351">
        <v>20942.840000000004</v>
      </c>
      <c r="J351">
        <v>7566.4400000000032</v>
      </c>
      <c r="K351">
        <v>0</v>
      </c>
      <c r="L351">
        <v>4163.4300000000021</v>
      </c>
      <c r="M351" t="s">
        <v>193</v>
      </c>
      <c r="N351">
        <v>-1700.8</v>
      </c>
      <c r="O351">
        <v>4235.5600000000004</v>
      </c>
      <c r="P351">
        <v>-315</v>
      </c>
      <c r="Q351">
        <v>2500</v>
      </c>
    </row>
    <row r="352" spans="1:17">
      <c r="A352" s="155">
        <v>44926</v>
      </c>
      <c r="B352" t="s">
        <v>360</v>
      </c>
      <c r="C352" t="s">
        <v>8</v>
      </c>
      <c r="D352">
        <v>2022</v>
      </c>
      <c r="E352" t="s">
        <v>94</v>
      </c>
      <c r="F352" t="s">
        <v>88</v>
      </c>
      <c r="G352" t="s">
        <v>192</v>
      </c>
      <c r="H352">
        <v>49</v>
      </c>
      <c r="I352">
        <v>19623.399999999994</v>
      </c>
      <c r="J352">
        <v>8577.0400000000009</v>
      </c>
      <c r="K352">
        <v>0</v>
      </c>
      <c r="L352">
        <v>9448.67</v>
      </c>
      <c r="M352" t="s">
        <v>193</v>
      </c>
      <c r="N352">
        <v>-1700.8</v>
      </c>
      <c r="O352">
        <v>4235.5600000000004</v>
      </c>
      <c r="P352">
        <v>-315</v>
      </c>
      <c r="Q352">
        <v>2500</v>
      </c>
    </row>
    <row r="353" spans="1:17">
      <c r="A353" s="155">
        <v>44926</v>
      </c>
      <c r="B353" t="s">
        <v>361</v>
      </c>
      <c r="C353" t="s">
        <v>8</v>
      </c>
      <c r="D353">
        <v>2022</v>
      </c>
      <c r="E353" t="s">
        <v>94</v>
      </c>
      <c r="F353" t="s">
        <v>88</v>
      </c>
      <c r="G353" t="s">
        <v>192</v>
      </c>
      <c r="H353">
        <v>113</v>
      </c>
      <c r="I353">
        <v>42275.310000000019</v>
      </c>
      <c r="J353">
        <v>18187.43</v>
      </c>
      <c r="K353">
        <v>0</v>
      </c>
      <c r="L353">
        <v>17834.609999999997</v>
      </c>
      <c r="M353" t="s">
        <v>193</v>
      </c>
      <c r="N353">
        <v>-1700.8</v>
      </c>
      <c r="O353">
        <v>4235.5600000000004</v>
      </c>
      <c r="P353">
        <v>-315</v>
      </c>
      <c r="Q353">
        <v>2500</v>
      </c>
    </row>
    <row r="354" spans="1:17">
      <c r="A354" s="155">
        <v>44926</v>
      </c>
      <c r="B354" t="s">
        <v>176</v>
      </c>
      <c r="C354" t="s">
        <v>8</v>
      </c>
      <c r="D354">
        <v>2022</v>
      </c>
      <c r="E354" t="s">
        <v>94</v>
      </c>
      <c r="F354" t="s">
        <v>88</v>
      </c>
      <c r="G354" t="s">
        <v>192</v>
      </c>
      <c r="H354">
        <v>261</v>
      </c>
      <c r="I354">
        <v>75561.66999999994</v>
      </c>
      <c r="J354">
        <v>29828.670000000013</v>
      </c>
      <c r="K354">
        <v>0</v>
      </c>
      <c r="L354">
        <v>27885.17</v>
      </c>
      <c r="M354" t="s">
        <v>193</v>
      </c>
      <c r="N354">
        <v>-1700.8</v>
      </c>
      <c r="O354">
        <v>4235.5600000000004</v>
      </c>
      <c r="P354">
        <v>-315</v>
      </c>
      <c r="Q354">
        <v>2500</v>
      </c>
    </row>
    <row r="355" spans="1:17">
      <c r="A355" s="155">
        <v>44926</v>
      </c>
      <c r="B355" t="s">
        <v>373</v>
      </c>
      <c r="C355" t="s">
        <v>8</v>
      </c>
      <c r="D355">
        <v>2022</v>
      </c>
      <c r="E355" t="s">
        <v>94</v>
      </c>
      <c r="F355" t="s">
        <v>88</v>
      </c>
      <c r="G355" t="s">
        <v>192</v>
      </c>
      <c r="H355">
        <v>1</v>
      </c>
      <c r="I355">
        <v>564.13</v>
      </c>
      <c r="J355">
        <v>364.13</v>
      </c>
      <c r="K355">
        <v>0</v>
      </c>
      <c r="L355">
        <v>200</v>
      </c>
      <c r="M355" t="s">
        <v>193</v>
      </c>
      <c r="N355">
        <v>-1700.8</v>
      </c>
      <c r="O355">
        <v>4235.5600000000004</v>
      </c>
      <c r="P355">
        <v>-315</v>
      </c>
      <c r="Q355">
        <v>2500</v>
      </c>
    </row>
    <row r="356" spans="1:17">
      <c r="A356" s="155">
        <v>44926</v>
      </c>
      <c r="B356" t="s">
        <v>352</v>
      </c>
      <c r="C356" t="s">
        <v>8</v>
      </c>
      <c r="D356">
        <v>2022</v>
      </c>
      <c r="E356" t="s">
        <v>94</v>
      </c>
      <c r="F356" t="s">
        <v>88</v>
      </c>
      <c r="G356" t="s">
        <v>192</v>
      </c>
      <c r="H356">
        <v>1443</v>
      </c>
      <c r="I356">
        <v>104546.91999999982</v>
      </c>
      <c r="J356">
        <v>50102.350000000326</v>
      </c>
      <c r="K356">
        <v>957.49</v>
      </c>
      <c r="L356">
        <v>41749.649999999667</v>
      </c>
      <c r="M356" t="s">
        <v>193</v>
      </c>
      <c r="N356">
        <v>-1700.8</v>
      </c>
      <c r="O356">
        <v>4235.5600000000004</v>
      </c>
      <c r="P356">
        <v>-315</v>
      </c>
      <c r="Q356">
        <v>2500</v>
      </c>
    </row>
    <row r="357" spans="1:17">
      <c r="A357" s="155">
        <v>44926</v>
      </c>
      <c r="B357" t="s">
        <v>353</v>
      </c>
      <c r="C357" t="s">
        <v>8</v>
      </c>
      <c r="D357">
        <v>2022</v>
      </c>
      <c r="E357" t="s">
        <v>94</v>
      </c>
      <c r="F357" t="s">
        <v>88</v>
      </c>
      <c r="G357" t="s">
        <v>192</v>
      </c>
      <c r="H357">
        <v>853</v>
      </c>
      <c r="I357">
        <v>60102.469999999892</v>
      </c>
      <c r="J357">
        <v>29731.590000000051</v>
      </c>
      <c r="K357">
        <v>1411.9699999999998</v>
      </c>
      <c r="L357">
        <v>16584.290000000045</v>
      </c>
      <c r="M357" t="s">
        <v>193</v>
      </c>
      <c r="N357">
        <v>-1700.8</v>
      </c>
      <c r="O357">
        <v>4235.5600000000004</v>
      </c>
      <c r="P357">
        <v>-315</v>
      </c>
      <c r="Q357">
        <v>2500</v>
      </c>
    </row>
    <row r="358" spans="1:17">
      <c r="A358" s="155">
        <v>44926</v>
      </c>
      <c r="B358" t="s">
        <v>362</v>
      </c>
      <c r="C358" t="s">
        <v>8</v>
      </c>
      <c r="D358">
        <v>2022</v>
      </c>
      <c r="E358" t="s">
        <v>94</v>
      </c>
      <c r="F358" t="s">
        <v>88</v>
      </c>
      <c r="G358" t="s">
        <v>192</v>
      </c>
      <c r="H358">
        <v>41</v>
      </c>
      <c r="I358">
        <v>18244.469999999998</v>
      </c>
      <c r="J358">
        <v>5679.4699999999984</v>
      </c>
      <c r="K358">
        <v>0</v>
      </c>
      <c r="L358">
        <v>6669.7900000000009</v>
      </c>
      <c r="M358" t="s">
        <v>193</v>
      </c>
      <c r="N358">
        <v>-1700.8</v>
      </c>
      <c r="O358">
        <v>4235.5600000000004</v>
      </c>
      <c r="P358">
        <v>-315</v>
      </c>
      <c r="Q358">
        <v>2500</v>
      </c>
    </row>
    <row r="359" spans="1:17">
      <c r="A359" s="155">
        <v>44926</v>
      </c>
      <c r="B359" t="s">
        <v>354</v>
      </c>
      <c r="C359" t="s">
        <v>8</v>
      </c>
      <c r="D359">
        <v>2022</v>
      </c>
      <c r="E359" t="s">
        <v>94</v>
      </c>
      <c r="F359" t="s">
        <v>88</v>
      </c>
      <c r="G359" t="s">
        <v>192</v>
      </c>
      <c r="H359">
        <v>12</v>
      </c>
      <c r="I359">
        <v>3986.3199999999997</v>
      </c>
      <c r="J359">
        <v>813.99999999999977</v>
      </c>
      <c r="K359">
        <v>175.65</v>
      </c>
      <c r="L359">
        <v>1047.1599999999999</v>
      </c>
      <c r="M359" t="s">
        <v>193</v>
      </c>
      <c r="N359">
        <v>-1700.8</v>
      </c>
      <c r="O359">
        <v>4235.5600000000004</v>
      </c>
      <c r="P359">
        <v>-315</v>
      </c>
      <c r="Q359">
        <v>2500</v>
      </c>
    </row>
    <row r="360" spans="1:17">
      <c r="A360" s="155">
        <v>44926</v>
      </c>
      <c r="B360" t="s">
        <v>355</v>
      </c>
      <c r="C360" t="s">
        <v>8</v>
      </c>
      <c r="D360">
        <v>2022</v>
      </c>
      <c r="E360" t="s">
        <v>94</v>
      </c>
      <c r="F360" t="s">
        <v>88</v>
      </c>
      <c r="G360" t="s">
        <v>192</v>
      </c>
      <c r="H360">
        <v>588</v>
      </c>
      <c r="I360">
        <v>57277.269999999909</v>
      </c>
      <c r="J360">
        <v>29814.200000000099</v>
      </c>
      <c r="K360">
        <v>0</v>
      </c>
      <c r="L360">
        <v>21541.349999999984</v>
      </c>
      <c r="M360" t="s">
        <v>193</v>
      </c>
      <c r="N360">
        <v>-1700.8</v>
      </c>
      <c r="O360">
        <v>4235.5600000000004</v>
      </c>
      <c r="P360">
        <v>-315</v>
      </c>
      <c r="Q360">
        <v>2500</v>
      </c>
    </row>
    <row r="361" spans="1:17">
      <c r="A361" s="155">
        <v>44926</v>
      </c>
      <c r="B361" t="s">
        <v>356</v>
      </c>
      <c r="C361" t="s">
        <v>8</v>
      </c>
      <c r="D361">
        <v>2022</v>
      </c>
      <c r="E361" t="s">
        <v>94</v>
      </c>
      <c r="F361" t="s">
        <v>88</v>
      </c>
      <c r="G361" t="s">
        <v>192</v>
      </c>
      <c r="H361">
        <v>258</v>
      </c>
      <c r="I361">
        <v>23183.540000000012</v>
      </c>
      <c r="J361">
        <v>8645.039999999979</v>
      </c>
      <c r="K361">
        <v>1127.1500000000001</v>
      </c>
      <c r="L361">
        <v>10064.540000000026</v>
      </c>
      <c r="M361" t="s">
        <v>193</v>
      </c>
      <c r="N361">
        <v>-1700.8</v>
      </c>
      <c r="O361">
        <v>4235.5600000000004</v>
      </c>
      <c r="P361">
        <v>-315</v>
      </c>
      <c r="Q361">
        <v>2500</v>
      </c>
    </row>
    <row r="362" spans="1:17">
      <c r="A362" s="155">
        <v>44926</v>
      </c>
      <c r="B362" t="s">
        <v>357</v>
      </c>
      <c r="C362" t="s">
        <v>8</v>
      </c>
      <c r="D362">
        <v>2022</v>
      </c>
      <c r="E362" t="s">
        <v>94</v>
      </c>
      <c r="F362" t="s">
        <v>88</v>
      </c>
      <c r="G362" t="s">
        <v>192</v>
      </c>
      <c r="H362">
        <v>45</v>
      </c>
      <c r="I362">
        <v>6644.2499999999991</v>
      </c>
      <c r="J362">
        <v>3578.2200000000003</v>
      </c>
      <c r="K362">
        <v>0</v>
      </c>
      <c r="L362">
        <v>2794.66</v>
      </c>
      <c r="M362" t="s">
        <v>193</v>
      </c>
      <c r="N362">
        <v>-1700.8</v>
      </c>
      <c r="O362">
        <v>4235.5600000000004</v>
      </c>
      <c r="P362">
        <v>-315</v>
      </c>
      <c r="Q362">
        <v>2500</v>
      </c>
    </row>
    <row r="363" spans="1:17">
      <c r="A363" s="155">
        <v>44926</v>
      </c>
      <c r="B363" t="s">
        <v>377</v>
      </c>
      <c r="C363" t="s">
        <v>8</v>
      </c>
      <c r="D363">
        <v>2022</v>
      </c>
      <c r="E363" t="s">
        <v>94</v>
      </c>
      <c r="F363" t="s">
        <v>88</v>
      </c>
      <c r="G363" t="s">
        <v>192</v>
      </c>
      <c r="H363">
        <v>67</v>
      </c>
      <c r="I363">
        <v>20942.840000000004</v>
      </c>
      <c r="J363">
        <v>7566.4400000000032</v>
      </c>
      <c r="K363">
        <v>0</v>
      </c>
      <c r="L363">
        <v>4163.4299999999994</v>
      </c>
      <c r="M363" t="s">
        <v>193</v>
      </c>
      <c r="N363">
        <v>-1700.8</v>
      </c>
      <c r="O363">
        <v>4235.5600000000004</v>
      </c>
      <c r="P363">
        <v>-315</v>
      </c>
      <c r="Q363">
        <v>2500</v>
      </c>
    </row>
    <row r="364" spans="1:17">
      <c r="A364" s="155">
        <v>44926</v>
      </c>
      <c r="B364" t="s">
        <v>363</v>
      </c>
      <c r="C364" t="s">
        <v>8</v>
      </c>
      <c r="D364">
        <v>2022</v>
      </c>
      <c r="E364" t="s">
        <v>94</v>
      </c>
      <c r="F364" t="s">
        <v>88</v>
      </c>
      <c r="G364" t="s">
        <v>192</v>
      </c>
      <c r="H364">
        <v>49</v>
      </c>
      <c r="I364">
        <v>19623.399999999994</v>
      </c>
      <c r="J364">
        <v>8577.0399999999991</v>
      </c>
      <c r="K364">
        <v>0</v>
      </c>
      <c r="L364">
        <v>9448.67</v>
      </c>
      <c r="M364" t="s">
        <v>193</v>
      </c>
      <c r="N364">
        <v>-1700.8</v>
      </c>
      <c r="O364">
        <v>4235.5600000000004</v>
      </c>
      <c r="P364">
        <v>-315</v>
      </c>
      <c r="Q364">
        <v>2500</v>
      </c>
    </row>
    <row r="365" spans="1:17">
      <c r="A365" s="155">
        <v>44926</v>
      </c>
      <c r="B365" t="s">
        <v>364</v>
      </c>
      <c r="C365" t="s">
        <v>8</v>
      </c>
      <c r="D365">
        <v>2022</v>
      </c>
      <c r="E365" t="s">
        <v>94</v>
      </c>
      <c r="F365" t="s">
        <v>88</v>
      </c>
      <c r="G365" t="s">
        <v>192</v>
      </c>
      <c r="H365">
        <v>113</v>
      </c>
      <c r="I365">
        <v>42275.310000000019</v>
      </c>
      <c r="J365">
        <v>18187.43</v>
      </c>
      <c r="K365">
        <v>0</v>
      </c>
      <c r="L365">
        <v>17834.61</v>
      </c>
      <c r="M365" t="s">
        <v>193</v>
      </c>
      <c r="N365">
        <v>-1700.8</v>
      </c>
      <c r="O365">
        <v>4235.5600000000004</v>
      </c>
      <c r="P365">
        <v>-315</v>
      </c>
      <c r="Q365">
        <v>2500</v>
      </c>
    </row>
    <row r="366" spans="1:17">
      <c r="A366" s="155">
        <v>44926</v>
      </c>
      <c r="B366" t="s">
        <v>358</v>
      </c>
      <c r="C366" t="s">
        <v>8</v>
      </c>
      <c r="D366">
        <v>2022</v>
      </c>
      <c r="E366" t="s">
        <v>94</v>
      </c>
      <c r="F366" t="s">
        <v>88</v>
      </c>
      <c r="G366" t="s">
        <v>192</v>
      </c>
      <c r="H366">
        <v>261</v>
      </c>
      <c r="I366">
        <v>75561.669999999969</v>
      </c>
      <c r="J366">
        <v>29828.670000000016</v>
      </c>
      <c r="K366">
        <v>0</v>
      </c>
      <c r="L366">
        <v>27885.170000000002</v>
      </c>
      <c r="M366" t="s">
        <v>193</v>
      </c>
      <c r="N366">
        <v>-1700.8</v>
      </c>
      <c r="O366">
        <v>4235.5600000000004</v>
      </c>
      <c r="P366">
        <v>-315</v>
      </c>
      <c r="Q366">
        <v>2500</v>
      </c>
    </row>
    <row r="367" spans="1:17">
      <c r="A367" s="155">
        <v>44926</v>
      </c>
      <c r="B367" t="s">
        <v>380</v>
      </c>
      <c r="C367" t="s">
        <v>8</v>
      </c>
      <c r="D367">
        <v>2022</v>
      </c>
      <c r="E367" t="s">
        <v>94</v>
      </c>
      <c r="F367" t="s">
        <v>88</v>
      </c>
      <c r="G367" t="s">
        <v>192</v>
      </c>
      <c r="H367">
        <v>1</v>
      </c>
      <c r="I367">
        <v>564.13</v>
      </c>
      <c r="J367">
        <v>364.13</v>
      </c>
      <c r="K367">
        <v>0</v>
      </c>
      <c r="L367">
        <v>200</v>
      </c>
      <c r="M367" t="s">
        <v>193</v>
      </c>
      <c r="N367">
        <v>-1700.8</v>
      </c>
      <c r="O367">
        <v>4235.5600000000004</v>
      </c>
      <c r="P367">
        <v>-315</v>
      </c>
      <c r="Q367">
        <v>2500</v>
      </c>
    </row>
    <row r="368" spans="1:17">
      <c r="A368" s="155">
        <v>44926</v>
      </c>
      <c r="B368" t="s">
        <v>346</v>
      </c>
      <c r="C368" t="s">
        <v>8</v>
      </c>
      <c r="D368">
        <v>2022</v>
      </c>
      <c r="E368" t="s">
        <v>95</v>
      </c>
      <c r="F368" t="s">
        <v>88</v>
      </c>
      <c r="G368" t="s">
        <v>192</v>
      </c>
      <c r="H368">
        <v>36</v>
      </c>
      <c r="I368">
        <v>4449.9600000000009</v>
      </c>
      <c r="J368">
        <v>235.44999999999993</v>
      </c>
      <c r="K368">
        <v>514.20000000000005</v>
      </c>
      <c r="L368">
        <v>3700.3100000000022</v>
      </c>
      <c r="M368" t="s">
        <v>193</v>
      </c>
      <c r="N368">
        <v>2</v>
      </c>
      <c r="O368">
        <v>1813.5</v>
      </c>
      <c r="P368">
        <v>0.6</v>
      </c>
      <c r="Q368">
        <v>940.5</v>
      </c>
    </row>
    <row r="369" spans="1:17">
      <c r="A369" s="155">
        <v>44926</v>
      </c>
      <c r="B369" t="s">
        <v>347</v>
      </c>
      <c r="C369" t="s">
        <v>8</v>
      </c>
      <c r="D369">
        <v>2022</v>
      </c>
      <c r="E369" t="s">
        <v>95</v>
      </c>
      <c r="F369" t="s">
        <v>88</v>
      </c>
      <c r="G369" t="s">
        <v>192</v>
      </c>
      <c r="H369">
        <v>20</v>
      </c>
      <c r="I369">
        <v>1322.4</v>
      </c>
      <c r="J369">
        <v>205.79999999999995</v>
      </c>
      <c r="K369">
        <v>0</v>
      </c>
      <c r="L369">
        <v>1116.6000000000001</v>
      </c>
      <c r="M369" t="s">
        <v>193</v>
      </c>
      <c r="N369">
        <v>2</v>
      </c>
      <c r="O369">
        <v>1813.5</v>
      </c>
      <c r="P369">
        <v>0.6</v>
      </c>
      <c r="Q369">
        <v>940.5</v>
      </c>
    </row>
    <row r="370" spans="1:17">
      <c r="A370" s="155">
        <v>44926</v>
      </c>
      <c r="B370" t="s">
        <v>349</v>
      </c>
      <c r="C370" t="s">
        <v>8</v>
      </c>
      <c r="D370">
        <v>2022</v>
      </c>
      <c r="E370" t="s">
        <v>95</v>
      </c>
      <c r="F370" t="s">
        <v>88</v>
      </c>
      <c r="G370" t="s">
        <v>192</v>
      </c>
      <c r="H370">
        <v>17</v>
      </c>
      <c r="I370">
        <v>3253.2000000000007</v>
      </c>
      <c r="J370">
        <v>117.60000000000001</v>
      </c>
      <c r="K370">
        <v>0</v>
      </c>
      <c r="L370">
        <v>3135.6000000000004</v>
      </c>
      <c r="M370" t="s">
        <v>193</v>
      </c>
      <c r="N370">
        <v>2</v>
      </c>
      <c r="O370">
        <v>1813.5</v>
      </c>
      <c r="P370">
        <v>0.6</v>
      </c>
      <c r="Q370">
        <v>940.5</v>
      </c>
    </row>
    <row r="371" spans="1:17">
      <c r="A371" s="155">
        <v>44926</v>
      </c>
      <c r="B371" t="s">
        <v>350</v>
      </c>
      <c r="C371" t="s">
        <v>8</v>
      </c>
      <c r="D371">
        <v>2022</v>
      </c>
      <c r="E371" t="s">
        <v>95</v>
      </c>
      <c r="F371" t="s">
        <v>88</v>
      </c>
      <c r="G371" t="s">
        <v>192</v>
      </c>
      <c r="H371">
        <v>10</v>
      </c>
      <c r="I371">
        <v>311.2</v>
      </c>
      <c r="J371">
        <v>203.7</v>
      </c>
      <c r="K371">
        <v>0</v>
      </c>
      <c r="L371">
        <v>107.5</v>
      </c>
      <c r="M371" t="s">
        <v>193</v>
      </c>
      <c r="N371">
        <v>2</v>
      </c>
      <c r="O371">
        <v>1813.5</v>
      </c>
      <c r="P371">
        <v>0.6</v>
      </c>
      <c r="Q371">
        <v>940.5</v>
      </c>
    </row>
    <row r="372" spans="1:17">
      <c r="A372" s="155">
        <v>44926</v>
      </c>
      <c r="B372" t="s">
        <v>360</v>
      </c>
      <c r="C372" t="s">
        <v>8</v>
      </c>
      <c r="D372">
        <v>2022</v>
      </c>
      <c r="E372" t="s">
        <v>95</v>
      </c>
      <c r="F372" t="s">
        <v>88</v>
      </c>
      <c r="G372" t="s">
        <v>192</v>
      </c>
      <c r="H372">
        <v>2</v>
      </c>
      <c r="I372">
        <v>1707.74</v>
      </c>
      <c r="J372">
        <v>757.74</v>
      </c>
      <c r="K372">
        <v>0</v>
      </c>
      <c r="L372">
        <v>606.18999999999994</v>
      </c>
      <c r="M372" t="s">
        <v>193</v>
      </c>
      <c r="N372">
        <v>2</v>
      </c>
      <c r="O372">
        <v>1813.5</v>
      </c>
      <c r="P372">
        <v>0.6</v>
      </c>
      <c r="Q372">
        <v>940.5</v>
      </c>
    </row>
    <row r="373" spans="1:17">
      <c r="A373" s="155">
        <v>44926</v>
      </c>
      <c r="B373" t="s">
        <v>361</v>
      </c>
      <c r="C373" t="s">
        <v>8</v>
      </c>
      <c r="D373">
        <v>2022</v>
      </c>
      <c r="E373" t="s">
        <v>95</v>
      </c>
      <c r="F373" t="s">
        <v>88</v>
      </c>
      <c r="G373" t="s">
        <v>192</v>
      </c>
      <c r="H373">
        <v>1</v>
      </c>
      <c r="I373">
        <v>813.5</v>
      </c>
      <c r="J373">
        <v>313.5</v>
      </c>
      <c r="K373">
        <v>0</v>
      </c>
      <c r="L373">
        <v>313.5</v>
      </c>
      <c r="M373" t="s">
        <v>193</v>
      </c>
      <c r="N373">
        <v>2</v>
      </c>
      <c r="O373">
        <v>1813.5</v>
      </c>
      <c r="P373">
        <v>0.6</v>
      </c>
      <c r="Q373">
        <v>940.5</v>
      </c>
    </row>
    <row r="374" spans="1:17">
      <c r="A374" s="155">
        <v>44926</v>
      </c>
      <c r="B374" t="s">
        <v>176</v>
      </c>
      <c r="C374" t="s">
        <v>8</v>
      </c>
      <c r="D374">
        <v>2022</v>
      </c>
      <c r="E374" t="s">
        <v>95</v>
      </c>
      <c r="F374" t="s">
        <v>88</v>
      </c>
      <c r="G374" t="s">
        <v>192</v>
      </c>
      <c r="H374">
        <v>9</v>
      </c>
      <c r="I374">
        <v>9405.14</v>
      </c>
      <c r="J374">
        <v>1945.1399999999999</v>
      </c>
      <c r="K374">
        <v>0</v>
      </c>
      <c r="L374">
        <v>3513.77</v>
      </c>
      <c r="M374" t="s">
        <v>193</v>
      </c>
      <c r="N374">
        <v>2</v>
      </c>
      <c r="O374">
        <v>1813.5</v>
      </c>
      <c r="P374">
        <v>0.6</v>
      </c>
      <c r="Q374">
        <v>940.5</v>
      </c>
    </row>
    <row r="375" spans="1:17">
      <c r="A375" s="155">
        <v>44926</v>
      </c>
      <c r="B375" t="s">
        <v>352</v>
      </c>
      <c r="C375" t="s">
        <v>8</v>
      </c>
      <c r="D375">
        <v>2022</v>
      </c>
      <c r="E375" t="s">
        <v>95</v>
      </c>
      <c r="F375" t="s">
        <v>88</v>
      </c>
      <c r="G375" t="s">
        <v>192</v>
      </c>
      <c r="H375">
        <v>36</v>
      </c>
      <c r="I375">
        <v>4449.9600000000009</v>
      </c>
      <c r="J375">
        <v>235.44999999999993</v>
      </c>
      <c r="K375">
        <v>514.20000000000005</v>
      </c>
      <c r="L375">
        <v>3700.3100000000027</v>
      </c>
      <c r="M375" t="s">
        <v>193</v>
      </c>
      <c r="N375">
        <v>2</v>
      </c>
      <c r="O375">
        <v>1813.5</v>
      </c>
      <c r="P375">
        <v>0.6</v>
      </c>
      <c r="Q375">
        <v>940.5</v>
      </c>
    </row>
    <row r="376" spans="1:17">
      <c r="A376" s="155">
        <v>44926</v>
      </c>
      <c r="B376" t="s">
        <v>353</v>
      </c>
      <c r="C376" t="s">
        <v>8</v>
      </c>
      <c r="D376">
        <v>2022</v>
      </c>
      <c r="E376" t="s">
        <v>95</v>
      </c>
      <c r="F376" t="s">
        <v>88</v>
      </c>
      <c r="G376" t="s">
        <v>192</v>
      </c>
      <c r="H376">
        <v>20</v>
      </c>
      <c r="I376">
        <v>1322.4</v>
      </c>
      <c r="J376">
        <v>205.79999999999995</v>
      </c>
      <c r="K376">
        <v>0</v>
      </c>
      <c r="L376">
        <v>1116.6000000000001</v>
      </c>
      <c r="M376" t="s">
        <v>193</v>
      </c>
      <c r="N376">
        <v>2</v>
      </c>
      <c r="O376">
        <v>1813.5</v>
      </c>
      <c r="P376">
        <v>0.6</v>
      </c>
      <c r="Q376">
        <v>940.5</v>
      </c>
    </row>
    <row r="377" spans="1:17">
      <c r="A377" s="155">
        <v>44926</v>
      </c>
      <c r="B377" t="s">
        <v>355</v>
      </c>
      <c r="C377" t="s">
        <v>8</v>
      </c>
      <c r="D377">
        <v>2022</v>
      </c>
      <c r="E377" t="s">
        <v>95</v>
      </c>
      <c r="F377" t="s">
        <v>88</v>
      </c>
      <c r="G377" t="s">
        <v>192</v>
      </c>
      <c r="H377">
        <v>17</v>
      </c>
      <c r="I377">
        <v>3253.2000000000007</v>
      </c>
      <c r="J377">
        <v>117.60000000000001</v>
      </c>
      <c r="K377">
        <v>0</v>
      </c>
      <c r="L377">
        <v>3135.6000000000004</v>
      </c>
      <c r="M377" t="s">
        <v>193</v>
      </c>
      <c r="N377">
        <v>2</v>
      </c>
      <c r="O377">
        <v>1813.5</v>
      </c>
      <c r="P377">
        <v>0.6</v>
      </c>
      <c r="Q377">
        <v>940.5</v>
      </c>
    </row>
    <row r="378" spans="1:17">
      <c r="A378" s="155">
        <v>44926</v>
      </c>
      <c r="B378" t="s">
        <v>356</v>
      </c>
      <c r="C378" t="s">
        <v>8</v>
      </c>
      <c r="D378">
        <v>2022</v>
      </c>
      <c r="E378" t="s">
        <v>95</v>
      </c>
      <c r="F378" t="s">
        <v>88</v>
      </c>
      <c r="G378" t="s">
        <v>192</v>
      </c>
      <c r="H378">
        <v>10</v>
      </c>
      <c r="I378">
        <v>311.2</v>
      </c>
      <c r="J378">
        <v>203.7</v>
      </c>
      <c r="K378">
        <v>0</v>
      </c>
      <c r="L378">
        <v>107.5</v>
      </c>
      <c r="M378" t="s">
        <v>193</v>
      </c>
      <c r="N378">
        <v>2</v>
      </c>
      <c r="O378">
        <v>1813.5</v>
      </c>
      <c r="P378">
        <v>0.6</v>
      </c>
      <c r="Q378">
        <v>940.5</v>
      </c>
    </row>
    <row r="379" spans="1:17">
      <c r="A379" s="155">
        <v>44926</v>
      </c>
      <c r="B379" t="s">
        <v>363</v>
      </c>
      <c r="C379" t="s">
        <v>8</v>
      </c>
      <c r="D379">
        <v>2022</v>
      </c>
      <c r="E379" t="s">
        <v>95</v>
      </c>
      <c r="F379" t="s">
        <v>88</v>
      </c>
      <c r="G379" t="s">
        <v>192</v>
      </c>
      <c r="H379">
        <v>2</v>
      </c>
      <c r="I379">
        <v>1707.74</v>
      </c>
      <c r="J379">
        <v>757.74</v>
      </c>
      <c r="K379">
        <v>0</v>
      </c>
      <c r="L379">
        <v>606.18999999999994</v>
      </c>
      <c r="M379" t="s">
        <v>193</v>
      </c>
      <c r="N379">
        <v>2</v>
      </c>
      <c r="O379">
        <v>1813.5</v>
      </c>
      <c r="P379">
        <v>0.6</v>
      </c>
      <c r="Q379">
        <v>940.5</v>
      </c>
    </row>
    <row r="380" spans="1:17">
      <c r="A380" s="155">
        <v>44926</v>
      </c>
      <c r="B380" t="s">
        <v>364</v>
      </c>
      <c r="C380" t="s">
        <v>8</v>
      </c>
      <c r="D380">
        <v>2022</v>
      </c>
      <c r="E380" t="s">
        <v>95</v>
      </c>
      <c r="F380" t="s">
        <v>88</v>
      </c>
      <c r="G380" t="s">
        <v>192</v>
      </c>
      <c r="H380">
        <v>1</v>
      </c>
      <c r="I380">
        <v>813.5</v>
      </c>
      <c r="J380">
        <v>313.5</v>
      </c>
      <c r="K380">
        <v>0</v>
      </c>
      <c r="L380">
        <v>313.5</v>
      </c>
      <c r="M380" t="s">
        <v>193</v>
      </c>
      <c r="N380">
        <v>2</v>
      </c>
      <c r="O380">
        <v>1813.5</v>
      </c>
      <c r="P380">
        <v>0.6</v>
      </c>
      <c r="Q380">
        <v>940.5</v>
      </c>
    </row>
    <row r="381" spans="1:17">
      <c r="A381" s="155">
        <v>44926</v>
      </c>
      <c r="B381" t="s">
        <v>358</v>
      </c>
      <c r="C381" t="s">
        <v>8</v>
      </c>
      <c r="D381">
        <v>2022</v>
      </c>
      <c r="E381" t="s">
        <v>95</v>
      </c>
      <c r="F381" t="s">
        <v>88</v>
      </c>
      <c r="G381" t="s">
        <v>192</v>
      </c>
      <c r="H381">
        <v>9</v>
      </c>
      <c r="I381">
        <v>9405.14</v>
      </c>
      <c r="J381">
        <v>1945.1399999999999</v>
      </c>
      <c r="K381">
        <v>0</v>
      </c>
      <c r="L381">
        <v>3513.77</v>
      </c>
      <c r="M381" t="s">
        <v>193</v>
      </c>
      <c r="N381">
        <v>2</v>
      </c>
      <c r="O381">
        <v>1813.5</v>
      </c>
      <c r="P381">
        <v>0.6</v>
      </c>
      <c r="Q381">
        <v>940.5</v>
      </c>
    </row>
    <row r="382" spans="1:17">
      <c r="A382" s="155">
        <v>44926</v>
      </c>
      <c r="B382" t="s">
        <v>359</v>
      </c>
      <c r="C382" t="s">
        <v>8</v>
      </c>
      <c r="D382">
        <v>2022</v>
      </c>
      <c r="E382" t="s">
        <v>194</v>
      </c>
      <c r="F382" t="s">
        <v>88</v>
      </c>
      <c r="G382" t="s">
        <v>192</v>
      </c>
      <c r="H382">
        <v>10</v>
      </c>
      <c r="I382">
        <v>196.10000000000002</v>
      </c>
      <c r="J382">
        <v>0</v>
      </c>
      <c r="K382">
        <v>0</v>
      </c>
      <c r="L382">
        <v>196.10000000000002</v>
      </c>
      <c r="M382" t="s">
        <v>193</v>
      </c>
      <c r="N382">
        <v>8.49</v>
      </c>
      <c r="O382">
        <v>54.27</v>
      </c>
      <c r="P382">
        <v>8.49</v>
      </c>
      <c r="Q382">
        <v>54.27</v>
      </c>
    </row>
    <row r="383" spans="1:17">
      <c r="A383" s="155">
        <v>44926</v>
      </c>
      <c r="B383" t="s">
        <v>367</v>
      </c>
      <c r="C383" t="s">
        <v>8</v>
      </c>
      <c r="D383">
        <v>2022</v>
      </c>
      <c r="E383" t="s">
        <v>194</v>
      </c>
      <c r="F383" t="s">
        <v>88</v>
      </c>
      <c r="G383" t="s">
        <v>192</v>
      </c>
      <c r="H383">
        <v>2</v>
      </c>
      <c r="I383">
        <v>39.22</v>
      </c>
      <c r="J383">
        <v>0</v>
      </c>
      <c r="K383">
        <v>0</v>
      </c>
      <c r="L383">
        <v>39.22</v>
      </c>
      <c r="M383" t="s">
        <v>193</v>
      </c>
      <c r="N383">
        <v>8.49</v>
      </c>
      <c r="O383">
        <v>54.27</v>
      </c>
      <c r="P383">
        <v>8.49</v>
      </c>
      <c r="Q383">
        <v>54.27</v>
      </c>
    </row>
    <row r="384" spans="1:17">
      <c r="A384" s="155">
        <v>44926</v>
      </c>
      <c r="B384" t="s">
        <v>348</v>
      </c>
      <c r="C384" t="s">
        <v>8</v>
      </c>
      <c r="D384">
        <v>2022</v>
      </c>
      <c r="E384" t="s">
        <v>194</v>
      </c>
      <c r="F384" t="s">
        <v>88</v>
      </c>
      <c r="G384" t="s">
        <v>192</v>
      </c>
      <c r="H384">
        <v>2</v>
      </c>
      <c r="I384">
        <v>39.22</v>
      </c>
      <c r="J384">
        <v>0</v>
      </c>
      <c r="K384">
        <v>0</v>
      </c>
      <c r="L384">
        <v>39.22</v>
      </c>
      <c r="M384" t="s">
        <v>193</v>
      </c>
      <c r="N384">
        <v>8.49</v>
      </c>
      <c r="O384">
        <v>54.27</v>
      </c>
      <c r="P384">
        <v>8.49</v>
      </c>
      <c r="Q384">
        <v>54.27</v>
      </c>
    </row>
    <row r="385" spans="1:17">
      <c r="A385" s="155">
        <v>44926</v>
      </c>
      <c r="B385" t="s">
        <v>351</v>
      </c>
      <c r="C385" t="s">
        <v>8</v>
      </c>
      <c r="D385">
        <v>2022</v>
      </c>
      <c r="E385" t="s">
        <v>194</v>
      </c>
      <c r="F385" t="s">
        <v>88</v>
      </c>
      <c r="G385" t="s">
        <v>192</v>
      </c>
      <c r="H385">
        <v>31</v>
      </c>
      <c r="I385">
        <v>596.7900000000003</v>
      </c>
      <c r="J385">
        <v>0</v>
      </c>
      <c r="K385">
        <v>0</v>
      </c>
      <c r="L385">
        <v>596.7900000000003</v>
      </c>
      <c r="M385" t="s">
        <v>193</v>
      </c>
      <c r="N385">
        <v>8.49</v>
      </c>
      <c r="O385">
        <v>54.27</v>
      </c>
      <c r="P385">
        <v>8.49</v>
      </c>
      <c r="Q385">
        <v>54.27</v>
      </c>
    </row>
    <row r="386" spans="1:17">
      <c r="A386" s="155">
        <v>44926</v>
      </c>
      <c r="B386" t="s">
        <v>369</v>
      </c>
      <c r="C386" t="s">
        <v>8</v>
      </c>
      <c r="D386">
        <v>2022</v>
      </c>
      <c r="E386" t="s">
        <v>194</v>
      </c>
      <c r="F386" t="s">
        <v>88</v>
      </c>
      <c r="G386" t="s">
        <v>192</v>
      </c>
      <c r="H386">
        <v>31</v>
      </c>
      <c r="I386">
        <v>552.31000000000029</v>
      </c>
      <c r="J386">
        <v>0</v>
      </c>
      <c r="K386">
        <v>0</v>
      </c>
      <c r="L386">
        <v>552.31000000000029</v>
      </c>
      <c r="M386" t="s">
        <v>193</v>
      </c>
      <c r="N386">
        <v>8.49</v>
      </c>
      <c r="O386">
        <v>54.27</v>
      </c>
      <c r="P386">
        <v>8.49</v>
      </c>
      <c r="Q386">
        <v>54.27</v>
      </c>
    </row>
    <row r="387" spans="1:17">
      <c r="A387" s="155">
        <v>44926</v>
      </c>
      <c r="B387" t="s">
        <v>360</v>
      </c>
      <c r="C387" t="s">
        <v>8</v>
      </c>
      <c r="D387">
        <v>2022</v>
      </c>
      <c r="E387" t="s">
        <v>194</v>
      </c>
      <c r="F387" t="s">
        <v>88</v>
      </c>
      <c r="G387" t="s">
        <v>192</v>
      </c>
      <c r="H387">
        <v>50</v>
      </c>
      <c r="I387">
        <v>891.54000000000053</v>
      </c>
      <c r="J387">
        <v>0</v>
      </c>
      <c r="K387">
        <v>0</v>
      </c>
      <c r="L387">
        <v>891.54000000000053</v>
      </c>
      <c r="M387" t="s">
        <v>193</v>
      </c>
      <c r="N387">
        <v>8.49</v>
      </c>
      <c r="O387">
        <v>54.27</v>
      </c>
      <c r="P387">
        <v>8.49</v>
      </c>
      <c r="Q387">
        <v>54.27</v>
      </c>
    </row>
    <row r="388" spans="1:17">
      <c r="A388" s="155">
        <v>44926</v>
      </c>
      <c r="B388" t="s">
        <v>361</v>
      </c>
      <c r="C388" t="s">
        <v>8</v>
      </c>
      <c r="D388">
        <v>2022</v>
      </c>
      <c r="E388" t="s">
        <v>194</v>
      </c>
      <c r="F388" t="s">
        <v>88</v>
      </c>
      <c r="G388" t="s">
        <v>192</v>
      </c>
      <c r="H388">
        <v>64</v>
      </c>
      <c r="I388">
        <v>1188.3199999999997</v>
      </c>
      <c r="J388">
        <v>0</v>
      </c>
      <c r="K388">
        <v>0</v>
      </c>
      <c r="L388">
        <v>1188.3199999999997</v>
      </c>
      <c r="M388" t="s">
        <v>193</v>
      </c>
      <c r="N388">
        <v>8.49</v>
      </c>
      <c r="O388">
        <v>54.27</v>
      </c>
      <c r="P388">
        <v>8.49</v>
      </c>
      <c r="Q388">
        <v>54.27</v>
      </c>
    </row>
    <row r="389" spans="1:17">
      <c r="A389" s="155">
        <v>44926</v>
      </c>
      <c r="B389" t="s">
        <v>176</v>
      </c>
      <c r="C389" t="s">
        <v>8</v>
      </c>
      <c r="D389">
        <v>2022</v>
      </c>
      <c r="E389" t="s">
        <v>194</v>
      </c>
      <c r="F389" t="s">
        <v>88</v>
      </c>
      <c r="G389" t="s">
        <v>192</v>
      </c>
      <c r="H389">
        <v>104</v>
      </c>
      <c r="I389">
        <v>1990.4999999999964</v>
      </c>
      <c r="J389">
        <v>0</v>
      </c>
      <c r="K389">
        <v>0</v>
      </c>
      <c r="L389">
        <v>1990.4999999999964</v>
      </c>
      <c r="M389" t="s">
        <v>193</v>
      </c>
      <c r="N389">
        <v>8.49</v>
      </c>
      <c r="O389">
        <v>54.27</v>
      </c>
      <c r="P389">
        <v>8.49</v>
      </c>
      <c r="Q389">
        <v>54.27</v>
      </c>
    </row>
    <row r="390" spans="1:17">
      <c r="A390" s="155">
        <v>44926</v>
      </c>
      <c r="B390" t="s">
        <v>373</v>
      </c>
      <c r="C390" t="s">
        <v>8</v>
      </c>
      <c r="D390">
        <v>2022</v>
      </c>
      <c r="E390" t="s">
        <v>194</v>
      </c>
      <c r="F390" t="s">
        <v>88</v>
      </c>
      <c r="G390" t="s">
        <v>192</v>
      </c>
      <c r="H390">
        <v>1</v>
      </c>
      <c r="I390">
        <v>19.61</v>
      </c>
      <c r="J390">
        <v>0</v>
      </c>
      <c r="K390">
        <v>0</v>
      </c>
      <c r="L390">
        <v>19.61</v>
      </c>
      <c r="M390" t="s">
        <v>193</v>
      </c>
      <c r="N390">
        <v>8.49</v>
      </c>
      <c r="O390">
        <v>54.27</v>
      </c>
      <c r="P390">
        <v>8.49</v>
      </c>
      <c r="Q390">
        <v>54.27</v>
      </c>
    </row>
    <row r="391" spans="1:17">
      <c r="A391" s="155">
        <v>44926</v>
      </c>
      <c r="B391" t="s">
        <v>374</v>
      </c>
      <c r="C391" t="s">
        <v>8</v>
      </c>
      <c r="D391">
        <v>2022</v>
      </c>
      <c r="E391" t="s">
        <v>194</v>
      </c>
      <c r="F391" t="s">
        <v>88</v>
      </c>
      <c r="G391" t="s">
        <v>192</v>
      </c>
      <c r="H391">
        <v>2</v>
      </c>
      <c r="I391">
        <v>39.22</v>
      </c>
      <c r="J391">
        <v>0</v>
      </c>
      <c r="K391">
        <v>0</v>
      </c>
      <c r="L391">
        <v>39.22</v>
      </c>
      <c r="M391" t="s">
        <v>193</v>
      </c>
      <c r="N391">
        <v>8.49</v>
      </c>
      <c r="O391">
        <v>54.27</v>
      </c>
      <c r="P391">
        <v>8.49</v>
      </c>
      <c r="Q391">
        <v>54.27</v>
      </c>
    </row>
    <row r="392" spans="1:17">
      <c r="A392" s="155">
        <v>44926</v>
      </c>
      <c r="B392" t="s">
        <v>362</v>
      </c>
      <c r="C392" t="s">
        <v>8</v>
      </c>
      <c r="D392">
        <v>2022</v>
      </c>
      <c r="E392" t="s">
        <v>194</v>
      </c>
      <c r="F392" t="s">
        <v>88</v>
      </c>
      <c r="G392" t="s">
        <v>192</v>
      </c>
      <c r="H392">
        <v>10</v>
      </c>
      <c r="I392">
        <v>196.10000000000002</v>
      </c>
      <c r="J392">
        <v>0</v>
      </c>
      <c r="K392">
        <v>0</v>
      </c>
      <c r="L392">
        <v>196.10000000000002</v>
      </c>
      <c r="M392" t="s">
        <v>193</v>
      </c>
      <c r="N392">
        <v>8.49</v>
      </c>
      <c r="O392">
        <v>54.27</v>
      </c>
      <c r="P392">
        <v>8.49</v>
      </c>
      <c r="Q392">
        <v>54.27</v>
      </c>
    </row>
    <row r="393" spans="1:17">
      <c r="A393" s="155">
        <v>44926</v>
      </c>
      <c r="B393" t="s">
        <v>354</v>
      </c>
      <c r="C393" t="s">
        <v>8</v>
      </c>
      <c r="D393">
        <v>2022</v>
      </c>
      <c r="E393" t="s">
        <v>194</v>
      </c>
      <c r="F393" t="s">
        <v>88</v>
      </c>
      <c r="G393" t="s">
        <v>192</v>
      </c>
      <c r="H393">
        <v>2</v>
      </c>
      <c r="I393">
        <v>39.22</v>
      </c>
      <c r="J393">
        <v>0</v>
      </c>
      <c r="K393">
        <v>0</v>
      </c>
      <c r="L393">
        <v>39.22</v>
      </c>
      <c r="M393" t="s">
        <v>193</v>
      </c>
      <c r="N393">
        <v>8.49</v>
      </c>
      <c r="O393">
        <v>54.27</v>
      </c>
      <c r="P393">
        <v>8.49</v>
      </c>
      <c r="Q393">
        <v>54.27</v>
      </c>
    </row>
    <row r="394" spans="1:17">
      <c r="A394" s="155">
        <v>44926</v>
      </c>
      <c r="B394" t="s">
        <v>357</v>
      </c>
      <c r="C394" t="s">
        <v>8</v>
      </c>
      <c r="D394">
        <v>2022</v>
      </c>
      <c r="E394" t="s">
        <v>194</v>
      </c>
      <c r="F394" t="s">
        <v>88</v>
      </c>
      <c r="G394" t="s">
        <v>192</v>
      </c>
      <c r="H394">
        <v>31</v>
      </c>
      <c r="I394">
        <v>596.7900000000003</v>
      </c>
      <c r="J394">
        <v>0</v>
      </c>
      <c r="K394">
        <v>0</v>
      </c>
      <c r="L394">
        <v>596.7900000000003</v>
      </c>
      <c r="M394" t="s">
        <v>193</v>
      </c>
      <c r="N394">
        <v>8.49</v>
      </c>
      <c r="O394">
        <v>54.27</v>
      </c>
      <c r="P394">
        <v>8.49</v>
      </c>
      <c r="Q394">
        <v>54.27</v>
      </c>
    </row>
    <row r="395" spans="1:17">
      <c r="A395" s="155">
        <v>44926</v>
      </c>
      <c r="B395" t="s">
        <v>377</v>
      </c>
      <c r="C395" t="s">
        <v>8</v>
      </c>
      <c r="D395">
        <v>2022</v>
      </c>
      <c r="E395" t="s">
        <v>194</v>
      </c>
      <c r="F395" t="s">
        <v>88</v>
      </c>
      <c r="G395" t="s">
        <v>192</v>
      </c>
      <c r="H395">
        <v>31</v>
      </c>
      <c r="I395">
        <v>552.31000000000029</v>
      </c>
      <c r="J395">
        <v>0</v>
      </c>
      <c r="K395">
        <v>0</v>
      </c>
      <c r="L395">
        <v>552.31000000000029</v>
      </c>
      <c r="M395" t="s">
        <v>193</v>
      </c>
      <c r="N395">
        <v>8.49</v>
      </c>
      <c r="O395">
        <v>54.27</v>
      </c>
      <c r="P395">
        <v>8.49</v>
      </c>
      <c r="Q395">
        <v>54.27</v>
      </c>
    </row>
    <row r="396" spans="1:17">
      <c r="A396" s="155">
        <v>44926</v>
      </c>
      <c r="B396" t="s">
        <v>363</v>
      </c>
      <c r="C396" t="s">
        <v>8</v>
      </c>
      <c r="D396">
        <v>2022</v>
      </c>
      <c r="E396" t="s">
        <v>194</v>
      </c>
      <c r="F396" t="s">
        <v>88</v>
      </c>
      <c r="G396" t="s">
        <v>192</v>
      </c>
      <c r="H396">
        <v>50</v>
      </c>
      <c r="I396">
        <v>891.54000000000053</v>
      </c>
      <c r="J396">
        <v>0</v>
      </c>
      <c r="K396">
        <v>0</v>
      </c>
      <c r="L396">
        <v>891.54000000000053</v>
      </c>
      <c r="M396" t="s">
        <v>193</v>
      </c>
      <c r="N396">
        <v>8.49</v>
      </c>
      <c r="O396">
        <v>54.27</v>
      </c>
      <c r="P396">
        <v>8.49</v>
      </c>
      <c r="Q396">
        <v>54.27</v>
      </c>
    </row>
    <row r="397" spans="1:17">
      <c r="A397" s="155">
        <v>44926</v>
      </c>
      <c r="B397" t="s">
        <v>364</v>
      </c>
      <c r="C397" t="s">
        <v>8</v>
      </c>
      <c r="D397">
        <v>2022</v>
      </c>
      <c r="E397" t="s">
        <v>194</v>
      </c>
      <c r="F397" t="s">
        <v>88</v>
      </c>
      <c r="G397" t="s">
        <v>192</v>
      </c>
      <c r="H397">
        <v>64</v>
      </c>
      <c r="I397">
        <v>1188.3199999999997</v>
      </c>
      <c r="J397">
        <v>0</v>
      </c>
      <c r="K397">
        <v>0</v>
      </c>
      <c r="L397">
        <v>1188.3199999999997</v>
      </c>
      <c r="M397" t="s">
        <v>193</v>
      </c>
      <c r="N397">
        <v>8.49</v>
      </c>
      <c r="O397">
        <v>54.27</v>
      </c>
      <c r="P397">
        <v>8.49</v>
      </c>
      <c r="Q397">
        <v>54.27</v>
      </c>
    </row>
    <row r="398" spans="1:17">
      <c r="A398" s="155">
        <v>44926</v>
      </c>
      <c r="B398" t="s">
        <v>358</v>
      </c>
      <c r="C398" t="s">
        <v>8</v>
      </c>
      <c r="D398">
        <v>2022</v>
      </c>
      <c r="E398" t="s">
        <v>194</v>
      </c>
      <c r="F398" t="s">
        <v>88</v>
      </c>
      <c r="G398" t="s">
        <v>192</v>
      </c>
      <c r="H398">
        <v>104</v>
      </c>
      <c r="I398">
        <v>1990.4999999999964</v>
      </c>
      <c r="J398">
        <v>0</v>
      </c>
      <c r="K398">
        <v>0</v>
      </c>
      <c r="L398">
        <v>1990.4999999999964</v>
      </c>
      <c r="M398" t="s">
        <v>193</v>
      </c>
      <c r="N398">
        <v>8.49</v>
      </c>
      <c r="O398">
        <v>54.27</v>
      </c>
      <c r="P398">
        <v>8.49</v>
      </c>
      <c r="Q398">
        <v>54.27</v>
      </c>
    </row>
    <row r="399" spans="1:17">
      <c r="A399" s="155">
        <v>44926</v>
      </c>
      <c r="B399" t="s">
        <v>380</v>
      </c>
      <c r="C399" t="s">
        <v>8</v>
      </c>
      <c r="D399">
        <v>2022</v>
      </c>
      <c r="E399" t="s">
        <v>194</v>
      </c>
      <c r="F399" t="s">
        <v>88</v>
      </c>
      <c r="G399" t="s">
        <v>192</v>
      </c>
      <c r="H399">
        <v>1</v>
      </c>
      <c r="I399">
        <v>19.61</v>
      </c>
      <c r="J399">
        <v>0</v>
      </c>
      <c r="K399">
        <v>0</v>
      </c>
      <c r="L399">
        <v>19.61</v>
      </c>
      <c r="M399" t="s">
        <v>193</v>
      </c>
      <c r="N399">
        <v>8.49</v>
      </c>
      <c r="O399">
        <v>54.27</v>
      </c>
      <c r="P399">
        <v>8.49</v>
      </c>
      <c r="Q399">
        <v>54.27</v>
      </c>
    </row>
    <row r="400" spans="1:17">
      <c r="A400" s="155">
        <v>44926</v>
      </c>
      <c r="B400" t="s">
        <v>350</v>
      </c>
      <c r="C400" t="s">
        <v>8</v>
      </c>
      <c r="D400">
        <v>2022</v>
      </c>
      <c r="E400" t="s">
        <v>284</v>
      </c>
      <c r="F400" t="s">
        <v>88</v>
      </c>
      <c r="G400" t="s">
        <v>192</v>
      </c>
      <c r="H400">
        <v>1</v>
      </c>
      <c r="I400">
        <v>777.43</v>
      </c>
      <c r="J400">
        <v>0</v>
      </c>
      <c r="K400">
        <v>0</v>
      </c>
      <c r="L400">
        <v>472.19</v>
      </c>
      <c r="M400" t="s">
        <v>193</v>
      </c>
      <c r="N400">
        <v>777.43</v>
      </c>
      <c r="O400">
        <v>777.43</v>
      </c>
      <c r="P400">
        <v>472.19</v>
      </c>
      <c r="Q400">
        <v>472.19</v>
      </c>
    </row>
    <row r="401" spans="1:17">
      <c r="A401" s="155">
        <v>44926</v>
      </c>
      <c r="B401" t="s">
        <v>356</v>
      </c>
      <c r="C401" t="s">
        <v>8</v>
      </c>
      <c r="D401">
        <v>2022</v>
      </c>
      <c r="E401" t="s">
        <v>284</v>
      </c>
      <c r="F401" t="s">
        <v>88</v>
      </c>
      <c r="G401" t="s">
        <v>192</v>
      </c>
      <c r="H401">
        <v>1</v>
      </c>
      <c r="I401">
        <v>777.43</v>
      </c>
      <c r="J401">
        <v>0</v>
      </c>
      <c r="K401">
        <v>0</v>
      </c>
      <c r="L401">
        <v>472.19</v>
      </c>
      <c r="M401" t="s">
        <v>193</v>
      </c>
      <c r="N401">
        <v>777.43</v>
      </c>
      <c r="O401">
        <v>777.43</v>
      </c>
      <c r="P401">
        <v>472.19</v>
      </c>
      <c r="Q401">
        <v>472.19</v>
      </c>
    </row>
    <row r="402" spans="1:17">
      <c r="A402" s="155">
        <v>44926</v>
      </c>
      <c r="B402" t="s">
        <v>359</v>
      </c>
      <c r="C402" t="s">
        <v>8</v>
      </c>
      <c r="D402">
        <v>2022</v>
      </c>
      <c r="E402" t="s">
        <v>96</v>
      </c>
      <c r="F402" t="s">
        <v>88</v>
      </c>
      <c r="G402" t="s">
        <v>192</v>
      </c>
      <c r="H402">
        <v>2</v>
      </c>
      <c r="I402">
        <v>1000</v>
      </c>
      <c r="J402">
        <v>0</v>
      </c>
      <c r="K402">
        <v>0</v>
      </c>
      <c r="L402">
        <v>1000</v>
      </c>
      <c r="M402" t="s">
        <v>193</v>
      </c>
      <c r="N402">
        <v>100</v>
      </c>
      <c r="O402">
        <v>685.6</v>
      </c>
      <c r="P402">
        <v>100</v>
      </c>
      <c r="Q402">
        <v>685.6</v>
      </c>
    </row>
    <row r="403" spans="1:17">
      <c r="A403" s="155">
        <v>44926</v>
      </c>
      <c r="B403" t="s">
        <v>350</v>
      </c>
      <c r="C403" t="s">
        <v>8</v>
      </c>
      <c r="D403">
        <v>2022</v>
      </c>
      <c r="E403" t="s">
        <v>96</v>
      </c>
      <c r="F403" t="s">
        <v>88</v>
      </c>
      <c r="G403" t="s">
        <v>192</v>
      </c>
      <c r="H403">
        <v>5</v>
      </c>
      <c r="I403">
        <v>3428</v>
      </c>
      <c r="J403">
        <v>0</v>
      </c>
      <c r="K403">
        <v>0</v>
      </c>
      <c r="L403">
        <v>3428</v>
      </c>
      <c r="M403" t="s">
        <v>193</v>
      </c>
      <c r="N403">
        <v>100</v>
      </c>
      <c r="O403">
        <v>685.6</v>
      </c>
      <c r="P403">
        <v>100</v>
      </c>
      <c r="Q403">
        <v>685.6</v>
      </c>
    </row>
    <row r="404" spans="1:17">
      <c r="A404" s="155">
        <v>44926</v>
      </c>
      <c r="B404" t="s">
        <v>351</v>
      </c>
      <c r="C404" t="s">
        <v>8</v>
      </c>
      <c r="D404">
        <v>2022</v>
      </c>
      <c r="E404" t="s">
        <v>96</v>
      </c>
      <c r="F404" t="s">
        <v>88</v>
      </c>
      <c r="G404" t="s">
        <v>192</v>
      </c>
      <c r="H404">
        <v>2</v>
      </c>
      <c r="I404">
        <v>400</v>
      </c>
      <c r="J404">
        <v>0</v>
      </c>
      <c r="K404">
        <v>0</v>
      </c>
      <c r="L404">
        <v>400</v>
      </c>
      <c r="M404" t="s">
        <v>193</v>
      </c>
      <c r="N404">
        <v>100</v>
      </c>
      <c r="O404">
        <v>685.6</v>
      </c>
      <c r="P404">
        <v>100</v>
      </c>
      <c r="Q404">
        <v>685.6</v>
      </c>
    </row>
    <row r="405" spans="1:17">
      <c r="A405" s="155">
        <v>44926</v>
      </c>
      <c r="B405" t="s">
        <v>369</v>
      </c>
      <c r="C405" t="s">
        <v>8</v>
      </c>
      <c r="D405">
        <v>2022</v>
      </c>
      <c r="E405" t="s">
        <v>96</v>
      </c>
      <c r="F405" t="s">
        <v>88</v>
      </c>
      <c r="G405" t="s">
        <v>192</v>
      </c>
      <c r="H405">
        <v>7</v>
      </c>
      <c r="I405">
        <v>985.6</v>
      </c>
      <c r="J405">
        <v>0</v>
      </c>
      <c r="K405">
        <v>0</v>
      </c>
      <c r="L405">
        <v>985.6</v>
      </c>
      <c r="M405" t="s">
        <v>193</v>
      </c>
      <c r="N405">
        <v>100</v>
      </c>
      <c r="O405">
        <v>685.6</v>
      </c>
      <c r="P405">
        <v>100</v>
      </c>
      <c r="Q405">
        <v>685.6</v>
      </c>
    </row>
    <row r="406" spans="1:17">
      <c r="A406" s="155">
        <v>44926</v>
      </c>
      <c r="B406" t="s">
        <v>360</v>
      </c>
      <c r="C406" t="s">
        <v>8</v>
      </c>
      <c r="D406">
        <v>2022</v>
      </c>
      <c r="E406" t="s">
        <v>96</v>
      </c>
      <c r="F406" t="s">
        <v>88</v>
      </c>
      <c r="G406" t="s">
        <v>192</v>
      </c>
      <c r="H406">
        <v>7</v>
      </c>
      <c r="I406">
        <v>1434.0800000000002</v>
      </c>
      <c r="J406">
        <v>0</v>
      </c>
      <c r="K406">
        <v>0</v>
      </c>
      <c r="L406">
        <v>1434.0800000000002</v>
      </c>
      <c r="M406" t="s">
        <v>193</v>
      </c>
      <c r="N406">
        <v>100</v>
      </c>
      <c r="O406">
        <v>685.6</v>
      </c>
      <c r="P406">
        <v>100</v>
      </c>
      <c r="Q406">
        <v>685.6</v>
      </c>
    </row>
    <row r="407" spans="1:17">
      <c r="A407" s="155">
        <v>44926</v>
      </c>
      <c r="B407" t="s">
        <v>361</v>
      </c>
      <c r="C407" t="s">
        <v>8</v>
      </c>
      <c r="D407">
        <v>2022</v>
      </c>
      <c r="E407" t="s">
        <v>96</v>
      </c>
      <c r="F407" t="s">
        <v>88</v>
      </c>
      <c r="G407" t="s">
        <v>192</v>
      </c>
      <c r="H407">
        <v>16</v>
      </c>
      <c r="I407">
        <v>4396.5599999999995</v>
      </c>
      <c r="J407">
        <v>0</v>
      </c>
      <c r="K407">
        <v>0</v>
      </c>
      <c r="L407">
        <v>4396.5599999999995</v>
      </c>
      <c r="M407" t="s">
        <v>193</v>
      </c>
      <c r="N407">
        <v>100</v>
      </c>
      <c r="O407">
        <v>685.6</v>
      </c>
      <c r="P407">
        <v>100</v>
      </c>
      <c r="Q407">
        <v>685.6</v>
      </c>
    </row>
    <row r="408" spans="1:17">
      <c r="A408" s="155">
        <v>44926</v>
      </c>
      <c r="B408" t="s">
        <v>176</v>
      </c>
      <c r="C408" t="s">
        <v>8</v>
      </c>
      <c r="D408">
        <v>2022</v>
      </c>
      <c r="E408" t="s">
        <v>96</v>
      </c>
      <c r="F408" t="s">
        <v>88</v>
      </c>
      <c r="G408" t="s">
        <v>192</v>
      </c>
      <c r="H408">
        <v>8</v>
      </c>
      <c r="I408">
        <v>3285.2</v>
      </c>
      <c r="J408">
        <v>0</v>
      </c>
      <c r="K408">
        <v>0</v>
      </c>
      <c r="L408">
        <v>3285.2</v>
      </c>
      <c r="M408" t="s">
        <v>193</v>
      </c>
      <c r="N408">
        <v>100</v>
      </c>
      <c r="O408">
        <v>685.6</v>
      </c>
      <c r="P408">
        <v>100</v>
      </c>
      <c r="Q408">
        <v>685.6</v>
      </c>
    </row>
    <row r="409" spans="1:17">
      <c r="A409" s="155">
        <v>44926</v>
      </c>
      <c r="B409" t="s">
        <v>362</v>
      </c>
      <c r="C409" t="s">
        <v>8</v>
      </c>
      <c r="D409">
        <v>2022</v>
      </c>
      <c r="E409" t="s">
        <v>96</v>
      </c>
      <c r="F409" t="s">
        <v>88</v>
      </c>
      <c r="G409" t="s">
        <v>192</v>
      </c>
      <c r="H409">
        <v>2</v>
      </c>
      <c r="I409">
        <v>1000</v>
      </c>
      <c r="J409">
        <v>0</v>
      </c>
      <c r="K409">
        <v>0</v>
      </c>
      <c r="L409">
        <v>1000</v>
      </c>
      <c r="M409" t="s">
        <v>193</v>
      </c>
      <c r="N409">
        <v>100</v>
      </c>
      <c r="O409">
        <v>685.6</v>
      </c>
      <c r="P409">
        <v>100</v>
      </c>
      <c r="Q409">
        <v>685.6</v>
      </c>
    </row>
    <row r="410" spans="1:17">
      <c r="A410" s="155">
        <v>44926</v>
      </c>
      <c r="B410" t="s">
        <v>356</v>
      </c>
      <c r="C410" t="s">
        <v>8</v>
      </c>
      <c r="D410">
        <v>2022</v>
      </c>
      <c r="E410" t="s">
        <v>96</v>
      </c>
      <c r="F410" t="s">
        <v>88</v>
      </c>
      <c r="G410" t="s">
        <v>192</v>
      </c>
      <c r="H410">
        <v>5</v>
      </c>
      <c r="I410">
        <v>3428</v>
      </c>
      <c r="J410">
        <v>0</v>
      </c>
      <c r="K410">
        <v>0</v>
      </c>
      <c r="L410">
        <v>3428</v>
      </c>
      <c r="M410" t="s">
        <v>193</v>
      </c>
      <c r="N410">
        <v>100</v>
      </c>
      <c r="O410">
        <v>685.6</v>
      </c>
      <c r="P410">
        <v>100</v>
      </c>
      <c r="Q410">
        <v>685.6</v>
      </c>
    </row>
    <row r="411" spans="1:17">
      <c r="A411" s="155">
        <v>44926</v>
      </c>
      <c r="B411" t="s">
        <v>357</v>
      </c>
      <c r="C411" t="s">
        <v>8</v>
      </c>
      <c r="D411">
        <v>2022</v>
      </c>
      <c r="E411" t="s">
        <v>96</v>
      </c>
      <c r="F411" t="s">
        <v>88</v>
      </c>
      <c r="G411" t="s">
        <v>192</v>
      </c>
      <c r="H411">
        <v>2</v>
      </c>
      <c r="I411">
        <v>400</v>
      </c>
      <c r="J411">
        <v>0</v>
      </c>
      <c r="K411">
        <v>0</v>
      </c>
      <c r="L411">
        <v>400</v>
      </c>
      <c r="M411" t="s">
        <v>193</v>
      </c>
      <c r="N411">
        <v>100</v>
      </c>
      <c r="O411">
        <v>685.6</v>
      </c>
      <c r="P411">
        <v>100</v>
      </c>
      <c r="Q411">
        <v>685.6</v>
      </c>
    </row>
    <row r="412" spans="1:17">
      <c r="A412" s="155">
        <v>44926</v>
      </c>
      <c r="B412" t="s">
        <v>377</v>
      </c>
      <c r="C412" t="s">
        <v>8</v>
      </c>
      <c r="D412">
        <v>2022</v>
      </c>
      <c r="E412" t="s">
        <v>96</v>
      </c>
      <c r="F412" t="s">
        <v>88</v>
      </c>
      <c r="G412" t="s">
        <v>192</v>
      </c>
      <c r="H412">
        <v>7</v>
      </c>
      <c r="I412">
        <v>985.6</v>
      </c>
      <c r="J412">
        <v>0</v>
      </c>
      <c r="K412">
        <v>0</v>
      </c>
      <c r="L412">
        <v>985.6</v>
      </c>
      <c r="M412" t="s">
        <v>193</v>
      </c>
      <c r="N412">
        <v>100</v>
      </c>
      <c r="O412">
        <v>685.6</v>
      </c>
      <c r="P412">
        <v>100</v>
      </c>
      <c r="Q412">
        <v>685.6</v>
      </c>
    </row>
    <row r="413" spans="1:17">
      <c r="A413" s="155">
        <v>44926</v>
      </c>
      <c r="B413" t="s">
        <v>363</v>
      </c>
      <c r="C413" t="s">
        <v>8</v>
      </c>
      <c r="D413">
        <v>2022</v>
      </c>
      <c r="E413" t="s">
        <v>96</v>
      </c>
      <c r="F413" t="s">
        <v>88</v>
      </c>
      <c r="G413" t="s">
        <v>192</v>
      </c>
      <c r="H413">
        <v>7</v>
      </c>
      <c r="I413">
        <v>1434.0800000000002</v>
      </c>
      <c r="J413">
        <v>0</v>
      </c>
      <c r="K413">
        <v>0</v>
      </c>
      <c r="L413">
        <v>1434.0800000000002</v>
      </c>
      <c r="M413" t="s">
        <v>193</v>
      </c>
      <c r="N413">
        <v>100</v>
      </c>
      <c r="O413">
        <v>685.6</v>
      </c>
      <c r="P413">
        <v>100</v>
      </c>
      <c r="Q413">
        <v>685.6</v>
      </c>
    </row>
    <row r="414" spans="1:17">
      <c r="A414" s="155">
        <v>44926</v>
      </c>
      <c r="B414" t="s">
        <v>364</v>
      </c>
      <c r="C414" t="s">
        <v>8</v>
      </c>
      <c r="D414">
        <v>2022</v>
      </c>
      <c r="E414" t="s">
        <v>96</v>
      </c>
      <c r="F414" t="s">
        <v>88</v>
      </c>
      <c r="G414" t="s">
        <v>192</v>
      </c>
      <c r="H414">
        <v>16</v>
      </c>
      <c r="I414">
        <v>4396.5600000000004</v>
      </c>
      <c r="J414">
        <v>0</v>
      </c>
      <c r="K414">
        <v>0</v>
      </c>
      <c r="L414">
        <v>4396.5600000000004</v>
      </c>
      <c r="M414" t="s">
        <v>193</v>
      </c>
      <c r="N414">
        <v>100</v>
      </c>
      <c r="O414">
        <v>685.6</v>
      </c>
      <c r="P414">
        <v>100</v>
      </c>
      <c r="Q414">
        <v>685.6</v>
      </c>
    </row>
    <row r="415" spans="1:17">
      <c r="A415" s="155">
        <v>44926</v>
      </c>
      <c r="B415" t="s">
        <v>358</v>
      </c>
      <c r="C415" t="s">
        <v>8</v>
      </c>
      <c r="D415">
        <v>2022</v>
      </c>
      <c r="E415" t="s">
        <v>96</v>
      </c>
      <c r="F415" t="s">
        <v>88</v>
      </c>
      <c r="G415" t="s">
        <v>192</v>
      </c>
      <c r="H415">
        <v>8</v>
      </c>
      <c r="I415">
        <v>3285.2</v>
      </c>
      <c r="J415">
        <v>0</v>
      </c>
      <c r="K415">
        <v>0</v>
      </c>
      <c r="L415">
        <v>3285.2</v>
      </c>
      <c r="M415" t="s">
        <v>193</v>
      </c>
      <c r="N415">
        <v>100</v>
      </c>
      <c r="O415">
        <v>685.6</v>
      </c>
      <c r="P415">
        <v>100</v>
      </c>
      <c r="Q415">
        <v>685.6</v>
      </c>
    </row>
    <row r="416" spans="1:17">
      <c r="A416" s="155">
        <v>44926</v>
      </c>
      <c r="B416" t="s">
        <v>349</v>
      </c>
      <c r="C416" t="s">
        <v>8</v>
      </c>
      <c r="D416">
        <v>2022</v>
      </c>
      <c r="E416" t="s">
        <v>285</v>
      </c>
      <c r="F416" t="s">
        <v>88</v>
      </c>
      <c r="G416" t="s">
        <v>192</v>
      </c>
      <c r="H416">
        <v>1</v>
      </c>
      <c r="I416">
        <v>150</v>
      </c>
      <c r="J416">
        <v>97.5</v>
      </c>
      <c r="K416">
        <v>0</v>
      </c>
      <c r="L416">
        <v>52.5</v>
      </c>
      <c r="M416" t="s">
        <v>193</v>
      </c>
      <c r="N416">
        <v>150</v>
      </c>
      <c r="O416">
        <v>150</v>
      </c>
      <c r="P416">
        <v>52.5</v>
      </c>
      <c r="Q416">
        <v>52.5</v>
      </c>
    </row>
    <row r="417" spans="1:17">
      <c r="A417" s="155">
        <v>44926</v>
      </c>
      <c r="B417" t="s">
        <v>355</v>
      </c>
      <c r="C417" t="s">
        <v>8</v>
      </c>
      <c r="D417">
        <v>2022</v>
      </c>
      <c r="E417" t="s">
        <v>285</v>
      </c>
      <c r="F417" t="s">
        <v>88</v>
      </c>
      <c r="G417" t="s">
        <v>192</v>
      </c>
      <c r="H417">
        <v>1</v>
      </c>
      <c r="I417">
        <v>150</v>
      </c>
      <c r="J417">
        <v>97.5</v>
      </c>
      <c r="K417">
        <v>0</v>
      </c>
      <c r="L417">
        <v>52.5</v>
      </c>
      <c r="M417" t="s">
        <v>193</v>
      </c>
      <c r="N417">
        <v>150</v>
      </c>
      <c r="O417">
        <v>150</v>
      </c>
      <c r="P417">
        <v>52.5</v>
      </c>
      <c r="Q417">
        <v>52.5</v>
      </c>
    </row>
    <row r="418" spans="1:17">
      <c r="A418" s="155">
        <v>44926</v>
      </c>
      <c r="B418" t="s">
        <v>346</v>
      </c>
      <c r="C418" t="s">
        <v>8</v>
      </c>
      <c r="D418">
        <v>2022</v>
      </c>
      <c r="E418" t="s">
        <v>286</v>
      </c>
      <c r="F418" t="s">
        <v>88</v>
      </c>
      <c r="G418" t="s">
        <v>192</v>
      </c>
      <c r="H418">
        <v>1</v>
      </c>
      <c r="I418">
        <v>150</v>
      </c>
      <c r="J418">
        <v>97.5</v>
      </c>
      <c r="K418">
        <v>0</v>
      </c>
      <c r="L418">
        <v>52.5</v>
      </c>
      <c r="M418" t="s">
        <v>193</v>
      </c>
      <c r="N418">
        <v>150</v>
      </c>
      <c r="O418">
        <v>150</v>
      </c>
      <c r="P418">
        <v>52.5</v>
      </c>
      <c r="Q418">
        <v>52.5</v>
      </c>
    </row>
    <row r="419" spans="1:17">
      <c r="A419" s="155">
        <v>44926</v>
      </c>
      <c r="B419" t="s">
        <v>352</v>
      </c>
      <c r="C419" t="s">
        <v>8</v>
      </c>
      <c r="D419">
        <v>2022</v>
      </c>
      <c r="E419" t="s">
        <v>286</v>
      </c>
      <c r="F419" t="s">
        <v>88</v>
      </c>
      <c r="G419" t="s">
        <v>192</v>
      </c>
      <c r="H419">
        <v>1</v>
      </c>
      <c r="I419">
        <v>150</v>
      </c>
      <c r="J419">
        <v>97.5</v>
      </c>
      <c r="K419">
        <v>0</v>
      </c>
      <c r="L419">
        <v>52.5</v>
      </c>
      <c r="M419" t="s">
        <v>193</v>
      </c>
      <c r="N419">
        <v>150</v>
      </c>
      <c r="O419">
        <v>150</v>
      </c>
      <c r="P419">
        <v>52.5</v>
      </c>
      <c r="Q419">
        <v>52.5</v>
      </c>
    </row>
    <row r="420" spans="1:17">
      <c r="A420" s="155">
        <v>44926</v>
      </c>
      <c r="B420" t="s">
        <v>346</v>
      </c>
      <c r="C420" t="s">
        <v>8</v>
      </c>
      <c r="D420">
        <v>2022</v>
      </c>
      <c r="E420" t="s">
        <v>97</v>
      </c>
      <c r="F420" t="s">
        <v>88</v>
      </c>
      <c r="G420" t="s">
        <v>192</v>
      </c>
      <c r="H420">
        <v>1</v>
      </c>
      <c r="I420">
        <v>30</v>
      </c>
      <c r="J420">
        <v>0</v>
      </c>
      <c r="K420">
        <v>0</v>
      </c>
      <c r="L420">
        <v>30</v>
      </c>
      <c r="M420" t="s">
        <v>193</v>
      </c>
      <c r="N420">
        <v>30</v>
      </c>
      <c r="O420">
        <v>30</v>
      </c>
      <c r="P420">
        <v>30</v>
      </c>
      <c r="Q420">
        <v>30</v>
      </c>
    </row>
    <row r="421" spans="1:17">
      <c r="A421" s="155">
        <v>44926</v>
      </c>
      <c r="B421" t="s">
        <v>352</v>
      </c>
      <c r="C421" t="s">
        <v>8</v>
      </c>
      <c r="D421">
        <v>2022</v>
      </c>
      <c r="E421" t="s">
        <v>97</v>
      </c>
      <c r="F421" t="s">
        <v>88</v>
      </c>
      <c r="G421" t="s">
        <v>192</v>
      </c>
      <c r="H421">
        <v>1</v>
      </c>
      <c r="I421">
        <v>30</v>
      </c>
      <c r="J421">
        <v>0</v>
      </c>
      <c r="K421">
        <v>0</v>
      </c>
      <c r="L421">
        <v>30</v>
      </c>
      <c r="M421" t="s">
        <v>193</v>
      </c>
      <c r="N421">
        <v>30</v>
      </c>
      <c r="O421">
        <v>30</v>
      </c>
      <c r="P421">
        <v>30</v>
      </c>
      <c r="Q421">
        <v>30</v>
      </c>
    </row>
    <row r="422" spans="1:17">
      <c r="A422" s="155">
        <v>44926</v>
      </c>
      <c r="B422" t="s">
        <v>346</v>
      </c>
      <c r="C422" t="s">
        <v>8</v>
      </c>
      <c r="D422">
        <v>2022</v>
      </c>
      <c r="E422" t="s">
        <v>287</v>
      </c>
      <c r="F422" t="s">
        <v>88</v>
      </c>
      <c r="G422" t="s">
        <v>192</v>
      </c>
      <c r="H422">
        <v>2</v>
      </c>
      <c r="I422">
        <v>46</v>
      </c>
      <c r="J422">
        <v>32.200000000000003</v>
      </c>
      <c r="K422">
        <v>0</v>
      </c>
      <c r="L422">
        <v>13.8</v>
      </c>
      <c r="M422" t="s">
        <v>193</v>
      </c>
      <c r="N422">
        <v>23</v>
      </c>
      <c r="O422">
        <v>23</v>
      </c>
      <c r="P422">
        <v>6.9</v>
      </c>
      <c r="Q422">
        <v>6.9</v>
      </c>
    </row>
    <row r="423" spans="1:17">
      <c r="A423" s="155">
        <v>44926</v>
      </c>
      <c r="B423" t="s">
        <v>347</v>
      </c>
      <c r="C423" t="s">
        <v>8</v>
      </c>
      <c r="D423">
        <v>2022</v>
      </c>
      <c r="E423" t="s">
        <v>287</v>
      </c>
      <c r="F423" t="s">
        <v>88</v>
      </c>
      <c r="G423" t="s">
        <v>192</v>
      </c>
      <c r="H423">
        <v>1</v>
      </c>
      <c r="I423">
        <v>23</v>
      </c>
      <c r="J423">
        <v>16.100000000000001</v>
      </c>
      <c r="K423">
        <v>0</v>
      </c>
      <c r="L423">
        <v>6.9</v>
      </c>
      <c r="M423" t="s">
        <v>193</v>
      </c>
      <c r="N423">
        <v>23</v>
      </c>
      <c r="O423">
        <v>23</v>
      </c>
      <c r="P423">
        <v>6.9</v>
      </c>
      <c r="Q423">
        <v>6.9</v>
      </c>
    </row>
    <row r="424" spans="1:17">
      <c r="A424" s="155">
        <v>44926</v>
      </c>
      <c r="B424" t="s">
        <v>352</v>
      </c>
      <c r="C424" t="s">
        <v>8</v>
      </c>
      <c r="D424">
        <v>2022</v>
      </c>
      <c r="E424" t="s">
        <v>287</v>
      </c>
      <c r="F424" t="s">
        <v>88</v>
      </c>
      <c r="G424" t="s">
        <v>192</v>
      </c>
      <c r="H424">
        <v>2</v>
      </c>
      <c r="I424">
        <v>46</v>
      </c>
      <c r="J424">
        <v>32.200000000000003</v>
      </c>
      <c r="K424">
        <v>0</v>
      </c>
      <c r="L424">
        <v>13.8</v>
      </c>
      <c r="M424" t="s">
        <v>193</v>
      </c>
      <c r="N424">
        <v>23</v>
      </c>
      <c r="O424">
        <v>23</v>
      </c>
      <c r="P424">
        <v>6.9</v>
      </c>
      <c r="Q424">
        <v>6.9</v>
      </c>
    </row>
    <row r="425" spans="1:17">
      <c r="A425" s="155">
        <v>44926</v>
      </c>
      <c r="B425" t="s">
        <v>353</v>
      </c>
      <c r="C425" t="s">
        <v>8</v>
      </c>
      <c r="D425">
        <v>2022</v>
      </c>
      <c r="E425" t="s">
        <v>287</v>
      </c>
      <c r="F425" t="s">
        <v>88</v>
      </c>
      <c r="G425" t="s">
        <v>192</v>
      </c>
      <c r="H425">
        <v>1</v>
      </c>
      <c r="I425">
        <v>23</v>
      </c>
      <c r="J425">
        <v>16.100000000000001</v>
      </c>
      <c r="K425">
        <v>0</v>
      </c>
      <c r="L425">
        <v>6.9</v>
      </c>
      <c r="M425" t="s">
        <v>193</v>
      </c>
      <c r="N425">
        <v>23</v>
      </c>
      <c r="O425">
        <v>23</v>
      </c>
      <c r="P425">
        <v>6.9</v>
      </c>
      <c r="Q425">
        <v>6.9</v>
      </c>
    </row>
    <row r="426" spans="1:17">
      <c r="A426" s="155">
        <v>44926</v>
      </c>
      <c r="B426" t="s">
        <v>347</v>
      </c>
      <c r="C426" t="s">
        <v>8</v>
      </c>
      <c r="D426">
        <v>2022</v>
      </c>
      <c r="E426" t="s">
        <v>288</v>
      </c>
      <c r="F426" t="s">
        <v>88</v>
      </c>
      <c r="G426" t="s">
        <v>192</v>
      </c>
      <c r="H426">
        <v>3</v>
      </c>
      <c r="I426">
        <v>18.09</v>
      </c>
      <c r="J426">
        <v>16.29</v>
      </c>
      <c r="K426">
        <v>0</v>
      </c>
      <c r="L426">
        <v>1.7999999999999998</v>
      </c>
      <c r="M426" t="s">
        <v>193</v>
      </c>
      <c r="N426">
        <v>6.03</v>
      </c>
      <c r="O426">
        <v>6.03</v>
      </c>
      <c r="P426">
        <v>0.6</v>
      </c>
      <c r="Q426">
        <v>0.6</v>
      </c>
    </row>
    <row r="427" spans="1:17">
      <c r="A427" s="155">
        <v>44926</v>
      </c>
      <c r="B427" t="s">
        <v>353</v>
      </c>
      <c r="C427" t="s">
        <v>8</v>
      </c>
      <c r="D427">
        <v>2022</v>
      </c>
      <c r="E427" t="s">
        <v>288</v>
      </c>
      <c r="F427" t="s">
        <v>88</v>
      </c>
      <c r="G427" t="s">
        <v>192</v>
      </c>
      <c r="H427">
        <v>3</v>
      </c>
      <c r="I427">
        <v>18.09</v>
      </c>
      <c r="J427">
        <v>16.29</v>
      </c>
      <c r="K427">
        <v>0</v>
      </c>
      <c r="L427">
        <v>1.7999999999999998</v>
      </c>
      <c r="M427" t="s">
        <v>193</v>
      </c>
      <c r="N427">
        <v>6.03</v>
      </c>
      <c r="O427">
        <v>6.03</v>
      </c>
      <c r="P427">
        <v>0.6</v>
      </c>
      <c r="Q427">
        <v>0.6</v>
      </c>
    </row>
    <row r="428" spans="1:17">
      <c r="A428" s="155">
        <v>44926</v>
      </c>
      <c r="B428" t="s">
        <v>346</v>
      </c>
      <c r="C428" t="s">
        <v>8</v>
      </c>
      <c r="D428">
        <v>2022</v>
      </c>
      <c r="E428" t="s">
        <v>289</v>
      </c>
      <c r="F428" t="s">
        <v>88</v>
      </c>
      <c r="G428" t="s">
        <v>192</v>
      </c>
      <c r="H428">
        <v>41</v>
      </c>
      <c r="I428">
        <v>205</v>
      </c>
      <c r="J428">
        <v>145</v>
      </c>
      <c r="K428">
        <v>0</v>
      </c>
      <c r="L428">
        <v>60</v>
      </c>
      <c r="M428" t="s">
        <v>193</v>
      </c>
      <c r="N428">
        <v>-5</v>
      </c>
      <c r="O428">
        <v>5</v>
      </c>
      <c r="P428">
        <v>-1.5</v>
      </c>
      <c r="Q428">
        <v>1.5</v>
      </c>
    </row>
    <row r="429" spans="1:17">
      <c r="A429" s="155">
        <v>44926</v>
      </c>
      <c r="B429" t="s">
        <v>347</v>
      </c>
      <c r="C429" t="s">
        <v>8</v>
      </c>
      <c r="D429">
        <v>2022</v>
      </c>
      <c r="E429" t="s">
        <v>289</v>
      </c>
      <c r="F429" t="s">
        <v>88</v>
      </c>
      <c r="G429" t="s">
        <v>192</v>
      </c>
      <c r="H429">
        <v>12</v>
      </c>
      <c r="I429">
        <v>50</v>
      </c>
      <c r="J429">
        <v>35</v>
      </c>
      <c r="K429">
        <v>0</v>
      </c>
      <c r="L429">
        <v>15</v>
      </c>
      <c r="M429" t="s">
        <v>193</v>
      </c>
      <c r="N429">
        <v>-5</v>
      </c>
      <c r="O429">
        <v>5</v>
      </c>
      <c r="P429">
        <v>-1.5</v>
      </c>
      <c r="Q429">
        <v>1.5</v>
      </c>
    </row>
    <row r="430" spans="1:17">
      <c r="A430" s="155">
        <v>44926</v>
      </c>
      <c r="B430" t="s">
        <v>349</v>
      </c>
      <c r="C430" t="s">
        <v>8</v>
      </c>
      <c r="D430">
        <v>2022</v>
      </c>
      <c r="E430" t="s">
        <v>289</v>
      </c>
      <c r="F430" t="s">
        <v>88</v>
      </c>
      <c r="G430" t="s">
        <v>192</v>
      </c>
      <c r="H430">
        <v>22</v>
      </c>
      <c r="I430">
        <v>110</v>
      </c>
      <c r="J430">
        <v>77</v>
      </c>
      <c r="K430">
        <v>0</v>
      </c>
      <c r="L430">
        <v>33</v>
      </c>
      <c r="M430" t="s">
        <v>193</v>
      </c>
      <c r="N430">
        <v>-5</v>
      </c>
      <c r="O430">
        <v>5</v>
      </c>
      <c r="P430">
        <v>-1.5</v>
      </c>
      <c r="Q430">
        <v>1.5</v>
      </c>
    </row>
    <row r="431" spans="1:17">
      <c r="A431" s="155">
        <v>44926</v>
      </c>
      <c r="B431" t="s">
        <v>350</v>
      </c>
      <c r="C431" t="s">
        <v>8</v>
      </c>
      <c r="D431">
        <v>2022</v>
      </c>
      <c r="E431" t="s">
        <v>289</v>
      </c>
      <c r="F431" t="s">
        <v>88</v>
      </c>
      <c r="G431" t="s">
        <v>192</v>
      </c>
      <c r="H431">
        <v>17</v>
      </c>
      <c r="I431">
        <v>85</v>
      </c>
      <c r="J431">
        <v>59.5</v>
      </c>
      <c r="K431">
        <v>0</v>
      </c>
      <c r="L431">
        <v>25.5</v>
      </c>
      <c r="M431" t="s">
        <v>193</v>
      </c>
      <c r="N431">
        <v>-5</v>
      </c>
      <c r="O431">
        <v>5</v>
      </c>
      <c r="P431">
        <v>-1.5</v>
      </c>
      <c r="Q431">
        <v>1.5</v>
      </c>
    </row>
    <row r="432" spans="1:17">
      <c r="A432" s="155">
        <v>44926</v>
      </c>
      <c r="B432" t="s">
        <v>360</v>
      </c>
      <c r="C432" t="s">
        <v>8</v>
      </c>
      <c r="D432">
        <v>2022</v>
      </c>
      <c r="E432" t="s">
        <v>289</v>
      </c>
      <c r="F432" t="s">
        <v>88</v>
      </c>
      <c r="G432" t="s">
        <v>192</v>
      </c>
      <c r="H432">
        <v>1</v>
      </c>
      <c r="I432">
        <v>5</v>
      </c>
      <c r="J432">
        <v>3.5</v>
      </c>
      <c r="K432">
        <v>0</v>
      </c>
      <c r="L432">
        <v>1.5</v>
      </c>
      <c r="M432" t="s">
        <v>193</v>
      </c>
      <c r="N432">
        <v>-5</v>
      </c>
      <c r="O432">
        <v>5</v>
      </c>
      <c r="P432">
        <v>-1.5</v>
      </c>
      <c r="Q432">
        <v>1.5</v>
      </c>
    </row>
    <row r="433" spans="1:17">
      <c r="A433" s="155">
        <v>44926</v>
      </c>
      <c r="B433" t="s">
        <v>352</v>
      </c>
      <c r="C433" t="s">
        <v>8</v>
      </c>
      <c r="D433">
        <v>2022</v>
      </c>
      <c r="E433" t="s">
        <v>289</v>
      </c>
      <c r="F433" t="s">
        <v>88</v>
      </c>
      <c r="G433" t="s">
        <v>192</v>
      </c>
      <c r="H433">
        <v>41</v>
      </c>
      <c r="I433">
        <v>205</v>
      </c>
      <c r="J433">
        <v>145</v>
      </c>
      <c r="K433">
        <v>0</v>
      </c>
      <c r="L433">
        <v>60</v>
      </c>
      <c r="M433" t="s">
        <v>193</v>
      </c>
      <c r="N433">
        <v>-5</v>
      </c>
      <c r="O433">
        <v>5</v>
      </c>
      <c r="P433">
        <v>-1.5</v>
      </c>
      <c r="Q433">
        <v>1.5</v>
      </c>
    </row>
    <row r="434" spans="1:17">
      <c r="A434" s="155">
        <v>44926</v>
      </c>
      <c r="B434" t="s">
        <v>353</v>
      </c>
      <c r="C434" t="s">
        <v>8</v>
      </c>
      <c r="D434">
        <v>2022</v>
      </c>
      <c r="E434" t="s">
        <v>289</v>
      </c>
      <c r="F434" t="s">
        <v>88</v>
      </c>
      <c r="G434" t="s">
        <v>192</v>
      </c>
      <c r="H434">
        <v>12</v>
      </c>
      <c r="I434">
        <v>50</v>
      </c>
      <c r="J434">
        <v>35</v>
      </c>
      <c r="K434">
        <v>0</v>
      </c>
      <c r="L434">
        <v>15</v>
      </c>
      <c r="M434" t="s">
        <v>193</v>
      </c>
      <c r="N434">
        <v>-5</v>
      </c>
      <c r="O434">
        <v>5</v>
      </c>
      <c r="P434">
        <v>-1.5</v>
      </c>
      <c r="Q434">
        <v>1.5</v>
      </c>
    </row>
    <row r="435" spans="1:17">
      <c r="A435" s="155">
        <v>44926</v>
      </c>
      <c r="B435" t="s">
        <v>355</v>
      </c>
      <c r="C435" t="s">
        <v>8</v>
      </c>
      <c r="D435">
        <v>2022</v>
      </c>
      <c r="E435" t="s">
        <v>289</v>
      </c>
      <c r="F435" t="s">
        <v>88</v>
      </c>
      <c r="G435" t="s">
        <v>192</v>
      </c>
      <c r="H435">
        <v>22</v>
      </c>
      <c r="I435">
        <v>110</v>
      </c>
      <c r="J435">
        <v>77</v>
      </c>
      <c r="K435">
        <v>0</v>
      </c>
      <c r="L435">
        <v>33</v>
      </c>
      <c r="M435" t="s">
        <v>193</v>
      </c>
      <c r="N435">
        <v>-5</v>
      </c>
      <c r="O435">
        <v>5</v>
      </c>
      <c r="P435">
        <v>-1.5</v>
      </c>
      <c r="Q435">
        <v>1.5</v>
      </c>
    </row>
    <row r="436" spans="1:17">
      <c r="A436" s="155">
        <v>44926</v>
      </c>
      <c r="B436" t="s">
        <v>356</v>
      </c>
      <c r="C436" t="s">
        <v>8</v>
      </c>
      <c r="D436">
        <v>2022</v>
      </c>
      <c r="E436" t="s">
        <v>289</v>
      </c>
      <c r="F436" t="s">
        <v>88</v>
      </c>
      <c r="G436" t="s">
        <v>192</v>
      </c>
      <c r="H436">
        <v>17</v>
      </c>
      <c r="I436">
        <v>85</v>
      </c>
      <c r="J436">
        <v>59.5</v>
      </c>
      <c r="K436">
        <v>0</v>
      </c>
      <c r="L436">
        <v>25.5</v>
      </c>
      <c r="M436" t="s">
        <v>193</v>
      </c>
      <c r="N436">
        <v>-5</v>
      </c>
      <c r="O436">
        <v>5</v>
      </c>
      <c r="P436">
        <v>-1.5</v>
      </c>
      <c r="Q436">
        <v>1.5</v>
      </c>
    </row>
    <row r="437" spans="1:17">
      <c r="A437" s="155">
        <v>44926</v>
      </c>
      <c r="B437" t="s">
        <v>363</v>
      </c>
      <c r="C437" t="s">
        <v>8</v>
      </c>
      <c r="D437">
        <v>2022</v>
      </c>
      <c r="E437" t="s">
        <v>289</v>
      </c>
      <c r="F437" t="s">
        <v>88</v>
      </c>
      <c r="G437" t="s">
        <v>192</v>
      </c>
      <c r="H437">
        <v>1</v>
      </c>
      <c r="I437">
        <v>5</v>
      </c>
      <c r="J437">
        <v>3.5</v>
      </c>
      <c r="K437">
        <v>0</v>
      </c>
      <c r="L437">
        <v>1.5</v>
      </c>
      <c r="M437" t="s">
        <v>193</v>
      </c>
      <c r="N437">
        <v>-5</v>
      </c>
      <c r="O437">
        <v>5</v>
      </c>
      <c r="P437">
        <v>-1.5</v>
      </c>
      <c r="Q437">
        <v>1.5</v>
      </c>
    </row>
    <row r="438" spans="1:17">
      <c r="A438" s="155">
        <v>44926</v>
      </c>
      <c r="B438" t="s">
        <v>347</v>
      </c>
      <c r="C438" t="s">
        <v>8</v>
      </c>
      <c r="D438">
        <v>2022</v>
      </c>
      <c r="E438" t="s">
        <v>290</v>
      </c>
      <c r="F438" t="s">
        <v>88</v>
      </c>
      <c r="G438" t="s">
        <v>192</v>
      </c>
      <c r="H438">
        <v>3</v>
      </c>
      <c r="I438">
        <v>72</v>
      </c>
      <c r="J438">
        <v>0</v>
      </c>
      <c r="K438">
        <v>0</v>
      </c>
      <c r="L438">
        <v>72</v>
      </c>
      <c r="M438" t="s">
        <v>193</v>
      </c>
      <c r="N438">
        <v>24</v>
      </c>
      <c r="O438">
        <v>24</v>
      </c>
      <c r="P438">
        <v>24</v>
      </c>
      <c r="Q438">
        <v>24</v>
      </c>
    </row>
    <row r="439" spans="1:17">
      <c r="A439" s="155">
        <v>44926</v>
      </c>
      <c r="B439" t="s">
        <v>349</v>
      </c>
      <c r="C439" t="s">
        <v>8</v>
      </c>
      <c r="D439">
        <v>2022</v>
      </c>
      <c r="E439" t="s">
        <v>290</v>
      </c>
      <c r="F439" t="s">
        <v>88</v>
      </c>
      <c r="G439" t="s">
        <v>192</v>
      </c>
      <c r="H439">
        <v>1</v>
      </c>
      <c r="I439">
        <v>24</v>
      </c>
      <c r="J439">
        <v>0</v>
      </c>
      <c r="K439">
        <v>0</v>
      </c>
      <c r="L439">
        <v>24</v>
      </c>
      <c r="M439" t="s">
        <v>193</v>
      </c>
      <c r="N439">
        <v>24</v>
      </c>
      <c r="O439">
        <v>24</v>
      </c>
      <c r="P439">
        <v>24</v>
      </c>
      <c r="Q439">
        <v>24</v>
      </c>
    </row>
    <row r="440" spans="1:17">
      <c r="A440" s="155">
        <v>44926</v>
      </c>
      <c r="B440" t="s">
        <v>350</v>
      </c>
      <c r="C440" t="s">
        <v>8</v>
      </c>
      <c r="D440">
        <v>2022</v>
      </c>
      <c r="E440" t="s">
        <v>290</v>
      </c>
      <c r="F440" t="s">
        <v>88</v>
      </c>
      <c r="G440" t="s">
        <v>192</v>
      </c>
      <c r="H440">
        <v>4</v>
      </c>
      <c r="I440">
        <v>96</v>
      </c>
      <c r="J440">
        <v>0</v>
      </c>
      <c r="K440">
        <v>0</v>
      </c>
      <c r="L440">
        <v>96</v>
      </c>
      <c r="M440" t="s">
        <v>193</v>
      </c>
      <c r="N440">
        <v>24</v>
      </c>
      <c r="O440">
        <v>24</v>
      </c>
      <c r="P440">
        <v>24</v>
      </c>
      <c r="Q440">
        <v>24</v>
      </c>
    </row>
    <row r="441" spans="1:17">
      <c r="A441" s="155">
        <v>44926</v>
      </c>
      <c r="B441" t="s">
        <v>353</v>
      </c>
      <c r="C441" t="s">
        <v>8</v>
      </c>
      <c r="D441">
        <v>2022</v>
      </c>
      <c r="E441" t="s">
        <v>290</v>
      </c>
      <c r="F441" t="s">
        <v>88</v>
      </c>
      <c r="G441" t="s">
        <v>192</v>
      </c>
      <c r="H441">
        <v>3</v>
      </c>
      <c r="I441">
        <v>72</v>
      </c>
      <c r="J441">
        <v>0</v>
      </c>
      <c r="K441">
        <v>0</v>
      </c>
      <c r="L441">
        <v>72</v>
      </c>
      <c r="M441" t="s">
        <v>193</v>
      </c>
      <c r="N441">
        <v>24</v>
      </c>
      <c r="O441">
        <v>24</v>
      </c>
      <c r="P441">
        <v>24</v>
      </c>
      <c r="Q441">
        <v>24</v>
      </c>
    </row>
    <row r="442" spans="1:17">
      <c r="A442" s="155">
        <v>44926</v>
      </c>
      <c r="B442" t="s">
        <v>355</v>
      </c>
      <c r="C442" t="s">
        <v>8</v>
      </c>
      <c r="D442">
        <v>2022</v>
      </c>
      <c r="E442" t="s">
        <v>290</v>
      </c>
      <c r="F442" t="s">
        <v>88</v>
      </c>
      <c r="G442" t="s">
        <v>192</v>
      </c>
      <c r="H442">
        <v>1</v>
      </c>
      <c r="I442">
        <v>24</v>
      </c>
      <c r="J442">
        <v>0</v>
      </c>
      <c r="K442">
        <v>0</v>
      </c>
      <c r="L442">
        <v>24</v>
      </c>
      <c r="M442" t="s">
        <v>193</v>
      </c>
      <c r="N442">
        <v>24</v>
      </c>
      <c r="O442">
        <v>24</v>
      </c>
      <c r="P442">
        <v>24</v>
      </c>
      <c r="Q442">
        <v>24</v>
      </c>
    </row>
    <row r="443" spans="1:17">
      <c r="A443" s="155">
        <v>44926</v>
      </c>
      <c r="B443" t="s">
        <v>356</v>
      </c>
      <c r="C443" t="s">
        <v>8</v>
      </c>
      <c r="D443">
        <v>2022</v>
      </c>
      <c r="E443" t="s">
        <v>290</v>
      </c>
      <c r="F443" t="s">
        <v>88</v>
      </c>
      <c r="G443" t="s">
        <v>192</v>
      </c>
      <c r="H443">
        <v>4</v>
      </c>
      <c r="I443">
        <v>96</v>
      </c>
      <c r="J443">
        <v>0</v>
      </c>
      <c r="K443">
        <v>0</v>
      </c>
      <c r="L443">
        <v>96</v>
      </c>
      <c r="M443" t="s">
        <v>193</v>
      </c>
      <c r="N443">
        <v>24</v>
      </c>
      <c r="O443">
        <v>24</v>
      </c>
      <c r="P443">
        <v>24</v>
      </c>
      <c r="Q443">
        <v>24</v>
      </c>
    </row>
    <row r="444" spans="1:17">
      <c r="A444" s="155">
        <v>44926</v>
      </c>
      <c r="B444" t="s">
        <v>346</v>
      </c>
      <c r="C444" t="s">
        <v>8</v>
      </c>
      <c r="D444">
        <v>2022</v>
      </c>
      <c r="E444" t="s">
        <v>291</v>
      </c>
      <c r="F444" t="s">
        <v>88</v>
      </c>
      <c r="G444" t="s">
        <v>192</v>
      </c>
      <c r="H444">
        <v>10</v>
      </c>
      <c r="I444">
        <v>282.10000000000002</v>
      </c>
      <c r="J444">
        <v>0</v>
      </c>
      <c r="K444">
        <v>0</v>
      </c>
      <c r="L444">
        <v>282.10000000000002</v>
      </c>
      <c r="M444" t="s">
        <v>193</v>
      </c>
      <c r="N444">
        <v>28.21</v>
      </c>
      <c r="O444">
        <v>28.21</v>
      </c>
      <c r="P444">
        <v>28.21</v>
      </c>
      <c r="Q444">
        <v>28.21</v>
      </c>
    </row>
    <row r="445" spans="1:17">
      <c r="A445" s="155">
        <v>44926</v>
      </c>
      <c r="B445" t="s">
        <v>352</v>
      </c>
      <c r="C445" t="s">
        <v>8</v>
      </c>
      <c r="D445">
        <v>2022</v>
      </c>
      <c r="E445" t="s">
        <v>291</v>
      </c>
      <c r="F445" t="s">
        <v>88</v>
      </c>
      <c r="G445" t="s">
        <v>192</v>
      </c>
      <c r="H445">
        <v>10</v>
      </c>
      <c r="I445">
        <v>282.10000000000002</v>
      </c>
      <c r="J445">
        <v>0</v>
      </c>
      <c r="K445">
        <v>0</v>
      </c>
      <c r="L445">
        <v>282.10000000000002</v>
      </c>
      <c r="M445" t="s">
        <v>193</v>
      </c>
      <c r="N445">
        <v>28.21</v>
      </c>
      <c r="O445">
        <v>28.21</v>
      </c>
      <c r="P445">
        <v>28.21</v>
      </c>
      <c r="Q445">
        <v>28.21</v>
      </c>
    </row>
    <row r="446" spans="1:17">
      <c r="A446" s="155">
        <v>44926</v>
      </c>
      <c r="B446" t="s">
        <v>350</v>
      </c>
      <c r="C446" t="s">
        <v>8</v>
      </c>
      <c r="D446">
        <v>2022</v>
      </c>
      <c r="E446" t="s">
        <v>99</v>
      </c>
      <c r="F446" t="s">
        <v>98</v>
      </c>
      <c r="G446" t="s">
        <v>192</v>
      </c>
      <c r="H446">
        <v>1</v>
      </c>
      <c r="I446">
        <v>5732</v>
      </c>
      <c r="J446">
        <v>0</v>
      </c>
      <c r="K446">
        <v>0</v>
      </c>
      <c r="L446">
        <v>3428</v>
      </c>
      <c r="M446" t="s">
        <v>193</v>
      </c>
      <c r="N446">
        <v>4167.28</v>
      </c>
      <c r="O446">
        <v>6531.15</v>
      </c>
      <c r="P446">
        <v>500</v>
      </c>
      <c r="Q446">
        <v>3428</v>
      </c>
    </row>
    <row r="447" spans="1:17">
      <c r="A447" s="155">
        <v>44926</v>
      </c>
      <c r="B447" t="s">
        <v>351</v>
      </c>
      <c r="C447" t="s">
        <v>8</v>
      </c>
      <c r="D447">
        <v>2022</v>
      </c>
      <c r="E447" t="s">
        <v>99</v>
      </c>
      <c r="F447" t="s">
        <v>98</v>
      </c>
      <c r="G447" t="s">
        <v>192</v>
      </c>
      <c r="H447">
        <v>1</v>
      </c>
      <c r="I447">
        <v>4167.28</v>
      </c>
      <c r="J447">
        <v>0</v>
      </c>
      <c r="K447">
        <v>0</v>
      </c>
      <c r="L447">
        <v>500</v>
      </c>
      <c r="M447" t="s">
        <v>193</v>
      </c>
      <c r="N447">
        <v>4167.28</v>
      </c>
      <c r="O447">
        <v>6531.15</v>
      </c>
      <c r="P447">
        <v>500</v>
      </c>
      <c r="Q447">
        <v>3428</v>
      </c>
    </row>
    <row r="448" spans="1:17">
      <c r="A448" s="155">
        <v>44926</v>
      </c>
      <c r="B448" t="s">
        <v>360</v>
      </c>
      <c r="C448" t="s">
        <v>8</v>
      </c>
      <c r="D448">
        <v>2022</v>
      </c>
      <c r="E448" t="s">
        <v>99</v>
      </c>
      <c r="F448" t="s">
        <v>98</v>
      </c>
      <c r="G448" t="s">
        <v>192</v>
      </c>
      <c r="H448">
        <v>1</v>
      </c>
      <c r="I448">
        <v>5709.9</v>
      </c>
      <c r="J448">
        <v>0</v>
      </c>
      <c r="K448">
        <v>0</v>
      </c>
      <c r="L448">
        <v>1585</v>
      </c>
      <c r="M448" t="s">
        <v>193</v>
      </c>
      <c r="N448">
        <v>4167.28</v>
      </c>
      <c r="O448">
        <v>6531.15</v>
      </c>
      <c r="P448">
        <v>500</v>
      </c>
      <c r="Q448">
        <v>3428</v>
      </c>
    </row>
    <row r="449" spans="1:17">
      <c r="A449" s="155">
        <v>44926</v>
      </c>
      <c r="B449" t="s">
        <v>361</v>
      </c>
      <c r="C449" t="s">
        <v>8</v>
      </c>
      <c r="D449">
        <v>2022</v>
      </c>
      <c r="E449" t="s">
        <v>99</v>
      </c>
      <c r="F449" t="s">
        <v>98</v>
      </c>
      <c r="G449" t="s">
        <v>192</v>
      </c>
      <c r="H449">
        <v>1</v>
      </c>
      <c r="I449">
        <v>6531.15</v>
      </c>
      <c r="J449">
        <v>0</v>
      </c>
      <c r="K449">
        <v>0</v>
      </c>
      <c r="L449">
        <v>3170</v>
      </c>
      <c r="M449" t="s">
        <v>193</v>
      </c>
      <c r="N449">
        <v>4167.28</v>
      </c>
      <c r="O449">
        <v>6531.15</v>
      </c>
      <c r="P449">
        <v>500</v>
      </c>
      <c r="Q449">
        <v>3428</v>
      </c>
    </row>
    <row r="450" spans="1:17">
      <c r="A450" s="155">
        <v>44926</v>
      </c>
      <c r="B450" t="s">
        <v>176</v>
      </c>
      <c r="C450" t="s">
        <v>8</v>
      </c>
      <c r="D450">
        <v>2022</v>
      </c>
      <c r="E450" t="s">
        <v>99</v>
      </c>
      <c r="F450" t="s">
        <v>98</v>
      </c>
      <c r="G450" t="s">
        <v>192</v>
      </c>
      <c r="H450">
        <v>1</v>
      </c>
      <c r="I450">
        <v>4677</v>
      </c>
      <c r="J450">
        <v>0</v>
      </c>
      <c r="K450">
        <v>0</v>
      </c>
      <c r="L450">
        <v>1249</v>
      </c>
      <c r="M450" t="s">
        <v>193</v>
      </c>
      <c r="N450">
        <v>4167.28</v>
      </c>
      <c r="O450">
        <v>6531.15</v>
      </c>
      <c r="P450">
        <v>500</v>
      </c>
      <c r="Q450">
        <v>3428</v>
      </c>
    </row>
    <row r="451" spans="1:17">
      <c r="A451" s="155">
        <v>44926</v>
      </c>
      <c r="B451" t="s">
        <v>356</v>
      </c>
      <c r="C451" t="s">
        <v>8</v>
      </c>
      <c r="D451">
        <v>2022</v>
      </c>
      <c r="E451" t="s">
        <v>99</v>
      </c>
      <c r="F451" t="s">
        <v>98</v>
      </c>
      <c r="G451" t="s">
        <v>192</v>
      </c>
      <c r="H451">
        <v>1</v>
      </c>
      <c r="I451">
        <v>5732</v>
      </c>
      <c r="J451">
        <v>0</v>
      </c>
      <c r="K451">
        <v>0</v>
      </c>
      <c r="L451">
        <v>3428</v>
      </c>
      <c r="M451" t="s">
        <v>193</v>
      </c>
      <c r="N451">
        <v>4167.28</v>
      </c>
      <c r="O451">
        <v>6531.15</v>
      </c>
      <c r="P451">
        <v>500</v>
      </c>
      <c r="Q451">
        <v>3428</v>
      </c>
    </row>
    <row r="452" spans="1:17">
      <c r="A452" s="155">
        <v>44926</v>
      </c>
      <c r="B452" t="s">
        <v>357</v>
      </c>
      <c r="C452" t="s">
        <v>8</v>
      </c>
      <c r="D452">
        <v>2022</v>
      </c>
      <c r="E452" t="s">
        <v>99</v>
      </c>
      <c r="F452" t="s">
        <v>98</v>
      </c>
      <c r="G452" t="s">
        <v>192</v>
      </c>
      <c r="H452">
        <v>1</v>
      </c>
      <c r="I452">
        <v>4167.28</v>
      </c>
      <c r="J452">
        <v>0</v>
      </c>
      <c r="K452">
        <v>0</v>
      </c>
      <c r="L452">
        <v>500</v>
      </c>
      <c r="M452" t="s">
        <v>193</v>
      </c>
      <c r="N452">
        <v>4167.28</v>
      </c>
      <c r="O452">
        <v>6531.15</v>
      </c>
      <c r="P452">
        <v>500</v>
      </c>
      <c r="Q452">
        <v>3428</v>
      </c>
    </row>
    <row r="453" spans="1:17">
      <c r="A453" s="155">
        <v>44926</v>
      </c>
      <c r="B453" t="s">
        <v>363</v>
      </c>
      <c r="C453" t="s">
        <v>8</v>
      </c>
      <c r="D453">
        <v>2022</v>
      </c>
      <c r="E453" t="s">
        <v>99</v>
      </c>
      <c r="F453" t="s">
        <v>98</v>
      </c>
      <c r="G453" t="s">
        <v>192</v>
      </c>
      <c r="H453">
        <v>1</v>
      </c>
      <c r="I453">
        <v>5709.9</v>
      </c>
      <c r="J453">
        <v>0</v>
      </c>
      <c r="K453">
        <v>0</v>
      </c>
      <c r="L453">
        <v>1585</v>
      </c>
      <c r="M453" t="s">
        <v>193</v>
      </c>
      <c r="N453">
        <v>4167.28</v>
      </c>
      <c r="O453">
        <v>6531.15</v>
      </c>
      <c r="P453">
        <v>500</v>
      </c>
      <c r="Q453">
        <v>3428</v>
      </c>
    </row>
    <row r="454" spans="1:17">
      <c r="A454" s="155">
        <v>44926</v>
      </c>
      <c r="B454" t="s">
        <v>364</v>
      </c>
      <c r="C454" t="s">
        <v>8</v>
      </c>
      <c r="D454">
        <v>2022</v>
      </c>
      <c r="E454" t="s">
        <v>99</v>
      </c>
      <c r="F454" t="s">
        <v>98</v>
      </c>
      <c r="G454" t="s">
        <v>192</v>
      </c>
      <c r="H454">
        <v>1</v>
      </c>
      <c r="I454">
        <v>6531.15</v>
      </c>
      <c r="J454">
        <v>0</v>
      </c>
      <c r="K454">
        <v>0</v>
      </c>
      <c r="L454">
        <v>3170</v>
      </c>
      <c r="M454" t="s">
        <v>193</v>
      </c>
      <c r="N454">
        <v>4167.28</v>
      </c>
      <c r="O454">
        <v>6531.15</v>
      </c>
      <c r="P454">
        <v>500</v>
      </c>
      <c r="Q454">
        <v>3428</v>
      </c>
    </row>
    <row r="455" spans="1:17">
      <c r="A455" s="155">
        <v>44926</v>
      </c>
      <c r="B455" t="s">
        <v>358</v>
      </c>
      <c r="C455" t="s">
        <v>8</v>
      </c>
      <c r="D455">
        <v>2022</v>
      </c>
      <c r="E455" t="s">
        <v>99</v>
      </c>
      <c r="F455" t="s">
        <v>98</v>
      </c>
      <c r="G455" t="s">
        <v>192</v>
      </c>
      <c r="H455">
        <v>1</v>
      </c>
      <c r="I455">
        <v>4677</v>
      </c>
      <c r="J455">
        <v>0</v>
      </c>
      <c r="K455">
        <v>0</v>
      </c>
      <c r="L455">
        <v>1249</v>
      </c>
      <c r="M455" t="s">
        <v>193</v>
      </c>
      <c r="N455">
        <v>4167.28</v>
      </c>
      <c r="O455">
        <v>6531.15</v>
      </c>
      <c r="P455">
        <v>500</v>
      </c>
      <c r="Q455">
        <v>3428</v>
      </c>
    </row>
    <row r="456" spans="1:17">
      <c r="A456" s="155">
        <v>44926</v>
      </c>
      <c r="B456" t="s">
        <v>346</v>
      </c>
      <c r="C456" t="s">
        <v>8</v>
      </c>
      <c r="D456">
        <v>2022</v>
      </c>
      <c r="E456" t="s">
        <v>101</v>
      </c>
      <c r="F456" t="s">
        <v>100</v>
      </c>
      <c r="G456" t="s">
        <v>192</v>
      </c>
      <c r="H456">
        <v>1057</v>
      </c>
      <c r="I456">
        <v>262103.78999999989</v>
      </c>
      <c r="J456">
        <v>393.40999999999855</v>
      </c>
      <c r="K456">
        <v>33828.509999999973</v>
      </c>
      <c r="L456">
        <v>169109.16000000047</v>
      </c>
      <c r="M456" t="s">
        <v>193</v>
      </c>
      <c r="N456">
        <v>-578</v>
      </c>
      <c r="O456">
        <v>1180</v>
      </c>
      <c r="P456">
        <v>-516.99</v>
      </c>
      <c r="Q456">
        <v>616.98</v>
      </c>
    </row>
    <row r="457" spans="1:17">
      <c r="A457" s="155">
        <v>44926</v>
      </c>
      <c r="B457" t="s">
        <v>347</v>
      </c>
      <c r="C457" t="s">
        <v>8</v>
      </c>
      <c r="D457">
        <v>2022</v>
      </c>
      <c r="E457" t="s">
        <v>101</v>
      </c>
      <c r="F457" t="s">
        <v>100</v>
      </c>
      <c r="G457" t="s">
        <v>192</v>
      </c>
      <c r="H457">
        <v>625</v>
      </c>
      <c r="I457">
        <v>155358.26999999996</v>
      </c>
      <c r="J457">
        <v>564.4699999999965</v>
      </c>
      <c r="K457">
        <v>12516.980000000021</v>
      </c>
      <c r="L457">
        <v>70525.070000000094</v>
      </c>
      <c r="M457" t="s">
        <v>193</v>
      </c>
      <c r="N457">
        <v>-578</v>
      </c>
      <c r="O457">
        <v>1180</v>
      </c>
      <c r="P457">
        <v>-516.99</v>
      </c>
      <c r="Q457">
        <v>616.98</v>
      </c>
    </row>
    <row r="458" spans="1:17">
      <c r="A458" s="155">
        <v>44926</v>
      </c>
      <c r="B458" t="s">
        <v>348</v>
      </c>
      <c r="C458" t="s">
        <v>8</v>
      </c>
      <c r="D458">
        <v>2022</v>
      </c>
      <c r="E458" t="s">
        <v>101</v>
      </c>
      <c r="F458" t="s">
        <v>100</v>
      </c>
      <c r="G458" t="s">
        <v>192</v>
      </c>
      <c r="H458">
        <v>7</v>
      </c>
      <c r="I458">
        <v>2150.04</v>
      </c>
      <c r="J458">
        <v>0.27</v>
      </c>
      <c r="K458">
        <v>999.82000000000016</v>
      </c>
      <c r="L458">
        <v>876.8</v>
      </c>
      <c r="M458" t="s">
        <v>193</v>
      </c>
      <c r="N458">
        <v>-578</v>
      </c>
      <c r="O458">
        <v>1180</v>
      </c>
      <c r="P458">
        <v>-516.99</v>
      </c>
      <c r="Q458">
        <v>616.98</v>
      </c>
    </row>
    <row r="459" spans="1:17">
      <c r="A459" s="155">
        <v>44926</v>
      </c>
      <c r="B459" t="s">
        <v>349</v>
      </c>
      <c r="C459" t="s">
        <v>8</v>
      </c>
      <c r="D459">
        <v>2022</v>
      </c>
      <c r="E459" t="s">
        <v>101</v>
      </c>
      <c r="F459" t="s">
        <v>100</v>
      </c>
      <c r="G459" t="s">
        <v>192</v>
      </c>
      <c r="H459">
        <v>375</v>
      </c>
      <c r="I459">
        <v>97582.229999999967</v>
      </c>
      <c r="J459">
        <v>16.919999999999977</v>
      </c>
      <c r="K459">
        <v>570</v>
      </c>
      <c r="L459">
        <v>80993.150000000285</v>
      </c>
      <c r="M459" t="s">
        <v>193</v>
      </c>
      <c r="N459">
        <v>-578</v>
      </c>
      <c r="O459">
        <v>1180</v>
      </c>
      <c r="P459">
        <v>-516.99</v>
      </c>
      <c r="Q459">
        <v>616.98</v>
      </c>
    </row>
    <row r="460" spans="1:17">
      <c r="A460" s="155">
        <v>44926</v>
      </c>
      <c r="B460" t="s">
        <v>350</v>
      </c>
      <c r="C460" t="s">
        <v>8</v>
      </c>
      <c r="D460">
        <v>2022</v>
      </c>
      <c r="E460" t="s">
        <v>101</v>
      </c>
      <c r="F460" t="s">
        <v>100</v>
      </c>
      <c r="G460" t="s">
        <v>192</v>
      </c>
      <c r="H460">
        <v>337</v>
      </c>
      <c r="I460">
        <v>102004.49999999999</v>
      </c>
      <c r="J460">
        <v>34.250000000000057</v>
      </c>
      <c r="K460">
        <v>2448.7000000000003</v>
      </c>
      <c r="L460">
        <v>84613.230000000331</v>
      </c>
      <c r="M460" t="s">
        <v>193</v>
      </c>
      <c r="N460">
        <v>-578</v>
      </c>
      <c r="O460">
        <v>1180</v>
      </c>
      <c r="P460">
        <v>-516.99</v>
      </c>
      <c r="Q460">
        <v>616.98</v>
      </c>
    </row>
    <row r="461" spans="1:17">
      <c r="A461" s="155">
        <v>44926</v>
      </c>
      <c r="B461" t="s">
        <v>369</v>
      </c>
      <c r="C461" t="s">
        <v>8</v>
      </c>
      <c r="D461">
        <v>2022</v>
      </c>
      <c r="E461" t="s">
        <v>101</v>
      </c>
      <c r="F461" t="s">
        <v>100</v>
      </c>
      <c r="G461" t="s">
        <v>192</v>
      </c>
      <c r="H461">
        <v>4</v>
      </c>
      <c r="I461">
        <v>84.8</v>
      </c>
      <c r="J461">
        <v>8.36</v>
      </c>
      <c r="K461">
        <v>0</v>
      </c>
      <c r="L461">
        <v>19.559999999999995</v>
      </c>
      <c r="M461" t="s">
        <v>193</v>
      </c>
      <c r="N461">
        <v>-578</v>
      </c>
      <c r="O461">
        <v>1180</v>
      </c>
      <c r="P461">
        <v>-516.99</v>
      </c>
      <c r="Q461">
        <v>616.98</v>
      </c>
    </row>
    <row r="462" spans="1:17">
      <c r="A462" s="155">
        <v>44926</v>
      </c>
      <c r="B462" t="s">
        <v>360</v>
      </c>
      <c r="C462" t="s">
        <v>8</v>
      </c>
      <c r="D462">
        <v>2022</v>
      </c>
      <c r="E462" t="s">
        <v>101</v>
      </c>
      <c r="F462" t="s">
        <v>100</v>
      </c>
      <c r="G462" t="s">
        <v>192</v>
      </c>
      <c r="H462">
        <v>4</v>
      </c>
      <c r="I462">
        <v>389.90000000000003</v>
      </c>
      <c r="J462">
        <v>0.18</v>
      </c>
      <c r="K462">
        <v>0</v>
      </c>
      <c r="L462">
        <v>389.71999999999997</v>
      </c>
      <c r="M462" t="s">
        <v>193</v>
      </c>
      <c r="N462">
        <v>-578</v>
      </c>
      <c r="O462">
        <v>1180</v>
      </c>
      <c r="P462">
        <v>-516.99</v>
      </c>
      <c r="Q462">
        <v>616.98</v>
      </c>
    </row>
    <row r="463" spans="1:17">
      <c r="A463" s="155">
        <v>44926</v>
      </c>
      <c r="B463" t="s">
        <v>361</v>
      </c>
      <c r="C463" t="s">
        <v>8</v>
      </c>
      <c r="D463">
        <v>2022</v>
      </c>
      <c r="E463" t="s">
        <v>101</v>
      </c>
      <c r="F463" t="s">
        <v>100</v>
      </c>
      <c r="G463" t="s">
        <v>192</v>
      </c>
      <c r="H463">
        <v>11</v>
      </c>
      <c r="I463">
        <v>2519.0500000000002</v>
      </c>
      <c r="J463">
        <v>0.48</v>
      </c>
      <c r="K463">
        <v>279.90999999999997</v>
      </c>
      <c r="L463">
        <v>1990.7300000000002</v>
      </c>
      <c r="M463" t="s">
        <v>193</v>
      </c>
      <c r="N463">
        <v>-578</v>
      </c>
      <c r="O463">
        <v>1180</v>
      </c>
      <c r="P463">
        <v>-516.99</v>
      </c>
      <c r="Q463">
        <v>616.98</v>
      </c>
    </row>
    <row r="464" spans="1:17">
      <c r="A464" s="155">
        <v>44926</v>
      </c>
      <c r="B464" t="s">
        <v>176</v>
      </c>
      <c r="C464" t="s">
        <v>8</v>
      </c>
      <c r="D464">
        <v>2022</v>
      </c>
      <c r="E464" t="s">
        <v>101</v>
      </c>
      <c r="F464" t="s">
        <v>100</v>
      </c>
      <c r="G464" t="s">
        <v>192</v>
      </c>
      <c r="H464">
        <v>16</v>
      </c>
      <c r="I464">
        <v>2583.52</v>
      </c>
      <c r="J464">
        <v>29.589999999999996</v>
      </c>
      <c r="K464">
        <v>0</v>
      </c>
      <c r="L464">
        <v>2002.2999999999997</v>
      </c>
      <c r="M464" t="s">
        <v>193</v>
      </c>
      <c r="N464">
        <v>-578</v>
      </c>
      <c r="O464">
        <v>1180</v>
      </c>
      <c r="P464">
        <v>-516.99</v>
      </c>
      <c r="Q464">
        <v>616.98</v>
      </c>
    </row>
    <row r="465" spans="1:17">
      <c r="A465" s="155">
        <v>44926</v>
      </c>
      <c r="B465" t="s">
        <v>352</v>
      </c>
      <c r="C465" t="s">
        <v>8</v>
      </c>
      <c r="D465">
        <v>2022</v>
      </c>
      <c r="E465" t="s">
        <v>101</v>
      </c>
      <c r="F465" t="s">
        <v>100</v>
      </c>
      <c r="G465" t="s">
        <v>192</v>
      </c>
      <c r="H465">
        <v>1057</v>
      </c>
      <c r="I465">
        <v>262103.78999999986</v>
      </c>
      <c r="J465">
        <v>393.4099999999998</v>
      </c>
      <c r="K465">
        <v>33828.509999999966</v>
      </c>
      <c r="L465">
        <v>169109.16000000044</v>
      </c>
      <c r="M465" t="s">
        <v>193</v>
      </c>
      <c r="N465">
        <v>-578</v>
      </c>
      <c r="O465">
        <v>1180</v>
      </c>
      <c r="P465">
        <v>-516.99</v>
      </c>
      <c r="Q465">
        <v>616.98</v>
      </c>
    </row>
    <row r="466" spans="1:17">
      <c r="A466" s="155">
        <v>44926</v>
      </c>
      <c r="B466" t="s">
        <v>353</v>
      </c>
      <c r="C466" t="s">
        <v>8</v>
      </c>
      <c r="D466">
        <v>2022</v>
      </c>
      <c r="E466" t="s">
        <v>101</v>
      </c>
      <c r="F466" t="s">
        <v>100</v>
      </c>
      <c r="G466" t="s">
        <v>192</v>
      </c>
      <c r="H466">
        <v>625</v>
      </c>
      <c r="I466">
        <v>155358.2699999999</v>
      </c>
      <c r="J466">
        <v>564.46999999999491</v>
      </c>
      <c r="K466">
        <v>12516.980000000023</v>
      </c>
      <c r="L466">
        <v>70525.070000000123</v>
      </c>
      <c r="M466" t="s">
        <v>193</v>
      </c>
      <c r="N466">
        <v>-578</v>
      </c>
      <c r="O466">
        <v>1180</v>
      </c>
      <c r="P466">
        <v>-516.99</v>
      </c>
      <c r="Q466">
        <v>616.98</v>
      </c>
    </row>
    <row r="467" spans="1:17">
      <c r="A467" s="155">
        <v>44926</v>
      </c>
      <c r="B467" t="s">
        <v>354</v>
      </c>
      <c r="C467" t="s">
        <v>8</v>
      </c>
      <c r="D467">
        <v>2022</v>
      </c>
      <c r="E467" t="s">
        <v>101</v>
      </c>
      <c r="F467" t="s">
        <v>100</v>
      </c>
      <c r="G467" t="s">
        <v>192</v>
      </c>
      <c r="H467">
        <v>7</v>
      </c>
      <c r="I467">
        <v>2150.04</v>
      </c>
      <c r="J467">
        <v>0.27</v>
      </c>
      <c r="K467">
        <v>999.82000000000016</v>
      </c>
      <c r="L467">
        <v>876.8</v>
      </c>
      <c r="M467" t="s">
        <v>193</v>
      </c>
      <c r="N467">
        <v>-578</v>
      </c>
      <c r="O467">
        <v>1180</v>
      </c>
      <c r="P467">
        <v>-516.99</v>
      </c>
      <c r="Q467">
        <v>616.98</v>
      </c>
    </row>
    <row r="468" spans="1:17">
      <c r="A468" s="155">
        <v>44926</v>
      </c>
      <c r="B468" t="s">
        <v>355</v>
      </c>
      <c r="C468" t="s">
        <v>8</v>
      </c>
      <c r="D468">
        <v>2022</v>
      </c>
      <c r="E468" t="s">
        <v>101</v>
      </c>
      <c r="F468" t="s">
        <v>100</v>
      </c>
      <c r="G468" t="s">
        <v>192</v>
      </c>
      <c r="H468">
        <v>375</v>
      </c>
      <c r="I468">
        <v>97582.229999999967</v>
      </c>
      <c r="J468">
        <v>16.91999999999998</v>
      </c>
      <c r="K468">
        <v>570</v>
      </c>
      <c r="L468">
        <v>80993.150000000271</v>
      </c>
      <c r="M468" t="s">
        <v>193</v>
      </c>
      <c r="N468">
        <v>-578</v>
      </c>
      <c r="O468">
        <v>1180</v>
      </c>
      <c r="P468">
        <v>-516.99</v>
      </c>
      <c r="Q468">
        <v>616.98</v>
      </c>
    </row>
    <row r="469" spans="1:17">
      <c r="A469" s="155">
        <v>44926</v>
      </c>
      <c r="B469" t="s">
        <v>356</v>
      </c>
      <c r="C469" t="s">
        <v>8</v>
      </c>
      <c r="D469">
        <v>2022</v>
      </c>
      <c r="E469" t="s">
        <v>101</v>
      </c>
      <c r="F469" t="s">
        <v>100</v>
      </c>
      <c r="G469" t="s">
        <v>192</v>
      </c>
      <c r="H469">
        <v>337</v>
      </c>
      <c r="I469">
        <v>102004.49999999999</v>
      </c>
      <c r="J469">
        <v>34.250000000000064</v>
      </c>
      <c r="K469">
        <v>2448.7000000000003</v>
      </c>
      <c r="L469">
        <v>84613.230000000331</v>
      </c>
      <c r="M469" t="s">
        <v>193</v>
      </c>
      <c r="N469">
        <v>-578</v>
      </c>
      <c r="O469">
        <v>1180</v>
      </c>
      <c r="P469">
        <v>-516.99</v>
      </c>
      <c r="Q469">
        <v>616.98</v>
      </c>
    </row>
    <row r="470" spans="1:17">
      <c r="A470" s="155">
        <v>44926</v>
      </c>
      <c r="B470" t="s">
        <v>377</v>
      </c>
      <c r="C470" t="s">
        <v>8</v>
      </c>
      <c r="D470">
        <v>2022</v>
      </c>
      <c r="E470" t="s">
        <v>101</v>
      </c>
      <c r="F470" t="s">
        <v>100</v>
      </c>
      <c r="G470" t="s">
        <v>192</v>
      </c>
      <c r="H470">
        <v>4</v>
      </c>
      <c r="I470">
        <v>84.8</v>
      </c>
      <c r="J470">
        <v>8.36</v>
      </c>
      <c r="K470">
        <v>0</v>
      </c>
      <c r="L470">
        <v>19.559999999999999</v>
      </c>
      <c r="M470" t="s">
        <v>193</v>
      </c>
      <c r="N470">
        <v>-578</v>
      </c>
      <c r="O470">
        <v>1180</v>
      </c>
      <c r="P470">
        <v>-516.99</v>
      </c>
      <c r="Q470">
        <v>616.98</v>
      </c>
    </row>
    <row r="471" spans="1:17">
      <c r="A471" s="155">
        <v>44926</v>
      </c>
      <c r="B471" t="s">
        <v>363</v>
      </c>
      <c r="C471" t="s">
        <v>8</v>
      </c>
      <c r="D471">
        <v>2022</v>
      </c>
      <c r="E471" t="s">
        <v>101</v>
      </c>
      <c r="F471" t="s">
        <v>100</v>
      </c>
      <c r="G471" t="s">
        <v>192</v>
      </c>
      <c r="H471">
        <v>4</v>
      </c>
      <c r="I471">
        <v>389.90000000000003</v>
      </c>
      <c r="J471">
        <v>0.18</v>
      </c>
      <c r="K471">
        <v>0</v>
      </c>
      <c r="L471">
        <v>389.71999999999997</v>
      </c>
      <c r="M471" t="s">
        <v>193</v>
      </c>
      <c r="N471">
        <v>-578</v>
      </c>
      <c r="O471">
        <v>1180</v>
      </c>
      <c r="P471">
        <v>-516.99</v>
      </c>
      <c r="Q471">
        <v>616.98</v>
      </c>
    </row>
    <row r="472" spans="1:17">
      <c r="A472" s="155">
        <v>44926</v>
      </c>
      <c r="B472" t="s">
        <v>364</v>
      </c>
      <c r="C472" t="s">
        <v>8</v>
      </c>
      <c r="D472">
        <v>2022</v>
      </c>
      <c r="E472" t="s">
        <v>101</v>
      </c>
      <c r="F472" t="s">
        <v>100</v>
      </c>
      <c r="G472" t="s">
        <v>192</v>
      </c>
      <c r="H472">
        <v>11</v>
      </c>
      <c r="I472">
        <v>2519.0500000000002</v>
      </c>
      <c r="J472">
        <v>0.48</v>
      </c>
      <c r="K472">
        <v>279.90999999999997</v>
      </c>
      <c r="L472">
        <v>1990.7300000000002</v>
      </c>
      <c r="M472" t="s">
        <v>193</v>
      </c>
      <c r="N472">
        <v>-578</v>
      </c>
      <c r="O472">
        <v>1180</v>
      </c>
      <c r="P472">
        <v>-516.99</v>
      </c>
      <c r="Q472">
        <v>616.98</v>
      </c>
    </row>
    <row r="473" spans="1:17">
      <c r="A473" s="155">
        <v>44926</v>
      </c>
      <c r="B473" t="s">
        <v>358</v>
      </c>
      <c r="C473" t="s">
        <v>8</v>
      </c>
      <c r="D473">
        <v>2022</v>
      </c>
      <c r="E473" t="s">
        <v>101</v>
      </c>
      <c r="F473" t="s">
        <v>100</v>
      </c>
      <c r="G473" t="s">
        <v>192</v>
      </c>
      <c r="H473">
        <v>16</v>
      </c>
      <c r="I473">
        <v>2583.52</v>
      </c>
      <c r="J473">
        <v>29.589999999999996</v>
      </c>
      <c r="K473">
        <v>0</v>
      </c>
      <c r="L473">
        <v>2002.2999999999997</v>
      </c>
      <c r="M473" t="s">
        <v>193</v>
      </c>
      <c r="N473">
        <v>-578</v>
      </c>
      <c r="O473">
        <v>1180</v>
      </c>
      <c r="P473">
        <v>-516.99</v>
      </c>
      <c r="Q473">
        <v>616.98</v>
      </c>
    </row>
    <row r="474" spans="1:17">
      <c r="A474" s="155">
        <v>44926</v>
      </c>
      <c r="B474" t="s">
        <v>351</v>
      </c>
      <c r="C474" t="s">
        <v>8</v>
      </c>
      <c r="D474">
        <v>2022</v>
      </c>
      <c r="E474" t="s">
        <v>102</v>
      </c>
      <c r="F474" t="s">
        <v>100</v>
      </c>
      <c r="G474" t="s">
        <v>192</v>
      </c>
      <c r="H474">
        <v>26</v>
      </c>
      <c r="I474">
        <v>1240</v>
      </c>
      <c r="J474">
        <v>223.20000000000002</v>
      </c>
      <c r="K474">
        <v>0</v>
      </c>
      <c r="L474">
        <v>1016.8000000000001</v>
      </c>
      <c r="M474" t="s">
        <v>193</v>
      </c>
      <c r="N474">
        <v>30</v>
      </c>
      <c r="O474">
        <v>105</v>
      </c>
      <c r="P474">
        <v>24.6</v>
      </c>
      <c r="Q474">
        <v>86.1</v>
      </c>
    </row>
    <row r="475" spans="1:17">
      <c r="A475" s="155">
        <v>44926</v>
      </c>
      <c r="B475" t="s">
        <v>369</v>
      </c>
      <c r="C475" t="s">
        <v>8</v>
      </c>
      <c r="D475">
        <v>2022</v>
      </c>
      <c r="E475" t="s">
        <v>102</v>
      </c>
      <c r="F475" t="s">
        <v>100</v>
      </c>
      <c r="G475" t="s">
        <v>192</v>
      </c>
      <c r="H475">
        <v>9</v>
      </c>
      <c r="I475">
        <v>465</v>
      </c>
      <c r="J475">
        <v>83.7</v>
      </c>
      <c r="K475">
        <v>0</v>
      </c>
      <c r="L475">
        <v>381.3</v>
      </c>
      <c r="M475" t="s">
        <v>193</v>
      </c>
      <c r="N475">
        <v>30</v>
      </c>
      <c r="O475">
        <v>105</v>
      </c>
      <c r="P475">
        <v>24.6</v>
      </c>
      <c r="Q475">
        <v>86.1</v>
      </c>
    </row>
    <row r="476" spans="1:17">
      <c r="A476" s="155">
        <v>44926</v>
      </c>
      <c r="B476" t="s">
        <v>360</v>
      </c>
      <c r="C476" t="s">
        <v>8</v>
      </c>
      <c r="D476">
        <v>2022</v>
      </c>
      <c r="E476" t="s">
        <v>102</v>
      </c>
      <c r="F476" t="s">
        <v>100</v>
      </c>
      <c r="G476" t="s">
        <v>192</v>
      </c>
      <c r="H476">
        <v>6</v>
      </c>
      <c r="I476">
        <v>240</v>
      </c>
      <c r="J476">
        <v>43.2</v>
      </c>
      <c r="K476">
        <v>0</v>
      </c>
      <c r="L476">
        <v>196.79999999999995</v>
      </c>
      <c r="M476" t="s">
        <v>193</v>
      </c>
      <c r="N476">
        <v>30</v>
      </c>
      <c r="O476">
        <v>105</v>
      </c>
      <c r="P476">
        <v>24.6</v>
      </c>
      <c r="Q476">
        <v>86.1</v>
      </c>
    </row>
    <row r="477" spans="1:17">
      <c r="A477" s="155">
        <v>44926</v>
      </c>
      <c r="B477" t="s">
        <v>361</v>
      </c>
      <c r="C477" t="s">
        <v>8</v>
      </c>
      <c r="D477">
        <v>2022</v>
      </c>
      <c r="E477" t="s">
        <v>102</v>
      </c>
      <c r="F477" t="s">
        <v>100</v>
      </c>
      <c r="G477" t="s">
        <v>192</v>
      </c>
      <c r="H477">
        <v>1</v>
      </c>
      <c r="I477">
        <v>30</v>
      </c>
      <c r="J477">
        <v>5.4</v>
      </c>
      <c r="K477">
        <v>0</v>
      </c>
      <c r="L477">
        <v>24.6</v>
      </c>
      <c r="M477" t="s">
        <v>193</v>
      </c>
      <c r="N477">
        <v>30</v>
      </c>
      <c r="O477">
        <v>105</v>
      </c>
      <c r="P477">
        <v>24.6</v>
      </c>
      <c r="Q477">
        <v>86.1</v>
      </c>
    </row>
    <row r="478" spans="1:17">
      <c r="A478" s="155">
        <v>44926</v>
      </c>
      <c r="B478" t="s">
        <v>176</v>
      </c>
      <c r="C478" t="s">
        <v>8</v>
      </c>
      <c r="D478">
        <v>2022</v>
      </c>
      <c r="E478" t="s">
        <v>102</v>
      </c>
      <c r="F478" t="s">
        <v>100</v>
      </c>
      <c r="G478" t="s">
        <v>192</v>
      </c>
      <c r="H478">
        <v>15</v>
      </c>
      <c r="I478">
        <v>502.5</v>
      </c>
      <c r="J478">
        <v>90.45</v>
      </c>
      <c r="K478">
        <v>0</v>
      </c>
      <c r="L478">
        <v>412.05000000000007</v>
      </c>
      <c r="M478" t="s">
        <v>193</v>
      </c>
      <c r="N478">
        <v>30</v>
      </c>
      <c r="O478">
        <v>105</v>
      </c>
      <c r="P478">
        <v>24.6</v>
      </c>
      <c r="Q478">
        <v>86.1</v>
      </c>
    </row>
    <row r="479" spans="1:17">
      <c r="A479" s="155">
        <v>44926</v>
      </c>
      <c r="B479" t="s">
        <v>357</v>
      </c>
      <c r="C479" t="s">
        <v>8</v>
      </c>
      <c r="D479">
        <v>2022</v>
      </c>
      <c r="E479" t="s">
        <v>102</v>
      </c>
      <c r="F479" t="s">
        <v>100</v>
      </c>
      <c r="G479" t="s">
        <v>192</v>
      </c>
      <c r="H479">
        <v>26</v>
      </c>
      <c r="I479">
        <v>1240</v>
      </c>
      <c r="J479">
        <v>223.20000000000005</v>
      </c>
      <c r="K479">
        <v>0</v>
      </c>
      <c r="L479">
        <v>1016.8000000000001</v>
      </c>
      <c r="M479" t="s">
        <v>193</v>
      </c>
      <c r="N479">
        <v>30</v>
      </c>
      <c r="O479">
        <v>105</v>
      </c>
      <c r="P479">
        <v>24.6</v>
      </c>
      <c r="Q479">
        <v>86.1</v>
      </c>
    </row>
    <row r="480" spans="1:17">
      <c r="A480" s="155">
        <v>44926</v>
      </c>
      <c r="B480" t="s">
        <v>377</v>
      </c>
      <c r="C480" t="s">
        <v>8</v>
      </c>
      <c r="D480">
        <v>2022</v>
      </c>
      <c r="E480" t="s">
        <v>102</v>
      </c>
      <c r="F480" t="s">
        <v>100</v>
      </c>
      <c r="G480" t="s">
        <v>192</v>
      </c>
      <c r="H480">
        <v>9</v>
      </c>
      <c r="I480">
        <v>465</v>
      </c>
      <c r="J480">
        <v>83.7</v>
      </c>
      <c r="K480">
        <v>0</v>
      </c>
      <c r="L480">
        <v>381.3</v>
      </c>
      <c r="M480" t="s">
        <v>193</v>
      </c>
      <c r="N480">
        <v>30</v>
      </c>
      <c r="O480">
        <v>105</v>
      </c>
      <c r="P480">
        <v>24.6</v>
      </c>
      <c r="Q480">
        <v>86.1</v>
      </c>
    </row>
    <row r="481" spans="1:17">
      <c r="A481" s="155">
        <v>44926</v>
      </c>
      <c r="B481" t="s">
        <v>363</v>
      </c>
      <c r="C481" t="s">
        <v>8</v>
      </c>
      <c r="D481">
        <v>2022</v>
      </c>
      <c r="E481" t="s">
        <v>102</v>
      </c>
      <c r="F481" t="s">
        <v>100</v>
      </c>
      <c r="G481" t="s">
        <v>192</v>
      </c>
      <c r="H481">
        <v>6</v>
      </c>
      <c r="I481">
        <v>240</v>
      </c>
      <c r="J481">
        <v>43.199999999999996</v>
      </c>
      <c r="K481">
        <v>0</v>
      </c>
      <c r="L481">
        <v>196.8</v>
      </c>
      <c r="M481" t="s">
        <v>193</v>
      </c>
      <c r="N481">
        <v>30</v>
      </c>
      <c r="O481">
        <v>105</v>
      </c>
      <c r="P481">
        <v>24.6</v>
      </c>
      <c r="Q481">
        <v>86.1</v>
      </c>
    </row>
    <row r="482" spans="1:17">
      <c r="A482" s="155">
        <v>44926</v>
      </c>
      <c r="B482" t="s">
        <v>364</v>
      </c>
      <c r="C482" t="s">
        <v>8</v>
      </c>
      <c r="D482">
        <v>2022</v>
      </c>
      <c r="E482" t="s">
        <v>102</v>
      </c>
      <c r="F482" t="s">
        <v>100</v>
      </c>
      <c r="G482" t="s">
        <v>192</v>
      </c>
      <c r="H482">
        <v>1</v>
      </c>
      <c r="I482">
        <v>30</v>
      </c>
      <c r="J482">
        <v>5.4</v>
      </c>
      <c r="K482">
        <v>0</v>
      </c>
      <c r="L482">
        <v>24.6</v>
      </c>
      <c r="M482" t="s">
        <v>193</v>
      </c>
      <c r="N482">
        <v>30</v>
      </c>
      <c r="O482">
        <v>105</v>
      </c>
      <c r="P482">
        <v>24.6</v>
      </c>
      <c r="Q482">
        <v>86.1</v>
      </c>
    </row>
    <row r="483" spans="1:17">
      <c r="A483" s="155">
        <v>44926</v>
      </c>
      <c r="B483" t="s">
        <v>358</v>
      </c>
      <c r="C483" t="s">
        <v>8</v>
      </c>
      <c r="D483">
        <v>2022</v>
      </c>
      <c r="E483" t="s">
        <v>102</v>
      </c>
      <c r="F483" t="s">
        <v>100</v>
      </c>
      <c r="G483" t="s">
        <v>192</v>
      </c>
      <c r="H483">
        <v>15</v>
      </c>
      <c r="I483">
        <v>502.5</v>
      </c>
      <c r="J483">
        <v>90.45</v>
      </c>
      <c r="K483">
        <v>0</v>
      </c>
      <c r="L483">
        <v>412.05000000000007</v>
      </c>
      <c r="M483" t="s">
        <v>193</v>
      </c>
      <c r="N483">
        <v>30</v>
      </c>
      <c r="O483">
        <v>105</v>
      </c>
      <c r="P483">
        <v>24.6</v>
      </c>
      <c r="Q483">
        <v>86.1</v>
      </c>
    </row>
    <row r="484" spans="1:17">
      <c r="A484" s="155">
        <v>44926</v>
      </c>
      <c r="B484" t="s">
        <v>360</v>
      </c>
      <c r="C484" t="s">
        <v>8</v>
      </c>
      <c r="D484">
        <v>2022</v>
      </c>
      <c r="E484" t="s">
        <v>103</v>
      </c>
      <c r="F484" t="s">
        <v>100</v>
      </c>
      <c r="G484" t="s">
        <v>192</v>
      </c>
      <c r="H484">
        <v>4</v>
      </c>
      <c r="I484">
        <v>10300</v>
      </c>
      <c r="J484">
        <v>0</v>
      </c>
      <c r="K484">
        <v>0</v>
      </c>
      <c r="L484">
        <v>1000</v>
      </c>
      <c r="M484" t="s">
        <v>193</v>
      </c>
      <c r="N484">
        <v>400</v>
      </c>
      <c r="O484">
        <v>3450</v>
      </c>
      <c r="P484">
        <v>150</v>
      </c>
      <c r="Q484">
        <v>400</v>
      </c>
    </row>
    <row r="485" spans="1:17">
      <c r="A485" s="155">
        <v>44926</v>
      </c>
      <c r="B485" t="s">
        <v>361</v>
      </c>
      <c r="C485" t="s">
        <v>8</v>
      </c>
      <c r="D485">
        <v>2022</v>
      </c>
      <c r="E485" t="s">
        <v>103</v>
      </c>
      <c r="F485" t="s">
        <v>100</v>
      </c>
      <c r="G485" t="s">
        <v>192</v>
      </c>
      <c r="H485">
        <v>5</v>
      </c>
      <c r="I485">
        <v>5600</v>
      </c>
      <c r="J485">
        <v>0</v>
      </c>
      <c r="K485">
        <v>0</v>
      </c>
      <c r="L485">
        <v>900</v>
      </c>
      <c r="M485" t="s">
        <v>193</v>
      </c>
      <c r="N485">
        <v>400</v>
      </c>
      <c r="O485">
        <v>3450</v>
      </c>
      <c r="P485">
        <v>150</v>
      </c>
      <c r="Q485">
        <v>400</v>
      </c>
    </row>
    <row r="486" spans="1:17">
      <c r="A486" s="155">
        <v>44926</v>
      </c>
      <c r="B486" t="s">
        <v>176</v>
      </c>
      <c r="C486" t="s">
        <v>8</v>
      </c>
      <c r="D486">
        <v>2022</v>
      </c>
      <c r="E486" t="s">
        <v>103</v>
      </c>
      <c r="F486" t="s">
        <v>100</v>
      </c>
      <c r="G486" t="s">
        <v>192</v>
      </c>
      <c r="H486">
        <v>1</v>
      </c>
      <c r="I486">
        <v>400</v>
      </c>
      <c r="J486">
        <v>0</v>
      </c>
      <c r="K486">
        <v>0</v>
      </c>
      <c r="L486">
        <v>400</v>
      </c>
      <c r="M486" t="s">
        <v>193</v>
      </c>
      <c r="N486">
        <v>400</v>
      </c>
      <c r="O486">
        <v>3450</v>
      </c>
      <c r="P486">
        <v>150</v>
      </c>
      <c r="Q486">
        <v>400</v>
      </c>
    </row>
    <row r="487" spans="1:17">
      <c r="A487" s="155">
        <v>44926</v>
      </c>
      <c r="B487" t="s">
        <v>363</v>
      </c>
      <c r="C487" t="s">
        <v>8</v>
      </c>
      <c r="D487">
        <v>2022</v>
      </c>
      <c r="E487" t="s">
        <v>103</v>
      </c>
      <c r="F487" t="s">
        <v>100</v>
      </c>
      <c r="G487" t="s">
        <v>192</v>
      </c>
      <c r="H487">
        <v>4</v>
      </c>
      <c r="I487">
        <v>10300</v>
      </c>
      <c r="J487">
        <v>0</v>
      </c>
      <c r="K487">
        <v>0</v>
      </c>
      <c r="L487">
        <v>1000</v>
      </c>
      <c r="M487" t="s">
        <v>193</v>
      </c>
      <c r="N487">
        <v>400</v>
      </c>
      <c r="O487">
        <v>3450</v>
      </c>
      <c r="P487">
        <v>150</v>
      </c>
      <c r="Q487">
        <v>400</v>
      </c>
    </row>
    <row r="488" spans="1:17">
      <c r="A488" s="155">
        <v>44926</v>
      </c>
      <c r="B488" t="s">
        <v>364</v>
      </c>
      <c r="C488" t="s">
        <v>8</v>
      </c>
      <c r="D488">
        <v>2022</v>
      </c>
      <c r="E488" t="s">
        <v>103</v>
      </c>
      <c r="F488" t="s">
        <v>100</v>
      </c>
      <c r="G488" t="s">
        <v>192</v>
      </c>
      <c r="H488">
        <v>5</v>
      </c>
      <c r="I488">
        <v>5600</v>
      </c>
      <c r="J488">
        <v>0</v>
      </c>
      <c r="K488">
        <v>0</v>
      </c>
      <c r="L488">
        <v>900</v>
      </c>
      <c r="M488" t="s">
        <v>193</v>
      </c>
      <c r="N488">
        <v>400</v>
      </c>
      <c r="O488">
        <v>3450</v>
      </c>
      <c r="P488">
        <v>150</v>
      </c>
      <c r="Q488">
        <v>400</v>
      </c>
    </row>
    <row r="489" spans="1:17">
      <c r="A489" s="155">
        <v>44926</v>
      </c>
      <c r="B489" t="s">
        <v>358</v>
      </c>
      <c r="C489" t="s">
        <v>8</v>
      </c>
      <c r="D489">
        <v>2022</v>
      </c>
      <c r="E489" t="s">
        <v>103</v>
      </c>
      <c r="F489" t="s">
        <v>100</v>
      </c>
      <c r="G489" t="s">
        <v>192</v>
      </c>
      <c r="H489">
        <v>1</v>
      </c>
      <c r="I489">
        <v>400</v>
      </c>
      <c r="J489">
        <v>0</v>
      </c>
      <c r="K489">
        <v>0</v>
      </c>
      <c r="L489">
        <v>400</v>
      </c>
      <c r="M489" t="s">
        <v>193</v>
      </c>
      <c r="N489">
        <v>400</v>
      </c>
      <c r="O489">
        <v>3450</v>
      </c>
      <c r="P489">
        <v>150</v>
      </c>
      <c r="Q489">
        <v>400</v>
      </c>
    </row>
    <row r="490" spans="1:17">
      <c r="A490" s="155">
        <v>44926</v>
      </c>
      <c r="B490" t="s">
        <v>346</v>
      </c>
      <c r="C490" t="s">
        <v>8</v>
      </c>
      <c r="D490">
        <v>2022</v>
      </c>
      <c r="E490" t="s">
        <v>104</v>
      </c>
      <c r="F490" t="s">
        <v>100</v>
      </c>
      <c r="G490" t="s">
        <v>192</v>
      </c>
      <c r="H490">
        <v>336</v>
      </c>
      <c r="I490">
        <v>23704</v>
      </c>
      <c r="J490">
        <v>47.38</v>
      </c>
      <c r="K490">
        <v>2144.7799999999988</v>
      </c>
      <c r="L490">
        <v>16875.020000000022</v>
      </c>
      <c r="M490" t="s">
        <v>193</v>
      </c>
      <c r="N490">
        <v>-105</v>
      </c>
      <c r="O490">
        <v>495</v>
      </c>
      <c r="P490">
        <v>-102.84</v>
      </c>
      <c r="Q490">
        <v>400</v>
      </c>
    </row>
    <row r="491" spans="1:17">
      <c r="A491" s="155">
        <v>44926</v>
      </c>
      <c r="B491" t="s">
        <v>347</v>
      </c>
      <c r="C491" t="s">
        <v>8</v>
      </c>
      <c r="D491">
        <v>2022</v>
      </c>
      <c r="E491" t="s">
        <v>104</v>
      </c>
      <c r="F491" t="s">
        <v>100</v>
      </c>
      <c r="G491" t="s">
        <v>192</v>
      </c>
      <c r="H491">
        <v>175</v>
      </c>
      <c r="I491">
        <v>11476.529999999995</v>
      </c>
      <c r="J491">
        <v>236.31</v>
      </c>
      <c r="K491">
        <v>1572.4799999999996</v>
      </c>
      <c r="L491">
        <v>7328.7599999999966</v>
      </c>
      <c r="M491" t="s">
        <v>193</v>
      </c>
      <c r="N491">
        <v>-105</v>
      </c>
      <c r="O491">
        <v>495</v>
      </c>
      <c r="P491">
        <v>-102.84</v>
      </c>
      <c r="Q491">
        <v>400</v>
      </c>
    </row>
    <row r="492" spans="1:17">
      <c r="A492" s="155">
        <v>44926</v>
      </c>
      <c r="B492" t="s">
        <v>359</v>
      </c>
      <c r="C492" t="s">
        <v>8</v>
      </c>
      <c r="D492">
        <v>2022</v>
      </c>
      <c r="E492" t="s">
        <v>104</v>
      </c>
      <c r="F492" t="s">
        <v>100</v>
      </c>
      <c r="G492" t="s">
        <v>192</v>
      </c>
      <c r="H492">
        <v>70</v>
      </c>
      <c r="I492">
        <v>7345.5000000000018</v>
      </c>
      <c r="J492">
        <v>47.38</v>
      </c>
      <c r="K492">
        <v>0</v>
      </c>
      <c r="L492">
        <v>5800.22</v>
      </c>
      <c r="M492" t="s">
        <v>193</v>
      </c>
      <c r="N492">
        <v>-105</v>
      </c>
      <c r="O492">
        <v>495</v>
      </c>
      <c r="P492">
        <v>-102.84</v>
      </c>
      <c r="Q492">
        <v>400</v>
      </c>
    </row>
    <row r="493" spans="1:17">
      <c r="A493" s="155">
        <v>44926</v>
      </c>
      <c r="B493" t="s">
        <v>367</v>
      </c>
      <c r="C493" t="s">
        <v>8</v>
      </c>
      <c r="D493">
        <v>2022</v>
      </c>
      <c r="E493" t="s">
        <v>104</v>
      </c>
      <c r="F493" t="s">
        <v>100</v>
      </c>
      <c r="G493" t="s">
        <v>192</v>
      </c>
      <c r="H493">
        <v>8</v>
      </c>
      <c r="I493">
        <v>1161</v>
      </c>
      <c r="J493">
        <v>0</v>
      </c>
      <c r="K493">
        <v>0</v>
      </c>
      <c r="L493">
        <v>860</v>
      </c>
      <c r="M493" t="s">
        <v>193</v>
      </c>
      <c r="N493">
        <v>-105</v>
      </c>
      <c r="O493">
        <v>495</v>
      </c>
      <c r="P493">
        <v>-102.84</v>
      </c>
      <c r="Q493">
        <v>400</v>
      </c>
    </row>
    <row r="494" spans="1:17">
      <c r="A494" s="155">
        <v>44926</v>
      </c>
      <c r="B494" t="s">
        <v>348</v>
      </c>
      <c r="C494" t="s">
        <v>8</v>
      </c>
      <c r="D494">
        <v>2022</v>
      </c>
      <c r="E494" t="s">
        <v>104</v>
      </c>
      <c r="F494" t="s">
        <v>100</v>
      </c>
      <c r="G494" t="s">
        <v>192</v>
      </c>
      <c r="H494">
        <v>2</v>
      </c>
      <c r="I494">
        <v>325</v>
      </c>
      <c r="J494">
        <v>0</v>
      </c>
      <c r="K494">
        <v>86.360000000000014</v>
      </c>
      <c r="L494">
        <v>181.44</v>
      </c>
      <c r="M494" t="s">
        <v>193</v>
      </c>
      <c r="N494">
        <v>-105</v>
      </c>
      <c r="O494">
        <v>495</v>
      </c>
      <c r="P494">
        <v>-102.84</v>
      </c>
      <c r="Q494">
        <v>400</v>
      </c>
    </row>
    <row r="495" spans="1:17">
      <c r="A495" s="155">
        <v>44926</v>
      </c>
      <c r="B495" t="s">
        <v>349</v>
      </c>
      <c r="C495" t="s">
        <v>8</v>
      </c>
      <c r="D495">
        <v>2022</v>
      </c>
      <c r="E495" t="s">
        <v>104</v>
      </c>
      <c r="F495" t="s">
        <v>100</v>
      </c>
      <c r="G495" t="s">
        <v>192</v>
      </c>
      <c r="H495">
        <v>130</v>
      </c>
      <c r="I495">
        <v>8823.5499999999993</v>
      </c>
      <c r="J495">
        <v>236.9</v>
      </c>
      <c r="K495">
        <v>0</v>
      </c>
      <c r="L495">
        <v>7935.5600000000022</v>
      </c>
      <c r="M495" t="s">
        <v>193</v>
      </c>
      <c r="N495">
        <v>-105</v>
      </c>
      <c r="O495">
        <v>495</v>
      </c>
      <c r="P495">
        <v>-102.84</v>
      </c>
      <c r="Q495">
        <v>400</v>
      </c>
    </row>
    <row r="496" spans="1:17">
      <c r="A496" s="155">
        <v>44926</v>
      </c>
      <c r="B496" t="s">
        <v>350</v>
      </c>
      <c r="C496" t="s">
        <v>8</v>
      </c>
      <c r="D496">
        <v>2022</v>
      </c>
      <c r="E496" t="s">
        <v>104</v>
      </c>
      <c r="F496" t="s">
        <v>100</v>
      </c>
      <c r="G496" t="s">
        <v>192</v>
      </c>
      <c r="H496">
        <v>261</v>
      </c>
      <c r="I496">
        <v>14405.409999999993</v>
      </c>
      <c r="J496">
        <v>23.69</v>
      </c>
      <c r="K496">
        <v>0</v>
      </c>
      <c r="L496">
        <v>13009.479999999998</v>
      </c>
      <c r="M496" t="s">
        <v>193</v>
      </c>
      <c r="N496">
        <v>-105</v>
      </c>
      <c r="O496">
        <v>495</v>
      </c>
      <c r="P496">
        <v>-102.84</v>
      </c>
      <c r="Q496">
        <v>400</v>
      </c>
    </row>
    <row r="497" spans="1:17">
      <c r="A497" s="155">
        <v>44926</v>
      </c>
      <c r="B497" t="s">
        <v>351</v>
      </c>
      <c r="C497" t="s">
        <v>8</v>
      </c>
      <c r="D497">
        <v>2022</v>
      </c>
      <c r="E497" t="s">
        <v>104</v>
      </c>
      <c r="F497" t="s">
        <v>100</v>
      </c>
      <c r="G497" t="s">
        <v>192</v>
      </c>
      <c r="H497">
        <v>66</v>
      </c>
      <c r="I497">
        <v>4387.0600000000013</v>
      </c>
      <c r="J497">
        <v>142.14000000000001</v>
      </c>
      <c r="K497">
        <v>0</v>
      </c>
      <c r="L497">
        <v>3075.5000000000005</v>
      </c>
      <c r="M497" t="s">
        <v>193</v>
      </c>
      <c r="N497">
        <v>-105</v>
      </c>
      <c r="O497">
        <v>495</v>
      </c>
      <c r="P497">
        <v>-102.84</v>
      </c>
      <c r="Q497">
        <v>400</v>
      </c>
    </row>
    <row r="498" spans="1:17">
      <c r="A498" s="155">
        <v>44926</v>
      </c>
      <c r="B498" t="s">
        <v>368</v>
      </c>
      <c r="C498" t="s">
        <v>8</v>
      </c>
      <c r="D498">
        <v>2022</v>
      </c>
      <c r="E498" t="s">
        <v>104</v>
      </c>
      <c r="F498" t="s">
        <v>100</v>
      </c>
      <c r="G498" t="s">
        <v>192</v>
      </c>
      <c r="H498">
        <v>9</v>
      </c>
      <c r="I498">
        <v>302.8</v>
      </c>
      <c r="J498">
        <v>0</v>
      </c>
      <c r="K498">
        <v>0</v>
      </c>
      <c r="L498">
        <v>250</v>
      </c>
      <c r="M498" t="s">
        <v>193</v>
      </c>
      <c r="N498">
        <v>-105</v>
      </c>
      <c r="O498">
        <v>495</v>
      </c>
      <c r="P498">
        <v>-102.84</v>
      </c>
      <c r="Q498">
        <v>400</v>
      </c>
    </row>
    <row r="499" spans="1:17">
      <c r="A499" s="155">
        <v>44926</v>
      </c>
      <c r="B499" t="s">
        <v>369</v>
      </c>
      <c r="C499" t="s">
        <v>8</v>
      </c>
      <c r="D499">
        <v>2022</v>
      </c>
      <c r="E499" t="s">
        <v>104</v>
      </c>
      <c r="F499" t="s">
        <v>100</v>
      </c>
      <c r="G499" t="s">
        <v>192</v>
      </c>
      <c r="H499">
        <v>75</v>
      </c>
      <c r="I499">
        <v>6672.99</v>
      </c>
      <c r="J499">
        <v>71.070000000000007</v>
      </c>
      <c r="K499">
        <v>0</v>
      </c>
      <c r="L499">
        <v>4679.26</v>
      </c>
      <c r="M499" t="s">
        <v>193</v>
      </c>
      <c r="N499">
        <v>-105</v>
      </c>
      <c r="O499">
        <v>495</v>
      </c>
      <c r="P499">
        <v>-102.84</v>
      </c>
      <c r="Q499">
        <v>400</v>
      </c>
    </row>
    <row r="500" spans="1:17">
      <c r="A500" s="155">
        <v>44926</v>
      </c>
      <c r="B500" t="s">
        <v>370</v>
      </c>
      <c r="C500" t="s">
        <v>8</v>
      </c>
      <c r="D500">
        <v>2022</v>
      </c>
      <c r="E500" t="s">
        <v>104</v>
      </c>
      <c r="F500" t="s">
        <v>100</v>
      </c>
      <c r="G500" t="s">
        <v>192</v>
      </c>
      <c r="H500">
        <v>2</v>
      </c>
      <c r="I500">
        <v>83.2</v>
      </c>
      <c r="J500">
        <v>0</v>
      </c>
      <c r="K500">
        <v>0</v>
      </c>
      <c r="L500">
        <v>83.2</v>
      </c>
      <c r="M500" t="s">
        <v>193</v>
      </c>
      <c r="N500">
        <v>-105</v>
      </c>
      <c r="O500">
        <v>495</v>
      </c>
      <c r="P500">
        <v>-102.84</v>
      </c>
      <c r="Q500">
        <v>400</v>
      </c>
    </row>
    <row r="501" spans="1:17">
      <c r="A501" s="155">
        <v>44926</v>
      </c>
      <c r="B501" t="s">
        <v>360</v>
      </c>
      <c r="C501" t="s">
        <v>8</v>
      </c>
      <c r="D501">
        <v>2022</v>
      </c>
      <c r="E501" t="s">
        <v>104</v>
      </c>
      <c r="F501" t="s">
        <v>100</v>
      </c>
      <c r="G501" t="s">
        <v>192</v>
      </c>
      <c r="H501">
        <v>100</v>
      </c>
      <c r="I501">
        <v>7508.4699999999975</v>
      </c>
      <c r="J501">
        <v>47.38</v>
      </c>
      <c r="K501">
        <v>0</v>
      </c>
      <c r="L501">
        <v>5741.9199999999992</v>
      </c>
      <c r="M501" t="s">
        <v>193</v>
      </c>
      <c r="N501">
        <v>-105</v>
      </c>
      <c r="O501">
        <v>495</v>
      </c>
      <c r="P501">
        <v>-102.84</v>
      </c>
      <c r="Q501">
        <v>400</v>
      </c>
    </row>
    <row r="502" spans="1:17">
      <c r="A502" s="155">
        <v>44926</v>
      </c>
      <c r="B502" t="s">
        <v>371</v>
      </c>
      <c r="C502" t="s">
        <v>8</v>
      </c>
      <c r="D502">
        <v>2022</v>
      </c>
      <c r="E502" t="s">
        <v>104</v>
      </c>
      <c r="F502" t="s">
        <v>100</v>
      </c>
      <c r="G502" t="s">
        <v>192</v>
      </c>
      <c r="H502">
        <v>8</v>
      </c>
      <c r="I502">
        <v>258.52</v>
      </c>
      <c r="J502">
        <v>0</v>
      </c>
      <c r="K502">
        <v>0</v>
      </c>
      <c r="L502">
        <v>258.52</v>
      </c>
      <c r="M502" t="s">
        <v>193</v>
      </c>
      <c r="N502">
        <v>-105</v>
      </c>
      <c r="O502">
        <v>495</v>
      </c>
      <c r="P502">
        <v>-102.84</v>
      </c>
      <c r="Q502">
        <v>400</v>
      </c>
    </row>
    <row r="503" spans="1:17">
      <c r="A503" s="155">
        <v>44926</v>
      </c>
      <c r="B503" t="s">
        <v>361</v>
      </c>
      <c r="C503" t="s">
        <v>8</v>
      </c>
      <c r="D503">
        <v>2022</v>
      </c>
      <c r="E503" t="s">
        <v>104</v>
      </c>
      <c r="F503" t="s">
        <v>100</v>
      </c>
      <c r="G503" t="s">
        <v>192</v>
      </c>
      <c r="H503">
        <v>129</v>
      </c>
      <c r="I503">
        <v>11015.780000000002</v>
      </c>
      <c r="J503">
        <v>94.76</v>
      </c>
      <c r="K503">
        <v>0</v>
      </c>
      <c r="L503">
        <v>8882.1099999999988</v>
      </c>
      <c r="M503" t="s">
        <v>193</v>
      </c>
      <c r="N503">
        <v>-105</v>
      </c>
      <c r="O503">
        <v>495</v>
      </c>
      <c r="P503">
        <v>-102.84</v>
      </c>
      <c r="Q503">
        <v>400</v>
      </c>
    </row>
    <row r="504" spans="1:17">
      <c r="A504" s="155">
        <v>44926</v>
      </c>
      <c r="B504" t="s">
        <v>365</v>
      </c>
      <c r="C504" t="s">
        <v>8</v>
      </c>
      <c r="D504">
        <v>2022</v>
      </c>
      <c r="E504" t="s">
        <v>104</v>
      </c>
      <c r="F504" t="s">
        <v>100</v>
      </c>
      <c r="G504" t="s">
        <v>192</v>
      </c>
      <c r="H504">
        <v>4</v>
      </c>
      <c r="I504">
        <v>255</v>
      </c>
      <c r="J504">
        <v>0</v>
      </c>
      <c r="K504">
        <v>0</v>
      </c>
      <c r="L504">
        <v>255</v>
      </c>
      <c r="M504" t="s">
        <v>193</v>
      </c>
      <c r="N504">
        <v>-105</v>
      </c>
      <c r="O504">
        <v>495</v>
      </c>
      <c r="P504">
        <v>-102.84</v>
      </c>
      <c r="Q504">
        <v>400</v>
      </c>
    </row>
    <row r="505" spans="1:17">
      <c r="A505" s="155">
        <v>44926</v>
      </c>
      <c r="B505" t="s">
        <v>176</v>
      </c>
      <c r="C505" t="s">
        <v>8</v>
      </c>
      <c r="D505">
        <v>2022</v>
      </c>
      <c r="E505" t="s">
        <v>104</v>
      </c>
      <c r="F505" t="s">
        <v>100</v>
      </c>
      <c r="G505" t="s">
        <v>192</v>
      </c>
      <c r="H505">
        <v>290</v>
      </c>
      <c r="I505">
        <v>39118.58</v>
      </c>
      <c r="J505">
        <v>47.38</v>
      </c>
      <c r="K505">
        <v>0</v>
      </c>
      <c r="L505">
        <v>36206.700000000004</v>
      </c>
      <c r="M505" t="s">
        <v>193</v>
      </c>
      <c r="N505">
        <v>-105</v>
      </c>
      <c r="O505">
        <v>495</v>
      </c>
      <c r="P505">
        <v>-102.84</v>
      </c>
      <c r="Q505">
        <v>400</v>
      </c>
    </row>
    <row r="506" spans="1:17">
      <c r="A506" s="155">
        <v>44926</v>
      </c>
      <c r="B506" t="s">
        <v>372</v>
      </c>
      <c r="C506" t="s">
        <v>8</v>
      </c>
      <c r="D506">
        <v>2022</v>
      </c>
      <c r="E506" t="s">
        <v>104</v>
      </c>
      <c r="F506" t="s">
        <v>100</v>
      </c>
      <c r="G506" t="s">
        <v>192</v>
      </c>
      <c r="H506">
        <v>2</v>
      </c>
      <c r="I506">
        <v>104</v>
      </c>
      <c r="J506">
        <v>0</v>
      </c>
      <c r="K506">
        <v>0</v>
      </c>
      <c r="L506">
        <v>104</v>
      </c>
      <c r="M506" t="s">
        <v>193</v>
      </c>
      <c r="N506">
        <v>-105</v>
      </c>
      <c r="O506">
        <v>495</v>
      </c>
      <c r="P506">
        <v>-102.84</v>
      </c>
      <c r="Q506">
        <v>400</v>
      </c>
    </row>
    <row r="507" spans="1:17">
      <c r="A507" s="155">
        <v>44926</v>
      </c>
      <c r="B507" t="s">
        <v>352</v>
      </c>
      <c r="C507" t="s">
        <v>8</v>
      </c>
      <c r="D507">
        <v>2022</v>
      </c>
      <c r="E507" t="s">
        <v>104</v>
      </c>
      <c r="F507" t="s">
        <v>100</v>
      </c>
      <c r="G507" t="s">
        <v>192</v>
      </c>
      <c r="H507">
        <v>336</v>
      </c>
      <c r="I507">
        <v>23704.000000000007</v>
      </c>
      <c r="J507">
        <v>47.38</v>
      </c>
      <c r="K507">
        <v>2144.7799999999984</v>
      </c>
      <c r="L507">
        <v>16875.020000000015</v>
      </c>
      <c r="M507" t="s">
        <v>193</v>
      </c>
      <c r="N507">
        <v>-105</v>
      </c>
      <c r="O507">
        <v>495</v>
      </c>
      <c r="P507">
        <v>-102.84</v>
      </c>
      <c r="Q507">
        <v>400</v>
      </c>
    </row>
    <row r="508" spans="1:17">
      <c r="A508" s="155">
        <v>44926</v>
      </c>
      <c r="B508" t="s">
        <v>353</v>
      </c>
      <c r="C508" t="s">
        <v>8</v>
      </c>
      <c r="D508">
        <v>2022</v>
      </c>
      <c r="E508" t="s">
        <v>104</v>
      </c>
      <c r="F508" t="s">
        <v>100</v>
      </c>
      <c r="G508" t="s">
        <v>192</v>
      </c>
      <c r="H508">
        <v>175</v>
      </c>
      <c r="I508">
        <v>11476.529999999997</v>
      </c>
      <c r="J508">
        <v>236.31</v>
      </c>
      <c r="K508">
        <v>1572.4799999999993</v>
      </c>
      <c r="L508">
        <v>7328.7599999999993</v>
      </c>
      <c r="M508" t="s">
        <v>193</v>
      </c>
      <c r="N508">
        <v>-105</v>
      </c>
      <c r="O508">
        <v>495</v>
      </c>
      <c r="P508">
        <v>-102.84</v>
      </c>
      <c r="Q508">
        <v>400</v>
      </c>
    </row>
    <row r="509" spans="1:17">
      <c r="A509" s="155">
        <v>44926</v>
      </c>
      <c r="B509" t="s">
        <v>374</v>
      </c>
      <c r="C509" t="s">
        <v>8</v>
      </c>
      <c r="D509">
        <v>2022</v>
      </c>
      <c r="E509" t="s">
        <v>104</v>
      </c>
      <c r="F509" t="s">
        <v>100</v>
      </c>
      <c r="G509" t="s">
        <v>192</v>
      </c>
      <c r="H509">
        <v>8</v>
      </c>
      <c r="I509">
        <v>1161</v>
      </c>
      <c r="J509">
        <v>0</v>
      </c>
      <c r="K509">
        <v>0</v>
      </c>
      <c r="L509">
        <v>860</v>
      </c>
      <c r="M509" t="s">
        <v>193</v>
      </c>
      <c r="N509">
        <v>-105</v>
      </c>
      <c r="O509">
        <v>495</v>
      </c>
      <c r="P509">
        <v>-102.84</v>
      </c>
      <c r="Q509">
        <v>400</v>
      </c>
    </row>
    <row r="510" spans="1:17">
      <c r="A510" s="155">
        <v>44926</v>
      </c>
      <c r="B510" t="s">
        <v>362</v>
      </c>
      <c r="C510" t="s">
        <v>8</v>
      </c>
      <c r="D510">
        <v>2022</v>
      </c>
      <c r="E510" t="s">
        <v>104</v>
      </c>
      <c r="F510" t="s">
        <v>100</v>
      </c>
      <c r="G510" t="s">
        <v>192</v>
      </c>
      <c r="H510">
        <v>70</v>
      </c>
      <c r="I510">
        <v>7345.4999999999991</v>
      </c>
      <c r="J510">
        <v>47.38</v>
      </c>
      <c r="K510">
        <v>0</v>
      </c>
      <c r="L510">
        <v>5800.2199999999993</v>
      </c>
      <c r="M510" t="s">
        <v>193</v>
      </c>
      <c r="N510">
        <v>-105</v>
      </c>
      <c r="O510">
        <v>495</v>
      </c>
      <c r="P510">
        <v>-102.84</v>
      </c>
      <c r="Q510">
        <v>400</v>
      </c>
    </row>
    <row r="511" spans="1:17">
      <c r="A511" s="155">
        <v>44926</v>
      </c>
      <c r="B511" t="s">
        <v>354</v>
      </c>
      <c r="C511" t="s">
        <v>8</v>
      </c>
      <c r="D511">
        <v>2022</v>
      </c>
      <c r="E511" t="s">
        <v>104</v>
      </c>
      <c r="F511" t="s">
        <v>100</v>
      </c>
      <c r="G511" t="s">
        <v>192</v>
      </c>
      <c r="H511">
        <v>2</v>
      </c>
      <c r="I511">
        <v>325</v>
      </c>
      <c r="J511">
        <v>0</v>
      </c>
      <c r="K511">
        <v>86.360000000000014</v>
      </c>
      <c r="L511">
        <v>181.44</v>
      </c>
      <c r="M511" t="s">
        <v>193</v>
      </c>
      <c r="N511">
        <v>-105</v>
      </c>
      <c r="O511">
        <v>495</v>
      </c>
      <c r="P511">
        <v>-102.84</v>
      </c>
      <c r="Q511">
        <v>400</v>
      </c>
    </row>
    <row r="512" spans="1:17">
      <c r="A512" s="155">
        <v>44926</v>
      </c>
      <c r="B512" t="s">
        <v>355</v>
      </c>
      <c r="C512" t="s">
        <v>8</v>
      </c>
      <c r="D512">
        <v>2022</v>
      </c>
      <c r="E512" t="s">
        <v>104</v>
      </c>
      <c r="F512" t="s">
        <v>100</v>
      </c>
      <c r="G512" t="s">
        <v>192</v>
      </c>
      <c r="H512">
        <v>130</v>
      </c>
      <c r="I512">
        <v>8823.5499999999993</v>
      </c>
      <c r="J512">
        <v>236.9</v>
      </c>
      <c r="K512">
        <v>0</v>
      </c>
      <c r="L512">
        <v>7935.5600000000031</v>
      </c>
      <c r="M512" t="s">
        <v>193</v>
      </c>
      <c r="N512">
        <v>-105</v>
      </c>
      <c r="O512">
        <v>495</v>
      </c>
      <c r="P512">
        <v>-102.84</v>
      </c>
      <c r="Q512">
        <v>400</v>
      </c>
    </row>
    <row r="513" spans="1:17">
      <c r="A513" s="155">
        <v>44926</v>
      </c>
      <c r="B513" t="s">
        <v>356</v>
      </c>
      <c r="C513" t="s">
        <v>8</v>
      </c>
      <c r="D513">
        <v>2022</v>
      </c>
      <c r="E513" t="s">
        <v>104</v>
      </c>
      <c r="F513" t="s">
        <v>100</v>
      </c>
      <c r="G513" t="s">
        <v>192</v>
      </c>
      <c r="H513">
        <v>261</v>
      </c>
      <c r="I513">
        <v>14405.409999999989</v>
      </c>
      <c r="J513">
        <v>23.69</v>
      </c>
      <c r="K513">
        <v>0</v>
      </c>
      <c r="L513">
        <v>13009.479999999998</v>
      </c>
      <c r="M513" t="s">
        <v>193</v>
      </c>
      <c r="N513">
        <v>-105</v>
      </c>
      <c r="O513">
        <v>495</v>
      </c>
      <c r="P513">
        <v>-102.84</v>
      </c>
      <c r="Q513">
        <v>400</v>
      </c>
    </row>
    <row r="514" spans="1:17">
      <c r="A514" s="155">
        <v>44926</v>
      </c>
      <c r="B514" t="s">
        <v>375</v>
      </c>
      <c r="C514" t="s">
        <v>8</v>
      </c>
      <c r="D514">
        <v>2022</v>
      </c>
      <c r="E514" t="s">
        <v>104</v>
      </c>
      <c r="F514" t="s">
        <v>100</v>
      </c>
      <c r="G514" t="s">
        <v>192</v>
      </c>
      <c r="H514">
        <v>9</v>
      </c>
      <c r="I514">
        <v>302.8</v>
      </c>
      <c r="J514">
        <v>0</v>
      </c>
      <c r="K514">
        <v>0</v>
      </c>
      <c r="L514">
        <v>250</v>
      </c>
      <c r="M514" t="s">
        <v>193</v>
      </c>
      <c r="N514">
        <v>-105</v>
      </c>
      <c r="O514">
        <v>495</v>
      </c>
      <c r="P514">
        <v>-102.84</v>
      </c>
      <c r="Q514">
        <v>400</v>
      </c>
    </row>
    <row r="515" spans="1:17">
      <c r="A515" s="155">
        <v>44926</v>
      </c>
      <c r="B515" t="s">
        <v>357</v>
      </c>
      <c r="C515" t="s">
        <v>8</v>
      </c>
      <c r="D515">
        <v>2022</v>
      </c>
      <c r="E515" t="s">
        <v>104</v>
      </c>
      <c r="F515" t="s">
        <v>100</v>
      </c>
      <c r="G515" t="s">
        <v>192</v>
      </c>
      <c r="H515">
        <v>66</v>
      </c>
      <c r="I515">
        <v>4387.0600000000004</v>
      </c>
      <c r="J515">
        <v>142.14000000000001</v>
      </c>
      <c r="K515">
        <v>0</v>
      </c>
      <c r="L515">
        <v>3075.5000000000005</v>
      </c>
      <c r="M515" t="s">
        <v>193</v>
      </c>
      <c r="N515">
        <v>-105</v>
      </c>
      <c r="O515">
        <v>495</v>
      </c>
      <c r="P515">
        <v>-102.84</v>
      </c>
      <c r="Q515">
        <v>400</v>
      </c>
    </row>
    <row r="516" spans="1:17">
      <c r="A516" s="155">
        <v>44926</v>
      </c>
      <c r="B516" t="s">
        <v>376</v>
      </c>
      <c r="C516" t="s">
        <v>8</v>
      </c>
      <c r="D516">
        <v>2022</v>
      </c>
      <c r="E516" t="s">
        <v>104</v>
      </c>
      <c r="F516" t="s">
        <v>100</v>
      </c>
      <c r="G516" t="s">
        <v>192</v>
      </c>
      <c r="H516">
        <v>2</v>
      </c>
      <c r="I516">
        <v>83.2</v>
      </c>
      <c r="J516">
        <v>0</v>
      </c>
      <c r="K516">
        <v>0</v>
      </c>
      <c r="L516">
        <v>83.2</v>
      </c>
      <c r="M516" t="s">
        <v>193</v>
      </c>
      <c r="N516">
        <v>-105</v>
      </c>
      <c r="O516">
        <v>495</v>
      </c>
      <c r="P516">
        <v>-102.84</v>
      </c>
      <c r="Q516">
        <v>400</v>
      </c>
    </row>
    <row r="517" spans="1:17">
      <c r="A517" s="155">
        <v>44926</v>
      </c>
      <c r="B517" t="s">
        <v>377</v>
      </c>
      <c r="C517" t="s">
        <v>8</v>
      </c>
      <c r="D517">
        <v>2022</v>
      </c>
      <c r="E517" t="s">
        <v>104</v>
      </c>
      <c r="F517" t="s">
        <v>100</v>
      </c>
      <c r="G517" t="s">
        <v>192</v>
      </c>
      <c r="H517">
        <v>75</v>
      </c>
      <c r="I517">
        <v>6672.99</v>
      </c>
      <c r="J517">
        <v>71.070000000000007</v>
      </c>
      <c r="K517">
        <v>0</v>
      </c>
      <c r="L517">
        <v>4679.26</v>
      </c>
      <c r="M517" t="s">
        <v>193</v>
      </c>
      <c r="N517">
        <v>-105</v>
      </c>
      <c r="O517">
        <v>495</v>
      </c>
      <c r="P517">
        <v>-102.84</v>
      </c>
      <c r="Q517">
        <v>400</v>
      </c>
    </row>
    <row r="518" spans="1:17">
      <c r="A518" s="155">
        <v>44926</v>
      </c>
      <c r="B518" t="s">
        <v>378</v>
      </c>
      <c r="C518" t="s">
        <v>8</v>
      </c>
      <c r="D518">
        <v>2022</v>
      </c>
      <c r="E518" t="s">
        <v>104</v>
      </c>
      <c r="F518" t="s">
        <v>100</v>
      </c>
      <c r="G518" t="s">
        <v>192</v>
      </c>
      <c r="H518">
        <v>8</v>
      </c>
      <c r="I518">
        <v>258.52</v>
      </c>
      <c r="J518">
        <v>0</v>
      </c>
      <c r="K518">
        <v>0</v>
      </c>
      <c r="L518">
        <v>258.52</v>
      </c>
      <c r="M518" t="s">
        <v>193</v>
      </c>
      <c r="N518">
        <v>-105</v>
      </c>
      <c r="O518">
        <v>495</v>
      </c>
      <c r="P518">
        <v>-102.84</v>
      </c>
      <c r="Q518">
        <v>400</v>
      </c>
    </row>
    <row r="519" spans="1:17">
      <c r="A519" s="155">
        <v>44926</v>
      </c>
      <c r="B519" t="s">
        <v>363</v>
      </c>
      <c r="C519" t="s">
        <v>8</v>
      </c>
      <c r="D519">
        <v>2022</v>
      </c>
      <c r="E519" t="s">
        <v>104</v>
      </c>
      <c r="F519" t="s">
        <v>100</v>
      </c>
      <c r="G519" t="s">
        <v>192</v>
      </c>
      <c r="H519">
        <v>100</v>
      </c>
      <c r="I519">
        <v>7508.4699999999966</v>
      </c>
      <c r="J519">
        <v>47.38</v>
      </c>
      <c r="K519">
        <v>0</v>
      </c>
      <c r="L519">
        <v>5741.92</v>
      </c>
      <c r="M519" t="s">
        <v>193</v>
      </c>
      <c r="N519">
        <v>-105</v>
      </c>
      <c r="O519">
        <v>495</v>
      </c>
      <c r="P519">
        <v>-102.84</v>
      </c>
      <c r="Q519">
        <v>400</v>
      </c>
    </row>
    <row r="520" spans="1:17">
      <c r="A520" s="155">
        <v>44926</v>
      </c>
      <c r="B520" t="s">
        <v>366</v>
      </c>
      <c r="C520" t="s">
        <v>8</v>
      </c>
      <c r="D520">
        <v>2022</v>
      </c>
      <c r="E520" t="s">
        <v>104</v>
      </c>
      <c r="F520" t="s">
        <v>100</v>
      </c>
      <c r="G520" t="s">
        <v>192</v>
      </c>
      <c r="H520">
        <v>4</v>
      </c>
      <c r="I520">
        <v>255</v>
      </c>
      <c r="J520">
        <v>0</v>
      </c>
      <c r="K520">
        <v>0</v>
      </c>
      <c r="L520">
        <v>255</v>
      </c>
      <c r="M520" t="s">
        <v>193</v>
      </c>
      <c r="N520">
        <v>-105</v>
      </c>
      <c r="O520">
        <v>495</v>
      </c>
      <c r="P520">
        <v>-102.84</v>
      </c>
      <c r="Q520">
        <v>400</v>
      </c>
    </row>
    <row r="521" spans="1:17">
      <c r="A521" s="155">
        <v>44926</v>
      </c>
      <c r="B521" t="s">
        <v>364</v>
      </c>
      <c r="C521" t="s">
        <v>8</v>
      </c>
      <c r="D521">
        <v>2022</v>
      </c>
      <c r="E521" t="s">
        <v>104</v>
      </c>
      <c r="F521" t="s">
        <v>100</v>
      </c>
      <c r="G521" t="s">
        <v>192</v>
      </c>
      <c r="H521">
        <v>129</v>
      </c>
      <c r="I521">
        <v>11015.78</v>
      </c>
      <c r="J521">
        <v>94.76</v>
      </c>
      <c r="K521">
        <v>0</v>
      </c>
      <c r="L521">
        <v>8882.11</v>
      </c>
      <c r="M521" t="s">
        <v>193</v>
      </c>
      <c r="N521">
        <v>-105</v>
      </c>
      <c r="O521">
        <v>495</v>
      </c>
      <c r="P521">
        <v>-102.84</v>
      </c>
      <c r="Q521">
        <v>400</v>
      </c>
    </row>
    <row r="522" spans="1:17">
      <c r="A522" s="155">
        <v>44926</v>
      </c>
      <c r="B522" t="s">
        <v>379</v>
      </c>
      <c r="C522" t="s">
        <v>8</v>
      </c>
      <c r="D522">
        <v>2022</v>
      </c>
      <c r="E522" t="s">
        <v>104</v>
      </c>
      <c r="F522" t="s">
        <v>100</v>
      </c>
      <c r="G522" t="s">
        <v>192</v>
      </c>
      <c r="H522">
        <v>2</v>
      </c>
      <c r="I522">
        <v>104</v>
      </c>
      <c r="J522">
        <v>0</v>
      </c>
      <c r="K522">
        <v>0</v>
      </c>
      <c r="L522">
        <v>104</v>
      </c>
      <c r="M522" t="s">
        <v>193</v>
      </c>
      <c r="N522">
        <v>-105</v>
      </c>
      <c r="O522">
        <v>495</v>
      </c>
      <c r="P522">
        <v>-102.84</v>
      </c>
      <c r="Q522">
        <v>400</v>
      </c>
    </row>
    <row r="523" spans="1:17">
      <c r="A523" s="155">
        <v>44926</v>
      </c>
      <c r="B523" t="s">
        <v>358</v>
      </c>
      <c r="C523" t="s">
        <v>8</v>
      </c>
      <c r="D523">
        <v>2022</v>
      </c>
      <c r="E523" t="s">
        <v>104</v>
      </c>
      <c r="F523" t="s">
        <v>100</v>
      </c>
      <c r="G523" t="s">
        <v>192</v>
      </c>
      <c r="H523">
        <v>290</v>
      </c>
      <c r="I523">
        <v>39118.580000000009</v>
      </c>
      <c r="J523">
        <v>47.38</v>
      </c>
      <c r="K523">
        <v>0</v>
      </c>
      <c r="L523">
        <v>36206.69999999999</v>
      </c>
      <c r="M523" t="s">
        <v>193</v>
      </c>
      <c r="N523">
        <v>-105</v>
      </c>
      <c r="O523">
        <v>495</v>
      </c>
      <c r="P523">
        <v>-102.84</v>
      </c>
      <c r="Q523">
        <v>400</v>
      </c>
    </row>
    <row r="524" spans="1:17">
      <c r="A524" s="155">
        <v>44926</v>
      </c>
      <c r="B524" t="s">
        <v>176</v>
      </c>
      <c r="C524" t="s">
        <v>8</v>
      </c>
      <c r="D524">
        <v>2022</v>
      </c>
      <c r="E524" t="s">
        <v>105</v>
      </c>
      <c r="F524" t="s">
        <v>100</v>
      </c>
      <c r="G524" t="s">
        <v>192</v>
      </c>
      <c r="H524">
        <v>4</v>
      </c>
      <c r="I524">
        <v>1710</v>
      </c>
      <c r="J524">
        <v>0.12</v>
      </c>
      <c r="K524">
        <v>0</v>
      </c>
      <c r="L524">
        <v>849.91000000000008</v>
      </c>
      <c r="M524" t="s">
        <v>193</v>
      </c>
      <c r="N524">
        <v>375</v>
      </c>
      <c r="O524">
        <v>480</v>
      </c>
      <c r="P524">
        <v>99.97</v>
      </c>
      <c r="Q524">
        <v>479.97</v>
      </c>
    </row>
    <row r="525" spans="1:17">
      <c r="A525" s="155">
        <v>44926</v>
      </c>
      <c r="B525" t="s">
        <v>358</v>
      </c>
      <c r="C525" t="s">
        <v>8</v>
      </c>
      <c r="D525">
        <v>2022</v>
      </c>
      <c r="E525" t="s">
        <v>105</v>
      </c>
      <c r="F525" t="s">
        <v>100</v>
      </c>
      <c r="G525" t="s">
        <v>192</v>
      </c>
      <c r="H525">
        <v>4</v>
      </c>
      <c r="I525">
        <v>1710</v>
      </c>
      <c r="J525">
        <v>0.12</v>
      </c>
      <c r="K525">
        <v>0</v>
      </c>
      <c r="L525">
        <v>849.91000000000008</v>
      </c>
      <c r="M525" t="s">
        <v>193</v>
      </c>
      <c r="N525">
        <v>375</v>
      </c>
      <c r="O525">
        <v>480</v>
      </c>
      <c r="P525">
        <v>99.97</v>
      </c>
      <c r="Q525">
        <v>479.97</v>
      </c>
    </row>
    <row r="526" spans="1:17">
      <c r="A526" s="155">
        <v>44926</v>
      </c>
      <c r="B526" t="s">
        <v>359</v>
      </c>
      <c r="C526" t="s">
        <v>8</v>
      </c>
      <c r="D526">
        <v>2022</v>
      </c>
      <c r="E526" t="s">
        <v>106</v>
      </c>
      <c r="F526" t="s">
        <v>100</v>
      </c>
      <c r="G526" t="s">
        <v>192</v>
      </c>
      <c r="H526">
        <v>2</v>
      </c>
      <c r="I526">
        <v>360</v>
      </c>
      <c r="J526">
        <v>0.06</v>
      </c>
      <c r="K526">
        <v>0</v>
      </c>
      <c r="L526">
        <v>349.94</v>
      </c>
      <c r="M526" t="s">
        <v>193</v>
      </c>
      <c r="N526">
        <v>67.150000000000006</v>
      </c>
      <c r="O526">
        <v>204</v>
      </c>
      <c r="P526">
        <v>3.97</v>
      </c>
      <c r="Q526">
        <v>203.97</v>
      </c>
    </row>
    <row r="527" spans="1:17">
      <c r="A527" s="155">
        <v>44926</v>
      </c>
      <c r="B527" t="s">
        <v>351</v>
      </c>
      <c r="C527" t="s">
        <v>8</v>
      </c>
      <c r="D527">
        <v>2022</v>
      </c>
      <c r="E527" t="s">
        <v>106</v>
      </c>
      <c r="F527" t="s">
        <v>100</v>
      </c>
      <c r="G527" t="s">
        <v>192</v>
      </c>
      <c r="H527">
        <v>5</v>
      </c>
      <c r="I527">
        <v>780.5</v>
      </c>
      <c r="J527">
        <v>0.15</v>
      </c>
      <c r="K527">
        <v>0</v>
      </c>
      <c r="L527">
        <v>499.90999999999997</v>
      </c>
      <c r="M527" t="s">
        <v>193</v>
      </c>
      <c r="N527">
        <v>67.150000000000006</v>
      </c>
      <c r="O527">
        <v>204</v>
      </c>
      <c r="P527">
        <v>3.97</v>
      </c>
      <c r="Q527">
        <v>203.97</v>
      </c>
    </row>
    <row r="528" spans="1:17">
      <c r="A528" s="155">
        <v>44926</v>
      </c>
      <c r="B528" t="s">
        <v>369</v>
      </c>
      <c r="C528" t="s">
        <v>8</v>
      </c>
      <c r="D528">
        <v>2022</v>
      </c>
      <c r="E528" t="s">
        <v>106</v>
      </c>
      <c r="F528" t="s">
        <v>100</v>
      </c>
      <c r="G528" t="s">
        <v>192</v>
      </c>
      <c r="H528">
        <v>7</v>
      </c>
      <c r="I528">
        <v>961</v>
      </c>
      <c r="J528">
        <v>0.21</v>
      </c>
      <c r="K528">
        <v>0</v>
      </c>
      <c r="L528">
        <v>635.82000000000005</v>
      </c>
      <c r="M528" t="s">
        <v>193</v>
      </c>
      <c r="N528">
        <v>67.150000000000006</v>
      </c>
      <c r="O528">
        <v>204</v>
      </c>
      <c r="P528">
        <v>3.97</v>
      </c>
      <c r="Q528">
        <v>203.97</v>
      </c>
    </row>
    <row r="529" spans="1:17">
      <c r="A529" s="155">
        <v>44926</v>
      </c>
      <c r="B529" t="s">
        <v>360</v>
      </c>
      <c r="C529" t="s">
        <v>8</v>
      </c>
      <c r="D529">
        <v>2022</v>
      </c>
      <c r="E529" t="s">
        <v>106</v>
      </c>
      <c r="F529" t="s">
        <v>100</v>
      </c>
      <c r="G529" t="s">
        <v>192</v>
      </c>
      <c r="H529">
        <v>7</v>
      </c>
      <c r="I529">
        <v>968.15</v>
      </c>
      <c r="J529">
        <v>0.21</v>
      </c>
      <c r="K529">
        <v>0</v>
      </c>
      <c r="L529">
        <v>739.82</v>
      </c>
      <c r="M529" t="s">
        <v>193</v>
      </c>
      <c r="N529">
        <v>67.150000000000006</v>
      </c>
      <c r="O529">
        <v>204</v>
      </c>
      <c r="P529">
        <v>3.97</v>
      </c>
      <c r="Q529">
        <v>203.97</v>
      </c>
    </row>
    <row r="530" spans="1:17">
      <c r="A530" s="155">
        <v>44926</v>
      </c>
      <c r="B530" t="s">
        <v>361</v>
      </c>
      <c r="C530" t="s">
        <v>8</v>
      </c>
      <c r="D530">
        <v>2022</v>
      </c>
      <c r="E530" t="s">
        <v>106</v>
      </c>
      <c r="F530" t="s">
        <v>100</v>
      </c>
      <c r="G530" t="s">
        <v>192</v>
      </c>
      <c r="H530">
        <v>17</v>
      </c>
      <c r="I530">
        <v>2216.5</v>
      </c>
      <c r="J530">
        <v>0.51000000000000023</v>
      </c>
      <c r="K530">
        <v>0</v>
      </c>
      <c r="L530">
        <v>2159.4899999999998</v>
      </c>
      <c r="M530" t="s">
        <v>193</v>
      </c>
      <c r="N530">
        <v>67.150000000000006</v>
      </c>
      <c r="O530">
        <v>204</v>
      </c>
      <c r="P530">
        <v>3.97</v>
      </c>
      <c r="Q530">
        <v>203.97</v>
      </c>
    </row>
    <row r="531" spans="1:17">
      <c r="A531" s="155">
        <v>44926</v>
      </c>
      <c r="B531" t="s">
        <v>176</v>
      </c>
      <c r="C531" t="s">
        <v>8</v>
      </c>
      <c r="D531">
        <v>2022</v>
      </c>
      <c r="E531" t="s">
        <v>106</v>
      </c>
      <c r="F531" t="s">
        <v>100</v>
      </c>
      <c r="G531" t="s">
        <v>192</v>
      </c>
      <c r="H531">
        <v>21</v>
      </c>
      <c r="I531">
        <v>2895.95</v>
      </c>
      <c r="J531">
        <v>0.63000000000000034</v>
      </c>
      <c r="K531">
        <v>0</v>
      </c>
      <c r="L531">
        <v>2516.5699999999993</v>
      </c>
      <c r="M531" t="s">
        <v>193</v>
      </c>
      <c r="N531">
        <v>67.150000000000006</v>
      </c>
      <c r="O531">
        <v>204</v>
      </c>
      <c r="P531">
        <v>3.97</v>
      </c>
      <c r="Q531">
        <v>203.97</v>
      </c>
    </row>
    <row r="532" spans="1:17">
      <c r="A532" s="155">
        <v>44926</v>
      </c>
      <c r="B532" t="s">
        <v>372</v>
      </c>
      <c r="C532" t="s">
        <v>8</v>
      </c>
      <c r="D532">
        <v>2022</v>
      </c>
      <c r="E532" t="s">
        <v>106</v>
      </c>
      <c r="F532" t="s">
        <v>100</v>
      </c>
      <c r="G532" t="s">
        <v>192</v>
      </c>
      <c r="H532">
        <v>3</v>
      </c>
      <c r="I532">
        <v>321.5</v>
      </c>
      <c r="J532">
        <v>0.09</v>
      </c>
      <c r="K532">
        <v>0</v>
      </c>
      <c r="L532">
        <v>321.40999999999997</v>
      </c>
      <c r="M532" t="s">
        <v>193</v>
      </c>
      <c r="N532">
        <v>67.150000000000006</v>
      </c>
      <c r="O532">
        <v>204</v>
      </c>
      <c r="P532">
        <v>3.97</v>
      </c>
      <c r="Q532">
        <v>203.97</v>
      </c>
    </row>
    <row r="533" spans="1:17">
      <c r="A533" s="155">
        <v>44926</v>
      </c>
      <c r="B533" t="s">
        <v>362</v>
      </c>
      <c r="C533" t="s">
        <v>8</v>
      </c>
      <c r="D533">
        <v>2022</v>
      </c>
      <c r="E533" t="s">
        <v>106</v>
      </c>
      <c r="F533" t="s">
        <v>100</v>
      </c>
      <c r="G533" t="s">
        <v>192</v>
      </c>
      <c r="H533">
        <v>2</v>
      </c>
      <c r="I533">
        <v>360</v>
      </c>
      <c r="J533">
        <v>0.06</v>
      </c>
      <c r="K533">
        <v>0</v>
      </c>
      <c r="L533">
        <v>349.94</v>
      </c>
      <c r="M533" t="s">
        <v>193</v>
      </c>
      <c r="N533">
        <v>67.150000000000006</v>
      </c>
      <c r="O533">
        <v>204</v>
      </c>
      <c r="P533">
        <v>3.97</v>
      </c>
      <c r="Q533">
        <v>203.97</v>
      </c>
    </row>
    <row r="534" spans="1:17">
      <c r="A534" s="155">
        <v>44926</v>
      </c>
      <c r="B534" t="s">
        <v>357</v>
      </c>
      <c r="C534" t="s">
        <v>8</v>
      </c>
      <c r="D534">
        <v>2022</v>
      </c>
      <c r="E534" t="s">
        <v>106</v>
      </c>
      <c r="F534" t="s">
        <v>100</v>
      </c>
      <c r="G534" t="s">
        <v>192</v>
      </c>
      <c r="H534">
        <v>5</v>
      </c>
      <c r="I534">
        <v>780.5</v>
      </c>
      <c r="J534">
        <v>0.15</v>
      </c>
      <c r="K534">
        <v>0</v>
      </c>
      <c r="L534">
        <v>499.90999999999997</v>
      </c>
      <c r="M534" t="s">
        <v>193</v>
      </c>
      <c r="N534">
        <v>67.150000000000006</v>
      </c>
      <c r="O534">
        <v>204</v>
      </c>
      <c r="P534">
        <v>3.97</v>
      </c>
      <c r="Q534">
        <v>203.97</v>
      </c>
    </row>
    <row r="535" spans="1:17">
      <c r="A535" s="155">
        <v>44926</v>
      </c>
      <c r="B535" t="s">
        <v>377</v>
      </c>
      <c r="C535" t="s">
        <v>8</v>
      </c>
      <c r="D535">
        <v>2022</v>
      </c>
      <c r="E535" t="s">
        <v>106</v>
      </c>
      <c r="F535" t="s">
        <v>100</v>
      </c>
      <c r="G535" t="s">
        <v>192</v>
      </c>
      <c r="H535">
        <v>7</v>
      </c>
      <c r="I535">
        <v>961</v>
      </c>
      <c r="J535">
        <v>0.21</v>
      </c>
      <c r="K535">
        <v>0</v>
      </c>
      <c r="L535">
        <v>635.82000000000005</v>
      </c>
      <c r="M535" t="s">
        <v>193</v>
      </c>
      <c r="N535">
        <v>67.150000000000006</v>
      </c>
      <c r="O535">
        <v>204</v>
      </c>
      <c r="P535">
        <v>3.97</v>
      </c>
      <c r="Q535">
        <v>203.97</v>
      </c>
    </row>
    <row r="536" spans="1:17">
      <c r="A536" s="155">
        <v>44926</v>
      </c>
      <c r="B536" t="s">
        <v>363</v>
      </c>
      <c r="C536" t="s">
        <v>8</v>
      </c>
      <c r="D536">
        <v>2022</v>
      </c>
      <c r="E536" t="s">
        <v>106</v>
      </c>
      <c r="F536" t="s">
        <v>100</v>
      </c>
      <c r="G536" t="s">
        <v>192</v>
      </c>
      <c r="H536">
        <v>7</v>
      </c>
      <c r="I536">
        <v>968.15</v>
      </c>
      <c r="J536">
        <v>0.21</v>
      </c>
      <c r="K536">
        <v>0</v>
      </c>
      <c r="L536">
        <v>739.82</v>
      </c>
      <c r="M536" t="s">
        <v>193</v>
      </c>
      <c r="N536">
        <v>67.150000000000006</v>
      </c>
      <c r="O536">
        <v>204</v>
      </c>
      <c r="P536">
        <v>3.97</v>
      </c>
      <c r="Q536">
        <v>203.97</v>
      </c>
    </row>
    <row r="537" spans="1:17">
      <c r="A537" s="155">
        <v>44926</v>
      </c>
      <c r="B537" t="s">
        <v>364</v>
      </c>
      <c r="C537" t="s">
        <v>8</v>
      </c>
      <c r="D537">
        <v>2022</v>
      </c>
      <c r="E537" t="s">
        <v>106</v>
      </c>
      <c r="F537" t="s">
        <v>100</v>
      </c>
      <c r="G537" t="s">
        <v>192</v>
      </c>
      <c r="H537">
        <v>17</v>
      </c>
      <c r="I537">
        <v>2216.5</v>
      </c>
      <c r="J537">
        <v>0.51000000000000023</v>
      </c>
      <c r="K537">
        <v>0</v>
      </c>
      <c r="L537">
        <v>2159.4900000000002</v>
      </c>
      <c r="M537" t="s">
        <v>193</v>
      </c>
      <c r="N537">
        <v>67.150000000000006</v>
      </c>
      <c r="O537">
        <v>204</v>
      </c>
      <c r="P537">
        <v>3.97</v>
      </c>
      <c r="Q537">
        <v>203.97</v>
      </c>
    </row>
    <row r="538" spans="1:17">
      <c r="A538" s="155">
        <v>44926</v>
      </c>
      <c r="B538" t="s">
        <v>379</v>
      </c>
      <c r="C538" t="s">
        <v>8</v>
      </c>
      <c r="D538">
        <v>2022</v>
      </c>
      <c r="E538" t="s">
        <v>106</v>
      </c>
      <c r="F538" t="s">
        <v>100</v>
      </c>
      <c r="G538" t="s">
        <v>192</v>
      </c>
      <c r="H538">
        <v>3</v>
      </c>
      <c r="I538">
        <v>321.5</v>
      </c>
      <c r="J538">
        <v>0.09</v>
      </c>
      <c r="K538">
        <v>0</v>
      </c>
      <c r="L538">
        <v>321.40999999999997</v>
      </c>
      <c r="M538" t="s">
        <v>193</v>
      </c>
      <c r="N538">
        <v>67.150000000000006</v>
      </c>
      <c r="O538">
        <v>204</v>
      </c>
      <c r="P538">
        <v>3.97</v>
      </c>
      <c r="Q538">
        <v>203.97</v>
      </c>
    </row>
    <row r="539" spans="1:17">
      <c r="A539" s="155">
        <v>44926</v>
      </c>
      <c r="B539" t="s">
        <v>358</v>
      </c>
      <c r="C539" t="s">
        <v>8</v>
      </c>
      <c r="D539">
        <v>2022</v>
      </c>
      <c r="E539" t="s">
        <v>106</v>
      </c>
      <c r="F539" t="s">
        <v>100</v>
      </c>
      <c r="G539" t="s">
        <v>192</v>
      </c>
      <c r="H539">
        <v>21</v>
      </c>
      <c r="I539">
        <v>2895.9500000000003</v>
      </c>
      <c r="J539">
        <v>0.63000000000000034</v>
      </c>
      <c r="K539">
        <v>0</v>
      </c>
      <c r="L539">
        <v>2516.5699999999993</v>
      </c>
      <c r="M539" t="s">
        <v>193</v>
      </c>
      <c r="N539">
        <v>67.150000000000006</v>
      </c>
      <c r="O539">
        <v>204</v>
      </c>
      <c r="P539">
        <v>3.97</v>
      </c>
      <c r="Q539">
        <v>203.97</v>
      </c>
    </row>
    <row r="540" spans="1:17">
      <c r="A540" s="155">
        <v>44926</v>
      </c>
      <c r="B540" t="s">
        <v>347</v>
      </c>
      <c r="C540" t="s">
        <v>8</v>
      </c>
      <c r="D540">
        <v>2022</v>
      </c>
      <c r="E540" t="s">
        <v>107</v>
      </c>
      <c r="F540" t="s">
        <v>100</v>
      </c>
      <c r="G540" t="s">
        <v>192</v>
      </c>
      <c r="H540">
        <v>6</v>
      </c>
      <c r="I540">
        <v>1619</v>
      </c>
      <c r="J540">
        <v>0.18</v>
      </c>
      <c r="K540">
        <v>0</v>
      </c>
      <c r="L540">
        <v>951.88000000000011</v>
      </c>
      <c r="M540" t="s">
        <v>193</v>
      </c>
      <c r="N540">
        <v>35</v>
      </c>
      <c r="O540">
        <v>607.29999999999995</v>
      </c>
      <c r="P540">
        <v>0.39</v>
      </c>
      <c r="Q540">
        <v>549.97</v>
      </c>
    </row>
    <row r="541" spans="1:17">
      <c r="A541" s="155">
        <v>44926</v>
      </c>
      <c r="B541" t="s">
        <v>359</v>
      </c>
      <c r="C541" t="s">
        <v>8</v>
      </c>
      <c r="D541">
        <v>2022</v>
      </c>
      <c r="E541" t="s">
        <v>107</v>
      </c>
      <c r="F541" t="s">
        <v>100</v>
      </c>
      <c r="G541" t="s">
        <v>192</v>
      </c>
      <c r="H541">
        <v>61</v>
      </c>
      <c r="I541">
        <v>13522.26</v>
      </c>
      <c r="J541">
        <v>1.8300000000000014</v>
      </c>
      <c r="K541">
        <v>0</v>
      </c>
      <c r="L541">
        <v>8680.590000000002</v>
      </c>
      <c r="M541" t="s">
        <v>193</v>
      </c>
      <c r="N541">
        <v>35</v>
      </c>
      <c r="O541">
        <v>607.29999999999995</v>
      </c>
      <c r="P541">
        <v>0.39</v>
      </c>
      <c r="Q541">
        <v>549.97</v>
      </c>
    </row>
    <row r="542" spans="1:17">
      <c r="A542" s="155">
        <v>44926</v>
      </c>
      <c r="B542" t="s">
        <v>367</v>
      </c>
      <c r="C542" t="s">
        <v>8</v>
      </c>
      <c r="D542">
        <v>2022</v>
      </c>
      <c r="E542" t="s">
        <v>107</v>
      </c>
      <c r="F542" t="s">
        <v>100</v>
      </c>
      <c r="G542" t="s">
        <v>192</v>
      </c>
      <c r="H542">
        <v>3</v>
      </c>
      <c r="I542">
        <v>987</v>
      </c>
      <c r="J542">
        <v>0.09</v>
      </c>
      <c r="K542">
        <v>0</v>
      </c>
      <c r="L542">
        <v>519.94000000000005</v>
      </c>
      <c r="M542" t="s">
        <v>193</v>
      </c>
      <c r="N542">
        <v>35</v>
      </c>
      <c r="O542">
        <v>607.29999999999995</v>
      </c>
      <c r="P542">
        <v>0.39</v>
      </c>
      <c r="Q542">
        <v>549.97</v>
      </c>
    </row>
    <row r="543" spans="1:17">
      <c r="A543" s="155">
        <v>44926</v>
      </c>
      <c r="B543" t="s">
        <v>348</v>
      </c>
      <c r="C543" t="s">
        <v>8</v>
      </c>
      <c r="D543">
        <v>2022</v>
      </c>
      <c r="E543" t="s">
        <v>107</v>
      </c>
      <c r="F543" t="s">
        <v>100</v>
      </c>
      <c r="G543" t="s">
        <v>192</v>
      </c>
      <c r="H543">
        <v>3</v>
      </c>
      <c r="I543">
        <v>437</v>
      </c>
      <c r="J543">
        <v>0.09</v>
      </c>
      <c r="K543">
        <v>0</v>
      </c>
      <c r="L543">
        <v>397.90999999999997</v>
      </c>
      <c r="M543" t="s">
        <v>193</v>
      </c>
      <c r="N543">
        <v>35</v>
      </c>
      <c r="O543">
        <v>607.29999999999995</v>
      </c>
      <c r="P543">
        <v>0.39</v>
      </c>
      <c r="Q543">
        <v>549.97</v>
      </c>
    </row>
    <row r="544" spans="1:17">
      <c r="A544" s="155">
        <v>44926</v>
      </c>
      <c r="B544" t="s">
        <v>349</v>
      </c>
      <c r="C544" t="s">
        <v>8</v>
      </c>
      <c r="D544">
        <v>2022</v>
      </c>
      <c r="E544" t="s">
        <v>107</v>
      </c>
      <c r="F544" t="s">
        <v>100</v>
      </c>
      <c r="G544" t="s">
        <v>192</v>
      </c>
      <c r="H544">
        <v>2</v>
      </c>
      <c r="I544">
        <v>442</v>
      </c>
      <c r="J544">
        <v>0.06</v>
      </c>
      <c r="K544">
        <v>0</v>
      </c>
      <c r="L544">
        <v>441.94</v>
      </c>
      <c r="M544" t="s">
        <v>193</v>
      </c>
      <c r="N544">
        <v>35</v>
      </c>
      <c r="O544">
        <v>607.29999999999995</v>
      </c>
      <c r="P544">
        <v>0.39</v>
      </c>
      <c r="Q544">
        <v>549.97</v>
      </c>
    </row>
    <row r="545" spans="1:17">
      <c r="A545" s="155">
        <v>44926</v>
      </c>
      <c r="B545" t="s">
        <v>351</v>
      </c>
      <c r="C545" t="s">
        <v>8</v>
      </c>
      <c r="D545">
        <v>2022</v>
      </c>
      <c r="E545" t="s">
        <v>107</v>
      </c>
      <c r="F545" t="s">
        <v>100</v>
      </c>
      <c r="G545" t="s">
        <v>192</v>
      </c>
      <c r="H545">
        <v>107</v>
      </c>
      <c r="I545">
        <v>23034.660000000003</v>
      </c>
      <c r="J545">
        <v>3.2299999999999933</v>
      </c>
      <c r="K545">
        <v>0</v>
      </c>
      <c r="L545">
        <v>11959.029999999988</v>
      </c>
      <c r="M545" t="s">
        <v>193</v>
      </c>
      <c r="N545">
        <v>35</v>
      </c>
      <c r="O545">
        <v>607.29999999999995</v>
      </c>
      <c r="P545">
        <v>0.39</v>
      </c>
      <c r="Q545">
        <v>549.97</v>
      </c>
    </row>
    <row r="546" spans="1:17">
      <c r="A546" s="155">
        <v>44926</v>
      </c>
      <c r="B546" t="s">
        <v>369</v>
      </c>
      <c r="C546" t="s">
        <v>8</v>
      </c>
      <c r="D546">
        <v>2022</v>
      </c>
      <c r="E546" t="s">
        <v>107</v>
      </c>
      <c r="F546" t="s">
        <v>100</v>
      </c>
      <c r="G546" t="s">
        <v>192</v>
      </c>
      <c r="H546">
        <v>156</v>
      </c>
      <c r="I546">
        <v>32993.58</v>
      </c>
      <c r="J546">
        <v>4.6999999999999948</v>
      </c>
      <c r="K546">
        <v>0</v>
      </c>
      <c r="L546">
        <v>20781.82</v>
      </c>
      <c r="M546" t="s">
        <v>193</v>
      </c>
      <c r="N546">
        <v>35</v>
      </c>
      <c r="O546">
        <v>607.29999999999995</v>
      </c>
      <c r="P546">
        <v>0.39</v>
      </c>
      <c r="Q546">
        <v>549.97</v>
      </c>
    </row>
    <row r="547" spans="1:17">
      <c r="A547" s="155">
        <v>44926</v>
      </c>
      <c r="B547" t="s">
        <v>360</v>
      </c>
      <c r="C547" t="s">
        <v>8</v>
      </c>
      <c r="D547">
        <v>2022</v>
      </c>
      <c r="E547" t="s">
        <v>107</v>
      </c>
      <c r="F547" t="s">
        <v>100</v>
      </c>
      <c r="G547" t="s">
        <v>192</v>
      </c>
      <c r="H547">
        <v>127</v>
      </c>
      <c r="I547">
        <v>30436.500000000004</v>
      </c>
      <c r="J547">
        <v>3.8099999999999898</v>
      </c>
      <c r="K547">
        <v>0</v>
      </c>
      <c r="L547">
        <v>20999.940000000002</v>
      </c>
      <c r="M547" t="s">
        <v>193</v>
      </c>
      <c r="N547">
        <v>35</v>
      </c>
      <c r="O547">
        <v>607.29999999999995</v>
      </c>
      <c r="P547">
        <v>0.39</v>
      </c>
      <c r="Q547">
        <v>549.97</v>
      </c>
    </row>
    <row r="548" spans="1:17">
      <c r="A548" s="155">
        <v>44926</v>
      </c>
      <c r="B548" t="s">
        <v>361</v>
      </c>
      <c r="C548" t="s">
        <v>8</v>
      </c>
      <c r="D548">
        <v>2022</v>
      </c>
      <c r="E548" t="s">
        <v>107</v>
      </c>
      <c r="F548" t="s">
        <v>100</v>
      </c>
      <c r="G548" t="s">
        <v>192</v>
      </c>
      <c r="H548">
        <v>291</v>
      </c>
      <c r="I548">
        <v>67585.820000000007</v>
      </c>
      <c r="J548">
        <v>8.8000000000000025</v>
      </c>
      <c r="K548">
        <v>0</v>
      </c>
      <c r="L548">
        <v>53360.760000000162</v>
      </c>
      <c r="M548" t="s">
        <v>193</v>
      </c>
      <c r="N548">
        <v>35</v>
      </c>
      <c r="O548">
        <v>607.29999999999995</v>
      </c>
      <c r="P548">
        <v>0.39</v>
      </c>
      <c r="Q548">
        <v>549.97</v>
      </c>
    </row>
    <row r="549" spans="1:17">
      <c r="A549" s="155">
        <v>44926</v>
      </c>
      <c r="B549" t="s">
        <v>176</v>
      </c>
      <c r="C549" t="s">
        <v>8</v>
      </c>
      <c r="D549">
        <v>2022</v>
      </c>
      <c r="E549" t="s">
        <v>107</v>
      </c>
      <c r="F549" t="s">
        <v>100</v>
      </c>
      <c r="G549" t="s">
        <v>192</v>
      </c>
      <c r="H549">
        <v>490</v>
      </c>
      <c r="I549">
        <v>119646.28999999995</v>
      </c>
      <c r="J549">
        <v>14.739999999999878</v>
      </c>
      <c r="K549">
        <v>0</v>
      </c>
      <c r="L549">
        <v>102563.22000000041</v>
      </c>
      <c r="M549" t="s">
        <v>193</v>
      </c>
      <c r="N549">
        <v>35</v>
      </c>
      <c r="O549">
        <v>607.29999999999995</v>
      </c>
      <c r="P549">
        <v>0.39</v>
      </c>
      <c r="Q549">
        <v>549.97</v>
      </c>
    </row>
    <row r="550" spans="1:17">
      <c r="A550" s="155">
        <v>44926</v>
      </c>
      <c r="B550" t="s">
        <v>372</v>
      </c>
      <c r="C550" t="s">
        <v>8</v>
      </c>
      <c r="D550">
        <v>2022</v>
      </c>
      <c r="E550" t="s">
        <v>107</v>
      </c>
      <c r="F550" t="s">
        <v>100</v>
      </c>
      <c r="G550" t="s">
        <v>192</v>
      </c>
      <c r="H550">
        <v>6</v>
      </c>
      <c r="I550">
        <v>1519</v>
      </c>
      <c r="J550">
        <v>0.24</v>
      </c>
      <c r="K550">
        <v>0</v>
      </c>
      <c r="L550">
        <v>1349.7600000000002</v>
      </c>
      <c r="M550" t="s">
        <v>193</v>
      </c>
      <c r="N550">
        <v>35</v>
      </c>
      <c r="O550">
        <v>607.29999999999995</v>
      </c>
      <c r="P550">
        <v>0.39</v>
      </c>
      <c r="Q550">
        <v>549.97</v>
      </c>
    </row>
    <row r="551" spans="1:17">
      <c r="A551" s="155">
        <v>44926</v>
      </c>
      <c r="B551" t="s">
        <v>373</v>
      </c>
      <c r="C551" t="s">
        <v>8</v>
      </c>
      <c r="D551">
        <v>2022</v>
      </c>
      <c r="E551" t="s">
        <v>107</v>
      </c>
      <c r="F551" t="s">
        <v>100</v>
      </c>
      <c r="G551" t="s">
        <v>192</v>
      </c>
      <c r="H551">
        <v>4</v>
      </c>
      <c r="I551">
        <v>600</v>
      </c>
      <c r="J551">
        <v>0.12</v>
      </c>
      <c r="K551">
        <v>0</v>
      </c>
      <c r="L551">
        <v>399.94</v>
      </c>
      <c r="M551" t="s">
        <v>193</v>
      </c>
      <c r="N551">
        <v>35</v>
      </c>
      <c r="O551">
        <v>607.29999999999995</v>
      </c>
      <c r="P551">
        <v>0.39</v>
      </c>
      <c r="Q551">
        <v>549.97</v>
      </c>
    </row>
    <row r="552" spans="1:17">
      <c r="A552" s="155">
        <v>44926</v>
      </c>
      <c r="B552" t="s">
        <v>353</v>
      </c>
      <c r="C552" t="s">
        <v>8</v>
      </c>
      <c r="D552">
        <v>2022</v>
      </c>
      <c r="E552" t="s">
        <v>107</v>
      </c>
      <c r="F552" t="s">
        <v>100</v>
      </c>
      <c r="G552" t="s">
        <v>192</v>
      </c>
      <c r="H552">
        <v>6</v>
      </c>
      <c r="I552">
        <v>1619</v>
      </c>
      <c r="J552">
        <v>0.18</v>
      </c>
      <c r="K552">
        <v>0</v>
      </c>
      <c r="L552">
        <v>951.88000000000011</v>
      </c>
      <c r="M552" t="s">
        <v>193</v>
      </c>
      <c r="N552">
        <v>35</v>
      </c>
      <c r="O552">
        <v>607.29999999999995</v>
      </c>
      <c r="P552">
        <v>0.39</v>
      </c>
      <c r="Q552">
        <v>549.97</v>
      </c>
    </row>
    <row r="553" spans="1:17">
      <c r="A553" s="155">
        <v>44926</v>
      </c>
      <c r="B553" t="s">
        <v>374</v>
      </c>
      <c r="C553" t="s">
        <v>8</v>
      </c>
      <c r="D553">
        <v>2022</v>
      </c>
      <c r="E553" t="s">
        <v>107</v>
      </c>
      <c r="F553" t="s">
        <v>100</v>
      </c>
      <c r="G553" t="s">
        <v>192</v>
      </c>
      <c r="H553">
        <v>3</v>
      </c>
      <c r="I553">
        <v>987</v>
      </c>
      <c r="J553">
        <v>0.09</v>
      </c>
      <c r="K553">
        <v>0</v>
      </c>
      <c r="L553">
        <v>519.94000000000005</v>
      </c>
      <c r="M553" t="s">
        <v>193</v>
      </c>
      <c r="N553">
        <v>35</v>
      </c>
      <c r="O553">
        <v>607.29999999999995</v>
      </c>
      <c r="P553">
        <v>0.39</v>
      </c>
      <c r="Q553">
        <v>549.97</v>
      </c>
    </row>
    <row r="554" spans="1:17">
      <c r="A554" s="155">
        <v>44926</v>
      </c>
      <c r="B554" t="s">
        <v>362</v>
      </c>
      <c r="C554" t="s">
        <v>8</v>
      </c>
      <c r="D554">
        <v>2022</v>
      </c>
      <c r="E554" t="s">
        <v>107</v>
      </c>
      <c r="F554" t="s">
        <v>100</v>
      </c>
      <c r="G554" t="s">
        <v>192</v>
      </c>
      <c r="H554">
        <v>61</v>
      </c>
      <c r="I554">
        <v>13522.26</v>
      </c>
      <c r="J554">
        <v>1.8300000000000014</v>
      </c>
      <c r="K554">
        <v>0</v>
      </c>
      <c r="L554">
        <v>8680.5900000000038</v>
      </c>
      <c r="M554" t="s">
        <v>193</v>
      </c>
      <c r="N554">
        <v>35</v>
      </c>
      <c r="O554">
        <v>607.29999999999995</v>
      </c>
      <c r="P554">
        <v>0.39</v>
      </c>
      <c r="Q554">
        <v>549.97</v>
      </c>
    </row>
    <row r="555" spans="1:17">
      <c r="A555" s="155">
        <v>44926</v>
      </c>
      <c r="B555" t="s">
        <v>354</v>
      </c>
      <c r="C555" t="s">
        <v>8</v>
      </c>
      <c r="D555">
        <v>2022</v>
      </c>
      <c r="E555" t="s">
        <v>107</v>
      </c>
      <c r="F555" t="s">
        <v>100</v>
      </c>
      <c r="G555" t="s">
        <v>192</v>
      </c>
      <c r="H555">
        <v>3</v>
      </c>
      <c r="I555">
        <v>437</v>
      </c>
      <c r="J555">
        <v>0.09</v>
      </c>
      <c r="K555">
        <v>0</v>
      </c>
      <c r="L555">
        <v>397.90999999999997</v>
      </c>
      <c r="M555" t="s">
        <v>193</v>
      </c>
      <c r="N555">
        <v>35</v>
      </c>
      <c r="O555">
        <v>607.29999999999995</v>
      </c>
      <c r="P555">
        <v>0.39</v>
      </c>
      <c r="Q555">
        <v>549.97</v>
      </c>
    </row>
    <row r="556" spans="1:17">
      <c r="A556" s="155">
        <v>44926</v>
      </c>
      <c r="B556" t="s">
        <v>355</v>
      </c>
      <c r="C556" t="s">
        <v>8</v>
      </c>
      <c r="D556">
        <v>2022</v>
      </c>
      <c r="E556" t="s">
        <v>107</v>
      </c>
      <c r="F556" t="s">
        <v>100</v>
      </c>
      <c r="G556" t="s">
        <v>192</v>
      </c>
      <c r="H556">
        <v>2</v>
      </c>
      <c r="I556">
        <v>442</v>
      </c>
      <c r="J556">
        <v>0.06</v>
      </c>
      <c r="K556">
        <v>0</v>
      </c>
      <c r="L556">
        <v>441.94</v>
      </c>
      <c r="M556" t="s">
        <v>193</v>
      </c>
      <c r="N556">
        <v>35</v>
      </c>
      <c r="O556">
        <v>607.29999999999995</v>
      </c>
      <c r="P556">
        <v>0.39</v>
      </c>
      <c r="Q556">
        <v>549.97</v>
      </c>
    </row>
    <row r="557" spans="1:17">
      <c r="A557" s="155">
        <v>44926</v>
      </c>
      <c r="B557" t="s">
        <v>357</v>
      </c>
      <c r="C557" t="s">
        <v>8</v>
      </c>
      <c r="D557">
        <v>2022</v>
      </c>
      <c r="E557" t="s">
        <v>107</v>
      </c>
      <c r="F557" t="s">
        <v>100</v>
      </c>
      <c r="G557" t="s">
        <v>192</v>
      </c>
      <c r="H557">
        <v>107</v>
      </c>
      <c r="I557">
        <v>23034.66</v>
      </c>
      <c r="J557">
        <v>3.2299999999999933</v>
      </c>
      <c r="K557">
        <v>0</v>
      </c>
      <c r="L557">
        <v>11959.029999999993</v>
      </c>
      <c r="M557" t="s">
        <v>193</v>
      </c>
      <c r="N557">
        <v>35</v>
      </c>
      <c r="O557">
        <v>607.29999999999995</v>
      </c>
      <c r="P557">
        <v>0.39</v>
      </c>
      <c r="Q557">
        <v>549.97</v>
      </c>
    </row>
    <row r="558" spans="1:17">
      <c r="A558" s="155">
        <v>44926</v>
      </c>
      <c r="B558" t="s">
        <v>377</v>
      </c>
      <c r="C558" t="s">
        <v>8</v>
      </c>
      <c r="D558">
        <v>2022</v>
      </c>
      <c r="E558" t="s">
        <v>107</v>
      </c>
      <c r="F558" t="s">
        <v>100</v>
      </c>
      <c r="G558" t="s">
        <v>192</v>
      </c>
      <c r="H558">
        <v>156</v>
      </c>
      <c r="I558">
        <v>32993.58</v>
      </c>
      <c r="J558">
        <v>4.6999999999999948</v>
      </c>
      <c r="K558">
        <v>0</v>
      </c>
      <c r="L558">
        <v>20781.820000000003</v>
      </c>
      <c r="M558" t="s">
        <v>193</v>
      </c>
      <c r="N558">
        <v>35</v>
      </c>
      <c r="O558">
        <v>607.29999999999995</v>
      </c>
      <c r="P558">
        <v>0.39</v>
      </c>
      <c r="Q558">
        <v>549.97</v>
      </c>
    </row>
    <row r="559" spans="1:17">
      <c r="A559" s="155">
        <v>44926</v>
      </c>
      <c r="B559" t="s">
        <v>363</v>
      </c>
      <c r="C559" t="s">
        <v>8</v>
      </c>
      <c r="D559">
        <v>2022</v>
      </c>
      <c r="E559" t="s">
        <v>107</v>
      </c>
      <c r="F559" t="s">
        <v>100</v>
      </c>
      <c r="G559" t="s">
        <v>192</v>
      </c>
      <c r="H559">
        <v>127</v>
      </c>
      <c r="I559">
        <v>30436.5</v>
      </c>
      <c r="J559">
        <v>3.8099999999999898</v>
      </c>
      <c r="K559">
        <v>0</v>
      </c>
      <c r="L559">
        <v>20999.940000000002</v>
      </c>
      <c r="M559" t="s">
        <v>193</v>
      </c>
      <c r="N559">
        <v>35</v>
      </c>
      <c r="O559">
        <v>607.29999999999995</v>
      </c>
      <c r="P559">
        <v>0.39</v>
      </c>
      <c r="Q559">
        <v>549.97</v>
      </c>
    </row>
    <row r="560" spans="1:17">
      <c r="A560" s="155">
        <v>44926</v>
      </c>
      <c r="B560" t="s">
        <v>364</v>
      </c>
      <c r="C560" t="s">
        <v>8</v>
      </c>
      <c r="D560">
        <v>2022</v>
      </c>
      <c r="E560" t="s">
        <v>107</v>
      </c>
      <c r="F560" t="s">
        <v>100</v>
      </c>
      <c r="G560" t="s">
        <v>192</v>
      </c>
      <c r="H560">
        <v>291</v>
      </c>
      <c r="I560">
        <v>67585.819999999992</v>
      </c>
      <c r="J560">
        <v>8.8000000000000025</v>
      </c>
      <c r="K560">
        <v>0</v>
      </c>
      <c r="L560">
        <v>53360.760000000177</v>
      </c>
      <c r="M560" t="s">
        <v>193</v>
      </c>
      <c r="N560">
        <v>35</v>
      </c>
      <c r="O560">
        <v>607.29999999999995</v>
      </c>
      <c r="P560">
        <v>0.39</v>
      </c>
      <c r="Q560">
        <v>549.97</v>
      </c>
    </row>
    <row r="561" spans="1:17">
      <c r="A561" s="155">
        <v>44926</v>
      </c>
      <c r="B561" t="s">
        <v>379</v>
      </c>
      <c r="C561" t="s">
        <v>8</v>
      </c>
      <c r="D561">
        <v>2022</v>
      </c>
      <c r="E561" t="s">
        <v>107</v>
      </c>
      <c r="F561" t="s">
        <v>100</v>
      </c>
      <c r="G561" t="s">
        <v>192</v>
      </c>
      <c r="H561">
        <v>6</v>
      </c>
      <c r="I561">
        <v>1519</v>
      </c>
      <c r="J561">
        <v>0.24</v>
      </c>
      <c r="K561">
        <v>0</v>
      </c>
      <c r="L561">
        <v>1349.76</v>
      </c>
      <c r="M561" t="s">
        <v>193</v>
      </c>
      <c r="N561">
        <v>35</v>
      </c>
      <c r="O561">
        <v>607.29999999999995</v>
      </c>
      <c r="P561">
        <v>0.39</v>
      </c>
      <c r="Q561">
        <v>549.97</v>
      </c>
    </row>
    <row r="562" spans="1:17">
      <c r="A562" s="155">
        <v>44926</v>
      </c>
      <c r="B562" t="s">
        <v>358</v>
      </c>
      <c r="C562" t="s">
        <v>8</v>
      </c>
      <c r="D562">
        <v>2022</v>
      </c>
      <c r="E562" t="s">
        <v>107</v>
      </c>
      <c r="F562" t="s">
        <v>100</v>
      </c>
      <c r="G562" t="s">
        <v>192</v>
      </c>
      <c r="H562">
        <v>490</v>
      </c>
      <c r="I562">
        <v>119646.29000000002</v>
      </c>
      <c r="J562">
        <v>14.739999999999881</v>
      </c>
      <c r="K562">
        <v>0</v>
      </c>
      <c r="L562">
        <v>102563.22000000041</v>
      </c>
      <c r="M562" t="s">
        <v>193</v>
      </c>
      <c r="N562">
        <v>35</v>
      </c>
      <c r="O562">
        <v>607.29999999999995</v>
      </c>
      <c r="P562">
        <v>0.39</v>
      </c>
      <c r="Q562">
        <v>549.97</v>
      </c>
    </row>
    <row r="563" spans="1:17">
      <c r="A563" s="155">
        <v>44926</v>
      </c>
      <c r="B563" t="s">
        <v>380</v>
      </c>
      <c r="C563" t="s">
        <v>8</v>
      </c>
      <c r="D563">
        <v>2022</v>
      </c>
      <c r="E563" t="s">
        <v>107</v>
      </c>
      <c r="F563" t="s">
        <v>100</v>
      </c>
      <c r="G563" t="s">
        <v>192</v>
      </c>
      <c r="H563">
        <v>4</v>
      </c>
      <c r="I563">
        <v>600</v>
      </c>
      <c r="J563">
        <v>0.12</v>
      </c>
      <c r="K563">
        <v>0</v>
      </c>
      <c r="L563">
        <v>399.94</v>
      </c>
      <c r="M563" t="s">
        <v>193</v>
      </c>
      <c r="N563">
        <v>35</v>
      </c>
      <c r="O563">
        <v>607.29999999999995</v>
      </c>
      <c r="P563">
        <v>0.39</v>
      </c>
      <c r="Q563">
        <v>549.97</v>
      </c>
    </row>
    <row r="564" spans="1:17">
      <c r="A564" s="155">
        <v>44926</v>
      </c>
      <c r="B564" t="s">
        <v>347</v>
      </c>
      <c r="C564" t="s">
        <v>8</v>
      </c>
      <c r="D564">
        <v>2022</v>
      </c>
      <c r="E564" t="s">
        <v>108</v>
      </c>
      <c r="F564" t="s">
        <v>100</v>
      </c>
      <c r="G564" t="s">
        <v>192</v>
      </c>
      <c r="H564">
        <v>6</v>
      </c>
      <c r="I564">
        <v>793</v>
      </c>
      <c r="J564">
        <v>0.18</v>
      </c>
      <c r="K564">
        <v>0</v>
      </c>
      <c r="L564">
        <v>479.82000000000005</v>
      </c>
      <c r="M564" t="s">
        <v>193</v>
      </c>
      <c r="N564">
        <v>-220</v>
      </c>
      <c r="O564">
        <v>436</v>
      </c>
      <c r="P564">
        <v>-219.97</v>
      </c>
      <c r="Q564">
        <v>263.97000000000003</v>
      </c>
    </row>
    <row r="565" spans="1:17">
      <c r="A565" s="155">
        <v>44926</v>
      </c>
      <c r="B565" t="s">
        <v>359</v>
      </c>
      <c r="C565" t="s">
        <v>8</v>
      </c>
      <c r="D565">
        <v>2022</v>
      </c>
      <c r="E565" t="s">
        <v>108</v>
      </c>
      <c r="F565" t="s">
        <v>100</v>
      </c>
      <c r="G565" t="s">
        <v>192</v>
      </c>
      <c r="H565">
        <v>80</v>
      </c>
      <c r="I565">
        <v>11781.75</v>
      </c>
      <c r="J565">
        <v>2.399999999999999</v>
      </c>
      <c r="K565">
        <v>0</v>
      </c>
      <c r="L565">
        <v>8638.5500000000047</v>
      </c>
      <c r="M565" t="s">
        <v>193</v>
      </c>
      <c r="N565">
        <v>-220</v>
      </c>
      <c r="O565">
        <v>436</v>
      </c>
      <c r="P565">
        <v>-219.97</v>
      </c>
      <c r="Q565">
        <v>263.97000000000003</v>
      </c>
    </row>
    <row r="566" spans="1:17">
      <c r="A566" s="155">
        <v>44926</v>
      </c>
      <c r="B566" t="s">
        <v>367</v>
      </c>
      <c r="C566" t="s">
        <v>8</v>
      </c>
      <c r="D566">
        <v>2022</v>
      </c>
      <c r="E566" t="s">
        <v>108</v>
      </c>
      <c r="F566" t="s">
        <v>100</v>
      </c>
      <c r="G566" t="s">
        <v>192</v>
      </c>
      <c r="H566">
        <v>11</v>
      </c>
      <c r="I566">
        <v>1671.25</v>
      </c>
      <c r="J566">
        <v>0.33000000000000007</v>
      </c>
      <c r="K566">
        <v>0</v>
      </c>
      <c r="L566">
        <v>1245.76</v>
      </c>
      <c r="M566" t="s">
        <v>193</v>
      </c>
      <c r="N566">
        <v>-220</v>
      </c>
      <c r="O566">
        <v>436</v>
      </c>
      <c r="P566">
        <v>-219.97</v>
      </c>
      <c r="Q566">
        <v>263.97000000000003</v>
      </c>
    </row>
    <row r="567" spans="1:17">
      <c r="A567" s="155">
        <v>44926</v>
      </c>
      <c r="B567" t="s">
        <v>348</v>
      </c>
      <c r="C567" t="s">
        <v>8</v>
      </c>
      <c r="D567">
        <v>2022</v>
      </c>
      <c r="E567" t="s">
        <v>108</v>
      </c>
      <c r="F567" t="s">
        <v>100</v>
      </c>
      <c r="G567" t="s">
        <v>192</v>
      </c>
      <c r="H567">
        <v>3</v>
      </c>
      <c r="I567">
        <v>507</v>
      </c>
      <c r="J567">
        <v>0.09</v>
      </c>
      <c r="K567">
        <v>0</v>
      </c>
      <c r="L567">
        <v>319.90999999999997</v>
      </c>
      <c r="M567" t="s">
        <v>193</v>
      </c>
      <c r="N567">
        <v>-220</v>
      </c>
      <c r="O567">
        <v>436</v>
      </c>
      <c r="P567">
        <v>-219.97</v>
      </c>
      <c r="Q567">
        <v>263.97000000000003</v>
      </c>
    </row>
    <row r="568" spans="1:17">
      <c r="A568" s="155">
        <v>44926</v>
      </c>
      <c r="B568" t="s">
        <v>351</v>
      </c>
      <c r="C568" t="s">
        <v>8</v>
      </c>
      <c r="D568">
        <v>2022</v>
      </c>
      <c r="E568" t="s">
        <v>108</v>
      </c>
      <c r="F568" t="s">
        <v>100</v>
      </c>
      <c r="G568" t="s">
        <v>192</v>
      </c>
      <c r="H568">
        <v>133</v>
      </c>
      <c r="I568">
        <v>13578.939999999997</v>
      </c>
      <c r="J568">
        <v>3.9899999999999887</v>
      </c>
      <c r="K568">
        <v>0</v>
      </c>
      <c r="L568">
        <v>8539.0300000000061</v>
      </c>
      <c r="M568" t="s">
        <v>193</v>
      </c>
      <c r="N568">
        <v>-220</v>
      </c>
      <c r="O568">
        <v>436</v>
      </c>
      <c r="P568">
        <v>-219.97</v>
      </c>
      <c r="Q568">
        <v>263.97000000000003</v>
      </c>
    </row>
    <row r="569" spans="1:17">
      <c r="A569" s="155">
        <v>44926</v>
      </c>
      <c r="B569" t="s">
        <v>369</v>
      </c>
      <c r="C569" t="s">
        <v>8</v>
      </c>
      <c r="D569">
        <v>2022</v>
      </c>
      <c r="E569" t="s">
        <v>108</v>
      </c>
      <c r="F569" t="s">
        <v>100</v>
      </c>
      <c r="G569" t="s">
        <v>192</v>
      </c>
      <c r="H569">
        <v>155</v>
      </c>
      <c r="I569">
        <v>15180.810000000001</v>
      </c>
      <c r="J569">
        <v>4.6499999999999941</v>
      </c>
      <c r="K569">
        <v>0</v>
      </c>
      <c r="L569">
        <v>10999.599999999989</v>
      </c>
      <c r="M569" t="s">
        <v>193</v>
      </c>
      <c r="N569">
        <v>-220</v>
      </c>
      <c r="O569">
        <v>436</v>
      </c>
      <c r="P569">
        <v>-219.97</v>
      </c>
      <c r="Q569">
        <v>263.97000000000003</v>
      </c>
    </row>
    <row r="570" spans="1:17">
      <c r="A570" s="155">
        <v>44926</v>
      </c>
      <c r="B570" t="s">
        <v>360</v>
      </c>
      <c r="C570" t="s">
        <v>8</v>
      </c>
      <c r="D570">
        <v>2022</v>
      </c>
      <c r="E570" t="s">
        <v>108</v>
      </c>
      <c r="F570" t="s">
        <v>100</v>
      </c>
      <c r="G570" t="s">
        <v>192</v>
      </c>
      <c r="H570">
        <v>200</v>
      </c>
      <c r="I570">
        <v>22590.420000000002</v>
      </c>
      <c r="J570">
        <v>6.0800000000000036</v>
      </c>
      <c r="K570">
        <v>0</v>
      </c>
      <c r="L570">
        <v>15897.179999999951</v>
      </c>
      <c r="M570" t="s">
        <v>193</v>
      </c>
      <c r="N570">
        <v>-220</v>
      </c>
      <c r="O570">
        <v>436</v>
      </c>
      <c r="P570">
        <v>-219.97</v>
      </c>
      <c r="Q570">
        <v>263.97000000000003</v>
      </c>
    </row>
    <row r="571" spans="1:17">
      <c r="A571" s="155">
        <v>44926</v>
      </c>
      <c r="B571" t="s">
        <v>371</v>
      </c>
      <c r="C571" t="s">
        <v>8</v>
      </c>
      <c r="D571">
        <v>2022</v>
      </c>
      <c r="E571" t="s">
        <v>108</v>
      </c>
      <c r="F571" t="s">
        <v>100</v>
      </c>
      <c r="G571" t="s">
        <v>192</v>
      </c>
      <c r="H571">
        <v>12</v>
      </c>
      <c r="I571">
        <v>1145.5999999999999</v>
      </c>
      <c r="J571">
        <v>0.3600000000000001</v>
      </c>
      <c r="K571">
        <v>0</v>
      </c>
      <c r="L571">
        <v>966.67000000000019</v>
      </c>
      <c r="M571" t="s">
        <v>193</v>
      </c>
      <c r="N571">
        <v>-220</v>
      </c>
      <c r="O571">
        <v>436</v>
      </c>
      <c r="P571">
        <v>-219.97</v>
      </c>
      <c r="Q571">
        <v>263.97000000000003</v>
      </c>
    </row>
    <row r="572" spans="1:17">
      <c r="A572" s="155">
        <v>44926</v>
      </c>
      <c r="B572" t="s">
        <v>361</v>
      </c>
      <c r="C572" t="s">
        <v>8</v>
      </c>
      <c r="D572">
        <v>2022</v>
      </c>
      <c r="E572" t="s">
        <v>108</v>
      </c>
      <c r="F572" t="s">
        <v>100</v>
      </c>
      <c r="G572" t="s">
        <v>192</v>
      </c>
      <c r="H572">
        <v>400</v>
      </c>
      <c r="I572">
        <v>47908.930000000022</v>
      </c>
      <c r="J572">
        <v>11.869999999999937</v>
      </c>
      <c r="K572">
        <v>0</v>
      </c>
      <c r="L572">
        <v>39900.110000000182</v>
      </c>
      <c r="M572" t="s">
        <v>193</v>
      </c>
      <c r="N572">
        <v>-220</v>
      </c>
      <c r="O572">
        <v>436</v>
      </c>
      <c r="P572">
        <v>-219.97</v>
      </c>
      <c r="Q572">
        <v>263.97000000000003</v>
      </c>
    </row>
    <row r="573" spans="1:17">
      <c r="A573" s="155">
        <v>44926</v>
      </c>
      <c r="B573" t="s">
        <v>365</v>
      </c>
      <c r="C573" t="s">
        <v>8</v>
      </c>
      <c r="D573">
        <v>2022</v>
      </c>
      <c r="E573" t="s">
        <v>108</v>
      </c>
      <c r="F573" t="s">
        <v>100</v>
      </c>
      <c r="G573" t="s">
        <v>192</v>
      </c>
      <c r="H573">
        <v>1</v>
      </c>
      <c r="I573">
        <v>100</v>
      </c>
      <c r="J573">
        <v>0.03</v>
      </c>
      <c r="K573">
        <v>0</v>
      </c>
      <c r="L573">
        <v>36</v>
      </c>
      <c r="M573" t="s">
        <v>193</v>
      </c>
      <c r="N573">
        <v>-220</v>
      </c>
      <c r="O573">
        <v>436</v>
      </c>
      <c r="P573">
        <v>-219.97</v>
      </c>
      <c r="Q573">
        <v>263.97000000000003</v>
      </c>
    </row>
    <row r="574" spans="1:17">
      <c r="A574" s="155">
        <v>44926</v>
      </c>
      <c r="B574" t="s">
        <v>176</v>
      </c>
      <c r="C574" t="s">
        <v>8</v>
      </c>
      <c r="D574">
        <v>2022</v>
      </c>
      <c r="E574" t="s">
        <v>108</v>
      </c>
      <c r="F574" t="s">
        <v>100</v>
      </c>
      <c r="G574" t="s">
        <v>192</v>
      </c>
      <c r="H574">
        <v>689</v>
      </c>
      <c r="I574">
        <v>96503.249999999971</v>
      </c>
      <c r="J574">
        <v>20.810000000000027</v>
      </c>
      <c r="K574">
        <v>0</v>
      </c>
      <c r="L574">
        <v>80051.910000000498</v>
      </c>
      <c r="M574" t="s">
        <v>193</v>
      </c>
      <c r="N574">
        <v>-220</v>
      </c>
      <c r="O574">
        <v>436</v>
      </c>
      <c r="P574">
        <v>-219.97</v>
      </c>
      <c r="Q574">
        <v>263.97000000000003</v>
      </c>
    </row>
    <row r="575" spans="1:17">
      <c r="A575" s="155">
        <v>44926</v>
      </c>
      <c r="B575" t="s">
        <v>372</v>
      </c>
      <c r="C575" t="s">
        <v>8</v>
      </c>
      <c r="D575">
        <v>2022</v>
      </c>
      <c r="E575" t="s">
        <v>108</v>
      </c>
      <c r="F575" t="s">
        <v>100</v>
      </c>
      <c r="G575" t="s">
        <v>192</v>
      </c>
      <c r="H575">
        <v>3</v>
      </c>
      <c r="I575">
        <v>311.64999999999998</v>
      </c>
      <c r="J575">
        <v>0.15000000000000002</v>
      </c>
      <c r="K575">
        <v>0</v>
      </c>
      <c r="L575">
        <v>301.85000000000002</v>
      </c>
      <c r="M575" t="s">
        <v>193</v>
      </c>
      <c r="N575">
        <v>-220</v>
      </c>
      <c r="O575">
        <v>436</v>
      </c>
      <c r="P575">
        <v>-219.97</v>
      </c>
      <c r="Q575">
        <v>263.97000000000003</v>
      </c>
    </row>
    <row r="576" spans="1:17">
      <c r="A576" s="155">
        <v>44926</v>
      </c>
      <c r="B576" t="s">
        <v>373</v>
      </c>
      <c r="C576" t="s">
        <v>8</v>
      </c>
      <c r="D576">
        <v>2022</v>
      </c>
      <c r="E576" t="s">
        <v>108</v>
      </c>
      <c r="F576" t="s">
        <v>100</v>
      </c>
      <c r="G576" t="s">
        <v>192</v>
      </c>
      <c r="H576">
        <v>18</v>
      </c>
      <c r="I576">
        <v>1860.15</v>
      </c>
      <c r="J576">
        <v>0.54000000000000026</v>
      </c>
      <c r="K576">
        <v>0</v>
      </c>
      <c r="L576">
        <v>1099.76</v>
      </c>
      <c r="M576" t="s">
        <v>193</v>
      </c>
      <c r="N576">
        <v>-220</v>
      </c>
      <c r="O576">
        <v>436</v>
      </c>
      <c r="P576">
        <v>-219.97</v>
      </c>
      <c r="Q576">
        <v>263.97000000000003</v>
      </c>
    </row>
    <row r="577" spans="1:17">
      <c r="A577" s="155">
        <v>44926</v>
      </c>
      <c r="B577" t="s">
        <v>353</v>
      </c>
      <c r="C577" t="s">
        <v>8</v>
      </c>
      <c r="D577">
        <v>2022</v>
      </c>
      <c r="E577" t="s">
        <v>108</v>
      </c>
      <c r="F577" t="s">
        <v>100</v>
      </c>
      <c r="G577" t="s">
        <v>192</v>
      </c>
      <c r="H577">
        <v>6</v>
      </c>
      <c r="I577">
        <v>793</v>
      </c>
      <c r="J577">
        <v>0.18</v>
      </c>
      <c r="K577">
        <v>0</v>
      </c>
      <c r="L577">
        <v>479.82000000000005</v>
      </c>
      <c r="M577" t="s">
        <v>193</v>
      </c>
      <c r="N577">
        <v>-220</v>
      </c>
      <c r="O577">
        <v>436</v>
      </c>
      <c r="P577">
        <v>-219.97</v>
      </c>
      <c r="Q577">
        <v>263.97000000000003</v>
      </c>
    </row>
    <row r="578" spans="1:17">
      <c r="A578" s="155">
        <v>44926</v>
      </c>
      <c r="B578" t="s">
        <v>374</v>
      </c>
      <c r="C578" t="s">
        <v>8</v>
      </c>
      <c r="D578">
        <v>2022</v>
      </c>
      <c r="E578" t="s">
        <v>108</v>
      </c>
      <c r="F578" t="s">
        <v>100</v>
      </c>
      <c r="G578" t="s">
        <v>192</v>
      </c>
      <c r="H578">
        <v>11</v>
      </c>
      <c r="I578">
        <v>1671.25</v>
      </c>
      <c r="J578">
        <v>0.33000000000000007</v>
      </c>
      <c r="K578">
        <v>0</v>
      </c>
      <c r="L578">
        <v>1245.76</v>
      </c>
      <c r="M578" t="s">
        <v>193</v>
      </c>
      <c r="N578">
        <v>-220</v>
      </c>
      <c r="O578">
        <v>436</v>
      </c>
      <c r="P578">
        <v>-219.97</v>
      </c>
      <c r="Q578">
        <v>263.97000000000003</v>
      </c>
    </row>
    <row r="579" spans="1:17">
      <c r="A579" s="155">
        <v>44926</v>
      </c>
      <c r="B579" t="s">
        <v>362</v>
      </c>
      <c r="C579" t="s">
        <v>8</v>
      </c>
      <c r="D579">
        <v>2022</v>
      </c>
      <c r="E579" t="s">
        <v>108</v>
      </c>
      <c r="F579" t="s">
        <v>100</v>
      </c>
      <c r="G579" t="s">
        <v>192</v>
      </c>
      <c r="H579">
        <v>80</v>
      </c>
      <c r="I579">
        <v>11781.75</v>
      </c>
      <c r="J579">
        <v>2.399999999999999</v>
      </c>
      <c r="K579">
        <v>0</v>
      </c>
      <c r="L579">
        <v>8638.5500000000047</v>
      </c>
      <c r="M579" t="s">
        <v>193</v>
      </c>
      <c r="N579">
        <v>-220</v>
      </c>
      <c r="O579">
        <v>436</v>
      </c>
      <c r="P579">
        <v>-219.97</v>
      </c>
      <c r="Q579">
        <v>263.97000000000003</v>
      </c>
    </row>
    <row r="580" spans="1:17">
      <c r="A580" s="155">
        <v>44926</v>
      </c>
      <c r="B580" t="s">
        <v>354</v>
      </c>
      <c r="C580" t="s">
        <v>8</v>
      </c>
      <c r="D580">
        <v>2022</v>
      </c>
      <c r="E580" t="s">
        <v>108</v>
      </c>
      <c r="F580" t="s">
        <v>100</v>
      </c>
      <c r="G580" t="s">
        <v>192</v>
      </c>
      <c r="H580">
        <v>3</v>
      </c>
      <c r="I580">
        <v>507</v>
      </c>
      <c r="J580">
        <v>0.09</v>
      </c>
      <c r="K580">
        <v>0</v>
      </c>
      <c r="L580">
        <v>319.90999999999997</v>
      </c>
      <c r="M580" t="s">
        <v>193</v>
      </c>
      <c r="N580">
        <v>-220</v>
      </c>
      <c r="O580">
        <v>436</v>
      </c>
      <c r="P580">
        <v>-219.97</v>
      </c>
      <c r="Q580">
        <v>263.97000000000003</v>
      </c>
    </row>
    <row r="581" spans="1:17">
      <c r="A581" s="155">
        <v>44926</v>
      </c>
      <c r="B581" t="s">
        <v>357</v>
      </c>
      <c r="C581" t="s">
        <v>8</v>
      </c>
      <c r="D581">
        <v>2022</v>
      </c>
      <c r="E581" t="s">
        <v>108</v>
      </c>
      <c r="F581" t="s">
        <v>100</v>
      </c>
      <c r="G581" t="s">
        <v>192</v>
      </c>
      <c r="H581">
        <v>133</v>
      </c>
      <c r="I581">
        <v>13578.939999999997</v>
      </c>
      <c r="J581">
        <v>3.9899999999999887</v>
      </c>
      <c r="K581">
        <v>0</v>
      </c>
      <c r="L581">
        <v>8539.0300000000061</v>
      </c>
      <c r="M581" t="s">
        <v>193</v>
      </c>
      <c r="N581">
        <v>-220</v>
      </c>
      <c r="O581">
        <v>436</v>
      </c>
      <c r="P581">
        <v>-219.97</v>
      </c>
      <c r="Q581">
        <v>263.97000000000003</v>
      </c>
    </row>
    <row r="582" spans="1:17">
      <c r="A582" s="155">
        <v>44926</v>
      </c>
      <c r="B582" t="s">
        <v>377</v>
      </c>
      <c r="C582" t="s">
        <v>8</v>
      </c>
      <c r="D582">
        <v>2022</v>
      </c>
      <c r="E582" t="s">
        <v>108</v>
      </c>
      <c r="F582" t="s">
        <v>100</v>
      </c>
      <c r="G582" t="s">
        <v>192</v>
      </c>
      <c r="H582">
        <v>155</v>
      </c>
      <c r="I582">
        <v>15180.809999999998</v>
      </c>
      <c r="J582">
        <v>4.6499999999999941</v>
      </c>
      <c r="K582">
        <v>0</v>
      </c>
      <c r="L582">
        <v>10999.599999999986</v>
      </c>
      <c r="M582" t="s">
        <v>193</v>
      </c>
      <c r="N582">
        <v>-220</v>
      </c>
      <c r="O582">
        <v>436</v>
      </c>
      <c r="P582">
        <v>-219.97</v>
      </c>
      <c r="Q582">
        <v>263.97000000000003</v>
      </c>
    </row>
    <row r="583" spans="1:17">
      <c r="A583" s="155">
        <v>44926</v>
      </c>
      <c r="B583" t="s">
        <v>378</v>
      </c>
      <c r="C583" t="s">
        <v>8</v>
      </c>
      <c r="D583">
        <v>2022</v>
      </c>
      <c r="E583" t="s">
        <v>108</v>
      </c>
      <c r="F583" t="s">
        <v>100</v>
      </c>
      <c r="G583" t="s">
        <v>192</v>
      </c>
      <c r="H583">
        <v>12</v>
      </c>
      <c r="I583">
        <v>1145.5999999999999</v>
      </c>
      <c r="J583">
        <v>0.3600000000000001</v>
      </c>
      <c r="K583">
        <v>0</v>
      </c>
      <c r="L583">
        <v>966.67000000000007</v>
      </c>
      <c r="M583" t="s">
        <v>193</v>
      </c>
      <c r="N583">
        <v>-220</v>
      </c>
      <c r="O583">
        <v>436</v>
      </c>
      <c r="P583">
        <v>-219.97</v>
      </c>
      <c r="Q583">
        <v>263.97000000000003</v>
      </c>
    </row>
    <row r="584" spans="1:17">
      <c r="A584" s="155">
        <v>44926</v>
      </c>
      <c r="B584" t="s">
        <v>363</v>
      </c>
      <c r="C584" t="s">
        <v>8</v>
      </c>
      <c r="D584">
        <v>2022</v>
      </c>
      <c r="E584" t="s">
        <v>108</v>
      </c>
      <c r="F584" t="s">
        <v>100</v>
      </c>
      <c r="G584" t="s">
        <v>192</v>
      </c>
      <c r="H584">
        <v>200</v>
      </c>
      <c r="I584">
        <v>22590.420000000002</v>
      </c>
      <c r="J584">
        <v>6.0800000000000054</v>
      </c>
      <c r="K584">
        <v>0</v>
      </c>
      <c r="L584">
        <v>15897.179999999948</v>
      </c>
      <c r="M584" t="s">
        <v>193</v>
      </c>
      <c r="N584">
        <v>-220</v>
      </c>
      <c r="O584">
        <v>436</v>
      </c>
      <c r="P584">
        <v>-219.97</v>
      </c>
      <c r="Q584">
        <v>263.97000000000003</v>
      </c>
    </row>
    <row r="585" spans="1:17">
      <c r="A585" s="155">
        <v>44926</v>
      </c>
      <c r="B585" t="s">
        <v>366</v>
      </c>
      <c r="C585" t="s">
        <v>8</v>
      </c>
      <c r="D585">
        <v>2022</v>
      </c>
      <c r="E585" t="s">
        <v>108</v>
      </c>
      <c r="F585" t="s">
        <v>100</v>
      </c>
      <c r="G585" t="s">
        <v>192</v>
      </c>
      <c r="H585">
        <v>1</v>
      </c>
      <c r="I585">
        <v>100</v>
      </c>
      <c r="J585">
        <v>0.03</v>
      </c>
      <c r="K585">
        <v>0</v>
      </c>
      <c r="L585">
        <v>36</v>
      </c>
      <c r="M585" t="s">
        <v>193</v>
      </c>
      <c r="N585">
        <v>-220</v>
      </c>
      <c r="O585">
        <v>436</v>
      </c>
      <c r="P585">
        <v>-219.97</v>
      </c>
      <c r="Q585">
        <v>263.97000000000003</v>
      </c>
    </row>
    <row r="586" spans="1:17">
      <c r="A586" s="155">
        <v>44926</v>
      </c>
      <c r="B586" t="s">
        <v>364</v>
      </c>
      <c r="C586" t="s">
        <v>8</v>
      </c>
      <c r="D586">
        <v>2022</v>
      </c>
      <c r="E586" t="s">
        <v>108</v>
      </c>
      <c r="F586" t="s">
        <v>100</v>
      </c>
      <c r="G586" t="s">
        <v>192</v>
      </c>
      <c r="H586">
        <v>400</v>
      </c>
      <c r="I586">
        <v>47908.930000000022</v>
      </c>
      <c r="J586">
        <v>11.869999999999939</v>
      </c>
      <c r="K586">
        <v>0</v>
      </c>
      <c r="L586">
        <v>39900.11000000019</v>
      </c>
      <c r="M586" t="s">
        <v>193</v>
      </c>
      <c r="N586">
        <v>-220</v>
      </c>
      <c r="O586">
        <v>436</v>
      </c>
      <c r="P586">
        <v>-219.97</v>
      </c>
      <c r="Q586">
        <v>263.97000000000003</v>
      </c>
    </row>
    <row r="587" spans="1:17">
      <c r="A587" s="155">
        <v>44926</v>
      </c>
      <c r="B587" t="s">
        <v>379</v>
      </c>
      <c r="C587" t="s">
        <v>8</v>
      </c>
      <c r="D587">
        <v>2022</v>
      </c>
      <c r="E587" t="s">
        <v>108</v>
      </c>
      <c r="F587" t="s">
        <v>100</v>
      </c>
      <c r="G587" t="s">
        <v>192</v>
      </c>
      <c r="H587">
        <v>3</v>
      </c>
      <c r="I587">
        <v>311.64999999999998</v>
      </c>
      <c r="J587">
        <v>0.15000000000000002</v>
      </c>
      <c r="K587">
        <v>0</v>
      </c>
      <c r="L587">
        <v>301.85000000000002</v>
      </c>
      <c r="M587" t="s">
        <v>193</v>
      </c>
      <c r="N587">
        <v>-220</v>
      </c>
      <c r="O587">
        <v>436</v>
      </c>
      <c r="P587">
        <v>-219.97</v>
      </c>
      <c r="Q587">
        <v>263.97000000000003</v>
      </c>
    </row>
    <row r="588" spans="1:17">
      <c r="A588" s="155">
        <v>44926</v>
      </c>
      <c r="B588" t="s">
        <v>358</v>
      </c>
      <c r="C588" t="s">
        <v>8</v>
      </c>
      <c r="D588">
        <v>2022</v>
      </c>
      <c r="E588" t="s">
        <v>108</v>
      </c>
      <c r="F588" t="s">
        <v>100</v>
      </c>
      <c r="G588" t="s">
        <v>192</v>
      </c>
      <c r="H588">
        <v>689</v>
      </c>
      <c r="I588">
        <v>96503.249999999985</v>
      </c>
      <c r="J588">
        <v>20.810000000000041</v>
      </c>
      <c r="K588">
        <v>0</v>
      </c>
      <c r="L588">
        <v>80051.910000000556</v>
      </c>
      <c r="M588" t="s">
        <v>193</v>
      </c>
      <c r="N588">
        <v>-220</v>
      </c>
      <c r="O588">
        <v>436</v>
      </c>
      <c r="P588">
        <v>-219.97</v>
      </c>
      <c r="Q588">
        <v>263.97000000000003</v>
      </c>
    </row>
    <row r="589" spans="1:17">
      <c r="A589" s="155">
        <v>44926</v>
      </c>
      <c r="B589" t="s">
        <v>380</v>
      </c>
      <c r="C589" t="s">
        <v>8</v>
      </c>
      <c r="D589">
        <v>2022</v>
      </c>
      <c r="E589" t="s">
        <v>108</v>
      </c>
      <c r="F589" t="s">
        <v>100</v>
      </c>
      <c r="G589" t="s">
        <v>192</v>
      </c>
      <c r="H589">
        <v>18</v>
      </c>
      <c r="I589">
        <v>1860.15</v>
      </c>
      <c r="J589">
        <v>0.54000000000000026</v>
      </c>
      <c r="K589">
        <v>0</v>
      </c>
      <c r="L589">
        <v>1099.76</v>
      </c>
      <c r="M589" t="s">
        <v>193</v>
      </c>
      <c r="N589">
        <v>-220</v>
      </c>
      <c r="O589">
        <v>436</v>
      </c>
      <c r="P589">
        <v>-219.97</v>
      </c>
      <c r="Q589">
        <v>263.97000000000003</v>
      </c>
    </row>
    <row r="590" spans="1:17">
      <c r="A590" s="155">
        <v>44926</v>
      </c>
      <c r="B590" t="s">
        <v>360</v>
      </c>
      <c r="C590" t="s">
        <v>8</v>
      </c>
      <c r="D590">
        <v>2022</v>
      </c>
      <c r="E590" t="s">
        <v>110</v>
      </c>
      <c r="F590" t="s">
        <v>100</v>
      </c>
      <c r="G590" t="s">
        <v>192</v>
      </c>
      <c r="H590">
        <v>3</v>
      </c>
      <c r="I590">
        <v>401.15</v>
      </c>
      <c r="J590">
        <v>0.09</v>
      </c>
      <c r="K590">
        <v>0</v>
      </c>
      <c r="L590">
        <v>349.90999999999997</v>
      </c>
      <c r="M590" t="s">
        <v>193</v>
      </c>
      <c r="N590">
        <v>71</v>
      </c>
      <c r="O590">
        <v>229</v>
      </c>
      <c r="P590">
        <v>49.97</v>
      </c>
      <c r="Q590">
        <v>228.97</v>
      </c>
    </row>
    <row r="591" spans="1:17">
      <c r="A591" s="155">
        <v>44926</v>
      </c>
      <c r="B591" t="s">
        <v>363</v>
      </c>
      <c r="C591" t="s">
        <v>8</v>
      </c>
      <c r="D591">
        <v>2022</v>
      </c>
      <c r="E591" t="s">
        <v>110</v>
      </c>
      <c r="F591" t="s">
        <v>100</v>
      </c>
      <c r="G591" t="s">
        <v>192</v>
      </c>
      <c r="H591">
        <v>3</v>
      </c>
      <c r="I591">
        <v>401.15</v>
      </c>
      <c r="J591">
        <v>0.09</v>
      </c>
      <c r="K591">
        <v>0</v>
      </c>
      <c r="L591">
        <v>349.90999999999997</v>
      </c>
      <c r="M591" t="s">
        <v>193</v>
      </c>
      <c r="N591">
        <v>71</v>
      </c>
      <c r="O591">
        <v>229</v>
      </c>
      <c r="P591">
        <v>49.97</v>
      </c>
      <c r="Q591">
        <v>228.97</v>
      </c>
    </row>
    <row r="592" spans="1:17">
      <c r="A592" s="155">
        <v>44926</v>
      </c>
      <c r="B592" t="s">
        <v>346</v>
      </c>
      <c r="C592" t="s">
        <v>8</v>
      </c>
      <c r="D592">
        <v>2022</v>
      </c>
      <c r="E592" t="s">
        <v>292</v>
      </c>
      <c r="F592" t="s">
        <v>100</v>
      </c>
      <c r="G592" t="s">
        <v>192</v>
      </c>
      <c r="H592">
        <v>1</v>
      </c>
      <c r="I592">
        <v>28</v>
      </c>
      <c r="J592">
        <v>19.600000000000001</v>
      </c>
      <c r="K592">
        <v>0</v>
      </c>
      <c r="L592">
        <v>8.4</v>
      </c>
      <c r="M592" t="s">
        <v>193</v>
      </c>
      <c r="N592">
        <v>28</v>
      </c>
      <c r="O592">
        <v>28</v>
      </c>
      <c r="P592">
        <v>8.4</v>
      </c>
      <c r="Q592">
        <v>8.4</v>
      </c>
    </row>
    <row r="593" spans="1:17">
      <c r="A593" s="155">
        <v>44926</v>
      </c>
      <c r="B593" t="s">
        <v>349</v>
      </c>
      <c r="C593" t="s">
        <v>8</v>
      </c>
      <c r="D593">
        <v>2022</v>
      </c>
      <c r="E593" t="s">
        <v>292</v>
      </c>
      <c r="F593" t="s">
        <v>100</v>
      </c>
      <c r="G593" t="s">
        <v>192</v>
      </c>
      <c r="H593">
        <v>1</v>
      </c>
      <c r="I593">
        <v>28</v>
      </c>
      <c r="J593">
        <v>19.600000000000001</v>
      </c>
      <c r="K593">
        <v>0</v>
      </c>
      <c r="L593">
        <v>8.4</v>
      </c>
      <c r="M593" t="s">
        <v>193</v>
      </c>
      <c r="N593">
        <v>28</v>
      </c>
      <c r="O593">
        <v>28</v>
      </c>
      <c r="P593">
        <v>8.4</v>
      </c>
      <c r="Q593">
        <v>8.4</v>
      </c>
    </row>
    <row r="594" spans="1:17">
      <c r="A594" s="155">
        <v>44926</v>
      </c>
      <c r="B594" t="s">
        <v>350</v>
      </c>
      <c r="C594" t="s">
        <v>8</v>
      </c>
      <c r="D594">
        <v>2022</v>
      </c>
      <c r="E594" t="s">
        <v>292</v>
      </c>
      <c r="F594" t="s">
        <v>100</v>
      </c>
      <c r="G594" t="s">
        <v>192</v>
      </c>
      <c r="H594">
        <v>1</v>
      </c>
      <c r="I594">
        <v>28</v>
      </c>
      <c r="J594">
        <v>19.600000000000001</v>
      </c>
      <c r="K594">
        <v>0</v>
      </c>
      <c r="L594">
        <v>8.4</v>
      </c>
      <c r="M594" t="s">
        <v>193</v>
      </c>
      <c r="N594">
        <v>28</v>
      </c>
      <c r="O594">
        <v>28</v>
      </c>
      <c r="P594">
        <v>8.4</v>
      </c>
      <c r="Q594">
        <v>8.4</v>
      </c>
    </row>
    <row r="595" spans="1:17">
      <c r="A595" s="155">
        <v>44926</v>
      </c>
      <c r="B595" t="s">
        <v>352</v>
      </c>
      <c r="C595" t="s">
        <v>8</v>
      </c>
      <c r="D595">
        <v>2022</v>
      </c>
      <c r="E595" t="s">
        <v>292</v>
      </c>
      <c r="F595" t="s">
        <v>100</v>
      </c>
      <c r="G595" t="s">
        <v>192</v>
      </c>
      <c r="H595">
        <v>1</v>
      </c>
      <c r="I595">
        <v>28</v>
      </c>
      <c r="J595">
        <v>19.600000000000001</v>
      </c>
      <c r="K595">
        <v>0</v>
      </c>
      <c r="L595">
        <v>8.4</v>
      </c>
      <c r="M595" t="s">
        <v>193</v>
      </c>
      <c r="N595">
        <v>28</v>
      </c>
      <c r="O595">
        <v>28</v>
      </c>
      <c r="P595">
        <v>8.4</v>
      </c>
      <c r="Q595">
        <v>8.4</v>
      </c>
    </row>
    <row r="596" spans="1:17">
      <c r="A596" s="155">
        <v>44926</v>
      </c>
      <c r="B596" t="s">
        <v>355</v>
      </c>
      <c r="C596" t="s">
        <v>8</v>
      </c>
      <c r="D596">
        <v>2022</v>
      </c>
      <c r="E596" t="s">
        <v>292</v>
      </c>
      <c r="F596" t="s">
        <v>100</v>
      </c>
      <c r="G596" t="s">
        <v>192</v>
      </c>
      <c r="H596">
        <v>1</v>
      </c>
      <c r="I596">
        <v>28</v>
      </c>
      <c r="J596">
        <v>19.600000000000001</v>
      </c>
      <c r="K596">
        <v>0</v>
      </c>
      <c r="L596">
        <v>8.4</v>
      </c>
      <c r="M596" t="s">
        <v>193</v>
      </c>
      <c r="N596">
        <v>28</v>
      </c>
      <c r="O596">
        <v>28</v>
      </c>
      <c r="P596">
        <v>8.4</v>
      </c>
      <c r="Q596">
        <v>8.4</v>
      </c>
    </row>
    <row r="597" spans="1:17">
      <c r="A597" s="155">
        <v>44926</v>
      </c>
      <c r="B597" t="s">
        <v>356</v>
      </c>
      <c r="C597" t="s">
        <v>8</v>
      </c>
      <c r="D597">
        <v>2022</v>
      </c>
      <c r="E597" t="s">
        <v>292</v>
      </c>
      <c r="F597" t="s">
        <v>100</v>
      </c>
      <c r="G597" t="s">
        <v>192</v>
      </c>
      <c r="H597">
        <v>1</v>
      </c>
      <c r="I597">
        <v>28</v>
      </c>
      <c r="J597">
        <v>19.600000000000001</v>
      </c>
      <c r="K597">
        <v>0</v>
      </c>
      <c r="L597">
        <v>8.4</v>
      </c>
      <c r="M597" t="s">
        <v>193</v>
      </c>
      <c r="N597">
        <v>28</v>
      </c>
      <c r="O597">
        <v>28</v>
      </c>
      <c r="P597">
        <v>8.4</v>
      </c>
      <c r="Q597">
        <v>8.4</v>
      </c>
    </row>
    <row r="598" spans="1:17">
      <c r="A598" s="155">
        <v>44926</v>
      </c>
      <c r="B598" t="s">
        <v>346</v>
      </c>
      <c r="C598" t="s">
        <v>8</v>
      </c>
      <c r="D598">
        <v>2022</v>
      </c>
      <c r="E598" t="s">
        <v>112</v>
      </c>
      <c r="F598" t="s">
        <v>111</v>
      </c>
      <c r="G598" t="s">
        <v>192</v>
      </c>
      <c r="H598">
        <v>617</v>
      </c>
      <c r="I598">
        <v>35231.5</v>
      </c>
      <c r="J598">
        <v>0</v>
      </c>
      <c r="K598">
        <v>1116.75</v>
      </c>
      <c r="L598">
        <v>30948.25</v>
      </c>
      <c r="M598" t="s">
        <v>193</v>
      </c>
      <c r="N598">
        <v>-65</v>
      </c>
      <c r="O598">
        <v>280</v>
      </c>
      <c r="P598">
        <v>-65</v>
      </c>
      <c r="Q598">
        <v>100</v>
      </c>
    </row>
    <row r="599" spans="1:17">
      <c r="A599" s="155">
        <v>44926</v>
      </c>
      <c r="B599" t="s">
        <v>347</v>
      </c>
      <c r="C599" t="s">
        <v>8</v>
      </c>
      <c r="D599">
        <v>2022</v>
      </c>
      <c r="E599" t="s">
        <v>112</v>
      </c>
      <c r="F599" t="s">
        <v>111</v>
      </c>
      <c r="G599" t="s">
        <v>192</v>
      </c>
      <c r="H599">
        <v>192</v>
      </c>
      <c r="I599">
        <v>10662.89</v>
      </c>
      <c r="J599">
        <v>0</v>
      </c>
      <c r="K599">
        <v>0</v>
      </c>
      <c r="L599">
        <v>9634.89</v>
      </c>
      <c r="M599" t="s">
        <v>193</v>
      </c>
      <c r="N599">
        <v>-65</v>
      </c>
      <c r="O599">
        <v>280</v>
      </c>
      <c r="P599">
        <v>-65</v>
      </c>
      <c r="Q599">
        <v>100</v>
      </c>
    </row>
    <row r="600" spans="1:17">
      <c r="A600" s="155">
        <v>44926</v>
      </c>
      <c r="B600" t="s">
        <v>359</v>
      </c>
      <c r="C600" t="s">
        <v>8</v>
      </c>
      <c r="D600">
        <v>2022</v>
      </c>
      <c r="E600" t="s">
        <v>112</v>
      </c>
      <c r="F600" t="s">
        <v>111</v>
      </c>
      <c r="G600" t="s">
        <v>192</v>
      </c>
      <c r="H600">
        <v>131</v>
      </c>
      <c r="I600">
        <v>8665</v>
      </c>
      <c r="J600">
        <v>0</v>
      </c>
      <c r="K600">
        <v>0</v>
      </c>
      <c r="L600">
        <v>6355</v>
      </c>
      <c r="M600" t="s">
        <v>193</v>
      </c>
      <c r="N600">
        <v>-65</v>
      </c>
      <c r="O600">
        <v>280</v>
      </c>
      <c r="P600">
        <v>-65</v>
      </c>
      <c r="Q600">
        <v>100</v>
      </c>
    </row>
    <row r="601" spans="1:17">
      <c r="A601" s="155">
        <v>44926</v>
      </c>
      <c r="B601" t="s">
        <v>367</v>
      </c>
      <c r="C601" t="s">
        <v>8</v>
      </c>
      <c r="D601">
        <v>2022</v>
      </c>
      <c r="E601" t="s">
        <v>112</v>
      </c>
      <c r="F601" t="s">
        <v>111</v>
      </c>
      <c r="G601" t="s">
        <v>192</v>
      </c>
      <c r="H601">
        <v>14</v>
      </c>
      <c r="I601">
        <v>840</v>
      </c>
      <c r="J601">
        <v>0</v>
      </c>
      <c r="K601">
        <v>0</v>
      </c>
      <c r="L601">
        <v>650</v>
      </c>
      <c r="M601" t="s">
        <v>193</v>
      </c>
      <c r="N601">
        <v>-65</v>
      </c>
      <c r="O601">
        <v>280</v>
      </c>
      <c r="P601">
        <v>-65</v>
      </c>
      <c r="Q601">
        <v>100</v>
      </c>
    </row>
    <row r="602" spans="1:17">
      <c r="A602" s="155">
        <v>44926</v>
      </c>
      <c r="B602" t="s">
        <v>348</v>
      </c>
      <c r="C602" t="s">
        <v>8</v>
      </c>
      <c r="D602">
        <v>2022</v>
      </c>
      <c r="E602" t="s">
        <v>112</v>
      </c>
      <c r="F602" t="s">
        <v>111</v>
      </c>
      <c r="G602" t="s">
        <v>192</v>
      </c>
      <c r="H602">
        <v>25</v>
      </c>
      <c r="I602">
        <v>1603.5</v>
      </c>
      <c r="J602">
        <v>0</v>
      </c>
      <c r="K602">
        <v>274.24</v>
      </c>
      <c r="L602">
        <v>850.7600000000001</v>
      </c>
      <c r="M602" t="s">
        <v>193</v>
      </c>
      <c r="N602">
        <v>-65</v>
      </c>
      <c r="O602">
        <v>280</v>
      </c>
      <c r="P602">
        <v>-65</v>
      </c>
      <c r="Q602">
        <v>100</v>
      </c>
    </row>
    <row r="603" spans="1:17">
      <c r="A603" s="155">
        <v>44926</v>
      </c>
      <c r="B603" t="s">
        <v>349</v>
      </c>
      <c r="C603" t="s">
        <v>8</v>
      </c>
      <c r="D603">
        <v>2022</v>
      </c>
      <c r="E603" t="s">
        <v>112</v>
      </c>
      <c r="F603" t="s">
        <v>111</v>
      </c>
      <c r="G603" t="s">
        <v>192</v>
      </c>
      <c r="H603">
        <v>356</v>
      </c>
      <c r="I603">
        <v>20177</v>
      </c>
      <c r="J603">
        <v>0</v>
      </c>
      <c r="K603">
        <v>0</v>
      </c>
      <c r="L603">
        <v>19194</v>
      </c>
      <c r="M603" t="s">
        <v>193</v>
      </c>
      <c r="N603">
        <v>-65</v>
      </c>
      <c r="O603">
        <v>280</v>
      </c>
      <c r="P603">
        <v>-65</v>
      </c>
      <c r="Q603">
        <v>100</v>
      </c>
    </row>
    <row r="604" spans="1:17">
      <c r="A604" s="155">
        <v>44926</v>
      </c>
      <c r="B604" t="s">
        <v>350</v>
      </c>
      <c r="C604" t="s">
        <v>8</v>
      </c>
      <c r="D604">
        <v>2022</v>
      </c>
      <c r="E604" t="s">
        <v>112</v>
      </c>
      <c r="F604" t="s">
        <v>111</v>
      </c>
      <c r="G604" t="s">
        <v>192</v>
      </c>
      <c r="H604">
        <v>214</v>
      </c>
      <c r="I604">
        <v>13652</v>
      </c>
      <c r="J604">
        <v>0</v>
      </c>
      <c r="K604">
        <v>195</v>
      </c>
      <c r="L604">
        <v>12719.079999999996</v>
      </c>
      <c r="M604" t="s">
        <v>193</v>
      </c>
      <c r="N604">
        <v>-65</v>
      </c>
      <c r="O604">
        <v>280</v>
      </c>
      <c r="P604">
        <v>-65</v>
      </c>
      <c r="Q604">
        <v>100</v>
      </c>
    </row>
    <row r="605" spans="1:17">
      <c r="A605" s="155">
        <v>44926</v>
      </c>
      <c r="B605" t="s">
        <v>351</v>
      </c>
      <c r="C605" t="s">
        <v>8</v>
      </c>
      <c r="D605">
        <v>2022</v>
      </c>
      <c r="E605" t="s">
        <v>112</v>
      </c>
      <c r="F605" t="s">
        <v>111</v>
      </c>
      <c r="G605" t="s">
        <v>192</v>
      </c>
      <c r="H605">
        <v>90</v>
      </c>
      <c r="I605">
        <v>5142</v>
      </c>
      <c r="J605">
        <v>0</v>
      </c>
      <c r="K605">
        <v>0</v>
      </c>
      <c r="L605">
        <v>1770</v>
      </c>
      <c r="M605" t="s">
        <v>193</v>
      </c>
      <c r="N605">
        <v>-65</v>
      </c>
      <c r="O605">
        <v>280</v>
      </c>
      <c r="P605">
        <v>-65</v>
      </c>
      <c r="Q605">
        <v>100</v>
      </c>
    </row>
    <row r="606" spans="1:17">
      <c r="A606" s="155">
        <v>44926</v>
      </c>
      <c r="B606" t="s">
        <v>368</v>
      </c>
      <c r="C606" t="s">
        <v>8</v>
      </c>
      <c r="D606">
        <v>2022</v>
      </c>
      <c r="E606" t="s">
        <v>112</v>
      </c>
      <c r="F606" t="s">
        <v>111</v>
      </c>
      <c r="G606" t="s">
        <v>192</v>
      </c>
      <c r="H606">
        <v>4</v>
      </c>
      <c r="I606">
        <v>225</v>
      </c>
      <c r="J606">
        <v>0</v>
      </c>
      <c r="K606">
        <v>0</v>
      </c>
      <c r="L606">
        <v>80</v>
      </c>
      <c r="M606" t="s">
        <v>193</v>
      </c>
      <c r="N606">
        <v>-65</v>
      </c>
      <c r="O606">
        <v>280</v>
      </c>
      <c r="P606">
        <v>-65</v>
      </c>
      <c r="Q606">
        <v>100</v>
      </c>
    </row>
    <row r="607" spans="1:17">
      <c r="A607" s="155">
        <v>44926</v>
      </c>
      <c r="B607" t="s">
        <v>369</v>
      </c>
      <c r="C607" t="s">
        <v>8</v>
      </c>
      <c r="D607">
        <v>2022</v>
      </c>
      <c r="E607" t="s">
        <v>112</v>
      </c>
      <c r="F607" t="s">
        <v>111</v>
      </c>
      <c r="G607" t="s">
        <v>192</v>
      </c>
      <c r="H607">
        <v>212</v>
      </c>
      <c r="I607">
        <v>11537</v>
      </c>
      <c r="J607">
        <v>0</v>
      </c>
      <c r="K607">
        <v>0</v>
      </c>
      <c r="L607">
        <v>4085</v>
      </c>
      <c r="M607" t="s">
        <v>193</v>
      </c>
      <c r="N607">
        <v>-65</v>
      </c>
      <c r="O607">
        <v>280</v>
      </c>
      <c r="P607">
        <v>-65</v>
      </c>
      <c r="Q607">
        <v>100</v>
      </c>
    </row>
    <row r="608" spans="1:17">
      <c r="A608" s="155">
        <v>44926</v>
      </c>
      <c r="B608" t="s">
        <v>360</v>
      </c>
      <c r="C608" t="s">
        <v>8</v>
      </c>
      <c r="D608">
        <v>2022</v>
      </c>
      <c r="E608" t="s">
        <v>112</v>
      </c>
      <c r="F608" t="s">
        <v>111</v>
      </c>
      <c r="G608" t="s">
        <v>192</v>
      </c>
      <c r="H608">
        <v>203</v>
      </c>
      <c r="I608">
        <v>11018</v>
      </c>
      <c r="J608">
        <v>0</v>
      </c>
      <c r="K608">
        <v>0</v>
      </c>
      <c r="L608">
        <v>4811</v>
      </c>
      <c r="M608" t="s">
        <v>193</v>
      </c>
      <c r="N608">
        <v>-65</v>
      </c>
      <c r="O608">
        <v>280</v>
      </c>
      <c r="P608">
        <v>-65</v>
      </c>
      <c r="Q608">
        <v>100</v>
      </c>
    </row>
    <row r="609" spans="1:17">
      <c r="A609" s="155">
        <v>44926</v>
      </c>
      <c r="B609" t="s">
        <v>361</v>
      </c>
      <c r="C609" t="s">
        <v>8</v>
      </c>
      <c r="D609">
        <v>2022</v>
      </c>
      <c r="E609" t="s">
        <v>112</v>
      </c>
      <c r="F609" t="s">
        <v>111</v>
      </c>
      <c r="G609" t="s">
        <v>192</v>
      </c>
      <c r="H609">
        <v>384</v>
      </c>
      <c r="I609">
        <v>22438.5</v>
      </c>
      <c r="J609">
        <v>0</v>
      </c>
      <c r="K609">
        <v>0</v>
      </c>
      <c r="L609">
        <v>10786.5</v>
      </c>
      <c r="M609" t="s">
        <v>193</v>
      </c>
      <c r="N609">
        <v>-65</v>
      </c>
      <c r="O609">
        <v>280</v>
      </c>
      <c r="P609">
        <v>-65</v>
      </c>
      <c r="Q609">
        <v>100</v>
      </c>
    </row>
    <row r="610" spans="1:17">
      <c r="A610" s="155">
        <v>44926</v>
      </c>
      <c r="B610" t="s">
        <v>365</v>
      </c>
      <c r="C610" t="s">
        <v>8</v>
      </c>
      <c r="D610">
        <v>2022</v>
      </c>
      <c r="E610" t="s">
        <v>112</v>
      </c>
      <c r="F610" t="s">
        <v>111</v>
      </c>
      <c r="G610" t="s">
        <v>192</v>
      </c>
      <c r="H610">
        <v>1</v>
      </c>
      <c r="I610">
        <v>70</v>
      </c>
      <c r="J610">
        <v>0</v>
      </c>
      <c r="K610">
        <v>0</v>
      </c>
      <c r="L610">
        <v>20</v>
      </c>
      <c r="M610" t="s">
        <v>193</v>
      </c>
      <c r="N610">
        <v>-65</v>
      </c>
      <c r="O610">
        <v>280</v>
      </c>
      <c r="P610">
        <v>-65</v>
      </c>
      <c r="Q610">
        <v>100</v>
      </c>
    </row>
    <row r="611" spans="1:17">
      <c r="A611" s="155">
        <v>44926</v>
      </c>
      <c r="B611" t="s">
        <v>176</v>
      </c>
      <c r="C611" t="s">
        <v>8</v>
      </c>
      <c r="D611">
        <v>2022</v>
      </c>
      <c r="E611" t="s">
        <v>112</v>
      </c>
      <c r="F611" t="s">
        <v>111</v>
      </c>
      <c r="G611" t="s">
        <v>192</v>
      </c>
      <c r="H611">
        <v>707</v>
      </c>
      <c r="I611">
        <v>43419.82</v>
      </c>
      <c r="J611">
        <v>0</v>
      </c>
      <c r="K611">
        <v>0</v>
      </c>
      <c r="L611">
        <v>30554.82</v>
      </c>
      <c r="M611" t="s">
        <v>193</v>
      </c>
      <c r="N611">
        <v>-65</v>
      </c>
      <c r="O611">
        <v>280</v>
      </c>
      <c r="P611">
        <v>-65</v>
      </c>
      <c r="Q611">
        <v>100</v>
      </c>
    </row>
    <row r="612" spans="1:17">
      <c r="A612" s="155">
        <v>44926</v>
      </c>
      <c r="B612" t="s">
        <v>372</v>
      </c>
      <c r="C612" t="s">
        <v>8</v>
      </c>
      <c r="D612">
        <v>2022</v>
      </c>
      <c r="E612" t="s">
        <v>112</v>
      </c>
      <c r="F612" t="s">
        <v>111</v>
      </c>
      <c r="G612" t="s">
        <v>192</v>
      </c>
      <c r="H612">
        <v>3</v>
      </c>
      <c r="I612">
        <v>150</v>
      </c>
      <c r="J612">
        <v>0</v>
      </c>
      <c r="K612">
        <v>0</v>
      </c>
      <c r="L612">
        <v>150</v>
      </c>
      <c r="M612" t="s">
        <v>193</v>
      </c>
      <c r="N612">
        <v>-65</v>
      </c>
      <c r="O612">
        <v>280</v>
      </c>
      <c r="P612">
        <v>-65</v>
      </c>
      <c r="Q612">
        <v>100</v>
      </c>
    </row>
    <row r="613" spans="1:17">
      <c r="A613" s="155">
        <v>44926</v>
      </c>
      <c r="B613" t="s">
        <v>352</v>
      </c>
      <c r="C613" t="s">
        <v>8</v>
      </c>
      <c r="D613">
        <v>2022</v>
      </c>
      <c r="E613" t="s">
        <v>112</v>
      </c>
      <c r="F613" t="s">
        <v>111</v>
      </c>
      <c r="G613" t="s">
        <v>192</v>
      </c>
      <c r="H613">
        <v>617</v>
      </c>
      <c r="I613">
        <v>35231.5</v>
      </c>
      <c r="J613">
        <v>0</v>
      </c>
      <c r="K613">
        <v>1116.75</v>
      </c>
      <c r="L613">
        <v>30948.25</v>
      </c>
      <c r="M613" t="s">
        <v>193</v>
      </c>
      <c r="N613">
        <v>-65</v>
      </c>
      <c r="O613">
        <v>280</v>
      </c>
      <c r="P613">
        <v>-65</v>
      </c>
      <c r="Q613">
        <v>100</v>
      </c>
    </row>
    <row r="614" spans="1:17">
      <c r="A614" s="155">
        <v>44926</v>
      </c>
      <c r="B614" t="s">
        <v>353</v>
      </c>
      <c r="C614" t="s">
        <v>8</v>
      </c>
      <c r="D614">
        <v>2022</v>
      </c>
      <c r="E614" t="s">
        <v>112</v>
      </c>
      <c r="F614" t="s">
        <v>111</v>
      </c>
      <c r="G614" t="s">
        <v>192</v>
      </c>
      <c r="H614">
        <v>192</v>
      </c>
      <c r="I614">
        <v>10662.89</v>
      </c>
      <c r="J614">
        <v>0</v>
      </c>
      <c r="K614">
        <v>0</v>
      </c>
      <c r="L614">
        <v>9634.89</v>
      </c>
      <c r="M614" t="s">
        <v>193</v>
      </c>
      <c r="N614">
        <v>-65</v>
      </c>
      <c r="O614">
        <v>280</v>
      </c>
      <c r="P614">
        <v>-65</v>
      </c>
      <c r="Q614">
        <v>100</v>
      </c>
    </row>
    <row r="615" spans="1:17">
      <c r="A615" s="155">
        <v>44926</v>
      </c>
      <c r="B615" t="s">
        <v>374</v>
      </c>
      <c r="C615" t="s">
        <v>8</v>
      </c>
      <c r="D615">
        <v>2022</v>
      </c>
      <c r="E615" t="s">
        <v>112</v>
      </c>
      <c r="F615" t="s">
        <v>111</v>
      </c>
      <c r="G615" t="s">
        <v>192</v>
      </c>
      <c r="H615">
        <v>14</v>
      </c>
      <c r="I615">
        <v>840</v>
      </c>
      <c r="J615">
        <v>0</v>
      </c>
      <c r="K615">
        <v>0</v>
      </c>
      <c r="L615">
        <v>650</v>
      </c>
      <c r="M615" t="s">
        <v>193</v>
      </c>
      <c r="N615">
        <v>-65</v>
      </c>
      <c r="O615">
        <v>280</v>
      </c>
      <c r="P615">
        <v>-65</v>
      </c>
      <c r="Q615">
        <v>100</v>
      </c>
    </row>
    <row r="616" spans="1:17">
      <c r="A616" s="155">
        <v>44926</v>
      </c>
      <c r="B616" t="s">
        <v>362</v>
      </c>
      <c r="C616" t="s">
        <v>8</v>
      </c>
      <c r="D616">
        <v>2022</v>
      </c>
      <c r="E616" t="s">
        <v>112</v>
      </c>
      <c r="F616" t="s">
        <v>111</v>
      </c>
      <c r="G616" t="s">
        <v>192</v>
      </c>
      <c r="H616">
        <v>131</v>
      </c>
      <c r="I616">
        <v>8665</v>
      </c>
      <c r="J616">
        <v>0</v>
      </c>
      <c r="K616">
        <v>0</v>
      </c>
      <c r="L616">
        <v>6355</v>
      </c>
      <c r="M616" t="s">
        <v>193</v>
      </c>
      <c r="N616">
        <v>-65</v>
      </c>
      <c r="O616">
        <v>280</v>
      </c>
      <c r="P616">
        <v>-65</v>
      </c>
      <c r="Q616">
        <v>100</v>
      </c>
    </row>
    <row r="617" spans="1:17">
      <c r="A617" s="155">
        <v>44926</v>
      </c>
      <c r="B617" t="s">
        <v>354</v>
      </c>
      <c r="C617" t="s">
        <v>8</v>
      </c>
      <c r="D617">
        <v>2022</v>
      </c>
      <c r="E617" t="s">
        <v>112</v>
      </c>
      <c r="F617" t="s">
        <v>111</v>
      </c>
      <c r="G617" t="s">
        <v>192</v>
      </c>
      <c r="H617">
        <v>25</v>
      </c>
      <c r="I617">
        <v>1603.5</v>
      </c>
      <c r="J617">
        <v>0</v>
      </c>
      <c r="K617">
        <v>274.24</v>
      </c>
      <c r="L617">
        <v>850.7600000000001</v>
      </c>
      <c r="M617" t="s">
        <v>193</v>
      </c>
      <c r="N617">
        <v>-65</v>
      </c>
      <c r="O617">
        <v>280</v>
      </c>
      <c r="P617">
        <v>-65</v>
      </c>
      <c r="Q617">
        <v>100</v>
      </c>
    </row>
    <row r="618" spans="1:17">
      <c r="A618" s="155">
        <v>44926</v>
      </c>
      <c r="B618" t="s">
        <v>355</v>
      </c>
      <c r="C618" t="s">
        <v>8</v>
      </c>
      <c r="D618">
        <v>2022</v>
      </c>
      <c r="E618" t="s">
        <v>112</v>
      </c>
      <c r="F618" t="s">
        <v>111</v>
      </c>
      <c r="G618" t="s">
        <v>192</v>
      </c>
      <c r="H618">
        <v>356</v>
      </c>
      <c r="I618">
        <v>20177</v>
      </c>
      <c r="J618">
        <v>0</v>
      </c>
      <c r="K618">
        <v>0</v>
      </c>
      <c r="L618">
        <v>19194</v>
      </c>
      <c r="M618" t="s">
        <v>193</v>
      </c>
      <c r="N618">
        <v>-65</v>
      </c>
      <c r="O618">
        <v>280</v>
      </c>
      <c r="P618">
        <v>-65</v>
      </c>
      <c r="Q618">
        <v>100</v>
      </c>
    </row>
    <row r="619" spans="1:17">
      <c r="A619" s="155">
        <v>44926</v>
      </c>
      <c r="B619" t="s">
        <v>356</v>
      </c>
      <c r="C619" t="s">
        <v>8</v>
      </c>
      <c r="D619">
        <v>2022</v>
      </c>
      <c r="E619" t="s">
        <v>112</v>
      </c>
      <c r="F619" t="s">
        <v>111</v>
      </c>
      <c r="G619" t="s">
        <v>192</v>
      </c>
      <c r="H619">
        <v>214</v>
      </c>
      <c r="I619">
        <v>13652</v>
      </c>
      <c r="J619">
        <v>0</v>
      </c>
      <c r="K619">
        <v>195</v>
      </c>
      <c r="L619">
        <v>12719.079999999996</v>
      </c>
      <c r="M619" t="s">
        <v>193</v>
      </c>
      <c r="N619">
        <v>-65</v>
      </c>
      <c r="O619">
        <v>280</v>
      </c>
      <c r="P619">
        <v>-65</v>
      </c>
      <c r="Q619">
        <v>100</v>
      </c>
    </row>
    <row r="620" spans="1:17">
      <c r="A620" s="155">
        <v>44926</v>
      </c>
      <c r="B620" t="s">
        <v>375</v>
      </c>
      <c r="C620" t="s">
        <v>8</v>
      </c>
      <c r="D620">
        <v>2022</v>
      </c>
      <c r="E620" t="s">
        <v>112</v>
      </c>
      <c r="F620" t="s">
        <v>111</v>
      </c>
      <c r="G620" t="s">
        <v>192</v>
      </c>
      <c r="H620">
        <v>4</v>
      </c>
      <c r="I620">
        <v>225</v>
      </c>
      <c r="J620">
        <v>0</v>
      </c>
      <c r="K620">
        <v>0</v>
      </c>
      <c r="L620">
        <v>80</v>
      </c>
      <c r="M620" t="s">
        <v>193</v>
      </c>
      <c r="N620">
        <v>-65</v>
      </c>
      <c r="O620">
        <v>280</v>
      </c>
      <c r="P620">
        <v>-65</v>
      </c>
      <c r="Q620">
        <v>100</v>
      </c>
    </row>
    <row r="621" spans="1:17">
      <c r="A621" s="155">
        <v>44926</v>
      </c>
      <c r="B621" t="s">
        <v>357</v>
      </c>
      <c r="C621" t="s">
        <v>8</v>
      </c>
      <c r="D621">
        <v>2022</v>
      </c>
      <c r="E621" t="s">
        <v>112</v>
      </c>
      <c r="F621" t="s">
        <v>111</v>
      </c>
      <c r="G621" t="s">
        <v>192</v>
      </c>
      <c r="H621">
        <v>90</v>
      </c>
      <c r="I621">
        <v>5142</v>
      </c>
      <c r="J621">
        <v>0</v>
      </c>
      <c r="K621">
        <v>0</v>
      </c>
      <c r="L621">
        <v>1770</v>
      </c>
      <c r="M621" t="s">
        <v>193</v>
      </c>
      <c r="N621">
        <v>-65</v>
      </c>
      <c r="O621">
        <v>280</v>
      </c>
      <c r="P621">
        <v>-65</v>
      </c>
      <c r="Q621">
        <v>100</v>
      </c>
    </row>
    <row r="622" spans="1:17">
      <c r="A622" s="155">
        <v>44926</v>
      </c>
      <c r="B622" t="s">
        <v>377</v>
      </c>
      <c r="C622" t="s">
        <v>8</v>
      </c>
      <c r="D622">
        <v>2022</v>
      </c>
      <c r="E622" t="s">
        <v>112</v>
      </c>
      <c r="F622" t="s">
        <v>111</v>
      </c>
      <c r="G622" t="s">
        <v>192</v>
      </c>
      <c r="H622">
        <v>212</v>
      </c>
      <c r="I622">
        <v>11537</v>
      </c>
      <c r="J622">
        <v>0</v>
      </c>
      <c r="K622">
        <v>0</v>
      </c>
      <c r="L622">
        <v>4085</v>
      </c>
      <c r="M622" t="s">
        <v>193</v>
      </c>
      <c r="N622">
        <v>-65</v>
      </c>
      <c r="O622">
        <v>280</v>
      </c>
      <c r="P622">
        <v>-65</v>
      </c>
      <c r="Q622">
        <v>100</v>
      </c>
    </row>
    <row r="623" spans="1:17">
      <c r="A623" s="155">
        <v>44926</v>
      </c>
      <c r="B623" t="s">
        <v>363</v>
      </c>
      <c r="C623" t="s">
        <v>8</v>
      </c>
      <c r="D623">
        <v>2022</v>
      </c>
      <c r="E623" t="s">
        <v>112</v>
      </c>
      <c r="F623" t="s">
        <v>111</v>
      </c>
      <c r="G623" t="s">
        <v>192</v>
      </c>
      <c r="H623">
        <v>203</v>
      </c>
      <c r="I623">
        <v>11018</v>
      </c>
      <c r="J623">
        <v>0</v>
      </c>
      <c r="K623">
        <v>0</v>
      </c>
      <c r="L623">
        <v>4811</v>
      </c>
      <c r="M623" t="s">
        <v>193</v>
      </c>
      <c r="N623">
        <v>-65</v>
      </c>
      <c r="O623">
        <v>280</v>
      </c>
      <c r="P623">
        <v>-65</v>
      </c>
      <c r="Q623">
        <v>100</v>
      </c>
    </row>
    <row r="624" spans="1:17">
      <c r="A624" s="155">
        <v>44926</v>
      </c>
      <c r="B624" t="s">
        <v>366</v>
      </c>
      <c r="C624" t="s">
        <v>8</v>
      </c>
      <c r="D624">
        <v>2022</v>
      </c>
      <c r="E624" t="s">
        <v>112</v>
      </c>
      <c r="F624" t="s">
        <v>111</v>
      </c>
      <c r="G624" t="s">
        <v>192</v>
      </c>
      <c r="H624">
        <v>1</v>
      </c>
      <c r="I624">
        <v>70</v>
      </c>
      <c r="J624">
        <v>0</v>
      </c>
      <c r="K624">
        <v>0</v>
      </c>
      <c r="L624">
        <v>20</v>
      </c>
      <c r="M624" t="s">
        <v>193</v>
      </c>
      <c r="N624">
        <v>-65</v>
      </c>
      <c r="O624">
        <v>280</v>
      </c>
      <c r="P624">
        <v>-65</v>
      </c>
      <c r="Q624">
        <v>100</v>
      </c>
    </row>
    <row r="625" spans="1:17">
      <c r="A625" s="155">
        <v>44926</v>
      </c>
      <c r="B625" t="s">
        <v>364</v>
      </c>
      <c r="C625" t="s">
        <v>8</v>
      </c>
      <c r="D625">
        <v>2022</v>
      </c>
      <c r="E625" t="s">
        <v>112</v>
      </c>
      <c r="F625" t="s">
        <v>111</v>
      </c>
      <c r="G625" t="s">
        <v>192</v>
      </c>
      <c r="H625">
        <v>384</v>
      </c>
      <c r="I625">
        <v>22438.5</v>
      </c>
      <c r="J625">
        <v>0</v>
      </c>
      <c r="K625">
        <v>0</v>
      </c>
      <c r="L625">
        <v>10786.5</v>
      </c>
      <c r="M625" t="s">
        <v>193</v>
      </c>
      <c r="N625">
        <v>-65</v>
      </c>
      <c r="O625">
        <v>280</v>
      </c>
      <c r="P625">
        <v>-65</v>
      </c>
      <c r="Q625">
        <v>100</v>
      </c>
    </row>
    <row r="626" spans="1:17">
      <c r="A626" s="155">
        <v>44926</v>
      </c>
      <c r="B626" t="s">
        <v>379</v>
      </c>
      <c r="C626" t="s">
        <v>8</v>
      </c>
      <c r="D626">
        <v>2022</v>
      </c>
      <c r="E626" t="s">
        <v>112</v>
      </c>
      <c r="F626" t="s">
        <v>111</v>
      </c>
      <c r="G626" t="s">
        <v>192</v>
      </c>
      <c r="H626">
        <v>3</v>
      </c>
      <c r="I626">
        <v>150</v>
      </c>
      <c r="J626">
        <v>0</v>
      </c>
      <c r="K626">
        <v>0</v>
      </c>
      <c r="L626">
        <v>150</v>
      </c>
      <c r="M626" t="s">
        <v>193</v>
      </c>
      <c r="N626">
        <v>-65</v>
      </c>
      <c r="O626">
        <v>280</v>
      </c>
      <c r="P626">
        <v>-65</v>
      </c>
      <c r="Q626">
        <v>100</v>
      </c>
    </row>
    <row r="627" spans="1:17">
      <c r="A627" s="155">
        <v>44926</v>
      </c>
      <c r="B627" t="s">
        <v>358</v>
      </c>
      <c r="C627" t="s">
        <v>8</v>
      </c>
      <c r="D627">
        <v>2022</v>
      </c>
      <c r="E627" t="s">
        <v>112</v>
      </c>
      <c r="F627" t="s">
        <v>111</v>
      </c>
      <c r="G627" t="s">
        <v>192</v>
      </c>
      <c r="H627">
        <v>707</v>
      </c>
      <c r="I627">
        <v>43419.82</v>
      </c>
      <c r="J627">
        <v>0</v>
      </c>
      <c r="K627">
        <v>0</v>
      </c>
      <c r="L627">
        <v>30554.82</v>
      </c>
      <c r="M627" t="s">
        <v>193</v>
      </c>
      <c r="N627">
        <v>-65</v>
      </c>
      <c r="O627">
        <v>280</v>
      </c>
      <c r="P627">
        <v>-65</v>
      </c>
      <c r="Q627">
        <v>100</v>
      </c>
    </row>
    <row r="628" spans="1:17">
      <c r="A628" s="155">
        <v>44926</v>
      </c>
      <c r="B628" t="s">
        <v>346</v>
      </c>
      <c r="C628" t="s">
        <v>8</v>
      </c>
      <c r="D628">
        <v>2022</v>
      </c>
      <c r="E628" t="s">
        <v>293</v>
      </c>
      <c r="F628" t="s">
        <v>111</v>
      </c>
      <c r="G628" t="s">
        <v>192</v>
      </c>
      <c r="H628">
        <v>27</v>
      </c>
      <c r="I628">
        <v>190.5</v>
      </c>
      <c r="J628">
        <v>134.60999999999999</v>
      </c>
      <c r="K628">
        <v>0</v>
      </c>
      <c r="L628">
        <v>55.89</v>
      </c>
      <c r="M628" t="s">
        <v>193</v>
      </c>
      <c r="N628">
        <v>6.3</v>
      </c>
      <c r="O628">
        <v>7.5</v>
      </c>
      <c r="P628">
        <v>0.63</v>
      </c>
      <c r="Q628">
        <v>3</v>
      </c>
    </row>
    <row r="629" spans="1:17">
      <c r="A629" s="155">
        <v>44926</v>
      </c>
      <c r="B629" t="s">
        <v>347</v>
      </c>
      <c r="C629" t="s">
        <v>8</v>
      </c>
      <c r="D629">
        <v>2022</v>
      </c>
      <c r="E629" t="s">
        <v>293</v>
      </c>
      <c r="F629" t="s">
        <v>111</v>
      </c>
      <c r="G629" t="s">
        <v>192</v>
      </c>
      <c r="H629">
        <v>13</v>
      </c>
      <c r="I629">
        <v>92.699999999999989</v>
      </c>
      <c r="J629">
        <v>64.89</v>
      </c>
      <c r="K629">
        <v>0</v>
      </c>
      <c r="L629">
        <v>27.81</v>
      </c>
      <c r="M629" t="s">
        <v>193</v>
      </c>
      <c r="N629">
        <v>6.3</v>
      </c>
      <c r="O629">
        <v>7.5</v>
      </c>
      <c r="P629">
        <v>0.63</v>
      </c>
      <c r="Q629">
        <v>3</v>
      </c>
    </row>
    <row r="630" spans="1:17">
      <c r="A630" s="155">
        <v>44926</v>
      </c>
      <c r="B630" t="s">
        <v>348</v>
      </c>
      <c r="C630" t="s">
        <v>8</v>
      </c>
      <c r="D630">
        <v>2022</v>
      </c>
      <c r="E630" t="s">
        <v>293</v>
      </c>
      <c r="F630" t="s">
        <v>111</v>
      </c>
      <c r="G630" t="s">
        <v>192</v>
      </c>
      <c r="H630">
        <v>1</v>
      </c>
      <c r="I630">
        <v>7.5</v>
      </c>
      <c r="J630">
        <v>5.25</v>
      </c>
      <c r="K630">
        <v>0</v>
      </c>
      <c r="L630">
        <v>2.25</v>
      </c>
      <c r="M630" t="s">
        <v>193</v>
      </c>
      <c r="N630">
        <v>6.3</v>
      </c>
      <c r="O630">
        <v>7.5</v>
      </c>
      <c r="P630">
        <v>0.63</v>
      </c>
      <c r="Q630">
        <v>3</v>
      </c>
    </row>
    <row r="631" spans="1:17">
      <c r="A631" s="155">
        <v>44926</v>
      </c>
      <c r="B631" t="s">
        <v>349</v>
      </c>
      <c r="C631" t="s">
        <v>8</v>
      </c>
      <c r="D631">
        <v>2022</v>
      </c>
      <c r="E631" t="s">
        <v>293</v>
      </c>
      <c r="F631" t="s">
        <v>111</v>
      </c>
      <c r="G631" t="s">
        <v>192</v>
      </c>
      <c r="H631">
        <v>16</v>
      </c>
      <c r="I631">
        <v>116.39999999999999</v>
      </c>
      <c r="J631">
        <v>80.72999999999999</v>
      </c>
      <c r="K631">
        <v>0</v>
      </c>
      <c r="L631">
        <v>35.67</v>
      </c>
      <c r="M631" t="s">
        <v>193</v>
      </c>
      <c r="N631">
        <v>6.3</v>
      </c>
      <c r="O631">
        <v>7.5</v>
      </c>
      <c r="P631">
        <v>0.63</v>
      </c>
      <c r="Q631">
        <v>3</v>
      </c>
    </row>
    <row r="632" spans="1:17">
      <c r="A632" s="155">
        <v>44926</v>
      </c>
      <c r="B632" t="s">
        <v>350</v>
      </c>
      <c r="C632" t="s">
        <v>8</v>
      </c>
      <c r="D632">
        <v>2022</v>
      </c>
      <c r="E632" t="s">
        <v>293</v>
      </c>
      <c r="F632" t="s">
        <v>111</v>
      </c>
      <c r="G632" t="s">
        <v>192</v>
      </c>
      <c r="H632">
        <v>18</v>
      </c>
      <c r="I632">
        <v>127.8</v>
      </c>
      <c r="J632">
        <v>89.46</v>
      </c>
      <c r="K632">
        <v>0</v>
      </c>
      <c r="L632">
        <v>38.340000000000003</v>
      </c>
      <c r="M632" t="s">
        <v>193</v>
      </c>
      <c r="N632">
        <v>6.3</v>
      </c>
      <c r="O632">
        <v>7.5</v>
      </c>
      <c r="P632">
        <v>0.63</v>
      </c>
      <c r="Q632">
        <v>3</v>
      </c>
    </row>
    <row r="633" spans="1:17">
      <c r="A633" s="155">
        <v>44926</v>
      </c>
      <c r="B633" t="s">
        <v>352</v>
      </c>
      <c r="C633" t="s">
        <v>8</v>
      </c>
      <c r="D633">
        <v>2022</v>
      </c>
      <c r="E633" t="s">
        <v>293</v>
      </c>
      <c r="F633" t="s">
        <v>111</v>
      </c>
      <c r="G633" t="s">
        <v>192</v>
      </c>
      <c r="H633">
        <v>27</v>
      </c>
      <c r="I633">
        <v>190.50000000000006</v>
      </c>
      <c r="J633">
        <v>134.60999999999999</v>
      </c>
      <c r="K633">
        <v>0</v>
      </c>
      <c r="L633">
        <v>55.890000000000008</v>
      </c>
      <c r="M633" t="s">
        <v>193</v>
      </c>
      <c r="N633">
        <v>6.3</v>
      </c>
      <c r="O633">
        <v>7.5</v>
      </c>
      <c r="P633">
        <v>0.63</v>
      </c>
      <c r="Q633">
        <v>3</v>
      </c>
    </row>
    <row r="634" spans="1:17">
      <c r="A634" s="155">
        <v>44926</v>
      </c>
      <c r="B634" t="s">
        <v>353</v>
      </c>
      <c r="C634" t="s">
        <v>8</v>
      </c>
      <c r="D634">
        <v>2022</v>
      </c>
      <c r="E634" t="s">
        <v>293</v>
      </c>
      <c r="F634" t="s">
        <v>111</v>
      </c>
      <c r="G634" t="s">
        <v>192</v>
      </c>
      <c r="H634">
        <v>13</v>
      </c>
      <c r="I634">
        <v>92.699999999999989</v>
      </c>
      <c r="J634">
        <v>64.889999999999986</v>
      </c>
      <c r="K634">
        <v>0</v>
      </c>
      <c r="L634">
        <v>27.810000000000002</v>
      </c>
      <c r="M634" t="s">
        <v>193</v>
      </c>
      <c r="N634">
        <v>6.3</v>
      </c>
      <c r="O634">
        <v>7.5</v>
      </c>
      <c r="P634">
        <v>0.63</v>
      </c>
      <c r="Q634">
        <v>3</v>
      </c>
    </row>
    <row r="635" spans="1:17">
      <c r="A635" s="155">
        <v>44926</v>
      </c>
      <c r="B635" t="s">
        <v>354</v>
      </c>
      <c r="C635" t="s">
        <v>8</v>
      </c>
      <c r="D635">
        <v>2022</v>
      </c>
      <c r="E635" t="s">
        <v>293</v>
      </c>
      <c r="F635" t="s">
        <v>111</v>
      </c>
      <c r="G635" t="s">
        <v>192</v>
      </c>
      <c r="H635">
        <v>1</v>
      </c>
      <c r="I635">
        <v>7.5</v>
      </c>
      <c r="J635">
        <v>5.25</v>
      </c>
      <c r="K635">
        <v>0</v>
      </c>
      <c r="L635">
        <v>2.25</v>
      </c>
      <c r="M635" t="s">
        <v>193</v>
      </c>
      <c r="N635">
        <v>6.3</v>
      </c>
      <c r="O635">
        <v>7.5</v>
      </c>
      <c r="P635">
        <v>0.63</v>
      </c>
      <c r="Q635">
        <v>3</v>
      </c>
    </row>
    <row r="636" spans="1:17">
      <c r="A636" s="155">
        <v>44926</v>
      </c>
      <c r="B636" t="s">
        <v>355</v>
      </c>
      <c r="C636" t="s">
        <v>8</v>
      </c>
      <c r="D636">
        <v>2022</v>
      </c>
      <c r="E636" t="s">
        <v>293</v>
      </c>
      <c r="F636" t="s">
        <v>111</v>
      </c>
      <c r="G636" t="s">
        <v>192</v>
      </c>
      <c r="H636">
        <v>16</v>
      </c>
      <c r="I636">
        <v>116.39999999999999</v>
      </c>
      <c r="J636">
        <v>80.72999999999999</v>
      </c>
      <c r="K636">
        <v>0</v>
      </c>
      <c r="L636">
        <v>35.67</v>
      </c>
      <c r="M636" t="s">
        <v>193</v>
      </c>
      <c r="N636">
        <v>6.3</v>
      </c>
      <c r="O636">
        <v>7.5</v>
      </c>
      <c r="P636">
        <v>0.63</v>
      </c>
      <c r="Q636">
        <v>3</v>
      </c>
    </row>
    <row r="637" spans="1:17">
      <c r="A637" s="155">
        <v>44926</v>
      </c>
      <c r="B637" t="s">
        <v>356</v>
      </c>
      <c r="C637" t="s">
        <v>8</v>
      </c>
      <c r="D637">
        <v>2022</v>
      </c>
      <c r="E637" t="s">
        <v>293</v>
      </c>
      <c r="F637" t="s">
        <v>111</v>
      </c>
      <c r="G637" t="s">
        <v>192</v>
      </c>
      <c r="H637">
        <v>18</v>
      </c>
      <c r="I637">
        <v>127.8</v>
      </c>
      <c r="J637">
        <v>89.46</v>
      </c>
      <c r="K637">
        <v>0</v>
      </c>
      <c r="L637">
        <v>38.340000000000003</v>
      </c>
      <c r="M637" t="s">
        <v>193</v>
      </c>
      <c r="N637">
        <v>6.3</v>
      </c>
      <c r="O637">
        <v>7.5</v>
      </c>
      <c r="P637">
        <v>0.63</v>
      </c>
      <c r="Q637">
        <v>3</v>
      </c>
    </row>
    <row r="638" spans="1:17">
      <c r="A638" s="155">
        <v>44926</v>
      </c>
      <c r="B638" t="s">
        <v>346</v>
      </c>
      <c r="C638" t="s">
        <v>8</v>
      </c>
      <c r="D638">
        <v>2022</v>
      </c>
      <c r="E638" t="s">
        <v>113</v>
      </c>
      <c r="F638" t="s">
        <v>111</v>
      </c>
      <c r="G638" t="s">
        <v>192</v>
      </c>
      <c r="H638">
        <v>14</v>
      </c>
      <c r="I638">
        <v>427.07999999999993</v>
      </c>
      <c r="J638">
        <v>0</v>
      </c>
      <c r="K638">
        <v>25</v>
      </c>
      <c r="L638">
        <v>198.25000000000003</v>
      </c>
      <c r="M638" t="s">
        <v>193</v>
      </c>
      <c r="N638">
        <v>-44.93</v>
      </c>
      <c r="O638">
        <v>206.7</v>
      </c>
      <c r="P638">
        <v>-25</v>
      </c>
      <c r="Q638">
        <v>68.56</v>
      </c>
    </row>
    <row r="639" spans="1:17">
      <c r="A639" s="155">
        <v>44926</v>
      </c>
      <c r="B639" t="s">
        <v>347</v>
      </c>
      <c r="C639" t="s">
        <v>8</v>
      </c>
      <c r="D639">
        <v>2022</v>
      </c>
      <c r="E639" t="s">
        <v>113</v>
      </c>
      <c r="F639" t="s">
        <v>111</v>
      </c>
      <c r="G639" t="s">
        <v>192</v>
      </c>
      <c r="H639">
        <v>5</v>
      </c>
      <c r="I639">
        <v>183.22000000000003</v>
      </c>
      <c r="J639">
        <v>0</v>
      </c>
      <c r="K639">
        <v>0</v>
      </c>
      <c r="L639">
        <v>95.3</v>
      </c>
      <c r="M639" t="s">
        <v>193</v>
      </c>
      <c r="N639">
        <v>-44.93</v>
      </c>
      <c r="O639">
        <v>206.7</v>
      </c>
      <c r="P639">
        <v>-25</v>
      </c>
      <c r="Q639">
        <v>68.56</v>
      </c>
    </row>
    <row r="640" spans="1:17">
      <c r="A640" s="155">
        <v>44926</v>
      </c>
      <c r="B640" t="s">
        <v>367</v>
      </c>
      <c r="C640" t="s">
        <v>8</v>
      </c>
      <c r="D640">
        <v>2022</v>
      </c>
      <c r="E640" t="s">
        <v>113</v>
      </c>
      <c r="F640" t="s">
        <v>111</v>
      </c>
      <c r="G640" t="s">
        <v>192</v>
      </c>
      <c r="H640">
        <v>2</v>
      </c>
      <c r="I640">
        <v>98</v>
      </c>
      <c r="J640">
        <v>0</v>
      </c>
      <c r="K640">
        <v>0</v>
      </c>
      <c r="L640">
        <v>98</v>
      </c>
      <c r="M640" t="s">
        <v>193</v>
      </c>
      <c r="N640">
        <v>-44.93</v>
      </c>
      <c r="O640">
        <v>206.7</v>
      </c>
      <c r="P640">
        <v>-25</v>
      </c>
      <c r="Q640">
        <v>68.56</v>
      </c>
    </row>
    <row r="641" spans="1:17">
      <c r="A641" s="155">
        <v>44926</v>
      </c>
      <c r="B641" t="s">
        <v>349</v>
      </c>
      <c r="C641" t="s">
        <v>8</v>
      </c>
      <c r="D641">
        <v>2022</v>
      </c>
      <c r="E641" t="s">
        <v>113</v>
      </c>
      <c r="F641" t="s">
        <v>111</v>
      </c>
      <c r="G641" t="s">
        <v>192</v>
      </c>
      <c r="H641">
        <v>11</v>
      </c>
      <c r="I641">
        <v>663.85</v>
      </c>
      <c r="J641">
        <v>0</v>
      </c>
      <c r="K641">
        <v>0</v>
      </c>
      <c r="L641">
        <v>407.6099999999999</v>
      </c>
      <c r="M641" t="s">
        <v>193</v>
      </c>
      <c r="N641">
        <v>-44.93</v>
      </c>
      <c r="O641">
        <v>206.7</v>
      </c>
      <c r="P641">
        <v>-25</v>
      </c>
      <c r="Q641">
        <v>68.56</v>
      </c>
    </row>
    <row r="642" spans="1:17">
      <c r="A642" s="155">
        <v>44926</v>
      </c>
      <c r="B642" t="s">
        <v>350</v>
      </c>
      <c r="C642" t="s">
        <v>8</v>
      </c>
      <c r="D642">
        <v>2022</v>
      </c>
      <c r="E642" t="s">
        <v>113</v>
      </c>
      <c r="F642" t="s">
        <v>111</v>
      </c>
      <c r="G642" t="s">
        <v>192</v>
      </c>
      <c r="H642">
        <v>4</v>
      </c>
      <c r="I642">
        <v>169</v>
      </c>
      <c r="J642">
        <v>0</v>
      </c>
      <c r="K642">
        <v>0</v>
      </c>
      <c r="L642">
        <v>130.81</v>
      </c>
      <c r="M642" t="s">
        <v>193</v>
      </c>
      <c r="N642">
        <v>-44.93</v>
      </c>
      <c r="O642">
        <v>206.7</v>
      </c>
      <c r="P642">
        <v>-25</v>
      </c>
      <c r="Q642">
        <v>68.56</v>
      </c>
    </row>
    <row r="643" spans="1:17">
      <c r="A643" s="155">
        <v>44926</v>
      </c>
      <c r="B643" t="s">
        <v>369</v>
      </c>
      <c r="C643" t="s">
        <v>8</v>
      </c>
      <c r="D643">
        <v>2022</v>
      </c>
      <c r="E643" t="s">
        <v>113</v>
      </c>
      <c r="F643" t="s">
        <v>111</v>
      </c>
      <c r="G643" t="s">
        <v>192</v>
      </c>
      <c r="H643">
        <v>1</v>
      </c>
      <c r="I643">
        <v>19.07</v>
      </c>
      <c r="J643">
        <v>0</v>
      </c>
      <c r="K643">
        <v>0</v>
      </c>
      <c r="L643">
        <v>10</v>
      </c>
      <c r="M643" t="s">
        <v>193</v>
      </c>
      <c r="N643">
        <v>-44.93</v>
      </c>
      <c r="O643">
        <v>206.7</v>
      </c>
      <c r="P643">
        <v>-25</v>
      </c>
      <c r="Q643">
        <v>68.56</v>
      </c>
    </row>
    <row r="644" spans="1:17">
      <c r="A644" s="155">
        <v>44926</v>
      </c>
      <c r="B644" t="s">
        <v>360</v>
      </c>
      <c r="C644" t="s">
        <v>8</v>
      </c>
      <c r="D644">
        <v>2022</v>
      </c>
      <c r="E644" t="s">
        <v>113</v>
      </c>
      <c r="F644" t="s">
        <v>111</v>
      </c>
      <c r="G644" t="s">
        <v>192</v>
      </c>
      <c r="H644">
        <v>1</v>
      </c>
      <c r="I644">
        <v>32.049999999999997</v>
      </c>
      <c r="J644">
        <v>0</v>
      </c>
      <c r="K644">
        <v>0</v>
      </c>
      <c r="L644">
        <v>10</v>
      </c>
      <c r="M644" t="s">
        <v>193</v>
      </c>
      <c r="N644">
        <v>-44.93</v>
      </c>
      <c r="O644">
        <v>206.7</v>
      </c>
      <c r="P644">
        <v>-25</v>
      </c>
      <c r="Q644">
        <v>68.56</v>
      </c>
    </row>
    <row r="645" spans="1:17">
      <c r="A645" s="155">
        <v>44926</v>
      </c>
      <c r="B645" t="s">
        <v>361</v>
      </c>
      <c r="C645" t="s">
        <v>8</v>
      </c>
      <c r="D645">
        <v>2022</v>
      </c>
      <c r="E645" t="s">
        <v>113</v>
      </c>
      <c r="F645" t="s">
        <v>111</v>
      </c>
      <c r="G645" t="s">
        <v>192</v>
      </c>
      <c r="H645">
        <v>2</v>
      </c>
      <c r="I645">
        <v>227.48</v>
      </c>
      <c r="J645">
        <v>0</v>
      </c>
      <c r="K645">
        <v>0</v>
      </c>
      <c r="L645">
        <v>30</v>
      </c>
      <c r="M645" t="s">
        <v>193</v>
      </c>
      <c r="N645">
        <v>-44.93</v>
      </c>
      <c r="O645">
        <v>206.7</v>
      </c>
      <c r="P645">
        <v>-25</v>
      </c>
      <c r="Q645">
        <v>68.56</v>
      </c>
    </row>
    <row r="646" spans="1:17">
      <c r="A646" s="155">
        <v>44926</v>
      </c>
      <c r="B646" t="s">
        <v>176</v>
      </c>
      <c r="C646" t="s">
        <v>8</v>
      </c>
      <c r="D646">
        <v>2022</v>
      </c>
      <c r="E646" t="s">
        <v>113</v>
      </c>
      <c r="F646" t="s">
        <v>111</v>
      </c>
      <c r="G646" t="s">
        <v>192</v>
      </c>
      <c r="H646">
        <v>10</v>
      </c>
      <c r="I646">
        <v>554.88</v>
      </c>
      <c r="J646">
        <v>0</v>
      </c>
      <c r="K646">
        <v>0</v>
      </c>
      <c r="L646">
        <v>282.13</v>
      </c>
      <c r="M646" t="s">
        <v>193</v>
      </c>
      <c r="N646">
        <v>-44.93</v>
      </c>
      <c r="O646">
        <v>206.7</v>
      </c>
      <c r="P646">
        <v>-25</v>
      </c>
      <c r="Q646">
        <v>68.56</v>
      </c>
    </row>
    <row r="647" spans="1:17">
      <c r="A647" s="155">
        <v>44926</v>
      </c>
      <c r="B647" t="s">
        <v>352</v>
      </c>
      <c r="C647" t="s">
        <v>8</v>
      </c>
      <c r="D647">
        <v>2022</v>
      </c>
      <c r="E647" t="s">
        <v>113</v>
      </c>
      <c r="F647" t="s">
        <v>111</v>
      </c>
      <c r="G647" t="s">
        <v>192</v>
      </c>
      <c r="H647">
        <v>14</v>
      </c>
      <c r="I647">
        <v>427.07999999999993</v>
      </c>
      <c r="J647">
        <v>0</v>
      </c>
      <c r="K647">
        <v>25</v>
      </c>
      <c r="L647">
        <v>198.25000000000003</v>
      </c>
      <c r="M647" t="s">
        <v>193</v>
      </c>
      <c r="N647">
        <v>-44.93</v>
      </c>
      <c r="O647">
        <v>206.7</v>
      </c>
      <c r="P647">
        <v>-25</v>
      </c>
      <c r="Q647">
        <v>68.56</v>
      </c>
    </row>
    <row r="648" spans="1:17">
      <c r="A648" s="155">
        <v>44926</v>
      </c>
      <c r="B648" t="s">
        <v>353</v>
      </c>
      <c r="C648" t="s">
        <v>8</v>
      </c>
      <c r="D648">
        <v>2022</v>
      </c>
      <c r="E648" t="s">
        <v>113</v>
      </c>
      <c r="F648" t="s">
        <v>111</v>
      </c>
      <c r="G648" t="s">
        <v>192</v>
      </c>
      <c r="H648">
        <v>5</v>
      </c>
      <c r="I648">
        <v>183.22000000000003</v>
      </c>
      <c r="J648">
        <v>0</v>
      </c>
      <c r="K648">
        <v>0</v>
      </c>
      <c r="L648">
        <v>95.3</v>
      </c>
      <c r="M648" t="s">
        <v>193</v>
      </c>
      <c r="N648">
        <v>-44.93</v>
      </c>
      <c r="O648">
        <v>206.7</v>
      </c>
      <c r="P648">
        <v>-25</v>
      </c>
      <c r="Q648">
        <v>68.56</v>
      </c>
    </row>
    <row r="649" spans="1:17">
      <c r="A649" s="155">
        <v>44926</v>
      </c>
      <c r="B649" t="s">
        <v>374</v>
      </c>
      <c r="C649" t="s">
        <v>8</v>
      </c>
      <c r="D649">
        <v>2022</v>
      </c>
      <c r="E649" t="s">
        <v>113</v>
      </c>
      <c r="F649" t="s">
        <v>111</v>
      </c>
      <c r="G649" t="s">
        <v>192</v>
      </c>
      <c r="H649">
        <v>2</v>
      </c>
      <c r="I649">
        <v>98</v>
      </c>
      <c r="J649">
        <v>0</v>
      </c>
      <c r="K649">
        <v>0</v>
      </c>
      <c r="L649">
        <v>98</v>
      </c>
      <c r="M649" t="s">
        <v>193</v>
      </c>
      <c r="N649">
        <v>-44.93</v>
      </c>
      <c r="O649">
        <v>206.7</v>
      </c>
      <c r="P649">
        <v>-25</v>
      </c>
      <c r="Q649">
        <v>68.56</v>
      </c>
    </row>
    <row r="650" spans="1:17">
      <c r="A650" s="155">
        <v>44926</v>
      </c>
      <c r="B650" t="s">
        <v>355</v>
      </c>
      <c r="C650" t="s">
        <v>8</v>
      </c>
      <c r="D650">
        <v>2022</v>
      </c>
      <c r="E650" t="s">
        <v>113</v>
      </c>
      <c r="F650" t="s">
        <v>111</v>
      </c>
      <c r="G650" t="s">
        <v>192</v>
      </c>
      <c r="H650">
        <v>11</v>
      </c>
      <c r="I650">
        <v>663.84999999999991</v>
      </c>
      <c r="J650">
        <v>0</v>
      </c>
      <c r="K650">
        <v>0</v>
      </c>
      <c r="L650">
        <v>407.60999999999996</v>
      </c>
      <c r="M650" t="s">
        <v>193</v>
      </c>
      <c r="N650">
        <v>-44.93</v>
      </c>
      <c r="O650">
        <v>206.7</v>
      </c>
      <c r="P650">
        <v>-25</v>
      </c>
      <c r="Q650">
        <v>68.56</v>
      </c>
    </row>
    <row r="651" spans="1:17">
      <c r="A651" s="155">
        <v>44926</v>
      </c>
      <c r="B651" t="s">
        <v>356</v>
      </c>
      <c r="C651" t="s">
        <v>8</v>
      </c>
      <c r="D651">
        <v>2022</v>
      </c>
      <c r="E651" t="s">
        <v>113</v>
      </c>
      <c r="F651" t="s">
        <v>111</v>
      </c>
      <c r="G651" t="s">
        <v>192</v>
      </c>
      <c r="H651">
        <v>4</v>
      </c>
      <c r="I651">
        <v>169</v>
      </c>
      <c r="J651">
        <v>0</v>
      </c>
      <c r="K651">
        <v>0</v>
      </c>
      <c r="L651">
        <v>130.81</v>
      </c>
      <c r="M651" t="s">
        <v>193</v>
      </c>
      <c r="N651">
        <v>-44.93</v>
      </c>
      <c r="O651">
        <v>206.7</v>
      </c>
      <c r="P651">
        <v>-25</v>
      </c>
      <c r="Q651">
        <v>68.56</v>
      </c>
    </row>
    <row r="652" spans="1:17">
      <c r="A652" s="155">
        <v>44926</v>
      </c>
      <c r="B652" t="s">
        <v>377</v>
      </c>
      <c r="C652" t="s">
        <v>8</v>
      </c>
      <c r="D652">
        <v>2022</v>
      </c>
      <c r="E652" t="s">
        <v>113</v>
      </c>
      <c r="F652" t="s">
        <v>111</v>
      </c>
      <c r="G652" t="s">
        <v>192</v>
      </c>
      <c r="H652">
        <v>1</v>
      </c>
      <c r="I652">
        <v>19.07</v>
      </c>
      <c r="J652">
        <v>0</v>
      </c>
      <c r="K652">
        <v>0</v>
      </c>
      <c r="L652">
        <v>10</v>
      </c>
      <c r="M652" t="s">
        <v>193</v>
      </c>
      <c r="N652">
        <v>-44.93</v>
      </c>
      <c r="O652">
        <v>206.7</v>
      </c>
      <c r="P652">
        <v>-25</v>
      </c>
      <c r="Q652">
        <v>68.56</v>
      </c>
    </row>
    <row r="653" spans="1:17">
      <c r="A653" s="155">
        <v>44926</v>
      </c>
      <c r="B653" t="s">
        <v>363</v>
      </c>
      <c r="C653" t="s">
        <v>8</v>
      </c>
      <c r="D653">
        <v>2022</v>
      </c>
      <c r="E653" t="s">
        <v>113</v>
      </c>
      <c r="F653" t="s">
        <v>111</v>
      </c>
      <c r="G653" t="s">
        <v>192</v>
      </c>
      <c r="H653">
        <v>1</v>
      </c>
      <c r="I653">
        <v>32.049999999999997</v>
      </c>
      <c r="J653">
        <v>0</v>
      </c>
      <c r="K653">
        <v>0</v>
      </c>
      <c r="L653">
        <v>10</v>
      </c>
      <c r="M653" t="s">
        <v>193</v>
      </c>
      <c r="N653">
        <v>-44.93</v>
      </c>
      <c r="O653">
        <v>206.7</v>
      </c>
      <c r="P653">
        <v>-25</v>
      </c>
      <c r="Q653">
        <v>68.56</v>
      </c>
    </row>
    <row r="654" spans="1:17">
      <c r="A654" s="155">
        <v>44926</v>
      </c>
      <c r="B654" t="s">
        <v>364</v>
      </c>
      <c r="C654" t="s">
        <v>8</v>
      </c>
      <c r="D654">
        <v>2022</v>
      </c>
      <c r="E654" t="s">
        <v>113</v>
      </c>
      <c r="F654" t="s">
        <v>111</v>
      </c>
      <c r="G654" t="s">
        <v>192</v>
      </c>
      <c r="H654">
        <v>2</v>
      </c>
      <c r="I654">
        <v>227.48</v>
      </c>
      <c r="J654">
        <v>0</v>
      </c>
      <c r="K654">
        <v>0</v>
      </c>
      <c r="L654">
        <v>30</v>
      </c>
      <c r="M654" t="s">
        <v>193</v>
      </c>
      <c r="N654">
        <v>-44.93</v>
      </c>
      <c r="O654">
        <v>206.7</v>
      </c>
      <c r="P654">
        <v>-25</v>
      </c>
      <c r="Q654">
        <v>68.56</v>
      </c>
    </row>
    <row r="655" spans="1:17">
      <c r="A655" s="155">
        <v>44926</v>
      </c>
      <c r="B655" t="s">
        <v>358</v>
      </c>
      <c r="C655" t="s">
        <v>8</v>
      </c>
      <c r="D655">
        <v>2022</v>
      </c>
      <c r="E655" t="s">
        <v>113</v>
      </c>
      <c r="F655" t="s">
        <v>111</v>
      </c>
      <c r="G655" t="s">
        <v>192</v>
      </c>
      <c r="H655">
        <v>10</v>
      </c>
      <c r="I655">
        <v>554.88</v>
      </c>
      <c r="J655">
        <v>0</v>
      </c>
      <c r="K655">
        <v>0</v>
      </c>
      <c r="L655">
        <v>282.13</v>
      </c>
      <c r="M655" t="s">
        <v>193</v>
      </c>
      <c r="N655">
        <v>-44.93</v>
      </c>
      <c r="O655">
        <v>206.7</v>
      </c>
      <c r="P655">
        <v>-25</v>
      </c>
      <c r="Q655">
        <v>68.56</v>
      </c>
    </row>
    <row r="656" spans="1:17">
      <c r="A656" s="155">
        <v>44926</v>
      </c>
      <c r="B656" t="s">
        <v>346</v>
      </c>
      <c r="C656" t="s">
        <v>8</v>
      </c>
      <c r="D656">
        <v>2022</v>
      </c>
      <c r="E656" t="s">
        <v>294</v>
      </c>
      <c r="F656" t="s">
        <v>114</v>
      </c>
      <c r="G656" t="s">
        <v>192</v>
      </c>
      <c r="H656">
        <v>953</v>
      </c>
      <c r="I656">
        <v>40861.900000000031</v>
      </c>
      <c r="J656">
        <v>20793.119999999995</v>
      </c>
      <c r="K656">
        <v>911.38000000000011</v>
      </c>
      <c r="L656">
        <v>9548.1799999999948</v>
      </c>
      <c r="M656" t="s">
        <v>193</v>
      </c>
      <c r="N656">
        <v>-190.4</v>
      </c>
      <c r="O656">
        <v>314.25</v>
      </c>
      <c r="P656">
        <v>-36.950000000000003</v>
      </c>
      <c r="Q656">
        <v>115.95</v>
      </c>
    </row>
    <row r="657" spans="1:17">
      <c r="A657" s="155">
        <v>44926</v>
      </c>
      <c r="B657" t="s">
        <v>347</v>
      </c>
      <c r="C657" t="s">
        <v>8</v>
      </c>
      <c r="D657">
        <v>2022</v>
      </c>
      <c r="E657" t="s">
        <v>294</v>
      </c>
      <c r="F657" t="s">
        <v>114</v>
      </c>
      <c r="G657" t="s">
        <v>192</v>
      </c>
      <c r="H657">
        <v>572</v>
      </c>
      <c r="I657">
        <v>19319.970000000005</v>
      </c>
      <c r="J657">
        <v>10688.970000000021</v>
      </c>
      <c r="K657">
        <v>82.210000000000008</v>
      </c>
      <c r="L657">
        <v>4661.4999999999845</v>
      </c>
      <c r="M657" t="s">
        <v>193</v>
      </c>
      <c r="N657">
        <v>-190.4</v>
      </c>
      <c r="O657">
        <v>314.25</v>
      </c>
      <c r="P657">
        <v>-36.950000000000003</v>
      </c>
      <c r="Q657">
        <v>115.95</v>
      </c>
    </row>
    <row r="658" spans="1:17">
      <c r="A658" s="155">
        <v>44926</v>
      </c>
      <c r="B658" t="s">
        <v>348</v>
      </c>
      <c r="C658" t="s">
        <v>8</v>
      </c>
      <c r="D658">
        <v>2022</v>
      </c>
      <c r="E658" t="s">
        <v>294</v>
      </c>
      <c r="F658" t="s">
        <v>114</v>
      </c>
      <c r="G658" t="s">
        <v>192</v>
      </c>
      <c r="H658">
        <v>21</v>
      </c>
      <c r="I658">
        <v>1011.85</v>
      </c>
      <c r="J658">
        <v>377.9799999999999</v>
      </c>
      <c r="K658">
        <v>318.52</v>
      </c>
      <c r="L658">
        <v>274.83999999999997</v>
      </c>
      <c r="M658" t="s">
        <v>193</v>
      </c>
      <c r="N658">
        <v>-190.4</v>
      </c>
      <c r="O658">
        <v>314.25</v>
      </c>
      <c r="P658">
        <v>-36.950000000000003</v>
      </c>
      <c r="Q658">
        <v>115.95</v>
      </c>
    </row>
    <row r="659" spans="1:17">
      <c r="A659" s="155">
        <v>44926</v>
      </c>
      <c r="B659" t="s">
        <v>349</v>
      </c>
      <c r="C659" t="s">
        <v>8</v>
      </c>
      <c r="D659">
        <v>2022</v>
      </c>
      <c r="E659" t="s">
        <v>294</v>
      </c>
      <c r="F659" t="s">
        <v>114</v>
      </c>
      <c r="G659" t="s">
        <v>192</v>
      </c>
      <c r="H659">
        <v>335</v>
      </c>
      <c r="I659">
        <v>14129.820000000005</v>
      </c>
      <c r="J659">
        <v>7494.1100000000033</v>
      </c>
      <c r="K659">
        <v>82.72</v>
      </c>
      <c r="L659">
        <v>5422.0299999999934</v>
      </c>
      <c r="M659" t="s">
        <v>193</v>
      </c>
      <c r="N659">
        <v>-190.4</v>
      </c>
      <c r="O659">
        <v>314.25</v>
      </c>
      <c r="P659">
        <v>-36.950000000000003</v>
      </c>
      <c r="Q659">
        <v>115.95</v>
      </c>
    </row>
    <row r="660" spans="1:17">
      <c r="A660" s="155">
        <v>44926</v>
      </c>
      <c r="B660" t="s">
        <v>350</v>
      </c>
      <c r="C660" t="s">
        <v>8</v>
      </c>
      <c r="D660">
        <v>2022</v>
      </c>
      <c r="E660" t="s">
        <v>294</v>
      </c>
      <c r="F660" t="s">
        <v>114</v>
      </c>
      <c r="G660" t="s">
        <v>192</v>
      </c>
      <c r="H660">
        <v>415</v>
      </c>
      <c r="I660">
        <v>24069.920000000024</v>
      </c>
      <c r="J660">
        <v>9296.6900000000023</v>
      </c>
      <c r="K660">
        <v>2389.0899999999988</v>
      </c>
      <c r="L660">
        <v>9835.5399999999936</v>
      </c>
      <c r="M660" t="s">
        <v>193</v>
      </c>
      <c r="N660">
        <v>-190.4</v>
      </c>
      <c r="O660">
        <v>314.25</v>
      </c>
      <c r="P660">
        <v>-36.950000000000003</v>
      </c>
      <c r="Q660">
        <v>115.95</v>
      </c>
    </row>
    <row r="661" spans="1:17">
      <c r="A661" s="155">
        <v>44926</v>
      </c>
      <c r="B661" t="s">
        <v>361</v>
      </c>
      <c r="C661" t="s">
        <v>8</v>
      </c>
      <c r="D661">
        <v>2022</v>
      </c>
      <c r="E661" t="s">
        <v>294</v>
      </c>
      <c r="F661" t="s">
        <v>114</v>
      </c>
      <c r="G661" t="s">
        <v>192</v>
      </c>
      <c r="H661">
        <v>21</v>
      </c>
      <c r="I661">
        <v>551.70000000000005</v>
      </c>
      <c r="J661">
        <v>386.2</v>
      </c>
      <c r="K661">
        <v>0</v>
      </c>
      <c r="L661">
        <v>165.49999999999997</v>
      </c>
      <c r="M661" t="s">
        <v>193</v>
      </c>
      <c r="N661">
        <v>-190.4</v>
      </c>
      <c r="O661">
        <v>314.25</v>
      </c>
      <c r="P661">
        <v>-36.950000000000003</v>
      </c>
      <c r="Q661">
        <v>115.95</v>
      </c>
    </row>
    <row r="662" spans="1:17">
      <c r="A662" s="155">
        <v>44926</v>
      </c>
      <c r="B662" t="s">
        <v>365</v>
      </c>
      <c r="C662" t="s">
        <v>8</v>
      </c>
      <c r="D662">
        <v>2022</v>
      </c>
      <c r="E662" t="s">
        <v>294</v>
      </c>
      <c r="F662" t="s">
        <v>114</v>
      </c>
      <c r="G662" t="s">
        <v>192</v>
      </c>
      <c r="H662">
        <v>1</v>
      </c>
      <c r="I662">
        <v>100</v>
      </c>
      <c r="J662">
        <v>62.1</v>
      </c>
      <c r="K662">
        <v>0</v>
      </c>
      <c r="L662">
        <v>6.9</v>
      </c>
      <c r="M662" t="s">
        <v>193</v>
      </c>
      <c r="N662">
        <v>-190.4</v>
      </c>
      <c r="O662">
        <v>314.25</v>
      </c>
      <c r="P662">
        <v>-36.950000000000003</v>
      </c>
      <c r="Q662">
        <v>115.95</v>
      </c>
    </row>
    <row r="663" spans="1:17">
      <c r="A663" s="155">
        <v>44926</v>
      </c>
      <c r="B663" t="s">
        <v>176</v>
      </c>
      <c r="C663" t="s">
        <v>8</v>
      </c>
      <c r="D663">
        <v>2022</v>
      </c>
      <c r="E663" t="s">
        <v>294</v>
      </c>
      <c r="F663" t="s">
        <v>114</v>
      </c>
      <c r="G663" t="s">
        <v>192</v>
      </c>
      <c r="H663">
        <v>2</v>
      </c>
      <c r="I663">
        <v>73.62</v>
      </c>
      <c r="J663">
        <v>41.03</v>
      </c>
      <c r="K663">
        <v>0</v>
      </c>
      <c r="L663">
        <v>32.590000000000003</v>
      </c>
      <c r="M663" t="s">
        <v>193</v>
      </c>
      <c r="N663">
        <v>-190.4</v>
      </c>
      <c r="O663">
        <v>314.25</v>
      </c>
      <c r="P663">
        <v>-36.950000000000003</v>
      </c>
      <c r="Q663">
        <v>115.95</v>
      </c>
    </row>
    <row r="664" spans="1:17">
      <c r="A664" s="155">
        <v>44926</v>
      </c>
      <c r="B664" t="s">
        <v>352</v>
      </c>
      <c r="C664" t="s">
        <v>8</v>
      </c>
      <c r="D664">
        <v>2022</v>
      </c>
      <c r="E664" t="s">
        <v>294</v>
      </c>
      <c r="F664" t="s">
        <v>114</v>
      </c>
      <c r="G664" t="s">
        <v>192</v>
      </c>
      <c r="H664">
        <v>953</v>
      </c>
      <c r="I664">
        <v>40861.900000000031</v>
      </c>
      <c r="J664">
        <v>20793.120000000021</v>
      </c>
      <c r="K664">
        <v>911.37999999999977</v>
      </c>
      <c r="L664">
        <v>9548.1799999999912</v>
      </c>
      <c r="M664" t="s">
        <v>193</v>
      </c>
      <c r="N664">
        <v>-190.4</v>
      </c>
      <c r="O664">
        <v>314.25</v>
      </c>
      <c r="P664">
        <v>-36.950000000000003</v>
      </c>
      <c r="Q664">
        <v>115.95</v>
      </c>
    </row>
    <row r="665" spans="1:17">
      <c r="A665" s="155">
        <v>44926</v>
      </c>
      <c r="B665" t="s">
        <v>353</v>
      </c>
      <c r="C665" t="s">
        <v>8</v>
      </c>
      <c r="D665">
        <v>2022</v>
      </c>
      <c r="E665" t="s">
        <v>294</v>
      </c>
      <c r="F665" t="s">
        <v>114</v>
      </c>
      <c r="G665" t="s">
        <v>192</v>
      </c>
      <c r="H665">
        <v>572</v>
      </c>
      <c r="I665">
        <v>19319.970000000005</v>
      </c>
      <c r="J665">
        <v>10688.970000000021</v>
      </c>
      <c r="K665">
        <v>82.210000000000008</v>
      </c>
      <c r="L665">
        <v>4661.4999999999864</v>
      </c>
      <c r="M665" t="s">
        <v>193</v>
      </c>
      <c r="N665">
        <v>-190.4</v>
      </c>
      <c r="O665">
        <v>314.25</v>
      </c>
      <c r="P665">
        <v>-36.950000000000003</v>
      </c>
      <c r="Q665">
        <v>115.95</v>
      </c>
    </row>
    <row r="666" spans="1:17">
      <c r="A666" s="155">
        <v>44926</v>
      </c>
      <c r="B666" t="s">
        <v>354</v>
      </c>
      <c r="C666" t="s">
        <v>8</v>
      </c>
      <c r="D666">
        <v>2022</v>
      </c>
      <c r="E666" t="s">
        <v>294</v>
      </c>
      <c r="F666" t="s">
        <v>114</v>
      </c>
      <c r="G666" t="s">
        <v>192</v>
      </c>
      <c r="H666">
        <v>21</v>
      </c>
      <c r="I666">
        <v>1011.85</v>
      </c>
      <c r="J666">
        <v>377.9799999999999</v>
      </c>
      <c r="K666">
        <v>318.52</v>
      </c>
      <c r="L666">
        <v>274.83999999999997</v>
      </c>
      <c r="M666" t="s">
        <v>193</v>
      </c>
      <c r="N666">
        <v>-190.4</v>
      </c>
      <c r="O666">
        <v>314.25</v>
      </c>
      <c r="P666">
        <v>-36.950000000000003</v>
      </c>
      <c r="Q666">
        <v>115.95</v>
      </c>
    </row>
    <row r="667" spans="1:17">
      <c r="A667" s="155">
        <v>44926</v>
      </c>
      <c r="B667" t="s">
        <v>355</v>
      </c>
      <c r="C667" t="s">
        <v>8</v>
      </c>
      <c r="D667">
        <v>2022</v>
      </c>
      <c r="E667" t="s">
        <v>294</v>
      </c>
      <c r="F667" t="s">
        <v>114</v>
      </c>
      <c r="G667" t="s">
        <v>192</v>
      </c>
      <c r="H667">
        <v>335</v>
      </c>
      <c r="I667">
        <v>14129.819999999996</v>
      </c>
      <c r="J667">
        <v>7494.1099999999969</v>
      </c>
      <c r="K667">
        <v>82.72</v>
      </c>
      <c r="L667">
        <v>5422.0299999999961</v>
      </c>
      <c r="M667" t="s">
        <v>193</v>
      </c>
      <c r="N667">
        <v>-190.4</v>
      </c>
      <c r="O667">
        <v>314.25</v>
      </c>
      <c r="P667">
        <v>-36.950000000000003</v>
      </c>
      <c r="Q667">
        <v>115.95</v>
      </c>
    </row>
    <row r="668" spans="1:17">
      <c r="A668" s="155">
        <v>44926</v>
      </c>
      <c r="B668" t="s">
        <v>356</v>
      </c>
      <c r="C668" t="s">
        <v>8</v>
      </c>
      <c r="D668">
        <v>2022</v>
      </c>
      <c r="E668" t="s">
        <v>294</v>
      </c>
      <c r="F668" t="s">
        <v>114</v>
      </c>
      <c r="G668" t="s">
        <v>192</v>
      </c>
      <c r="H668">
        <v>415</v>
      </c>
      <c r="I668">
        <v>24069.920000000031</v>
      </c>
      <c r="J668">
        <v>9296.6899999999987</v>
      </c>
      <c r="K668">
        <v>2389.0899999999988</v>
      </c>
      <c r="L668">
        <v>9835.5399999999991</v>
      </c>
      <c r="M668" t="s">
        <v>193</v>
      </c>
      <c r="N668">
        <v>-190.4</v>
      </c>
      <c r="O668">
        <v>314.25</v>
      </c>
      <c r="P668">
        <v>-36.950000000000003</v>
      </c>
      <c r="Q668">
        <v>115.95</v>
      </c>
    </row>
    <row r="669" spans="1:17">
      <c r="A669" s="155">
        <v>44926</v>
      </c>
      <c r="B669" t="s">
        <v>366</v>
      </c>
      <c r="C669" t="s">
        <v>8</v>
      </c>
      <c r="D669">
        <v>2022</v>
      </c>
      <c r="E669" t="s">
        <v>294</v>
      </c>
      <c r="F669" t="s">
        <v>114</v>
      </c>
      <c r="G669" t="s">
        <v>192</v>
      </c>
      <c r="H669">
        <v>1</v>
      </c>
      <c r="I669">
        <v>100</v>
      </c>
      <c r="J669">
        <v>62.1</v>
      </c>
      <c r="K669">
        <v>0</v>
      </c>
      <c r="L669">
        <v>6.9</v>
      </c>
      <c r="M669" t="s">
        <v>193</v>
      </c>
      <c r="N669">
        <v>-190.4</v>
      </c>
      <c r="O669">
        <v>314.25</v>
      </c>
      <c r="P669">
        <v>-36.950000000000003</v>
      </c>
      <c r="Q669">
        <v>115.95</v>
      </c>
    </row>
    <row r="670" spans="1:17">
      <c r="A670" s="155">
        <v>44926</v>
      </c>
      <c r="B670" t="s">
        <v>364</v>
      </c>
      <c r="C670" t="s">
        <v>8</v>
      </c>
      <c r="D670">
        <v>2022</v>
      </c>
      <c r="E670" t="s">
        <v>294</v>
      </c>
      <c r="F670" t="s">
        <v>114</v>
      </c>
      <c r="G670" t="s">
        <v>192</v>
      </c>
      <c r="H670">
        <v>21</v>
      </c>
      <c r="I670">
        <v>551.70000000000005</v>
      </c>
      <c r="J670">
        <v>386.2</v>
      </c>
      <c r="K670">
        <v>0</v>
      </c>
      <c r="L670">
        <v>165.5</v>
      </c>
      <c r="M670" t="s">
        <v>193</v>
      </c>
      <c r="N670">
        <v>-190.4</v>
      </c>
      <c r="O670">
        <v>314.25</v>
      </c>
      <c r="P670">
        <v>-36.950000000000003</v>
      </c>
      <c r="Q670">
        <v>115.95</v>
      </c>
    </row>
    <row r="671" spans="1:17">
      <c r="A671" s="155">
        <v>44926</v>
      </c>
      <c r="B671" t="s">
        <v>358</v>
      </c>
      <c r="C671" t="s">
        <v>8</v>
      </c>
      <c r="D671">
        <v>2022</v>
      </c>
      <c r="E671" t="s">
        <v>294</v>
      </c>
      <c r="F671" t="s">
        <v>114</v>
      </c>
      <c r="G671" t="s">
        <v>192</v>
      </c>
      <c r="H671">
        <v>2</v>
      </c>
      <c r="I671">
        <v>73.62</v>
      </c>
      <c r="J671">
        <v>41.03</v>
      </c>
      <c r="K671">
        <v>0</v>
      </c>
      <c r="L671">
        <v>32.590000000000003</v>
      </c>
      <c r="M671" t="s">
        <v>193</v>
      </c>
      <c r="N671">
        <v>-190.4</v>
      </c>
      <c r="O671">
        <v>314.25</v>
      </c>
      <c r="P671">
        <v>-36.950000000000003</v>
      </c>
      <c r="Q671">
        <v>115.95</v>
      </c>
    </row>
    <row r="672" spans="1:17">
      <c r="A672" s="155">
        <v>44926</v>
      </c>
      <c r="B672" t="s">
        <v>346</v>
      </c>
      <c r="C672" t="s">
        <v>8</v>
      </c>
      <c r="D672">
        <v>2022</v>
      </c>
      <c r="E672" t="s">
        <v>295</v>
      </c>
      <c r="F672" t="s">
        <v>114</v>
      </c>
      <c r="G672" t="s">
        <v>192</v>
      </c>
      <c r="H672">
        <v>1</v>
      </c>
      <c r="I672">
        <v>17.850000000000001</v>
      </c>
      <c r="J672">
        <v>10.71</v>
      </c>
      <c r="K672">
        <v>0</v>
      </c>
      <c r="L672">
        <v>7.14</v>
      </c>
      <c r="M672" t="s">
        <v>193</v>
      </c>
      <c r="N672">
        <v>17.850000000000001</v>
      </c>
      <c r="O672">
        <v>17.850000000000001</v>
      </c>
      <c r="P672">
        <v>7.14</v>
      </c>
      <c r="Q672">
        <v>7.14</v>
      </c>
    </row>
    <row r="673" spans="1:17">
      <c r="A673" s="155">
        <v>44926</v>
      </c>
      <c r="B673" t="s">
        <v>350</v>
      </c>
      <c r="C673" t="s">
        <v>8</v>
      </c>
      <c r="D673">
        <v>2022</v>
      </c>
      <c r="E673" t="s">
        <v>295</v>
      </c>
      <c r="F673" t="s">
        <v>114</v>
      </c>
      <c r="G673" t="s">
        <v>192</v>
      </c>
      <c r="H673">
        <v>1</v>
      </c>
      <c r="I673">
        <v>17.850000000000001</v>
      </c>
      <c r="J673">
        <v>10.71</v>
      </c>
      <c r="K673">
        <v>0</v>
      </c>
      <c r="L673">
        <v>7.14</v>
      </c>
      <c r="M673" t="s">
        <v>193</v>
      </c>
      <c r="N673">
        <v>17.850000000000001</v>
      </c>
      <c r="O673">
        <v>17.850000000000001</v>
      </c>
      <c r="P673">
        <v>7.14</v>
      </c>
      <c r="Q673">
        <v>7.14</v>
      </c>
    </row>
    <row r="674" spans="1:17">
      <c r="A674" s="155">
        <v>44926</v>
      </c>
      <c r="B674" t="s">
        <v>352</v>
      </c>
      <c r="C674" t="s">
        <v>8</v>
      </c>
      <c r="D674">
        <v>2022</v>
      </c>
      <c r="E674" t="s">
        <v>295</v>
      </c>
      <c r="F674" t="s">
        <v>114</v>
      </c>
      <c r="G674" t="s">
        <v>192</v>
      </c>
      <c r="H674">
        <v>1</v>
      </c>
      <c r="I674">
        <v>17.850000000000001</v>
      </c>
      <c r="J674">
        <v>10.71</v>
      </c>
      <c r="K674">
        <v>0</v>
      </c>
      <c r="L674">
        <v>7.14</v>
      </c>
      <c r="M674" t="s">
        <v>193</v>
      </c>
      <c r="N674">
        <v>17.850000000000001</v>
      </c>
      <c r="O674">
        <v>17.850000000000001</v>
      </c>
      <c r="P674">
        <v>7.14</v>
      </c>
      <c r="Q674">
        <v>7.14</v>
      </c>
    </row>
    <row r="675" spans="1:17">
      <c r="A675" s="155">
        <v>44926</v>
      </c>
      <c r="B675" t="s">
        <v>356</v>
      </c>
      <c r="C675" t="s">
        <v>8</v>
      </c>
      <c r="D675">
        <v>2022</v>
      </c>
      <c r="E675" t="s">
        <v>295</v>
      </c>
      <c r="F675" t="s">
        <v>114</v>
      </c>
      <c r="G675" t="s">
        <v>192</v>
      </c>
      <c r="H675">
        <v>1</v>
      </c>
      <c r="I675">
        <v>17.850000000000001</v>
      </c>
      <c r="J675">
        <v>10.71</v>
      </c>
      <c r="K675">
        <v>0</v>
      </c>
      <c r="L675">
        <v>7.14</v>
      </c>
      <c r="M675" t="s">
        <v>193</v>
      </c>
      <c r="N675">
        <v>17.850000000000001</v>
      </c>
      <c r="O675">
        <v>17.850000000000001</v>
      </c>
      <c r="P675">
        <v>7.14</v>
      </c>
      <c r="Q675">
        <v>7.14</v>
      </c>
    </row>
    <row r="676" spans="1:17">
      <c r="A676" s="155">
        <v>44926</v>
      </c>
      <c r="B676" t="s">
        <v>346</v>
      </c>
      <c r="C676" t="s">
        <v>8</v>
      </c>
      <c r="D676">
        <v>2022</v>
      </c>
      <c r="E676" t="s">
        <v>115</v>
      </c>
      <c r="F676" t="s">
        <v>114</v>
      </c>
      <c r="G676" t="s">
        <v>192</v>
      </c>
      <c r="H676">
        <v>2945</v>
      </c>
      <c r="I676">
        <v>77913.709999999148</v>
      </c>
      <c r="J676">
        <v>47354.759999999798</v>
      </c>
      <c r="K676">
        <v>0</v>
      </c>
      <c r="L676">
        <v>30559.880000000023</v>
      </c>
      <c r="M676" t="s">
        <v>193</v>
      </c>
      <c r="N676">
        <v>-129.06</v>
      </c>
      <c r="O676">
        <v>496.53</v>
      </c>
      <c r="P676">
        <v>-51.62</v>
      </c>
      <c r="Q676">
        <v>198.61</v>
      </c>
    </row>
    <row r="677" spans="1:17">
      <c r="A677" s="155">
        <v>44926</v>
      </c>
      <c r="B677" t="s">
        <v>347</v>
      </c>
      <c r="C677" t="s">
        <v>8</v>
      </c>
      <c r="D677">
        <v>2022</v>
      </c>
      <c r="E677" t="s">
        <v>115</v>
      </c>
      <c r="F677" t="s">
        <v>114</v>
      </c>
      <c r="G677" t="s">
        <v>192</v>
      </c>
      <c r="H677">
        <v>1666</v>
      </c>
      <c r="I677">
        <v>41487.289999999746</v>
      </c>
      <c r="J677">
        <v>25019.120000000101</v>
      </c>
      <c r="K677">
        <v>0</v>
      </c>
      <c r="L677">
        <v>16468.170000000071</v>
      </c>
      <c r="M677" t="s">
        <v>193</v>
      </c>
      <c r="N677">
        <v>-129.06</v>
      </c>
      <c r="O677">
        <v>496.53</v>
      </c>
      <c r="P677">
        <v>-51.62</v>
      </c>
      <c r="Q677">
        <v>198.61</v>
      </c>
    </row>
    <row r="678" spans="1:17">
      <c r="A678" s="155">
        <v>44926</v>
      </c>
      <c r="B678" t="s">
        <v>359</v>
      </c>
      <c r="C678" t="s">
        <v>8</v>
      </c>
      <c r="D678">
        <v>2022</v>
      </c>
      <c r="E678" t="s">
        <v>115</v>
      </c>
      <c r="F678" t="s">
        <v>114</v>
      </c>
      <c r="G678" t="s">
        <v>192</v>
      </c>
      <c r="H678">
        <v>351</v>
      </c>
      <c r="I678">
        <v>10654.289999999995</v>
      </c>
      <c r="J678">
        <v>6393.8900000000085</v>
      </c>
      <c r="K678">
        <v>0</v>
      </c>
      <c r="L678">
        <v>4260.4000000000051</v>
      </c>
      <c r="M678" t="s">
        <v>193</v>
      </c>
      <c r="N678">
        <v>-129.06</v>
      </c>
      <c r="O678">
        <v>496.53</v>
      </c>
      <c r="P678">
        <v>-51.62</v>
      </c>
      <c r="Q678">
        <v>198.61</v>
      </c>
    </row>
    <row r="679" spans="1:17">
      <c r="A679" s="155">
        <v>44926</v>
      </c>
      <c r="B679" t="s">
        <v>367</v>
      </c>
      <c r="C679" t="s">
        <v>8</v>
      </c>
      <c r="D679">
        <v>2022</v>
      </c>
      <c r="E679" t="s">
        <v>115</v>
      </c>
      <c r="F679" t="s">
        <v>114</v>
      </c>
      <c r="G679" t="s">
        <v>192</v>
      </c>
      <c r="H679">
        <v>11</v>
      </c>
      <c r="I679">
        <v>603.71999999999991</v>
      </c>
      <c r="J679">
        <v>362.23999999999995</v>
      </c>
      <c r="K679">
        <v>0</v>
      </c>
      <c r="L679">
        <v>241.47999999999993</v>
      </c>
      <c r="M679" t="s">
        <v>193</v>
      </c>
      <c r="N679">
        <v>-129.06</v>
      </c>
      <c r="O679">
        <v>496.53</v>
      </c>
      <c r="P679">
        <v>-51.62</v>
      </c>
      <c r="Q679">
        <v>198.61</v>
      </c>
    </row>
    <row r="680" spans="1:17">
      <c r="A680" s="155">
        <v>44926</v>
      </c>
      <c r="B680" t="s">
        <v>348</v>
      </c>
      <c r="C680" t="s">
        <v>8</v>
      </c>
      <c r="D680">
        <v>2022</v>
      </c>
      <c r="E680" t="s">
        <v>115</v>
      </c>
      <c r="F680" t="s">
        <v>114</v>
      </c>
      <c r="G680" t="s">
        <v>192</v>
      </c>
      <c r="H680">
        <v>53</v>
      </c>
      <c r="I680">
        <v>1784.6999999999996</v>
      </c>
      <c r="J680">
        <v>1070.7899999999997</v>
      </c>
      <c r="K680">
        <v>0</v>
      </c>
      <c r="L680">
        <v>713.91</v>
      </c>
      <c r="M680" t="s">
        <v>193</v>
      </c>
      <c r="N680">
        <v>-129.06</v>
      </c>
      <c r="O680">
        <v>496.53</v>
      </c>
      <c r="P680">
        <v>-51.62</v>
      </c>
      <c r="Q680">
        <v>198.61</v>
      </c>
    </row>
    <row r="681" spans="1:17">
      <c r="A681" s="155">
        <v>44926</v>
      </c>
      <c r="B681" t="s">
        <v>349</v>
      </c>
      <c r="C681" t="s">
        <v>8</v>
      </c>
      <c r="D681">
        <v>2022</v>
      </c>
      <c r="E681" t="s">
        <v>115</v>
      </c>
      <c r="F681" t="s">
        <v>114</v>
      </c>
      <c r="G681" t="s">
        <v>192</v>
      </c>
      <c r="H681">
        <v>1118</v>
      </c>
      <c r="I681">
        <v>29582.299999999886</v>
      </c>
      <c r="J681">
        <v>17969.520000000048</v>
      </c>
      <c r="K681">
        <v>0</v>
      </c>
      <c r="L681">
        <v>11612.780000000044</v>
      </c>
      <c r="M681" t="s">
        <v>193</v>
      </c>
      <c r="N681">
        <v>-129.06</v>
      </c>
      <c r="O681">
        <v>496.53</v>
      </c>
      <c r="P681">
        <v>-51.62</v>
      </c>
      <c r="Q681">
        <v>198.61</v>
      </c>
    </row>
    <row r="682" spans="1:17">
      <c r="A682" s="155">
        <v>44926</v>
      </c>
      <c r="B682" t="s">
        <v>350</v>
      </c>
      <c r="C682" t="s">
        <v>8</v>
      </c>
      <c r="D682">
        <v>2022</v>
      </c>
      <c r="E682" t="s">
        <v>115</v>
      </c>
      <c r="F682" t="s">
        <v>114</v>
      </c>
      <c r="G682" t="s">
        <v>192</v>
      </c>
      <c r="H682">
        <v>824</v>
      </c>
      <c r="I682">
        <v>24746.579999999991</v>
      </c>
      <c r="J682">
        <v>14906.570000000034</v>
      </c>
      <c r="K682">
        <v>0</v>
      </c>
      <c r="L682">
        <v>9840.010000000033</v>
      </c>
      <c r="M682" t="s">
        <v>193</v>
      </c>
      <c r="N682">
        <v>-129.06</v>
      </c>
      <c r="O682">
        <v>496.53</v>
      </c>
      <c r="P682">
        <v>-51.62</v>
      </c>
      <c r="Q682">
        <v>198.61</v>
      </c>
    </row>
    <row r="683" spans="1:17">
      <c r="A683" s="155">
        <v>44926</v>
      </c>
      <c r="B683" t="s">
        <v>351</v>
      </c>
      <c r="C683" t="s">
        <v>8</v>
      </c>
      <c r="D683">
        <v>2022</v>
      </c>
      <c r="E683" t="s">
        <v>115</v>
      </c>
      <c r="F683" t="s">
        <v>114</v>
      </c>
      <c r="G683" t="s">
        <v>192</v>
      </c>
      <c r="H683">
        <v>654</v>
      </c>
      <c r="I683">
        <v>18404.250000000033</v>
      </c>
      <c r="J683">
        <v>11054.050000000017</v>
      </c>
      <c r="K683">
        <v>0</v>
      </c>
      <c r="L683">
        <v>7350.200000000018</v>
      </c>
      <c r="M683" t="s">
        <v>193</v>
      </c>
      <c r="N683">
        <v>-129.06</v>
      </c>
      <c r="O683">
        <v>496.53</v>
      </c>
      <c r="P683">
        <v>-51.62</v>
      </c>
      <c r="Q683">
        <v>198.61</v>
      </c>
    </row>
    <row r="684" spans="1:17">
      <c r="A684" s="155">
        <v>44926</v>
      </c>
      <c r="B684" t="s">
        <v>368</v>
      </c>
      <c r="C684" t="s">
        <v>8</v>
      </c>
      <c r="D684">
        <v>2022</v>
      </c>
      <c r="E684" t="s">
        <v>115</v>
      </c>
      <c r="F684" t="s">
        <v>114</v>
      </c>
      <c r="G684" t="s">
        <v>192</v>
      </c>
      <c r="H684">
        <v>8</v>
      </c>
      <c r="I684">
        <v>652.86</v>
      </c>
      <c r="J684">
        <v>587.57000000000005</v>
      </c>
      <c r="K684">
        <v>0</v>
      </c>
      <c r="L684">
        <v>65.290000000000006</v>
      </c>
      <c r="M684" t="s">
        <v>193</v>
      </c>
      <c r="N684">
        <v>-129.06</v>
      </c>
      <c r="O684">
        <v>496.53</v>
      </c>
      <c r="P684">
        <v>-51.62</v>
      </c>
      <c r="Q684">
        <v>198.61</v>
      </c>
    </row>
    <row r="685" spans="1:17">
      <c r="A685" s="155">
        <v>44926</v>
      </c>
      <c r="B685" t="s">
        <v>369</v>
      </c>
      <c r="C685" t="s">
        <v>8</v>
      </c>
      <c r="D685">
        <v>2022</v>
      </c>
      <c r="E685" t="s">
        <v>115</v>
      </c>
      <c r="F685" t="s">
        <v>114</v>
      </c>
      <c r="G685" t="s">
        <v>192</v>
      </c>
      <c r="H685">
        <v>597</v>
      </c>
      <c r="I685">
        <v>18729.899999999994</v>
      </c>
      <c r="J685">
        <v>11238.980000000032</v>
      </c>
      <c r="K685">
        <v>0</v>
      </c>
      <c r="L685">
        <v>7490.9200000000183</v>
      </c>
      <c r="M685" t="s">
        <v>193</v>
      </c>
      <c r="N685">
        <v>-129.06</v>
      </c>
      <c r="O685">
        <v>496.53</v>
      </c>
      <c r="P685">
        <v>-51.62</v>
      </c>
      <c r="Q685">
        <v>198.61</v>
      </c>
    </row>
    <row r="686" spans="1:17">
      <c r="A686" s="155">
        <v>44926</v>
      </c>
      <c r="B686" t="s">
        <v>370</v>
      </c>
      <c r="C686" t="s">
        <v>8</v>
      </c>
      <c r="D686">
        <v>2022</v>
      </c>
      <c r="E686" t="s">
        <v>115</v>
      </c>
      <c r="F686" t="s">
        <v>114</v>
      </c>
      <c r="G686" t="s">
        <v>192</v>
      </c>
      <c r="H686">
        <v>1</v>
      </c>
      <c r="I686">
        <v>66.150000000000006</v>
      </c>
      <c r="J686">
        <v>59.54</v>
      </c>
      <c r="K686">
        <v>0</v>
      </c>
      <c r="L686">
        <v>6.61</v>
      </c>
      <c r="M686" t="s">
        <v>193</v>
      </c>
      <c r="N686">
        <v>-129.06</v>
      </c>
      <c r="O686">
        <v>496.53</v>
      </c>
      <c r="P686">
        <v>-51.62</v>
      </c>
      <c r="Q686">
        <v>198.61</v>
      </c>
    </row>
    <row r="687" spans="1:17">
      <c r="A687" s="155">
        <v>44926</v>
      </c>
      <c r="B687" t="s">
        <v>360</v>
      </c>
      <c r="C687" t="s">
        <v>8</v>
      </c>
      <c r="D687">
        <v>2022</v>
      </c>
      <c r="E687" t="s">
        <v>115</v>
      </c>
      <c r="F687" t="s">
        <v>114</v>
      </c>
      <c r="G687" t="s">
        <v>192</v>
      </c>
      <c r="H687">
        <v>639</v>
      </c>
      <c r="I687">
        <v>18150.000000000029</v>
      </c>
      <c r="J687">
        <v>10904.360000000019</v>
      </c>
      <c r="K687">
        <v>0</v>
      </c>
      <c r="L687">
        <v>7245.6400000000194</v>
      </c>
      <c r="M687" t="s">
        <v>193</v>
      </c>
      <c r="N687">
        <v>-129.06</v>
      </c>
      <c r="O687">
        <v>496.53</v>
      </c>
      <c r="P687">
        <v>-51.62</v>
      </c>
      <c r="Q687">
        <v>198.61</v>
      </c>
    </row>
    <row r="688" spans="1:17">
      <c r="A688" s="155">
        <v>44926</v>
      </c>
      <c r="B688" t="s">
        <v>371</v>
      </c>
      <c r="C688" t="s">
        <v>8</v>
      </c>
      <c r="D688">
        <v>2022</v>
      </c>
      <c r="E688" t="s">
        <v>115</v>
      </c>
      <c r="F688" t="s">
        <v>114</v>
      </c>
      <c r="G688" t="s">
        <v>192</v>
      </c>
      <c r="H688">
        <v>21</v>
      </c>
      <c r="I688">
        <v>940.40999999999985</v>
      </c>
      <c r="J688">
        <v>846.36999999999989</v>
      </c>
      <c r="K688">
        <v>0</v>
      </c>
      <c r="L688">
        <v>94.039999999999992</v>
      </c>
      <c r="M688" t="s">
        <v>193</v>
      </c>
      <c r="N688">
        <v>-129.06</v>
      </c>
      <c r="O688">
        <v>496.53</v>
      </c>
      <c r="P688">
        <v>-51.62</v>
      </c>
      <c r="Q688">
        <v>198.61</v>
      </c>
    </row>
    <row r="689" spans="1:17">
      <c r="A689" s="155">
        <v>44926</v>
      </c>
      <c r="B689" t="s">
        <v>361</v>
      </c>
      <c r="C689" t="s">
        <v>8</v>
      </c>
      <c r="D689">
        <v>2022</v>
      </c>
      <c r="E689" t="s">
        <v>115</v>
      </c>
      <c r="F689" t="s">
        <v>114</v>
      </c>
      <c r="G689" t="s">
        <v>192</v>
      </c>
      <c r="H689">
        <v>1163</v>
      </c>
      <c r="I689">
        <v>33556.539999999819</v>
      </c>
      <c r="J689">
        <v>20212.580000000067</v>
      </c>
      <c r="K689">
        <v>0</v>
      </c>
      <c r="L689">
        <v>13343.960000000068</v>
      </c>
      <c r="M689" t="s">
        <v>193</v>
      </c>
      <c r="N689">
        <v>-129.06</v>
      </c>
      <c r="O689">
        <v>496.53</v>
      </c>
      <c r="P689">
        <v>-51.62</v>
      </c>
      <c r="Q689">
        <v>198.61</v>
      </c>
    </row>
    <row r="690" spans="1:17">
      <c r="A690" s="155">
        <v>44926</v>
      </c>
      <c r="B690" t="s">
        <v>365</v>
      </c>
      <c r="C690" t="s">
        <v>8</v>
      </c>
      <c r="D690">
        <v>2022</v>
      </c>
      <c r="E690" t="s">
        <v>115</v>
      </c>
      <c r="F690" t="s">
        <v>114</v>
      </c>
      <c r="G690" t="s">
        <v>192</v>
      </c>
      <c r="H690">
        <v>21</v>
      </c>
      <c r="I690">
        <v>872.45999999999981</v>
      </c>
      <c r="J690">
        <v>733.3499999999998</v>
      </c>
      <c r="K690">
        <v>0</v>
      </c>
      <c r="L690">
        <v>139.11000000000001</v>
      </c>
      <c r="M690" t="s">
        <v>193</v>
      </c>
      <c r="N690">
        <v>-129.06</v>
      </c>
      <c r="O690">
        <v>496.53</v>
      </c>
      <c r="P690">
        <v>-51.62</v>
      </c>
      <c r="Q690">
        <v>198.61</v>
      </c>
    </row>
    <row r="691" spans="1:17">
      <c r="A691" s="155">
        <v>44926</v>
      </c>
      <c r="B691" t="s">
        <v>176</v>
      </c>
      <c r="C691" t="s">
        <v>8</v>
      </c>
      <c r="D691">
        <v>2022</v>
      </c>
      <c r="E691" t="s">
        <v>115</v>
      </c>
      <c r="F691" t="s">
        <v>114</v>
      </c>
      <c r="G691" t="s">
        <v>192</v>
      </c>
      <c r="H691">
        <v>1780</v>
      </c>
      <c r="I691">
        <v>55918.179999999527</v>
      </c>
      <c r="J691">
        <v>33729.860000000073</v>
      </c>
      <c r="K691">
        <v>0</v>
      </c>
      <c r="L691">
        <v>22188.320000000025</v>
      </c>
      <c r="M691" t="s">
        <v>193</v>
      </c>
      <c r="N691">
        <v>-129.06</v>
      </c>
      <c r="O691">
        <v>496.53</v>
      </c>
      <c r="P691">
        <v>-51.62</v>
      </c>
      <c r="Q691">
        <v>198.61</v>
      </c>
    </row>
    <row r="692" spans="1:17">
      <c r="A692" s="155">
        <v>44926</v>
      </c>
      <c r="B692" t="s">
        <v>372</v>
      </c>
      <c r="C692" t="s">
        <v>8</v>
      </c>
      <c r="D692">
        <v>2022</v>
      </c>
      <c r="E692" t="s">
        <v>115</v>
      </c>
      <c r="F692" t="s">
        <v>114</v>
      </c>
      <c r="G692" t="s">
        <v>192</v>
      </c>
      <c r="H692">
        <v>5</v>
      </c>
      <c r="I692">
        <v>198.18</v>
      </c>
      <c r="J692">
        <v>178.36999999999998</v>
      </c>
      <c r="K692">
        <v>0</v>
      </c>
      <c r="L692">
        <v>19.809999999999999</v>
      </c>
      <c r="M692" t="s">
        <v>193</v>
      </c>
      <c r="N692">
        <v>-129.06</v>
      </c>
      <c r="O692">
        <v>496.53</v>
      </c>
      <c r="P692">
        <v>-51.62</v>
      </c>
      <c r="Q692">
        <v>198.61</v>
      </c>
    </row>
    <row r="693" spans="1:17">
      <c r="A693" s="155">
        <v>44926</v>
      </c>
      <c r="B693" t="s">
        <v>373</v>
      </c>
      <c r="C693" t="s">
        <v>8</v>
      </c>
      <c r="D693">
        <v>2022</v>
      </c>
      <c r="E693" t="s">
        <v>115</v>
      </c>
      <c r="F693" t="s">
        <v>114</v>
      </c>
      <c r="G693" t="s">
        <v>192</v>
      </c>
      <c r="H693">
        <v>15</v>
      </c>
      <c r="I693">
        <v>687.42</v>
      </c>
      <c r="J693">
        <v>412.44000000000005</v>
      </c>
      <c r="K693">
        <v>0</v>
      </c>
      <c r="L693">
        <v>274.97999999999996</v>
      </c>
      <c r="M693" t="s">
        <v>193</v>
      </c>
      <c r="N693">
        <v>-129.06</v>
      </c>
      <c r="O693">
        <v>496.53</v>
      </c>
      <c r="P693">
        <v>-51.62</v>
      </c>
      <c r="Q693">
        <v>198.61</v>
      </c>
    </row>
    <row r="694" spans="1:17">
      <c r="A694" s="155">
        <v>44926</v>
      </c>
      <c r="B694" t="s">
        <v>352</v>
      </c>
      <c r="C694" t="s">
        <v>8</v>
      </c>
      <c r="D694">
        <v>2022</v>
      </c>
      <c r="E694" t="s">
        <v>115</v>
      </c>
      <c r="F694" t="s">
        <v>114</v>
      </c>
      <c r="G694" t="s">
        <v>192</v>
      </c>
      <c r="H694">
        <v>2945</v>
      </c>
      <c r="I694">
        <v>77913.709999999191</v>
      </c>
      <c r="J694">
        <v>47354.759999999602</v>
      </c>
      <c r="K694">
        <v>0</v>
      </c>
      <c r="L694">
        <v>30559.880000000041</v>
      </c>
      <c r="M694" t="s">
        <v>193</v>
      </c>
      <c r="N694">
        <v>-129.06</v>
      </c>
      <c r="O694">
        <v>496.53</v>
      </c>
      <c r="P694">
        <v>-51.62</v>
      </c>
      <c r="Q694">
        <v>198.61</v>
      </c>
    </row>
    <row r="695" spans="1:17">
      <c r="A695" s="155">
        <v>44926</v>
      </c>
      <c r="B695" t="s">
        <v>353</v>
      </c>
      <c r="C695" t="s">
        <v>8</v>
      </c>
      <c r="D695">
        <v>2022</v>
      </c>
      <c r="E695" t="s">
        <v>115</v>
      </c>
      <c r="F695" t="s">
        <v>114</v>
      </c>
      <c r="G695" t="s">
        <v>192</v>
      </c>
      <c r="H695">
        <v>1666</v>
      </c>
      <c r="I695">
        <v>41487.289999999739</v>
      </c>
      <c r="J695">
        <v>25019.120000000137</v>
      </c>
      <c r="K695">
        <v>0</v>
      </c>
      <c r="L695">
        <v>16468.17000000006</v>
      </c>
      <c r="M695" t="s">
        <v>193</v>
      </c>
      <c r="N695">
        <v>-129.06</v>
      </c>
      <c r="O695">
        <v>496.53</v>
      </c>
      <c r="P695">
        <v>-51.62</v>
      </c>
      <c r="Q695">
        <v>198.61</v>
      </c>
    </row>
    <row r="696" spans="1:17">
      <c r="A696" s="155">
        <v>44926</v>
      </c>
      <c r="B696" t="s">
        <v>374</v>
      </c>
      <c r="C696" t="s">
        <v>8</v>
      </c>
      <c r="D696">
        <v>2022</v>
      </c>
      <c r="E696" t="s">
        <v>115</v>
      </c>
      <c r="F696" t="s">
        <v>114</v>
      </c>
      <c r="G696" t="s">
        <v>192</v>
      </c>
      <c r="H696">
        <v>11</v>
      </c>
      <c r="I696">
        <v>603.72</v>
      </c>
      <c r="J696">
        <v>362.24</v>
      </c>
      <c r="K696">
        <v>0</v>
      </c>
      <c r="L696">
        <v>241.48</v>
      </c>
      <c r="M696" t="s">
        <v>193</v>
      </c>
      <c r="N696">
        <v>-129.06</v>
      </c>
      <c r="O696">
        <v>496.53</v>
      </c>
      <c r="P696">
        <v>-51.62</v>
      </c>
      <c r="Q696">
        <v>198.61</v>
      </c>
    </row>
    <row r="697" spans="1:17">
      <c r="A697" s="155">
        <v>44926</v>
      </c>
      <c r="B697" t="s">
        <v>362</v>
      </c>
      <c r="C697" t="s">
        <v>8</v>
      </c>
      <c r="D697">
        <v>2022</v>
      </c>
      <c r="E697" t="s">
        <v>115</v>
      </c>
      <c r="F697" t="s">
        <v>114</v>
      </c>
      <c r="G697" t="s">
        <v>192</v>
      </c>
      <c r="H697">
        <v>351</v>
      </c>
      <c r="I697">
        <v>10654.290000000008</v>
      </c>
      <c r="J697">
        <v>6393.8900000000076</v>
      </c>
      <c r="K697">
        <v>0</v>
      </c>
      <c r="L697">
        <v>4260.4000000000069</v>
      </c>
      <c r="M697" t="s">
        <v>193</v>
      </c>
      <c r="N697">
        <v>-129.06</v>
      </c>
      <c r="O697">
        <v>496.53</v>
      </c>
      <c r="P697">
        <v>-51.62</v>
      </c>
      <c r="Q697">
        <v>198.61</v>
      </c>
    </row>
    <row r="698" spans="1:17">
      <c r="A698" s="155">
        <v>44926</v>
      </c>
      <c r="B698" t="s">
        <v>354</v>
      </c>
      <c r="C698" t="s">
        <v>8</v>
      </c>
      <c r="D698">
        <v>2022</v>
      </c>
      <c r="E698" t="s">
        <v>115</v>
      </c>
      <c r="F698" t="s">
        <v>114</v>
      </c>
      <c r="G698" t="s">
        <v>192</v>
      </c>
      <c r="H698">
        <v>53</v>
      </c>
      <c r="I698">
        <v>1784.6999999999998</v>
      </c>
      <c r="J698">
        <v>1070.79</v>
      </c>
      <c r="K698">
        <v>0</v>
      </c>
      <c r="L698">
        <v>713.9100000000002</v>
      </c>
      <c r="M698" t="s">
        <v>193</v>
      </c>
      <c r="N698">
        <v>-129.06</v>
      </c>
      <c r="O698">
        <v>496.53</v>
      </c>
      <c r="P698">
        <v>-51.62</v>
      </c>
      <c r="Q698">
        <v>198.61</v>
      </c>
    </row>
    <row r="699" spans="1:17">
      <c r="A699" s="155">
        <v>44926</v>
      </c>
      <c r="B699" t="s">
        <v>355</v>
      </c>
      <c r="C699" t="s">
        <v>8</v>
      </c>
      <c r="D699">
        <v>2022</v>
      </c>
      <c r="E699" t="s">
        <v>115</v>
      </c>
      <c r="F699" t="s">
        <v>114</v>
      </c>
      <c r="G699" t="s">
        <v>192</v>
      </c>
      <c r="H699">
        <v>1118</v>
      </c>
      <c r="I699">
        <v>29582.299999999927</v>
      </c>
      <c r="J699">
        <v>17969.52000000003</v>
      </c>
      <c r="K699">
        <v>0</v>
      </c>
      <c r="L699">
        <v>11612.780000000052</v>
      </c>
      <c r="M699" t="s">
        <v>193</v>
      </c>
      <c r="N699">
        <v>-129.06</v>
      </c>
      <c r="O699">
        <v>496.53</v>
      </c>
      <c r="P699">
        <v>-51.62</v>
      </c>
      <c r="Q699">
        <v>198.61</v>
      </c>
    </row>
    <row r="700" spans="1:17">
      <c r="A700" s="155">
        <v>44926</v>
      </c>
      <c r="B700" t="s">
        <v>356</v>
      </c>
      <c r="C700" t="s">
        <v>8</v>
      </c>
      <c r="D700">
        <v>2022</v>
      </c>
      <c r="E700" t="s">
        <v>115</v>
      </c>
      <c r="F700" t="s">
        <v>114</v>
      </c>
      <c r="G700" t="s">
        <v>192</v>
      </c>
      <c r="H700">
        <v>824</v>
      </c>
      <c r="I700">
        <v>24746.580000000005</v>
      </c>
      <c r="J700">
        <v>14906.570000000038</v>
      </c>
      <c r="K700">
        <v>0</v>
      </c>
      <c r="L700">
        <v>9840.0100000000439</v>
      </c>
      <c r="M700" t="s">
        <v>193</v>
      </c>
      <c r="N700">
        <v>-129.06</v>
      </c>
      <c r="O700">
        <v>496.53</v>
      </c>
      <c r="P700">
        <v>-51.62</v>
      </c>
      <c r="Q700">
        <v>198.61</v>
      </c>
    </row>
    <row r="701" spans="1:17">
      <c r="A701" s="155">
        <v>44926</v>
      </c>
      <c r="B701" t="s">
        <v>375</v>
      </c>
      <c r="C701" t="s">
        <v>8</v>
      </c>
      <c r="D701">
        <v>2022</v>
      </c>
      <c r="E701" t="s">
        <v>115</v>
      </c>
      <c r="F701" t="s">
        <v>114</v>
      </c>
      <c r="G701" t="s">
        <v>192</v>
      </c>
      <c r="H701">
        <v>8</v>
      </c>
      <c r="I701">
        <v>652.8599999999999</v>
      </c>
      <c r="J701">
        <v>587.57000000000005</v>
      </c>
      <c r="K701">
        <v>0</v>
      </c>
      <c r="L701">
        <v>65.289999999999992</v>
      </c>
      <c r="M701" t="s">
        <v>193</v>
      </c>
      <c r="N701">
        <v>-129.06</v>
      </c>
      <c r="O701">
        <v>496.53</v>
      </c>
      <c r="P701">
        <v>-51.62</v>
      </c>
      <c r="Q701">
        <v>198.61</v>
      </c>
    </row>
    <row r="702" spans="1:17">
      <c r="A702" s="155">
        <v>44926</v>
      </c>
      <c r="B702" t="s">
        <v>357</v>
      </c>
      <c r="C702" t="s">
        <v>8</v>
      </c>
      <c r="D702">
        <v>2022</v>
      </c>
      <c r="E702" t="s">
        <v>115</v>
      </c>
      <c r="F702" t="s">
        <v>114</v>
      </c>
      <c r="G702" t="s">
        <v>192</v>
      </c>
      <c r="H702">
        <v>654</v>
      </c>
      <c r="I702">
        <v>18404.250000000015</v>
      </c>
      <c r="J702">
        <v>11054.050000000037</v>
      </c>
      <c r="K702">
        <v>0</v>
      </c>
      <c r="L702">
        <v>7350.2000000000226</v>
      </c>
      <c r="M702" t="s">
        <v>193</v>
      </c>
      <c r="N702">
        <v>-129.06</v>
      </c>
      <c r="O702">
        <v>496.53</v>
      </c>
      <c r="P702">
        <v>-51.62</v>
      </c>
      <c r="Q702">
        <v>198.61</v>
      </c>
    </row>
    <row r="703" spans="1:17">
      <c r="A703" s="155">
        <v>44926</v>
      </c>
      <c r="B703" t="s">
        <v>376</v>
      </c>
      <c r="C703" t="s">
        <v>8</v>
      </c>
      <c r="D703">
        <v>2022</v>
      </c>
      <c r="E703" t="s">
        <v>115</v>
      </c>
      <c r="F703" t="s">
        <v>114</v>
      </c>
      <c r="G703" t="s">
        <v>192</v>
      </c>
      <c r="H703">
        <v>1</v>
      </c>
      <c r="I703">
        <v>66.150000000000006</v>
      </c>
      <c r="J703">
        <v>59.54</v>
      </c>
      <c r="K703">
        <v>0</v>
      </c>
      <c r="L703">
        <v>6.61</v>
      </c>
      <c r="M703" t="s">
        <v>193</v>
      </c>
      <c r="N703">
        <v>-129.06</v>
      </c>
      <c r="O703">
        <v>496.53</v>
      </c>
      <c r="P703">
        <v>-51.62</v>
      </c>
      <c r="Q703">
        <v>198.61</v>
      </c>
    </row>
    <row r="704" spans="1:17">
      <c r="A704" s="155">
        <v>44926</v>
      </c>
      <c r="B704" t="s">
        <v>377</v>
      </c>
      <c r="C704" t="s">
        <v>8</v>
      </c>
      <c r="D704">
        <v>2022</v>
      </c>
      <c r="E704" t="s">
        <v>115</v>
      </c>
      <c r="F704" t="s">
        <v>114</v>
      </c>
      <c r="G704" t="s">
        <v>192</v>
      </c>
      <c r="H704">
        <v>597</v>
      </c>
      <c r="I704">
        <v>18729.900000000027</v>
      </c>
      <c r="J704">
        <v>11238.980000000036</v>
      </c>
      <c r="K704">
        <v>0</v>
      </c>
      <c r="L704">
        <v>7490.9200000000192</v>
      </c>
      <c r="M704" t="s">
        <v>193</v>
      </c>
      <c r="N704">
        <v>-129.06</v>
      </c>
      <c r="O704">
        <v>496.53</v>
      </c>
      <c r="P704">
        <v>-51.62</v>
      </c>
      <c r="Q704">
        <v>198.61</v>
      </c>
    </row>
    <row r="705" spans="1:17">
      <c r="A705" s="155">
        <v>44926</v>
      </c>
      <c r="B705" t="s">
        <v>378</v>
      </c>
      <c r="C705" t="s">
        <v>8</v>
      </c>
      <c r="D705">
        <v>2022</v>
      </c>
      <c r="E705" t="s">
        <v>115</v>
      </c>
      <c r="F705" t="s">
        <v>114</v>
      </c>
      <c r="G705" t="s">
        <v>192</v>
      </c>
      <c r="H705">
        <v>21</v>
      </c>
      <c r="I705">
        <v>940.41000000000008</v>
      </c>
      <c r="J705">
        <v>846.36999999999989</v>
      </c>
      <c r="K705">
        <v>0</v>
      </c>
      <c r="L705">
        <v>94.04000000000002</v>
      </c>
      <c r="M705" t="s">
        <v>193</v>
      </c>
      <c r="N705">
        <v>-129.06</v>
      </c>
      <c r="O705">
        <v>496.53</v>
      </c>
      <c r="P705">
        <v>-51.62</v>
      </c>
      <c r="Q705">
        <v>198.61</v>
      </c>
    </row>
    <row r="706" spans="1:17">
      <c r="A706" s="155">
        <v>44926</v>
      </c>
      <c r="B706" t="s">
        <v>363</v>
      </c>
      <c r="C706" t="s">
        <v>8</v>
      </c>
      <c r="D706">
        <v>2022</v>
      </c>
      <c r="E706" t="s">
        <v>115</v>
      </c>
      <c r="F706" t="s">
        <v>114</v>
      </c>
      <c r="G706" t="s">
        <v>192</v>
      </c>
      <c r="H706">
        <v>639</v>
      </c>
      <c r="I706">
        <v>18150.000000000018</v>
      </c>
      <c r="J706">
        <v>10904.360000000026</v>
      </c>
      <c r="K706">
        <v>0</v>
      </c>
      <c r="L706">
        <v>7245.6400000000131</v>
      </c>
      <c r="M706" t="s">
        <v>193</v>
      </c>
      <c r="N706">
        <v>-129.06</v>
      </c>
      <c r="O706">
        <v>496.53</v>
      </c>
      <c r="P706">
        <v>-51.62</v>
      </c>
      <c r="Q706">
        <v>198.61</v>
      </c>
    </row>
    <row r="707" spans="1:17">
      <c r="A707" s="155">
        <v>44926</v>
      </c>
      <c r="B707" t="s">
        <v>366</v>
      </c>
      <c r="C707" t="s">
        <v>8</v>
      </c>
      <c r="D707">
        <v>2022</v>
      </c>
      <c r="E707" t="s">
        <v>115</v>
      </c>
      <c r="F707" t="s">
        <v>114</v>
      </c>
      <c r="G707" t="s">
        <v>192</v>
      </c>
      <c r="H707">
        <v>21</v>
      </c>
      <c r="I707">
        <v>872.45999999999992</v>
      </c>
      <c r="J707">
        <v>733.35</v>
      </c>
      <c r="K707">
        <v>0</v>
      </c>
      <c r="L707">
        <v>139.10999999999996</v>
      </c>
      <c r="M707" t="s">
        <v>193</v>
      </c>
      <c r="N707">
        <v>-129.06</v>
      </c>
      <c r="O707">
        <v>496.53</v>
      </c>
      <c r="P707">
        <v>-51.62</v>
      </c>
      <c r="Q707">
        <v>198.61</v>
      </c>
    </row>
    <row r="708" spans="1:17">
      <c r="A708" s="155">
        <v>44926</v>
      </c>
      <c r="B708" t="s">
        <v>364</v>
      </c>
      <c r="C708" t="s">
        <v>8</v>
      </c>
      <c r="D708">
        <v>2022</v>
      </c>
      <c r="E708" t="s">
        <v>115</v>
      </c>
      <c r="F708" t="s">
        <v>114</v>
      </c>
      <c r="G708" t="s">
        <v>192</v>
      </c>
      <c r="H708">
        <v>1163</v>
      </c>
      <c r="I708">
        <v>33556.539999999834</v>
      </c>
      <c r="J708">
        <v>20212.580000000071</v>
      </c>
      <c r="K708">
        <v>0</v>
      </c>
      <c r="L708">
        <v>13343.960000000057</v>
      </c>
      <c r="M708" t="s">
        <v>193</v>
      </c>
      <c r="N708">
        <v>-129.06</v>
      </c>
      <c r="O708">
        <v>496.53</v>
      </c>
      <c r="P708">
        <v>-51.62</v>
      </c>
      <c r="Q708">
        <v>198.61</v>
      </c>
    </row>
    <row r="709" spans="1:17">
      <c r="A709" s="155">
        <v>44926</v>
      </c>
      <c r="B709" t="s">
        <v>379</v>
      </c>
      <c r="C709" t="s">
        <v>8</v>
      </c>
      <c r="D709">
        <v>2022</v>
      </c>
      <c r="E709" t="s">
        <v>115</v>
      </c>
      <c r="F709" t="s">
        <v>114</v>
      </c>
      <c r="G709" t="s">
        <v>192</v>
      </c>
      <c r="H709">
        <v>5</v>
      </c>
      <c r="I709">
        <v>198.18</v>
      </c>
      <c r="J709">
        <v>178.37</v>
      </c>
      <c r="K709">
        <v>0</v>
      </c>
      <c r="L709">
        <v>19.809999999999999</v>
      </c>
      <c r="M709" t="s">
        <v>193</v>
      </c>
      <c r="N709">
        <v>-129.06</v>
      </c>
      <c r="O709">
        <v>496.53</v>
      </c>
      <c r="P709">
        <v>-51.62</v>
      </c>
      <c r="Q709">
        <v>198.61</v>
      </c>
    </row>
    <row r="710" spans="1:17">
      <c r="A710" s="155">
        <v>44926</v>
      </c>
      <c r="B710" t="s">
        <v>358</v>
      </c>
      <c r="C710" t="s">
        <v>8</v>
      </c>
      <c r="D710">
        <v>2022</v>
      </c>
      <c r="E710" t="s">
        <v>115</v>
      </c>
      <c r="F710" t="s">
        <v>114</v>
      </c>
      <c r="G710" t="s">
        <v>192</v>
      </c>
      <c r="H710">
        <v>1780</v>
      </c>
      <c r="I710">
        <v>55918.179999999586</v>
      </c>
      <c r="J710">
        <v>33729.860000000066</v>
      </c>
      <c r="K710">
        <v>0</v>
      </c>
      <c r="L710">
        <v>22188.320000000007</v>
      </c>
      <c r="M710" t="s">
        <v>193</v>
      </c>
      <c r="N710">
        <v>-129.06</v>
      </c>
      <c r="O710">
        <v>496.53</v>
      </c>
      <c r="P710">
        <v>-51.62</v>
      </c>
      <c r="Q710">
        <v>198.61</v>
      </c>
    </row>
    <row r="711" spans="1:17">
      <c r="A711" s="155">
        <v>44926</v>
      </c>
      <c r="B711" t="s">
        <v>380</v>
      </c>
      <c r="C711" t="s">
        <v>8</v>
      </c>
      <c r="D711">
        <v>2022</v>
      </c>
      <c r="E711" t="s">
        <v>115</v>
      </c>
      <c r="F711" t="s">
        <v>114</v>
      </c>
      <c r="G711" t="s">
        <v>192</v>
      </c>
      <c r="H711">
        <v>15</v>
      </c>
      <c r="I711">
        <v>687.42000000000007</v>
      </c>
      <c r="J711">
        <v>412.44000000000005</v>
      </c>
      <c r="K711">
        <v>0</v>
      </c>
      <c r="L711">
        <v>274.98</v>
      </c>
      <c r="M711" t="s">
        <v>193</v>
      </c>
      <c r="N711">
        <v>-129.06</v>
      </c>
      <c r="O711">
        <v>496.53</v>
      </c>
      <c r="P711">
        <v>-51.62</v>
      </c>
      <c r="Q711">
        <v>198.61</v>
      </c>
    </row>
    <row r="712" spans="1:17">
      <c r="A712" s="155">
        <v>44926</v>
      </c>
      <c r="B712" t="s">
        <v>346</v>
      </c>
      <c r="C712" t="s">
        <v>8</v>
      </c>
      <c r="D712">
        <v>2022</v>
      </c>
      <c r="E712" t="s">
        <v>297</v>
      </c>
      <c r="F712" t="s">
        <v>114</v>
      </c>
      <c r="G712" t="s">
        <v>192</v>
      </c>
      <c r="H712">
        <v>226</v>
      </c>
      <c r="I712">
        <v>9697.5899999999765</v>
      </c>
      <c r="J712">
        <v>5818.5399999999991</v>
      </c>
      <c r="K712">
        <v>0</v>
      </c>
      <c r="L712">
        <v>3879.0499999999938</v>
      </c>
      <c r="M712" t="s">
        <v>193</v>
      </c>
      <c r="N712">
        <v>-62.32</v>
      </c>
      <c r="O712">
        <v>420.66</v>
      </c>
      <c r="P712">
        <v>-24.93</v>
      </c>
      <c r="Q712">
        <v>168.26</v>
      </c>
    </row>
    <row r="713" spans="1:17">
      <c r="A713" s="155">
        <v>44926</v>
      </c>
      <c r="B713" t="s">
        <v>347</v>
      </c>
      <c r="C713" t="s">
        <v>8</v>
      </c>
      <c r="D713">
        <v>2022</v>
      </c>
      <c r="E713" t="s">
        <v>297</v>
      </c>
      <c r="F713" t="s">
        <v>114</v>
      </c>
      <c r="G713" t="s">
        <v>192</v>
      </c>
      <c r="H713">
        <v>90</v>
      </c>
      <c r="I713">
        <v>4132.4400000000032</v>
      </c>
      <c r="J713">
        <v>2483.0100000000002</v>
      </c>
      <c r="K713">
        <v>0</v>
      </c>
      <c r="L713">
        <v>1649.4300000000012</v>
      </c>
      <c r="M713" t="s">
        <v>193</v>
      </c>
      <c r="N713">
        <v>-62.32</v>
      </c>
      <c r="O713">
        <v>420.66</v>
      </c>
      <c r="P713">
        <v>-24.93</v>
      </c>
      <c r="Q713">
        <v>168.26</v>
      </c>
    </row>
    <row r="714" spans="1:17">
      <c r="A714" s="155">
        <v>44926</v>
      </c>
      <c r="B714" t="s">
        <v>349</v>
      </c>
      <c r="C714" t="s">
        <v>8</v>
      </c>
      <c r="D714">
        <v>2022</v>
      </c>
      <c r="E714" t="s">
        <v>297</v>
      </c>
      <c r="F714" t="s">
        <v>114</v>
      </c>
      <c r="G714" t="s">
        <v>192</v>
      </c>
      <c r="H714">
        <v>99</v>
      </c>
      <c r="I714">
        <v>4840.8799999999965</v>
      </c>
      <c r="J714">
        <v>2904.5899999999983</v>
      </c>
      <c r="K714">
        <v>0</v>
      </c>
      <c r="L714">
        <v>1936.2900000000016</v>
      </c>
      <c r="M714" t="s">
        <v>193</v>
      </c>
      <c r="N714">
        <v>-62.32</v>
      </c>
      <c r="O714">
        <v>420.66</v>
      </c>
      <c r="P714">
        <v>-24.93</v>
      </c>
      <c r="Q714">
        <v>168.26</v>
      </c>
    </row>
    <row r="715" spans="1:17">
      <c r="A715" s="155">
        <v>44926</v>
      </c>
      <c r="B715" t="s">
        <v>350</v>
      </c>
      <c r="C715" t="s">
        <v>8</v>
      </c>
      <c r="D715">
        <v>2022</v>
      </c>
      <c r="E715" t="s">
        <v>297</v>
      </c>
      <c r="F715" t="s">
        <v>114</v>
      </c>
      <c r="G715" t="s">
        <v>192</v>
      </c>
      <c r="H715">
        <v>88</v>
      </c>
      <c r="I715">
        <v>3278.22</v>
      </c>
      <c r="J715">
        <v>1967.0100000000002</v>
      </c>
      <c r="K715">
        <v>0</v>
      </c>
      <c r="L715">
        <v>1311.2100000000003</v>
      </c>
      <c r="M715" t="s">
        <v>193</v>
      </c>
      <c r="N715">
        <v>-62.32</v>
      </c>
      <c r="O715">
        <v>420.66</v>
      </c>
      <c r="P715">
        <v>-24.93</v>
      </c>
      <c r="Q715">
        <v>168.26</v>
      </c>
    </row>
    <row r="716" spans="1:17">
      <c r="A716" s="155">
        <v>44926</v>
      </c>
      <c r="B716" t="s">
        <v>360</v>
      </c>
      <c r="C716" t="s">
        <v>8</v>
      </c>
      <c r="D716">
        <v>2022</v>
      </c>
      <c r="E716" t="s">
        <v>297</v>
      </c>
      <c r="F716" t="s">
        <v>114</v>
      </c>
      <c r="G716" t="s">
        <v>192</v>
      </c>
      <c r="H716">
        <v>1</v>
      </c>
      <c r="I716">
        <v>14.3</v>
      </c>
      <c r="J716">
        <v>8.58</v>
      </c>
      <c r="K716">
        <v>0</v>
      </c>
      <c r="L716">
        <v>5.72</v>
      </c>
      <c r="M716" t="s">
        <v>193</v>
      </c>
      <c r="N716">
        <v>-62.32</v>
      </c>
      <c r="O716">
        <v>420.66</v>
      </c>
      <c r="P716">
        <v>-24.93</v>
      </c>
      <c r="Q716">
        <v>168.26</v>
      </c>
    </row>
    <row r="717" spans="1:17">
      <c r="A717" s="155">
        <v>44926</v>
      </c>
      <c r="B717" t="s">
        <v>352</v>
      </c>
      <c r="C717" t="s">
        <v>8</v>
      </c>
      <c r="D717">
        <v>2022</v>
      </c>
      <c r="E717" t="s">
        <v>297</v>
      </c>
      <c r="F717" t="s">
        <v>114</v>
      </c>
      <c r="G717" t="s">
        <v>192</v>
      </c>
      <c r="H717">
        <v>226</v>
      </c>
      <c r="I717">
        <v>9697.5899999999783</v>
      </c>
      <c r="J717">
        <v>5818.5399999999927</v>
      </c>
      <c r="K717">
        <v>0</v>
      </c>
      <c r="L717">
        <v>3879.0499999999943</v>
      </c>
      <c r="M717" t="s">
        <v>193</v>
      </c>
      <c r="N717">
        <v>-62.32</v>
      </c>
      <c r="O717">
        <v>420.66</v>
      </c>
      <c r="P717">
        <v>-24.93</v>
      </c>
      <c r="Q717">
        <v>168.26</v>
      </c>
    </row>
    <row r="718" spans="1:17">
      <c r="A718" s="155">
        <v>44926</v>
      </c>
      <c r="B718" t="s">
        <v>353</v>
      </c>
      <c r="C718" t="s">
        <v>8</v>
      </c>
      <c r="D718">
        <v>2022</v>
      </c>
      <c r="E718" t="s">
        <v>297</v>
      </c>
      <c r="F718" t="s">
        <v>114</v>
      </c>
      <c r="G718" t="s">
        <v>192</v>
      </c>
      <c r="H718">
        <v>90</v>
      </c>
      <c r="I718">
        <v>4132.4400000000014</v>
      </c>
      <c r="J718">
        <v>2483.0099999999993</v>
      </c>
      <c r="K718">
        <v>0</v>
      </c>
      <c r="L718">
        <v>1649.4300000000014</v>
      </c>
      <c r="M718" t="s">
        <v>193</v>
      </c>
      <c r="N718">
        <v>-62.32</v>
      </c>
      <c r="O718">
        <v>420.66</v>
      </c>
      <c r="P718">
        <v>-24.93</v>
      </c>
      <c r="Q718">
        <v>168.26</v>
      </c>
    </row>
    <row r="719" spans="1:17">
      <c r="A719" s="155">
        <v>44926</v>
      </c>
      <c r="B719" t="s">
        <v>355</v>
      </c>
      <c r="C719" t="s">
        <v>8</v>
      </c>
      <c r="D719">
        <v>2022</v>
      </c>
      <c r="E719" t="s">
        <v>297</v>
      </c>
      <c r="F719" t="s">
        <v>114</v>
      </c>
      <c r="G719" t="s">
        <v>192</v>
      </c>
      <c r="H719">
        <v>99</v>
      </c>
      <c r="I719">
        <v>4840.8799999999983</v>
      </c>
      <c r="J719">
        <v>2904.5899999999988</v>
      </c>
      <c r="K719">
        <v>0</v>
      </c>
      <c r="L719">
        <v>1936.2900000000016</v>
      </c>
      <c r="M719" t="s">
        <v>193</v>
      </c>
      <c r="N719">
        <v>-62.32</v>
      </c>
      <c r="O719">
        <v>420.66</v>
      </c>
      <c r="P719">
        <v>-24.93</v>
      </c>
      <c r="Q719">
        <v>168.26</v>
      </c>
    </row>
    <row r="720" spans="1:17">
      <c r="A720" s="155">
        <v>44926</v>
      </c>
      <c r="B720" t="s">
        <v>356</v>
      </c>
      <c r="C720" t="s">
        <v>8</v>
      </c>
      <c r="D720">
        <v>2022</v>
      </c>
      <c r="E720" t="s">
        <v>297</v>
      </c>
      <c r="F720" t="s">
        <v>114</v>
      </c>
      <c r="G720" t="s">
        <v>192</v>
      </c>
      <c r="H720">
        <v>88</v>
      </c>
      <c r="I720">
        <v>3278.2199999999993</v>
      </c>
      <c r="J720">
        <v>1967.0099999999998</v>
      </c>
      <c r="K720">
        <v>0</v>
      </c>
      <c r="L720">
        <v>1311.2100000000009</v>
      </c>
      <c r="M720" t="s">
        <v>193</v>
      </c>
      <c r="N720">
        <v>-62.32</v>
      </c>
      <c r="O720">
        <v>420.66</v>
      </c>
      <c r="P720">
        <v>-24.93</v>
      </c>
      <c r="Q720">
        <v>168.26</v>
      </c>
    </row>
    <row r="721" spans="1:17">
      <c r="A721" s="155">
        <v>44926</v>
      </c>
      <c r="B721" t="s">
        <v>363</v>
      </c>
      <c r="C721" t="s">
        <v>8</v>
      </c>
      <c r="D721">
        <v>2022</v>
      </c>
      <c r="E721" t="s">
        <v>297</v>
      </c>
      <c r="F721" t="s">
        <v>114</v>
      </c>
      <c r="G721" t="s">
        <v>192</v>
      </c>
      <c r="H721">
        <v>1</v>
      </c>
      <c r="I721">
        <v>14.3</v>
      </c>
      <c r="J721">
        <v>8.58</v>
      </c>
      <c r="K721">
        <v>0</v>
      </c>
      <c r="L721">
        <v>5.72</v>
      </c>
      <c r="M721" t="s">
        <v>193</v>
      </c>
      <c r="N721">
        <v>-62.32</v>
      </c>
      <c r="O721">
        <v>420.66</v>
      </c>
      <c r="P721">
        <v>-24.93</v>
      </c>
      <c r="Q721">
        <v>168.26</v>
      </c>
    </row>
    <row r="722" spans="1:17">
      <c r="A722" s="155">
        <v>44926</v>
      </c>
      <c r="B722" t="s">
        <v>346</v>
      </c>
      <c r="C722" t="s">
        <v>8</v>
      </c>
      <c r="D722">
        <v>2022</v>
      </c>
      <c r="E722" t="s">
        <v>67</v>
      </c>
      <c r="F722" t="s">
        <v>114</v>
      </c>
      <c r="G722" t="s">
        <v>192</v>
      </c>
      <c r="H722">
        <v>97</v>
      </c>
      <c r="I722">
        <v>11717.040000000003</v>
      </c>
      <c r="J722">
        <v>4389.170000000001</v>
      </c>
      <c r="K722">
        <v>0</v>
      </c>
      <c r="L722">
        <v>4514.3599999999997</v>
      </c>
      <c r="M722" t="s">
        <v>193</v>
      </c>
      <c r="N722">
        <v>-700</v>
      </c>
      <c r="O722">
        <v>3180</v>
      </c>
      <c r="P722">
        <v>-550</v>
      </c>
      <c r="Q722">
        <v>1810.95</v>
      </c>
    </row>
    <row r="723" spans="1:17">
      <c r="A723" s="155">
        <v>44926</v>
      </c>
      <c r="B723" t="s">
        <v>347</v>
      </c>
      <c r="C723" t="s">
        <v>8</v>
      </c>
      <c r="D723">
        <v>2022</v>
      </c>
      <c r="E723" t="s">
        <v>67</v>
      </c>
      <c r="F723" t="s">
        <v>114</v>
      </c>
      <c r="G723" t="s">
        <v>192</v>
      </c>
      <c r="H723">
        <v>91</v>
      </c>
      <c r="I723">
        <v>5651.4099999999971</v>
      </c>
      <c r="J723">
        <v>3346.8299999999995</v>
      </c>
      <c r="K723">
        <v>10.119999999999999</v>
      </c>
      <c r="L723">
        <v>2236.1700000000005</v>
      </c>
      <c r="M723" t="s">
        <v>193</v>
      </c>
      <c r="N723">
        <v>-700</v>
      </c>
      <c r="O723">
        <v>3180</v>
      </c>
      <c r="P723">
        <v>-550</v>
      </c>
      <c r="Q723">
        <v>1810.95</v>
      </c>
    </row>
    <row r="724" spans="1:17">
      <c r="A724" s="155">
        <v>44926</v>
      </c>
      <c r="B724" t="s">
        <v>359</v>
      </c>
      <c r="C724" t="s">
        <v>8</v>
      </c>
      <c r="D724">
        <v>2022</v>
      </c>
      <c r="E724" t="s">
        <v>67</v>
      </c>
      <c r="F724" t="s">
        <v>114</v>
      </c>
      <c r="G724" t="s">
        <v>192</v>
      </c>
      <c r="H724">
        <v>119</v>
      </c>
      <c r="I724">
        <v>6013.3399999999992</v>
      </c>
      <c r="J724">
        <v>2287.9099999999994</v>
      </c>
      <c r="K724">
        <v>0</v>
      </c>
      <c r="L724">
        <v>2514.9799999999991</v>
      </c>
      <c r="M724" t="s">
        <v>193</v>
      </c>
      <c r="N724">
        <v>-700</v>
      </c>
      <c r="O724">
        <v>3180</v>
      </c>
      <c r="P724">
        <v>-550</v>
      </c>
      <c r="Q724">
        <v>1810.95</v>
      </c>
    </row>
    <row r="725" spans="1:17">
      <c r="A725" s="155">
        <v>44926</v>
      </c>
      <c r="B725" t="s">
        <v>367</v>
      </c>
      <c r="C725" t="s">
        <v>8</v>
      </c>
      <c r="D725">
        <v>2022</v>
      </c>
      <c r="E725" t="s">
        <v>67</v>
      </c>
      <c r="F725" t="s">
        <v>114</v>
      </c>
      <c r="G725" t="s">
        <v>192</v>
      </c>
      <c r="H725">
        <v>13</v>
      </c>
      <c r="I725">
        <v>479.34999999999997</v>
      </c>
      <c r="J725">
        <v>184.21000000000004</v>
      </c>
      <c r="K725">
        <v>0</v>
      </c>
      <c r="L725">
        <v>295.14</v>
      </c>
      <c r="M725" t="s">
        <v>193</v>
      </c>
      <c r="N725">
        <v>-700</v>
      </c>
      <c r="O725">
        <v>3180</v>
      </c>
      <c r="P725">
        <v>-550</v>
      </c>
      <c r="Q725">
        <v>1810.95</v>
      </c>
    </row>
    <row r="726" spans="1:17">
      <c r="A726" s="155">
        <v>44926</v>
      </c>
      <c r="B726" t="s">
        <v>348</v>
      </c>
      <c r="C726" t="s">
        <v>8</v>
      </c>
      <c r="D726">
        <v>2022</v>
      </c>
      <c r="E726" t="s">
        <v>67</v>
      </c>
      <c r="F726" t="s">
        <v>114</v>
      </c>
      <c r="G726" t="s">
        <v>192</v>
      </c>
      <c r="H726">
        <v>10</v>
      </c>
      <c r="I726">
        <v>125.94000000000003</v>
      </c>
      <c r="J726">
        <v>72.389999999999986</v>
      </c>
      <c r="K726">
        <v>0</v>
      </c>
      <c r="L726">
        <v>50.980000000000004</v>
      </c>
      <c r="M726" t="s">
        <v>193</v>
      </c>
      <c r="N726">
        <v>-700</v>
      </c>
      <c r="O726">
        <v>3180</v>
      </c>
      <c r="P726">
        <v>-550</v>
      </c>
      <c r="Q726">
        <v>1810.95</v>
      </c>
    </row>
    <row r="727" spans="1:17">
      <c r="A727" s="155">
        <v>44926</v>
      </c>
      <c r="B727" t="s">
        <v>349</v>
      </c>
      <c r="C727" t="s">
        <v>8</v>
      </c>
      <c r="D727">
        <v>2022</v>
      </c>
      <c r="E727" t="s">
        <v>67</v>
      </c>
      <c r="F727" t="s">
        <v>114</v>
      </c>
      <c r="G727" t="s">
        <v>192</v>
      </c>
      <c r="H727">
        <v>55</v>
      </c>
      <c r="I727">
        <v>2159.4799999999991</v>
      </c>
      <c r="J727">
        <v>1259.2700000000002</v>
      </c>
      <c r="K727">
        <v>0</v>
      </c>
      <c r="L727">
        <v>817.53000000000065</v>
      </c>
      <c r="M727" t="s">
        <v>193</v>
      </c>
      <c r="N727">
        <v>-700</v>
      </c>
      <c r="O727">
        <v>3180</v>
      </c>
      <c r="P727">
        <v>-550</v>
      </c>
      <c r="Q727">
        <v>1810.95</v>
      </c>
    </row>
    <row r="728" spans="1:17">
      <c r="A728" s="155">
        <v>44926</v>
      </c>
      <c r="B728" t="s">
        <v>350</v>
      </c>
      <c r="C728" t="s">
        <v>8</v>
      </c>
      <c r="D728">
        <v>2022</v>
      </c>
      <c r="E728" t="s">
        <v>67</v>
      </c>
      <c r="F728" t="s">
        <v>114</v>
      </c>
      <c r="G728" t="s">
        <v>192</v>
      </c>
      <c r="H728">
        <v>26</v>
      </c>
      <c r="I728">
        <v>1690.2600000000004</v>
      </c>
      <c r="J728">
        <v>759.30999999999983</v>
      </c>
      <c r="K728">
        <v>0</v>
      </c>
      <c r="L728">
        <v>797.63999999999987</v>
      </c>
      <c r="M728" t="s">
        <v>193</v>
      </c>
      <c r="N728">
        <v>-700</v>
      </c>
      <c r="O728">
        <v>3180</v>
      </c>
      <c r="P728">
        <v>-550</v>
      </c>
      <c r="Q728">
        <v>1810.95</v>
      </c>
    </row>
    <row r="729" spans="1:17">
      <c r="A729" s="155">
        <v>44926</v>
      </c>
      <c r="B729" t="s">
        <v>351</v>
      </c>
      <c r="C729" t="s">
        <v>8</v>
      </c>
      <c r="D729">
        <v>2022</v>
      </c>
      <c r="E729" t="s">
        <v>67</v>
      </c>
      <c r="F729" t="s">
        <v>114</v>
      </c>
      <c r="G729" t="s">
        <v>192</v>
      </c>
      <c r="H729">
        <v>338</v>
      </c>
      <c r="I729">
        <v>16285.039999999988</v>
      </c>
      <c r="J729">
        <v>7132.5300000000007</v>
      </c>
      <c r="K729">
        <v>0</v>
      </c>
      <c r="L729">
        <v>5544.6699999999937</v>
      </c>
      <c r="M729" t="s">
        <v>193</v>
      </c>
      <c r="N729">
        <v>-700</v>
      </c>
      <c r="O729">
        <v>3180</v>
      </c>
      <c r="P729">
        <v>-550</v>
      </c>
      <c r="Q729">
        <v>1810.95</v>
      </c>
    </row>
    <row r="730" spans="1:17">
      <c r="A730" s="155">
        <v>44926</v>
      </c>
      <c r="B730" t="s">
        <v>368</v>
      </c>
      <c r="C730" t="s">
        <v>8</v>
      </c>
      <c r="D730">
        <v>2022</v>
      </c>
      <c r="E730" t="s">
        <v>67</v>
      </c>
      <c r="F730" t="s">
        <v>114</v>
      </c>
      <c r="G730" t="s">
        <v>192</v>
      </c>
      <c r="H730">
        <v>4</v>
      </c>
      <c r="I730">
        <v>218.59</v>
      </c>
      <c r="J730">
        <v>146.31</v>
      </c>
      <c r="K730">
        <v>0</v>
      </c>
      <c r="L730">
        <v>16.260000000000002</v>
      </c>
      <c r="M730" t="s">
        <v>193</v>
      </c>
      <c r="N730">
        <v>-700</v>
      </c>
      <c r="O730">
        <v>3180</v>
      </c>
      <c r="P730">
        <v>-550</v>
      </c>
      <c r="Q730">
        <v>1810.95</v>
      </c>
    </row>
    <row r="731" spans="1:17">
      <c r="A731" s="155">
        <v>44926</v>
      </c>
      <c r="B731" t="s">
        <v>369</v>
      </c>
      <c r="C731" t="s">
        <v>8</v>
      </c>
      <c r="D731">
        <v>2022</v>
      </c>
      <c r="E731" t="s">
        <v>67</v>
      </c>
      <c r="F731" t="s">
        <v>114</v>
      </c>
      <c r="G731" t="s">
        <v>192</v>
      </c>
      <c r="H731">
        <v>189</v>
      </c>
      <c r="I731">
        <v>12294.779999999993</v>
      </c>
      <c r="J731">
        <v>5677.0100000000011</v>
      </c>
      <c r="K731">
        <v>0</v>
      </c>
      <c r="L731">
        <v>4076.150000000001</v>
      </c>
      <c r="M731" t="s">
        <v>193</v>
      </c>
      <c r="N731">
        <v>-700</v>
      </c>
      <c r="O731">
        <v>3180</v>
      </c>
      <c r="P731">
        <v>-550</v>
      </c>
      <c r="Q731">
        <v>1810.95</v>
      </c>
    </row>
    <row r="732" spans="1:17">
      <c r="A732" s="155">
        <v>44926</v>
      </c>
      <c r="B732" t="s">
        <v>360</v>
      </c>
      <c r="C732" t="s">
        <v>8</v>
      </c>
      <c r="D732">
        <v>2022</v>
      </c>
      <c r="E732" t="s">
        <v>67</v>
      </c>
      <c r="F732" t="s">
        <v>114</v>
      </c>
      <c r="G732" t="s">
        <v>192</v>
      </c>
      <c r="H732">
        <v>290</v>
      </c>
      <c r="I732">
        <v>14107.129999999986</v>
      </c>
      <c r="J732">
        <v>6350.5399999999918</v>
      </c>
      <c r="K732">
        <v>0</v>
      </c>
      <c r="L732">
        <v>5151.1600000000008</v>
      </c>
      <c r="M732" t="s">
        <v>193</v>
      </c>
      <c r="N732">
        <v>-700</v>
      </c>
      <c r="O732">
        <v>3180</v>
      </c>
      <c r="P732">
        <v>-550</v>
      </c>
      <c r="Q732">
        <v>1810.95</v>
      </c>
    </row>
    <row r="733" spans="1:17">
      <c r="A733" s="155">
        <v>44926</v>
      </c>
      <c r="B733" t="s">
        <v>371</v>
      </c>
      <c r="C733" t="s">
        <v>8</v>
      </c>
      <c r="D733">
        <v>2022</v>
      </c>
      <c r="E733" t="s">
        <v>67</v>
      </c>
      <c r="F733" t="s">
        <v>114</v>
      </c>
      <c r="G733" t="s">
        <v>192</v>
      </c>
      <c r="H733">
        <v>6</v>
      </c>
      <c r="I733">
        <v>243.82</v>
      </c>
      <c r="J733">
        <v>219.44</v>
      </c>
      <c r="K733">
        <v>0</v>
      </c>
      <c r="L733">
        <v>24.38</v>
      </c>
      <c r="M733" t="s">
        <v>193</v>
      </c>
      <c r="N733">
        <v>-700</v>
      </c>
      <c r="O733">
        <v>3180</v>
      </c>
      <c r="P733">
        <v>-550</v>
      </c>
      <c r="Q733">
        <v>1810.95</v>
      </c>
    </row>
    <row r="734" spans="1:17">
      <c r="A734" s="155">
        <v>44926</v>
      </c>
      <c r="B734" t="s">
        <v>361</v>
      </c>
      <c r="C734" t="s">
        <v>8</v>
      </c>
      <c r="D734">
        <v>2022</v>
      </c>
      <c r="E734" t="s">
        <v>67</v>
      </c>
      <c r="F734" t="s">
        <v>114</v>
      </c>
      <c r="G734" t="s">
        <v>192</v>
      </c>
      <c r="H734">
        <v>536</v>
      </c>
      <c r="I734">
        <v>26057.939999999981</v>
      </c>
      <c r="J734">
        <v>11622.389999999996</v>
      </c>
      <c r="K734">
        <v>0</v>
      </c>
      <c r="L734">
        <v>10905.410000000013</v>
      </c>
      <c r="M734" t="s">
        <v>193</v>
      </c>
      <c r="N734">
        <v>-700</v>
      </c>
      <c r="O734">
        <v>3180</v>
      </c>
      <c r="P734">
        <v>-550</v>
      </c>
      <c r="Q734">
        <v>1810.95</v>
      </c>
    </row>
    <row r="735" spans="1:17">
      <c r="A735" s="155">
        <v>44926</v>
      </c>
      <c r="B735" t="s">
        <v>365</v>
      </c>
      <c r="C735" t="s">
        <v>8</v>
      </c>
      <c r="D735">
        <v>2022</v>
      </c>
      <c r="E735" t="s">
        <v>67</v>
      </c>
      <c r="F735" t="s">
        <v>114</v>
      </c>
      <c r="G735" t="s">
        <v>192</v>
      </c>
      <c r="H735">
        <v>19</v>
      </c>
      <c r="I735">
        <v>920.82000000000028</v>
      </c>
      <c r="J735">
        <v>710.73000000000013</v>
      </c>
      <c r="K735">
        <v>0</v>
      </c>
      <c r="L735">
        <v>133.78000000000003</v>
      </c>
      <c r="M735" t="s">
        <v>193</v>
      </c>
      <c r="N735">
        <v>-700</v>
      </c>
      <c r="O735">
        <v>3180</v>
      </c>
      <c r="P735">
        <v>-550</v>
      </c>
      <c r="Q735">
        <v>1810.95</v>
      </c>
    </row>
    <row r="736" spans="1:17">
      <c r="A736" s="155">
        <v>44926</v>
      </c>
      <c r="B736" t="s">
        <v>176</v>
      </c>
      <c r="C736" t="s">
        <v>8</v>
      </c>
      <c r="D736">
        <v>2022</v>
      </c>
      <c r="E736" t="s">
        <v>67</v>
      </c>
      <c r="F736" t="s">
        <v>114</v>
      </c>
      <c r="G736" t="s">
        <v>192</v>
      </c>
      <c r="H736">
        <v>946</v>
      </c>
      <c r="I736">
        <v>41233.610000000088</v>
      </c>
      <c r="J736">
        <v>16255.55</v>
      </c>
      <c r="K736">
        <v>0</v>
      </c>
      <c r="L736">
        <v>20370.929999999978</v>
      </c>
      <c r="M736" t="s">
        <v>193</v>
      </c>
      <c r="N736">
        <v>-700</v>
      </c>
      <c r="O736">
        <v>3180</v>
      </c>
      <c r="P736">
        <v>-550</v>
      </c>
      <c r="Q736">
        <v>1810.95</v>
      </c>
    </row>
    <row r="737" spans="1:17">
      <c r="A737" s="155">
        <v>44926</v>
      </c>
      <c r="B737" t="s">
        <v>372</v>
      </c>
      <c r="C737" t="s">
        <v>8</v>
      </c>
      <c r="D737">
        <v>2022</v>
      </c>
      <c r="E737" t="s">
        <v>67</v>
      </c>
      <c r="F737" t="s">
        <v>114</v>
      </c>
      <c r="G737" t="s">
        <v>192</v>
      </c>
      <c r="H737">
        <v>5</v>
      </c>
      <c r="I737">
        <v>99.5</v>
      </c>
      <c r="J737">
        <v>82.7</v>
      </c>
      <c r="K737">
        <v>0</v>
      </c>
      <c r="L737">
        <v>9.1900000000000013</v>
      </c>
      <c r="M737" t="s">
        <v>193</v>
      </c>
      <c r="N737">
        <v>-700</v>
      </c>
      <c r="O737">
        <v>3180</v>
      </c>
      <c r="P737">
        <v>-550</v>
      </c>
      <c r="Q737">
        <v>1810.95</v>
      </c>
    </row>
    <row r="738" spans="1:17">
      <c r="A738" s="155">
        <v>44926</v>
      </c>
      <c r="B738" t="s">
        <v>373</v>
      </c>
      <c r="C738" t="s">
        <v>8</v>
      </c>
      <c r="D738">
        <v>2022</v>
      </c>
      <c r="E738" t="s">
        <v>67</v>
      </c>
      <c r="F738" t="s">
        <v>114</v>
      </c>
      <c r="G738" t="s">
        <v>192</v>
      </c>
      <c r="H738">
        <v>4</v>
      </c>
      <c r="I738">
        <v>73.599999999999994</v>
      </c>
      <c r="J738">
        <v>44.16</v>
      </c>
      <c r="K738">
        <v>0</v>
      </c>
      <c r="L738">
        <v>29.439999999999998</v>
      </c>
      <c r="M738" t="s">
        <v>193</v>
      </c>
      <c r="N738">
        <v>-700</v>
      </c>
      <c r="O738">
        <v>3180</v>
      </c>
      <c r="P738">
        <v>-550</v>
      </c>
      <c r="Q738">
        <v>1810.95</v>
      </c>
    </row>
    <row r="739" spans="1:17">
      <c r="A739" s="155">
        <v>44926</v>
      </c>
      <c r="B739" t="s">
        <v>352</v>
      </c>
      <c r="C739" t="s">
        <v>8</v>
      </c>
      <c r="D739">
        <v>2022</v>
      </c>
      <c r="E739" t="s">
        <v>67</v>
      </c>
      <c r="F739" t="s">
        <v>114</v>
      </c>
      <c r="G739" t="s">
        <v>192</v>
      </c>
      <c r="H739">
        <v>97</v>
      </c>
      <c r="I739">
        <v>11717.040000000003</v>
      </c>
      <c r="J739">
        <v>4389.1699999999992</v>
      </c>
      <c r="K739">
        <v>0</v>
      </c>
      <c r="L739">
        <v>4514.3599999999997</v>
      </c>
      <c r="M739" t="s">
        <v>193</v>
      </c>
      <c r="N739">
        <v>-700</v>
      </c>
      <c r="O739">
        <v>3180</v>
      </c>
      <c r="P739">
        <v>-550</v>
      </c>
      <c r="Q739">
        <v>1810.95</v>
      </c>
    </row>
    <row r="740" spans="1:17">
      <c r="A740" s="155">
        <v>44926</v>
      </c>
      <c r="B740" t="s">
        <v>353</v>
      </c>
      <c r="C740" t="s">
        <v>8</v>
      </c>
      <c r="D740">
        <v>2022</v>
      </c>
      <c r="E740" t="s">
        <v>67</v>
      </c>
      <c r="F740" t="s">
        <v>114</v>
      </c>
      <c r="G740" t="s">
        <v>192</v>
      </c>
      <c r="H740">
        <v>91</v>
      </c>
      <c r="I740">
        <v>5651.41</v>
      </c>
      <c r="J740">
        <v>3346.83</v>
      </c>
      <c r="K740">
        <v>10.119999999999999</v>
      </c>
      <c r="L740">
        <v>2236.1699999999996</v>
      </c>
      <c r="M740" t="s">
        <v>193</v>
      </c>
      <c r="N740">
        <v>-700</v>
      </c>
      <c r="O740">
        <v>3180</v>
      </c>
      <c r="P740">
        <v>-550</v>
      </c>
      <c r="Q740">
        <v>1810.95</v>
      </c>
    </row>
    <row r="741" spans="1:17">
      <c r="A741" s="155">
        <v>44926</v>
      </c>
      <c r="B741" t="s">
        <v>374</v>
      </c>
      <c r="C741" t="s">
        <v>8</v>
      </c>
      <c r="D741">
        <v>2022</v>
      </c>
      <c r="E741" t="s">
        <v>67</v>
      </c>
      <c r="F741" t="s">
        <v>114</v>
      </c>
      <c r="G741" t="s">
        <v>192</v>
      </c>
      <c r="H741">
        <v>13</v>
      </c>
      <c r="I741">
        <v>479.34999999999997</v>
      </c>
      <c r="J741">
        <v>184.21</v>
      </c>
      <c r="K741">
        <v>0</v>
      </c>
      <c r="L741">
        <v>295.14</v>
      </c>
      <c r="M741" t="s">
        <v>193</v>
      </c>
      <c r="N741">
        <v>-700</v>
      </c>
      <c r="O741">
        <v>3180</v>
      </c>
      <c r="P741">
        <v>-550</v>
      </c>
      <c r="Q741">
        <v>1810.95</v>
      </c>
    </row>
    <row r="742" spans="1:17">
      <c r="A742" s="155">
        <v>44926</v>
      </c>
      <c r="B742" t="s">
        <v>362</v>
      </c>
      <c r="C742" t="s">
        <v>8</v>
      </c>
      <c r="D742">
        <v>2022</v>
      </c>
      <c r="E742" t="s">
        <v>67</v>
      </c>
      <c r="F742" t="s">
        <v>114</v>
      </c>
      <c r="G742" t="s">
        <v>192</v>
      </c>
      <c r="H742">
        <v>119</v>
      </c>
      <c r="I742">
        <v>6013.34</v>
      </c>
      <c r="J742">
        <v>2287.9100000000008</v>
      </c>
      <c r="K742">
        <v>0</v>
      </c>
      <c r="L742">
        <v>2514.9799999999982</v>
      </c>
      <c r="M742" t="s">
        <v>193</v>
      </c>
      <c r="N742">
        <v>-700</v>
      </c>
      <c r="O742">
        <v>3180</v>
      </c>
      <c r="P742">
        <v>-550</v>
      </c>
      <c r="Q742">
        <v>1810.95</v>
      </c>
    </row>
    <row r="743" spans="1:17">
      <c r="A743" s="155">
        <v>44926</v>
      </c>
      <c r="B743" t="s">
        <v>354</v>
      </c>
      <c r="C743" t="s">
        <v>8</v>
      </c>
      <c r="D743">
        <v>2022</v>
      </c>
      <c r="E743" t="s">
        <v>67</v>
      </c>
      <c r="F743" t="s">
        <v>114</v>
      </c>
      <c r="G743" t="s">
        <v>192</v>
      </c>
      <c r="H743">
        <v>10</v>
      </c>
      <c r="I743">
        <v>125.94000000000001</v>
      </c>
      <c r="J743">
        <v>72.39</v>
      </c>
      <c r="K743">
        <v>0</v>
      </c>
      <c r="L743">
        <v>50.980000000000004</v>
      </c>
      <c r="M743" t="s">
        <v>193</v>
      </c>
      <c r="N743">
        <v>-700</v>
      </c>
      <c r="O743">
        <v>3180</v>
      </c>
      <c r="P743">
        <v>-550</v>
      </c>
      <c r="Q743">
        <v>1810.95</v>
      </c>
    </row>
    <row r="744" spans="1:17">
      <c r="A744" s="155">
        <v>44926</v>
      </c>
      <c r="B744" t="s">
        <v>355</v>
      </c>
      <c r="C744" t="s">
        <v>8</v>
      </c>
      <c r="D744">
        <v>2022</v>
      </c>
      <c r="E744" t="s">
        <v>67</v>
      </c>
      <c r="F744" t="s">
        <v>114</v>
      </c>
      <c r="G744" t="s">
        <v>192</v>
      </c>
      <c r="H744">
        <v>55</v>
      </c>
      <c r="I744">
        <v>2159.4799999999991</v>
      </c>
      <c r="J744">
        <v>1259.2699999999993</v>
      </c>
      <c r="K744">
        <v>0</v>
      </c>
      <c r="L744">
        <v>817.53000000000054</v>
      </c>
      <c r="M744" t="s">
        <v>193</v>
      </c>
      <c r="N744">
        <v>-700</v>
      </c>
      <c r="O744">
        <v>3180</v>
      </c>
      <c r="P744">
        <v>-550</v>
      </c>
      <c r="Q744">
        <v>1810.95</v>
      </c>
    </row>
    <row r="745" spans="1:17">
      <c r="A745" s="155">
        <v>44926</v>
      </c>
      <c r="B745" t="s">
        <v>356</v>
      </c>
      <c r="C745" t="s">
        <v>8</v>
      </c>
      <c r="D745">
        <v>2022</v>
      </c>
      <c r="E745" t="s">
        <v>67</v>
      </c>
      <c r="F745" t="s">
        <v>114</v>
      </c>
      <c r="G745" t="s">
        <v>192</v>
      </c>
      <c r="H745">
        <v>26</v>
      </c>
      <c r="I745">
        <v>1690.26</v>
      </c>
      <c r="J745">
        <v>759.31000000000006</v>
      </c>
      <c r="K745">
        <v>0</v>
      </c>
      <c r="L745">
        <v>797.64</v>
      </c>
      <c r="M745" t="s">
        <v>193</v>
      </c>
      <c r="N745">
        <v>-700</v>
      </c>
      <c r="O745">
        <v>3180</v>
      </c>
      <c r="P745">
        <v>-550</v>
      </c>
      <c r="Q745">
        <v>1810.95</v>
      </c>
    </row>
    <row r="746" spans="1:17">
      <c r="A746" s="155">
        <v>44926</v>
      </c>
      <c r="B746" t="s">
        <v>375</v>
      </c>
      <c r="C746" t="s">
        <v>8</v>
      </c>
      <c r="D746">
        <v>2022</v>
      </c>
      <c r="E746" t="s">
        <v>67</v>
      </c>
      <c r="F746" t="s">
        <v>114</v>
      </c>
      <c r="G746" t="s">
        <v>192</v>
      </c>
      <c r="H746">
        <v>4</v>
      </c>
      <c r="I746">
        <v>218.59</v>
      </c>
      <c r="J746">
        <v>146.31</v>
      </c>
      <c r="K746">
        <v>0</v>
      </c>
      <c r="L746">
        <v>16.260000000000002</v>
      </c>
      <c r="M746" t="s">
        <v>193</v>
      </c>
      <c r="N746">
        <v>-700</v>
      </c>
      <c r="O746">
        <v>3180</v>
      </c>
      <c r="P746">
        <v>-550</v>
      </c>
      <c r="Q746">
        <v>1810.95</v>
      </c>
    </row>
    <row r="747" spans="1:17">
      <c r="A747" s="155">
        <v>44926</v>
      </c>
      <c r="B747" t="s">
        <v>357</v>
      </c>
      <c r="C747" t="s">
        <v>8</v>
      </c>
      <c r="D747">
        <v>2022</v>
      </c>
      <c r="E747" t="s">
        <v>67</v>
      </c>
      <c r="F747" t="s">
        <v>114</v>
      </c>
      <c r="G747" t="s">
        <v>192</v>
      </c>
      <c r="H747">
        <v>338</v>
      </c>
      <c r="I747">
        <v>16285.039999999985</v>
      </c>
      <c r="J747">
        <v>7132.5299999999943</v>
      </c>
      <c r="K747">
        <v>0</v>
      </c>
      <c r="L747">
        <v>5544.6699999999983</v>
      </c>
      <c r="M747" t="s">
        <v>193</v>
      </c>
      <c r="N747">
        <v>-700</v>
      </c>
      <c r="O747">
        <v>3180</v>
      </c>
      <c r="P747">
        <v>-550</v>
      </c>
      <c r="Q747">
        <v>1810.95</v>
      </c>
    </row>
    <row r="748" spans="1:17">
      <c r="A748" s="155">
        <v>44926</v>
      </c>
      <c r="B748" t="s">
        <v>377</v>
      </c>
      <c r="C748" t="s">
        <v>8</v>
      </c>
      <c r="D748">
        <v>2022</v>
      </c>
      <c r="E748" t="s">
        <v>67</v>
      </c>
      <c r="F748" t="s">
        <v>114</v>
      </c>
      <c r="G748" t="s">
        <v>192</v>
      </c>
      <c r="H748">
        <v>189</v>
      </c>
      <c r="I748">
        <v>12294.779999999995</v>
      </c>
      <c r="J748">
        <v>5677.01</v>
      </c>
      <c r="K748">
        <v>0</v>
      </c>
      <c r="L748">
        <v>4076.1499999999992</v>
      </c>
      <c r="M748" t="s">
        <v>193</v>
      </c>
      <c r="N748">
        <v>-700</v>
      </c>
      <c r="O748">
        <v>3180</v>
      </c>
      <c r="P748">
        <v>-550</v>
      </c>
      <c r="Q748">
        <v>1810.95</v>
      </c>
    </row>
    <row r="749" spans="1:17">
      <c r="A749" s="155">
        <v>44926</v>
      </c>
      <c r="B749" t="s">
        <v>378</v>
      </c>
      <c r="C749" t="s">
        <v>8</v>
      </c>
      <c r="D749">
        <v>2022</v>
      </c>
      <c r="E749" t="s">
        <v>67</v>
      </c>
      <c r="F749" t="s">
        <v>114</v>
      </c>
      <c r="G749" t="s">
        <v>192</v>
      </c>
      <c r="H749">
        <v>6</v>
      </c>
      <c r="I749">
        <v>243.82</v>
      </c>
      <c r="J749">
        <v>219.44</v>
      </c>
      <c r="K749">
        <v>0</v>
      </c>
      <c r="L749">
        <v>24.380000000000003</v>
      </c>
      <c r="M749" t="s">
        <v>193</v>
      </c>
      <c r="N749">
        <v>-700</v>
      </c>
      <c r="O749">
        <v>3180</v>
      </c>
      <c r="P749">
        <v>-550</v>
      </c>
      <c r="Q749">
        <v>1810.95</v>
      </c>
    </row>
    <row r="750" spans="1:17">
      <c r="A750" s="155">
        <v>44926</v>
      </c>
      <c r="B750" t="s">
        <v>363</v>
      </c>
      <c r="C750" t="s">
        <v>8</v>
      </c>
      <c r="D750">
        <v>2022</v>
      </c>
      <c r="E750" t="s">
        <v>67</v>
      </c>
      <c r="F750" t="s">
        <v>114</v>
      </c>
      <c r="G750" t="s">
        <v>192</v>
      </c>
      <c r="H750">
        <v>290</v>
      </c>
      <c r="I750">
        <v>14107.12999999999</v>
      </c>
      <c r="J750">
        <v>6350.5399999999981</v>
      </c>
      <c r="K750">
        <v>0</v>
      </c>
      <c r="L750">
        <v>5151.1600000000017</v>
      </c>
      <c r="M750" t="s">
        <v>193</v>
      </c>
      <c r="N750">
        <v>-700</v>
      </c>
      <c r="O750">
        <v>3180</v>
      </c>
      <c r="P750">
        <v>-550</v>
      </c>
      <c r="Q750">
        <v>1810.95</v>
      </c>
    </row>
    <row r="751" spans="1:17">
      <c r="A751" s="155">
        <v>44926</v>
      </c>
      <c r="B751" t="s">
        <v>366</v>
      </c>
      <c r="C751" t="s">
        <v>8</v>
      </c>
      <c r="D751">
        <v>2022</v>
      </c>
      <c r="E751" t="s">
        <v>67</v>
      </c>
      <c r="F751" t="s">
        <v>114</v>
      </c>
      <c r="G751" t="s">
        <v>192</v>
      </c>
      <c r="H751">
        <v>19</v>
      </c>
      <c r="I751">
        <v>920.82</v>
      </c>
      <c r="J751">
        <v>710.73000000000013</v>
      </c>
      <c r="K751">
        <v>0</v>
      </c>
      <c r="L751">
        <v>133.78000000000003</v>
      </c>
      <c r="M751" t="s">
        <v>193</v>
      </c>
      <c r="N751">
        <v>-700</v>
      </c>
      <c r="O751">
        <v>3180</v>
      </c>
      <c r="P751">
        <v>-550</v>
      </c>
      <c r="Q751">
        <v>1810.95</v>
      </c>
    </row>
    <row r="752" spans="1:17">
      <c r="A752" s="155">
        <v>44926</v>
      </c>
      <c r="B752" t="s">
        <v>364</v>
      </c>
      <c r="C752" t="s">
        <v>8</v>
      </c>
      <c r="D752">
        <v>2022</v>
      </c>
      <c r="E752" t="s">
        <v>67</v>
      </c>
      <c r="F752" t="s">
        <v>114</v>
      </c>
      <c r="G752" t="s">
        <v>192</v>
      </c>
      <c r="H752">
        <v>536</v>
      </c>
      <c r="I752">
        <v>26057.939999999977</v>
      </c>
      <c r="J752">
        <v>11622.389999999985</v>
      </c>
      <c r="K752">
        <v>0</v>
      </c>
      <c r="L752">
        <v>10905.410000000002</v>
      </c>
      <c r="M752" t="s">
        <v>193</v>
      </c>
      <c r="N752">
        <v>-700</v>
      </c>
      <c r="O752">
        <v>3180</v>
      </c>
      <c r="P752">
        <v>-550</v>
      </c>
      <c r="Q752">
        <v>1810.95</v>
      </c>
    </row>
    <row r="753" spans="1:17">
      <c r="A753" s="155">
        <v>44926</v>
      </c>
      <c r="B753" t="s">
        <v>379</v>
      </c>
      <c r="C753" t="s">
        <v>8</v>
      </c>
      <c r="D753">
        <v>2022</v>
      </c>
      <c r="E753" t="s">
        <v>67</v>
      </c>
      <c r="F753" t="s">
        <v>114</v>
      </c>
      <c r="G753" t="s">
        <v>192</v>
      </c>
      <c r="H753">
        <v>5</v>
      </c>
      <c r="I753">
        <v>99.5</v>
      </c>
      <c r="J753">
        <v>82.7</v>
      </c>
      <c r="K753">
        <v>0</v>
      </c>
      <c r="L753">
        <v>9.1900000000000013</v>
      </c>
      <c r="M753" t="s">
        <v>193</v>
      </c>
      <c r="N753">
        <v>-700</v>
      </c>
      <c r="O753">
        <v>3180</v>
      </c>
      <c r="P753">
        <v>-550</v>
      </c>
      <c r="Q753">
        <v>1810.95</v>
      </c>
    </row>
    <row r="754" spans="1:17">
      <c r="A754" s="155">
        <v>44926</v>
      </c>
      <c r="B754" t="s">
        <v>358</v>
      </c>
      <c r="C754" t="s">
        <v>8</v>
      </c>
      <c r="D754">
        <v>2022</v>
      </c>
      <c r="E754" t="s">
        <v>67</v>
      </c>
      <c r="F754" t="s">
        <v>114</v>
      </c>
      <c r="G754" t="s">
        <v>192</v>
      </c>
      <c r="H754">
        <v>946</v>
      </c>
      <c r="I754">
        <v>41233.610000000153</v>
      </c>
      <c r="J754">
        <v>16255.549999999968</v>
      </c>
      <c r="K754">
        <v>0</v>
      </c>
      <c r="L754">
        <v>20370.929999999968</v>
      </c>
      <c r="M754" t="s">
        <v>193</v>
      </c>
      <c r="N754">
        <v>-700</v>
      </c>
      <c r="O754">
        <v>3180</v>
      </c>
      <c r="P754">
        <v>-550</v>
      </c>
      <c r="Q754">
        <v>1810.95</v>
      </c>
    </row>
    <row r="755" spans="1:17">
      <c r="A755" s="155">
        <v>44926</v>
      </c>
      <c r="B755" t="s">
        <v>380</v>
      </c>
      <c r="C755" t="s">
        <v>8</v>
      </c>
      <c r="D755">
        <v>2022</v>
      </c>
      <c r="E755" t="s">
        <v>67</v>
      </c>
      <c r="F755" t="s">
        <v>114</v>
      </c>
      <c r="G755" t="s">
        <v>192</v>
      </c>
      <c r="H755">
        <v>4</v>
      </c>
      <c r="I755">
        <v>73.599999999999994</v>
      </c>
      <c r="J755">
        <v>44.16</v>
      </c>
      <c r="K755">
        <v>0</v>
      </c>
      <c r="L755">
        <v>29.439999999999998</v>
      </c>
      <c r="M755" t="s">
        <v>193</v>
      </c>
      <c r="N755">
        <v>-700</v>
      </c>
      <c r="O755">
        <v>3180</v>
      </c>
      <c r="P755">
        <v>-550</v>
      </c>
      <c r="Q755">
        <v>1810.95</v>
      </c>
    </row>
    <row r="756" spans="1:17">
      <c r="A756" s="155">
        <v>44926</v>
      </c>
      <c r="B756" t="s">
        <v>346</v>
      </c>
      <c r="C756" t="s">
        <v>8</v>
      </c>
      <c r="D756">
        <v>2022</v>
      </c>
      <c r="E756" t="s">
        <v>298</v>
      </c>
      <c r="F756" t="s">
        <v>114</v>
      </c>
      <c r="G756" t="s">
        <v>192</v>
      </c>
      <c r="H756">
        <v>1</v>
      </c>
      <c r="I756">
        <v>37.35</v>
      </c>
      <c r="J756">
        <v>22.41</v>
      </c>
      <c r="K756">
        <v>0</v>
      </c>
      <c r="L756">
        <v>14.94</v>
      </c>
      <c r="M756" t="s">
        <v>193</v>
      </c>
      <c r="N756">
        <v>37.35</v>
      </c>
      <c r="O756">
        <v>37.35</v>
      </c>
      <c r="P756">
        <v>14.94</v>
      </c>
      <c r="Q756">
        <v>14.94</v>
      </c>
    </row>
    <row r="757" spans="1:17">
      <c r="A757" s="155">
        <v>44926</v>
      </c>
      <c r="B757" t="s">
        <v>352</v>
      </c>
      <c r="C757" t="s">
        <v>8</v>
      </c>
      <c r="D757">
        <v>2022</v>
      </c>
      <c r="E757" t="s">
        <v>298</v>
      </c>
      <c r="F757" t="s">
        <v>114</v>
      </c>
      <c r="G757" t="s">
        <v>192</v>
      </c>
      <c r="H757">
        <v>1</v>
      </c>
      <c r="I757">
        <v>37.35</v>
      </c>
      <c r="J757">
        <v>22.41</v>
      </c>
      <c r="K757">
        <v>0</v>
      </c>
      <c r="L757">
        <v>14.94</v>
      </c>
      <c r="M757" t="s">
        <v>193</v>
      </c>
      <c r="N757">
        <v>37.35</v>
      </c>
      <c r="O757">
        <v>37.35</v>
      </c>
      <c r="P757">
        <v>14.94</v>
      </c>
      <c r="Q757">
        <v>14.94</v>
      </c>
    </row>
    <row r="758" spans="1:17">
      <c r="A758" s="155">
        <v>44926</v>
      </c>
      <c r="B758" t="s">
        <v>346</v>
      </c>
      <c r="C758" t="s">
        <v>8</v>
      </c>
      <c r="D758">
        <v>2022</v>
      </c>
      <c r="E758" t="s">
        <v>299</v>
      </c>
      <c r="F758" t="s">
        <v>114</v>
      </c>
      <c r="G758" t="s">
        <v>192</v>
      </c>
      <c r="H758">
        <v>293</v>
      </c>
      <c r="I758">
        <v>6433.2300000000005</v>
      </c>
      <c r="J758">
        <v>3520.8900000000026</v>
      </c>
      <c r="K758">
        <v>0</v>
      </c>
      <c r="L758">
        <v>2336.7900000000013</v>
      </c>
      <c r="M758" t="s">
        <v>193</v>
      </c>
      <c r="N758">
        <v>-67</v>
      </c>
      <c r="O758">
        <v>304.89999999999998</v>
      </c>
      <c r="P758">
        <v>-20.8</v>
      </c>
      <c r="Q758">
        <v>121.96</v>
      </c>
    </row>
    <row r="759" spans="1:17">
      <c r="A759" s="155">
        <v>44926</v>
      </c>
      <c r="B759" t="s">
        <v>347</v>
      </c>
      <c r="C759" t="s">
        <v>8</v>
      </c>
      <c r="D759">
        <v>2022</v>
      </c>
      <c r="E759" t="s">
        <v>299</v>
      </c>
      <c r="F759" t="s">
        <v>114</v>
      </c>
      <c r="G759" t="s">
        <v>192</v>
      </c>
      <c r="H759">
        <v>139</v>
      </c>
      <c r="I759">
        <v>3078.8200000000047</v>
      </c>
      <c r="J759">
        <v>1748.3099999999981</v>
      </c>
      <c r="K759">
        <v>13.920000000000003</v>
      </c>
      <c r="L759">
        <v>1012.2400000000007</v>
      </c>
      <c r="M759" t="s">
        <v>193</v>
      </c>
      <c r="N759">
        <v>-67</v>
      </c>
      <c r="O759">
        <v>304.89999999999998</v>
      </c>
      <c r="P759">
        <v>-20.8</v>
      </c>
      <c r="Q759">
        <v>121.96</v>
      </c>
    </row>
    <row r="760" spans="1:17">
      <c r="A760" s="155">
        <v>44926</v>
      </c>
      <c r="B760" t="s">
        <v>348</v>
      </c>
      <c r="C760" t="s">
        <v>8</v>
      </c>
      <c r="D760">
        <v>2022</v>
      </c>
      <c r="E760" t="s">
        <v>299</v>
      </c>
      <c r="F760" t="s">
        <v>114</v>
      </c>
      <c r="G760" t="s">
        <v>192</v>
      </c>
      <c r="H760">
        <v>1</v>
      </c>
      <c r="I760">
        <v>24.4</v>
      </c>
      <c r="J760">
        <v>14.64</v>
      </c>
      <c r="K760">
        <v>0</v>
      </c>
      <c r="L760">
        <v>9.76</v>
      </c>
      <c r="M760" t="s">
        <v>193</v>
      </c>
      <c r="N760">
        <v>-67</v>
      </c>
      <c r="O760">
        <v>304.89999999999998</v>
      </c>
      <c r="P760">
        <v>-20.8</v>
      </c>
      <c r="Q760">
        <v>121.96</v>
      </c>
    </row>
    <row r="761" spans="1:17">
      <c r="A761" s="155">
        <v>44926</v>
      </c>
      <c r="B761" t="s">
        <v>349</v>
      </c>
      <c r="C761" t="s">
        <v>8</v>
      </c>
      <c r="D761">
        <v>2022</v>
      </c>
      <c r="E761" t="s">
        <v>299</v>
      </c>
      <c r="F761" t="s">
        <v>114</v>
      </c>
      <c r="G761" t="s">
        <v>192</v>
      </c>
      <c r="H761">
        <v>84</v>
      </c>
      <c r="I761">
        <v>2015.150000000001</v>
      </c>
      <c r="J761">
        <v>1309.109999999999</v>
      </c>
      <c r="K761">
        <v>0</v>
      </c>
      <c r="L761">
        <v>566.29000000000008</v>
      </c>
      <c r="M761" t="s">
        <v>193</v>
      </c>
      <c r="N761">
        <v>-67</v>
      </c>
      <c r="O761">
        <v>304.89999999999998</v>
      </c>
      <c r="P761">
        <v>-20.8</v>
      </c>
      <c r="Q761">
        <v>121.96</v>
      </c>
    </row>
    <row r="762" spans="1:17">
      <c r="A762" s="155">
        <v>44926</v>
      </c>
      <c r="B762" t="s">
        <v>350</v>
      </c>
      <c r="C762" t="s">
        <v>8</v>
      </c>
      <c r="D762">
        <v>2022</v>
      </c>
      <c r="E762" t="s">
        <v>299</v>
      </c>
      <c r="F762" t="s">
        <v>114</v>
      </c>
      <c r="G762" t="s">
        <v>192</v>
      </c>
      <c r="H762">
        <v>54</v>
      </c>
      <c r="I762">
        <v>998.25000000000011</v>
      </c>
      <c r="J762">
        <v>497.61999999999983</v>
      </c>
      <c r="K762">
        <v>0</v>
      </c>
      <c r="L762">
        <v>331.97000000000031</v>
      </c>
      <c r="M762" t="s">
        <v>193</v>
      </c>
      <c r="N762">
        <v>-67</v>
      </c>
      <c r="O762">
        <v>304.89999999999998</v>
      </c>
      <c r="P762">
        <v>-20.8</v>
      </c>
      <c r="Q762">
        <v>121.96</v>
      </c>
    </row>
    <row r="763" spans="1:17">
      <c r="A763" s="155">
        <v>44926</v>
      </c>
      <c r="B763" t="s">
        <v>361</v>
      </c>
      <c r="C763" t="s">
        <v>8</v>
      </c>
      <c r="D763">
        <v>2022</v>
      </c>
      <c r="E763" t="s">
        <v>299</v>
      </c>
      <c r="F763" t="s">
        <v>114</v>
      </c>
      <c r="G763" t="s">
        <v>192</v>
      </c>
      <c r="H763">
        <v>3</v>
      </c>
      <c r="I763">
        <v>33.43</v>
      </c>
      <c r="J763">
        <v>22.34</v>
      </c>
      <c r="K763">
        <v>0</v>
      </c>
      <c r="L763">
        <v>8.36</v>
      </c>
      <c r="M763" t="s">
        <v>193</v>
      </c>
      <c r="N763">
        <v>-67</v>
      </c>
      <c r="O763">
        <v>304.89999999999998</v>
      </c>
      <c r="P763">
        <v>-20.8</v>
      </c>
      <c r="Q763">
        <v>121.96</v>
      </c>
    </row>
    <row r="764" spans="1:17">
      <c r="A764" s="155">
        <v>44926</v>
      </c>
      <c r="B764" t="s">
        <v>352</v>
      </c>
      <c r="C764" t="s">
        <v>8</v>
      </c>
      <c r="D764">
        <v>2022</v>
      </c>
      <c r="E764" t="s">
        <v>299</v>
      </c>
      <c r="F764" t="s">
        <v>114</v>
      </c>
      <c r="G764" t="s">
        <v>192</v>
      </c>
      <c r="H764">
        <v>293</v>
      </c>
      <c r="I764">
        <v>6433.2299999999977</v>
      </c>
      <c r="J764">
        <v>3520.8900000000021</v>
      </c>
      <c r="K764">
        <v>0</v>
      </c>
      <c r="L764">
        <v>2336.7900000000004</v>
      </c>
      <c r="M764" t="s">
        <v>193</v>
      </c>
      <c r="N764">
        <v>-67</v>
      </c>
      <c r="O764">
        <v>304.89999999999998</v>
      </c>
      <c r="P764">
        <v>-20.8</v>
      </c>
      <c r="Q764">
        <v>121.96</v>
      </c>
    </row>
    <row r="765" spans="1:17">
      <c r="A765" s="155">
        <v>44926</v>
      </c>
      <c r="B765" t="s">
        <v>353</v>
      </c>
      <c r="C765" t="s">
        <v>8</v>
      </c>
      <c r="D765">
        <v>2022</v>
      </c>
      <c r="E765" t="s">
        <v>299</v>
      </c>
      <c r="F765" t="s">
        <v>114</v>
      </c>
      <c r="G765" t="s">
        <v>192</v>
      </c>
      <c r="H765">
        <v>139</v>
      </c>
      <c r="I765">
        <v>3078.8200000000029</v>
      </c>
      <c r="J765">
        <v>1748.3099999999968</v>
      </c>
      <c r="K765">
        <v>13.920000000000003</v>
      </c>
      <c r="L765">
        <v>1012.240000000001</v>
      </c>
      <c r="M765" t="s">
        <v>193</v>
      </c>
      <c r="N765">
        <v>-67</v>
      </c>
      <c r="O765">
        <v>304.89999999999998</v>
      </c>
      <c r="P765">
        <v>-20.8</v>
      </c>
      <c r="Q765">
        <v>121.96</v>
      </c>
    </row>
    <row r="766" spans="1:17">
      <c r="A766" s="155">
        <v>44926</v>
      </c>
      <c r="B766" t="s">
        <v>354</v>
      </c>
      <c r="C766" t="s">
        <v>8</v>
      </c>
      <c r="D766">
        <v>2022</v>
      </c>
      <c r="E766" t="s">
        <v>299</v>
      </c>
      <c r="F766" t="s">
        <v>114</v>
      </c>
      <c r="G766" t="s">
        <v>192</v>
      </c>
      <c r="H766">
        <v>1</v>
      </c>
      <c r="I766">
        <v>24.4</v>
      </c>
      <c r="J766">
        <v>14.64</v>
      </c>
      <c r="K766">
        <v>0</v>
      </c>
      <c r="L766">
        <v>9.76</v>
      </c>
      <c r="M766" t="s">
        <v>193</v>
      </c>
      <c r="N766">
        <v>-67</v>
      </c>
      <c r="O766">
        <v>304.89999999999998</v>
      </c>
      <c r="P766">
        <v>-20.8</v>
      </c>
      <c r="Q766">
        <v>121.96</v>
      </c>
    </row>
    <row r="767" spans="1:17">
      <c r="A767" s="155">
        <v>44926</v>
      </c>
      <c r="B767" t="s">
        <v>355</v>
      </c>
      <c r="C767" t="s">
        <v>8</v>
      </c>
      <c r="D767">
        <v>2022</v>
      </c>
      <c r="E767" t="s">
        <v>299</v>
      </c>
      <c r="F767" t="s">
        <v>114</v>
      </c>
      <c r="G767" t="s">
        <v>192</v>
      </c>
      <c r="H767">
        <v>84</v>
      </c>
      <c r="I767">
        <v>2015.1500000000008</v>
      </c>
      <c r="J767">
        <v>1309.1099999999999</v>
      </c>
      <c r="K767">
        <v>0</v>
      </c>
      <c r="L767">
        <v>566.29</v>
      </c>
      <c r="M767" t="s">
        <v>193</v>
      </c>
      <c r="N767">
        <v>-67</v>
      </c>
      <c r="O767">
        <v>304.89999999999998</v>
      </c>
      <c r="P767">
        <v>-20.8</v>
      </c>
      <c r="Q767">
        <v>121.96</v>
      </c>
    </row>
    <row r="768" spans="1:17">
      <c r="A768" s="155">
        <v>44926</v>
      </c>
      <c r="B768" t="s">
        <v>356</v>
      </c>
      <c r="C768" t="s">
        <v>8</v>
      </c>
      <c r="D768">
        <v>2022</v>
      </c>
      <c r="E768" t="s">
        <v>299</v>
      </c>
      <c r="F768" t="s">
        <v>114</v>
      </c>
      <c r="G768" t="s">
        <v>192</v>
      </c>
      <c r="H768">
        <v>54</v>
      </c>
      <c r="I768">
        <v>998.25000000000023</v>
      </c>
      <c r="J768">
        <v>497.61999999999989</v>
      </c>
      <c r="K768">
        <v>0</v>
      </c>
      <c r="L768">
        <v>331.9700000000002</v>
      </c>
      <c r="M768" t="s">
        <v>193</v>
      </c>
      <c r="N768">
        <v>-67</v>
      </c>
      <c r="O768">
        <v>304.89999999999998</v>
      </c>
      <c r="P768">
        <v>-20.8</v>
      </c>
      <c r="Q768">
        <v>121.96</v>
      </c>
    </row>
    <row r="769" spans="1:17">
      <c r="A769" s="155">
        <v>44926</v>
      </c>
      <c r="B769" t="s">
        <v>364</v>
      </c>
      <c r="C769" t="s">
        <v>8</v>
      </c>
      <c r="D769">
        <v>2022</v>
      </c>
      <c r="E769" t="s">
        <v>299</v>
      </c>
      <c r="F769" t="s">
        <v>114</v>
      </c>
      <c r="G769" t="s">
        <v>192</v>
      </c>
      <c r="H769">
        <v>3</v>
      </c>
      <c r="I769">
        <v>33.43</v>
      </c>
      <c r="J769">
        <v>22.34</v>
      </c>
      <c r="K769">
        <v>0</v>
      </c>
      <c r="L769">
        <v>8.36</v>
      </c>
      <c r="M769" t="s">
        <v>193</v>
      </c>
      <c r="N769">
        <v>-67</v>
      </c>
      <c r="O769">
        <v>304.89999999999998</v>
      </c>
      <c r="P769">
        <v>-20.8</v>
      </c>
      <c r="Q769">
        <v>121.96</v>
      </c>
    </row>
    <row r="770" spans="1:17">
      <c r="A770" s="155">
        <v>44926</v>
      </c>
      <c r="B770" t="s">
        <v>346</v>
      </c>
      <c r="C770" t="s">
        <v>8</v>
      </c>
      <c r="D770">
        <v>2022</v>
      </c>
      <c r="E770" t="s">
        <v>116</v>
      </c>
      <c r="F770" t="s">
        <v>114</v>
      </c>
      <c r="G770" t="s">
        <v>192</v>
      </c>
      <c r="H770">
        <v>9112</v>
      </c>
      <c r="I770">
        <v>126029.97000000047</v>
      </c>
      <c r="J770">
        <v>70688.63999999674</v>
      </c>
      <c r="K770">
        <v>1901.7800000000059</v>
      </c>
      <c r="L770">
        <v>47092.229999996809</v>
      </c>
      <c r="M770" t="s">
        <v>193</v>
      </c>
      <c r="N770">
        <v>-209.8</v>
      </c>
      <c r="O770">
        <v>270</v>
      </c>
      <c r="P770">
        <v>-136.37</v>
      </c>
      <c r="Q770">
        <v>149.56</v>
      </c>
    </row>
    <row r="771" spans="1:17">
      <c r="A771" s="155">
        <v>44926</v>
      </c>
      <c r="B771" t="s">
        <v>347</v>
      </c>
      <c r="C771" t="s">
        <v>8</v>
      </c>
      <c r="D771">
        <v>2022</v>
      </c>
      <c r="E771" t="s">
        <v>116</v>
      </c>
      <c r="F771" t="s">
        <v>114</v>
      </c>
      <c r="G771" t="s">
        <v>192</v>
      </c>
      <c r="H771">
        <v>5665</v>
      </c>
      <c r="I771">
        <v>71342.749999999083</v>
      </c>
      <c r="J771">
        <v>40617.179999999578</v>
      </c>
      <c r="K771">
        <v>0</v>
      </c>
      <c r="L771">
        <v>27051.680000000288</v>
      </c>
      <c r="M771" t="s">
        <v>193</v>
      </c>
      <c r="N771">
        <v>-209.8</v>
      </c>
      <c r="O771">
        <v>270</v>
      </c>
      <c r="P771">
        <v>-136.37</v>
      </c>
      <c r="Q771">
        <v>149.56</v>
      </c>
    </row>
    <row r="772" spans="1:17">
      <c r="A772" s="155">
        <v>44926</v>
      </c>
      <c r="B772" t="s">
        <v>359</v>
      </c>
      <c r="C772" t="s">
        <v>8</v>
      </c>
      <c r="D772">
        <v>2022</v>
      </c>
      <c r="E772" t="s">
        <v>116</v>
      </c>
      <c r="F772" t="s">
        <v>114</v>
      </c>
      <c r="G772" t="s">
        <v>192</v>
      </c>
      <c r="H772">
        <v>1209</v>
      </c>
      <c r="I772">
        <v>42817.739999999932</v>
      </c>
      <c r="J772">
        <v>18105.900000000027</v>
      </c>
      <c r="K772">
        <v>0</v>
      </c>
      <c r="L772">
        <v>18858.200000000041</v>
      </c>
      <c r="M772" t="s">
        <v>193</v>
      </c>
      <c r="N772">
        <v>-209.8</v>
      </c>
      <c r="O772">
        <v>270</v>
      </c>
      <c r="P772">
        <v>-136.37</v>
      </c>
      <c r="Q772">
        <v>149.56</v>
      </c>
    </row>
    <row r="773" spans="1:17">
      <c r="A773" s="155">
        <v>44926</v>
      </c>
      <c r="B773" t="s">
        <v>367</v>
      </c>
      <c r="C773" t="s">
        <v>8</v>
      </c>
      <c r="D773">
        <v>2022</v>
      </c>
      <c r="E773" t="s">
        <v>116</v>
      </c>
      <c r="F773" t="s">
        <v>114</v>
      </c>
      <c r="G773" t="s">
        <v>192</v>
      </c>
      <c r="H773">
        <v>204</v>
      </c>
      <c r="I773">
        <v>5625.6000000000049</v>
      </c>
      <c r="J773">
        <v>2011.7299999999993</v>
      </c>
      <c r="K773">
        <v>0</v>
      </c>
      <c r="L773">
        <v>3002.5600000000009</v>
      </c>
      <c r="M773" t="s">
        <v>193</v>
      </c>
      <c r="N773">
        <v>-209.8</v>
      </c>
      <c r="O773">
        <v>270</v>
      </c>
      <c r="P773">
        <v>-136.37</v>
      </c>
      <c r="Q773">
        <v>149.56</v>
      </c>
    </row>
    <row r="774" spans="1:17">
      <c r="A774" s="155">
        <v>44926</v>
      </c>
      <c r="B774" t="s">
        <v>348</v>
      </c>
      <c r="C774" t="s">
        <v>8</v>
      </c>
      <c r="D774">
        <v>2022</v>
      </c>
      <c r="E774" t="s">
        <v>116</v>
      </c>
      <c r="F774" t="s">
        <v>114</v>
      </c>
      <c r="G774" t="s">
        <v>192</v>
      </c>
      <c r="H774">
        <v>276</v>
      </c>
      <c r="I774">
        <v>4625.57</v>
      </c>
      <c r="J774">
        <v>2425.7400000000021</v>
      </c>
      <c r="K774">
        <v>0</v>
      </c>
      <c r="L774">
        <v>1852.5900000000022</v>
      </c>
      <c r="M774" t="s">
        <v>193</v>
      </c>
      <c r="N774">
        <v>-209.8</v>
      </c>
      <c r="O774">
        <v>270</v>
      </c>
      <c r="P774">
        <v>-136.37</v>
      </c>
      <c r="Q774">
        <v>149.56</v>
      </c>
    </row>
    <row r="775" spans="1:17">
      <c r="A775" s="155">
        <v>44926</v>
      </c>
      <c r="B775" t="s">
        <v>349</v>
      </c>
      <c r="C775" t="s">
        <v>8</v>
      </c>
      <c r="D775">
        <v>2022</v>
      </c>
      <c r="E775" t="s">
        <v>116</v>
      </c>
      <c r="F775" t="s">
        <v>114</v>
      </c>
      <c r="G775" t="s">
        <v>192</v>
      </c>
      <c r="H775">
        <v>3974</v>
      </c>
      <c r="I775">
        <v>62037.589999999749</v>
      </c>
      <c r="J775">
        <v>33527.240000000347</v>
      </c>
      <c r="K775">
        <v>0</v>
      </c>
      <c r="L775">
        <v>25874.870000000319</v>
      </c>
      <c r="M775" t="s">
        <v>193</v>
      </c>
      <c r="N775">
        <v>-209.8</v>
      </c>
      <c r="O775">
        <v>270</v>
      </c>
      <c r="P775">
        <v>-136.37</v>
      </c>
      <c r="Q775">
        <v>149.56</v>
      </c>
    </row>
    <row r="776" spans="1:17">
      <c r="A776" s="155">
        <v>44926</v>
      </c>
      <c r="B776" t="s">
        <v>350</v>
      </c>
      <c r="C776" t="s">
        <v>8</v>
      </c>
      <c r="D776">
        <v>2022</v>
      </c>
      <c r="E776" t="s">
        <v>116</v>
      </c>
      <c r="F776" t="s">
        <v>114</v>
      </c>
      <c r="G776" t="s">
        <v>192</v>
      </c>
      <c r="H776">
        <v>2267</v>
      </c>
      <c r="I776">
        <v>41830.559999999896</v>
      </c>
      <c r="J776">
        <v>16994.600000000191</v>
      </c>
      <c r="K776">
        <v>125</v>
      </c>
      <c r="L776">
        <v>24483.580000000242</v>
      </c>
      <c r="M776" t="s">
        <v>193</v>
      </c>
      <c r="N776">
        <v>-209.8</v>
      </c>
      <c r="O776">
        <v>270</v>
      </c>
      <c r="P776">
        <v>-136.37</v>
      </c>
      <c r="Q776">
        <v>149.56</v>
      </c>
    </row>
    <row r="777" spans="1:17">
      <c r="A777" s="155">
        <v>44926</v>
      </c>
      <c r="B777" t="s">
        <v>351</v>
      </c>
      <c r="C777" t="s">
        <v>8</v>
      </c>
      <c r="D777">
        <v>2022</v>
      </c>
      <c r="E777" t="s">
        <v>116</v>
      </c>
      <c r="F777" t="s">
        <v>114</v>
      </c>
      <c r="G777" t="s">
        <v>192</v>
      </c>
      <c r="H777">
        <v>2166</v>
      </c>
      <c r="I777">
        <v>43216.149999999456</v>
      </c>
      <c r="J777">
        <v>25359.290000000292</v>
      </c>
      <c r="K777">
        <v>0</v>
      </c>
      <c r="L777">
        <v>14459.480000000272</v>
      </c>
      <c r="M777" t="s">
        <v>193</v>
      </c>
      <c r="N777">
        <v>-209.8</v>
      </c>
      <c r="O777">
        <v>270</v>
      </c>
      <c r="P777">
        <v>-136.37</v>
      </c>
      <c r="Q777">
        <v>149.56</v>
      </c>
    </row>
    <row r="778" spans="1:17">
      <c r="A778" s="155">
        <v>44926</v>
      </c>
      <c r="B778" t="s">
        <v>368</v>
      </c>
      <c r="C778" t="s">
        <v>8</v>
      </c>
      <c r="D778">
        <v>2022</v>
      </c>
      <c r="E778" t="s">
        <v>116</v>
      </c>
      <c r="F778" t="s">
        <v>114</v>
      </c>
      <c r="G778" t="s">
        <v>192</v>
      </c>
      <c r="H778">
        <v>28</v>
      </c>
      <c r="I778">
        <v>379.21000000000004</v>
      </c>
      <c r="J778">
        <v>341.36</v>
      </c>
      <c r="K778">
        <v>0</v>
      </c>
      <c r="L778">
        <v>35.550000000000004</v>
      </c>
      <c r="M778" t="s">
        <v>193</v>
      </c>
      <c r="N778">
        <v>-209.8</v>
      </c>
      <c r="O778">
        <v>270</v>
      </c>
      <c r="P778">
        <v>-136.37</v>
      </c>
      <c r="Q778">
        <v>149.56</v>
      </c>
    </row>
    <row r="779" spans="1:17">
      <c r="A779" s="155">
        <v>44926</v>
      </c>
      <c r="B779" t="s">
        <v>369</v>
      </c>
      <c r="C779" t="s">
        <v>8</v>
      </c>
      <c r="D779">
        <v>2022</v>
      </c>
      <c r="E779" t="s">
        <v>116</v>
      </c>
      <c r="F779" t="s">
        <v>114</v>
      </c>
      <c r="G779" t="s">
        <v>192</v>
      </c>
      <c r="H779">
        <v>2367</v>
      </c>
      <c r="I779">
        <v>47559.239999999656</v>
      </c>
      <c r="J779">
        <v>27681.930000000219</v>
      </c>
      <c r="K779">
        <v>0</v>
      </c>
      <c r="L779">
        <v>16587.280000000304</v>
      </c>
      <c r="M779" t="s">
        <v>193</v>
      </c>
      <c r="N779">
        <v>-209.8</v>
      </c>
      <c r="O779">
        <v>270</v>
      </c>
      <c r="P779">
        <v>-136.37</v>
      </c>
      <c r="Q779">
        <v>149.56</v>
      </c>
    </row>
    <row r="780" spans="1:17">
      <c r="A780" s="155">
        <v>44926</v>
      </c>
      <c r="B780" t="s">
        <v>370</v>
      </c>
      <c r="C780" t="s">
        <v>8</v>
      </c>
      <c r="D780">
        <v>2022</v>
      </c>
      <c r="E780" t="s">
        <v>116</v>
      </c>
      <c r="F780" t="s">
        <v>114</v>
      </c>
      <c r="G780" t="s">
        <v>192</v>
      </c>
      <c r="H780">
        <v>3</v>
      </c>
      <c r="I780">
        <v>8.08</v>
      </c>
      <c r="J780">
        <v>7.2799999999999994</v>
      </c>
      <c r="K780">
        <v>0</v>
      </c>
      <c r="L780">
        <v>0.8</v>
      </c>
      <c r="M780" t="s">
        <v>193</v>
      </c>
      <c r="N780">
        <v>-209.8</v>
      </c>
      <c r="O780">
        <v>270</v>
      </c>
      <c r="P780">
        <v>-136.37</v>
      </c>
      <c r="Q780">
        <v>149.56</v>
      </c>
    </row>
    <row r="781" spans="1:17">
      <c r="A781" s="155">
        <v>44926</v>
      </c>
      <c r="B781" t="s">
        <v>360</v>
      </c>
      <c r="C781" t="s">
        <v>8</v>
      </c>
      <c r="D781">
        <v>2022</v>
      </c>
      <c r="E781" t="s">
        <v>116</v>
      </c>
      <c r="F781" t="s">
        <v>114</v>
      </c>
      <c r="G781" t="s">
        <v>192</v>
      </c>
      <c r="H781">
        <v>2650</v>
      </c>
      <c r="I781">
        <v>51258.419999999969</v>
      </c>
      <c r="J781">
        <v>29132.700000000175</v>
      </c>
      <c r="K781">
        <v>0</v>
      </c>
      <c r="L781">
        <v>19841.880000000332</v>
      </c>
      <c r="M781" t="s">
        <v>193</v>
      </c>
      <c r="N781">
        <v>-209.8</v>
      </c>
      <c r="O781">
        <v>270</v>
      </c>
      <c r="P781">
        <v>-136.37</v>
      </c>
      <c r="Q781">
        <v>149.56</v>
      </c>
    </row>
    <row r="782" spans="1:17">
      <c r="A782" s="155">
        <v>44926</v>
      </c>
      <c r="B782" t="s">
        <v>371</v>
      </c>
      <c r="C782" t="s">
        <v>8</v>
      </c>
      <c r="D782">
        <v>2022</v>
      </c>
      <c r="E782" t="s">
        <v>116</v>
      </c>
      <c r="F782" t="s">
        <v>114</v>
      </c>
      <c r="G782" t="s">
        <v>192</v>
      </c>
      <c r="H782">
        <v>91</v>
      </c>
      <c r="I782">
        <v>2603.3399999999992</v>
      </c>
      <c r="J782">
        <v>1935.6600000000012</v>
      </c>
      <c r="K782">
        <v>0</v>
      </c>
      <c r="L782">
        <v>667.68000000000018</v>
      </c>
      <c r="M782" t="s">
        <v>193</v>
      </c>
      <c r="N782">
        <v>-209.8</v>
      </c>
      <c r="O782">
        <v>270</v>
      </c>
      <c r="P782">
        <v>-136.37</v>
      </c>
      <c r="Q782">
        <v>149.56</v>
      </c>
    </row>
    <row r="783" spans="1:17">
      <c r="A783" s="155">
        <v>44926</v>
      </c>
      <c r="B783" t="s">
        <v>361</v>
      </c>
      <c r="C783" t="s">
        <v>8</v>
      </c>
      <c r="D783">
        <v>2022</v>
      </c>
      <c r="E783" t="s">
        <v>116</v>
      </c>
      <c r="F783" t="s">
        <v>114</v>
      </c>
      <c r="G783" t="s">
        <v>192</v>
      </c>
      <c r="H783">
        <v>5912</v>
      </c>
      <c r="I783">
        <v>109499.41999999885</v>
      </c>
      <c r="J783">
        <v>61764.039999997964</v>
      </c>
      <c r="K783">
        <v>0</v>
      </c>
      <c r="L783">
        <v>45387.459999998704</v>
      </c>
      <c r="M783" t="s">
        <v>193</v>
      </c>
      <c r="N783">
        <v>-209.8</v>
      </c>
      <c r="O783">
        <v>270</v>
      </c>
      <c r="P783">
        <v>-136.37</v>
      </c>
      <c r="Q783">
        <v>149.56</v>
      </c>
    </row>
    <row r="784" spans="1:17">
      <c r="A784" s="155">
        <v>44926</v>
      </c>
      <c r="B784" t="s">
        <v>365</v>
      </c>
      <c r="C784" t="s">
        <v>8</v>
      </c>
      <c r="D784">
        <v>2022</v>
      </c>
      <c r="E784" t="s">
        <v>116</v>
      </c>
      <c r="F784" t="s">
        <v>114</v>
      </c>
      <c r="G784" t="s">
        <v>192</v>
      </c>
      <c r="H784">
        <v>63</v>
      </c>
      <c r="I784">
        <v>990.47</v>
      </c>
      <c r="J784">
        <v>889.76999999999953</v>
      </c>
      <c r="K784">
        <v>0</v>
      </c>
      <c r="L784">
        <v>100.69999999999996</v>
      </c>
      <c r="M784" t="s">
        <v>193</v>
      </c>
      <c r="N784">
        <v>-209.8</v>
      </c>
      <c r="O784">
        <v>270</v>
      </c>
      <c r="P784">
        <v>-136.37</v>
      </c>
      <c r="Q784">
        <v>149.56</v>
      </c>
    </row>
    <row r="785" spans="1:17">
      <c r="A785" s="155">
        <v>44926</v>
      </c>
      <c r="B785" t="s">
        <v>176</v>
      </c>
      <c r="C785" t="s">
        <v>8</v>
      </c>
      <c r="D785">
        <v>2022</v>
      </c>
      <c r="E785" t="s">
        <v>116</v>
      </c>
      <c r="F785" t="s">
        <v>114</v>
      </c>
      <c r="G785" t="s">
        <v>192</v>
      </c>
      <c r="H785">
        <v>7516</v>
      </c>
      <c r="I785">
        <v>179003.87000000154</v>
      </c>
      <c r="J785">
        <v>88583.599999993239</v>
      </c>
      <c r="K785">
        <v>0</v>
      </c>
      <c r="L785">
        <v>80854.429999997083</v>
      </c>
      <c r="M785" t="s">
        <v>193</v>
      </c>
      <c r="N785">
        <v>-209.8</v>
      </c>
      <c r="O785">
        <v>270</v>
      </c>
      <c r="P785">
        <v>-136.37</v>
      </c>
      <c r="Q785">
        <v>149.56</v>
      </c>
    </row>
    <row r="786" spans="1:17">
      <c r="A786" s="155">
        <v>44926</v>
      </c>
      <c r="B786" t="s">
        <v>372</v>
      </c>
      <c r="C786" t="s">
        <v>8</v>
      </c>
      <c r="D786">
        <v>2022</v>
      </c>
      <c r="E786" t="s">
        <v>116</v>
      </c>
      <c r="F786" t="s">
        <v>114</v>
      </c>
      <c r="G786" t="s">
        <v>192</v>
      </c>
      <c r="H786">
        <v>16</v>
      </c>
      <c r="I786">
        <v>414</v>
      </c>
      <c r="J786">
        <v>289.76</v>
      </c>
      <c r="K786">
        <v>0</v>
      </c>
      <c r="L786">
        <v>121.82</v>
      </c>
      <c r="M786" t="s">
        <v>193</v>
      </c>
      <c r="N786">
        <v>-209.8</v>
      </c>
      <c r="O786">
        <v>270</v>
      </c>
      <c r="P786">
        <v>-136.37</v>
      </c>
      <c r="Q786">
        <v>149.56</v>
      </c>
    </row>
    <row r="787" spans="1:17">
      <c r="A787" s="155">
        <v>44926</v>
      </c>
      <c r="B787" t="s">
        <v>373</v>
      </c>
      <c r="C787" t="s">
        <v>8</v>
      </c>
      <c r="D787">
        <v>2022</v>
      </c>
      <c r="E787" t="s">
        <v>116</v>
      </c>
      <c r="F787" t="s">
        <v>114</v>
      </c>
      <c r="G787" t="s">
        <v>192</v>
      </c>
      <c r="H787">
        <v>95</v>
      </c>
      <c r="I787">
        <v>1365.82</v>
      </c>
      <c r="J787">
        <v>891.01999999999964</v>
      </c>
      <c r="K787">
        <v>0</v>
      </c>
      <c r="L787">
        <v>474.8000000000003</v>
      </c>
      <c r="M787" t="s">
        <v>193</v>
      </c>
      <c r="N787">
        <v>-209.8</v>
      </c>
      <c r="O787">
        <v>270</v>
      </c>
      <c r="P787">
        <v>-136.37</v>
      </c>
      <c r="Q787">
        <v>149.56</v>
      </c>
    </row>
    <row r="788" spans="1:17">
      <c r="A788" s="155">
        <v>44926</v>
      </c>
      <c r="B788" t="s">
        <v>352</v>
      </c>
      <c r="C788" t="s">
        <v>8</v>
      </c>
      <c r="D788">
        <v>2022</v>
      </c>
      <c r="E788" t="s">
        <v>116</v>
      </c>
      <c r="F788" t="s">
        <v>114</v>
      </c>
      <c r="G788" t="s">
        <v>192</v>
      </c>
      <c r="H788">
        <v>9112</v>
      </c>
      <c r="I788">
        <v>126029.96999999827</v>
      </c>
      <c r="J788">
        <v>70688.639999996041</v>
      </c>
      <c r="K788">
        <v>1901.7800000000063</v>
      </c>
      <c r="L788">
        <v>47092.229999996991</v>
      </c>
      <c r="M788" t="s">
        <v>193</v>
      </c>
      <c r="N788">
        <v>-209.8</v>
      </c>
      <c r="O788">
        <v>270</v>
      </c>
      <c r="P788">
        <v>-136.37</v>
      </c>
      <c r="Q788">
        <v>149.56</v>
      </c>
    </row>
    <row r="789" spans="1:17">
      <c r="A789" s="155">
        <v>44926</v>
      </c>
      <c r="B789" t="s">
        <v>353</v>
      </c>
      <c r="C789" t="s">
        <v>8</v>
      </c>
      <c r="D789">
        <v>2022</v>
      </c>
      <c r="E789" t="s">
        <v>116</v>
      </c>
      <c r="F789" t="s">
        <v>114</v>
      </c>
      <c r="G789" t="s">
        <v>192</v>
      </c>
      <c r="H789">
        <v>5665</v>
      </c>
      <c r="I789">
        <v>71342.749999999709</v>
      </c>
      <c r="J789">
        <v>40617.179999999811</v>
      </c>
      <c r="K789">
        <v>0</v>
      </c>
      <c r="L789">
        <v>27051.680000000386</v>
      </c>
      <c r="M789" t="s">
        <v>193</v>
      </c>
      <c r="N789">
        <v>-209.8</v>
      </c>
      <c r="O789">
        <v>270</v>
      </c>
      <c r="P789">
        <v>-136.37</v>
      </c>
      <c r="Q789">
        <v>149.56</v>
      </c>
    </row>
    <row r="790" spans="1:17">
      <c r="A790" s="155">
        <v>44926</v>
      </c>
      <c r="B790" t="s">
        <v>374</v>
      </c>
      <c r="C790" t="s">
        <v>8</v>
      </c>
      <c r="D790">
        <v>2022</v>
      </c>
      <c r="E790" t="s">
        <v>116</v>
      </c>
      <c r="F790" t="s">
        <v>114</v>
      </c>
      <c r="G790" t="s">
        <v>192</v>
      </c>
      <c r="H790">
        <v>204</v>
      </c>
      <c r="I790">
        <v>5625.5999999999985</v>
      </c>
      <c r="J790">
        <v>2011.7299999999993</v>
      </c>
      <c r="K790">
        <v>0</v>
      </c>
      <c r="L790">
        <v>3002.5600000000004</v>
      </c>
      <c r="M790" t="s">
        <v>193</v>
      </c>
      <c r="N790">
        <v>-209.8</v>
      </c>
      <c r="O790">
        <v>270</v>
      </c>
      <c r="P790">
        <v>-136.37</v>
      </c>
      <c r="Q790">
        <v>149.56</v>
      </c>
    </row>
    <row r="791" spans="1:17">
      <c r="A791" s="155">
        <v>44926</v>
      </c>
      <c r="B791" t="s">
        <v>362</v>
      </c>
      <c r="C791" t="s">
        <v>8</v>
      </c>
      <c r="D791">
        <v>2022</v>
      </c>
      <c r="E791" t="s">
        <v>116</v>
      </c>
      <c r="F791" t="s">
        <v>114</v>
      </c>
      <c r="G791" t="s">
        <v>192</v>
      </c>
      <c r="H791">
        <v>1209</v>
      </c>
      <c r="I791">
        <v>42817.739999999976</v>
      </c>
      <c r="J791">
        <v>18105.900000000034</v>
      </c>
      <c r="K791">
        <v>0</v>
      </c>
      <c r="L791">
        <v>18858.200000000037</v>
      </c>
      <c r="M791" t="s">
        <v>193</v>
      </c>
      <c r="N791">
        <v>-209.8</v>
      </c>
      <c r="O791">
        <v>270</v>
      </c>
      <c r="P791">
        <v>-136.37</v>
      </c>
      <c r="Q791">
        <v>149.56</v>
      </c>
    </row>
    <row r="792" spans="1:17">
      <c r="A792" s="155">
        <v>44926</v>
      </c>
      <c r="B792" t="s">
        <v>354</v>
      </c>
      <c r="C792" t="s">
        <v>8</v>
      </c>
      <c r="D792">
        <v>2022</v>
      </c>
      <c r="E792" t="s">
        <v>116</v>
      </c>
      <c r="F792" t="s">
        <v>114</v>
      </c>
      <c r="G792" t="s">
        <v>192</v>
      </c>
      <c r="H792">
        <v>276</v>
      </c>
      <c r="I792">
        <v>4625.5699999999988</v>
      </c>
      <c r="J792">
        <v>2425.7399999999989</v>
      </c>
      <c r="K792">
        <v>0</v>
      </c>
      <c r="L792">
        <v>1852.5900000000017</v>
      </c>
      <c r="M792" t="s">
        <v>193</v>
      </c>
      <c r="N792">
        <v>-209.8</v>
      </c>
      <c r="O792">
        <v>270</v>
      </c>
      <c r="P792">
        <v>-136.37</v>
      </c>
      <c r="Q792">
        <v>149.56</v>
      </c>
    </row>
    <row r="793" spans="1:17">
      <c r="A793" s="155">
        <v>44926</v>
      </c>
      <c r="B793" t="s">
        <v>355</v>
      </c>
      <c r="C793" t="s">
        <v>8</v>
      </c>
      <c r="D793">
        <v>2022</v>
      </c>
      <c r="E793" t="s">
        <v>116</v>
      </c>
      <c r="F793" t="s">
        <v>114</v>
      </c>
      <c r="G793" t="s">
        <v>192</v>
      </c>
      <c r="H793">
        <v>3974</v>
      </c>
      <c r="I793">
        <v>62037.589999999924</v>
      </c>
      <c r="J793">
        <v>33527.240000000485</v>
      </c>
      <c r="K793">
        <v>0</v>
      </c>
      <c r="L793">
        <v>25874.870000000308</v>
      </c>
      <c r="M793" t="s">
        <v>193</v>
      </c>
      <c r="N793">
        <v>-209.8</v>
      </c>
      <c r="O793">
        <v>270</v>
      </c>
      <c r="P793">
        <v>-136.37</v>
      </c>
      <c r="Q793">
        <v>149.56</v>
      </c>
    </row>
    <row r="794" spans="1:17">
      <c r="A794" s="155">
        <v>44926</v>
      </c>
      <c r="B794" t="s">
        <v>356</v>
      </c>
      <c r="C794" t="s">
        <v>8</v>
      </c>
      <c r="D794">
        <v>2022</v>
      </c>
      <c r="E794" t="s">
        <v>116</v>
      </c>
      <c r="F794" t="s">
        <v>114</v>
      </c>
      <c r="G794" t="s">
        <v>192</v>
      </c>
      <c r="H794">
        <v>2267</v>
      </c>
      <c r="I794">
        <v>41830.559999999903</v>
      </c>
      <c r="J794">
        <v>16994.600000000217</v>
      </c>
      <c r="K794">
        <v>125</v>
      </c>
      <c r="L794">
        <v>24483.580000000238</v>
      </c>
      <c r="M794" t="s">
        <v>193</v>
      </c>
      <c r="N794">
        <v>-209.8</v>
      </c>
      <c r="O794">
        <v>270</v>
      </c>
      <c r="P794">
        <v>-136.37</v>
      </c>
      <c r="Q794">
        <v>149.56</v>
      </c>
    </row>
    <row r="795" spans="1:17">
      <c r="A795" s="155">
        <v>44926</v>
      </c>
      <c r="B795" t="s">
        <v>375</v>
      </c>
      <c r="C795" t="s">
        <v>8</v>
      </c>
      <c r="D795">
        <v>2022</v>
      </c>
      <c r="E795" t="s">
        <v>116</v>
      </c>
      <c r="F795" t="s">
        <v>114</v>
      </c>
      <c r="G795" t="s">
        <v>192</v>
      </c>
      <c r="H795">
        <v>28</v>
      </c>
      <c r="I795">
        <v>379.21000000000004</v>
      </c>
      <c r="J795">
        <v>341.36000000000007</v>
      </c>
      <c r="K795">
        <v>0</v>
      </c>
      <c r="L795">
        <v>35.549999999999997</v>
      </c>
      <c r="M795" t="s">
        <v>193</v>
      </c>
      <c r="N795">
        <v>-209.8</v>
      </c>
      <c r="O795">
        <v>270</v>
      </c>
      <c r="P795">
        <v>-136.37</v>
      </c>
      <c r="Q795">
        <v>149.56</v>
      </c>
    </row>
    <row r="796" spans="1:17">
      <c r="A796" s="155">
        <v>44926</v>
      </c>
      <c r="B796" t="s">
        <v>357</v>
      </c>
      <c r="C796" t="s">
        <v>8</v>
      </c>
      <c r="D796">
        <v>2022</v>
      </c>
      <c r="E796" t="s">
        <v>116</v>
      </c>
      <c r="F796" t="s">
        <v>114</v>
      </c>
      <c r="G796" t="s">
        <v>192</v>
      </c>
      <c r="H796">
        <v>2166</v>
      </c>
      <c r="I796">
        <v>43216.149999999892</v>
      </c>
      <c r="J796">
        <v>25359.290000000132</v>
      </c>
      <c r="K796">
        <v>0</v>
      </c>
      <c r="L796">
        <v>14459.480000000154</v>
      </c>
      <c r="M796" t="s">
        <v>193</v>
      </c>
      <c r="N796">
        <v>-209.8</v>
      </c>
      <c r="O796">
        <v>270</v>
      </c>
      <c r="P796">
        <v>-136.37</v>
      </c>
      <c r="Q796">
        <v>149.56</v>
      </c>
    </row>
    <row r="797" spans="1:17">
      <c r="A797" s="155">
        <v>44926</v>
      </c>
      <c r="B797" t="s">
        <v>376</v>
      </c>
      <c r="C797" t="s">
        <v>8</v>
      </c>
      <c r="D797">
        <v>2022</v>
      </c>
      <c r="E797" t="s">
        <v>116</v>
      </c>
      <c r="F797" t="s">
        <v>114</v>
      </c>
      <c r="G797" t="s">
        <v>192</v>
      </c>
      <c r="H797">
        <v>3</v>
      </c>
      <c r="I797">
        <v>8.08</v>
      </c>
      <c r="J797">
        <v>7.2799999999999994</v>
      </c>
      <c r="K797">
        <v>0</v>
      </c>
      <c r="L797">
        <v>0.8</v>
      </c>
      <c r="M797" t="s">
        <v>193</v>
      </c>
      <c r="N797">
        <v>-209.8</v>
      </c>
      <c r="O797">
        <v>270</v>
      </c>
      <c r="P797">
        <v>-136.37</v>
      </c>
      <c r="Q797">
        <v>149.56</v>
      </c>
    </row>
    <row r="798" spans="1:17">
      <c r="A798" s="155">
        <v>44926</v>
      </c>
      <c r="B798" t="s">
        <v>377</v>
      </c>
      <c r="C798" t="s">
        <v>8</v>
      </c>
      <c r="D798">
        <v>2022</v>
      </c>
      <c r="E798" t="s">
        <v>116</v>
      </c>
      <c r="F798" t="s">
        <v>114</v>
      </c>
      <c r="G798" t="s">
        <v>192</v>
      </c>
      <c r="H798">
        <v>2367</v>
      </c>
      <c r="I798">
        <v>47559.239999999932</v>
      </c>
      <c r="J798">
        <v>27681.930000000186</v>
      </c>
      <c r="K798">
        <v>0</v>
      </c>
      <c r="L798">
        <v>16587.280000000283</v>
      </c>
      <c r="M798" t="s">
        <v>193</v>
      </c>
      <c r="N798">
        <v>-209.8</v>
      </c>
      <c r="O798">
        <v>270</v>
      </c>
      <c r="P798">
        <v>-136.37</v>
      </c>
      <c r="Q798">
        <v>149.56</v>
      </c>
    </row>
    <row r="799" spans="1:17">
      <c r="A799" s="155">
        <v>44926</v>
      </c>
      <c r="B799" t="s">
        <v>378</v>
      </c>
      <c r="C799" t="s">
        <v>8</v>
      </c>
      <c r="D799">
        <v>2022</v>
      </c>
      <c r="E799" t="s">
        <v>116</v>
      </c>
      <c r="F799" t="s">
        <v>114</v>
      </c>
      <c r="G799" t="s">
        <v>192</v>
      </c>
      <c r="H799">
        <v>91</v>
      </c>
      <c r="I799">
        <v>2603.3399999999992</v>
      </c>
      <c r="J799">
        <v>1935.6600000000017</v>
      </c>
      <c r="K799">
        <v>0</v>
      </c>
      <c r="L799">
        <v>667.68000000000018</v>
      </c>
      <c r="M799" t="s">
        <v>193</v>
      </c>
      <c r="N799">
        <v>-209.8</v>
      </c>
      <c r="O799">
        <v>270</v>
      </c>
      <c r="P799">
        <v>-136.37</v>
      </c>
      <c r="Q799">
        <v>149.56</v>
      </c>
    </row>
    <row r="800" spans="1:17">
      <c r="A800" s="155">
        <v>44926</v>
      </c>
      <c r="B800" t="s">
        <v>363</v>
      </c>
      <c r="C800" t="s">
        <v>8</v>
      </c>
      <c r="D800">
        <v>2022</v>
      </c>
      <c r="E800" t="s">
        <v>116</v>
      </c>
      <c r="F800" t="s">
        <v>114</v>
      </c>
      <c r="G800" t="s">
        <v>192</v>
      </c>
      <c r="H800">
        <v>2650</v>
      </c>
      <c r="I800">
        <v>51258.419999999991</v>
      </c>
      <c r="J800">
        <v>29132.700000000194</v>
      </c>
      <c r="K800">
        <v>0</v>
      </c>
      <c r="L800">
        <v>19841.880000000336</v>
      </c>
      <c r="M800" t="s">
        <v>193</v>
      </c>
      <c r="N800">
        <v>-209.8</v>
      </c>
      <c r="O800">
        <v>270</v>
      </c>
      <c r="P800">
        <v>-136.37</v>
      </c>
      <c r="Q800">
        <v>149.56</v>
      </c>
    </row>
    <row r="801" spans="1:17">
      <c r="A801" s="155">
        <v>44926</v>
      </c>
      <c r="B801" t="s">
        <v>366</v>
      </c>
      <c r="C801" t="s">
        <v>8</v>
      </c>
      <c r="D801">
        <v>2022</v>
      </c>
      <c r="E801" t="s">
        <v>116</v>
      </c>
      <c r="F801" t="s">
        <v>114</v>
      </c>
      <c r="G801" t="s">
        <v>192</v>
      </c>
      <c r="H801">
        <v>63</v>
      </c>
      <c r="I801">
        <v>990.4699999999998</v>
      </c>
      <c r="J801">
        <v>889.76999999999941</v>
      </c>
      <c r="K801">
        <v>0</v>
      </c>
      <c r="L801">
        <v>100.69999999999996</v>
      </c>
      <c r="M801" t="s">
        <v>193</v>
      </c>
      <c r="N801">
        <v>-209.8</v>
      </c>
      <c r="O801">
        <v>270</v>
      </c>
      <c r="P801">
        <v>-136.37</v>
      </c>
      <c r="Q801">
        <v>149.56</v>
      </c>
    </row>
    <row r="802" spans="1:17">
      <c r="A802" s="155">
        <v>44926</v>
      </c>
      <c r="B802" t="s">
        <v>364</v>
      </c>
      <c r="C802" t="s">
        <v>8</v>
      </c>
      <c r="D802">
        <v>2022</v>
      </c>
      <c r="E802" t="s">
        <v>116</v>
      </c>
      <c r="F802" t="s">
        <v>114</v>
      </c>
      <c r="G802" t="s">
        <v>192</v>
      </c>
      <c r="H802">
        <v>5912</v>
      </c>
      <c r="I802">
        <v>109499.41999999965</v>
      </c>
      <c r="J802">
        <v>61764.03999999899</v>
      </c>
      <c r="K802">
        <v>0</v>
      </c>
      <c r="L802">
        <v>45387.459999998733</v>
      </c>
      <c r="M802" t="s">
        <v>193</v>
      </c>
      <c r="N802">
        <v>-209.8</v>
      </c>
      <c r="O802">
        <v>270</v>
      </c>
      <c r="P802">
        <v>-136.37</v>
      </c>
      <c r="Q802">
        <v>149.56</v>
      </c>
    </row>
    <row r="803" spans="1:17">
      <c r="A803" s="155">
        <v>44926</v>
      </c>
      <c r="B803" t="s">
        <v>379</v>
      </c>
      <c r="C803" t="s">
        <v>8</v>
      </c>
      <c r="D803">
        <v>2022</v>
      </c>
      <c r="E803" t="s">
        <v>116</v>
      </c>
      <c r="F803" t="s">
        <v>114</v>
      </c>
      <c r="G803" t="s">
        <v>192</v>
      </c>
      <c r="H803">
        <v>16</v>
      </c>
      <c r="I803">
        <v>414.00000000000011</v>
      </c>
      <c r="J803">
        <v>289.76</v>
      </c>
      <c r="K803">
        <v>0</v>
      </c>
      <c r="L803">
        <v>121.82</v>
      </c>
      <c r="M803" t="s">
        <v>193</v>
      </c>
      <c r="N803">
        <v>-209.8</v>
      </c>
      <c r="O803">
        <v>270</v>
      </c>
      <c r="P803">
        <v>-136.37</v>
      </c>
      <c r="Q803">
        <v>149.56</v>
      </c>
    </row>
    <row r="804" spans="1:17">
      <c r="A804" s="155">
        <v>44926</v>
      </c>
      <c r="B804" t="s">
        <v>358</v>
      </c>
      <c r="C804" t="s">
        <v>8</v>
      </c>
      <c r="D804">
        <v>2022</v>
      </c>
      <c r="E804" t="s">
        <v>116</v>
      </c>
      <c r="F804" t="s">
        <v>114</v>
      </c>
      <c r="G804" t="s">
        <v>192</v>
      </c>
      <c r="H804">
        <v>7516</v>
      </c>
      <c r="I804">
        <v>179003.87000000192</v>
      </c>
      <c r="J804">
        <v>88583.599999993719</v>
      </c>
      <c r="K804">
        <v>0</v>
      </c>
      <c r="L804">
        <v>80854.429999996937</v>
      </c>
      <c r="M804" t="s">
        <v>193</v>
      </c>
      <c r="N804">
        <v>-209.8</v>
      </c>
      <c r="O804">
        <v>270</v>
      </c>
      <c r="P804">
        <v>-136.37</v>
      </c>
      <c r="Q804">
        <v>149.56</v>
      </c>
    </row>
    <row r="805" spans="1:17">
      <c r="A805" s="155">
        <v>44926</v>
      </c>
      <c r="B805" t="s">
        <v>380</v>
      </c>
      <c r="C805" t="s">
        <v>8</v>
      </c>
      <c r="D805">
        <v>2022</v>
      </c>
      <c r="E805" t="s">
        <v>116</v>
      </c>
      <c r="F805" t="s">
        <v>114</v>
      </c>
      <c r="G805" t="s">
        <v>192</v>
      </c>
      <c r="H805">
        <v>95</v>
      </c>
      <c r="I805">
        <v>1365.8200000000006</v>
      </c>
      <c r="J805">
        <v>891.01999999999964</v>
      </c>
      <c r="K805">
        <v>0</v>
      </c>
      <c r="L805">
        <v>474.79999999999995</v>
      </c>
      <c r="M805" t="s">
        <v>193</v>
      </c>
      <c r="N805">
        <v>-209.8</v>
      </c>
      <c r="O805">
        <v>270</v>
      </c>
      <c r="P805">
        <v>-136.37</v>
      </c>
      <c r="Q805">
        <v>149.56</v>
      </c>
    </row>
    <row r="806" spans="1:17">
      <c r="A806" s="155">
        <v>44926</v>
      </c>
      <c r="B806" t="s">
        <v>346</v>
      </c>
      <c r="C806" t="s">
        <v>8</v>
      </c>
      <c r="D806">
        <v>2022</v>
      </c>
      <c r="E806" t="s">
        <v>117</v>
      </c>
      <c r="F806" t="s">
        <v>114</v>
      </c>
      <c r="G806" t="s">
        <v>192</v>
      </c>
      <c r="H806">
        <v>40072</v>
      </c>
      <c r="I806">
        <v>416631.12000011373</v>
      </c>
      <c r="J806">
        <v>237962.63999996296</v>
      </c>
      <c r="K806">
        <v>934.79000000000008</v>
      </c>
      <c r="L806">
        <v>157127.58999994973</v>
      </c>
      <c r="M806" t="s">
        <v>193</v>
      </c>
      <c r="N806">
        <v>-204.8</v>
      </c>
      <c r="O806">
        <v>6511.13</v>
      </c>
      <c r="P806">
        <v>-135</v>
      </c>
      <c r="Q806">
        <v>1835.13</v>
      </c>
    </row>
    <row r="807" spans="1:17">
      <c r="A807" s="155">
        <v>44926</v>
      </c>
      <c r="B807" t="s">
        <v>347</v>
      </c>
      <c r="C807" t="s">
        <v>8</v>
      </c>
      <c r="D807">
        <v>2022</v>
      </c>
      <c r="E807" t="s">
        <v>117</v>
      </c>
      <c r="F807" t="s">
        <v>114</v>
      </c>
      <c r="G807" t="s">
        <v>192</v>
      </c>
      <c r="H807">
        <v>24811</v>
      </c>
      <c r="I807">
        <v>261779.17999999586</v>
      </c>
      <c r="J807">
        <v>138716.39000001489</v>
      </c>
      <c r="K807">
        <v>11104.530000000008</v>
      </c>
      <c r="L807">
        <v>75090.959999999919</v>
      </c>
      <c r="M807" t="s">
        <v>193</v>
      </c>
      <c r="N807">
        <v>-204.8</v>
      </c>
      <c r="O807">
        <v>6511.13</v>
      </c>
      <c r="P807">
        <v>-135</v>
      </c>
      <c r="Q807">
        <v>1835.13</v>
      </c>
    </row>
    <row r="808" spans="1:17">
      <c r="A808" s="155">
        <v>44926</v>
      </c>
      <c r="B808" t="s">
        <v>359</v>
      </c>
      <c r="C808" t="s">
        <v>8</v>
      </c>
      <c r="D808">
        <v>2022</v>
      </c>
      <c r="E808" t="s">
        <v>117</v>
      </c>
      <c r="F808" t="s">
        <v>114</v>
      </c>
      <c r="G808" t="s">
        <v>192</v>
      </c>
      <c r="H808">
        <v>1581</v>
      </c>
      <c r="I808">
        <v>76888.239999999991</v>
      </c>
      <c r="J808">
        <v>28432.329999999798</v>
      </c>
      <c r="K808">
        <v>0</v>
      </c>
      <c r="L808">
        <v>32470.900000000158</v>
      </c>
      <c r="M808" t="s">
        <v>193</v>
      </c>
      <c r="N808">
        <v>-204.8</v>
      </c>
      <c r="O808">
        <v>6511.13</v>
      </c>
      <c r="P808">
        <v>-135</v>
      </c>
      <c r="Q808">
        <v>1835.13</v>
      </c>
    </row>
    <row r="809" spans="1:17">
      <c r="A809" s="155">
        <v>44926</v>
      </c>
      <c r="B809" t="s">
        <v>367</v>
      </c>
      <c r="C809" t="s">
        <v>8</v>
      </c>
      <c r="D809">
        <v>2022</v>
      </c>
      <c r="E809" t="s">
        <v>117</v>
      </c>
      <c r="F809" t="s">
        <v>114</v>
      </c>
      <c r="G809" t="s">
        <v>192</v>
      </c>
      <c r="H809">
        <v>87</v>
      </c>
      <c r="I809">
        <v>3357.88</v>
      </c>
      <c r="J809">
        <v>1583.1599999999999</v>
      </c>
      <c r="K809">
        <v>0</v>
      </c>
      <c r="L809">
        <v>1323.8500000000001</v>
      </c>
      <c r="M809" t="s">
        <v>193</v>
      </c>
      <c r="N809">
        <v>-204.8</v>
      </c>
      <c r="O809">
        <v>6511.13</v>
      </c>
      <c r="P809">
        <v>-135</v>
      </c>
      <c r="Q809">
        <v>1835.13</v>
      </c>
    </row>
    <row r="810" spans="1:17">
      <c r="A810" s="155">
        <v>44926</v>
      </c>
      <c r="B810" t="s">
        <v>348</v>
      </c>
      <c r="C810" t="s">
        <v>8</v>
      </c>
      <c r="D810">
        <v>2022</v>
      </c>
      <c r="E810" t="s">
        <v>117</v>
      </c>
      <c r="F810" t="s">
        <v>114</v>
      </c>
      <c r="G810" t="s">
        <v>192</v>
      </c>
      <c r="H810">
        <v>515</v>
      </c>
      <c r="I810">
        <v>11856.950000000044</v>
      </c>
      <c r="J810">
        <v>4931.4799999999959</v>
      </c>
      <c r="K810">
        <v>1756.7100000000005</v>
      </c>
      <c r="L810">
        <v>4151.3200000000015</v>
      </c>
      <c r="M810" t="s">
        <v>193</v>
      </c>
      <c r="N810">
        <v>-204.8</v>
      </c>
      <c r="O810">
        <v>6511.13</v>
      </c>
      <c r="P810">
        <v>-135</v>
      </c>
      <c r="Q810">
        <v>1835.13</v>
      </c>
    </row>
    <row r="811" spans="1:17">
      <c r="A811" s="155">
        <v>44926</v>
      </c>
      <c r="B811" t="s">
        <v>349</v>
      </c>
      <c r="C811" t="s">
        <v>8</v>
      </c>
      <c r="D811">
        <v>2022</v>
      </c>
      <c r="E811" t="s">
        <v>117</v>
      </c>
      <c r="F811" t="s">
        <v>114</v>
      </c>
      <c r="G811" t="s">
        <v>192</v>
      </c>
      <c r="H811">
        <v>15412</v>
      </c>
      <c r="I811">
        <v>163009.39999999705</v>
      </c>
      <c r="J811">
        <v>90380.900000013353</v>
      </c>
      <c r="K811">
        <v>217.24000000000004</v>
      </c>
      <c r="L811">
        <v>63813.880000002151</v>
      </c>
      <c r="M811" t="s">
        <v>193</v>
      </c>
      <c r="N811">
        <v>-204.8</v>
      </c>
      <c r="O811">
        <v>6511.13</v>
      </c>
      <c r="P811">
        <v>-135</v>
      </c>
      <c r="Q811">
        <v>1835.13</v>
      </c>
    </row>
    <row r="812" spans="1:17">
      <c r="A812" s="155">
        <v>44926</v>
      </c>
      <c r="B812" t="s">
        <v>350</v>
      </c>
      <c r="C812" t="s">
        <v>8</v>
      </c>
      <c r="D812">
        <v>2022</v>
      </c>
      <c r="E812" t="s">
        <v>117</v>
      </c>
      <c r="F812" t="s">
        <v>114</v>
      </c>
      <c r="G812" t="s">
        <v>192</v>
      </c>
      <c r="H812">
        <v>13086</v>
      </c>
      <c r="I812">
        <v>181577.63999999655</v>
      </c>
      <c r="J812">
        <v>80921.630000010773</v>
      </c>
      <c r="K812">
        <v>12597.119999999964</v>
      </c>
      <c r="L812">
        <v>71556.010000000766</v>
      </c>
      <c r="M812" t="s">
        <v>193</v>
      </c>
      <c r="N812">
        <v>-204.8</v>
      </c>
      <c r="O812">
        <v>6511.13</v>
      </c>
      <c r="P812">
        <v>-135</v>
      </c>
      <c r="Q812">
        <v>1835.13</v>
      </c>
    </row>
    <row r="813" spans="1:17">
      <c r="A813" s="155">
        <v>44926</v>
      </c>
      <c r="B813" t="s">
        <v>351</v>
      </c>
      <c r="C813" t="s">
        <v>8</v>
      </c>
      <c r="D813">
        <v>2022</v>
      </c>
      <c r="E813" t="s">
        <v>117</v>
      </c>
      <c r="F813" t="s">
        <v>114</v>
      </c>
      <c r="G813" t="s">
        <v>192</v>
      </c>
      <c r="H813">
        <v>2928</v>
      </c>
      <c r="I813">
        <v>84006.779999999984</v>
      </c>
      <c r="J813">
        <v>47856.42999999984</v>
      </c>
      <c r="K813">
        <v>0</v>
      </c>
      <c r="L813">
        <v>23160.390000000101</v>
      </c>
      <c r="M813" t="s">
        <v>193</v>
      </c>
      <c r="N813">
        <v>-204.8</v>
      </c>
      <c r="O813">
        <v>6511.13</v>
      </c>
      <c r="P813">
        <v>-135</v>
      </c>
      <c r="Q813">
        <v>1835.13</v>
      </c>
    </row>
    <row r="814" spans="1:17">
      <c r="A814" s="155">
        <v>44926</v>
      </c>
      <c r="B814" t="s">
        <v>368</v>
      </c>
      <c r="C814" t="s">
        <v>8</v>
      </c>
      <c r="D814">
        <v>2022</v>
      </c>
      <c r="E814" t="s">
        <v>117</v>
      </c>
      <c r="F814" t="s">
        <v>114</v>
      </c>
      <c r="G814" t="s">
        <v>192</v>
      </c>
      <c r="H814">
        <v>43</v>
      </c>
      <c r="I814">
        <v>1015.5699999999999</v>
      </c>
      <c r="J814">
        <v>844.71</v>
      </c>
      <c r="K814">
        <v>0</v>
      </c>
      <c r="L814">
        <v>108.36</v>
      </c>
      <c r="M814" t="s">
        <v>193</v>
      </c>
      <c r="N814">
        <v>-204.8</v>
      </c>
      <c r="O814">
        <v>6511.13</v>
      </c>
      <c r="P814">
        <v>-135</v>
      </c>
      <c r="Q814">
        <v>1835.13</v>
      </c>
    </row>
    <row r="815" spans="1:17">
      <c r="A815" s="155">
        <v>44926</v>
      </c>
      <c r="B815" t="s">
        <v>369</v>
      </c>
      <c r="C815" t="s">
        <v>8</v>
      </c>
      <c r="D815">
        <v>2022</v>
      </c>
      <c r="E815" t="s">
        <v>117</v>
      </c>
      <c r="F815" t="s">
        <v>114</v>
      </c>
      <c r="G815" t="s">
        <v>192</v>
      </c>
      <c r="H815">
        <v>2684</v>
      </c>
      <c r="I815">
        <v>83426.330000000089</v>
      </c>
      <c r="J815">
        <v>45070.099999999969</v>
      </c>
      <c r="K815">
        <v>410.97</v>
      </c>
      <c r="L815">
        <v>24615.220000000063</v>
      </c>
      <c r="M815" t="s">
        <v>193</v>
      </c>
      <c r="N815">
        <v>-204.8</v>
      </c>
      <c r="O815">
        <v>6511.13</v>
      </c>
      <c r="P815">
        <v>-135</v>
      </c>
      <c r="Q815">
        <v>1835.13</v>
      </c>
    </row>
    <row r="816" spans="1:17">
      <c r="A816" s="155">
        <v>44926</v>
      </c>
      <c r="B816" t="s">
        <v>370</v>
      </c>
      <c r="C816" t="s">
        <v>8</v>
      </c>
      <c r="D816">
        <v>2022</v>
      </c>
      <c r="E816" t="s">
        <v>117</v>
      </c>
      <c r="F816" t="s">
        <v>114</v>
      </c>
      <c r="G816" t="s">
        <v>192</v>
      </c>
      <c r="H816">
        <v>5</v>
      </c>
      <c r="I816">
        <v>123</v>
      </c>
      <c r="J816">
        <v>110.7</v>
      </c>
      <c r="K816">
        <v>0</v>
      </c>
      <c r="L816">
        <v>12.3</v>
      </c>
      <c r="M816" t="s">
        <v>193</v>
      </c>
      <c r="N816">
        <v>-204.8</v>
      </c>
      <c r="O816">
        <v>6511.13</v>
      </c>
      <c r="P816">
        <v>-135</v>
      </c>
      <c r="Q816">
        <v>1835.13</v>
      </c>
    </row>
    <row r="817" spans="1:17">
      <c r="A817" s="155">
        <v>44926</v>
      </c>
      <c r="B817" t="s">
        <v>360</v>
      </c>
      <c r="C817" t="s">
        <v>8</v>
      </c>
      <c r="D817">
        <v>2022</v>
      </c>
      <c r="E817" t="s">
        <v>117</v>
      </c>
      <c r="F817" t="s">
        <v>114</v>
      </c>
      <c r="G817" t="s">
        <v>192</v>
      </c>
      <c r="H817">
        <v>2839</v>
      </c>
      <c r="I817">
        <v>85561.500000000015</v>
      </c>
      <c r="J817">
        <v>48990.420000000006</v>
      </c>
      <c r="K817">
        <v>0</v>
      </c>
      <c r="L817">
        <v>31368.240000000213</v>
      </c>
      <c r="M817" t="s">
        <v>193</v>
      </c>
      <c r="N817">
        <v>-204.8</v>
      </c>
      <c r="O817">
        <v>6511.13</v>
      </c>
      <c r="P817">
        <v>-135</v>
      </c>
      <c r="Q817">
        <v>1835.13</v>
      </c>
    </row>
    <row r="818" spans="1:17">
      <c r="A818" s="155">
        <v>44926</v>
      </c>
      <c r="B818" t="s">
        <v>371</v>
      </c>
      <c r="C818" t="s">
        <v>8</v>
      </c>
      <c r="D818">
        <v>2022</v>
      </c>
      <c r="E818" t="s">
        <v>117</v>
      </c>
      <c r="F818" t="s">
        <v>114</v>
      </c>
      <c r="G818" t="s">
        <v>192</v>
      </c>
      <c r="H818">
        <v>106</v>
      </c>
      <c r="I818">
        <v>2754.16</v>
      </c>
      <c r="J818">
        <v>2220.54</v>
      </c>
      <c r="K818">
        <v>0</v>
      </c>
      <c r="L818">
        <v>477.02000000000004</v>
      </c>
      <c r="M818" t="s">
        <v>193</v>
      </c>
      <c r="N818">
        <v>-204.8</v>
      </c>
      <c r="O818">
        <v>6511.13</v>
      </c>
      <c r="P818">
        <v>-135</v>
      </c>
      <c r="Q818">
        <v>1835.13</v>
      </c>
    </row>
    <row r="819" spans="1:17">
      <c r="A819" s="155">
        <v>44926</v>
      </c>
      <c r="B819" t="s">
        <v>361</v>
      </c>
      <c r="C819" t="s">
        <v>8</v>
      </c>
      <c r="D819">
        <v>2022</v>
      </c>
      <c r="E819" t="s">
        <v>117</v>
      </c>
      <c r="F819" t="s">
        <v>114</v>
      </c>
      <c r="G819" t="s">
        <v>192</v>
      </c>
      <c r="H819">
        <v>5295</v>
      </c>
      <c r="I819">
        <v>148534.88000000038</v>
      </c>
      <c r="J819">
        <v>85751.050000001094</v>
      </c>
      <c r="K819">
        <v>0</v>
      </c>
      <c r="L819">
        <v>56794.570000000313</v>
      </c>
      <c r="M819" t="s">
        <v>193</v>
      </c>
      <c r="N819">
        <v>-204.8</v>
      </c>
      <c r="O819">
        <v>6511.13</v>
      </c>
      <c r="P819">
        <v>-135</v>
      </c>
      <c r="Q819">
        <v>1835.13</v>
      </c>
    </row>
    <row r="820" spans="1:17">
      <c r="A820" s="155">
        <v>44926</v>
      </c>
      <c r="B820" t="s">
        <v>365</v>
      </c>
      <c r="C820" t="s">
        <v>8</v>
      </c>
      <c r="D820">
        <v>2022</v>
      </c>
      <c r="E820" t="s">
        <v>117</v>
      </c>
      <c r="F820" t="s">
        <v>114</v>
      </c>
      <c r="G820" t="s">
        <v>192</v>
      </c>
      <c r="H820">
        <v>147</v>
      </c>
      <c r="I820">
        <v>1982.5599999999988</v>
      </c>
      <c r="J820">
        <v>1632.3200000000011</v>
      </c>
      <c r="K820">
        <v>0</v>
      </c>
      <c r="L820">
        <v>301.69000000000023</v>
      </c>
      <c r="M820" t="s">
        <v>193</v>
      </c>
      <c r="N820">
        <v>-204.8</v>
      </c>
      <c r="O820">
        <v>6511.13</v>
      </c>
      <c r="P820">
        <v>-135</v>
      </c>
      <c r="Q820">
        <v>1835.13</v>
      </c>
    </row>
    <row r="821" spans="1:17">
      <c r="A821" s="155">
        <v>44926</v>
      </c>
      <c r="B821" t="s">
        <v>176</v>
      </c>
      <c r="C821" t="s">
        <v>8</v>
      </c>
      <c r="D821">
        <v>2022</v>
      </c>
      <c r="E821" t="s">
        <v>117</v>
      </c>
      <c r="F821" t="s">
        <v>114</v>
      </c>
      <c r="G821" t="s">
        <v>192</v>
      </c>
      <c r="H821">
        <v>8273</v>
      </c>
      <c r="I821">
        <v>284809.1100000001</v>
      </c>
      <c r="J821">
        <v>142483.9800000028</v>
      </c>
      <c r="K821">
        <v>0</v>
      </c>
      <c r="L821">
        <v>110187.39999999816</v>
      </c>
      <c r="M821" t="s">
        <v>193</v>
      </c>
      <c r="N821">
        <v>-204.8</v>
      </c>
      <c r="O821">
        <v>6511.13</v>
      </c>
      <c r="P821">
        <v>-135</v>
      </c>
      <c r="Q821">
        <v>1835.13</v>
      </c>
    </row>
    <row r="822" spans="1:17">
      <c r="A822" s="155">
        <v>44926</v>
      </c>
      <c r="B822" t="s">
        <v>372</v>
      </c>
      <c r="C822" t="s">
        <v>8</v>
      </c>
      <c r="D822">
        <v>2022</v>
      </c>
      <c r="E822" t="s">
        <v>117</v>
      </c>
      <c r="F822" t="s">
        <v>114</v>
      </c>
      <c r="G822" t="s">
        <v>192</v>
      </c>
      <c r="H822">
        <v>44</v>
      </c>
      <c r="I822">
        <v>1585.2299999999998</v>
      </c>
      <c r="J822">
        <v>965.11000000000013</v>
      </c>
      <c r="K822">
        <v>0</v>
      </c>
      <c r="L822">
        <v>511.31999999999994</v>
      </c>
      <c r="M822" t="s">
        <v>193</v>
      </c>
      <c r="N822">
        <v>-204.8</v>
      </c>
      <c r="O822">
        <v>6511.13</v>
      </c>
      <c r="P822">
        <v>-135</v>
      </c>
      <c r="Q822">
        <v>1835.13</v>
      </c>
    </row>
    <row r="823" spans="1:17">
      <c r="A823" s="155">
        <v>44926</v>
      </c>
      <c r="B823" t="s">
        <v>373</v>
      </c>
      <c r="C823" t="s">
        <v>8</v>
      </c>
      <c r="D823">
        <v>2022</v>
      </c>
      <c r="E823" t="s">
        <v>117</v>
      </c>
      <c r="F823" t="s">
        <v>114</v>
      </c>
      <c r="G823" t="s">
        <v>192</v>
      </c>
      <c r="H823">
        <v>99</v>
      </c>
      <c r="I823">
        <v>2814.69</v>
      </c>
      <c r="J823">
        <v>1743.0199999999986</v>
      </c>
      <c r="K823">
        <v>0</v>
      </c>
      <c r="L823">
        <v>816.82999999999993</v>
      </c>
      <c r="M823" t="s">
        <v>193</v>
      </c>
      <c r="N823">
        <v>-204.8</v>
      </c>
      <c r="O823">
        <v>6511.13</v>
      </c>
      <c r="P823">
        <v>-135</v>
      </c>
      <c r="Q823">
        <v>1835.13</v>
      </c>
    </row>
    <row r="824" spans="1:17">
      <c r="A824" s="155">
        <v>44926</v>
      </c>
      <c r="B824" t="s">
        <v>352</v>
      </c>
      <c r="C824" t="s">
        <v>8</v>
      </c>
      <c r="D824">
        <v>2022</v>
      </c>
      <c r="E824" t="s">
        <v>117</v>
      </c>
      <c r="F824" t="s">
        <v>114</v>
      </c>
      <c r="G824" t="s">
        <v>192</v>
      </c>
      <c r="H824">
        <v>40072</v>
      </c>
      <c r="I824">
        <v>416631.12000011455</v>
      </c>
      <c r="J824">
        <v>237962.63999996759</v>
      </c>
      <c r="K824">
        <v>934.79000000000008</v>
      </c>
      <c r="L824">
        <v>157127.58999995087</v>
      </c>
      <c r="M824" t="s">
        <v>193</v>
      </c>
      <c r="N824">
        <v>-204.8</v>
      </c>
      <c r="O824">
        <v>6511.13</v>
      </c>
      <c r="P824">
        <v>-135</v>
      </c>
      <c r="Q824">
        <v>1835.13</v>
      </c>
    </row>
    <row r="825" spans="1:17">
      <c r="A825" s="155">
        <v>44926</v>
      </c>
      <c r="B825" t="s">
        <v>353</v>
      </c>
      <c r="C825" t="s">
        <v>8</v>
      </c>
      <c r="D825">
        <v>2022</v>
      </c>
      <c r="E825" t="s">
        <v>117</v>
      </c>
      <c r="F825" t="s">
        <v>114</v>
      </c>
      <c r="G825" t="s">
        <v>192</v>
      </c>
      <c r="H825">
        <v>24811</v>
      </c>
      <c r="I825">
        <v>261779.17999999569</v>
      </c>
      <c r="J825">
        <v>138716.39000001422</v>
      </c>
      <c r="K825">
        <v>11104.530000000012</v>
      </c>
      <c r="L825">
        <v>75090.959999999497</v>
      </c>
      <c r="M825" t="s">
        <v>193</v>
      </c>
      <c r="N825">
        <v>-204.8</v>
      </c>
      <c r="O825">
        <v>6511.13</v>
      </c>
      <c r="P825">
        <v>-135</v>
      </c>
      <c r="Q825">
        <v>1835.13</v>
      </c>
    </row>
    <row r="826" spans="1:17">
      <c r="A826" s="155">
        <v>44926</v>
      </c>
      <c r="B826" t="s">
        <v>374</v>
      </c>
      <c r="C826" t="s">
        <v>8</v>
      </c>
      <c r="D826">
        <v>2022</v>
      </c>
      <c r="E826" t="s">
        <v>117</v>
      </c>
      <c r="F826" t="s">
        <v>114</v>
      </c>
      <c r="G826" t="s">
        <v>192</v>
      </c>
      <c r="H826">
        <v>87</v>
      </c>
      <c r="I826">
        <v>3357.88</v>
      </c>
      <c r="J826">
        <v>1583.1599999999996</v>
      </c>
      <c r="K826">
        <v>0</v>
      </c>
      <c r="L826">
        <v>1323.8499999999997</v>
      </c>
      <c r="M826" t="s">
        <v>193</v>
      </c>
      <c r="N826">
        <v>-204.8</v>
      </c>
      <c r="O826">
        <v>6511.13</v>
      </c>
      <c r="P826">
        <v>-135</v>
      </c>
      <c r="Q826">
        <v>1835.13</v>
      </c>
    </row>
    <row r="827" spans="1:17">
      <c r="A827" s="155">
        <v>44926</v>
      </c>
      <c r="B827" t="s">
        <v>362</v>
      </c>
      <c r="C827" t="s">
        <v>8</v>
      </c>
      <c r="D827">
        <v>2022</v>
      </c>
      <c r="E827" t="s">
        <v>117</v>
      </c>
      <c r="F827" t="s">
        <v>114</v>
      </c>
      <c r="G827" t="s">
        <v>192</v>
      </c>
      <c r="H827">
        <v>1581</v>
      </c>
      <c r="I827">
        <v>76888.239999999991</v>
      </c>
      <c r="J827">
        <v>28432.329999999787</v>
      </c>
      <c r="K827">
        <v>0</v>
      </c>
      <c r="L827">
        <v>32470.900000000162</v>
      </c>
      <c r="M827" t="s">
        <v>193</v>
      </c>
      <c r="N827">
        <v>-204.8</v>
      </c>
      <c r="O827">
        <v>6511.13</v>
      </c>
      <c r="P827">
        <v>-135</v>
      </c>
      <c r="Q827">
        <v>1835.13</v>
      </c>
    </row>
    <row r="828" spans="1:17">
      <c r="A828" s="155">
        <v>44926</v>
      </c>
      <c r="B828" t="s">
        <v>354</v>
      </c>
      <c r="C828" t="s">
        <v>8</v>
      </c>
      <c r="D828">
        <v>2022</v>
      </c>
      <c r="E828" t="s">
        <v>117</v>
      </c>
      <c r="F828" t="s">
        <v>114</v>
      </c>
      <c r="G828" t="s">
        <v>192</v>
      </c>
      <c r="H828">
        <v>515</v>
      </c>
      <c r="I828">
        <v>11856.950000000041</v>
      </c>
      <c r="J828">
        <v>4931.4799999999923</v>
      </c>
      <c r="K828">
        <v>1756.7100000000007</v>
      </c>
      <c r="L828">
        <v>4151.3200000000024</v>
      </c>
      <c r="M828" t="s">
        <v>193</v>
      </c>
      <c r="N828">
        <v>-204.8</v>
      </c>
      <c r="O828">
        <v>6511.13</v>
      </c>
      <c r="P828">
        <v>-135</v>
      </c>
      <c r="Q828">
        <v>1835.13</v>
      </c>
    </row>
    <row r="829" spans="1:17">
      <c r="A829" s="155">
        <v>44926</v>
      </c>
      <c r="B829" t="s">
        <v>355</v>
      </c>
      <c r="C829" t="s">
        <v>8</v>
      </c>
      <c r="D829">
        <v>2022</v>
      </c>
      <c r="E829" t="s">
        <v>117</v>
      </c>
      <c r="F829" t="s">
        <v>114</v>
      </c>
      <c r="G829" t="s">
        <v>192</v>
      </c>
      <c r="H829">
        <v>15412</v>
      </c>
      <c r="I829">
        <v>163009.39999999758</v>
      </c>
      <c r="J829">
        <v>90380.900000013615</v>
      </c>
      <c r="K829">
        <v>217.24000000000004</v>
      </c>
      <c r="L829">
        <v>63813.880000002151</v>
      </c>
      <c r="M829" t="s">
        <v>193</v>
      </c>
      <c r="N829">
        <v>-204.8</v>
      </c>
      <c r="O829">
        <v>6511.13</v>
      </c>
      <c r="P829">
        <v>-135</v>
      </c>
      <c r="Q829">
        <v>1835.13</v>
      </c>
    </row>
    <row r="830" spans="1:17">
      <c r="A830" s="155">
        <v>44926</v>
      </c>
      <c r="B830" t="s">
        <v>356</v>
      </c>
      <c r="C830" t="s">
        <v>8</v>
      </c>
      <c r="D830">
        <v>2022</v>
      </c>
      <c r="E830" t="s">
        <v>117</v>
      </c>
      <c r="F830" t="s">
        <v>114</v>
      </c>
      <c r="G830" t="s">
        <v>192</v>
      </c>
      <c r="H830">
        <v>13086</v>
      </c>
      <c r="I830">
        <v>181577.6399999967</v>
      </c>
      <c r="J830">
        <v>80921.630000010569</v>
      </c>
      <c r="K830">
        <v>12597.119999999963</v>
      </c>
      <c r="L830">
        <v>71556.010000001013</v>
      </c>
      <c r="M830" t="s">
        <v>193</v>
      </c>
      <c r="N830">
        <v>-204.8</v>
      </c>
      <c r="O830">
        <v>6511.13</v>
      </c>
      <c r="P830">
        <v>-135</v>
      </c>
      <c r="Q830">
        <v>1835.13</v>
      </c>
    </row>
    <row r="831" spans="1:17">
      <c r="A831" s="155">
        <v>44926</v>
      </c>
      <c r="B831" t="s">
        <v>375</v>
      </c>
      <c r="C831" t="s">
        <v>8</v>
      </c>
      <c r="D831">
        <v>2022</v>
      </c>
      <c r="E831" t="s">
        <v>117</v>
      </c>
      <c r="F831" t="s">
        <v>114</v>
      </c>
      <c r="G831" t="s">
        <v>192</v>
      </c>
      <c r="H831">
        <v>43</v>
      </c>
      <c r="I831">
        <v>1015.5699999999999</v>
      </c>
      <c r="J831">
        <v>844.70999999999992</v>
      </c>
      <c r="K831">
        <v>0</v>
      </c>
      <c r="L831">
        <v>108.36</v>
      </c>
      <c r="M831" t="s">
        <v>193</v>
      </c>
      <c r="N831">
        <v>-204.8</v>
      </c>
      <c r="O831">
        <v>6511.13</v>
      </c>
      <c r="P831">
        <v>-135</v>
      </c>
      <c r="Q831">
        <v>1835.13</v>
      </c>
    </row>
    <row r="832" spans="1:17">
      <c r="A832" s="155">
        <v>44926</v>
      </c>
      <c r="B832" t="s">
        <v>357</v>
      </c>
      <c r="C832" t="s">
        <v>8</v>
      </c>
      <c r="D832">
        <v>2022</v>
      </c>
      <c r="E832" t="s">
        <v>117</v>
      </c>
      <c r="F832" t="s">
        <v>114</v>
      </c>
      <c r="G832" t="s">
        <v>192</v>
      </c>
      <c r="H832">
        <v>2928</v>
      </c>
      <c r="I832">
        <v>84006.780000000159</v>
      </c>
      <c r="J832">
        <v>47856.429999999964</v>
      </c>
      <c r="K832">
        <v>0</v>
      </c>
      <c r="L832">
        <v>23160.390000000127</v>
      </c>
      <c r="M832" t="s">
        <v>193</v>
      </c>
      <c r="N832">
        <v>-204.8</v>
      </c>
      <c r="O832">
        <v>6511.13</v>
      </c>
      <c r="P832">
        <v>-135</v>
      </c>
      <c r="Q832">
        <v>1835.13</v>
      </c>
    </row>
    <row r="833" spans="1:17">
      <c r="A833" s="155">
        <v>44926</v>
      </c>
      <c r="B833" t="s">
        <v>376</v>
      </c>
      <c r="C833" t="s">
        <v>8</v>
      </c>
      <c r="D833">
        <v>2022</v>
      </c>
      <c r="E833" t="s">
        <v>117</v>
      </c>
      <c r="F833" t="s">
        <v>114</v>
      </c>
      <c r="G833" t="s">
        <v>192</v>
      </c>
      <c r="H833">
        <v>5</v>
      </c>
      <c r="I833">
        <v>123</v>
      </c>
      <c r="J833">
        <v>110.7</v>
      </c>
      <c r="K833">
        <v>0</v>
      </c>
      <c r="L833">
        <v>12.3</v>
      </c>
      <c r="M833" t="s">
        <v>193</v>
      </c>
      <c r="N833">
        <v>-204.8</v>
      </c>
      <c r="O833">
        <v>6511.13</v>
      </c>
      <c r="P833">
        <v>-135</v>
      </c>
      <c r="Q833">
        <v>1835.13</v>
      </c>
    </row>
    <row r="834" spans="1:17">
      <c r="A834" s="155">
        <v>44926</v>
      </c>
      <c r="B834" t="s">
        <v>377</v>
      </c>
      <c r="C834" t="s">
        <v>8</v>
      </c>
      <c r="D834">
        <v>2022</v>
      </c>
      <c r="E834" t="s">
        <v>117</v>
      </c>
      <c r="F834" t="s">
        <v>114</v>
      </c>
      <c r="G834" t="s">
        <v>192</v>
      </c>
      <c r="H834">
        <v>2684</v>
      </c>
      <c r="I834">
        <v>83426.33</v>
      </c>
      <c r="J834">
        <v>45070.099999999948</v>
      </c>
      <c r="K834">
        <v>410.97</v>
      </c>
      <c r="L834">
        <v>24615.220000000067</v>
      </c>
      <c r="M834" t="s">
        <v>193</v>
      </c>
      <c r="N834">
        <v>-204.8</v>
      </c>
      <c r="O834">
        <v>6511.13</v>
      </c>
      <c r="P834">
        <v>-135</v>
      </c>
      <c r="Q834">
        <v>1835.13</v>
      </c>
    </row>
    <row r="835" spans="1:17">
      <c r="A835" s="155">
        <v>44926</v>
      </c>
      <c r="B835" t="s">
        <v>378</v>
      </c>
      <c r="C835" t="s">
        <v>8</v>
      </c>
      <c r="D835">
        <v>2022</v>
      </c>
      <c r="E835" t="s">
        <v>117</v>
      </c>
      <c r="F835" t="s">
        <v>114</v>
      </c>
      <c r="G835" t="s">
        <v>192</v>
      </c>
      <c r="H835">
        <v>106</v>
      </c>
      <c r="I835">
        <v>2754.16</v>
      </c>
      <c r="J835">
        <v>2220.54</v>
      </c>
      <c r="K835">
        <v>0</v>
      </c>
      <c r="L835">
        <v>477.0200000000001</v>
      </c>
      <c r="M835" t="s">
        <v>193</v>
      </c>
      <c r="N835">
        <v>-204.8</v>
      </c>
      <c r="O835">
        <v>6511.13</v>
      </c>
      <c r="P835">
        <v>-135</v>
      </c>
      <c r="Q835">
        <v>1835.13</v>
      </c>
    </row>
    <row r="836" spans="1:17">
      <c r="A836" s="155">
        <v>44926</v>
      </c>
      <c r="B836" t="s">
        <v>363</v>
      </c>
      <c r="C836" t="s">
        <v>8</v>
      </c>
      <c r="D836">
        <v>2022</v>
      </c>
      <c r="E836" t="s">
        <v>117</v>
      </c>
      <c r="F836" t="s">
        <v>114</v>
      </c>
      <c r="G836" t="s">
        <v>192</v>
      </c>
      <c r="H836">
        <v>2839</v>
      </c>
      <c r="I836">
        <v>85561.5</v>
      </c>
      <c r="J836">
        <v>48990.420000000078</v>
      </c>
      <c r="K836">
        <v>0</v>
      </c>
      <c r="L836">
        <v>31368.240000000165</v>
      </c>
      <c r="M836" t="s">
        <v>193</v>
      </c>
      <c r="N836">
        <v>-204.8</v>
      </c>
      <c r="O836">
        <v>6511.13</v>
      </c>
      <c r="P836">
        <v>-135</v>
      </c>
      <c r="Q836">
        <v>1835.13</v>
      </c>
    </row>
    <row r="837" spans="1:17">
      <c r="A837" s="155">
        <v>44926</v>
      </c>
      <c r="B837" t="s">
        <v>366</v>
      </c>
      <c r="C837" t="s">
        <v>8</v>
      </c>
      <c r="D837">
        <v>2022</v>
      </c>
      <c r="E837" t="s">
        <v>117</v>
      </c>
      <c r="F837" t="s">
        <v>114</v>
      </c>
      <c r="G837" t="s">
        <v>192</v>
      </c>
      <c r="H837">
        <v>147</v>
      </c>
      <c r="I837">
        <v>1982.5599999999988</v>
      </c>
      <c r="J837">
        <v>1632.3200000000011</v>
      </c>
      <c r="K837">
        <v>0</v>
      </c>
      <c r="L837">
        <v>301.69000000000011</v>
      </c>
      <c r="M837" t="s">
        <v>193</v>
      </c>
      <c r="N837">
        <v>-204.8</v>
      </c>
      <c r="O837">
        <v>6511.13</v>
      </c>
      <c r="P837">
        <v>-135</v>
      </c>
      <c r="Q837">
        <v>1835.13</v>
      </c>
    </row>
    <row r="838" spans="1:17">
      <c r="A838" s="155">
        <v>44926</v>
      </c>
      <c r="B838" t="s">
        <v>364</v>
      </c>
      <c r="C838" t="s">
        <v>8</v>
      </c>
      <c r="D838">
        <v>2022</v>
      </c>
      <c r="E838" t="s">
        <v>117</v>
      </c>
      <c r="F838" t="s">
        <v>114</v>
      </c>
      <c r="G838" t="s">
        <v>192</v>
      </c>
      <c r="H838">
        <v>5295</v>
      </c>
      <c r="I838">
        <v>148534.88000000018</v>
      </c>
      <c r="J838">
        <v>85751.050000001138</v>
      </c>
      <c r="K838">
        <v>0</v>
      </c>
      <c r="L838">
        <v>56794.570000000364</v>
      </c>
      <c r="M838" t="s">
        <v>193</v>
      </c>
      <c r="N838">
        <v>-204.8</v>
      </c>
      <c r="O838">
        <v>6511.13</v>
      </c>
      <c r="P838">
        <v>-135</v>
      </c>
      <c r="Q838">
        <v>1835.13</v>
      </c>
    </row>
    <row r="839" spans="1:17">
      <c r="A839" s="155">
        <v>44926</v>
      </c>
      <c r="B839" t="s">
        <v>379</v>
      </c>
      <c r="C839" t="s">
        <v>8</v>
      </c>
      <c r="D839">
        <v>2022</v>
      </c>
      <c r="E839" t="s">
        <v>117</v>
      </c>
      <c r="F839" t="s">
        <v>114</v>
      </c>
      <c r="G839" t="s">
        <v>192</v>
      </c>
      <c r="H839">
        <v>44</v>
      </c>
      <c r="I839">
        <v>1585.2299999999998</v>
      </c>
      <c r="J839">
        <v>965.11000000000024</v>
      </c>
      <c r="K839">
        <v>0</v>
      </c>
      <c r="L839">
        <v>511.32</v>
      </c>
      <c r="M839" t="s">
        <v>193</v>
      </c>
      <c r="N839">
        <v>-204.8</v>
      </c>
      <c r="O839">
        <v>6511.13</v>
      </c>
      <c r="P839">
        <v>-135</v>
      </c>
      <c r="Q839">
        <v>1835.13</v>
      </c>
    </row>
    <row r="840" spans="1:17">
      <c r="A840" s="155">
        <v>44926</v>
      </c>
      <c r="B840" t="s">
        <v>358</v>
      </c>
      <c r="C840" t="s">
        <v>8</v>
      </c>
      <c r="D840">
        <v>2022</v>
      </c>
      <c r="E840" t="s">
        <v>117</v>
      </c>
      <c r="F840" t="s">
        <v>114</v>
      </c>
      <c r="G840" t="s">
        <v>192</v>
      </c>
      <c r="H840">
        <v>8273</v>
      </c>
      <c r="I840">
        <v>284809.11000000034</v>
      </c>
      <c r="J840">
        <v>142483.98000000283</v>
      </c>
      <c r="K840">
        <v>0</v>
      </c>
      <c r="L840">
        <v>110187.39999999826</v>
      </c>
      <c r="M840" t="s">
        <v>193</v>
      </c>
      <c r="N840">
        <v>-204.8</v>
      </c>
      <c r="O840">
        <v>6511.13</v>
      </c>
      <c r="P840">
        <v>-135</v>
      </c>
      <c r="Q840">
        <v>1835.13</v>
      </c>
    </row>
    <row r="841" spans="1:17">
      <c r="A841" s="155">
        <v>44926</v>
      </c>
      <c r="B841" t="s">
        <v>380</v>
      </c>
      <c r="C841" t="s">
        <v>8</v>
      </c>
      <c r="D841">
        <v>2022</v>
      </c>
      <c r="E841" t="s">
        <v>117</v>
      </c>
      <c r="F841" t="s">
        <v>114</v>
      </c>
      <c r="G841" t="s">
        <v>192</v>
      </c>
      <c r="H841">
        <v>99</v>
      </c>
      <c r="I841">
        <v>2814.6899999999996</v>
      </c>
      <c r="J841">
        <v>1743.0199999999993</v>
      </c>
      <c r="K841">
        <v>0</v>
      </c>
      <c r="L841">
        <v>816.82999999999993</v>
      </c>
      <c r="M841" t="s">
        <v>193</v>
      </c>
      <c r="N841">
        <v>-204.8</v>
      </c>
      <c r="O841">
        <v>6511.13</v>
      </c>
      <c r="P841">
        <v>-135</v>
      </c>
      <c r="Q841">
        <v>1835.13</v>
      </c>
    </row>
    <row r="842" spans="1:17">
      <c r="A842" s="155">
        <v>44926</v>
      </c>
      <c r="B842" t="s">
        <v>347</v>
      </c>
      <c r="C842" t="s">
        <v>8</v>
      </c>
      <c r="D842">
        <v>2022</v>
      </c>
      <c r="E842" t="s">
        <v>302</v>
      </c>
      <c r="F842" t="s">
        <v>114</v>
      </c>
      <c r="G842" t="s">
        <v>192</v>
      </c>
      <c r="H842">
        <v>1</v>
      </c>
      <c r="I842">
        <v>18.55</v>
      </c>
      <c r="J842">
        <v>3</v>
      </c>
      <c r="K842">
        <v>0</v>
      </c>
      <c r="L842">
        <v>15.55</v>
      </c>
      <c r="M842" t="s">
        <v>193</v>
      </c>
      <c r="N842">
        <v>18.55</v>
      </c>
      <c r="O842">
        <v>42</v>
      </c>
      <c r="P842">
        <v>12.6</v>
      </c>
      <c r="Q842">
        <v>15.55</v>
      </c>
    </row>
    <row r="843" spans="1:17">
      <c r="A843" s="155">
        <v>44926</v>
      </c>
      <c r="B843" t="s">
        <v>349</v>
      </c>
      <c r="C843" t="s">
        <v>8</v>
      </c>
      <c r="D843">
        <v>2022</v>
      </c>
      <c r="E843" t="s">
        <v>302</v>
      </c>
      <c r="F843" t="s">
        <v>114</v>
      </c>
      <c r="G843" t="s">
        <v>192</v>
      </c>
      <c r="H843">
        <v>1</v>
      </c>
      <c r="I843">
        <v>42</v>
      </c>
      <c r="J843">
        <v>29.4</v>
      </c>
      <c r="K843">
        <v>0</v>
      </c>
      <c r="L843">
        <v>12.6</v>
      </c>
      <c r="M843" t="s">
        <v>193</v>
      </c>
      <c r="N843">
        <v>18.55</v>
      </c>
      <c r="O843">
        <v>42</v>
      </c>
      <c r="P843">
        <v>12.6</v>
      </c>
      <c r="Q843">
        <v>15.55</v>
      </c>
    </row>
    <row r="844" spans="1:17">
      <c r="A844" s="155">
        <v>44926</v>
      </c>
      <c r="B844" t="s">
        <v>353</v>
      </c>
      <c r="C844" t="s">
        <v>8</v>
      </c>
      <c r="D844">
        <v>2022</v>
      </c>
      <c r="E844" t="s">
        <v>302</v>
      </c>
      <c r="F844" t="s">
        <v>114</v>
      </c>
      <c r="G844" t="s">
        <v>192</v>
      </c>
      <c r="H844">
        <v>1</v>
      </c>
      <c r="I844">
        <v>18.55</v>
      </c>
      <c r="J844">
        <v>3</v>
      </c>
      <c r="K844">
        <v>0</v>
      </c>
      <c r="L844">
        <v>15.55</v>
      </c>
      <c r="M844" t="s">
        <v>193</v>
      </c>
      <c r="N844">
        <v>18.55</v>
      </c>
      <c r="O844">
        <v>42</v>
      </c>
      <c r="P844">
        <v>12.6</v>
      </c>
      <c r="Q844">
        <v>15.55</v>
      </c>
    </row>
    <row r="845" spans="1:17">
      <c r="A845" s="155">
        <v>44926</v>
      </c>
      <c r="B845" t="s">
        <v>355</v>
      </c>
      <c r="C845" t="s">
        <v>8</v>
      </c>
      <c r="D845">
        <v>2022</v>
      </c>
      <c r="E845" t="s">
        <v>302</v>
      </c>
      <c r="F845" t="s">
        <v>114</v>
      </c>
      <c r="G845" t="s">
        <v>192</v>
      </c>
      <c r="H845">
        <v>1</v>
      </c>
      <c r="I845">
        <v>42</v>
      </c>
      <c r="J845">
        <v>29.4</v>
      </c>
      <c r="K845">
        <v>0</v>
      </c>
      <c r="L845">
        <v>12.6</v>
      </c>
      <c r="M845" t="s">
        <v>193</v>
      </c>
      <c r="N845">
        <v>18.55</v>
      </c>
      <c r="O845">
        <v>42</v>
      </c>
      <c r="P845">
        <v>12.6</v>
      </c>
      <c r="Q845">
        <v>15.55</v>
      </c>
    </row>
    <row r="846" spans="1:17">
      <c r="A846" s="155">
        <v>44926</v>
      </c>
      <c r="B846" t="s">
        <v>346</v>
      </c>
      <c r="C846" t="s">
        <v>8</v>
      </c>
      <c r="D846">
        <v>2022</v>
      </c>
      <c r="E846" t="s">
        <v>303</v>
      </c>
      <c r="F846" t="s">
        <v>114</v>
      </c>
      <c r="G846" t="s">
        <v>192</v>
      </c>
      <c r="H846">
        <v>1</v>
      </c>
      <c r="I846">
        <v>50</v>
      </c>
      <c r="J846">
        <v>32</v>
      </c>
      <c r="K846">
        <v>0</v>
      </c>
      <c r="L846">
        <v>18</v>
      </c>
      <c r="M846" t="s">
        <v>193</v>
      </c>
      <c r="N846">
        <v>50</v>
      </c>
      <c r="O846">
        <v>50</v>
      </c>
      <c r="P846">
        <v>18</v>
      </c>
      <c r="Q846">
        <v>18</v>
      </c>
    </row>
    <row r="847" spans="1:17">
      <c r="A847" s="155">
        <v>44926</v>
      </c>
      <c r="B847" t="s">
        <v>352</v>
      </c>
      <c r="C847" t="s">
        <v>8</v>
      </c>
      <c r="D847">
        <v>2022</v>
      </c>
      <c r="E847" t="s">
        <v>303</v>
      </c>
      <c r="F847" t="s">
        <v>114</v>
      </c>
      <c r="G847" t="s">
        <v>192</v>
      </c>
      <c r="H847">
        <v>1</v>
      </c>
      <c r="I847">
        <v>50</v>
      </c>
      <c r="J847">
        <v>32</v>
      </c>
      <c r="K847">
        <v>0</v>
      </c>
      <c r="L847">
        <v>18</v>
      </c>
      <c r="M847" t="s">
        <v>193</v>
      </c>
      <c r="N847">
        <v>50</v>
      </c>
      <c r="O847">
        <v>50</v>
      </c>
      <c r="P847">
        <v>18</v>
      </c>
      <c r="Q847">
        <v>18</v>
      </c>
    </row>
    <row r="848" spans="1:17">
      <c r="A848" s="155">
        <v>44926</v>
      </c>
      <c r="B848" t="s">
        <v>346</v>
      </c>
      <c r="C848" t="s">
        <v>8</v>
      </c>
      <c r="D848">
        <v>2022</v>
      </c>
      <c r="E848" t="s">
        <v>306</v>
      </c>
      <c r="F848" t="s">
        <v>114</v>
      </c>
      <c r="G848" t="s">
        <v>192</v>
      </c>
      <c r="H848">
        <v>2</v>
      </c>
      <c r="I848">
        <v>0</v>
      </c>
      <c r="J848">
        <v>0</v>
      </c>
      <c r="K848">
        <v>0</v>
      </c>
      <c r="L848">
        <v>0</v>
      </c>
      <c r="M848" t="s">
        <v>193</v>
      </c>
      <c r="N848">
        <v>-44.51</v>
      </c>
      <c r="O848">
        <v>44.51</v>
      </c>
      <c r="P848">
        <v>-15.58</v>
      </c>
      <c r="Q848">
        <v>15.58</v>
      </c>
    </row>
    <row r="849" spans="1:17">
      <c r="A849" s="155">
        <v>44926</v>
      </c>
      <c r="B849" t="s">
        <v>352</v>
      </c>
      <c r="C849" t="s">
        <v>8</v>
      </c>
      <c r="D849">
        <v>2022</v>
      </c>
      <c r="E849" t="s">
        <v>306</v>
      </c>
      <c r="F849" t="s">
        <v>114</v>
      </c>
      <c r="G849" t="s">
        <v>192</v>
      </c>
      <c r="H849">
        <v>2</v>
      </c>
      <c r="I849">
        <v>0</v>
      </c>
      <c r="J849">
        <v>0</v>
      </c>
      <c r="K849">
        <v>0</v>
      </c>
      <c r="L849">
        <v>0</v>
      </c>
      <c r="M849" t="s">
        <v>193</v>
      </c>
      <c r="N849">
        <v>-44.51</v>
      </c>
      <c r="O849">
        <v>44.51</v>
      </c>
      <c r="P849">
        <v>-15.58</v>
      </c>
      <c r="Q849">
        <v>15.58</v>
      </c>
    </row>
    <row r="850" spans="1:17">
      <c r="A850" s="155">
        <v>44926</v>
      </c>
      <c r="B850" t="s">
        <v>346</v>
      </c>
      <c r="C850" t="s">
        <v>8</v>
      </c>
      <c r="D850">
        <v>2022</v>
      </c>
      <c r="E850" t="s">
        <v>307</v>
      </c>
      <c r="F850" t="s">
        <v>114</v>
      </c>
      <c r="G850" t="s">
        <v>192</v>
      </c>
      <c r="H850">
        <v>2</v>
      </c>
      <c r="I850">
        <v>0</v>
      </c>
      <c r="J850">
        <v>0</v>
      </c>
      <c r="K850">
        <v>0</v>
      </c>
      <c r="L850">
        <v>0</v>
      </c>
      <c r="M850" t="s">
        <v>193</v>
      </c>
      <c r="N850">
        <v>-110.74</v>
      </c>
      <c r="O850">
        <v>110.74</v>
      </c>
      <c r="P850">
        <v>-38.76</v>
      </c>
      <c r="Q850">
        <v>38.76</v>
      </c>
    </row>
    <row r="851" spans="1:17">
      <c r="A851" s="155">
        <v>44926</v>
      </c>
      <c r="B851" t="s">
        <v>352</v>
      </c>
      <c r="C851" t="s">
        <v>8</v>
      </c>
      <c r="D851">
        <v>2022</v>
      </c>
      <c r="E851" t="s">
        <v>307</v>
      </c>
      <c r="F851" t="s">
        <v>114</v>
      </c>
      <c r="G851" t="s">
        <v>192</v>
      </c>
      <c r="H851">
        <v>2</v>
      </c>
      <c r="I851">
        <v>0</v>
      </c>
      <c r="J851">
        <v>0</v>
      </c>
      <c r="K851">
        <v>0</v>
      </c>
      <c r="L851">
        <v>0</v>
      </c>
      <c r="M851" t="s">
        <v>193</v>
      </c>
      <c r="N851">
        <v>-110.74</v>
      </c>
      <c r="O851">
        <v>110.74</v>
      </c>
      <c r="P851">
        <v>-38.76</v>
      </c>
      <c r="Q851">
        <v>38.76</v>
      </c>
    </row>
    <row r="852" spans="1:17">
      <c r="A852" s="155">
        <v>44926</v>
      </c>
      <c r="B852" t="s">
        <v>346</v>
      </c>
      <c r="C852" t="s">
        <v>8</v>
      </c>
      <c r="D852">
        <v>2022</v>
      </c>
      <c r="E852" t="s">
        <v>308</v>
      </c>
      <c r="F852" t="s">
        <v>114</v>
      </c>
      <c r="G852" t="s">
        <v>192</v>
      </c>
      <c r="H852">
        <v>2</v>
      </c>
      <c r="I852">
        <v>0</v>
      </c>
      <c r="J852">
        <v>0</v>
      </c>
      <c r="K852">
        <v>0</v>
      </c>
      <c r="L852">
        <v>0</v>
      </c>
      <c r="M852" t="s">
        <v>193</v>
      </c>
      <c r="N852">
        <v>-221.64</v>
      </c>
      <c r="O852">
        <v>221.64</v>
      </c>
      <c r="P852">
        <v>-77.569999999999993</v>
      </c>
      <c r="Q852">
        <v>77.569999999999993</v>
      </c>
    </row>
    <row r="853" spans="1:17">
      <c r="A853" s="155">
        <v>44926</v>
      </c>
      <c r="B853" t="s">
        <v>352</v>
      </c>
      <c r="C853" t="s">
        <v>8</v>
      </c>
      <c r="D853">
        <v>2022</v>
      </c>
      <c r="E853" t="s">
        <v>308</v>
      </c>
      <c r="F853" t="s">
        <v>114</v>
      </c>
      <c r="G853" t="s">
        <v>192</v>
      </c>
      <c r="H853">
        <v>2</v>
      </c>
      <c r="I853">
        <v>0</v>
      </c>
      <c r="J853">
        <v>0</v>
      </c>
      <c r="K853">
        <v>0</v>
      </c>
      <c r="L853">
        <v>0</v>
      </c>
      <c r="M853" t="s">
        <v>193</v>
      </c>
      <c r="N853">
        <v>-221.64</v>
      </c>
      <c r="O853">
        <v>221.64</v>
      </c>
      <c r="P853">
        <v>-77.569999999999993</v>
      </c>
      <c r="Q853">
        <v>77.569999999999993</v>
      </c>
    </row>
    <row r="854" spans="1:17">
      <c r="A854" s="155">
        <v>44926</v>
      </c>
      <c r="B854" t="s">
        <v>347</v>
      </c>
      <c r="C854" t="s">
        <v>8</v>
      </c>
      <c r="D854">
        <v>2022</v>
      </c>
      <c r="E854" t="s">
        <v>309</v>
      </c>
      <c r="F854" t="s">
        <v>114</v>
      </c>
      <c r="G854" t="s">
        <v>192</v>
      </c>
      <c r="H854">
        <v>14</v>
      </c>
      <c r="I854">
        <v>127.4</v>
      </c>
      <c r="J854">
        <v>101.92</v>
      </c>
      <c r="K854">
        <v>0</v>
      </c>
      <c r="L854">
        <v>25.48</v>
      </c>
      <c r="M854" t="s">
        <v>193</v>
      </c>
      <c r="N854">
        <v>9.1</v>
      </c>
      <c r="O854">
        <v>9.1</v>
      </c>
      <c r="P854">
        <v>1.82</v>
      </c>
      <c r="Q854">
        <v>1.82</v>
      </c>
    </row>
    <row r="855" spans="1:17">
      <c r="A855" s="155">
        <v>44926</v>
      </c>
      <c r="B855" t="s">
        <v>353</v>
      </c>
      <c r="C855" t="s">
        <v>8</v>
      </c>
      <c r="D855">
        <v>2022</v>
      </c>
      <c r="E855" t="s">
        <v>309</v>
      </c>
      <c r="F855" t="s">
        <v>114</v>
      </c>
      <c r="G855" t="s">
        <v>192</v>
      </c>
      <c r="H855">
        <v>14</v>
      </c>
      <c r="I855">
        <v>127.4</v>
      </c>
      <c r="J855">
        <v>101.92</v>
      </c>
      <c r="K855">
        <v>0</v>
      </c>
      <c r="L855">
        <v>25.48</v>
      </c>
      <c r="M855" t="s">
        <v>193</v>
      </c>
      <c r="N855">
        <v>9.1</v>
      </c>
      <c r="O855">
        <v>9.1</v>
      </c>
      <c r="P855">
        <v>1.82</v>
      </c>
      <c r="Q855">
        <v>1.82</v>
      </c>
    </row>
    <row r="856" spans="1:17">
      <c r="A856" s="155">
        <v>44926</v>
      </c>
      <c r="B856" t="s">
        <v>346</v>
      </c>
      <c r="C856" t="s">
        <v>8</v>
      </c>
      <c r="D856">
        <v>2022</v>
      </c>
      <c r="E856" t="s">
        <v>118</v>
      </c>
      <c r="F856" t="s">
        <v>114</v>
      </c>
      <c r="G856" t="s">
        <v>192</v>
      </c>
      <c r="H856">
        <v>1838</v>
      </c>
      <c r="I856">
        <v>79704.840000000229</v>
      </c>
      <c r="J856">
        <v>44951.089999999669</v>
      </c>
      <c r="K856">
        <v>1469.3200000000002</v>
      </c>
      <c r="L856">
        <v>19939.46000000001</v>
      </c>
      <c r="M856" t="s">
        <v>193</v>
      </c>
      <c r="N856">
        <v>-120</v>
      </c>
      <c r="O856">
        <v>379.42</v>
      </c>
      <c r="P856">
        <v>-48.06</v>
      </c>
      <c r="Q856">
        <v>136.37</v>
      </c>
    </row>
    <row r="857" spans="1:17">
      <c r="A857" s="155">
        <v>44926</v>
      </c>
      <c r="B857" t="s">
        <v>347</v>
      </c>
      <c r="C857" t="s">
        <v>8</v>
      </c>
      <c r="D857">
        <v>2022</v>
      </c>
      <c r="E857" t="s">
        <v>118</v>
      </c>
      <c r="F857" t="s">
        <v>114</v>
      </c>
      <c r="G857" t="s">
        <v>192</v>
      </c>
      <c r="H857">
        <v>944</v>
      </c>
      <c r="I857">
        <v>37270.450000000019</v>
      </c>
      <c r="J857">
        <v>21397.099999999962</v>
      </c>
      <c r="K857">
        <v>96.25</v>
      </c>
      <c r="L857">
        <v>9173.8999999999724</v>
      </c>
      <c r="M857" t="s">
        <v>193</v>
      </c>
      <c r="N857">
        <v>-120</v>
      </c>
      <c r="O857">
        <v>379.42</v>
      </c>
      <c r="P857">
        <v>-48.06</v>
      </c>
      <c r="Q857">
        <v>136.37</v>
      </c>
    </row>
    <row r="858" spans="1:17">
      <c r="A858" s="155">
        <v>44926</v>
      </c>
      <c r="B858" t="s">
        <v>348</v>
      </c>
      <c r="C858" t="s">
        <v>8</v>
      </c>
      <c r="D858">
        <v>2022</v>
      </c>
      <c r="E858" t="s">
        <v>118</v>
      </c>
      <c r="F858" t="s">
        <v>114</v>
      </c>
      <c r="G858" t="s">
        <v>192</v>
      </c>
      <c r="H858">
        <v>19</v>
      </c>
      <c r="I858">
        <v>1209.25</v>
      </c>
      <c r="J858">
        <v>540.52</v>
      </c>
      <c r="K858">
        <v>386.2</v>
      </c>
      <c r="L858">
        <v>280.71000000000004</v>
      </c>
      <c r="M858" t="s">
        <v>193</v>
      </c>
      <c r="N858">
        <v>-120</v>
      </c>
      <c r="O858">
        <v>379.42</v>
      </c>
      <c r="P858">
        <v>-48.06</v>
      </c>
      <c r="Q858">
        <v>136.37</v>
      </c>
    </row>
    <row r="859" spans="1:17">
      <c r="A859" s="155">
        <v>44926</v>
      </c>
      <c r="B859" t="s">
        <v>349</v>
      </c>
      <c r="C859" t="s">
        <v>8</v>
      </c>
      <c r="D859">
        <v>2022</v>
      </c>
      <c r="E859" t="s">
        <v>118</v>
      </c>
      <c r="F859" t="s">
        <v>114</v>
      </c>
      <c r="G859" t="s">
        <v>192</v>
      </c>
      <c r="H859">
        <v>720</v>
      </c>
      <c r="I859">
        <v>33023.209999999992</v>
      </c>
      <c r="J859">
        <v>19651.049999999937</v>
      </c>
      <c r="K859">
        <v>0</v>
      </c>
      <c r="L859">
        <v>11961.609999999993</v>
      </c>
      <c r="M859" t="s">
        <v>193</v>
      </c>
      <c r="N859">
        <v>-120</v>
      </c>
      <c r="O859">
        <v>379.42</v>
      </c>
      <c r="P859">
        <v>-48.06</v>
      </c>
      <c r="Q859">
        <v>136.37</v>
      </c>
    </row>
    <row r="860" spans="1:17">
      <c r="A860" s="155">
        <v>44926</v>
      </c>
      <c r="B860" t="s">
        <v>350</v>
      </c>
      <c r="C860" t="s">
        <v>8</v>
      </c>
      <c r="D860">
        <v>2022</v>
      </c>
      <c r="E860" t="s">
        <v>118</v>
      </c>
      <c r="F860" t="s">
        <v>114</v>
      </c>
      <c r="G860" t="s">
        <v>192</v>
      </c>
      <c r="H860">
        <v>668</v>
      </c>
      <c r="I860">
        <v>41132.399999999972</v>
      </c>
      <c r="J860">
        <v>19005.249999999953</v>
      </c>
      <c r="K860">
        <v>3660.2600000000016</v>
      </c>
      <c r="L860">
        <v>16056.949999999997</v>
      </c>
      <c r="M860" t="s">
        <v>193</v>
      </c>
      <c r="N860">
        <v>-120</v>
      </c>
      <c r="O860">
        <v>379.42</v>
      </c>
      <c r="P860">
        <v>-48.06</v>
      </c>
      <c r="Q860">
        <v>136.37</v>
      </c>
    </row>
    <row r="861" spans="1:17">
      <c r="A861" s="155">
        <v>44926</v>
      </c>
      <c r="B861" t="s">
        <v>351</v>
      </c>
      <c r="C861" t="s">
        <v>8</v>
      </c>
      <c r="D861">
        <v>2022</v>
      </c>
      <c r="E861" t="s">
        <v>118</v>
      </c>
      <c r="F861" t="s">
        <v>114</v>
      </c>
      <c r="G861" t="s">
        <v>192</v>
      </c>
      <c r="H861">
        <v>13</v>
      </c>
      <c r="I861">
        <v>31.920000000000019</v>
      </c>
      <c r="J861">
        <v>22.339999999999996</v>
      </c>
      <c r="K861">
        <v>0</v>
      </c>
      <c r="L861">
        <v>9.5799999999999983</v>
      </c>
      <c r="M861" t="s">
        <v>193</v>
      </c>
      <c r="N861">
        <v>-120</v>
      </c>
      <c r="O861">
        <v>379.42</v>
      </c>
      <c r="P861">
        <v>-48.06</v>
      </c>
      <c r="Q861">
        <v>136.37</v>
      </c>
    </row>
    <row r="862" spans="1:17">
      <c r="A862" s="155">
        <v>44926</v>
      </c>
      <c r="B862" t="s">
        <v>369</v>
      </c>
      <c r="C862" t="s">
        <v>8</v>
      </c>
      <c r="D862">
        <v>2022</v>
      </c>
      <c r="E862" t="s">
        <v>118</v>
      </c>
      <c r="F862" t="s">
        <v>114</v>
      </c>
      <c r="G862" t="s">
        <v>192</v>
      </c>
      <c r="H862">
        <v>3</v>
      </c>
      <c r="I862">
        <v>130.72</v>
      </c>
      <c r="J862">
        <v>91.5</v>
      </c>
      <c r="K862">
        <v>0</v>
      </c>
      <c r="L862">
        <v>39.22</v>
      </c>
      <c r="M862" t="s">
        <v>193</v>
      </c>
      <c r="N862">
        <v>-120</v>
      </c>
      <c r="O862">
        <v>379.42</v>
      </c>
      <c r="P862">
        <v>-48.06</v>
      </c>
      <c r="Q862">
        <v>136.37</v>
      </c>
    </row>
    <row r="863" spans="1:17">
      <c r="A863" s="155">
        <v>44926</v>
      </c>
      <c r="B863" t="s">
        <v>360</v>
      </c>
      <c r="C863" t="s">
        <v>8</v>
      </c>
      <c r="D863">
        <v>2022</v>
      </c>
      <c r="E863" t="s">
        <v>118</v>
      </c>
      <c r="F863" t="s">
        <v>114</v>
      </c>
      <c r="G863" t="s">
        <v>192</v>
      </c>
      <c r="H863">
        <v>2</v>
      </c>
      <c r="I863">
        <v>106.47</v>
      </c>
      <c r="J863">
        <v>74.53</v>
      </c>
      <c r="K863">
        <v>0</v>
      </c>
      <c r="L863">
        <v>31.939999999999998</v>
      </c>
      <c r="M863" t="s">
        <v>193</v>
      </c>
      <c r="N863">
        <v>-120</v>
      </c>
      <c r="O863">
        <v>379.42</v>
      </c>
      <c r="P863">
        <v>-48.06</v>
      </c>
      <c r="Q863">
        <v>136.37</v>
      </c>
    </row>
    <row r="864" spans="1:17">
      <c r="A864" s="155">
        <v>44926</v>
      </c>
      <c r="B864" t="s">
        <v>361</v>
      </c>
      <c r="C864" t="s">
        <v>8</v>
      </c>
      <c r="D864">
        <v>2022</v>
      </c>
      <c r="E864" t="s">
        <v>118</v>
      </c>
      <c r="F864" t="s">
        <v>114</v>
      </c>
      <c r="G864" t="s">
        <v>192</v>
      </c>
      <c r="H864">
        <v>46</v>
      </c>
      <c r="I864">
        <v>1855.7600000000002</v>
      </c>
      <c r="J864">
        <v>1233.6800000000003</v>
      </c>
      <c r="K864">
        <v>0</v>
      </c>
      <c r="L864">
        <v>622.08000000000015</v>
      </c>
      <c r="M864" t="s">
        <v>193</v>
      </c>
      <c r="N864">
        <v>-120</v>
      </c>
      <c r="O864">
        <v>379.42</v>
      </c>
      <c r="P864">
        <v>-48.06</v>
      </c>
      <c r="Q864">
        <v>136.37</v>
      </c>
    </row>
    <row r="865" spans="1:17">
      <c r="A865" s="155">
        <v>44926</v>
      </c>
      <c r="B865" t="s">
        <v>365</v>
      </c>
      <c r="C865" t="s">
        <v>8</v>
      </c>
      <c r="D865">
        <v>2022</v>
      </c>
      <c r="E865" t="s">
        <v>118</v>
      </c>
      <c r="F865" t="s">
        <v>114</v>
      </c>
      <c r="G865" t="s">
        <v>192</v>
      </c>
      <c r="H865">
        <v>4</v>
      </c>
      <c r="I865">
        <v>186.39</v>
      </c>
      <c r="J865">
        <v>140.74</v>
      </c>
      <c r="K865">
        <v>0</v>
      </c>
      <c r="L865">
        <v>15.650000000000002</v>
      </c>
      <c r="M865" t="s">
        <v>193</v>
      </c>
      <c r="N865">
        <v>-120</v>
      </c>
      <c r="O865">
        <v>379.42</v>
      </c>
      <c r="P865">
        <v>-48.06</v>
      </c>
      <c r="Q865">
        <v>136.37</v>
      </c>
    </row>
    <row r="866" spans="1:17">
      <c r="A866" s="155">
        <v>44926</v>
      </c>
      <c r="B866" t="s">
        <v>176</v>
      </c>
      <c r="C866" t="s">
        <v>8</v>
      </c>
      <c r="D866">
        <v>2022</v>
      </c>
      <c r="E866" t="s">
        <v>118</v>
      </c>
      <c r="F866" t="s">
        <v>114</v>
      </c>
      <c r="G866" t="s">
        <v>192</v>
      </c>
      <c r="H866">
        <v>4</v>
      </c>
      <c r="I866">
        <v>67.88</v>
      </c>
      <c r="J866">
        <v>47.519999999999996</v>
      </c>
      <c r="K866">
        <v>0</v>
      </c>
      <c r="L866">
        <v>20.36</v>
      </c>
      <c r="M866" t="s">
        <v>193</v>
      </c>
      <c r="N866">
        <v>-120</v>
      </c>
      <c r="O866">
        <v>379.42</v>
      </c>
      <c r="P866">
        <v>-48.06</v>
      </c>
      <c r="Q866">
        <v>136.37</v>
      </c>
    </row>
    <row r="867" spans="1:17">
      <c r="A867" s="155">
        <v>44926</v>
      </c>
      <c r="B867" t="s">
        <v>352</v>
      </c>
      <c r="C867" t="s">
        <v>8</v>
      </c>
      <c r="D867">
        <v>2022</v>
      </c>
      <c r="E867" t="s">
        <v>118</v>
      </c>
      <c r="F867" t="s">
        <v>114</v>
      </c>
      <c r="G867" t="s">
        <v>192</v>
      </c>
      <c r="H867">
        <v>1838</v>
      </c>
      <c r="I867">
        <v>79704.840000000026</v>
      </c>
      <c r="J867">
        <v>44951.089999999669</v>
      </c>
      <c r="K867">
        <v>1469.32</v>
      </c>
      <c r="L867">
        <v>19939.459999999988</v>
      </c>
      <c r="M867" t="s">
        <v>193</v>
      </c>
      <c r="N867">
        <v>-120</v>
      </c>
      <c r="O867">
        <v>379.42</v>
      </c>
      <c r="P867">
        <v>-48.06</v>
      </c>
      <c r="Q867">
        <v>136.37</v>
      </c>
    </row>
    <row r="868" spans="1:17">
      <c r="A868" s="155">
        <v>44926</v>
      </c>
      <c r="B868" t="s">
        <v>353</v>
      </c>
      <c r="C868" t="s">
        <v>8</v>
      </c>
      <c r="D868">
        <v>2022</v>
      </c>
      <c r="E868" t="s">
        <v>118</v>
      </c>
      <c r="F868" t="s">
        <v>114</v>
      </c>
      <c r="G868" t="s">
        <v>192</v>
      </c>
      <c r="H868">
        <v>944</v>
      </c>
      <c r="I868">
        <v>37270.450000000077</v>
      </c>
      <c r="J868">
        <v>21397.099999999922</v>
      </c>
      <c r="K868">
        <v>96.25</v>
      </c>
      <c r="L868">
        <v>9173.899999999976</v>
      </c>
      <c r="M868" t="s">
        <v>193</v>
      </c>
      <c r="N868">
        <v>-120</v>
      </c>
      <c r="O868">
        <v>379.42</v>
      </c>
      <c r="P868">
        <v>-48.06</v>
      </c>
      <c r="Q868">
        <v>136.37</v>
      </c>
    </row>
    <row r="869" spans="1:17">
      <c r="A869" s="155">
        <v>44926</v>
      </c>
      <c r="B869" t="s">
        <v>354</v>
      </c>
      <c r="C869" t="s">
        <v>8</v>
      </c>
      <c r="D869">
        <v>2022</v>
      </c>
      <c r="E869" t="s">
        <v>118</v>
      </c>
      <c r="F869" t="s">
        <v>114</v>
      </c>
      <c r="G869" t="s">
        <v>192</v>
      </c>
      <c r="H869">
        <v>19</v>
      </c>
      <c r="I869">
        <v>1209.25</v>
      </c>
      <c r="J869">
        <v>540.5200000000001</v>
      </c>
      <c r="K869">
        <v>386.2</v>
      </c>
      <c r="L869">
        <v>280.71000000000004</v>
      </c>
      <c r="M869" t="s">
        <v>193</v>
      </c>
      <c r="N869">
        <v>-120</v>
      </c>
      <c r="O869">
        <v>379.42</v>
      </c>
      <c r="P869">
        <v>-48.06</v>
      </c>
      <c r="Q869">
        <v>136.37</v>
      </c>
    </row>
    <row r="870" spans="1:17">
      <c r="A870" s="155">
        <v>44926</v>
      </c>
      <c r="B870" t="s">
        <v>355</v>
      </c>
      <c r="C870" t="s">
        <v>8</v>
      </c>
      <c r="D870">
        <v>2022</v>
      </c>
      <c r="E870" t="s">
        <v>118</v>
      </c>
      <c r="F870" t="s">
        <v>114</v>
      </c>
      <c r="G870" t="s">
        <v>192</v>
      </c>
      <c r="H870">
        <v>720</v>
      </c>
      <c r="I870">
        <v>33023.21</v>
      </c>
      <c r="J870">
        <v>19651.049999999945</v>
      </c>
      <c r="K870">
        <v>0</v>
      </c>
      <c r="L870">
        <v>11961.609999999997</v>
      </c>
      <c r="M870" t="s">
        <v>193</v>
      </c>
      <c r="N870">
        <v>-120</v>
      </c>
      <c r="O870">
        <v>379.42</v>
      </c>
      <c r="P870">
        <v>-48.06</v>
      </c>
      <c r="Q870">
        <v>136.37</v>
      </c>
    </row>
    <row r="871" spans="1:17">
      <c r="A871" s="155">
        <v>44926</v>
      </c>
      <c r="B871" t="s">
        <v>356</v>
      </c>
      <c r="C871" t="s">
        <v>8</v>
      </c>
      <c r="D871">
        <v>2022</v>
      </c>
      <c r="E871" t="s">
        <v>118</v>
      </c>
      <c r="F871" t="s">
        <v>114</v>
      </c>
      <c r="G871" t="s">
        <v>192</v>
      </c>
      <c r="H871">
        <v>668</v>
      </c>
      <c r="I871">
        <v>41132.399999999987</v>
      </c>
      <c r="J871">
        <v>19005.249999999949</v>
      </c>
      <c r="K871">
        <v>3660.2599999999998</v>
      </c>
      <c r="L871">
        <v>16056.950000000003</v>
      </c>
      <c r="M871" t="s">
        <v>193</v>
      </c>
      <c r="N871">
        <v>-120</v>
      </c>
      <c r="O871">
        <v>379.42</v>
      </c>
      <c r="P871">
        <v>-48.06</v>
      </c>
      <c r="Q871">
        <v>136.37</v>
      </c>
    </row>
    <row r="872" spans="1:17">
      <c r="A872" s="155">
        <v>44926</v>
      </c>
      <c r="B872" t="s">
        <v>357</v>
      </c>
      <c r="C872" t="s">
        <v>8</v>
      </c>
      <c r="D872">
        <v>2022</v>
      </c>
      <c r="E872" t="s">
        <v>118</v>
      </c>
      <c r="F872" t="s">
        <v>114</v>
      </c>
      <c r="G872" t="s">
        <v>192</v>
      </c>
      <c r="H872">
        <v>13</v>
      </c>
      <c r="I872">
        <v>31.91999999999998</v>
      </c>
      <c r="J872">
        <v>22.339999999999996</v>
      </c>
      <c r="K872">
        <v>0</v>
      </c>
      <c r="L872">
        <v>9.5800000000000018</v>
      </c>
      <c r="M872" t="s">
        <v>193</v>
      </c>
      <c r="N872">
        <v>-120</v>
      </c>
      <c r="O872">
        <v>379.42</v>
      </c>
      <c r="P872">
        <v>-48.06</v>
      </c>
      <c r="Q872">
        <v>136.37</v>
      </c>
    </row>
    <row r="873" spans="1:17">
      <c r="A873" s="155">
        <v>44926</v>
      </c>
      <c r="B873" t="s">
        <v>377</v>
      </c>
      <c r="C873" t="s">
        <v>8</v>
      </c>
      <c r="D873">
        <v>2022</v>
      </c>
      <c r="E873" t="s">
        <v>118</v>
      </c>
      <c r="F873" t="s">
        <v>114</v>
      </c>
      <c r="G873" t="s">
        <v>192</v>
      </c>
      <c r="H873">
        <v>3</v>
      </c>
      <c r="I873">
        <v>130.72</v>
      </c>
      <c r="J873">
        <v>91.5</v>
      </c>
      <c r="K873">
        <v>0</v>
      </c>
      <c r="L873">
        <v>39.22</v>
      </c>
      <c r="M873" t="s">
        <v>193</v>
      </c>
      <c r="N873">
        <v>-120</v>
      </c>
      <c r="O873">
        <v>379.42</v>
      </c>
      <c r="P873">
        <v>-48.06</v>
      </c>
      <c r="Q873">
        <v>136.37</v>
      </c>
    </row>
    <row r="874" spans="1:17">
      <c r="A874" s="155">
        <v>44926</v>
      </c>
      <c r="B874" t="s">
        <v>363</v>
      </c>
      <c r="C874" t="s">
        <v>8</v>
      </c>
      <c r="D874">
        <v>2022</v>
      </c>
      <c r="E874" t="s">
        <v>118</v>
      </c>
      <c r="F874" t="s">
        <v>114</v>
      </c>
      <c r="G874" t="s">
        <v>192</v>
      </c>
      <c r="H874">
        <v>2</v>
      </c>
      <c r="I874">
        <v>106.47</v>
      </c>
      <c r="J874">
        <v>74.53</v>
      </c>
      <c r="K874">
        <v>0</v>
      </c>
      <c r="L874">
        <v>31.939999999999998</v>
      </c>
      <c r="M874" t="s">
        <v>193</v>
      </c>
      <c r="N874">
        <v>-120</v>
      </c>
      <c r="O874">
        <v>379.42</v>
      </c>
      <c r="P874">
        <v>-48.06</v>
      </c>
      <c r="Q874">
        <v>136.37</v>
      </c>
    </row>
    <row r="875" spans="1:17">
      <c r="A875" s="155">
        <v>44926</v>
      </c>
      <c r="B875" t="s">
        <v>366</v>
      </c>
      <c r="C875" t="s">
        <v>8</v>
      </c>
      <c r="D875">
        <v>2022</v>
      </c>
      <c r="E875" t="s">
        <v>118</v>
      </c>
      <c r="F875" t="s">
        <v>114</v>
      </c>
      <c r="G875" t="s">
        <v>192</v>
      </c>
      <c r="H875">
        <v>4</v>
      </c>
      <c r="I875">
        <v>186.39000000000001</v>
      </c>
      <c r="J875">
        <v>140.74</v>
      </c>
      <c r="K875">
        <v>0</v>
      </c>
      <c r="L875">
        <v>15.65</v>
      </c>
      <c r="M875" t="s">
        <v>193</v>
      </c>
      <c r="N875">
        <v>-120</v>
      </c>
      <c r="O875">
        <v>379.42</v>
      </c>
      <c r="P875">
        <v>-48.06</v>
      </c>
      <c r="Q875">
        <v>136.37</v>
      </c>
    </row>
    <row r="876" spans="1:17">
      <c r="A876" s="155">
        <v>44926</v>
      </c>
      <c r="B876" t="s">
        <v>364</v>
      </c>
      <c r="C876" t="s">
        <v>8</v>
      </c>
      <c r="D876">
        <v>2022</v>
      </c>
      <c r="E876" t="s">
        <v>118</v>
      </c>
      <c r="F876" t="s">
        <v>114</v>
      </c>
      <c r="G876" t="s">
        <v>192</v>
      </c>
      <c r="H876">
        <v>46</v>
      </c>
      <c r="I876">
        <v>1855.7600000000002</v>
      </c>
      <c r="J876">
        <v>1233.6800000000003</v>
      </c>
      <c r="K876">
        <v>0</v>
      </c>
      <c r="L876">
        <v>622.08000000000004</v>
      </c>
      <c r="M876" t="s">
        <v>193</v>
      </c>
      <c r="N876">
        <v>-120</v>
      </c>
      <c r="O876">
        <v>379.42</v>
      </c>
      <c r="P876">
        <v>-48.06</v>
      </c>
      <c r="Q876">
        <v>136.37</v>
      </c>
    </row>
    <row r="877" spans="1:17">
      <c r="A877" s="155">
        <v>44926</v>
      </c>
      <c r="B877" t="s">
        <v>358</v>
      </c>
      <c r="C877" t="s">
        <v>8</v>
      </c>
      <c r="D877">
        <v>2022</v>
      </c>
      <c r="E877" t="s">
        <v>118</v>
      </c>
      <c r="F877" t="s">
        <v>114</v>
      </c>
      <c r="G877" t="s">
        <v>192</v>
      </c>
      <c r="H877">
        <v>4</v>
      </c>
      <c r="I877">
        <v>67.88000000000001</v>
      </c>
      <c r="J877">
        <v>47.52000000000001</v>
      </c>
      <c r="K877">
        <v>0</v>
      </c>
      <c r="L877">
        <v>20.36</v>
      </c>
      <c r="M877" t="s">
        <v>193</v>
      </c>
      <c r="N877">
        <v>-120</v>
      </c>
      <c r="O877">
        <v>379.42</v>
      </c>
      <c r="P877">
        <v>-48.06</v>
      </c>
      <c r="Q877">
        <v>136.37</v>
      </c>
    </row>
    <row r="878" spans="1:17">
      <c r="A878" s="155">
        <v>44926</v>
      </c>
      <c r="B878" t="s">
        <v>347</v>
      </c>
      <c r="C878" t="s">
        <v>8</v>
      </c>
      <c r="D878">
        <v>2022</v>
      </c>
      <c r="E878" t="s">
        <v>310</v>
      </c>
      <c r="F878" t="s">
        <v>114</v>
      </c>
      <c r="G878" t="s">
        <v>192</v>
      </c>
      <c r="H878">
        <v>10</v>
      </c>
      <c r="I878">
        <v>40.4</v>
      </c>
      <c r="J878">
        <v>24.200000000000003</v>
      </c>
      <c r="K878">
        <v>0</v>
      </c>
      <c r="L878">
        <v>16.200000000000006</v>
      </c>
      <c r="M878" t="s">
        <v>193</v>
      </c>
      <c r="N878">
        <v>4.04</v>
      </c>
      <c r="O878">
        <v>4.04</v>
      </c>
      <c r="P878">
        <v>1.62</v>
      </c>
      <c r="Q878">
        <v>1.62</v>
      </c>
    </row>
    <row r="879" spans="1:17">
      <c r="A879" s="155">
        <v>44926</v>
      </c>
      <c r="B879" t="s">
        <v>353</v>
      </c>
      <c r="C879" t="s">
        <v>8</v>
      </c>
      <c r="D879">
        <v>2022</v>
      </c>
      <c r="E879" t="s">
        <v>310</v>
      </c>
      <c r="F879" t="s">
        <v>114</v>
      </c>
      <c r="G879" t="s">
        <v>192</v>
      </c>
      <c r="H879">
        <v>10</v>
      </c>
      <c r="I879">
        <v>40.4</v>
      </c>
      <c r="J879">
        <v>24.200000000000003</v>
      </c>
      <c r="K879">
        <v>0</v>
      </c>
      <c r="L879">
        <v>16.200000000000006</v>
      </c>
      <c r="M879" t="s">
        <v>193</v>
      </c>
      <c r="N879">
        <v>4.04</v>
      </c>
      <c r="O879">
        <v>4.04</v>
      </c>
      <c r="P879">
        <v>1.62</v>
      </c>
      <c r="Q879">
        <v>1.62</v>
      </c>
    </row>
    <row r="880" spans="1:17">
      <c r="A880" s="155">
        <v>44926</v>
      </c>
      <c r="B880" t="s">
        <v>346</v>
      </c>
      <c r="C880" t="s">
        <v>8</v>
      </c>
      <c r="D880">
        <v>2022</v>
      </c>
      <c r="E880" t="s">
        <v>311</v>
      </c>
      <c r="F880" t="s">
        <v>114</v>
      </c>
      <c r="G880" t="s">
        <v>192</v>
      </c>
      <c r="H880">
        <v>1</v>
      </c>
      <c r="I880">
        <v>51.5</v>
      </c>
      <c r="J880">
        <v>36.049999999999997</v>
      </c>
      <c r="K880">
        <v>0</v>
      </c>
      <c r="L880">
        <v>15.45</v>
      </c>
      <c r="M880" t="s">
        <v>193</v>
      </c>
      <c r="N880">
        <v>51.5</v>
      </c>
      <c r="O880">
        <v>51.5</v>
      </c>
      <c r="P880">
        <v>15.45</v>
      </c>
      <c r="Q880">
        <v>15.45</v>
      </c>
    </row>
    <row r="881" spans="1:17">
      <c r="A881" s="155">
        <v>44926</v>
      </c>
      <c r="B881" t="s">
        <v>350</v>
      </c>
      <c r="C881" t="s">
        <v>8</v>
      </c>
      <c r="D881">
        <v>2022</v>
      </c>
      <c r="E881" t="s">
        <v>311</v>
      </c>
      <c r="F881" t="s">
        <v>114</v>
      </c>
      <c r="G881" t="s">
        <v>192</v>
      </c>
      <c r="H881">
        <v>1</v>
      </c>
      <c r="I881">
        <v>51.5</v>
      </c>
      <c r="J881">
        <v>36.049999999999997</v>
      </c>
      <c r="K881">
        <v>0</v>
      </c>
      <c r="L881">
        <v>15.45</v>
      </c>
      <c r="M881" t="s">
        <v>193</v>
      </c>
      <c r="N881">
        <v>51.5</v>
      </c>
      <c r="O881">
        <v>51.5</v>
      </c>
      <c r="P881">
        <v>15.45</v>
      </c>
      <c r="Q881">
        <v>15.45</v>
      </c>
    </row>
    <row r="882" spans="1:17">
      <c r="A882" s="155">
        <v>44926</v>
      </c>
      <c r="B882" t="s">
        <v>352</v>
      </c>
      <c r="C882" t="s">
        <v>8</v>
      </c>
      <c r="D882">
        <v>2022</v>
      </c>
      <c r="E882" t="s">
        <v>311</v>
      </c>
      <c r="F882" t="s">
        <v>114</v>
      </c>
      <c r="G882" t="s">
        <v>192</v>
      </c>
      <c r="H882">
        <v>1</v>
      </c>
      <c r="I882">
        <v>51.5</v>
      </c>
      <c r="J882">
        <v>36.049999999999997</v>
      </c>
      <c r="K882">
        <v>0</v>
      </c>
      <c r="L882">
        <v>15.45</v>
      </c>
      <c r="M882" t="s">
        <v>193</v>
      </c>
      <c r="N882">
        <v>51.5</v>
      </c>
      <c r="O882">
        <v>51.5</v>
      </c>
      <c r="P882">
        <v>15.45</v>
      </c>
      <c r="Q882">
        <v>15.45</v>
      </c>
    </row>
    <row r="883" spans="1:17">
      <c r="A883" s="155">
        <v>44926</v>
      </c>
      <c r="B883" t="s">
        <v>356</v>
      </c>
      <c r="C883" t="s">
        <v>8</v>
      </c>
      <c r="D883">
        <v>2022</v>
      </c>
      <c r="E883" t="s">
        <v>311</v>
      </c>
      <c r="F883" t="s">
        <v>114</v>
      </c>
      <c r="G883" t="s">
        <v>192</v>
      </c>
      <c r="H883">
        <v>1</v>
      </c>
      <c r="I883">
        <v>51.5</v>
      </c>
      <c r="J883">
        <v>36.049999999999997</v>
      </c>
      <c r="K883">
        <v>0</v>
      </c>
      <c r="L883">
        <v>15.45</v>
      </c>
      <c r="M883" t="s">
        <v>193</v>
      </c>
      <c r="N883">
        <v>51.5</v>
      </c>
      <c r="O883">
        <v>51.5</v>
      </c>
      <c r="P883">
        <v>15.45</v>
      </c>
      <c r="Q883">
        <v>15.45</v>
      </c>
    </row>
    <row r="884" spans="1:17">
      <c r="A884" s="155">
        <v>44926</v>
      </c>
      <c r="B884" t="s">
        <v>346</v>
      </c>
      <c r="C884" t="s">
        <v>8</v>
      </c>
      <c r="D884">
        <v>2022</v>
      </c>
      <c r="E884" t="s">
        <v>312</v>
      </c>
      <c r="F884" t="s">
        <v>114</v>
      </c>
      <c r="G884" t="s">
        <v>192</v>
      </c>
      <c r="H884">
        <v>1</v>
      </c>
      <c r="I884">
        <v>3</v>
      </c>
      <c r="J884">
        <v>2.1</v>
      </c>
      <c r="K884">
        <v>0</v>
      </c>
      <c r="L884">
        <v>0.9</v>
      </c>
      <c r="M884" t="s">
        <v>193</v>
      </c>
      <c r="N884">
        <v>3</v>
      </c>
      <c r="O884">
        <v>3</v>
      </c>
      <c r="P884">
        <v>0.9</v>
      </c>
      <c r="Q884">
        <v>0.9</v>
      </c>
    </row>
    <row r="885" spans="1:17">
      <c r="A885" s="155">
        <v>44926</v>
      </c>
      <c r="B885" t="s">
        <v>352</v>
      </c>
      <c r="C885" t="s">
        <v>8</v>
      </c>
      <c r="D885">
        <v>2022</v>
      </c>
      <c r="E885" t="s">
        <v>312</v>
      </c>
      <c r="F885" t="s">
        <v>114</v>
      </c>
      <c r="G885" t="s">
        <v>192</v>
      </c>
      <c r="H885">
        <v>1</v>
      </c>
      <c r="I885">
        <v>3</v>
      </c>
      <c r="J885">
        <v>2.1</v>
      </c>
      <c r="K885">
        <v>0</v>
      </c>
      <c r="L885">
        <v>0.9</v>
      </c>
      <c r="M885" t="s">
        <v>193</v>
      </c>
      <c r="N885">
        <v>3</v>
      </c>
      <c r="O885">
        <v>3</v>
      </c>
      <c r="P885">
        <v>0.9</v>
      </c>
      <c r="Q885">
        <v>0.9</v>
      </c>
    </row>
    <row r="886" spans="1:17">
      <c r="A886" s="155">
        <v>44926</v>
      </c>
      <c r="B886" t="s">
        <v>346</v>
      </c>
      <c r="C886" t="s">
        <v>8</v>
      </c>
      <c r="D886">
        <v>2022</v>
      </c>
      <c r="E886" t="s">
        <v>119</v>
      </c>
      <c r="F886" t="s">
        <v>114</v>
      </c>
      <c r="G886" t="s">
        <v>192</v>
      </c>
      <c r="H886">
        <v>30934</v>
      </c>
      <c r="I886">
        <v>184247.88000000521</v>
      </c>
      <c r="J886">
        <v>99203.660000007789</v>
      </c>
      <c r="K886">
        <v>1292.0099999999998</v>
      </c>
      <c r="L886">
        <v>77512.490000000704</v>
      </c>
      <c r="M886" t="s">
        <v>193</v>
      </c>
      <c r="N886">
        <v>-540</v>
      </c>
      <c r="O886">
        <v>2630.1</v>
      </c>
      <c r="P886">
        <v>-378</v>
      </c>
      <c r="Q886">
        <v>1134</v>
      </c>
    </row>
    <row r="887" spans="1:17">
      <c r="A887" s="155">
        <v>44926</v>
      </c>
      <c r="B887" t="s">
        <v>347</v>
      </c>
      <c r="C887" t="s">
        <v>8</v>
      </c>
      <c r="D887">
        <v>2022</v>
      </c>
      <c r="E887" t="s">
        <v>119</v>
      </c>
      <c r="F887" t="s">
        <v>114</v>
      </c>
      <c r="G887" t="s">
        <v>192</v>
      </c>
      <c r="H887">
        <v>18341</v>
      </c>
      <c r="I887">
        <v>107129.36999999962</v>
      </c>
      <c r="J887">
        <v>57531.370000003946</v>
      </c>
      <c r="K887">
        <v>617.1700000000003</v>
      </c>
      <c r="L887">
        <v>44270.070000000756</v>
      </c>
      <c r="M887" t="s">
        <v>193</v>
      </c>
      <c r="N887">
        <v>-540</v>
      </c>
      <c r="O887">
        <v>2630.1</v>
      </c>
      <c r="P887">
        <v>-378</v>
      </c>
      <c r="Q887">
        <v>1134</v>
      </c>
    </row>
    <row r="888" spans="1:17">
      <c r="A888" s="155">
        <v>44926</v>
      </c>
      <c r="B888" t="s">
        <v>359</v>
      </c>
      <c r="C888" t="s">
        <v>8</v>
      </c>
      <c r="D888">
        <v>2022</v>
      </c>
      <c r="E888" t="s">
        <v>119</v>
      </c>
      <c r="F888" t="s">
        <v>114</v>
      </c>
      <c r="G888" t="s">
        <v>192</v>
      </c>
      <c r="H888">
        <v>5275</v>
      </c>
      <c r="I888">
        <v>28993.700000000008</v>
      </c>
      <c r="J888">
        <v>16978.569999999898</v>
      </c>
      <c r="K888">
        <v>0</v>
      </c>
      <c r="L888">
        <v>11978.610000000102</v>
      </c>
      <c r="M888" t="s">
        <v>193</v>
      </c>
      <c r="N888">
        <v>-540</v>
      </c>
      <c r="O888">
        <v>2630.1</v>
      </c>
      <c r="P888">
        <v>-378</v>
      </c>
      <c r="Q888">
        <v>1134</v>
      </c>
    </row>
    <row r="889" spans="1:17">
      <c r="A889" s="155">
        <v>44926</v>
      </c>
      <c r="B889" t="s">
        <v>367</v>
      </c>
      <c r="C889" t="s">
        <v>8</v>
      </c>
      <c r="D889">
        <v>2022</v>
      </c>
      <c r="E889" t="s">
        <v>119</v>
      </c>
      <c r="F889" t="s">
        <v>114</v>
      </c>
      <c r="G889" t="s">
        <v>192</v>
      </c>
      <c r="H889">
        <v>266</v>
      </c>
      <c r="I889">
        <v>1415.8399999999983</v>
      </c>
      <c r="J889">
        <v>805.41999999999962</v>
      </c>
      <c r="K889">
        <v>0</v>
      </c>
      <c r="L889">
        <v>608.45000000000061</v>
      </c>
      <c r="M889" t="s">
        <v>193</v>
      </c>
      <c r="N889">
        <v>-540</v>
      </c>
      <c r="O889">
        <v>2630.1</v>
      </c>
      <c r="P889">
        <v>-378</v>
      </c>
      <c r="Q889">
        <v>1134</v>
      </c>
    </row>
    <row r="890" spans="1:17">
      <c r="A890" s="155">
        <v>44926</v>
      </c>
      <c r="B890" t="s">
        <v>348</v>
      </c>
      <c r="C890" t="s">
        <v>8</v>
      </c>
      <c r="D890">
        <v>2022</v>
      </c>
      <c r="E890" t="s">
        <v>119</v>
      </c>
      <c r="F890" t="s">
        <v>114</v>
      </c>
      <c r="G890" t="s">
        <v>192</v>
      </c>
      <c r="H890">
        <v>1061</v>
      </c>
      <c r="I890">
        <v>4397.3000000000193</v>
      </c>
      <c r="J890">
        <v>2490.029999999992</v>
      </c>
      <c r="K890">
        <v>0</v>
      </c>
      <c r="L890">
        <v>1884.2700000000004</v>
      </c>
      <c r="M890" t="s">
        <v>193</v>
      </c>
      <c r="N890">
        <v>-540</v>
      </c>
      <c r="O890">
        <v>2630.1</v>
      </c>
      <c r="P890">
        <v>-378</v>
      </c>
      <c r="Q890">
        <v>1134</v>
      </c>
    </row>
    <row r="891" spans="1:17">
      <c r="A891" s="155">
        <v>44926</v>
      </c>
      <c r="B891" t="s">
        <v>349</v>
      </c>
      <c r="C891" t="s">
        <v>8</v>
      </c>
      <c r="D891">
        <v>2022</v>
      </c>
      <c r="E891" t="s">
        <v>119</v>
      </c>
      <c r="F891" t="s">
        <v>114</v>
      </c>
      <c r="G891" t="s">
        <v>192</v>
      </c>
      <c r="H891">
        <v>11570</v>
      </c>
      <c r="I891">
        <v>71108.620000000636</v>
      </c>
      <c r="J891">
        <v>38521.460000000043</v>
      </c>
      <c r="K891">
        <v>150.32999999999998</v>
      </c>
      <c r="L891">
        <v>30432.390000000381</v>
      </c>
      <c r="M891" t="s">
        <v>193</v>
      </c>
      <c r="N891">
        <v>-540</v>
      </c>
      <c r="O891">
        <v>2630.1</v>
      </c>
      <c r="P891">
        <v>-378</v>
      </c>
      <c r="Q891">
        <v>1134</v>
      </c>
    </row>
    <row r="892" spans="1:17">
      <c r="A892" s="155">
        <v>44926</v>
      </c>
      <c r="B892" t="s">
        <v>350</v>
      </c>
      <c r="C892" t="s">
        <v>8</v>
      </c>
      <c r="D892">
        <v>2022</v>
      </c>
      <c r="E892" t="s">
        <v>119</v>
      </c>
      <c r="F892" t="s">
        <v>114</v>
      </c>
      <c r="G892" t="s">
        <v>192</v>
      </c>
      <c r="H892">
        <v>9343</v>
      </c>
      <c r="I892">
        <v>76988.700000000827</v>
      </c>
      <c r="J892">
        <v>42800.640000000523</v>
      </c>
      <c r="K892">
        <v>0</v>
      </c>
      <c r="L892">
        <v>33159.68000000024</v>
      </c>
      <c r="M892" t="s">
        <v>193</v>
      </c>
      <c r="N892">
        <v>-540</v>
      </c>
      <c r="O892">
        <v>2630.1</v>
      </c>
      <c r="P892">
        <v>-378</v>
      </c>
      <c r="Q892">
        <v>1134</v>
      </c>
    </row>
    <row r="893" spans="1:17">
      <c r="A893" s="155">
        <v>44926</v>
      </c>
      <c r="B893" t="s">
        <v>351</v>
      </c>
      <c r="C893" t="s">
        <v>8</v>
      </c>
      <c r="D893">
        <v>2022</v>
      </c>
      <c r="E893" t="s">
        <v>119</v>
      </c>
      <c r="F893" t="s">
        <v>114</v>
      </c>
      <c r="G893" t="s">
        <v>192</v>
      </c>
      <c r="H893">
        <v>10706</v>
      </c>
      <c r="I893">
        <v>39059.339999998912</v>
      </c>
      <c r="J893">
        <v>21861.880000001081</v>
      </c>
      <c r="K893">
        <v>0</v>
      </c>
      <c r="L893">
        <v>17173.670000000482</v>
      </c>
      <c r="M893" t="s">
        <v>193</v>
      </c>
      <c r="N893">
        <v>-540</v>
      </c>
      <c r="O893">
        <v>2630.1</v>
      </c>
      <c r="P893">
        <v>-378</v>
      </c>
      <c r="Q893">
        <v>1134</v>
      </c>
    </row>
    <row r="894" spans="1:17">
      <c r="A894" s="155">
        <v>44926</v>
      </c>
      <c r="B894" t="s">
        <v>368</v>
      </c>
      <c r="C894" t="s">
        <v>8</v>
      </c>
      <c r="D894">
        <v>2022</v>
      </c>
      <c r="E894" t="s">
        <v>119</v>
      </c>
      <c r="F894" t="s">
        <v>114</v>
      </c>
      <c r="G894" t="s">
        <v>192</v>
      </c>
      <c r="H894">
        <v>97</v>
      </c>
      <c r="I894">
        <v>349.74999999999994</v>
      </c>
      <c r="J894">
        <v>306.08999999999986</v>
      </c>
      <c r="K894">
        <v>0</v>
      </c>
      <c r="L894">
        <v>43.660000000000011</v>
      </c>
      <c r="M894" t="s">
        <v>193</v>
      </c>
      <c r="N894">
        <v>-540</v>
      </c>
      <c r="O894">
        <v>2630.1</v>
      </c>
      <c r="P894">
        <v>-378</v>
      </c>
      <c r="Q894">
        <v>1134</v>
      </c>
    </row>
    <row r="895" spans="1:17">
      <c r="A895" s="155">
        <v>44926</v>
      </c>
      <c r="B895" t="s">
        <v>369</v>
      </c>
      <c r="C895" t="s">
        <v>8</v>
      </c>
      <c r="D895">
        <v>2022</v>
      </c>
      <c r="E895" t="s">
        <v>119</v>
      </c>
      <c r="F895" t="s">
        <v>114</v>
      </c>
      <c r="G895" t="s">
        <v>192</v>
      </c>
      <c r="H895">
        <v>9981</v>
      </c>
      <c r="I895">
        <v>39366.169999999358</v>
      </c>
      <c r="J895">
        <v>22296.670000000835</v>
      </c>
      <c r="K895">
        <v>14.42</v>
      </c>
      <c r="L895">
        <v>16597.930000000353</v>
      </c>
      <c r="M895" t="s">
        <v>193</v>
      </c>
      <c r="N895">
        <v>-540</v>
      </c>
      <c r="O895">
        <v>2630.1</v>
      </c>
      <c r="P895">
        <v>-378</v>
      </c>
      <c r="Q895">
        <v>1134</v>
      </c>
    </row>
    <row r="896" spans="1:17">
      <c r="A896" s="155">
        <v>44926</v>
      </c>
      <c r="B896" t="s">
        <v>370</v>
      </c>
      <c r="C896" t="s">
        <v>8</v>
      </c>
      <c r="D896">
        <v>2022</v>
      </c>
      <c r="E896" t="s">
        <v>119</v>
      </c>
      <c r="F896" t="s">
        <v>114</v>
      </c>
      <c r="G896" t="s">
        <v>192</v>
      </c>
      <c r="H896">
        <v>15</v>
      </c>
      <c r="I896">
        <v>54.5</v>
      </c>
      <c r="J896">
        <v>47.720000000000006</v>
      </c>
      <c r="K896">
        <v>0</v>
      </c>
      <c r="L896">
        <v>6.7799999999999994</v>
      </c>
      <c r="M896" t="s">
        <v>193</v>
      </c>
      <c r="N896">
        <v>-540</v>
      </c>
      <c r="O896">
        <v>2630.1</v>
      </c>
      <c r="P896">
        <v>-378</v>
      </c>
      <c r="Q896">
        <v>1134</v>
      </c>
    </row>
    <row r="897" spans="1:17">
      <c r="A897" s="155">
        <v>44926</v>
      </c>
      <c r="B897" t="s">
        <v>360</v>
      </c>
      <c r="C897" t="s">
        <v>8</v>
      </c>
      <c r="D897">
        <v>2022</v>
      </c>
      <c r="E897" t="s">
        <v>119</v>
      </c>
      <c r="F897" t="s">
        <v>114</v>
      </c>
      <c r="G897" t="s">
        <v>192</v>
      </c>
      <c r="H897">
        <v>11751</v>
      </c>
      <c r="I897">
        <v>58195.969999998291</v>
      </c>
      <c r="J897">
        <v>30579.99000000177</v>
      </c>
      <c r="K897">
        <v>0</v>
      </c>
      <c r="L897">
        <v>27271.140000000552</v>
      </c>
      <c r="M897" t="s">
        <v>193</v>
      </c>
      <c r="N897">
        <v>-540</v>
      </c>
      <c r="O897">
        <v>2630.1</v>
      </c>
      <c r="P897">
        <v>-378</v>
      </c>
      <c r="Q897">
        <v>1134</v>
      </c>
    </row>
    <row r="898" spans="1:17">
      <c r="A898" s="155">
        <v>44926</v>
      </c>
      <c r="B898" t="s">
        <v>371</v>
      </c>
      <c r="C898" t="s">
        <v>8</v>
      </c>
      <c r="D898">
        <v>2022</v>
      </c>
      <c r="E898" t="s">
        <v>119</v>
      </c>
      <c r="F898" t="s">
        <v>114</v>
      </c>
      <c r="G898" t="s">
        <v>192</v>
      </c>
      <c r="H898">
        <v>376</v>
      </c>
      <c r="I898">
        <v>1291.3099999999981</v>
      </c>
      <c r="J898">
        <v>1087.9500000000012</v>
      </c>
      <c r="K898">
        <v>0</v>
      </c>
      <c r="L898">
        <v>203.3599999999997</v>
      </c>
      <c r="M898" t="s">
        <v>193</v>
      </c>
      <c r="N898">
        <v>-540</v>
      </c>
      <c r="O898">
        <v>2630.1</v>
      </c>
      <c r="P898">
        <v>-378</v>
      </c>
      <c r="Q898">
        <v>1134</v>
      </c>
    </row>
    <row r="899" spans="1:17">
      <c r="A899" s="155">
        <v>44926</v>
      </c>
      <c r="B899" t="s">
        <v>361</v>
      </c>
      <c r="C899" t="s">
        <v>8</v>
      </c>
      <c r="D899">
        <v>2022</v>
      </c>
      <c r="E899" t="s">
        <v>119</v>
      </c>
      <c r="F899" t="s">
        <v>114</v>
      </c>
      <c r="G899" t="s">
        <v>192</v>
      </c>
      <c r="H899">
        <v>22155</v>
      </c>
      <c r="I899">
        <v>85682.879999997313</v>
      </c>
      <c r="J899">
        <v>48864.810000009282</v>
      </c>
      <c r="K899">
        <v>0</v>
      </c>
      <c r="L899">
        <v>36544.100000001541</v>
      </c>
      <c r="M899" t="s">
        <v>193</v>
      </c>
      <c r="N899">
        <v>-540</v>
      </c>
      <c r="O899">
        <v>2630.1</v>
      </c>
      <c r="P899">
        <v>-378</v>
      </c>
      <c r="Q899">
        <v>1134</v>
      </c>
    </row>
    <row r="900" spans="1:17">
      <c r="A900" s="155">
        <v>44926</v>
      </c>
      <c r="B900" t="s">
        <v>365</v>
      </c>
      <c r="C900" t="s">
        <v>8</v>
      </c>
      <c r="D900">
        <v>2022</v>
      </c>
      <c r="E900" t="s">
        <v>119</v>
      </c>
      <c r="F900" t="s">
        <v>114</v>
      </c>
      <c r="G900" t="s">
        <v>192</v>
      </c>
      <c r="H900">
        <v>301</v>
      </c>
      <c r="I900">
        <v>1040.5199999999988</v>
      </c>
      <c r="J900">
        <v>868.22000000000037</v>
      </c>
      <c r="K900">
        <v>0</v>
      </c>
      <c r="L900">
        <v>172.29999999999998</v>
      </c>
      <c r="M900" t="s">
        <v>193</v>
      </c>
      <c r="N900">
        <v>-540</v>
      </c>
      <c r="O900">
        <v>2630.1</v>
      </c>
      <c r="P900">
        <v>-378</v>
      </c>
      <c r="Q900">
        <v>1134</v>
      </c>
    </row>
    <row r="901" spans="1:17">
      <c r="A901" s="155">
        <v>44926</v>
      </c>
      <c r="B901" t="s">
        <v>176</v>
      </c>
      <c r="C901" t="s">
        <v>8</v>
      </c>
      <c r="D901">
        <v>2022</v>
      </c>
      <c r="E901" t="s">
        <v>119</v>
      </c>
      <c r="F901" t="s">
        <v>114</v>
      </c>
      <c r="G901" t="s">
        <v>192</v>
      </c>
      <c r="H901">
        <v>34618</v>
      </c>
      <c r="I901">
        <v>168067.09999999838</v>
      </c>
      <c r="J901">
        <v>94437.950000025114</v>
      </c>
      <c r="K901">
        <v>0</v>
      </c>
      <c r="L901">
        <v>73116.010000001042</v>
      </c>
      <c r="M901" t="s">
        <v>193</v>
      </c>
      <c r="N901">
        <v>-540</v>
      </c>
      <c r="O901">
        <v>2630.1</v>
      </c>
      <c r="P901">
        <v>-378</v>
      </c>
      <c r="Q901">
        <v>1134</v>
      </c>
    </row>
    <row r="902" spans="1:17">
      <c r="A902" s="155">
        <v>44926</v>
      </c>
      <c r="B902" t="s">
        <v>372</v>
      </c>
      <c r="C902" t="s">
        <v>8</v>
      </c>
      <c r="D902">
        <v>2022</v>
      </c>
      <c r="E902" t="s">
        <v>119</v>
      </c>
      <c r="F902" t="s">
        <v>114</v>
      </c>
      <c r="G902" t="s">
        <v>192</v>
      </c>
      <c r="H902">
        <v>240</v>
      </c>
      <c r="I902">
        <v>799.32999999999913</v>
      </c>
      <c r="J902">
        <v>656.37000000000012</v>
      </c>
      <c r="K902">
        <v>0</v>
      </c>
      <c r="L902">
        <v>107.72999999999992</v>
      </c>
      <c r="M902" t="s">
        <v>193</v>
      </c>
      <c r="N902">
        <v>-540</v>
      </c>
      <c r="O902">
        <v>2630.1</v>
      </c>
      <c r="P902">
        <v>-378</v>
      </c>
      <c r="Q902">
        <v>1134</v>
      </c>
    </row>
    <row r="903" spans="1:17">
      <c r="A903" s="155">
        <v>44926</v>
      </c>
      <c r="B903" t="s">
        <v>373</v>
      </c>
      <c r="C903" t="s">
        <v>8</v>
      </c>
      <c r="D903">
        <v>2022</v>
      </c>
      <c r="E903" t="s">
        <v>119</v>
      </c>
      <c r="F903" t="s">
        <v>114</v>
      </c>
      <c r="G903" t="s">
        <v>192</v>
      </c>
      <c r="H903">
        <v>394</v>
      </c>
      <c r="I903">
        <v>1461.6999999999989</v>
      </c>
      <c r="J903">
        <v>868.70000000000016</v>
      </c>
      <c r="K903">
        <v>0</v>
      </c>
      <c r="L903">
        <v>593.00000000000057</v>
      </c>
      <c r="M903" t="s">
        <v>193</v>
      </c>
      <c r="N903">
        <v>-540</v>
      </c>
      <c r="O903">
        <v>2630.1</v>
      </c>
      <c r="P903">
        <v>-378</v>
      </c>
      <c r="Q903">
        <v>1134</v>
      </c>
    </row>
    <row r="904" spans="1:17">
      <c r="A904" s="155">
        <v>44926</v>
      </c>
      <c r="B904" t="s">
        <v>352</v>
      </c>
      <c r="C904" t="s">
        <v>8</v>
      </c>
      <c r="D904">
        <v>2022</v>
      </c>
      <c r="E904" t="s">
        <v>119</v>
      </c>
      <c r="F904" t="s">
        <v>114</v>
      </c>
      <c r="G904" t="s">
        <v>192</v>
      </c>
      <c r="H904">
        <v>30934</v>
      </c>
      <c r="I904">
        <v>184247.88000000815</v>
      </c>
      <c r="J904">
        <v>99203.660000003452</v>
      </c>
      <c r="K904">
        <v>1292.0099999999998</v>
      </c>
      <c r="L904">
        <v>77512.490000000733</v>
      </c>
      <c r="M904" t="s">
        <v>193</v>
      </c>
      <c r="N904">
        <v>-540</v>
      </c>
      <c r="O904">
        <v>2630.1</v>
      </c>
      <c r="P904">
        <v>-378</v>
      </c>
      <c r="Q904">
        <v>1134</v>
      </c>
    </row>
    <row r="905" spans="1:17">
      <c r="A905" s="155">
        <v>44926</v>
      </c>
      <c r="B905" t="s">
        <v>353</v>
      </c>
      <c r="C905" t="s">
        <v>8</v>
      </c>
      <c r="D905">
        <v>2022</v>
      </c>
      <c r="E905" t="s">
        <v>119</v>
      </c>
      <c r="F905" t="s">
        <v>114</v>
      </c>
      <c r="G905" t="s">
        <v>192</v>
      </c>
      <c r="H905">
        <v>18341</v>
      </c>
      <c r="I905">
        <v>107129.37000000126</v>
      </c>
      <c r="J905">
        <v>57531.370000002695</v>
      </c>
      <c r="K905">
        <v>617.17000000000019</v>
      </c>
      <c r="L905">
        <v>44270.070000000553</v>
      </c>
      <c r="M905" t="s">
        <v>193</v>
      </c>
      <c r="N905">
        <v>-540</v>
      </c>
      <c r="O905">
        <v>2630.1</v>
      </c>
      <c r="P905">
        <v>-378</v>
      </c>
      <c r="Q905">
        <v>1134</v>
      </c>
    </row>
    <row r="906" spans="1:17">
      <c r="A906" s="155">
        <v>44926</v>
      </c>
      <c r="B906" t="s">
        <v>374</v>
      </c>
      <c r="C906" t="s">
        <v>8</v>
      </c>
      <c r="D906">
        <v>2022</v>
      </c>
      <c r="E906" t="s">
        <v>119</v>
      </c>
      <c r="F906" t="s">
        <v>114</v>
      </c>
      <c r="G906" t="s">
        <v>192</v>
      </c>
      <c r="H906">
        <v>266</v>
      </c>
      <c r="I906">
        <v>1415.8399999999979</v>
      </c>
      <c r="J906">
        <v>805.41999999999973</v>
      </c>
      <c r="K906">
        <v>0</v>
      </c>
      <c r="L906">
        <v>608.45000000000027</v>
      </c>
      <c r="M906" t="s">
        <v>193</v>
      </c>
      <c r="N906">
        <v>-540</v>
      </c>
      <c r="O906">
        <v>2630.1</v>
      </c>
      <c r="P906">
        <v>-378</v>
      </c>
      <c r="Q906">
        <v>1134</v>
      </c>
    </row>
    <row r="907" spans="1:17">
      <c r="A907" s="155">
        <v>44926</v>
      </c>
      <c r="B907" t="s">
        <v>362</v>
      </c>
      <c r="C907" t="s">
        <v>8</v>
      </c>
      <c r="D907">
        <v>2022</v>
      </c>
      <c r="E907" t="s">
        <v>119</v>
      </c>
      <c r="F907" t="s">
        <v>114</v>
      </c>
      <c r="G907" t="s">
        <v>192</v>
      </c>
      <c r="H907">
        <v>5275</v>
      </c>
      <c r="I907">
        <v>28993.7</v>
      </c>
      <c r="J907">
        <v>16978.569999999778</v>
      </c>
      <c r="K907">
        <v>0</v>
      </c>
      <c r="L907">
        <v>11978.610000000155</v>
      </c>
      <c r="M907" t="s">
        <v>193</v>
      </c>
      <c r="N907">
        <v>-540</v>
      </c>
      <c r="O907">
        <v>2630.1</v>
      </c>
      <c r="P907">
        <v>-378</v>
      </c>
      <c r="Q907">
        <v>1134</v>
      </c>
    </row>
    <row r="908" spans="1:17">
      <c r="A908" s="155">
        <v>44926</v>
      </c>
      <c r="B908" t="s">
        <v>354</v>
      </c>
      <c r="C908" t="s">
        <v>8</v>
      </c>
      <c r="D908">
        <v>2022</v>
      </c>
      <c r="E908" t="s">
        <v>119</v>
      </c>
      <c r="F908" t="s">
        <v>114</v>
      </c>
      <c r="G908" t="s">
        <v>192</v>
      </c>
      <c r="H908">
        <v>1061</v>
      </c>
      <c r="I908">
        <v>4397.3000000000202</v>
      </c>
      <c r="J908">
        <v>2490.0299999999934</v>
      </c>
      <c r="K908">
        <v>0</v>
      </c>
      <c r="L908">
        <v>1884.2699999999998</v>
      </c>
      <c r="M908" t="s">
        <v>193</v>
      </c>
      <c r="N908">
        <v>-540</v>
      </c>
      <c r="O908">
        <v>2630.1</v>
      </c>
      <c r="P908">
        <v>-378</v>
      </c>
      <c r="Q908">
        <v>1134</v>
      </c>
    </row>
    <row r="909" spans="1:17">
      <c r="A909" s="155">
        <v>44926</v>
      </c>
      <c r="B909" t="s">
        <v>355</v>
      </c>
      <c r="C909" t="s">
        <v>8</v>
      </c>
      <c r="D909">
        <v>2022</v>
      </c>
      <c r="E909" t="s">
        <v>119</v>
      </c>
      <c r="F909" t="s">
        <v>114</v>
      </c>
      <c r="G909" t="s">
        <v>192</v>
      </c>
      <c r="H909">
        <v>11570</v>
      </c>
      <c r="I909">
        <v>71108.619999999282</v>
      </c>
      <c r="J909">
        <v>38521.460000001913</v>
      </c>
      <c r="K909">
        <v>150.32999999999998</v>
      </c>
      <c r="L909">
        <v>30432.390000000461</v>
      </c>
      <c r="M909" t="s">
        <v>193</v>
      </c>
      <c r="N909">
        <v>-540</v>
      </c>
      <c r="O909">
        <v>2630.1</v>
      </c>
      <c r="P909">
        <v>-378</v>
      </c>
      <c r="Q909">
        <v>1134</v>
      </c>
    </row>
    <row r="910" spans="1:17">
      <c r="A910" s="155">
        <v>44926</v>
      </c>
      <c r="B910" t="s">
        <v>356</v>
      </c>
      <c r="C910" t="s">
        <v>8</v>
      </c>
      <c r="D910">
        <v>2022</v>
      </c>
      <c r="E910" t="s">
        <v>119</v>
      </c>
      <c r="F910" t="s">
        <v>114</v>
      </c>
      <c r="G910" t="s">
        <v>192</v>
      </c>
      <c r="H910">
        <v>9343</v>
      </c>
      <c r="I910">
        <v>76988.69999999959</v>
      </c>
      <c r="J910">
        <v>42800.640000001869</v>
      </c>
      <c r="K910">
        <v>0</v>
      </c>
      <c r="L910">
        <v>33159.680000000342</v>
      </c>
      <c r="M910" t="s">
        <v>193</v>
      </c>
      <c r="N910">
        <v>-540</v>
      </c>
      <c r="O910">
        <v>2630.1</v>
      </c>
      <c r="P910">
        <v>-378</v>
      </c>
      <c r="Q910">
        <v>1134</v>
      </c>
    </row>
    <row r="911" spans="1:17">
      <c r="A911" s="155">
        <v>44926</v>
      </c>
      <c r="B911" t="s">
        <v>375</v>
      </c>
      <c r="C911" t="s">
        <v>8</v>
      </c>
      <c r="D911">
        <v>2022</v>
      </c>
      <c r="E911" t="s">
        <v>119</v>
      </c>
      <c r="F911" t="s">
        <v>114</v>
      </c>
      <c r="G911" t="s">
        <v>192</v>
      </c>
      <c r="H911">
        <v>97</v>
      </c>
      <c r="I911">
        <v>349.75</v>
      </c>
      <c r="J911">
        <v>306.0899999999998</v>
      </c>
      <c r="K911">
        <v>0</v>
      </c>
      <c r="L911">
        <v>43.660000000000004</v>
      </c>
      <c r="M911" t="s">
        <v>193</v>
      </c>
      <c r="N911">
        <v>-540</v>
      </c>
      <c r="O911">
        <v>2630.1</v>
      </c>
      <c r="P911">
        <v>-378</v>
      </c>
      <c r="Q911">
        <v>1134</v>
      </c>
    </row>
    <row r="912" spans="1:17">
      <c r="A912" s="155">
        <v>44926</v>
      </c>
      <c r="B912" t="s">
        <v>357</v>
      </c>
      <c r="C912" t="s">
        <v>8</v>
      </c>
      <c r="D912">
        <v>2022</v>
      </c>
      <c r="E912" t="s">
        <v>119</v>
      </c>
      <c r="F912" t="s">
        <v>114</v>
      </c>
      <c r="G912" t="s">
        <v>192</v>
      </c>
      <c r="H912">
        <v>10706</v>
      </c>
      <c r="I912">
        <v>39059.339999998963</v>
      </c>
      <c r="J912">
        <v>21861.880000001096</v>
      </c>
      <c r="K912">
        <v>0</v>
      </c>
      <c r="L912">
        <v>17173.670000000478</v>
      </c>
      <c r="M912" t="s">
        <v>193</v>
      </c>
      <c r="N912">
        <v>-540</v>
      </c>
      <c r="O912">
        <v>2630.1</v>
      </c>
      <c r="P912">
        <v>-378</v>
      </c>
      <c r="Q912">
        <v>1134</v>
      </c>
    </row>
    <row r="913" spans="1:17">
      <c r="A913" s="155">
        <v>44926</v>
      </c>
      <c r="B913" t="s">
        <v>376</v>
      </c>
      <c r="C913" t="s">
        <v>8</v>
      </c>
      <c r="D913">
        <v>2022</v>
      </c>
      <c r="E913" t="s">
        <v>119</v>
      </c>
      <c r="F913" t="s">
        <v>114</v>
      </c>
      <c r="G913" t="s">
        <v>192</v>
      </c>
      <c r="H913">
        <v>15</v>
      </c>
      <c r="I913">
        <v>54.500000000000007</v>
      </c>
      <c r="J913">
        <v>47.720000000000006</v>
      </c>
      <c r="K913">
        <v>0</v>
      </c>
      <c r="L913">
        <v>6.7799999999999985</v>
      </c>
      <c r="M913" t="s">
        <v>193</v>
      </c>
      <c r="N913">
        <v>-540</v>
      </c>
      <c r="O913">
        <v>2630.1</v>
      </c>
      <c r="P913">
        <v>-378</v>
      </c>
      <c r="Q913">
        <v>1134</v>
      </c>
    </row>
    <row r="914" spans="1:17">
      <c r="A914" s="155">
        <v>44926</v>
      </c>
      <c r="B914" t="s">
        <v>377</v>
      </c>
      <c r="C914" t="s">
        <v>8</v>
      </c>
      <c r="D914">
        <v>2022</v>
      </c>
      <c r="E914" t="s">
        <v>119</v>
      </c>
      <c r="F914" t="s">
        <v>114</v>
      </c>
      <c r="G914" t="s">
        <v>192</v>
      </c>
      <c r="H914">
        <v>9981</v>
      </c>
      <c r="I914">
        <v>39366.169999999423</v>
      </c>
      <c r="J914">
        <v>22296.670000000824</v>
      </c>
      <c r="K914">
        <v>14.42</v>
      </c>
      <c r="L914">
        <v>16597.930000000346</v>
      </c>
      <c r="M914" t="s">
        <v>193</v>
      </c>
      <c r="N914">
        <v>-540</v>
      </c>
      <c r="O914">
        <v>2630.1</v>
      </c>
      <c r="P914">
        <v>-378</v>
      </c>
      <c r="Q914">
        <v>1134</v>
      </c>
    </row>
    <row r="915" spans="1:17">
      <c r="A915" s="155">
        <v>44926</v>
      </c>
      <c r="B915" t="s">
        <v>378</v>
      </c>
      <c r="C915" t="s">
        <v>8</v>
      </c>
      <c r="D915">
        <v>2022</v>
      </c>
      <c r="E915" t="s">
        <v>119</v>
      </c>
      <c r="F915" t="s">
        <v>114</v>
      </c>
      <c r="G915" t="s">
        <v>192</v>
      </c>
      <c r="H915">
        <v>376</v>
      </c>
      <c r="I915">
        <v>1291.3099999999977</v>
      </c>
      <c r="J915">
        <v>1087.9500000000019</v>
      </c>
      <c r="K915">
        <v>0</v>
      </c>
      <c r="L915">
        <v>203.35999999999987</v>
      </c>
      <c r="M915" t="s">
        <v>193</v>
      </c>
      <c r="N915">
        <v>-540</v>
      </c>
      <c r="O915">
        <v>2630.1</v>
      </c>
      <c r="P915">
        <v>-378</v>
      </c>
      <c r="Q915">
        <v>1134</v>
      </c>
    </row>
    <row r="916" spans="1:17">
      <c r="A916" s="155">
        <v>44926</v>
      </c>
      <c r="B916" t="s">
        <v>363</v>
      </c>
      <c r="C916" t="s">
        <v>8</v>
      </c>
      <c r="D916">
        <v>2022</v>
      </c>
      <c r="E916" t="s">
        <v>119</v>
      </c>
      <c r="F916" t="s">
        <v>114</v>
      </c>
      <c r="G916" t="s">
        <v>192</v>
      </c>
      <c r="H916">
        <v>11751</v>
      </c>
      <c r="I916">
        <v>58195.969999998008</v>
      </c>
      <c r="J916">
        <v>30579.990000001864</v>
      </c>
      <c r="K916">
        <v>0</v>
      </c>
      <c r="L916">
        <v>27271.140000000556</v>
      </c>
      <c r="M916" t="s">
        <v>193</v>
      </c>
      <c r="N916">
        <v>-540</v>
      </c>
      <c r="O916">
        <v>2630.1</v>
      </c>
      <c r="P916">
        <v>-378</v>
      </c>
      <c r="Q916">
        <v>1134</v>
      </c>
    </row>
    <row r="917" spans="1:17">
      <c r="A917" s="155">
        <v>44926</v>
      </c>
      <c r="B917" t="s">
        <v>366</v>
      </c>
      <c r="C917" t="s">
        <v>8</v>
      </c>
      <c r="D917">
        <v>2022</v>
      </c>
      <c r="E917" t="s">
        <v>119</v>
      </c>
      <c r="F917" t="s">
        <v>114</v>
      </c>
      <c r="G917" t="s">
        <v>192</v>
      </c>
      <c r="H917">
        <v>301</v>
      </c>
      <c r="I917">
        <v>1040.5199999999993</v>
      </c>
      <c r="J917">
        <v>868.21999999999935</v>
      </c>
      <c r="K917">
        <v>0</v>
      </c>
      <c r="L917">
        <v>172.29999999999998</v>
      </c>
      <c r="M917" t="s">
        <v>193</v>
      </c>
      <c r="N917">
        <v>-540</v>
      </c>
      <c r="O917">
        <v>2630.1</v>
      </c>
      <c r="P917">
        <v>-378</v>
      </c>
      <c r="Q917">
        <v>1134</v>
      </c>
    </row>
    <row r="918" spans="1:17">
      <c r="A918" s="155">
        <v>44926</v>
      </c>
      <c r="B918" t="s">
        <v>364</v>
      </c>
      <c r="C918" t="s">
        <v>8</v>
      </c>
      <c r="D918">
        <v>2022</v>
      </c>
      <c r="E918" t="s">
        <v>119</v>
      </c>
      <c r="F918" t="s">
        <v>114</v>
      </c>
      <c r="G918" t="s">
        <v>192</v>
      </c>
      <c r="H918">
        <v>22155</v>
      </c>
      <c r="I918">
        <v>85682.879999996338</v>
      </c>
      <c r="J918">
        <v>48864.8100000103</v>
      </c>
      <c r="K918">
        <v>0</v>
      </c>
      <c r="L918">
        <v>36544.100000001774</v>
      </c>
      <c r="M918" t="s">
        <v>193</v>
      </c>
      <c r="N918">
        <v>-540</v>
      </c>
      <c r="O918">
        <v>2630.1</v>
      </c>
      <c r="P918">
        <v>-378</v>
      </c>
      <c r="Q918">
        <v>1134</v>
      </c>
    </row>
    <row r="919" spans="1:17">
      <c r="A919" s="155">
        <v>44926</v>
      </c>
      <c r="B919" t="s">
        <v>379</v>
      </c>
      <c r="C919" t="s">
        <v>8</v>
      </c>
      <c r="D919">
        <v>2022</v>
      </c>
      <c r="E919" t="s">
        <v>119</v>
      </c>
      <c r="F919" t="s">
        <v>114</v>
      </c>
      <c r="G919" t="s">
        <v>192</v>
      </c>
      <c r="H919">
        <v>240</v>
      </c>
      <c r="I919">
        <v>799.32999999999879</v>
      </c>
      <c r="J919">
        <v>656.36999999999955</v>
      </c>
      <c r="K919">
        <v>0</v>
      </c>
      <c r="L919">
        <v>107.72999999999988</v>
      </c>
      <c r="M919" t="s">
        <v>193</v>
      </c>
      <c r="N919">
        <v>-540</v>
      </c>
      <c r="O919">
        <v>2630.1</v>
      </c>
      <c r="P919">
        <v>-378</v>
      </c>
      <c r="Q919">
        <v>1134</v>
      </c>
    </row>
    <row r="920" spans="1:17">
      <c r="A920" s="155">
        <v>44926</v>
      </c>
      <c r="B920" t="s">
        <v>358</v>
      </c>
      <c r="C920" t="s">
        <v>8</v>
      </c>
      <c r="D920">
        <v>2022</v>
      </c>
      <c r="E920" t="s">
        <v>119</v>
      </c>
      <c r="F920" t="s">
        <v>114</v>
      </c>
      <c r="G920" t="s">
        <v>192</v>
      </c>
      <c r="H920">
        <v>34618</v>
      </c>
      <c r="I920">
        <v>168067.09999999846</v>
      </c>
      <c r="J920">
        <v>94437.950000024881</v>
      </c>
      <c r="K920">
        <v>0</v>
      </c>
      <c r="L920">
        <v>73116.010000001465</v>
      </c>
      <c r="M920" t="s">
        <v>193</v>
      </c>
      <c r="N920">
        <v>-540</v>
      </c>
      <c r="O920">
        <v>2630.1</v>
      </c>
      <c r="P920">
        <v>-378</v>
      </c>
      <c r="Q920">
        <v>1134</v>
      </c>
    </row>
    <row r="921" spans="1:17">
      <c r="A921" s="155">
        <v>44926</v>
      </c>
      <c r="B921" t="s">
        <v>380</v>
      </c>
      <c r="C921" t="s">
        <v>8</v>
      </c>
      <c r="D921">
        <v>2022</v>
      </c>
      <c r="E921" t="s">
        <v>119</v>
      </c>
      <c r="F921" t="s">
        <v>114</v>
      </c>
      <c r="G921" t="s">
        <v>192</v>
      </c>
      <c r="H921">
        <v>394</v>
      </c>
      <c r="I921">
        <v>1461.6999999999987</v>
      </c>
      <c r="J921">
        <v>868.69999999999936</v>
      </c>
      <c r="K921">
        <v>0</v>
      </c>
      <c r="L921">
        <v>593.00000000000068</v>
      </c>
      <c r="M921" t="s">
        <v>193</v>
      </c>
      <c r="N921">
        <v>-540</v>
      </c>
      <c r="O921">
        <v>2630.1</v>
      </c>
      <c r="P921">
        <v>-378</v>
      </c>
      <c r="Q921">
        <v>1134</v>
      </c>
    </row>
    <row r="922" spans="1:17">
      <c r="A922" s="155">
        <v>44926</v>
      </c>
      <c r="B922" t="s">
        <v>346</v>
      </c>
      <c r="C922" t="s">
        <v>8</v>
      </c>
      <c r="D922">
        <v>2022</v>
      </c>
      <c r="E922" t="s">
        <v>314</v>
      </c>
      <c r="F922" t="s">
        <v>114</v>
      </c>
      <c r="G922" t="s">
        <v>192</v>
      </c>
      <c r="H922">
        <v>2</v>
      </c>
      <c r="I922">
        <v>4.3600000000000003</v>
      </c>
      <c r="J922">
        <v>3.48</v>
      </c>
      <c r="K922">
        <v>0</v>
      </c>
      <c r="L922">
        <v>0.88</v>
      </c>
      <c r="M922" t="s">
        <v>193</v>
      </c>
      <c r="N922">
        <v>2.1800000000000002</v>
      </c>
      <c r="O922">
        <v>2.1800000000000002</v>
      </c>
      <c r="P922">
        <v>0.44</v>
      </c>
      <c r="Q922">
        <v>0.44</v>
      </c>
    </row>
    <row r="923" spans="1:17">
      <c r="A923" s="155">
        <v>44926</v>
      </c>
      <c r="B923" t="s">
        <v>350</v>
      </c>
      <c r="C923" t="s">
        <v>8</v>
      </c>
      <c r="D923">
        <v>2022</v>
      </c>
      <c r="E923" t="s">
        <v>314</v>
      </c>
      <c r="F923" t="s">
        <v>114</v>
      </c>
      <c r="G923" t="s">
        <v>192</v>
      </c>
      <c r="H923">
        <v>1</v>
      </c>
      <c r="I923">
        <v>2.1800000000000002</v>
      </c>
      <c r="J923">
        <v>1.74</v>
      </c>
      <c r="K923">
        <v>0</v>
      </c>
      <c r="L923">
        <v>0.44</v>
      </c>
      <c r="M923" t="s">
        <v>193</v>
      </c>
      <c r="N923">
        <v>2.1800000000000002</v>
      </c>
      <c r="O923">
        <v>2.1800000000000002</v>
      </c>
      <c r="P923">
        <v>0.44</v>
      </c>
      <c r="Q923">
        <v>0.44</v>
      </c>
    </row>
    <row r="924" spans="1:17">
      <c r="A924" s="155">
        <v>44926</v>
      </c>
      <c r="B924" t="s">
        <v>352</v>
      </c>
      <c r="C924" t="s">
        <v>8</v>
      </c>
      <c r="D924">
        <v>2022</v>
      </c>
      <c r="E924" t="s">
        <v>314</v>
      </c>
      <c r="F924" t="s">
        <v>114</v>
      </c>
      <c r="G924" t="s">
        <v>192</v>
      </c>
      <c r="H924">
        <v>2</v>
      </c>
      <c r="I924">
        <v>4.3600000000000003</v>
      </c>
      <c r="J924">
        <v>3.48</v>
      </c>
      <c r="K924">
        <v>0</v>
      </c>
      <c r="L924">
        <v>0.88</v>
      </c>
      <c r="M924" t="s">
        <v>193</v>
      </c>
      <c r="N924">
        <v>2.1800000000000002</v>
      </c>
      <c r="O924">
        <v>2.1800000000000002</v>
      </c>
      <c r="P924">
        <v>0.44</v>
      </c>
      <c r="Q924">
        <v>0.44</v>
      </c>
    </row>
    <row r="925" spans="1:17">
      <c r="A925" s="155">
        <v>44926</v>
      </c>
      <c r="B925" t="s">
        <v>356</v>
      </c>
      <c r="C925" t="s">
        <v>8</v>
      </c>
      <c r="D925">
        <v>2022</v>
      </c>
      <c r="E925" t="s">
        <v>314</v>
      </c>
      <c r="F925" t="s">
        <v>114</v>
      </c>
      <c r="G925" t="s">
        <v>192</v>
      </c>
      <c r="H925">
        <v>1</v>
      </c>
      <c r="I925">
        <v>2.1800000000000002</v>
      </c>
      <c r="J925">
        <v>1.74</v>
      </c>
      <c r="K925">
        <v>0</v>
      </c>
      <c r="L925">
        <v>0.44</v>
      </c>
      <c r="M925" t="s">
        <v>193</v>
      </c>
      <c r="N925">
        <v>2.1800000000000002</v>
      </c>
      <c r="O925">
        <v>2.1800000000000002</v>
      </c>
      <c r="P925">
        <v>0.44</v>
      </c>
      <c r="Q925">
        <v>0.44</v>
      </c>
    </row>
    <row r="926" spans="1:17">
      <c r="A926" s="155">
        <v>44926</v>
      </c>
      <c r="B926" t="s">
        <v>359</v>
      </c>
      <c r="C926" t="s">
        <v>8</v>
      </c>
      <c r="D926">
        <v>2022</v>
      </c>
      <c r="E926" t="s">
        <v>267</v>
      </c>
      <c r="F926" t="s">
        <v>114</v>
      </c>
      <c r="G926" t="s">
        <v>192</v>
      </c>
      <c r="H926">
        <v>3</v>
      </c>
      <c r="I926">
        <v>110</v>
      </c>
      <c r="J926">
        <v>66</v>
      </c>
      <c r="K926">
        <v>0</v>
      </c>
      <c r="L926">
        <v>44</v>
      </c>
      <c r="M926" t="s">
        <v>193</v>
      </c>
      <c r="N926">
        <v>30</v>
      </c>
      <c r="O926">
        <v>40</v>
      </c>
      <c r="P926">
        <v>12</v>
      </c>
      <c r="Q926">
        <v>16</v>
      </c>
    </row>
    <row r="927" spans="1:17">
      <c r="A927" s="155">
        <v>44926</v>
      </c>
      <c r="B927" t="s">
        <v>351</v>
      </c>
      <c r="C927" t="s">
        <v>8</v>
      </c>
      <c r="D927">
        <v>2022</v>
      </c>
      <c r="E927" t="s">
        <v>267</v>
      </c>
      <c r="F927" t="s">
        <v>114</v>
      </c>
      <c r="G927" t="s">
        <v>192</v>
      </c>
      <c r="H927">
        <v>19</v>
      </c>
      <c r="I927">
        <v>620</v>
      </c>
      <c r="J927">
        <v>372</v>
      </c>
      <c r="K927">
        <v>0</v>
      </c>
      <c r="L927">
        <v>248</v>
      </c>
      <c r="M927" t="s">
        <v>193</v>
      </c>
      <c r="N927">
        <v>30</v>
      </c>
      <c r="O927">
        <v>40</v>
      </c>
      <c r="P927">
        <v>12</v>
      </c>
      <c r="Q927">
        <v>16</v>
      </c>
    </row>
    <row r="928" spans="1:17">
      <c r="A928" s="155">
        <v>44926</v>
      </c>
      <c r="B928" t="s">
        <v>369</v>
      </c>
      <c r="C928" t="s">
        <v>8</v>
      </c>
      <c r="D928">
        <v>2022</v>
      </c>
      <c r="E928" t="s">
        <v>267</v>
      </c>
      <c r="F928" t="s">
        <v>114</v>
      </c>
      <c r="G928" t="s">
        <v>192</v>
      </c>
      <c r="H928">
        <v>3</v>
      </c>
      <c r="I928">
        <v>110</v>
      </c>
      <c r="J928">
        <v>66</v>
      </c>
      <c r="K928">
        <v>0</v>
      </c>
      <c r="L928">
        <v>44</v>
      </c>
      <c r="M928" t="s">
        <v>193</v>
      </c>
      <c r="N928">
        <v>30</v>
      </c>
      <c r="O928">
        <v>40</v>
      </c>
      <c r="P928">
        <v>12</v>
      </c>
      <c r="Q928">
        <v>16</v>
      </c>
    </row>
    <row r="929" spans="1:17">
      <c r="A929" s="155">
        <v>44926</v>
      </c>
      <c r="B929" t="s">
        <v>360</v>
      </c>
      <c r="C929" t="s">
        <v>8</v>
      </c>
      <c r="D929">
        <v>2022</v>
      </c>
      <c r="E929" t="s">
        <v>267</v>
      </c>
      <c r="F929" t="s">
        <v>114</v>
      </c>
      <c r="G929" t="s">
        <v>192</v>
      </c>
      <c r="H929">
        <v>9</v>
      </c>
      <c r="I929">
        <v>290</v>
      </c>
      <c r="J929">
        <v>174</v>
      </c>
      <c r="K929">
        <v>0</v>
      </c>
      <c r="L929">
        <v>116</v>
      </c>
      <c r="M929" t="s">
        <v>193</v>
      </c>
      <c r="N929">
        <v>30</v>
      </c>
      <c r="O929">
        <v>40</v>
      </c>
      <c r="P929">
        <v>12</v>
      </c>
      <c r="Q929">
        <v>16</v>
      </c>
    </row>
    <row r="930" spans="1:17">
      <c r="A930" s="155">
        <v>44926</v>
      </c>
      <c r="B930" t="s">
        <v>176</v>
      </c>
      <c r="C930" t="s">
        <v>8</v>
      </c>
      <c r="D930">
        <v>2022</v>
      </c>
      <c r="E930" t="s">
        <v>267</v>
      </c>
      <c r="F930" t="s">
        <v>114</v>
      </c>
      <c r="G930" t="s">
        <v>192</v>
      </c>
      <c r="H930">
        <v>3</v>
      </c>
      <c r="I930">
        <v>110</v>
      </c>
      <c r="J930">
        <v>66</v>
      </c>
      <c r="K930">
        <v>0</v>
      </c>
      <c r="L930">
        <v>44</v>
      </c>
      <c r="M930" t="s">
        <v>193</v>
      </c>
      <c r="N930">
        <v>30</v>
      </c>
      <c r="O930">
        <v>40</v>
      </c>
      <c r="P930">
        <v>12</v>
      </c>
      <c r="Q930">
        <v>16</v>
      </c>
    </row>
    <row r="931" spans="1:17">
      <c r="A931" s="155">
        <v>44926</v>
      </c>
      <c r="B931" t="s">
        <v>362</v>
      </c>
      <c r="C931" t="s">
        <v>8</v>
      </c>
      <c r="D931">
        <v>2022</v>
      </c>
      <c r="E931" t="s">
        <v>267</v>
      </c>
      <c r="F931" t="s">
        <v>114</v>
      </c>
      <c r="G931" t="s">
        <v>192</v>
      </c>
      <c r="H931">
        <v>3</v>
      </c>
      <c r="I931">
        <v>110</v>
      </c>
      <c r="J931">
        <v>66</v>
      </c>
      <c r="K931">
        <v>0</v>
      </c>
      <c r="L931">
        <v>44</v>
      </c>
      <c r="M931" t="s">
        <v>193</v>
      </c>
      <c r="N931">
        <v>30</v>
      </c>
      <c r="O931">
        <v>40</v>
      </c>
      <c r="P931">
        <v>12</v>
      </c>
      <c r="Q931">
        <v>16</v>
      </c>
    </row>
    <row r="932" spans="1:17">
      <c r="A932" s="155">
        <v>44926</v>
      </c>
      <c r="B932" t="s">
        <v>357</v>
      </c>
      <c r="C932" t="s">
        <v>8</v>
      </c>
      <c r="D932">
        <v>2022</v>
      </c>
      <c r="E932" t="s">
        <v>267</v>
      </c>
      <c r="F932" t="s">
        <v>114</v>
      </c>
      <c r="G932" t="s">
        <v>192</v>
      </c>
      <c r="H932">
        <v>19</v>
      </c>
      <c r="I932">
        <v>620</v>
      </c>
      <c r="J932">
        <v>372</v>
      </c>
      <c r="K932">
        <v>0</v>
      </c>
      <c r="L932">
        <v>248</v>
      </c>
      <c r="M932" t="s">
        <v>193</v>
      </c>
      <c r="N932">
        <v>30</v>
      </c>
      <c r="O932">
        <v>40</v>
      </c>
      <c r="P932">
        <v>12</v>
      </c>
      <c r="Q932">
        <v>16</v>
      </c>
    </row>
    <row r="933" spans="1:17">
      <c r="A933" s="155">
        <v>44926</v>
      </c>
      <c r="B933" t="s">
        <v>377</v>
      </c>
      <c r="C933" t="s">
        <v>8</v>
      </c>
      <c r="D933">
        <v>2022</v>
      </c>
      <c r="E933" t="s">
        <v>267</v>
      </c>
      <c r="F933" t="s">
        <v>114</v>
      </c>
      <c r="G933" t="s">
        <v>192</v>
      </c>
      <c r="H933">
        <v>3</v>
      </c>
      <c r="I933">
        <v>110</v>
      </c>
      <c r="J933">
        <v>66</v>
      </c>
      <c r="K933">
        <v>0</v>
      </c>
      <c r="L933">
        <v>44</v>
      </c>
      <c r="M933" t="s">
        <v>193</v>
      </c>
      <c r="N933">
        <v>30</v>
      </c>
      <c r="O933">
        <v>40</v>
      </c>
      <c r="P933">
        <v>12</v>
      </c>
      <c r="Q933">
        <v>16</v>
      </c>
    </row>
    <row r="934" spans="1:17">
      <c r="A934" s="155">
        <v>44926</v>
      </c>
      <c r="B934" t="s">
        <v>363</v>
      </c>
      <c r="C934" t="s">
        <v>8</v>
      </c>
      <c r="D934">
        <v>2022</v>
      </c>
      <c r="E934" t="s">
        <v>267</v>
      </c>
      <c r="F934" t="s">
        <v>114</v>
      </c>
      <c r="G934" t="s">
        <v>192</v>
      </c>
      <c r="H934">
        <v>9</v>
      </c>
      <c r="I934">
        <v>290</v>
      </c>
      <c r="J934">
        <v>174</v>
      </c>
      <c r="K934">
        <v>0</v>
      </c>
      <c r="L934">
        <v>116</v>
      </c>
      <c r="M934" t="s">
        <v>193</v>
      </c>
      <c r="N934">
        <v>30</v>
      </c>
      <c r="O934">
        <v>40</v>
      </c>
      <c r="P934">
        <v>12</v>
      </c>
      <c r="Q934">
        <v>16</v>
      </c>
    </row>
    <row r="935" spans="1:17">
      <c r="A935" s="155">
        <v>44926</v>
      </c>
      <c r="B935" t="s">
        <v>358</v>
      </c>
      <c r="C935" t="s">
        <v>8</v>
      </c>
      <c r="D935">
        <v>2022</v>
      </c>
      <c r="E935" t="s">
        <v>267</v>
      </c>
      <c r="F935" t="s">
        <v>114</v>
      </c>
      <c r="G935" t="s">
        <v>192</v>
      </c>
      <c r="H935">
        <v>3</v>
      </c>
      <c r="I935">
        <v>110</v>
      </c>
      <c r="J935">
        <v>66</v>
      </c>
      <c r="K935">
        <v>0</v>
      </c>
      <c r="L935">
        <v>44</v>
      </c>
      <c r="M935" t="s">
        <v>193</v>
      </c>
      <c r="N935">
        <v>30</v>
      </c>
      <c r="O935">
        <v>40</v>
      </c>
      <c r="P935">
        <v>12</v>
      </c>
      <c r="Q935">
        <v>16</v>
      </c>
    </row>
    <row r="936" spans="1:17">
      <c r="A936" s="155">
        <v>44926</v>
      </c>
      <c r="B936" t="s">
        <v>346</v>
      </c>
      <c r="C936" t="s">
        <v>8</v>
      </c>
      <c r="D936">
        <v>2022</v>
      </c>
      <c r="E936" t="s">
        <v>120</v>
      </c>
      <c r="F936" t="s">
        <v>114</v>
      </c>
      <c r="G936" t="s">
        <v>192</v>
      </c>
      <c r="H936">
        <v>108</v>
      </c>
      <c r="I936">
        <v>2409.7800000000007</v>
      </c>
      <c r="J936">
        <v>1419.8800000000006</v>
      </c>
      <c r="K936">
        <v>0</v>
      </c>
      <c r="L936">
        <v>937.25000000000034</v>
      </c>
      <c r="M936" t="s">
        <v>193</v>
      </c>
      <c r="N936">
        <v>-22.1</v>
      </c>
      <c r="O936">
        <v>79.3</v>
      </c>
      <c r="P936">
        <v>-8.84</v>
      </c>
      <c r="Q936">
        <v>31.72</v>
      </c>
    </row>
    <row r="937" spans="1:17">
      <c r="A937" s="155">
        <v>44926</v>
      </c>
      <c r="B937" t="s">
        <v>347</v>
      </c>
      <c r="C937" t="s">
        <v>8</v>
      </c>
      <c r="D937">
        <v>2022</v>
      </c>
      <c r="E937" t="s">
        <v>120</v>
      </c>
      <c r="F937" t="s">
        <v>114</v>
      </c>
      <c r="G937" t="s">
        <v>192</v>
      </c>
      <c r="H937">
        <v>34</v>
      </c>
      <c r="I937">
        <v>778.96000000000038</v>
      </c>
      <c r="J937">
        <v>467.39999999999981</v>
      </c>
      <c r="K937">
        <v>0</v>
      </c>
      <c r="L937">
        <v>311.55999999999989</v>
      </c>
      <c r="M937" t="s">
        <v>193</v>
      </c>
      <c r="N937">
        <v>-22.1</v>
      </c>
      <c r="O937">
        <v>79.3</v>
      </c>
      <c r="P937">
        <v>-8.84</v>
      </c>
      <c r="Q937">
        <v>31.72</v>
      </c>
    </row>
    <row r="938" spans="1:17">
      <c r="A938" s="155">
        <v>44926</v>
      </c>
      <c r="B938" t="s">
        <v>349</v>
      </c>
      <c r="C938" t="s">
        <v>8</v>
      </c>
      <c r="D938">
        <v>2022</v>
      </c>
      <c r="E938" t="s">
        <v>120</v>
      </c>
      <c r="F938" t="s">
        <v>114</v>
      </c>
      <c r="G938" t="s">
        <v>192</v>
      </c>
      <c r="H938">
        <v>37</v>
      </c>
      <c r="I938">
        <v>727.27</v>
      </c>
      <c r="J938">
        <v>439.16999999999979</v>
      </c>
      <c r="K938">
        <v>0</v>
      </c>
      <c r="L938">
        <v>288.09999999999991</v>
      </c>
      <c r="M938" t="s">
        <v>193</v>
      </c>
      <c r="N938">
        <v>-22.1</v>
      </c>
      <c r="O938">
        <v>79.3</v>
      </c>
      <c r="P938">
        <v>-8.84</v>
      </c>
      <c r="Q938">
        <v>31.72</v>
      </c>
    </row>
    <row r="939" spans="1:17">
      <c r="A939" s="155">
        <v>44926</v>
      </c>
      <c r="B939" t="s">
        <v>350</v>
      </c>
      <c r="C939" t="s">
        <v>8</v>
      </c>
      <c r="D939">
        <v>2022</v>
      </c>
      <c r="E939" t="s">
        <v>120</v>
      </c>
      <c r="F939" t="s">
        <v>114</v>
      </c>
      <c r="G939" t="s">
        <v>192</v>
      </c>
      <c r="H939">
        <v>39</v>
      </c>
      <c r="I939">
        <v>978.9</v>
      </c>
      <c r="J939">
        <v>587.34999999999968</v>
      </c>
      <c r="K939">
        <v>0</v>
      </c>
      <c r="L939">
        <v>391.55000000000007</v>
      </c>
      <c r="M939" t="s">
        <v>193</v>
      </c>
      <c r="N939">
        <v>-22.1</v>
      </c>
      <c r="O939">
        <v>79.3</v>
      </c>
      <c r="P939">
        <v>-8.84</v>
      </c>
      <c r="Q939">
        <v>31.72</v>
      </c>
    </row>
    <row r="940" spans="1:17">
      <c r="A940" s="155">
        <v>44926</v>
      </c>
      <c r="B940" t="s">
        <v>360</v>
      </c>
      <c r="C940" t="s">
        <v>8</v>
      </c>
      <c r="D940">
        <v>2022</v>
      </c>
      <c r="E940" t="s">
        <v>120</v>
      </c>
      <c r="F940" t="s">
        <v>114</v>
      </c>
      <c r="G940" t="s">
        <v>192</v>
      </c>
      <c r="H940">
        <v>1</v>
      </c>
      <c r="I940">
        <v>26</v>
      </c>
      <c r="J940">
        <v>15.6</v>
      </c>
      <c r="K940">
        <v>0</v>
      </c>
      <c r="L940">
        <v>10.4</v>
      </c>
      <c r="M940" t="s">
        <v>193</v>
      </c>
      <c r="N940">
        <v>-22.1</v>
      </c>
      <c r="O940">
        <v>79.3</v>
      </c>
      <c r="P940">
        <v>-8.84</v>
      </c>
      <c r="Q940">
        <v>31.72</v>
      </c>
    </row>
    <row r="941" spans="1:17">
      <c r="A941" s="155">
        <v>44926</v>
      </c>
      <c r="B941" t="s">
        <v>361</v>
      </c>
      <c r="C941" t="s">
        <v>8</v>
      </c>
      <c r="D941">
        <v>2022</v>
      </c>
      <c r="E941" t="s">
        <v>120</v>
      </c>
      <c r="F941" t="s">
        <v>114</v>
      </c>
      <c r="G941" t="s">
        <v>192</v>
      </c>
      <c r="H941">
        <v>2</v>
      </c>
      <c r="I941">
        <v>48.88</v>
      </c>
      <c r="J941">
        <v>29.33</v>
      </c>
      <c r="K941">
        <v>0</v>
      </c>
      <c r="L941">
        <v>19.55</v>
      </c>
      <c r="M941" t="s">
        <v>193</v>
      </c>
      <c r="N941">
        <v>-22.1</v>
      </c>
      <c r="O941">
        <v>79.3</v>
      </c>
      <c r="P941">
        <v>-8.84</v>
      </c>
      <c r="Q941">
        <v>31.72</v>
      </c>
    </row>
    <row r="942" spans="1:17">
      <c r="A942" s="155">
        <v>44926</v>
      </c>
      <c r="B942" t="s">
        <v>352</v>
      </c>
      <c r="C942" t="s">
        <v>8</v>
      </c>
      <c r="D942">
        <v>2022</v>
      </c>
      <c r="E942" t="s">
        <v>120</v>
      </c>
      <c r="F942" t="s">
        <v>114</v>
      </c>
      <c r="G942" t="s">
        <v>192</v>
      </c>
      <c r="H942">
        <v>108</v>
      </c>
      <c r="I942">
        <v>2409.7800000000011</v>
      </c>
      <c r="J942">
        <v>1419.8800000000015</v>
      </c>
      <c r="K942">
        <v>0</v>
      </c>
      <c r="L942">
        <v>937.25000000000011</v>
      </c>
      <c r="M942" t="s">
        <v>193</v>
      </c>
      <c r="N942">
        <v>-22.1</v>
      </c>
      <c r="O942">
        <v>79.3</v>
      </c>
      <c r="P942">
        <v>-8.84</v>
      </c>
      <c r="Q942">
        <v>31.72</v>
      </c>
    </row>
    <row r="943" spans="1:17">
      <c r="A943" s="155">
        <v>44926</v>
      </c>
      <c r="B943" t="s">
        <v>353</v>
      </c>
      <c r="C943" t="s">
        <v>8</v>
      </c>
      <c r="D943">
        <v>2022</v>
      </c>
      <c r="E943" t="s">
        <v>120</v>
      </c>
      <c r="F943" t="s">
        <v>114</v>
      </c>
      <c r="G943" t="s">
        <v>192</v>
      </c>
      <c r="H943">
        <v>34</v>
      </c>
      <c r="I943">
        <v>778.96000000000026</v>
      </c>
      <c r="J943">
        <v>467.39999999999986</v>
      </c>
      <c r="K943">
        <v>0</v>
      </c>
      <c r="L943">
        <v>311.55999999999995</v>
      </c>
      <c r="M943" t="s">
        <v>193</v>
      </c>
      <c r="N943">
        <v>-22.1</v>
      </c>
      <c r="O943">
        <v>79.3</v>
      </c>
      <c r="P943">
        <v>-8.84</v>
      </c>
      <c r="Q943">
        <v>31.72</v>
      </c>
    </row>
    <row r="944" spans="1:17">
      <c r="A944" s="155">
        <v>44926</v>
      </c>
      <c r="B944" t="s">
        <v>355</v>
      </c>
      <c r="C944" t="s">
        <v>8</v>
      </c>
      <c r="D944">
        <v>2022</v>
      </c>
      <c r="E944" t="s">
        <v>120</v>
      </c>
      <c r="F944" t="s">
        <v>114</v>
      </c>
      <c r="G944" t="s">
        <v>192</v>
      </c>
      <c r="H944">
        <v>37</v>
      </c>
      <c r="I944">
        <v>727.27</v>
      </c>
      <c r="J944">
        <v>439.16999999999979</v>
      </c>
      <c r="K944">
        <v>0</v>
      </c>
      <c r="L944">
        <v>288.09999999999991</v>
      </c>
      <c r="M944" t="s">
        <v>193</v>
      </c>
      <c r="N944">
        <v>-22.1</v>
      </c>
      <c r="O944">
        <v>79.3</v>
      </c>
      <c r="P944">
        <v>-8.84</v>
      </c>
      <c r="Q944">
        <v>31.72</v>
      </c>
    </row>
    <row r="945" spans="1:17">
      <c r="A945" s="155">
        <v>44926</v>
      </c>
      <c r="B945" t="s">
        <v>356</v>
      </c>
      <c r="C945" t="s">
        <v>8</v>
      </c>
      <c r="D945">
        <v>2022</v>
      </c>
      <c r="E945" t="s">
        <v>120</v>
      </c>
      <c r="F945" t="s">
        <v>114</v>
      </c>
      <c r="G945" t="s">
        <v>192</v>
      </c>
      <c r="H945">
        <v>39</v>
      </c>
      <c r="I945">
        <v>978.90000000000009</v>
      </c>
      <c r="J945">
        <v>587.3499999999998</v>
      </c>
      <c r="K945">
        <v>0</v>
      </c>
      <c r="L945">
        <v>391.55000000000007</v>
      </c>
      <c r="M945" t="s">
        <v>193</v>
      </c>
      <c r="N945">
        <v>-22.1</v>
      </c>
      <c r="O945">
        <v>79.3</v>
      </c>
      <c r="P945">
        <v>-8.84</v>
      </c>
      <c r="Q945">
        <v>31.72</v>
      </c>
    </row>
    <row r="946" spans="1:17">
      <c r="A946" s="155">
        <v>44926</v>
      </c>
      <c r="B946" t="s">
        <v>363</v>
      </c>
      <c r="C946" t="s">
        <v>8</v>
      </c>
      <c r="D946">
        <v>2022</v>
      </c>
      <c r="E946" t="s">
        <v>120</v>
      </c>
      <c r="F946" t="s">
        <v>114</v>
      </c>
      <c r="G946" t="s">
        <v>192</v>
      </c>
      <c r="H946">
        <v>1</v>
      </c>
      <c r="I946">
        <v>26</v>
      </c>
      <c r="J946">
        <v>15.6</v>
      </c>
      <c r="K946">
        <v>0</v>
      </c>
      <c r="L946">
        <v>10.4</v>
      </c>
      <c r="M946" t="s">
        <v>193</v>
      </c>
      <c r="N946">
        <v>-22.1</v>
      </c>
      <c r="O946">
        <v>79.3</v>
      </c>
      <c r="P946">
        <v>-8.84</v>
      </c>
      <c r="Q946">
        <v>31.72</v>
      </c>
    </row>
    <row r="947" spans="1:17">
      <c r="A947" s="155">
        <v>44926</v>
      </c>
      <c r="B947" t="s">
        <v>364</v>
      </c>
      <c r="C947" t="s">
        <v>8</v>
      </c>
      <c r="D947">
        <v>2022</v>
      </c>
      <c r="E947" t="s">
        <v>120</v>
      </c>
      <c r="F947" t="s">
        <v>114</v>
      </c>
      <c r="G947" t="s">
        <v>192</v>
      </c>
      <c r="H947">
        <v>2</v>
      </c>
      <c r="I947">
        <v>48.88</v>
      </c>
      <c r="J947">
        <v>29.33</v>
      </c>
      <c r="K947">
        <v>0</v>
      </c>
      <c r="L947">
        <v>19.55</v>
      </c>
      <c r="M947" t="s">
        <v>193</v>
      </c>
      <c r="N947">
        <v>-22.1</v>
      </c>
      <c r="O947">
        <v>79.3</v>
      </c>
      <c r="P947">
        <v>-8.84</v>
      </c>
      <c r="Q947">
        <v>31.72</v>
      </c>
    </row>
    <row r="948" spans="1:17">
      <c r="A948" s="155">
        <v>44926</v>
      </c>
      <c r="B948" t="s">
        <v>349</v>
      </c>
      <c r="C948" t="s">
        <v>8</v>
      </c>
      <c r="D948">
        <v>2022</v>
      </c>
      <c r="E948" t="s">
        <v>316</v>
      </c>
      <c r="F948" t="s">
        <v>114</v>
      </c>
      <c r="G948" t="s">
        <v>192</v>
      </c>
      <c r="H948">
        <v>1</v>
      </c>
      <c r="I948">
        <v>12</v>
      </c>
      <c r="J948">
        <v>7.2</v>
      </c>
      <c r="K948">
        <v>0</v>
      </c>
      <c r="L948">
        <v>4.8</v>
      </c>
      <c r="M948" t="s">
        <v>193</v>
      </c>
      <c r="N948">
        <v>12</v>
      </c>
      <c r="O948">
        <v>12</v>
      </c>
      <c r="P948">
        <v>4.8</v>
      </c>
      <c r="Q948">
        <v>4.8</v>
      </c>
    </row>
    <row r="949" spans="1:17">
      <c r="A949" s="155">
        <v>44926</v>
      </c>
      <c r="B949" t="s">
        <v>355</v>
      </c>
      <c r="C949" t="s">
        <v>8</v>
      </c>
      <c r="D949">
        <v>2022</v>
      </c>
      <c r="E949" t="s">
        <v>316</v>
      </c>
      <c r="F949" t="s">
        <v>114</v>
      </c>
      <c r="G949" t="s">
        <v>192</v>
      </c>
      <c r="H949">
        <v>1</v>
      </c>
      <c r="I949">
        <v>12</v>
      </c>
      <c r="J949">
        <v>7.2</v>
      </c>
      <c r="K949">
        <v>0</v>
      </c>
      <c r="L949">
        <v>4.8</v>
      </c>
      <c r="M949" t="s">
        <v>193</v>
      </c>
      <c r="N949">
        <v>12</v>
      </c>
      <c r="O949">
        <v>12</v>
      </c>
      <c r="P949">
        <v>4.8</v>
      </c>
      <c r="Q949">
        <v>4.8</v>
      </c>
    </row>
    <row r="950" spans="1:17">
      <c r="A950" s="155">
        <v>44926</v>
      </c>
      <c r="B950" t="s">
        <v>346</v>
      </c>
      <c r="C950" t="s">
        <v>8</v>
      </c>
      <c r="D950">
        <v>2022</v>
      </c>
      <c r="E950" t="s">
        <v>317</v>
      </c>
      <c r="F950" t="s">
        <v>114</v>
      </c>
      <c r="G950" t="s">
        <v>192</v>
      </c>
      <c r="H950">
        <v>1</v>
      </c>
      <c r="I950">
        <v>7</v>
      </c>
      <c r="J950">
        <v>4.2</v>
      </c>
      <c r="K950">
        <v>0</v>
      </c>
      <c r="L950">
        <v>1.8</v>
      </c>
      <c r="M950" t="s">
        <v>193</v>
      </c>
      <c r="N950">
        <v>6</v>
      </c>
      <c r="O950">
        <v>7</v>
      </c>
      <c r="P950">
        <v>1.8</v>
      </c>
      <c r="Q950">
        <v>1.8</v>
      </c>
    </row>
    <row r="951" spans="1:17">
      <c r="A951" s="155">
        <v>44926</v>
      </c>
      <c r="B951" t="s">
        <v>347</v>
      </c>
      <c r="C951" t="s">
        <v>8</v>
      </c>
      <c r="D951">
        <v>2022</v>
      </c>
      <c r="E951" t="s">
        <v>317</v>
      </c>
      <c r="F951" t="s">
        <v>114</v>
      </c>
      <c r="G951" t="s">
        <v>192</v>
      </c>
      <c r="H951">
        <v>1</v>
      </c>
      <c r="I951">
        <v>6</v>
      </c>
      <c r="J951">
        <v>4.2</v>
      </c>
      <c r="K951">
        <v>0</v>
      </c>
      <c r="L951">
        <v>1.8</v>
      </c>
      <c r="M951" t="s">
        <v>193</v>
      </c>
      <c r="N951">
        <v>6</v>
      </c>
      <c r="O951">
        <v>7</v>
      </c>
      <c r="P951">
        <v>1.8</v>
      </c>
      <c r="Q951">
        <v>1.8</v>
      </c>
    </row>
    <row r="952" spans="1:17">
      <c r="A952" s="155">
        <v>44926</v>
      </c>
      <c r="B952" t="s">
        <v>350</v>
      </c>
      <c r="C952" t="s">
        <v>8</v>
      </c>
      <c r="D952">
        <v>2022</v>
      </c>
      <c r="E952" t="s">
        <v>317</v>
      </c>
      <c r="F952" t="s">
        <v>114</v>
      </c>
      <c r="G952" t="s">
        <v>192</v>
      </c>
      <c r="H952">
        <v>1</v>
      </c>
      <c r="I952">
        <v>6</v>
      </c>
      <c r="J952">
        <v>4.2</v>
      </c>
      <c r="K952">
        <v>0</v>
      </c>
      <c r="L952">
        <v>1.8</v>
      </c>
      <c r="M952" t="s">
        <v>193</v>
      </c>
      <c r="N952">
        <v>6</v>
      </c>
      <c r="O952">
        <v>7</v>
      </c>
      <c r="P952">
        <v>1.8</v>
      </c>
      <c r="Q952">
        <v>1.8</v>
      </c>
    </row>
    <row r="953" spans="1:17">
      <c r="A953" s="155">
        <v>44926</v>
      </c>
      <c r="B953" t="s">
        <v>352</v>
      </c>
      <c r="C953" t="s">
        <v>8</v>
      </c>
      <c r="D953">
        <v>2022</v>
      </c>
      <c r="E953" t="s">
        <v>317</v>
      </c>
      <c r="F953" t="s">
        <v>114</v>
      </c>
      <c r="G953" t="s">
        <v>192</v>
      </c>
      <c r="H953">
        <v>1</v>
      </c>
      <c r="I953">
        <v>7</v>
      </c>
      <c r="J953">
        <v>4.2</v>
      </c>
      <c r="K953">
        <v>0</v>
      </c>
      <c r="L953">
        <v>1.8</v>
      </c>
      <c r="M953" t="s">
        <v>193</v>
      </c>
      <c r="N953">
        <v>6</v>
      </c>
      <c r="O953">
        <v>7</v>
      </c>
      <c r="P953">
        <v>1.8</v>
      </c>
      <c r="Q953">
        <v>1.8</v>
      </c>
    </row>
    <row r="954" spans="1:17">
      <c r="A954" s="155">
        <v>44926</v>
      </c>
      <c r="B954" t="s">
        <v>353</v>
      </c>
      <c r="C954" t="s">
        <v>8</v>
      </c>
      <c r="D954">
        <v>2022</v>
      </c>
      <c r="E954" t="s">
        <v>317</v>
      </c>
      <c r="F954" t="s">
        <v>114</v>
      </c>
      <c r="G954" t="s">
        <v>192</v>
      </c>
      <c r="H954">
        <v>1</v>
      </c>
      <c r="I954">
        <v>6</v>
      </c>
      <c r="J954">
        <v>4.2</v>
      </c>
      <c r="K954">
        <v>0</v>
      </c>
      <c r="L954">
        <v>1.8</v>
      </c>
      <c r="M954" t="s">
        <v>193</v>
      </c>
      <c r="N954">
        <v>6</v>
      </c>
      <c r="O954">
        <v>7</v>
      </c>
      <c r="P954">
        <v>1.8</v>
      </c>
      <c r="Q954">
        <v>1.8</v>
      </c>
    </row>
    <row r="955" spans="1:17">
      <c r="A955" s="155">
        <v>44926</v>
      </c>
      <c r="B955" t="s">
        <v>356</v>
      </c>
      <c r="C955" t="s">
        <v>8</v>
      </c>
      <c r="D955">
        <v>2022</v>
      </c>
      <c r="E955" t="s">
        <v>317</v>
      </c>
      <c r="F955" t="s">
        <v>114</v>
      </c>
      <c r="G955" t="s">
        <v>192</v>
      </c>
      <c r="H955">
        <v>1</v>
      </c>
      <c r="I955">
        <v>6</v>
      </c>
      <c r="J955">
        <v>4.2</v>
      </c>
      <c r="K955">
        <v>0</v>
      </c>
      <c r="L955">
        <v>1.8</v>
      </c>
      <c r="M955" t="s">
        <v>193</v>
      </c>
      <c r="N955">
        <v>6</v>
      </c>
      <c r="O955">
        <v>7</v>
      </c>
      <c r="P955">
        <v>1.8</v>
      </c>
      <c r="Q955">
        <v>1.8</v>
      </c>
    </row>
    <row r="956" spans="1:17">
      <c r="A956" s="155">
        <v>44926</v>
      </c>
      <c r="B956" t="s">
        <v>347</v>
      </c>
      <c r="C956" t="s">
        <v>8</v>
      </c>
      <c r="D956">
        <v>2022</v>
      </c>
      <c r="E956" t="s">
        <v>318</v>
      </c>
      <c r="F956" t="s">
        <v>114</v>
      </c>
      <c r="G956" t="s">
        <v>192</v>
      </c>
      <c r="H956">
        <v>2</v>
      </c>
      <c r="I956">
        <v>260</v>
      </c>
      <c r="J956">
        <v>84</v>
      </c>
      <c r="K956">
        <v>30</v>
      </c>
      <c r="L956">
        <v>78</v>
      </c>
      <c r="M956" t="s">
        <v>193</v>
      </c>
      <c r="N956">
        <v>130</v>
      </c>
      <c r="O956">
        <v>130</v>
      </c>
      <c r="P956">
        <v>30</v>
      </c>
      <c r="Q956">
        <v>48</v>
      </c>
    </row>
    <row r="957" spans="1:17">
      <c r="A957" s="155">
        <v>44926</v>
      </c>
      <c r="B957" t="s">
        <v>353</v>
      </c>
      <c r="C957" t="s">
        <v>8</v>
      </c>
      <c r="D957">
        <v>2022</v>
      </c>
      <c r="E957" t="s">
        <v>318</v>
      </c>
      <c r="F957" t="s">
        <v>114</v>
      </c>
      <c r="G957" t="s">
        <v>192</v>
      </c>
      <c r="H957">
        <v>2</v>
      </c>
      <c r="I957">
        <v>260</v>
      </c>
      <c r="J957">
        <v>84</v>
      </c>
      <c r="K957">
        <v>30</v>
      </c>
      <c r="L957">
        <v>78</v>
      </c>
      <c r="M957" t="s">
        <v>193</v>
      </c>
      <c r="N957">
        <v>130</v>
      </c>
      <c r="O957">
        <v>130</v>
      </c>
      <c r="P957">
        <v>30</v>
      </c>
      <c r="Q957">
        <v>48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045D28-BAA3-45CF-9D19-06FAF34010A3}">
  <sheetPr codeName="Feuil15">
    <tabColor theme="9" tint="0.79998168889431442"/>
  </sheetPr>
  <dimension ref="A1:H17"/>
  <sheetViews>
    <sheetView zoomScale="70" zoomScaleNormal="70" workbookViewId="0">
      <selection sqref="A1:A1048576"/>
    </sheetView>
  </sheetViews>
  <sheetFormatPr baseColWidth="10" defaultColWidth="11.42578125" defaultRowHeight="15"/>
  <cols>
    <col min="1" max="1" width="12.42578125" style="155" bestFit="1" customWidth="1"/>
    <col min="2" max="2" width="11.42578125" bestFit="1" customWidth="1"/>
    <col min="3" max="3" width="10.140625" bestFit="1" customWidth="1"/>
    <col min="4" max="4" width="13" bestFit="1" customWidth="1"/>
    <col min="5" max="5" width="44.85546875" bestFit="1" customWidth="1"/>
    <col min="6" max="6" width="8.7109375" bestFit="1" customWidth="1"/>
    <col min="7" max="7" width="12.5703125" bestFit="1" customWidth="1"/>
    <col min="8" max="8" width="20" bestFit="1" customWidth="1"/>
    <col min="9" max="14" width="11.42578125" customWidth="1"/>
  </cols>
  <sheetData>
    <row r="1" spans="1:8">
      <c r="A1" s="155" t="s">
        <v>177</v>
      </c>
      <c r="B1" t="s">
        <v>172</v>
      </c>
      <c r="C1" t="s">
        <v>173</v>
      </c>
      <c r="D1" t="s">
        <v>178</v>
      </c>
      <c r="E1" t="s">
        <v>179</v>
      </c>
      <c r="F1" t="s">
        <v>180</v>
      </c>
      <c r="G1" t="s">
        <v>195</v>
      </c>
      <c r="H1" t="s">
        <v>165</v>
      </c>
    </row>
    <row r="2" spans="1:8">
      <c r="A2" s="155">
        <v>44926</v>
      </c>
      <c r="B2" t="s">
        <v>176</v>
      </c>
      <c r="C2" t="s">
        <v>8</v>
      </c>
      <c r="D2">
        <v>2022</v>
      </c>
      <c r="E2" t="s">
        <v>84</v>
      </c>
      <c r="F2" t="s">
        <v>80</v>
      </c>
      <c r="G2">
        <v>557.04</v>
      </c>
      <c r="H2" t="s">
        <v>336</v>
      </c>
    </row>
    <row r="3" spans="1:8">
      <c r="A3" s="155">
        <v>44926</v>
      </c>
      <c r="B3" t="s">
        <v>176</v>
      </c>
      <c r="C3" t="s">
        <v>8</v>
      </c>
      <c r="D3">
        <v>2022</v>
      </c>
      <c r="E3" t="s">
        <v>86</v>
      </c>
      <c r="F3" t="s">
        <v>80</v>
      </c>
      <c r="G3">
        <v>199.14</v>
      </c>
      <c r="H3" t="s">
        <v>336</v>
      </c>
    </row>
    <row r="4" spans="1:8">
      <c r="A4" s="155">
        <v>44926</v>
      </c>
      <c r="B4" t="s">
        <v>176</v>
      </c>
      <c r="C4" t="s">
        <v>8</v>
      </c>
      <c r="D4">
        <v>2022</v>
      </c>
      <c r="E4" t="s">
        <v>90</v>
      </c>
      <c r="F4" t="s">
        <v>88</v>
      </c>
      <c r="G4">
        <v>4.72</v>
      </c>
      <c r="H4" t="s">
        <v>336</v>
      </c>
    </row>
    <row r="5" spans="1:8">
      <c r="A5" s="155">
        <v>44926</v>
      </c>
      <c r="B5" t="s">
        <v>176</v>
      </c>
      <c r="C5" t="s">
        <v>8</v>
      </c>
      <c r="D5">
        <v>2022</v>
      </c>
      <c r="E5" t="s">
        <v>91</v>
      </c>
      <c r="F5" t="s">
        <v>88</v>
      </c>
      <c r="G5">
        <v>5.67</v>
      </c>
      <c r="H5" t="s">
        <v>336</v>
      </c>
    </row>
    <row r="6" spans="1:8">
      <c r="A6" s="155">
        <v>44926</v>
      </c>
      <c r="B6" t="s">
        <v>176</v>
      </c>
      <c r="C6" t="s">
        <v>8</v>
      </c>
      <c r="D6">
        <v>2022</v>
      </c>
      <c r="E6" t="s">
        <v>92</v>
      </c>
      <c r="F6" t="s">
        <v>88</v>
      </c>
      <c r="G6">
        <v>2.36</v>
      </c>
      <c r="H6" t="s">
        <v>336</v>
      </c>
    </row>
    <row r="7" spans="1:8">
      <c r="A7" s="155">
        <v>44926</v>
      </c>
      <c r="B7" t="s">
        <v>176</v>
      </c>
      <c r="C7" t="s">
        <v>8</v>
      </c>
      <c r="D7">
        <v>2022</v>
      </c>
      <c r="E7" t="s">
        <v>94</v>
      </c>
      <c r="F7" t="s">
        <v>88</v>
      </c>
      <c r="G7">
        <v>177.27</v>
      </c>
      <c r="H7" t="s">
        <v>336</v>
      </c>
    </row>
    <row r="8" spans="1:8">
      <c r="A8" s="155">
        <v>44926</v>
      </c>
      <c r="B8" t="s">
        <v>176</v>
      </c>
      <c r="C8" t="s">
        <v>8</v>
      </c>
      <c r="D8">
        <v>2022</v>
      </c>
      <c r="E8" t="s">
        <v>194</v>
      </c>
      <c r="F8" t="s">
        <v>88</v>
      </c>
      <c r="G8">
        <v>6.17</v>
      </c>
      <c r="H8" t="s">
        <v>336</v>
      </c>
    </row>
    <row r="9" spans="1:8">
      <c r="A9" s="155">
        <v>44926</v>
      </c>
      <c r="B9" t="s">
        <v>176</v>
      </c>
      <c r="C9" t="s">
        <v>8</v>
      </c>
      <c r="D9">
        <v>2022</v>
      </c>
      <c r="E9" t="s">
        <v>104</v>
      </c>
      <c r="F9" t="s">
        <v>100</v>
      </c>
      <c r="G9">
        <v>57.43</v>
      </c>
      <c r="H9" t="s">
        <v>336</v>
      </c>
    </row>
    <row r="10" spans="1:8">
      <c r="A10" s="155">
        <v>44926</v>
      </c>
      <c r="B10" t="s">
        <v>176</v>
      </c>
      <c r="C10" t="s">
        <v>8</v>
      </c>
      <c r="D10">
        <v>2022</v>
      </c>
      <c r="E10" t="s">
        <v>107</v>
      </c>
      <c r="F10" t="s">
        <v>100</v>
      </c>
      <c r="G10">
        <v>354.93</v>
      </c>
      <c r="H10" t="s">
        <v>336</v>
      </c>
    </row>
    <row r="11" spans="1:8">
      <c r="A11" s="155">
        <v>44926</v>
      </c>
      <c r="B11" t="s">
        <v>176</v>
      </c>
      <c r="C11" t="s">
        <v>8</v>
      </c>
      <c r="D11">
        <v>2022</v>
      </c>
      <c r="E11" t="s">
        <v>108</v>
      </c>
      <c r="F11" t="s">
        <v>100</v>
      </c>
      <c r="G11">
        <v>374.58</v>
      </c>
      <c r="H11" t="s">
        <v>336</v>
      </c>
    </row>
    <row r="12" spans="1:8">
      <c r="A12" s="155">
        <v>44926</v>
      </c>
      <c r="B12" t="s">
        <v>176</v>
      </c>
      <c r="C12" t="s">
        <v>8</v>
      </c>
      <c r="D12">
        <v>2022</v>
      </c>
      <c r="E12" t="s">
        <v>112</v>
      </c>
      <c r="F12" t="s">
        <v>111</v>
      </c>
      <c r="G12">
        <v>123.89</v>
      </c>
      <c r="H12" t="s">
        <v>336</v>
      </c>
    </row>
    <row r="13" spans="1:8">
      <c r="A13" s="155">
        <v>44926</v>
      </c>
      <c r="B13" t="s">
        <v>176</v>
      </c>
      <c r="C13" t="s">
        <v>8</v>
      </c>
      <c r="D13">
        <v>2022</v>
      </c>
      <c r="E13" t="s">
        <v>115</v>
      </c>
      <c r="F13" t="s">
        <v>114</v>
      </c>
      <c r="G13">
        <v>89.54</v>
      </c>
      <c r="H13" t="s">
        <v>336</v>
      </c>
    </row>
    <row r="14" spans="1:8">
      <c r="A14" s="155">
        <v>44926</v>
      </c>
      <c r="B14" t="s">
        <v>176</v>
      </c>
      <c r="C14" t="s">
        <v>8</v>
      </c>
      <c r="D14">
        <v>2022</v>
      </c>
      <c r="E14" t="s">
        <v>67</v>
      </c>
      <c r="F14" t="s">
        <v>114</v>
      </c>
      <c r="G14">
        <v>40.020000000000003</v>
      </c>
      <c r="H14" t="s">
        <v>336</v>
      </c>
    </row>
    <row r="15" spans="1:8">
      <c r="A15" s="155">
        <v>44926</v>
      </c>
      <c r="B15" t="s">
        <v>176</v>
      </c>
      <c r="C15" t="s">
        <v>8</v>
      </c>
      <c r="D15">
        <v>2022</v>
      </c>
      <c r="E15" t="s">
        <v>116</v>
      </c>
      <c r="F15" t="s">
        <v>114</v>
      </c>
      <c r="G15">
        <v>263.68</v>
      </c>
      <c r="H15" t="s">
        <v>336</v>
      </c>
    </row>
    <row r="16" spans="1:8">
      <c r="A16" s="155">
        <v>44926</v>
      </c>
      <c r="B16" t="s">
        <v>176</v>
      </c>
      <c r="C16" t="s">
        <v>8</v>
      </c>
      <c r="D16">
        <v>2022</v>
      </c>
      <c r="E16" t="s">
        <v>117</v>
      </c>
      <c r="F16" t="s">
        <v>114</v>
      </c>
      <c r="G16">
        <v>760.02</v>
      </c>
      <c r="H16" t="s">
        <v>336</v>
      </c>
    </row>
    <row r="17" spans="1:8">
      <c r="A17" s="155">
        <v>44926</v>
      </c>
      <c r="B17" t="s">
        <v>176</v>
      </c>
      <c r="C17" t="s">
        <v>8</v>
      </c>
      <c r="D17">
        <v>2022</v>
      </c>
      <c r="E17" t="s">
        <v>119</v>
      </c>
      <c r="F17" t="s">
        <v>114</v>
      </c>
      <c r="G17">
        <v>173.46</v>
      </c>
      <c r="H17" t="s">
        <v>336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Feuil9">
    <tabColor theme="9" tint="0.79998168889431442"/>
  </sheetPr>
  <dimension ref="A1:J75"/>
  <sheetViews>
    <sheetView workbookViewId="0">
      <selection activeCell="F26" sqref="F26"/>
    </sheetView>
  </sheetViews>
  <sheetFormatPr baseColWidth="10" defaultColWidth="11.42578125" defaultRowHeight="15"/>
  <cols>
    <col min="1" max="1" width="14.140625" bestFit="1" customWidth="1"/>
    <col min="2" max="2" width="11.7109375" bestFit="1" customWidth="1"/>
    <col min="3" max="3" width="41.140625" bestFit="1" customWidth="1"/>
    <col min="4" max="10" width="12" customWidth="1"/>
    <col min="11" max="12" width="11.42578125" customWidth="1"/>
  </cols>
  <sheetData>
    <row r="1" spans="1:10">
      <c r="A1" t="s">
        <v>196</v>
      </c>
      <c r="B1" t="s">
        <v>197</v>
      </c>
      <c r="C1" t="s">
        <v>198</v>
      </c>
      <c r="D1" s="139" t="s">
        <v>199</v>
      </c>
      <c r="E1" s="139" t="s">
        <v>200</v>
      </c>
      <c r="F1" s="139" t="s">
        <v>201</v>
      </c>
      <c r="G1" s="139" t="s">
        <v>202</v>
      </c>
      <c r="H1" s="139" t="s">
        <v>203</v>
      </c>
      <c r="I1" s="139" t="s">
        <v>204</v>
      </c>
      <c r="J1" s="139" t="s">
        <v>145</v>
      </c>
    </row>
    <row r="2" spans="1:10">
      <c r="A2" s="137" t="s">
        <v>205</v>
      </c>
      <c r="B2" s="148" t="s">
        <v>73</v>
      </c>
      <c r="C2" s="148" t="s">
        <v>81</v>
      </c>
      <c r="D2" s="149">
        <v>0</v>
      </c>
      <c r="E2" s="149">
        <v>0</v>
      </c>
      <c r="F2" s="149">
        <v>0</v>
      </c>
      <c r="G2" s="149">
        <v>0</v>
      </c>
      <c r="H2" s="149">
        <v>0</v>
      </c>
      <c r="I2" s="149">
        <v>0</v>
      </c>
      <c r="J2" s="149">
        <v>0</v>
      </c>
    </row>
    <row r="3" spans="1:10">
      <c r="A3" s="137" t="s">
        <v>205</v>
      </c>
      <c r="B3" s="148" t="s">
        <v>73</v>
      </c>
      <c r="C3" s="148" t="s">
        <v>206</v>
      </c>
      <c r="D3" s="149">
        <v>0</v>
      </c>
      <c r="E3" s="149">
        <v>0</v>
      </c>
      <c r="F3" s="149">
        <v>0</v>
      </c>
      <c r="G3" s="149">
        <v>0</v>
      </c>
      <c r="H3" s="149">
        <v>0</v>
      </c>
      <c r="I3" s="149">
        <v>0</v>
      </c>
      <c r="J3" s="149">
        <v>0</v>
      </c>
    </row>
    <row r="4" spans="1:10">
      <c r="A4" s="137" t="s">
        <v>205</v>
      </c>
      <c r="B4" s="148" t="s">
        <v>73</v>
      </c>
      <c r="C4" s="148" t="s">
        <v>207</v>
      </c>
      <c r="D4" s="149">
        <v>0</v>
      </c>
      <c r="E4" s="149">
        <v>0</v>
      </c>
      <c r="F4" s="149">
        <v>0</v>
      </c>
      <c r="G4" s="149">
        <v>0</v>
      </c>
      <c r="H4" s="149">
        <v>0</v>
      </c>
      <c r="I4" s="149">
        <v>0</v>
      </c>
      <c r="J4" s="149">
        <v>0</v>
      </c>
    </row>
    <row r="5" spans="1:10">
      <c r="A5" s="137" t="s">
        <v>205</v>
      </c>
      <c r="B5" s="148" t="s">
        <v>73</v>
      </c>
      <c r="C5" s="148" t="s">
        <v>208</v>
      </c>
      <c r="D5" s="149">
        <v>0</v>
      </c>
      <c r="E5" s="149">
        <v>0</v>
      </c>
      <c r="F5" s="149">
        <v>0</v>
      </c>
      <c r="G5" s="149">
        <v>0</v>
      </c>
      <c r="H5" s="149">
        <v>0</v>
      </c>
      <c r="I5" s="149">
        <v>0</v>
      </c>
      <c r="J5" s="149">
        <v>0</v>
      </c>
    </row>
    <row r="6" spans="1:10">
      <c r="A6" s="137" t="s">
        <v>205</v>
      </c>
      <c r="B6" s="148" t="s">
        <v>73</v>
      </c>
      <c r="C6" s="148" t="s">
        <v>74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</row>
    <row r="7" spans="1:10">
      <c r="A7" s="137" t="s">
        <v>205</v>
      </c>
      <c r="B7" s="148" t="s">
        <v>73</v>
      </c>
      <c r="C7" s="148" t="s">
        <v>112</v>
      </c>
      <c r="D7">
        <v>35</v>
      </c>
      <c r="E7">
        <v>80</v>
      </c>
      <c r="F7">
        <v>55</v>
      </c>
      <c r="G7">
        <v>60</v>
      </c>
      <c r="H7">
        <v>65</v>
      </c>
      <c r="I7">
        <v>65</v>
      </c>
      <c r="J7">
        <v>58.404761904761898</v>
      </c>
    </row>
    <row r="8" spans="1:10">
      <c r="A8" s="137" t="s">
        <v>205</v>
      </c>
      <c r="B8" s="148" t="s">
        <v>73</v>
      </c>
      <c r="C8" s="148" t="s">
        <v>209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</row>
    <row r="9" spans="1:10">
      <c r="A9" s="137" t="s">
        <v>205</v>
      </c>
      <c r="B9" s="148" t="s">
        <v>73</v>
      </c>
      <c r="C9" s="148" t="s">
        <v>72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</row>
    <row r="10" spans="1:10">
      <c r="A10" s="137" t="s">
        <v>205</v>
      </c>
      <c r="B10" s="138" t="s">
        <v>210</v>
      </c>
      <c r="C10" s="138" t="s">
        <v>79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</row>
    <row r="11" spans="1:10">
      <c r="A11" s="137" t="s">
        <v>205</v>
      </c>
      <c r="B11" s="138" t="s">
        <v>210</v>
      </c>
      <c r="C11" s="138" t="s">
        <v>211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</row>
    <row r="12" spans="1:10">
      <c r="A12" s="137" t="s">
        <v>205</v>
      </c>
      <c r="B12" s="148" t="s">
        <v>80</v>
      </c>
      <c r="C12" s="148" t="s">
        <v>212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</row>
    <row r="13" spans="1:10">
      <c r="A13" s="137" t="s">
        <v>205</v>
      </c>
      <c r="B13" s="148" t="s">
        <v>80</v>
      </c>
      <c r="C13" s="148" t="s">
        <v>213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</row>
    <row r="14" spans="1:10">
      <c r="A14" s="137" t="s">
        <v>205</v>
      </c>
      <c r="B14" s="148" t="s">
        <v>80</v>
      </c>
      <c r="C14" s="148" t="s">
        <v>214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</row>
    <row r="15" spans="1:10">
      <c r="A15" s="137" t="s">
        <v>205</v>
      </c>
      <c r="B15" s="148" t="s">
        <v>80</v>
      </c>
      <c r="C15" s="148" t="s">
        <v>215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</row>
    <row r="16" spans="1:10">
      <c r="A16" s="137" t="s">
        <v>205</v>
      </c>
      <c r="B16" s="148" t="s">
        <v>80</v>
      </c>
      <c r="C16" s="148" t="s">
        <v>216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</row>
    <row r="17" spans="1:10">
      <c r="A17" s="137" t="s">
        <v>205</v>
      </c>
      <c r="B17" s="148" t="s">
        <v>80</v>
      </c>
      <c r="C17" s="148" t="s">
        <v>217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</row>
    <row r="18" spans="1:10">
      <c r="A18" s="137" t="s">
        <v>205</v>
      </c>
      <c r="B18" s="148" t="s">
        <v>80</v>
      </c>
      <c r="C18" s="148" t="s">
        <v>218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</row>
    <row r="19" spans="1:10">
      <c r="A19" s="137" t="s">
        <v>205</v>
      </c>
      <c r="B19" s="148" t="s">
        <v>80</v>
      </c>
      <c r="C19" s="148" t="s">
        <v>219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</row>
    <row r="20" spans="1:10">
      <c r="A20" s="137" t="s">
        <v>205</v>
      </c>
      <c r="B20" s="148" t="s">
        <v>80</v>
      </c>
      <c r="C20" s="148" t="s">
        <v>220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</row>
    <row r="21" spans="1:10">
      <c r="A21" s="137" t="s">
        <v>205</v>
      </c>
      <c r="B21" s="148" t="s">
        <v>80</v>
      </c>
      <c r="C21" s="148" t="s">
        <v>221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</row>
    <row r="22" spans="1:10">
      <c r="A22" s="137" t="s">
        <v>205</v>
      </c>
      <c r="B22" s="148" t="s">
        <v>80</v>
      </c>
      <c r="C22" s="148" t="s">
        <v>222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</row>
    <row r="23" spans="1:10">
      <c r="A23" s="137" t="s">
        <v>205</v>
      </c>
      <c r="B23" s="148" t="s">
        <v>80</v>
      </c>
      <c r="C23" s="148" t="s">
        <v>223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</row>
    <row r="24" spans="1:10">
      <c r="A24" s="137" t="s">
        <v>205</v>
      </c>
      <c r="B24" s="148" t="s">
        <v>80</v>
      </c>
      <c r="C24" s="148" t="s">
        <v>224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</row>
    <row r="25" spans="1:10">
      <c r="A25" s="137" t="s">
        <v>205</v>
      </c>
      <c r="B25" s="148" t="s">
        <v>80</v>
      </c>
      <c r="C25" s="148" t="s">
        <v>225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</row>
    <row r="26" spans="1:10">
      <c r="A26" s="137" t="s">
        <v>205</v>
      </c>
      <c r="B26" s="148" t="s">
        <v>80</v>
      </c>
      <c r="C26" s="148" t="s">
        <v>226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</row>
    <row r="27" spans="1:10">
      <c r="A27" s="137" t="s">
        <v>205</v>
      </c>
      <c r="B27" s="148" t="s">
        <v>80</v>
      </c>
      <c r="C27" s="148" t="s">
        <v>227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</row>
    <row r="28" spans="1:10">
      <c r="A28" s="137" t="s">
        <v>205</v>
      </c>
      <c r="B28" s="148" t="s">
        <v>80</v>
      </c>
      <c r="C28" s="148" t="s">
        <v>228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</row>
    <row r="29" spans="1:10">
      <c r="A29" s="137" t="s">
        <v>205</v>
      </c>
      <c r="B29" s="148" t="s">
        <v>80</v>
      </c>
      <c r="C29" s="148" t="s">
        <v>229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</row>
    <row r="30" spans="1:10">
      <c r="A30" s="137" t="s">
        <v>205</v>
      </c>
      <c r="B30" s="148" t="s">
        <v>80</v>
      </c>
      <c r="C30" s="148" t="s">
        <v>230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</row>
    <row r="31" spans="1:10">
      <c r="A31" s="137" t="s">
        <v>205</v>
      </c>
      <c r="B31" s="148" t="s">
        <v>80</v>
      </c>
      <c r="C31" s="148" t="s">
        <v>231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</row>
    <row r="32" spans="1:10">
      <c r="A32" s="137" t="s">
        <v>205</v>
      </c>
      <c r="B32" s="148" t="s">
        <v>80</v>
      </c>
      <c r="C32" s="148" t="s">
        <v>232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</row>
    <row r="33" spans="1:10">
      <c r="A33" s="137" t="s">
        <v>205</v>
      </c>
      <c r="B33" s="148" t="s">
        <v>80</v>
      </c>
      <c r="C33" s="148" t="s">
        <v>233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</row>
    <row r="34" spans="1:10">
      <c r="A34" s="137" t="s">
        <v>205</v>
      </c>
      <c r="B34" s="148" t="s">
        <v>80</v>
      </c>
      <c r="C34" s="148" t="s">
        <v>234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</row>
    <row r="35" spans="1:10">
      <c r="A35" s="137" t="s">
        <v>205</v>
      </c>
      <c r="B35" s="148" t="s">
        <v>80</v>
      </c>
      <c r="C35" s="148" t="s">
        <v>235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</row>
    <row r="36" spans="1:10">
      <c r="A36" s="137" t="s">
        <v>205</v>
      </c>
      <c r="B36" s="148" t="s">
        <v>80</v>
      </c>
      <c r="C36" s="148" t="s">
        <v>236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</row>
    <row r="37" spans="1:10">
      <c r="A37" s="137" t="s">
        <v>205</v>
      </c>
      <c r="B37" s="148" t="s">
        <v>80</v>
      </c>
      <c r="C37" s="148" t="s">
        <v>237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</row>
    <row r="38" spans="1:10">
      <c r="A38" s="137" t="s">
        <v>205</v>
      </c>
      <c r="B38" s="148" t="s">
        <v>80</v>
      </c>
      <c r="C38" s="148" t="s">
        <v>238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</row>
    <row r="39" spans="1:10">
      <c r="A39" s="137" t="s">
        <v>205</v>
      </c>
      <c r="B39" s="148" t="s">
        <v>80</v>
      </c>
      <c r="C39" s="148" t="s">
        <v>239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</row>
    <row r="40" spans="1:10">
      <c r="A40" s="137" t="s">
        <v>205</v>
      </c>
      <c r="B40" s="148" t="s">
        <v>80</v>
      </c>
      <c r="C40" s="148" t="s">
        <v>87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</row>
    <row r="41" spans="1:10">
      <c r="A41" s="137" t="s">
        <v>205</v>
      </c>
      <c r="B41" s="148" t="s">
        <v>80</v>
      </c>
      <c r="C41" s="148" t="s">
        <v>240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</row>
    <row r="42" spans="1:10">
      <c r="A42" s="137" t="s">
        <v>205</v>
      </c>
      <c r="B42" s="148" t="s">
        <v>88</v>
      </c>
      <c r="C42" s="148" t="s">
        <v>241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</row>
    <row r="43" spans="1:10">
      <c r="A43" s="137" t="s">
        <v>205</v>
      </c>
      <c r="B43" s="148" t="s">
        <v>88</v>
      </c>
      <c r="C43" s="148" t="s">
        <v>89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</row>
    <row r="44" spans="1:10">
      <c r="A44" s="137" t="s">
        <v>205</v>
      </c>
      <c r="B44" s="148" t="s">
        <v>88</v>
      </c>
      <c r="C44" s="148" t="s">
        <v>90</v>
      </c>
      <c r="D44">
        <v>20</v>
      </c>
      <c r="E44">
        <v>40</v>
      </c>
      <c r="F44">
        <v>20</v>
      </c>
      <c r="G44">
        <v>40</v>
      </c>
      <c r="H44">
        <v>40</v>
      </c>
      <c r="I44">
        <v>40</v>
      </c>
      <c r="J44">
        <v>30</v>
      </c>
    </row>
    <row r="45" spans="1:10">
      <c r="A45" s="137" t="s">
        <v>205</v>
      </c>
      <c r="B45" s="148" t="s">
        <v>88</v>
      </c>
      <c r="C45" s="148" t="s">
        <v>242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</row>
    <row r="46" spans="1:10">
      <c r="A46" s="137" t="s">
        <v>205</v>
      </c>
      <c r="B46" s="148" t="s">
        <v>88</v>
      </c>
      <c r="C46" s="148" t="s">
        <v>94</v>
      </c>
      <c r="D46">
        <v>20</v>
      </c>
      <c r="E46">
        <v>1062.7</v>
      </c>
      <c r="F46">
        <v>152.51</v>
      </c>
      <c r="G46">
        <v>250</v>
      </c>
      <c r="H46">
        <v>267.66000000000003</v>
      </c>
      <c r="I46">
        <v>571.70000000000005</v>
      </c>
      <c r="J46">
        <v>288.540434782609</v>
      </c>
    </row>
    <row r="47" spans="1:10">
      <c r="A47" s="137" t="s">
        <v>205</v>
      </c>
      <c r="B47" s="148" t="s">
        <v>88</v>
      </c>
      <c r="C47" s="148" t="s">
        <v>194</v>
      </c>
      <c r="D47">
        <v>19.61</v>
      </c>
      <c r="E47">
        <v>19.61</v>
      </c>
      <c r="F47">
        <v>19.61</v>
      </c>
      <c r="G47">
        <v>19.61</v>
      </c>
      <c r="H47">
        <v>19.61</v>
      </c>
      <c r="I47">
        <v>19.61</v>
      </c>
      <c r="J47">
        <v>19.61</v>
      </c>
    </row>
    <row r="48" spans="1:10">
      <c r="A48" s="137" t="s">
        <v>205</v>
      </c>
      <c r="B48" s="148" t="s">
        <v>88</v>
      </c>
      <c r="C48" s="148" t="s">
        <v>243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</row>
    <row r="49" spans="1:10">
      <c r="A49" s="137" t="s">
        <v>205</v>
      </c>
      <c r="B49" s="148" t="s">
        <v>244</v>
      </c>
      <c r="C49" s="148" t="s">
        <v>245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</row>
    <row r="50" spans="1:10">
      <c r="A50" s="137" t="s">
        <v>205</v>
      </c>
      <c r="B50" s="138" t="s">
        <v>246</v>
      </c>
      <c r="C50" s="138" t="s">
        <v>247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</row>
    <row r="51" spans="1:10">
      <c r="A51" s="137" t="s">
        <v>205</v>
      </c>
      <c r="B51" s="138" t="s">
        <v>246</v>
      </c>
      <c r="C51" s="138" t="s">
        <v>248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</row>
    <row r="52" spans="1:10">
      <c r="A52" s="137" t="s">
        <v>205</v>
      </c>
      <c r="B52" s="138" t="s">
        <v>246</v>
      </c>
      <c r="C52" s="138" t="s">
        <v>75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</row>
    <row r="53" spans="1:10">
      <c r="A53" s="137" t="s">
        <v>205</v>
      </c>
      <c r="B53" s="138" t="s">
        <v>246</v>
      </c>
      <c r="C53" s="138" t="s">
        <v>249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</row>
    <row r="54" spans="1:10">
      <c r="A54" s="137" t="s">
        <v>205</v>
      </c>
      <c r="B54" s="138" t="s">
        <v>246</v>
      </c>
      <c r="C54" s="138" t="s">
        <v>250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</row>
    <row r="55" spans="1:10">
      <c r="A55" s="137" t="s">
        <v>205</v>
      </c>
      <c r="B55" s="138" t="s">
        <v>246</v>
      </c>
      <c r="C55" s="138" t="s">
        <v>251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</row>
    <row r="56" spans="1:10">
      <c r="A56" s="137" t="s">
        <v>205</v>
      </c>
      <c r="B56" s="138" t="s">
        <v>246</v>
      </c>
      <c r="C56" s="138" t="s">
        <v>252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</row>
    <row r="57" spans="1:10">
      <c r="A57" s="137" t="s">
        <v>205</v>
      </c>
      <c r="B57" s="148" t="s">
        <v>100</v>
      </c>
      <c r="C57" s="148" t="s">
        <v>253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</row>
    <row r="58" spans="1:10">
      <c r="A58" s="137" t="s">
        <v>205</v>
      </c>
      <c r="B58" s="148" t="s">
        <v>100</v>
      </c>
      <c r="C58" s="148" t="s">
        <v>104</v>
      </c>
      <c r="D58">
        <v>70.2</v>
      </c>
      <c r="E58">
        <v>200</v>
      </c>
      <c r="F58">
        <v>73</v>
      </c>
      <c r="G58">
        <v>113.4</v>
      </c>
      <c r="H58">
        <v>200</v>
      </c>
      <c r="I58">
        <v>200</v>
      </c>
      <c r="J58">
        <v>121.6</v>
      </c>
    </row>
    <row r="59" spans="1:10">
      <c r="A59" s="137" t="s">
        <v>205</v>
      </c>
      <c r="B59" s="148" t="s">
        <v>100</v>
      </c>
      <c r="C59" s="148" t="s">
        <v>254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</row>
    <row r="60" spans="1:10">
      <c r="A60" s="137" t="s">
        <v>205</v>
      </c>
      <c r="B60" s="148" t="s">
        <v>100</v>
      </c>
      <c r="C60" s="148" t="s">
        <v>255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</row>
    <row r="61" spans="1:10">
      <c r="A61" s="137" t="s">
        <v>205</v>
      </c>
      <c r="B61" s="148" t="s">
        <v>100</v>
      </c>
      <c r="C61" s="148" t="s">
        <v>256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</row>
    <row r="62" spans="1:10">
      <c r="A62" s="137" t="s">
        <v>205</v>
      </c>
      <c r="B62" s="148" t="s">
        <v>100</v>
      </c>
      <c r="C62" s="148" t="s">
        <v>257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</row>
    <row r="63" spans="1:10">
      <c r="A63" s="137" t="s">
        <v>205</v>
      </c>
      <c r="B63" s="148" t="s">
        <v>100</v>
      </c>
      <c r="C63" s="148" t="s">
        <v>110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</row>
    <row r="64" spans="1:10">
      <c r="A64" s="137" t="s">
        <v>205</v>
      </c>
      <c r="B64" s="148" t="s">
        <v>100</v>
      </c>
      <c r="C64" s="148" t="s">
        <v>258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</row>
    <row r="65" spans="1:10">
      <c r="A65" s="137" t="s">
        <v>205</v>
      </c>
      <c r="B65" s="148" t="s">
        <v>100</v>
      </c>
      <c r="C65" s="148" t="s">
        <v>259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</row>
    <row r="66" spans="1:10">
      <c r="A66" s="137" t="s">
        <v>205</v>
      </c>
      <c r="B66" s="148" t="s">
        <v>100</v>
      </c>
      <c r="C66" s="148" t="s">
        <v>260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</row>
    <row r="67" spans="1:10">
      <c r="A67" s="137" t="s">
        <v>205</v>
      </c>
      <c r="B67" s="148" t="s">
        <v>261</v>
      </c>
      <c r="C67" s="148" t="s">
        <v>119</v>
      </c>
      <c r="D67">
        <v>0.51</v>
      </c>
      <c r="E67">
        <v>186.99</v>
      </c>
      <c r="F67">
        <v>1.02</v>
      </c>
      <c r="G67">
        <v>1.34</v>
      </c>
      <c r="H67">
        <v>3.57</v>
      </c>
      <c r="I67">
        <v>6.69</v>
      </c>
      <c r="J67">
        <v>3.8179361370716398</v>
      </c>
    </row>
    <row r="68" spans="1:10">
      <c r="A68" s="137" t="s">
        <v>205</v>
      </c>
      <c r="B68" s="148" t="s">
        <v>111</v>
      </c>
      <c r="C68" s="148" t="s">
        <v>262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</row>
    <row r="69" spans="1:10">
      <c r="A69" s="137" t="s">
        <v>205</v>
      </c>
      <c r="B69" s="148" t="s">
        <v>114</v>
      </c>
      <c r="C69" s="148" t="s">
        <v>263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</row>
    <row r="70" spans="1:10">
      <c r="A70" s="137" t="s">
        <v>205</v>
      </c>
      <c r="B70" s="148" t="s">
        <v>114</v>
      </c>
      <c r="C70" s="148" t="s">
        <v>264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</row>
    <row r="71" spans="1:10">
      <c r="A71" s="137" t="s">
        <v>205</v>
      </c>
      <c r="B71" s="148" t="s">
        <v>114</v>
      </c>
      <c r="C71" s="148" t="s">
        <v>115</v>
      </c>
      <c r="D71">
        <v>3.78</v>
      </c>
      <c r="E71">
        <v>254.61</v>
      </c>
      <c r="F71">
        <v>8.3699999999999992</v>
      </c>
      <c r="G71">
        <v>32.130000000000003</v>
      </c>
      <c r="H71">
        <v>49.14</v>
      </c>
      <c r="I71">
        <v>65.88</v>
      </c>
      <c r="J71">
        <v>35.996582278481</v>
      </c>
    </row>
    <row r="72" spans="1:10">
      <c r="A72" s="137" t="s">
        <v>205</v>
      </c>
      <c r="B72" s="148" t="s">
        <v>114</v>
      </c>
      <c r="C72" s="148" t="s">
        <v>116</v>
      </c>
      <c r="D72">
        <v>0.75</v>
      </c>
      <c r="E72">
        <v>140</v>
      </c>
      <c r="F72">
        <v>15.6</v>
      </c>
      <c r="G72">
        <v>20.43</v>
      </c>
      <c r="H72">
        <v>25.25</v>
      </c>
      <c r="I72">
        <v>69</v>
      </c>
      <c r="J72">
        <v>24.939686520376199</v>
      </c>
    </row>
    <row r="73" spans="1:10">
      <c r="A73" s="137" t="s">
        <v>205</v>
      </c>
      <c r="B73" s="148" t="s">
        <v>114</v>
      </c>
      <c r="C73" s="148" t="s">
        <v>265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</row>
    <row r="74" spans="1:10">
      <c r="A74" s="137" t="s">
        <v>205</v>
      </c>
      <c r="B74" s="148" t="s">
        <v>114</v>
      </c>
      <c r="C74" s="148" t="s">
        <v>266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</row>
    <row r="75" spans="1:10">
      <c r="A75" s="137" t="s">
        <v>205</v>
      </c>
      <c r="B75" s="148" t="s">
        <v>114</v>
      </c>
      <c r="C75" s="148" t="s">
        <v>267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374185-0845-460A-95C2-30DAADFBB491}">
  <sheetPr codeName="Feuil17">
    <tabColor theme="9" tint="0.79998168889431442"/>
  </sheetPr>
  <dimension ref="A1:T94"/>
  <sheetViews>
    <sheetView zoomScaleNormal="100" workbookViewId="0">
      <selection activeCell="S8" sqref="S8"/>
    </sheetView>
  </sheetViews>
  <sheetFormatPr baseColWidth="10" defaultColWidth="11.42578125" defaultRowHeight="15"/>
  <cols>
    <col min="1" max="1" width="15.7109375" bestFit="1" customWidth="1"/>
    <col min="2" max="2" width="11.7109375" bestFit="1" customWidth="1"/>
    <col min="3" max="3" width="41.140625" bestFit="1" customWidth="1"/>
    <col min="4" max="4" width="2.85546875" customWidth="1"/>
    <col min="5" max="5" width="17.5703125" bestFit="1" customWidth="1"/>
    <col min="6" max="6" width="11.7109375" bestFit="1" customWidth="1"/>
    <col min="7" max="12" width="2.140625" customWidth="1"/>
    <col min="13" max="13" width="11.7109375" bestFit="1" customWidth="1"/>
    <col min="14" max="14" width="10.7109375" bestFit="1" customWidth="1"/>
    <col min="15" max="15" width="14.28515625" bestFit="1" customWidth="1"/>
    <col min="16" max="18" width="2" customWidth="1"/>
    <col min="19" max="19" width="22.140625" bestFit="1" customWidth="1"/>
    <col min="20" max="20" width="12.42578125" bestFit="1" customWidth="1"/>
  </cols>
  <sheetData>
    <row r="1" spans="1:20" s="197" customFormat="1">
      <c r="A1" s="196" t="s">
        <v>196</v>
      </c>
      <c r="B1" s="196" t="s">
        <v>197</v>
      </c>
      <c r="C1" s="196" t="s">
        <v>198</v>
      </c>
      <c r="D1" s="196"/>
      <c r="E1" s="196" t="s">
        <v>196</v>
      </c>
      <c r="F1" s="196" t="s">
        <v>197</v>
      </c>
      <c r="M1" s="196" t="s">
        <v>268</v>
      </c>
      <c r="N1" s="196" t="s">
        <v>269</v>
      </c>
      <c r="O1" s="196" t="s">
        <v>270</v>
      </c>
      <c r="S1" s="196" t="s">
        <v>271</v>
      </c>
      <c r="T1" s="196" t="s">
        <v>382</v>
      </c>
    </row>
    <row r="2" spans="1:20">
      <c r="A2" t="s">
        <v>272</v>
      </c>
      <c r="B2" t="s">
        <v>66</v>
      </c>
      <c r="C2" t="s">
        <v>67</v>
      </c>
      <c r="E2" t="s">
        <v>272</v>
      </c>
      <c r="F2" t="s">
        <v>66</v>
      </c>
      <c r="M2" t="s">
        <v>273</v>
      </c>
      <c r="N2" t="s">
        <v>274</v>
      </c>
      <c r="O2" t="s">
        <v>274</v>
      </c>
      <c r="S2" t="s">
        <v>275</v>
      </c>
    </row>
    <row r="3" spans="1:20">
      <c r="A3" t="s">
        <v>272</v>
      </c>
      <c r="B3" t="s">
        <v>66</v>
      </c>
      <c r="C3" t="s">
        <v>68</v>
      </c>
      <c r="E3" t="s">
        <v>272</v>
      </c>
      <c r="F3" t="s">
        <v>73</v>
      </c>
    </row>
    <row r="4" spans="1:20">
      <c r="A4" t="s">
        <v>272</v>
      </c>
      <c r="B4" t="s">
        <v>66</v>
      </c>
      <c r="C4" t="s">
        <v>69</v>
      </c>
      <c r="E4" t="s">
        <v>272</v>
      </c>
      <c r="F4" t="s">
        <v>78</v>
      </c>
    </row>
    <row r="5" spans="1:20">
      <c r="A5" t="s">
        <v>272</v>
      </c>
      <c r="B5" t="s">
        <v>66</v>
      </c>
      <c r="C5" t="s">
        <v>70</v>
      </c>
      <c r="E5" t="s">
        <v>272</v>
      </c>
      <c r="F5" t="s">
        <v>80</v>
      </c>
    </row>
    <row r="6" spans="1:20">
      <c r="A6" t="s">
        <v>272</v>
      </c>
      <c r="B6" t="s">
        <v>66</v>
      </c>
      <c r="C6" t="s">
        <v>71</v>
      </c>
      <c r="E6" t="s">
        <v>272</v>
      </c>
      <c r="F6" t="s">
        <v>88</v>
      </c>
    </row>
    <row r="7" spans="1:20">
      <c r="A7" t="s">
        <v>272</v>
      </c>
      <c r="B7" t="s">
        <v>66</v>
      </c>
      <c r="C7" t="s">
        <v>72</v>
      </c>
      <c r="E7" t="s">
        <v>272</v>
      </c>
      <c r="F7" t="s">
        <v>98</v>
      </c>
    </row>
    <row r="8" spans="1:20">
      <c r="A8" t="s">
        <v>272</v>
      </c>
      <c r="B8" t="s">
        <v>73</v>
      </c>
      <c r="C8" t="s">
        <v>276</v>
      </c>
      <c r="E8" t="s">
        <v>272</v>
      </c>
      <c r="F8" t="s">
        <v>100</v>
      </c>
    </row>
    <row r="9" spans="1:20">
      <c r="A9" t="s">
        <v>272</v>
      </c>
      <c r="B9" t="s">
        <v>73</v>
      </c>
      <c r="C9" t="s">
        <v>74</v>
      </c>
      <c r="E9" t="s">
        <v>272</v>
      </c>
      <c r="F9" t="s">
        <v>111</v>
      </c>
    </row>
    <row r="10" spans="1:20">
      <c r="A10" t="s">
        <v>272</v>
      </c>
      <c r="B10" t="s">
        <v>73</v>
      </c>
      <c r="C10" t="s">
        <v>277</v>
      </c>
      <c r="E10" t="s">
        <v>272</v>
      </c>
      <c r="F10" t="s">
        <v>114</v>
      </c>
    </row>
    <row r="11" spans="1:20">
      <c r="A11" t="s">
        <v>272</v>
      </c>
      <c r="B11" t="s">
        <v>73</v>
      </c>
      <c r="C11" t="s">
        <v>75</v>
      </c>
    </row>
    <row r="12" spans="1:20">
      <c r="A12" t="s">
        <v>272</v>
      </c>
      <c r="B12" t="s">
        <v>73</v>
      </c>
      <c r="C12" t="s">
        <v>76</v>
      </c>
    </row>
    <row r="13" spans="1:20">
      <c r="A13" t="s">
        <v>272</v>
      </c>
      <c r="B13" t="s">
        <v>73</v>
      </c>
      <c r="C13" t="s">
        <v>77</v>
      </c>
    </row>
    <row r="14" spans="1:20">
      <c r="A14" t="s">
        <v>272</v>
      </c>
      <c r="B14" t="s">
        <v>78</v>
      </c>
      <c r="C14" t="s">
        <v>79</v>
      </c>
    </row>
    <row r="15" spans="1:20">
      <c r="A15" t="s">
        <v>272</v>
      </c>
      <c r="B15" t="s">
        <v>80</v>
      </c>
      <c r="C15" t="s">
        <v>81</v>
      </c>
    </row>
    <row r="16" spans="1:20">
      <c r="A16" t="s">
        <v>272</v>
      </c>
      <c r="B16" t="s">
        <v>80</v>
      </c>
      <c r="C16" t="s">
        <v>218</v>
      </c>
    </row>
    <row r="17" spans="1:3">
      <c r="A17" t="s">
        <v>272</v>
      </c>
      <c r="B17" t="s">
        <v>80</v>
      </c>
      <c r="C17" t="s">
        <v>82</v>
      </c>
    </row>
    <row r="18" spans="1:3">
      <c r="A18" t="s">
        <v>272</v>
      </c>
      <c r="B18" t="s">
        <v>80</v>
      </c>
      <c r="C18" t="s">
        <v>83</v>
      </c>
    </row>
    <row r="19" spans="1:3">
      <c r="A19" t="s">
        <v>272</v>
      </c>
      <c r="B19" t="s">
        <v>80</v>
      </c>
      <c r="C19" t="s">
        <v>278</v>
      </c>
    </row>
    <row r="20" spans="1:3">
      <c r="A20" t="s">
        <v>272</v>
      </c>
      <c r="B20" t="s">
        <v>80</v>
      </c>
      <c r="C20" t="s">
        <v>84</v>
      </c>
    </row>
    <row r="21" spans="1:3">
      <c r="A21" t="s">
        <v>272</v>
      </c>
      <c r="B21" t="s">
        <v>80</v>
      </c>
      <c r="C21" t="s">
        <v>85</v>
      </c>
    </row>
    <row r="22" spans="1:3">
      <c r="A22" t="s">
        <v>272</v>
      </c>
      <c r="B22" t="s">
        <v>80</v>
      </c>
      <c r="C22" t="s">
        <v>86</v>
      </c>
    </row>
    <row r="23" spans="1:3">
      <c r="A23" t="s">
        <v>272</v>
      </c>
      <c r="B23" t="s">
        <v>80</v>
      </c>
      <c r="C23" t="s">
        <v>87</v>
      </c>
    </row>
    <row r="24" spans="1:3">
      <c r="A24" t="s">
        <v>272</v>
      </c>
      <c r="B24" t="s">
        <v>88</v>
      </c>
      <c r="C24" t="s">
        <v>89</v>
      </c>
    </row>
    <row r="25" spans="1:3">
      <c r="A25" t="s">
        <v>272</v>
      </c>
      <c r="B25" t="s">
        <v>88</v>
      </c>
      <c r="C25" t="s">
        <v>279</v>
      </c>
    </row>
    <row r="26" spans="1:3">
      <c r="A26" t="s">
        <v>272</v>
      </c>
      <c r="B26" t="s">
        <v>88</v>
      </c>
      <c r="C26" t="s">
        <v>280</v>
      </c>
    </row>
    <row r="27" spans="1:3">
      <c r="A27" t="s">
        <v>272</v>
      </c>
      <c r="B27" t="s">
        <v>88</v>
      </c>
      <c r="C27" t="s">
        <v>281</v>
      </c>
    </row>
    <row r="28" spans="1:3">
      <c r="A28" t="s">
        <v>272</v>
      </c>
      <c r="B28" t="s">
        <v>88</v>
      </c>
      <c r="C28" t="s">
        <v>282</v>
      </c>
    </row>
    <row r="29" spans="1:3">
      <c r="A29" t="s">
        <v>272</v>
      </c>
      <c r="B29" t="s">
        <v>88</v>
      </c>
      <c r="C29" t="s">
        <v>90</v>
      </c>
    </row>
    <row r="30" spans="1:3">
      <c r="A30" t="s">
        <v>272</v>
      </c>
      <c r="B30" t="s">
        <v>88</v>
      </c>
      <c r="C30" t="s">
        <v>91</v>
      </c>
    </row>
    <row r="31" spans="1:3">
      <c r="A31" t="s">
        <v>272</v>
      </c>
      <c r="B31" t="s">
        <v>88</v>
      </c>
      <c r="C31" t="s">
        <v>92</v>
      </c>
    </row>
    <row r="32" spans="1:3">
      <c r="A32" t="s">
        <v>272</v>
      </c>
      <c r="B32" t="s">
        <v>88</v>
      </c>
      <c r="C32" t="s">
        <v>283</v>
      </c>
    </row>
    <row r="33" spans="1:3">
      <c r="A33" t="s">
        <v>272</v>
      </c>
      <c r="B33" t="s">
        <v>88</v>
      </c>
      <c r="C33" t="s">
        <v>93</v>
      </c>
    </row>
    <row r="34" spans="1:3">
      <c r="A34" t="s">
        <v>272</v>
      </c>
      <c r="B34" t="s">
        <v>88</v>
      </c>
      <c r="C34" t="s">
        <v>94</v>
      </c>
    </row>
    <row r="35" spans="1:3">
      <c r="A35" t="s">
        <v>272</v>
      </c>
      <c r="B35" t="s">
        <v>88</v>
      </c>
      <c r="C35" t="s">
        <v>95</v>
      </c>
    </row>
    <row r="36" spans="1:3">
      <c r="A36" t="s">
        <v>272</v>
      </c>
      <c r="B36" t="s">
        <v>88</v>
      </c>
      <c r="C36" t="s">
        <v>194</v>
      </c>
    </row>
    <row r="37" spans="1:3">
      <c r="A37" t="s">
        <v>272</v>
      </c>
      <c r="B37" t="s">
        <v>88</v>
      </c>
      <c r="C37" t="s">
        <v>284</v>
      </c>
    </row>
    <row r="38" spans="1:3">
      <c r="A38" t="s">
        <v>272</v>
      </c>
      <c r="B38" t="s">
        <v>88</v>
      </c>
      <c r="C38" t="s">
        <v>96</v>
      </c>
    </row>
    <row r="39" spans="1:3">
      <c r="A39" t="s">
        <v>272</v>
      </c>
      <c r="B39" t="s">
        <v>88</v>
      </c>
      <c r="C39" t="s">
        <v>285</v>
      </c>
    </row>
    <row r="40" spans="1:3">
      <c r="A40" t="s">
        <v>272</v>
      </c>
      <c r="B40" t="s">
        <v>88</v>
      </c>
      <c r="C40" t="s">
        <v>286</v>
      </c>
    </row>
    <row r="41" spans="1:3">
      <c r="A41" t="s">
        <v>272</v>
      </c>
      <c r="B41" t="s">
        <v>88</v>
      </c>
      <c r="C41" t="s">
        <v>97</v>
      </c>
    </row>
    <row r="42" spans="1:3">
      <c r="A42" t="s">
        <v>272</v>
      </c>
      <c r="B42" t="s">
        <v>88</v>
      </c>
      <c r="C42" t="s">
        <v>287</v>
      </c>
    </row>
    <row r="43" spans="1:3">
      <c r="A43" t="s">
        <v>272</v>
      </c>
      <c r="B43" t="s">
        <v>88</v>
      </c>
      <c r="C43" t="s">
        <v>288</v>
      </c>
    </row>
    <row r="44" spans="1:3">
      <c r="A44" t="s">
        <v>272</v>
      </c>
      <c r="B44" t="s">
        <v>88</v>
      </c>
      <c r="C44" t="s">
        <v>289</v>
      </c>
    </row>
    <row r="45" spans="1:3">
      <c r="A45" t="s">
        <v>272</v>
      </c>
      <c r="B45" t="s">
        <v>88</v>
      </c>
      <c r="C45" t="s">
        <v>290</v>
      </c>
    </row>
    <row r="46" spans="1:3">
      <c r="A46" t="s">
        <v>272</v>
      </c>
      <c r="B46" t="s">
        <v>88</v>
      </c>
      <c r="C46" t="s">
        <v>291</v>
      </c>
    </row>
    <row r="47" spans="1:3">
      <c r="A47" t="s">
        <v>272</v>
      </c>
      <c r="B47" t="s">
        <v>98</v>
      </c>
      <c r="C47" t="s">
        <v>99</v>
      </c>
    </row>
    <row r="48" spans="1:3">
      <c r="A48" t="s">
        <v>272</v>
      </c>
      <c r="B48" t="s">
        <v>100</v>
      </c>
      <c r="C48" t="s">
        <v>101</v>
      </c>
    </row>
    <row r="49" spans="1:3">
      <c r="A49" t="s">
        <v>272</v>
      </c>
      <c r="B49" t="s">
        <v>100</v>
      </c>
      <c r="C49" t="s">
        <v>102</v>
      </c>
    </row>
    <row r="50" spans="1:3">
      <c r="A50" t="s">
        <v>272</v>
      </c>
      <c r="B50" t="s">
        <v>100</v>
      </c>
      <c r="C50" t="s">
        <v>103</v>
      </c>
    </row>
    <row r="51" spans="1:3">
      <c r="A51" t="s">
        <v>272</v>
      </c>
      <c r="B51" t="s">
        <v>100</v>
      </c>
      <c r="C51" t="s">
        <v>104</v>
      </c>
    </row>
    <row r="52" spans="1:3">
      <c r="A52" t="s">
        <v>272</v>
      </c>
      <c r="B52" t="s">
        <v>100</v>
      </c>
      <c r="C52" t="s">
        <v>105</v>
      </c>
    </row>
    <row r="53" spans="1:3">
      <c r="A53" t="s">
        <v>272</v>
      </c>
      <c r="B53" t="s">
        <v>100</v>
      </c>
      <c r="C53" t="s">
        <v>106</v>
      </c>
    </row>
    <row r="54" spans="1:3">
      <c r="A54" t="s">
        <v>272</v>
      </c>
      <c r="B54" t="s">
        <v>100</v>
      </c>
      <c r="C54" t="s">
        <v>107</v>
      </c>
    </row>
    <row r="55" spans="1:3">
      <c r="A55" t="s">
        <v>272</v>
      </c>
      <c r="B55" t="s">
        <v>100</v>
      </c>
      <c r="C55" t="s">
        <v>108</v>
      </c>
    </row>
    <row r="56" spans="1:3">
      <c r="A56" t="s">
        <v>272</v>
      </c>
      <c r="B56" t="s">
        <v>100</v>
      </c>
      <c r="C56" t="s">
        <v>109</v>
      </c>
    </row>
    <row r="57" spans="1:3">
      <c r="A57" t="s">
        <v>272</v>
      </c>
      <c r="B57" t="s">
        <v>100</v>
      </c>
      <c r="C57" t="s">
        <v>110</v>
      </c>
    </row>
    <row r="58" spans="1:3">
      <c r="A58" t="s">
        <v>272</v>
      </c>
      <c r="B58" t="s">
        <v>100</v>
      </c>
      <c r="C58" t="s">
        <v>292</v>
      </c>
    </row>
    <row r="59" spans="1:3">
      <c r="A59" t="s">
        <v>272</v>
      </c>
      <c r="B59" t="s">
        <v>111</v>
      </c>
      <c r="C59" t="s">
        <v>112</v>
      </c>
    </row>
    <row r="60" spans="1:3">
      <c r="A60" t="s">
        <v>272</v>
      </c>
      <c r="B60" t="s">
        <v>111</v>
      </c>
      <c r="C60" t="s">
        <v>293</v>
      </c>
    </row>
    <row r="61" spans="1:3">
      <c r="A61" t="s">
        <v>272</v>
      </c>
      <c r="B61" t="s">
        <v>111</v>
      </c>
      <c r="C61" t="s">
        <v>113</v>
      </c>
    </row>
    <row r="62" spans="1:3">
      <c r="A62" t="s">
        <v>272</v>
      </c>
      <c r="B62" t="s">
        <v>114</v>
      </c>
      <c r="C62" t="s">
        <v>294</v>
      </c>
    </row>
    <row r="63" spans="1:3">
      <c r="A63" t="s">
        <v>272</v>
      </c>
      <c r="B63" t="s">
        <v>114</v>
      </c>
      <c r="C63" t="s">
        <v>295</v>
      </c>
    </row>
    <row r="64" spans="1:3">
      <c r="A64" t="s">
        <v>272</v>
      </c>
      <c r="B64" t="s">
        <v>114</v>
      </c>
      <c r="C64" t="s">
        <v>296</v>
      </c>
    </row>
    <row r="65" spans="1:3">
      <c r="A65" t="s">
        <v>272</v>
      </c>
      <c r="B65" t="s">
        <v>114</v>
      </c>
      <c r="C65" t="s">
        <v>115</v>
      </c>
    </row>
    <row r="66" spans="1:3">
      <c r="A66" t="s">
        <v>272</v>
      </c>
      <c r="B66" t="s">
        <v>114</v>
      </c>
      <c r="C66" t="s">
        <v>297</v>
      </c>
    </row>
    <row r="67" spans="1:3">
      <c r="A67" t="s">
        <v>272</v>
      </c>
      <c r="B67" t="s">
        <v>114</v>
      </c>
      <c r="C67" t="s">
        <v>67</v>
      </c>
    </row>
    <row r="68" spans="1:3">
      <c r="A68" t="s">
        <v>272</v>
      </c>
      <c r="B68" t="s">
        <v>114</v>
      </c>
      <c r="C68" t="s">
        <v>298</v>
      </c>
    </row>
    <row r="69" spans="1:3">
      <c r="A69" t="s">
        <v>272</v>
      </c>
      <c r="B69" t="s">
        <v>114</v>
      </c>
      <c r="C69" t="s">
        <v>299</v>
      </c>
    </row>
    <row r="70" spans="1:3">
      <c r="A70" t="s">
        <v>272</v>
      </c>
      <c r="B70" t="s">
        <v>114</v>
      </c>
      <c r="C70" t="s">
        <v>116</v>
      </c>
    </row>
    <row r="71" spans="1:3">
      <c r="A71" t="s">
        <v>272</v>
      </c>
      <c r="B71" t="s">
        <v>114</v>
      </c>
      <c r="C71" t="s">
        <v>117</v>
      </c>
    </row>
    <row r="72" spans="1:3">
      <c r="A72" t="s">
        <v>272</v>
      </c>
      <c r="B72" t="s">
        <v>114</v>
      </c>
      <c r="C72" t="s">
        <v>300</v>
      </c>
    </row>
    <row r="73" spans="1:3">
      <c r="A73" t="s">
        <v>272</v>
      </c>
      <c r="B73" t="s">
        <v>114</v>
      </c>
      <c r="C73" t="s">
        <v>301</v>
      </c>
    </row>
    <row r="74" spans="1:3">
      <c r="A74" t="s">
        <v>272</v>
      </c>
      <c r="B74" t="s">
        <v>114</v>
      </c>
      <c r="C74" t="s">
        <v>302</v>
      </c>
    </row>
    <row r="75" spans="1:3">
      <c r="A75" t="s">
        <v>272</v>
      </c>
      <c r="B75" t="s">
        <v>114</v>
      </c>
      <c r="C75" t="s">
        <v>303</v>
      </c>
    </row>
    <row r="76" spans="1:3">
      <c r="A76" t="s">
        <v>272</v>
      </c>
      <c r="B76" t="s">
        <v>114</v>
      </c>
      <c r="C76" t="s">
        <v>304</v>
      </c>
    </row>
    <row r="77" spans="1:3">
      <c r="A77" t="s">
        <v>272</v>
      </c>
      <c r="B77" t="s">
        <v>114</v>
      </c>
      <c r="C77" t="s">
        <v>305</v>
      </c>
    </row>
    <row r="78" spans="1:3">
      <c r="A78" t="s">
        <v>272</v>
      </c>
      <c r="B78" t="s">
        <v>114</v>
      </c>
      <c r="C78" t="s">
        <v>306</v>
      </c>
    </row>
    <row r="79" spans="1:3">
      <c r="A79" t="s">
        <v>272</v>
      </c>
      <c r="B79" t="s">
        <v>114</v>
      </c>
      <c r="C79" t="s">
        <v>307</v>
      </c>
    </row>
    <row r="80" spans="1:3">
      <c r="A80" t="s">
        <v>272</v>
      </c>
      <c r="B80" t="s">
        <v>114</v>
      </c>
      <c r="C80" t="s">
        <v>308</v>
      </c>
    </row>
    <row r="81" spans="1:3">
      <c r="A81" t="s">
        <v>272</v>
      </c>
      <c r="B81" t="s">
        <v>114</v>
      </c>
      <c r="C81" t="s">
        <v>309</v>
      </c>
    </row>
    <row r="82" spans="1:3">
      <c r="A82" t="s">
        <v>272</v>
      </c>
      <c r="B82" t="s">
        <v>114</v>
      </c>
      <c r="C82" t="s">
        <v>118</v>
      </c>
    </row>
    <row r="83" spans="1:3">
      <c r="A83" t="s">
        <v>272</v>
      </c>
      <c r="B83" t="s">
        <v>114</v>
      </c>
      <c r="C83" t="s">
        <v>310</v>
      </c>
    </row>
    <row r="84" spans="1:3">
      <c r="A84" t="s">
        <v>272</v>
      </c>
      <c r="B84" t="s">
        <v>114</v>
      </c>
      <c r="C84" t="s">
        <v>311</v>
      </c>
    </row>
    <row r="85" spans="1:3">
      <c r="A85" t="s">
        <v>272</v>
      </c>
      <c r="B85" t="s">
        <v>114</v>
      </c>
      <c r="C85" t="s">
        <v>312</v>
      </c>
    </row>
    <row r="86" spans="1:3">
      <c r="A86" t="s">
        <v>272</v>
      </c>
      <c r="B86" t="s">
        <v>114</v>
      </c>
      <c r="C86" t="s">
        <v>119</v>
      </c>
    </row>
    <row r="87" spans="1:3">
      <c r="A87" t="s">
        <v>272</v>
      </c>
      <c r="B87" t="s">
        <v>114</v>
      </c>
      <c r="C87" t="s">
        <v>313</v>
      </c>
    </row>
    <row r="88" spans="1:3">
      <c r="A88" t="s">
        <v>272</v>
      </c>
      <c r="B88" t="s">
        <v>114</v>
      </c>
      <c r="C88" t="s">
        <v>314</v>
      </c>
    </row>
    <row r="89" spans="1:3">
      <c r="A89" t="s">
        <v>272</v>
      </c>
      <c r="B89" t="s">
        <v>114</v>
      </c>
      <c r="C89" t="s">
        <v>267</v>
      </c>
    </row>
    <row r="90" spans="1:3">
      <c r="A90" t="s">
        <v>272</v>
      </c>
      <c r="B90" t="s">
        <v>114</v>
      </c>
      <c r="C90" t="s">
        <v>315</v>
      </c>
    </row>
    <row r="91" spans="1:3">
      <c r="A91" t="s">
        <v>272</v>
      </c>
      <c r="B91" t="s">
        <v>114</v>
      </c>
      <c r="C91" t="s">
        <v>120</v>
      </c>
    </row>
    <row r="92" spans="1:3">
      <c r="A92" t="s">
        <v>272</v>
      </c>
      <c r="B92" t="s">
        <v>114</v>
      </c>
      <c r="C92" t="s">
        <v>316</v>
      </c>
    </row>
    <row r="93" spans="1:3">
      <c r="A93" t="s">
        <v>272</v>
      </c>
      <c r="B93" t="s">
        <v>114</v>
      </c>
      <c r="C93" t="s">
        <v>317</v>
      </c>
    </row>
    <row r="94" spans="1:3">
      <c r="A94" t="s">
        <v>272</v>
      </c>
      <c r="B94" t="s">
        <v>114</v>
      </c>
      <c r="C94" t="s">
        <v>318</v>
      </c>
    </row>
  </sheetData>
  <pageMargins left="0.7" right="0.7" top="0.75" bottom="0.75" header="0.3" footer="0.3"/>
  <pageSetup paperSize="9" orientation="portrait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FA5AD4-71C7-4698-BE1E-3A736403D3FB}">
  <sheetPr codeName="Feuil31"/>
  <dimension ref="A1:A16"/>
  <sheetViews>
    <sheetView workbookViewId="0">
      <selection activeCell="A2" sqref="A2"/>
    </sheetView>
  </sheetViews>
  <sheetFormatPr baseColWidth="10" defaultColWidth="9.140625" defaultRowHeight="15"/>
  <cols>
    <col min="1" max="1" width="79.28515625" customWidth="1"/>
  </cols>
  <sheetData>
    <row r="1" spans="1:1">
      <c r="A1" t="s">
        <v>319</v>
      </c>
    </row>
    <row r="2" spans="1:1">
      <c r="A2" t="s">
        <v>320</v>
      </c>
    </row>
    <row r="3" spans="1:1">
      <c r="A3" t="s">
        <v>321</v>
      </c>
    </row>
    <row r="4" spans="1:1">
      <c r="A4" t="s">
        <v>322</v>
      </c>
    </row>
    <row r="5" spans="1:1">
      <c r="A5" t="s">
        <v>323</v>
      </c>
    </row>
    <row r="6" spans="1:1">
      <c r="A6" t="s">
        <v>324</v>
      </c>
    </row>
    <row r="7" spans="1:1">
      <c r="A7" t="s">
        <v>325</v>
      </c>
    </row>
    <row r="9" spans="1:1">
      <c r="A9" t="s">
        <v>326</v>
      </c>
    </row>
    <row r="10" spans="1:1">
      <c r="A10" t="s">
        <v>327</v>
      </c>
    </row>
    <row r="11" spans="1:1">
      <c r="A11" t="s">
        <v>328</v>
      </c>
    </row>
    <row r="12" spans="1:1">
      <c r="A12" t="s">
        <v>329</v>
      </c>
    </row>
    <row r="13" spans="1:1">
      <c r="A13" t="s">
        <v>330</v>
      </c>
    </row>
    <row r="14" spans="1:1">
      <c r="A14" t="s">
        <v>331</v>
      </c>
    </row>
    <row r="15" spans="1:1">
      <c r="A15" t="s">
        <v>332</v>
      </c>
    </row>
    <row r="16" spans="1:1">
      <c r="A16" t="s">
        <v>333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Feuil1"/>
  <dimension ref="A1:G512"/>
  <sheetViews>
    <sheetView workbookViewId="0">
      <selection activeCell="A3" sqref="A3"/>
    </sheetView>
  </sheetViews>
  <sheetFormatPr baseColWidth="10" defaultColWidth="11.42578125" defaultRowHeight="15"/>
  <cols>
    <col min="1" max="1" width="19.5703125" bestFit="1" customWidth="1"/>
    <col min="2" max="2" width="50.42578125" bestFit="1" customWidth="1"/>
    <col min="3" max="3" width="16.42578125" bestFit="1" customWidth="1"/>
    <col min="4" max="8" width="11.42578125" customWidth="1"/>
  </cols>
  <sheetData>
    <row r="1" spans="1:7">
      <c r="A1" t="s">
        <v>334</v>
      </c>
      <c r="B1" t="s">
        <v>335</v>
      </c>
      <c r="C1" t="s">
        <v>165</v>
      </c>
    </row>
    <row r="2" spans="1:7">
      <c r="A2" t="s">
        <v>8</v>
      </c>
      <c r="B2" t="s">
        <v>8</v>
      </c>
      <c r="C2" t="s">
        <v>336</v>
      </c>
    </row>
    <row r="4" spans="1:7">
      <c r="G4" s="33"/>
    </row>
    <row r="416" spans="1:3">
      <c r="A416" s="129"/>
      <c r="B416" s="129"/>
      <c r="C416" s="129"/>
    </row>
    <row r="438" spans="1:3">
      <c r="A438" s="129"/>
      <c r="B438" s="129"/>
      <c r="C438" s="129"/>
    </row>
    <row r="441" spans="1:3">
      <c r="A441" s="129"/>
      <c r="B441" s="129"/>
      <c r="C441" s="129"/>
    </row>
    <row r="456" spans="1:3">
      <c r="A456" s="129"/>
      <c r="B456" s="129"/>
      <c r="C456" s="129"/>
    </row>
    <row r="478" spans="1:3">
      <c r="A478" s="129"/>
      <c r="B478" s="129"/>
      <c r="C478" s="129"/>
    </row>
    <row r="481" spans="1:3">
      <c r="A481" s="129"/>
      <c r="B481" s="129"/>
      <c r="C481" s="129"/>
    </row>
    <row r="494" spans="1:3">
      <c r="A494" s="45"/>
      <c r="B494" s="45"/>
      <c r="C494" s="45"/>
    </row>
    <row r="495" spans="1:3">
      <c r="A495" s="45"/>
      <c r="B495" s="45"/>
      <c r="C495" s="45"/>
    </row>
    <row r="496" spans="1:3">
      <c r="A496" s="45"/>
      <c r="B496" s="45"/>
      <c r="C496" s="45"/>
    </row>
    <row r="497" spans="1:3">
      <c r="A497" s="45"/>
      <c r="B497" s="45"/>
      <c r="C497" s="45"/>
    </row>
    <row r="498" spans="1:3">
      <c r="A498" s="45"/>
      <c r="B498" s="45"/>
      <c r="C498" s="45"/>
    </row>
    <row r="499" spans="1:3">
      <c r="A499" s="45"/>
      <c r="B499" s="45"/>
      <c r="C499" s="45"/>
    </row>
    <row r="500" spans="1:3">
      <c r="A500" s="45"/>
      <c r="B500" s="45"/>
      <c r="C500" s="45"/>
    </row>
    <row r="501" spans="1:3">
      <c r="A501" s="45"/>
      <c r="B501" s="45"/>
      <c r="C501" s="45"/>
    </row>
    <row r="502" spans="1:3">
      <c r="A502" s="45"/>
      <c r="B502" s="45"/>
      <c r="C502" s="45"/>
    </row>
    <row r="503" spans="1:3">
      <c r="A503" s="45"/>
      <c r="B503" s="45"/>
      <c r="C503" s="45"/>
    </row>
    <row r="504" spans="1:3">
      <c r="A504" s="129"/>
      <c r="B504" s="129"/>
      <c r="C504" s="129"/>
    </row>
    <row r="505" spans="1:3">
      <c r="A505" s="129"/>
      <c r="B505" s="129"/>
      <c r="C505" s="129"/>
    </row>
    <row r="506" spans="1:3">
      <c r="A506" s="129"/>
      <c r="B506" s="129"/>
      <c r="C506" s="129"/>
    </row>
    <row r="507" spans="1:3">
      <c r="A507" s="129"/>
      <c r="B507" s="129"/>
      <c r="C507" s="129"/>
    </row>
    <row r="508" spans="1:3">
      <c r="A508" s="129"/>
      <c r="B508" s="129"/>
      <c r="C508" s="129"/>
    </row>
    <row r="509" spans="1:3">
      <c r="A509" s="129"/>
      <c r="B509" s="129"/>
      <c r="C509" s="129"/>
    </row>
    <row r="512" spans="1:3">
      <c r="C512" s="129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Feuil3">
    <tabColor theme="0"/>
  </sheetPr>
  <dimension ref="A1:E1"/>
  <sheetViews>
    <sheetView workbookViewId="0">
      <selection sqref="A1:XFD2"/>
    </sheetView>
  </sheetViews>
  <sheetFormatPr baseColWidth="10" defaultColWidth="11.42578125" defaultRowHeight="15"/>
  <cols>
    <col min="1" max="1" width="21.85546875" style="139" bestFit="1" customWidth="1"/>
    <col min="2" max="2" width="97.85546875" bestFit="1" customWidth="1"/>
    <col min="3" max="3" width="14" bestFit="1" customWidth="1"/>
    <col min="4" max="4" width="38.140625" bestFit="1" customWidth="1"/>
  </cols>
  <sheetData>
    <row r="1" spans="1:5">
      <c r="A1" s="139" t="s">
        <v>337</v>
      </c>
      <c r="B1" t="s">
        <v>338</v>
      </c>
      <c r="C1" t="s">
        <v>339</v>
      </c>
      <c r="D1" t="s">
        <v>340</v>
      </c>
      <c r="E1" t="s">
        <v>341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31</vt:i4>
      </vt:variant>
      <vt:variant>
        <vt:lpstr>Plages nommées</vt:lpstr>
      </vt:variant>
      <vt:variant>
        <vt:i4>9</vt:i4>
      </vt:variant>
    </vt:vector>
  </HeadingPairs>
  <TitlesOfParts>
    <vt:vector size="40" baseType="lpstr">
      <vt:lpstr>Page de garde</vt:lpstr>
      <vt:lpstr>CONTROLE</vt:lpstr>
      <vt:lpstr>Résultats</vt:lpstr>
      <vt:lpstr>Evolution effectifs</vt:lpstr>
      <vt:lpstr>Démographie</vt:lpstr>
      <vt:lpstr>Prestations Réglées</vt:lpstr>
      <vt:lpstr>Prestations Réglées Graph</vt:lpstr>
      <vt:lpstr>AIDES</vt:lpstr>
      <vt:lpstr>AUTRE</vt:lpstr>
      <vt:lpstr>CURE</vt:lpstr>
      <vt:lpstr>DENTA</vt:lpstr>
      <vt:lpstr>HOSPI</vt:lpstr>
      <vt:lpstr>OBSEQ</vt:lpstr>
      <vt:lpstr>OPTIQ</vt:lpstr>
      <vt:lpstr>PREVE</vt:lpstr>
      <vt:lpstr>SOINS</vt:lpstr>
      <vt:lpstr>Prestations Réglées N et N-1</vt:lpstr>
      <vt:lpstr>Prestations Réglées Moyennes</vt:lpstr>
      <vt:lpstr>Quartil garantie_1</vt:lpstr>
      <vt:lpstr>Quartil garantie_2</vt:lpstr>
      <vt:lpstr>Quartil garantie_3</vt:lpstr>
      <vt:lpstr>DATA DEMO</vt:lpstr>
      <vt:lpstr>DATA COT</vt:lpstr>
      <vt:lpstr>DATA PREST</vt:lpstr>
      <vt:lpstr>DATA EXP</vt:lpstr>
      <vt:lpstr>DATA PROV</vt:lpstr>
      <vt:lpstr>DATA QUARTILE</vt:lpstr>
      <vt:lpstr>AFFICHAGE</vt:lpstr>
      <vt:lpstr>IMPORT</vt:lpstr>
      <vt:lpstr>COLLEGE</vt:lpstr>
      <vt:lpstr>Erreurs</vt:lpstr>
      <vt:lpstr>Démographie!Zone_d_impression</vt:lpstr>
      <vt:lpstr>'Evolution effectifs'!Zone_d_impression</vt:lpstr>
      <vt:lpstr>'Page de garde'!Zone_d_impression</vt:lpstr>
      <vt:lpstr>'Prestations Réglées'!Zone_d_impression</vt:lpstr>
      <vt:lpstr>'Prestations Réglées Graph'!Zone_d_impression</vt:lpstr>
      <vt:lpstr>'Quartil garantie_1'!Zone_d_impression</vt:lpstr>
      <vt:lpstr>'Quartil garantie_2'!Zone_d_impression</vt:lpstr>
      <vt:lpstr>'Quartil garantie_3'!Zone_d_impression</vt:lpstr>
      <vt:lpstr>Résultats!Zone_d_impression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alain moeglin</cp:lastModifiedBy>
  <cp:lastPrinted>2022-09-21T10:28:00Z</cp:lastPrinted>
  <dcterms:created xsi:type="dcterms:W3CDTF">2017-05-24T08:26:58Z</dcterms:created>
  <dcterms:modified xsi:type="dcterms:W3CDTF">2023-07-12T07:28:47Z</dcterms:modified>
</cp:coreProperties>
</file>