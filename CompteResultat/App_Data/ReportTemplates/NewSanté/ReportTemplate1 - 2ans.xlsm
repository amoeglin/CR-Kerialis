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harts/chart11.xml" ContentType="application/vnd.openxmlformats-officedocument.drawingml.chart+xml"/>
  <Override PartName="/xl/drawings/drawing10.xml" ContentType="application/vnd.openxmlformats-officedocument.drawing+xml"/>
  <Override PartName="/xl/charts/chart12.xml" ContentType="application/vnd.openxmlformats-officedocument.drawingml.chart+xml"/>
  <Override PartName="/xl/drawings/drawing11.xml" ContentType="application/vnd.openxmlformats-officedocument.drawing+xml"/>
  <Override PartName="/xl/charts/chart13.xml" ContentType="application/vnd.openxmlformats-officedocument.drawingml.chart+xml"/>
  <Override PartName="/xl/drawings/drawing12.xml" ContentType="application/vnd.openxmlformats-officedocument.drawing+xml"/>
  <Override PartName="/xl/charts/chart14.xml" ContentType="application/vnd.openxmlformats-officedocument.drawingml.chart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theme/themeOverride6.xml" ContentType="application/vnd.openxmlformats-officedocument.themeOverride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theme/themeOverride7.xml" ContentType="application/vnd.openxmlformats-officedocument.themeOverride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ALBATROS4\Users\Dossier Commun Cabinet MOEGLIN\Missions\2022\Kerialis Santé BDP\NewSanté\"/>
    </mc:Choice>
  </mc:AlternateContent>
  <xr:revisionPtr revIDLastSave="0" documentId="13_ncr:1_{68E5849E-B1B8-4E0B-8BBE-34D12B3A0CBE}" xr6:coauthVersionLast="47" xr6:coauthVersionMax="47" xr10:uidLastSave="{00000000-0000-0000-0000-000000000000}"/>
  <bookViews>
    <workbookView xWindow="-93" yWindow="-93" windowWidth="25786" windowHeight="13986" xr2:uid="{00000000-000D-0000-FFFF-FFFF00000000}"/>
  </bookViews>
  <sheets>
    <sheet name="Page de garde" sheetId="13" r:id="rId1"/>
    <sheet name="Résultats" sheetId="14" r:id="rId2"/>
    <sheet name="Evolution effectifs" sheetId="16" r:id="rId3"/>
    <sheet name="Démographie" sheetId="18" r:id="rId4"/>
    <sheet name="Prestations Réglées" sheetId="21" r:id="rId5"/>
    <sheet name="Prestations Réglées Graph" sheetId="31" r:id="rId6"/>
    <sheet name="AIDES" sheetId="196" r:id="rId7"/>
    <sheet name="AUTRE" sheetId="197" r:id="rId8"/>
    <sheet name="CURE" sheetId="198" r:id="rId9"/>
    <sheet name="DENTA" sheetId="199" r:id="rId10"/>
    <sheet name="HOSPI" sheetId="200" r:id="rId11"/>
    <sheet name="OPTIQ" sheetId="203" r:id="rId12"/>
    <sheet name="PREVE" sheetId="205" r:id="rId13"/>
    <sheet name="SOINS" sheetId="206" r:id="rId14"/>
    <sheet name="Prestations Réglées N et N-1" sheetId="40" r:id="rId15"/>
    <sheet name="Prestations Réglées Moyennes" sheetId="47" r:id="rId16"/>
    <sheet name="Quartil garantie_1" sheetId="46" r:id="rId17"/>
    <sheet name="Quartil garantie_2" sheetId="41" r:id="rId18"/>
    <sheet name="Quartil garantie_3" sheetId="45" r:id="rId19"/>
    <sheet name="DATA DEMO" sheetId="4" r:id="rId20"/>
    <sheet name="DATA COT" sheetId="5" r:id="rId21"/>
    <sheet name="DATA PREST" sheetId="6" r:id="rId22"/>
    <sheet name="DATA EXP" sheetId="7" r:id="rId23"/>
    <sheet name="DATA PROV" sheetId="8" r:id="rId24"/>
    <sheet name="DATA QUARTILE" sheetId="9" r:id="rId25"/>
    <sheet name="AFFICHAGE" sheetId="10" r:id="rId26"/>
    <sheet name="COLLEGE" sheetId="26" r:id="rId27"/>
    <sheet name="Erreurs" sheetId="36" r:id="rId28"/>
  </sheets>
  <functionGroups builtInGroupCount="19"/>
  <definedNames>
    <definedName name="_xlnm._FilterDatabase" localSheetId="22" hidden="1">'DATA EXP'!$A$1:$Q$1</definedName>
    <definedName name="_xlnm._FilterDatabase" localSheetId="21" hidden="1">'DATA PREST'!$A$1:$R$53</definedName>
    <definedName name="_xlnm.Print_Area" localSheetId="3">Démographie!$A$1:$R$48</definedName>
    <definedName name="_xlnm.Print_Area" localSheetId="2">'Evolution effectifs'!$A$1:$M$46</definedName>
    <definedName name="_xlnm.Print_Area" localSheetId="0">'Page de garde'!$A$1:$T$42</definedName>
    <definedName name="_xlnm.Print_Area" localSheetId="4">'Prestations Réglées'!$A$1:$S$42</definedName>
    <definedName name="_xlnm.Print_Area" localSheetId="5">'Prestations Réglées Graph'!$A$1:$T$52</definedName>
    <definedName name="_xlnm.Print_Area" localSheetId="16">'Quartil garantie_1'!$A$1:$T$51</definedName>
    <definedName name="_xlnm.Print_Area" localSheetId="17">'Quartil garantie_2'!$A$1:$T$51</definedName>
    <definedName name="_xlnm.Print_Area" localSheetId="18">'Quartil garantie_3'!$A$1:$T$51</definedName>
    <definedName name="_xlnm.Print_Area" localSheetId="1">Résultats!$A$1:$T$39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206" l="1"/>
  <c r="C8" i="205"/>
  <c r="C8" i="203"/>
  <c r="C8" i="200"/>
  <c r="C8" i="199"/>
  <c r="C8" i="198"/>
  <c r="C8" i="197"/>
  <c r="C8" i="196"/>
  <c r="Z25" i="45" l="1"/>
  <c r="Z24" i="45"/>
  <c r="Z23" i="45"/>
  <c r="Z22" i="45"/>
  <c r="Z21" i="45"/>
  <c r="AA20" i="45"/>
  <c r="AA21" i="45" s="1"/>
  <c r="AA22" i="45" s="1"/>
  <c r="AA23" i="45" s="1"/>
  <c r="AA24" i="45" s="1"/>
  <c r="AA25" i="45" s="1"/>
  <c r="Z20" i="45"/>
  <c r="V18" i="45"/>
  <c r="W25" i="45" s="1"/>
  <c r="C8" i="45"/>
  <c r="Z25" i="41"/>
  <c r="W25" i="41"/>
  <c r="Z24" i="41"/>
  <c r="W24" i="41"/>
  <c r="Z23" i="41"/>
  <c r="W23" i="41"/>
  <c r="Z22" i="41"/>
  <c r="W22" i="41"/>
  <c r="Z21" i="41"/>
  <c r="W21" i="41"/>
  <c r="AA20" i="41"/>
  <c r="AA21" i="41" s="1"/>
  <c r="AA22" i="41" s="1"/>
  <c r="AA23" i="41" s="1"/>
  <c r="AA24" i="41" s="1"/>
  <c r="AA25" i="41" s="1"/>
  <c r="Z20" i="41"/>
  <c r="W20" i="41"/>
  <c r="V18" i="41"/>
  <c r="X20" i="41" s="1"/>
  <c r="X21" i="41" s="1"/>
  <c r="X22" i="41" s="1"/>
  <c r="X23" i="41" s="1"/>
  <c r="X24" i="41" s="1"/>
  <c r="X25" i="41" s="1"/>
  <c r="C8" i="41"/>
  <c r="Z25" i="46"/>
  <c r="W25" i="46"/>
  <c r="Z24" i="46"/>
  <c r="W24" i="46"/>
  <c r="Z23" i="46"/>
  <c r="W23" i="46"/>
  <c r="Z22" i="46"/>
  <c r="W22" i="46"/>
  <c r="Z21" i="46"/>
  <c r="W21" i="46"/>
  <c r="AA20" i="46"/>
  <c r="AA21" i="46" s="1"/>
  <c r="AA22" i="46" s="1"/>
  <c r="AA23" i="46" s="1"/>
  <c r="AA24" i="46" s="1"/>
  <c r="AA25" i="46" s="1"/>
  <c r="Z20" i="46"/>
  <c r="W20" i="46"/>
  <c r="V18" i="46"/>
  <c r="X20" i="46" s="1"/>
  <c r="X21" i="46" s="1"/>
  <c r="X22" i="46" s="1"/>
  <c r="X23" i="46" s="1"/>
  <c r="X24" i="46" s="1"/>
  <c r="X25" i="46" s="1"/>
  <c r="C8" i="46"/>
  <c r="C8" i="47"/>
  <c r="C8" i="40"/>
  <c r="C8" i="31"/>
  <c r="C8" i="21"/>
  <c r="E42" i="18"/>
  <c r="C8" i="18"/>
  <c r="C8" i="16"/>
  <c r="E13" i="14"/>
  <c r="C8" i="14"/>
  <c r="W22" i="45" l="1"/>
  <c r="W23" i="45"/>
  <c r="W24" i="45"/>
  <c r="W20" i="45"/>
  <c r="X20" i="45"/>
  <c r="X21" i="45" s="1"/>
  <c r="X22" i="45" s="1"/>
  <c r="X23" i="45" s="1"/>
  <c r="X24" i="45" s="1"/>
  <c r="X25" i="45" s="1"/>
  <c r="W21" i="45"/>
</calcChain>
</file>

<file path=xl/sharedStrings.xml><?xml version="1.0" encoding="utf-8"?>
<sst xmlns="http://schemas.openxmlformats.org/spreadsheetml/2006/main" count="13951" uniqueCount="309">
  <si>
    <t>MAJ EXCEL</t>
  </si>
  <si>
    <t>MAJ POWERPOINT</t>
  </si>
  <si>
    <t>NON</t>
  </si>
  <si>
    <t>STATISTIQUES</t>
  </si>
  <si>
    <t>FRAIS DE SANTE</t>
  </si>
  <si>
    <t>Contrat(s)</t>
  </si>
  <si>
    <t/>
  </si>
  <si>
    <t>Collège</t>
  </si>
  <si>
    <t>Ens Pers</t>
  </si>
  <si>
    <t xml:space="preserve">Période analysée : </t>
  </si>
  <si>
    <t>Date d'arrêté des comptes :</t>
  </si>
  <si>
    <t xml:space="preserve">Date d'arrêté : </t>
  </si>
  <si>
    <t>Prestations</t>
  </si>
  <si>
    <t>Provisions</t>
  </si>
  <si>
    <t>Cotisations brutes</t>
  </si>
  <si>
    <t>Taux de chargements</t>
  </si>
  <si>
    <t xml:space="preserve">Cotisations nettes </t>
  </si>
  <si>
    <t>Ratio</t>
  </si>
  <si>
    <t>GLOBAL</t>
  </si>
  <si>
    <t>Les prestations correspondent aux actes engagés dans l'exercice étudié, payées jusqu'à la date d'arrêté des comptes.</t>
  </si>
  <si>
    <t>Les provisions correspondent aux prestations non réglées à la date d'arrêté des comptes. Le délai de prescription des soins est de 2 ans.</t>
  </si>
  <si>
    <t>Les cotisations sont nettes de taxes sur les conventions d'assurance, la Couverture Mutuelle Universelle (CMU) et dotations de services de gestion, commercialisation et assurances.</t>
  </si>
  <si>
    <r>
      <t>§</t>
    </r>
    <r>
      <rPr>
        <sz val="14"/>
        <rFont val="Arial"/>
        <family val="2"/>
      </rPr>
      <t xml:space="preserve"> Nombres de Bénéficiaires</t>
    </r>
  </si>
  <si>
    <t>ASSURES</t>
  </si>
  <si>
    <t>Evolution</t>
  </si>
  <si>
    <t>Répartition en %</t>
  </si>
  <si>
    <t>Effectif N-1</t>
  </si>
  <si>
    <t>Effectif N</t>
  </si>
  <si>
    <t>du Total général</t>
  </si>
  <si>
    <t>CONFORT_</t>
  </si>
  <si>
    <t>assuré</t>
  </si>
  <si>
    <t>ESSENTIELLE_</t>
  </si>
  <si>
    <t>conjoint</t>
  </si>
  <si>
    <t>MAXIKER_</t>
  </si>
  <si>
    <t>enfant</t>
  </si>
  <si>
    <t>NONCONNU_</t>
  </si>
  <si>
    <t>PRIVILEGE_</t>
  </si>
  <si>
    <t>SUR MESURE_</t>
  </si>
  <si>
    <t>VITAKER A0 ALSACE_</t>
  </si>
  <si>
    <t>VITAKER A0_</t>
  </si>
  <si>
    <t>VITAKER A1 ALSACE_</t>
  </si>
  <si>
    <t>VITAKER A1_</t>
  </si>
  <si>
    <t>VITAKER A2 ALSACE_</t>
  </si>
  <si>
    <t>VITAKER A2_</t>
  </si>
  <si>
    <t>VITAKER A3 ALSACE_</t>
  </si>
  <si>
    <t>VITAKER A3_</t>
  </si>
  <si>
    <t>VITAKER A4 ALSACE_</t>
  </si>
  <si>
    <t>VITAKER A4_</t>
  </si>
  <si>
    <t>VITAKER ANI_</t>
  </si>
  <si>
    <t>Total général</t>
  </si>
  <si>
    <r>
      <t>§</t>
    </r>
    <r>
      <rPr>
        <sz val="12"/>
        <rFont val="Arial"/>
        <family val="2"/>
      </rPr>
      <t xml:space="preserve"> </t>
    </r>
    <r>
      <rPr>
        <sz val="12"/>
        <rFont val="DINBek"/>
      </rPr>
      <t>Nombre d'assurés</t>
    </r>
  </si>
  <si>
    <r>
      <rPr>
        <sz val="12"/>
        <rFont val="Wingdings"/>
        <charset val="2"/>
      </rPr>
      <t>§</t>
    </r>
    <r>
      <rPr>
        <sz val="12"/>
        <rFont val="DINBek"/>
      </rPr>
      <t xml:space="preserve"> Pyramide des âges des assurés</t>
    </r>
  </si>
  <si>
    <t>Effectif 
N-1</t>
  </si>
  <si>
    <t>Age Moyen N-1</t>
  </si>
  <si>
    <t>Age Moyen N</t>
  </si>
  <si>
    <t xml:space="preserve">Evolution des Effectifs </t>
  </si>
  <si>
    <t>Tranche</t>
  </si>
  <si>
    <t>Masculin</t>
  </si>
  <si>
    <t>Féminin</t>
  </si>
  <si>
    <t>Inférieur à 25 ans</t>
  </si>
  <si>
    <t>Tranche 25 à 29 ans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</si>
  <si>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</si>
  <si>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</si>
  <si>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</si>
  <si>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</si>
  <si>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</si>
  <si>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</si>
  <si>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</si>
  <si>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>
      <rPr>
        <sz val="12"/>
        <rFont val="Wingdings"/>
        <charset val="2"/>
      </rPr>
      <t>§</t>
    </r>
    <r>
      <rPr>
        <sz val="12"/>
        <rFont val="DINBek"/>
      </rPr>
      <t xml:space="preserve"> Nombre de bénéficiaires</t>
    </r>
  </si>
  <si>
    <t>Effectif</t>
  </si>
  <si>
    <t>Age Moyen</t>
  </si>
  <si>
    <t>Assuré</t>
  </si>
  <si>
    <t>Conjoint</t>
  </si>
  <si>
    <t>Enfant</t>
  </si>
  <si>
    <t>Coefficient Familial</t>
  </si>
  <si>
    <t>VOS PRESTATIONS</t>
  </si>
  <si>
    <t>Quantité</t>
  </si>
  <si>
    <t>Fréquence
 (nb d'actes / bénéficiaire)</t>
  </si>
  <si>
    <t>Frais réels</t>
  </si>
  <si>
    <t>Remboursement SS</t>
  </si>
  <si>
    <t>Remboursement Autres régimes</t>
  </si>
  <si>
    <t>Remboursement KERIALIS</t>
  </si>
  <si>
    <t>Remboursement moyen par acte</t>
  </si>
  <si>
    <t>Répartition des Remboursements KERIALIS</t>
  </si>
  <si>
    <t>Taux de couverture</t>
  </si>
  <si>
    <t>AUTRE</t>
  </si>
  <si>
    <t>ACTES DE PROPHYLAXIE ET PREVENTION</t>
  </si>
  <si>
    <t>AUTRES</t>
  </si>
  <si>
    <t>AUTRES PROTHESES ET APPAREILLAGES</t>
  </si>
  <si>
    <t>DIVERS</t>
  </si>
  <si>
    <t>MEDECINE DOUCE</t>
  </si>
  <si>
    <t>PROTHESES AUDITIVES</t>
  </si>
  <si>
    <t>CURE</t>
  </si>
  <si>
    <t>CURE THERMALE</t>
  </si>
  <si>
    <t>CURES THERMALES</t>
  </si>
  <si>
    <t>DENTA</t>
  </si>
  <si>
    <t>ACTES D'ENDODONTIE</t>
  </si>
  <si>
    <t>COURONNE TRANSITOIRE RAC 0</t>
  </si>
  <si>
    <t>COURONNE TRANSITOIRE TARIF LIBRE</t>
  </si>
  <si>
    <t>COURONNE ZIRCONE RAC 0</t>
  </si>
  <si>
    <t>COURONNE ZIRCONE RAC MODERE</t>
  </si>
  <si>
    <t>DENTAIRE</t>
  </si>
  <si>
    <t>IMPLANTOLOGIE (YC COURONNE/IMPLANT)</t>
  </si>
  <si>
    <t>INLAY CORE RAC  MODERE</t>
  </si>
  <si>
    <t>INLAY CORE RAC 0</t>
  </si>
  <si>
    <t>INLAY ONLAY RAC MODERE</t>
  </si>
  <si>
    <t>ORTHODONTIE ACCEPTEE</t>
  </si>
  <si>
    <t>ORTHODONTIE REFUSEE</t>
  </si>
  <si>
    <t>PARODONTOLOGIE (TISSUS SOUTIEN DENT</t>
  </si>
  <si>
    <t>PROTH. AMOVIBLE DE TRANSITION RAC 0</t>
  </si>
  <si>
    <t>PROTHESE AMOVIBLE RAC 0</t>
  </si>
  <si>
    <t>PROTHESE AMOVIBLE RAC MODERE</t>
  </si>
  <si>
    <t>PROTHESE FIXE CERAMIQUE TARIF LIBRE</t>
  </si>
  <si>
    <t>PROTHESE FIXE METALLIQUE RAC0</t>
  </si>
  <si>
    <t>PROTHESE FIXE RAC 0</t>
  </si>
  <si>
    <t>PROTHESE FIXE RAC MODERE</t>
  </si>
  <si>
    <t>PROTHESES DENTAIRES ACCEPTEES</t>
  </si>
  <si>
    <t>REPAR. PROTH. ADJOINTE SIMPLE RAC 0</t>
  </si>
  <si>
    <t>REPARATION PROTHESE RAC MODERE</t>
  </si>
  <si>
    <t>SOINS DENTAIRES</t>
  </si>
  <si>
    <t>HOSPI</t>
  </si>
  <si>
    <t>ACTES DE CHIRUR  CETIP</t>
  </si>
  <si>
    <t>CHAMBRE PARTICULIERE</t>
  </si>
  <si>
    <t>FORFAIT JOURNALIER</t>
  </si>
  <si>
    <t>FRAIS D'ACCOMPAGNEMENT</t>
  </si>
  <si>
    <t>HONORAIRES</t>
  </si>
  <si>
    <t>HOSPITALISATION</t>
  </si>
  <si>
    <t>TRANSPORT</t>
  </si>
  <si>
    <t>MATER</t>
  </si>
  <si>
    <t>MATERNITE</t>
  </si>
  <si>
    <t>NON D</t>
  </si>
  <si>
    <t>FRAIS OBSEQUES</t>
  </si>
  <si>
    <t>HORS NOMENCLATURE</t>
  </si>
  <si>
    <t>PARTICIPATION ASSURE</t>
  </si>
  <si>
    <t>PRELEVEMENT      CETIP</t>
  </si>
  <si>
    <t>REPARATION ADJONCTION RAC 0</t>
  </si>
  <si>
    <t>OPTIQ</t>
  </si>
  <si>
    <t>CHIRURGIE DE L'�IL</t>
  </si>
  <si>
    <t>LENTILLES</t>
  </si>
  <si>
    <t>LUNETTES</t>
  </si>
  <si>
    <t>MONTURE</t>
  </si>
  <si>
    <t>MONTURE + VERRES ADULTE</t>
  </si>
  <si>
    <t>MONTURE + VERRES ENFANT</t>
  </si>
  <si>
    <t>OPTIQUE</t>
  </si>
  <si>
    <t>VERRES</t>
  </si>
  <si>
    <t>VERRES ADULTE CTRT RESP.(F)</t>
  </si>
  <si>
    <t>VERRES ENFANT CTRT RESP.(C)</t>
  </si>
  <si>
    <t>PHARM</t>
  </si>
  <si>
    <t>PHARMACIE</t>
  </si>
  <si>
    <t>PREVE</t>
  </si>
  <si>
    <t>PREVENTION</t>
  </si>
  <si>
    <t>SOINS</t>
  </si>
  <si>
    <t>ACTES DE SPECIALISTES</t>
  </si>
  <si>
    <t>ACTES D'IMAGERIE</t>
  </si>
  <si>
    <t>ANALYSES</t>
  </si>
  <si>
    <t>AUXILIAIRES MEDICAUX</t>
  </si>
  <si>
    <t>CONSULTATIONS ET VISITES</t>
  </si>
  <si>
    <t>SOINS COURANTS</t>
  </si>
  <si>
    <t>Répartition des remboursements</t>
  </si>
  <si>
    <t>Montant moyen par bénéficiaire</t>
  </si>
  <si>
    <t>Montant moyen par assuré</t>
  </si>
  <si>
    <t>Ventilation des remboursements KERIALIS par famille d’actes</t>
  </si>
  <si>
    <t>Vos Prestations</t>
  </si>
  <si>
    <t>NOTRE EXPERIENCE</t>
  </si>
  <si>
    <t>Taux de couverture par famille d'actes</t>
  </si>
  <si>
    <t>Remboursement moyen KERIALIS par acte</t>
  </si>
  <si>
    <t>Votre taux de couverture</t>
  </si>
  <si>
    <t>Taux de couverture
NOTRE EXPERIENCE</t>
  </si>
  <si>
    <t>Vos prestations</t>
  </si>
  <si>
    <t>Notre expérience</t>
  </si>
  <si>
    <t>Remboursement Autres Régimes</t>
  </si>
  <si>
    <t>Somme de Reste à charge</t>
  </si>
  <si>
    <t>APPAREILLAGE REFUSE</t>
  </si>
  <si>
    <t>PRODUITS DIETETIQUES</t>
  </si>
  <si>
    <t>BRIDGE RAC MODERE</t>
  </si>
  <si>
    <t>IMPLANTOLOGIE</t>
  </si>
  <si>
    <t>PARODONTOLOGIE ACCEPTEE</t>
  </si>
  <si>
    <t>PARODONTOLOGIE REFUSEE</t>
  </si>
  <si>
    <t>PROTHESES DENTAIRES REFUSEES</t>
  </si>
  <si>
    <t>SUPPL. PROTH. METALLIQUE RAC MODERE</t>
  </si>
  <si>
    <t>100% FLUX</t>
  </si>
  <si>
    <t>GHS ETS MEDIC.SPEC.</t>
  </si>
  <si>
    <t>VOS PRESTATIONS MOYENNES AVEC MINIMUM ET MAXIMUM</t>
  </si>
  <si>
    <t>colonne 1</t>
  </si>
  <si>
    <t>colonne 2</t>
  </si>
  <si>
    <t>Variation</t>
  </si>
  <si>
    <t>Frais Réels Moyen par acte</t>
  </si>
  <si>
    <t xml:space="preserve">Frais Réèls Minimum </t>
  </si>
  <si>
    <t xml:space="preserve">Frais Réèls Maximum </t>
  </si>
  <si>
    <t>Remboursement KERIALIS Moyen par acte</t>
  </si>
  <si>
    <t>Remboursement KERIALIS Minimum</t>
  </si>
  <si>
    <t>Remboursement KERIALIS Maximum</t>
  </si>
  <si>
    <t>Remboursement KERIALIS moyen par acte</t>
  </si>
  <si>
    <t>col 1 / col 2</t>
  </si>
  <si>
    <t>Moyenne</t>
  </si>
  <si>
    <t>Coût minimum</t>
  </si>
  <si>
    <t>25% des actes</t>
  </si>
  <si>
    <t>25% des dépenses</t>
  </si>
  <si>
    <t>50% des actes</t>
  </si>
  <si>
    <t>50% des dépenses</t>
  </si>
  <si>
    <t>75% des actes</t>
  </si>
  <si>
    <t>75% des dépenses</t>
  </si>
  <si>
    <t>90% des actes</t>
  </si>
  <si>
    <t>90% des dépenses</t>
  </si>
  <si>
    <t>Coût maximum</t>
  </si>
  <si>
    <t>ANNEE</t>
  </si>
  <si>
    <t>LIBSUB</t>
  </si>
  <si>
    <t>AGE</t>
  </si>
  <si>
    <t>SEXE</t>
  </si>
  <si>
    <t>LIEN</t>
  </si>
  <si>
    <t>Tranche d'âge</t>
  </si>
  <si>
    <t>NombreAssuré</t>
  </si>
  <si>
    <t>Age * NombreAssuré</t>
  </si>
  <si>
    <t>LIBCOL</t>
  </si>
  <si>
    <t>FAMILLE COLLEGE</t>
  </si>
  <si>
    <t>47500207</t>
  </si>
  <si>
    <t>47502122</t>
  </si>
  <si>
    <t>47525653</t>
  </si>
  <si>
    <t>47530591</t>
  </si>
  <si>
    <t>DEBPRIME</t>
  </si>
  <si>
    <t>FINPRIME</t>
  </si>
  <si>
    <t>CONTRAT</t>
  </si>
  <si>
    <t>CODCOL</t>
  </si>
  <si>
    <t>COTISATION NETTE</t>
  </si>
  <si>
    <t>COTISATION BRUTE</t>
  </si>
  <si>
    <t>SUR MESURE</t>
  </si>
  <si>
    <t>AU</t>
  </si>
  <si>
    <t>ANNEESOIN</t>
  </si>
  <si>
    <t>LIBACTE</t>
  </si>
  <si>
    <t>LIBFAM</t>
  </si>
  <si>
    <t>TYPE CAS NON CAS</t>
  </si>
  <si>
    <t>NBREACTE</t>
  </si>
  <si>
    <t>FRAISREELS</t>
  </si>
  <si>
    <t>REMBSS</t>
  </si>
  <si>
    <t>REMBANNEXE</t>
  </si>
  <si>
    <t>REMBNOUS</t>
  </si>
  <si>
    <t>RESEAU</t>
  </si>
  <si>
    <t>MINFR</t>
  </si>
  <si>
    <t>MAXFR</t>
  </si>
  <si>
    <t>MINNOUS</t>
  </si>
  <si>
    <t>MAXNOUS</t>
  </si>
  <si>
    <t>APPAREILLAGE</t>
  </si>
  <si>
    <t>AIDES</t>
  </si>
  <si>
    <t>FAUX</t>
  </si>
  <si>
    <t>VRAI</t>
  </si>
  <si>
    <t>ORTHODONTIE</t>
  </si>
  <si>
    <t>PARODONTOLOGIE</t>
  </si>
  <si>
    <t>PROTHESE-COURONNE 100% PANIER</t>
  </si>
  <si>
    <t>PROTHESE-COURONNE PANIER LIBRE</t>
  </si>
  <si>
    <t>PROTHESE-COURONNE PANIER MAITRISE</t>
  </si>
  <si>
    <t>FRAIS TRANSPORT</t>
  </si>
  <si>
    <t>HONORAIRES LIES A L'ACCOUCHEMENT</t>
  </si>
  <si>
    <t>INDEMNITE DE NAISSANCE</t>
  </si>
  <si>
    <t>EQUIPEMENT</t>
  </si>
  <si>
    <t>KERATOTOMIE</t>
  </si>
  <si>
    <t>VACCINS</t>
  </si>
  <si>
    <t>CONSULTATIONS,VISITES ET ACTES DE PETITE CHIRURGIE</t>
  </si>
  <si>
    <t>IMAGERIE, RADIOLOGIE, ECHOGRAPHIE</t>
  </si>
  <si>
    <t>ESSENTIELLE</t>
  </si>
  <si>
    <t>PRIVILEGE</t>
  </si>
  <si>
    <t>CONFORT</t>
  </si>
  <si>
    <t>NONCONNU</t>
  </si>
  <si>
    <t>VITAKER A2</t>
  </si>
  <si>
    <t>MAXIKER</t>
  </si>
  <si>
    <t>VITAKER A1</t>
  </si>
  <si>
    <t>VITAKER A4 ALSACE</t>
  </si>
  <si>
    <t>VITAKER A2 ALSACE</t>
  </si>
  <si>
    <t>VITAKER A3</t>
  </si>
  <si>
    <t>VITAKER A4</t>
  </si>
  <si>
    <t>VITAKER A0</t>
  </si>
  <si>
    <t>VITAKER ANI</t>
  </si>
  <si>
    <t>VITAKER A0 ALSACE</t>
  </si>
  <si>
    <t>MAJO. DIMACETIP</t>
  </si>
  <si>
    <t>VITAKER A3 ALSACE</t>
  </si>
  <si>
    <t>VITAKER A1 ALSACE</t>
  </si>
  <si>
    <t>PROVISION</t>
  </si>
  <si>
    <t>ACTIFS</t>
  </si>
  <si>
    <t>AssureurName</t>
  </si>
  <si>
    <t>GroupName</t>
  </si>
  <si>
    <t>GarantyName</t>
  </si>
  <si>
    <t>Min</t>
  </si>
  <si>
    <t>Max</t>
  </si>
  <si>
    <t>Quartile 25%</t>
  </si>
  <si>
    <t>Quartile 50%</t>
  </si>
  <si>
    <t>Quartile 75%</t>
  </si>
  <si>
    <t>Quartile 90%</t>
  </si>
  <si>
    <t>KERIALIS</t>
  </si>
  <si>
    <t xml:space="preserve">CURE </t>
  </si>
  <si>
    <t>CHIRURGIE DE L'ŒIL</t>
  </si>
  <si>
    <t>DATE DEBUT</t>
  </si>
  <si>
    <t>DATE FIN</t>
  </si>
  <si>
    <t>DATE D'ARRETE</t>
  </si>
  <si>
    <t>KERIALIS_PRODUIT</t>
  </si>
  <si>
    <t>Code collège</t>
  </si>
  <si>
    <t>Libellé collège</t>
  </si>
  <si>
    <t>Numéro chronologique</t>
  </si>
  <si>
    <t>Traitement concerné</t>
  </si>
  <si>
    <t>Libellé Famille</t>
  </si>
  <si>
    <t>Libellé Acte</t>
  </si>
  <si>
    <t>Libellé de l'erreur</t>
  </si>
  <si>
    <t>47500207 - 47502122 - 47525653 - 47530591</t>
  </si>
  <si>
    <t>NOTRE EXPERIENCE année 2021</t>
  </si>
  <si>
    <t xml:space="preserve"> Variation 2021 / 2020</t>
  </si>
  <si>
    <t>1 janvier 2020 au 31 décembre 2021</t>
  </si>
  <si>
    <t>31 décembre 2021</t>
  </si>
  <si>
    <t>OUI</t>
  </si>
  <si>
    <t>01/01/2020</t>
  </si>
  <si>
    <t>31/12/2021</t>
  </si>
  <si>
    <t>Survenance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</si>
</sst>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#,##0\ &quot;€&quot;"/>
    <numFmt numFmtId="167" formatCode="0.0000000000000000"/>
    <numFmt numFmtId="168" formatCode="_-* #,##0\ _€_-;\-* #,##0\ _€_-;_-* &quot;-&quot;??\ _€_-;_-@_-"/>
    <numFmt numFmtId="169" formatCode="_-* #,##0.0\ _€_-;\-* #,##0.0\ _€_-;_-* &quot;-&quot;??\ _€_-;_-@_-"/>
    <numFmt numFmtId="170" formatCode="0.0%"/>
    <numFmt numFmtId="171" formatCode="_-* #,##0\ &quot;€&quot;_-;\-* #,##0\ &quot;€&quot;_-;_-* &quot;-&quot;??\ &quot;€&quot;_-;_-@_-"/>
    <numFmt numFmtId="172" formatCode="#,##0.00\ &quot;€&quot;"/>
    <numFmt numFmtId="173" formatCode="#,##0.00\ _€"/>
  </numFmts>
  <fonts count="5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4"/>
      <name val="DINBek"/>
    </font>
    <font>
      <sz val="14"/>
      <color theme="1"/>
      <name val="DINBek"/>
    </font>
    <font>
      <b/>
      <sz val="14"/>
      <color theme="0"/>
      <name val="DINBek"/>
    </font>
    <font>
      <sz val="14"/>
      <color theme="1"/>
      <name val="Calibri"/>
      <family val="2"/>
      <scheme val="minor"/>
    </font>
    <font>
      <b/>
      <i/>
      <sz val="14"/>
      <color indexed="9"/>
      <name val="DINBek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b/>
      <sz val="12"/>
      <name val="DINBek"/>
    </font>
    <font>
      <sz val="10"/>
      <name val="DINBek"/>
    </font>
    <font>
      <b/>
      <sz val="10"/>
      <color theme="0"/>
      <name val="DINBek"/>
    </font>
    <font>
      <sz val="10"/>
      <color theme="1"/>
      <name val="Calibri"/>
      <family val="2"/>
      <scheme val="minor"/>
    </font>
    <font>
      <sz val="10"/>
      <color theme="0"/>
      <name val="DINBek"/>
    </font>
    <font>
      <b/>
      <sz val="10"/>
      <name val="DINBek"/>
    </font>
    <font>
      <sz val="11"/>
      <name val="Calibri"/>
      <family val="2"/>
      <scheme val="minor"/>
    </font>
    <font>
      <b/>
      <sz val="14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DINBek"/>
    </font>
    <font>
      <sz val="11"/>
      <name val="Calibri"/>
      <family val="2"/>
    </font>
    <font>
      <sz val="11"/>
      <color rgb="FF00B0F0"/>
      <name val="Calibri"/>
      <family val="2"/>
    </font>
    <font>
      <sz val="10"/>
      <color theme="0"/>
      <name val="Arial"/>
      <family val="2"/>
    </font>
    <font>
      <sz val="11"/>
      <color rgb="FF00B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4FACBE"/>
      <name val="Calibri"/>
      <family val="2"/>
      <scheme val="minor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4"/>
      <color rgb="FF4FACBE"/>
      <name val="DINBek"/>
    </font>
    <font>
      <b/>
      <sz val="10"/>
      <color rgb="FF4FACBE"/>
      <name val="DINBek"/>
    </font>
    <font>
      <sz val="12"/>
      <color rgb="FF4FACBE"/>
      <name val="DINBek"/>
    </font>
    <font>
      <b/>
      <sz val="14"/>
      <color rgb="FF4FACBE"/>
      <name val="DINBek"/>
    </font>
    <font>
      <sz val="14"/>
      <color rgb="FF4FACBE"/>
      <name val="Calibri"/>
      <family val="2"/>
      <scheme val="minor"/>
    </font>
    <font>
      <sz val="12"/>
      <color rgb="FF4FACBE"/>
      <name val="Wingdings"/>
      <charset val="2"/>
    </font>
    <font>
      <sz val="11"/>
      <color rgb="FF4FACBE"/>
      <name val="Calibri"/>
      <family val="2"/>
    </font>
    <font>
      <sz val="9"/>
      <color rgb="FF4FACBE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4"/>
      <color rgb="FF4FACBE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14"/>
      <color rgb="FF4FACBE"/>
      <name val="Wingdings"/>
      <charset val="2"/>
    </font>
    <font>
      <b/>
      <sz val="11"/>
      <color theme="1"/>
      <name val="Calibri"/>
      <family val="2"/>
      <scheme val="minor"/>
    </font>
    <font>
      <b/>
      <sz val="24"/>
      <color rgb="FF4FACBE"/>
      <name val="DINBek"/>
    </font>
    <font>
      <b/>
      <sz val="18"/>
      <color theme="2" tint="-0.499984740745262"/>
      <name val="Calibri"/>
      <family val="2"/>
      <scheme val="minor"/>
    </font>
    <font>
      <sz val="14"/>
      <name val="Arial"/>
      <family val="2"/>
    </font>
    <font>
      <sz val="12"/>
      <name val="Arial"/>
      <family val="2"/>
    </font>
    <font>
      <sz val="12"/>
      <name val="Wingdings"/>
      <charset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</fills>
  <borders count="65">
    <border>
      <left/>
      <right/>
      <top/>
      <bottom/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 style="hair">
        <color theme="3"/>
      </bottom>
      <diagonal/>
    </border>
    <border>
      <left/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dotted">
        <color theme="3"/>
      </right>
      <top style="hair">
        <color theme="3"/>
      </top>
      <bottom style="medium">
        <color theme="3"/>
      </bottom>
      <diagonal/>
    </border>
    <border>
      <left/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dotted">
        <color theme="3"/>
      </right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0"/>
      </right>
      <top style="medium">
        <color theme="3"/>
      </top>
      <bottom style="medium">
        <color theme="3"/>
      </bottom>
      <diagonal/>
    </border>
    <border>
      <left style="medium">
        <color theme="0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hair">
        <color theme="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theme="3"/>
      </left>
      <right style="dotted">
        <color theme="3"/>
      </right>
      <top/>
      <bottom/>
      <diagonal/>
    </border>
    <border>
      <left style="medium">
        <color theme="3"/>
      </left>
      <right style="medium">
        <color theme="3"/>
      </right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 style="dotted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thin">
        <color indexed="64"/>
      </right>
      <top style="medium">
        <color theme="3"/>
      </top>
      <bottom style="thin">
        <color indexed="64"/>
      </bottom>
      <diagonal/>
    </border>
    <border>
      <left style="thin">
        <color indexed="64"/>
      </left>
      <right style="medium">
        <color theme="3"/>
      </right>
      <top style="medium">
        <color theme="3"/>
      </top>
      <bottom style="thin">
        <color indexed="64"/>
      </bottom>
      <diagonal/>
    </border>
    <border>
      <left style="medium">
        <color theme="3"/>
      </left>
      <right style="thin">
        <color indexed="64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 style="medium">
        <color theme="3"/>
      </right>
      <top style="thin">
        <color indexed="64"/>
      </top>
      <bottom style="medium">
        <color theme="3"/>
      </bottom>
      <diagonal/>
    </border>
    <border>
      <left/>
      <right style="thin">
        <color indexed="64"/>
      </right>
      <top style="medium">
        <color theme="3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165" fontId="1" fillId="0" borderId="0"/>
    <xf numFmtId="164" fontId="1" fillId="0" borderId="0"/>
    <xf numFmtId="164" fontId="1" fillId="0" borderId="0"/>
    <xf numFmtId="0" fontId="3" fillId="0" borderId="0"/>
    <xf numFmtId="0" fontId="3" fillId="0" borderId="0"/>
    <xf numFmtId="0" fontId="25" fillId="0" borderId="0"/>
    <xf numFmtId="0" fontId="3" fillId="0" borderId="0"/>
    <xf numFmtId="0" fontId="3" fillId="0" borderId="0"/>
    <xf numFmtId="9" fontId="1" fillId="0" borderId="0"/>
    <xf numFmtId="9" fontId="3" fillId="0" borderId="0"/>
  </cellStyleXfs>
  <cellXfs count="308">
    <xf numFmtId="0" fontId="0" fillId="0" borderId="0" xfId="0" applyNumberFormat="1" applyFont="1" applyFill="1" applyBorder="1"/>
    <xf numFmtId="0" fontId="3" fillId="0" borderId="0" xfId="4" applyNumberFormat="1" applyFont="1" applyFill="1" applyBorder="1"/>
    <xf numFmtId="0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0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2" fillId="0" borderId="0" xfId="0" applyNumberFormat="1" applyFont="1" applyFill="1" applyBorder="1"/>
    <xf numFmtId="0" fontId="2" fillId="0" borderId="0" xfId="0" applyNumberFormat="1" applyFont="1" applyFill="1" applyBorder="1"/>
    <xf numFmtId="0" fontId="4" fillId="2" borderId="0" xfId="7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4" applyNumberFormat="1" applyFont="1" applyFill="1" applyBorder="1" applyAlignment="1">
      <alignment horizontal="center" vertical="center"/>
    </xf>
    <xf numFmtId="9" fontId="5" fillId="0" borderId="2" xfId="9" applyNumberFormat="1" applyFont="1" applyFill="1" applyBorder="1" applyAlignment="1">
      <alignment horizontal="center" vertical="center"/>
    </xf>
    <xf numFmtId="0" fontId="6" fillId="2" borderId="0" xfId="7" applyNumberFormat="1" applyFont="1" applyFill="1" applyBorder="1" applyAlignment="1">
      <alignment vertical="center"/>
    </xf>
    <xf numFmtId="9" fontId="6" fillId="2" borderId="0" xfId="9" applyNumberFormat="1" applyFont="1" applyFill="1" applyBorder="1" applyAlignment="1">
      <alignment horizontal="center" vertical="center" wrapText="1"/>
    </xf>
    <xf numFmtId="0" fontId="7" fillId="0" borderId="0" xfId="0" applyNumberFormat="1" applyFont="1" applyFill="1" applyBorder="1"/>
    <xf numFmtId="0" fontId="8" fillId="2" borderId="0" xfId="7" applyNumberFormat="1" applyFont="1" applyFill="1" applyBorder="1" applyAlignment="1">
      <alignment vertical="center" wrapText="1"/>
    </xf>
    <xf numFmtId="0" fontId="9" fillId="0" borderId="0" xfId="4" applyNumberFormat="1" applyFont="1" applyFill="1" applyBorder="1"/>
    <xf numFmtId="0" fontId="9" fillId="0" borderId="0" xfId="4" applyNumberFormat="1" applyFont="1" applyFill="1" applyBorder="1" applyAlignment="1">
      <alignment horizontal="center" vertical="center"/>
    </xf>
    <xf numFmtId="0" fontId="9" fillId="0" borderId="15" xfId="4" applyNumberFormat="1" applyFont="1" applyFill="1" applyBorder="1" applyAlignment="1">
      <alignment horizontal="center" vertical="center"/>
    </xf>
    <xf numFmtId="0" fontId="10" fillId="3" borderId="21" xfId="4" applyNumberFormat="1" applyFont="1" applyFill="1" applyBorder="1" applyAlignment="1">
      <alignment horizontal="center" vertical="center"/>
    </xf>
    <xf numFmtId="0" fontId="11" fillId="4" borderId="14" xfId="4" applyNumberFormat="1" applyFont="1" applyFill="1" applyBorder="1" applyAlignment="1">
      <alignment horizontal="center" vertical="center" wrapText="1"/>
    </xf>
    <xf numFmtId="0" fontId="9" fillId="0" borderId="16" xfId="4" applyNumberFormat="1" applyFont="1" applyFill="1" applyBorder="1" applyAlignment="1">
      <alignment horizontal="center" vertical="center"/>
    </xf>
    <xf numFmtId="1" fontId="9" fillId="0" borderId="17" xfId="4" applyNumberFormat="1" applyFont="1" applyFill="1" applyBorder="1" applyAlignment="1">
      <alignment horizontal="center" vertical="center"/>
    </xf>
    <xf numFmtId="0" fontId="10" fillId="3" borderId="24" xfId="4" applyNumberFormat="1" applyFont="1" applyFill="1" applyBorder="1" applyAlignment="1">
      <alignment horizontal="center" vertical="center"/>
    </xf>
    <xf numFmtId="1" fontId="10" fillId="3" borderId="25" xfId="4" applyNumberFormat="1" applyFont="1" applyFill="1" applyBorder="1" applyAlignment="1">
      <alignment horizontal="center" vertical="center"/>
    </xf>
    <xf numFmtId="0" fontId="9" fillId="0" borderId="15" xfId="4" applyNumberFormat="1" applyFont="1" applyFill="1" applyBorder="1" applyAlignment="1">
      <alignment horizontal="center"/>
    </xf>
    <xf numFmtId="1" fontId="9" fillId="0" borderId="15" xfId="4" applyNumberFormat="1" applyFont="1" applyFill="1" applyBorder="1" applyAlignment="1">
      <alignment horizontal="center"/>
    </xf>
    <xf numFmtId="0" fontId="9" fillId="0" borderId="28" xfId="4" applyNumberFormat="1" applyFont="1" applyFill="1" applyBorder="1" applyAlignment="1">
      <alignment horizontal="center"/>
    </xf>
    <xf numFmtId="1" fontId="9" fillId="0" borderId="28" xfId="4" applyNumberFormat="1" applyFont="1" applyFill="1" applyBorder="1" applyAlignment="1">
      <alignment horizontal="center"/>
    </xf>
    <xf numFmtId="0" fontId="9" fillId="0" borderId="2" xfId="4" applyNumberFormat="1" applyFont="1" applyFill="1" applyBorder="1" applyAlignment="1">
      <alignment horizontal="center"/>
    </xf>
    <xf numFmtId="1" fontId="11" fillId="0" borderId="30" xfId="4" applyNumberFormat="1" applyFont="1" applyFill="1" applyBorder="1" applyAlignment="1">
      <alignment horizontal="center"/>
    </xf>
    <xf numFmtId="0" fontId="3" fillId="0" borderId="19" xfId="4" applyNumberFormat="1" applyFont="1" applyFill="1" applyBorder="1"/>
    <xf numFmtId="1" fontId="9" fillId="5" borderId="17" xfId="9" applyNumberFormat="1" applyFont="1" applyFill="1" applyBorder="1" applyAlignment="1">
      <alignment horizontal="center" vertical="center"/>
    </xf>
    <xf numFmtId="1" fontId="10" fillId="3" borderId="25" xfId="9" applyNumberFormat="1" applyFont="1" applyFill="1" applyBorder="1" applyAlignment="1">
      <alignment horizontal="center" vertical="center"/>
    </xf>
    <xf numFmtId="0" fontId="11" fillId="4" borderId="18" xfId="4" applyNumberFormat="1" applyFont="1" applyFill="1" applyBorder="1" applyAlignment="1">
      <alignment horizontal="center" vertical="center" wrapText="1"/>
    </xf>
    <xf numFmtId="0" fontId="15" fillId="0" borderId="0" xfId="0" applyNumberFormat="1" applyFont="1" applyFill="1" applyBorder="1"/>
    <xf numFmtId="0" fontId="0" fillId="0" borderId="0" xfId="0" quotePrefix="1" applyNumberFormat="1" applyFont="1" applyFill="1" applyBorder="1"/>
    <xf numFmtId="0" fontId="13" fillId="0" borderId="0" xfId="4" applyNumberFormat="1" applyFont="1" applyFill="1" applyBorder="1"/>
    <xf numFmtId="1" fontId="0" fillId="0" borderId="0" xfId="0" applyNumberFormat="1" applyFont="1" applyFill="1" applyBorder="1"/>
    <xf numFmtId="166" fontId="2" fillId="0" borderId="0" xfId="0" applyNumberFormat="1" applyFont="1" applyFill="1" applyBorder="1"/>
    <xf numFmtId="166" fontId="0" fillId="0" borderId="0" xfId="0" applyNumberFormat="1" applyFont="1" applyFill="1" applyBorder="1"/>
    <xf numFmtId="166" fontId="4" fillId="0" borderId="0" xfId="7" applyNumberFormat="1" applyFont="1" applyFill="1" applyBorder="1" applyAlignment="1">
      <alignment horizontal="left"/>
    </xf>
    <xf numFmtId="166" fontId="5" fillId="0" borderId="0" xfId="0" applyNumberFormat="1" applyFont="1" applyFill="1" applyBorder="1" applyAlignment="1">
      <alignment horizontal="left" vertical="center"/>
    </xf>
    <xf numFmtId="166" fontId="5" fillId="0" borderId="0" xfId="4" applyNumberFormat="1" applyFont="1" applyFill="1" applyBorder="1" applyAlignment="1">
      <alignment horizontal="center" vertical="center"/>
    </xf>
    <xf numFmtId="166" fontId="5" fillId="0" borderId="2" xfId="4" applyNumberFormat="1" applyFont="1" applyFill="1" applyBorder="1" applyAlignment="1">
      <alignment horizontal="center" vertical="center"/>
    </xf>
    <xf numFmtId="166" fontId="4" fillId="2" borderId="0" xfId="7" applyNumberFormat="1" applyFont="1" applyFill="1" applyBorder="1"/>
    <xf numFmtId="166" fontId="4" fillId="2" borderId="0" xfId="7" applyNumberFormat="1" applyFont="1" applyFill="1" applyBorder="1" applyAlignment="1">
      <alignment horizontal="center"/>
    </xf>
    <xf numFmtId="166" fontId="0" fillId="0" borderId="9" xfId="0" applyNumberFormat="1" applyFont="1" applyFill="1" applyBorder="1"/>
    <xf numFmtId="166" fontId="0" fillId="0" borderId="0" xfId="0" applyNumberFormat="1" applyFont="1" applyFill="1" applyBorder="1"/>
    <xf numFmtId="166" fontId="0" fillId="0" borderId="0" xfId="0" applyNumberFormat="1" applyFont="1" applyFill="1" applyBorder="1"/>
    <xf numFmtId="0" fontId="18" fillId="0" borderId="0" xfId="0" applyNumberFormat="1" applyFont="1" applyFill="1" applyBorder="1"/>
    <xf numFmtId="0" fontId="19" fillId="2" borderId="0" xfId="4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9" fontId="5" fillId="0" borderId="0" xfId="9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0" fontId="0" fillId="0" borderId="7" xfId="0" applyNumberFormat="1" applyFont="1" applyFill="1" applyBorder="1"/>
    <xf numFmtId="0" fontId="0" fillId="0" borderId="10" xfId="0" applyNumberFormat="1" applyFont="1" applyFill="1" applyBorder="1"/>
    <xf numFmtId="166" fontId="0" fillId="0" borderId="4" xfId="0" applyNumberFormat="1" applyFont="1" applyFill="1" applyBorder="1"/>
    <xf numFmtId="0" fontId="2" fillId="0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2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7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0" fillId="0" borderId="10" xfId="0" applyNumberFormat="1" applyFont="1" applyFill="1" applyBorder="1"/>
    <xf numFmtId="168" fontId="17" fillId="5" borderId="46" xfId="1" applyNumberFormat="1" applyFont="1" applyFill="1" applyBorder="1" applyAlignment="1">
      <alignment horizontal="right" vertical="center"/>
    </xf>
    <xf numFmtId="166" fontId="17" fillId="5" borderId="46" xfId="4" applyNumberFormat="1" applyFont="1" applyFill="1" applyBorder="1" applyAlignment="1">
      <alignment horizontal="right" vertical="center"/>
    </xf>
    <xf numFmtId="9" fontId="17" fillId="5" borderId="46" xfId="4" applyNumberFormat="1" applyFont="1" applyFill="1" applyBorder="1" applyAlignment="1">
      <alignment horizontal="right" vertical="center"/>
    </xf>
    <xf numFmtId="0" fontId="2" fillId="2" borderId="0" xfId="0" applyNumberFormat="1" applyFont="1" applyFill="1" applyBorder="1"/>
    <xf numFmtId="0" fontId="0" fillId="2" borderId="0" xfId="0" applyNumberFormat="1" applyFont="1" applyFill="1" applyBorder="1"/>
    <xf numFmtId="0" fontId="27" fillId="0" borderId="0" xfId="4" applyNumberFormat="1" applyFont="1" applyFill="1" applyBorder="1"/>
    <xf numFmtId="0" fontId="26" fillId="0" borderId="0" xfId="0" applyNumberFormat="1" applyFont="1" applyFill="1" applyBorder="1" applyAlignment="1">
      <alignment horizontal="center" vertical="center"/>
    </xf>
    <xf numFmtId="0" fontId="26" fillId="0" borderId="0" xfId="0" applyNumberFormat="1" applyFont="1" applyFill="1" applyBorder="1" applyAlignment="1">
      <alignment vertical="center"/>
    </xf>
    <xf numFmtId="0" fontId="2" fillId="0" borderId="0" xfId="0" applyNumberFormat="1" applyFont="1" applyFill="1" applyBorder="1"/>
    <xf numFmtId="0" fontId="26" fillId="2" borderId="0" xfId="0" applyNumberFormat="1" applyFont="1" applyFill="1" applyBorder="1" applyAlignment="1">
      <alignment vertical="center"/>
    </xf>
    <xf numFmtId="10" fontId="29" fillId="0" borderId="0" xfId="0" applyNumberFormat="1" applyFont="1" applyFill="1" applyBorder="1" applyAlignment="1">
      <alignment horizontal="center" vertical="center"/>
    </xf>
    <xf numFmtId="10" fontId="28" fillId="0" borderId="0" xfId="0" applyNumberFormat="1" applyFont="1" applyFill="1" applyBorder="1" applyAlignment="1">
      <alignment horizontal="center" vertical="center"/>
    </xf>
    <xf numFmtId="169" fontId="17" fillId="5" borderId="46" xfId="1" applyNumberFormat="1" applyFont="1" applyFill="1" applyBorder="1" applyAlignment="1">
      <alignment horizontal="right" vertical="center"/>
    </xf>
    <xf numFmtId="10" fontId="28" fillId="0" borderId="0" xfId="0" applyNumberFormat="1" applyFont="1" applyFill="1" applyBorder="1"/>
    <xf numFmtId="10" fontId="0" fillId="0" borderId="0" xfId="0" applyNumberFormat="1" applyFont="1" applyFill="1" applyBorder="1"/>
    <xf numFmtId="10" fontId="2" fillId="0" borderId="0" xfId="0" applyNumberFormat="1" applyFont="1" applyFill="1" applyBorder="1"/>
    <xf numFmtId="10" fontId="0" fillId="0" borderId="9" xfId="0" applyNumberFormat="1" applyFont="1" applyFill="1" applyBorder="1"/>
    <xf numFmtId="0" fontId="0" fillId="0" borderId="0" xfId="0" applyNumberFormat="1" applyFont="1" applyFill="1" applyBorder="1"/>
    <xf numFmtId="0" fontId="0" fillId="0" borderId="9" xfId="0" applyNumberFormat="1" applyFont="1" applyFill="1" applyBorder="1"/>
    <xf numFmtId="0" fontId="11" fillId="8" borderId="50" xfId="4" applyNumberFormat="1" applyFont="1" applyFill="1" applyBorder="1" applyAlignment="1">
      <alignment horizontal="center" vertical="center" wrapText="1"/>
    </xf>
    <xf numFmtId="0" fontId="31" fillId="0" borderId="0" xfId="0" applyNumberFormat="1" applyFont="1" applyFill="1" applyBorder="1"/>
    <xf numFmtId="0" fontId="31" fillId="0" borderId="3" xfId="0" applyNumberFormat="1" applyFont="1" applyFill="1" applyBorder="1"/>
    <xf numFmtId="0" fontId="31" fillId="0" borderId="4" xfId="0" applyNumberFormat="1" applyFont="1" applyFill="1" applyBorder="1"/>
    <xf numFmtId="0" fontId="31" fillId="0" borderId="5" xfId="0" applyNumberFormat="1" applyFont="1" applyFill="1" applyBorder="1"/>
    <xf numFmtId="0" fontId="31" fillId="0" borderId="6" xfId="0" applyNumberFormat="1" applyFont="1" applyFill="1" applyBorder="1"/>
    <xf numFmtId="0" fontId="31" fillId="0" borderId="7" xfId="0" applyNumberFormat="1" applyFont="1" applyFill="1" applyBorder="1"/>
    <xf numFmtId="0" fontId="32" fillId="0" borderId="0" xfId="8" applyNumberFormat="1" applyFont="1" applyFill="1" applyBorder="1" applyAlignment="1">
      <alignment horizontal="left" vertical="center"/>
    </xf>
    <xf numFmtId="0" fontId="31" fillId="0" borderId="0" xfId="0" applyNumberFormat="1" applyFont="1" applyFill="1" applyBorder="1" applyAlignment="1">
      <alignment horizontal="left" vertical="center"/>
    </xf>
    <xf numFmtId="0" fontId="33" fillId="0" borderId="0" xfId="0" applyNumberFormat="1" applyFont="1" applyFill="1" applyBorder="1"/>
    <xf numFmtId="0" fontId="31" fillId="0" borderId="6" xfId="0" applyNumberFormat="1" applyFont="1" applyFill="1" applyBorder="1" applyAlignment="1">
      <alignment wrapText="1"/>
    </xf>
    <xf numFmtId="0" fontId="31" fillId="0" borderId="7" xfId="0" applyNumberFormat="1" applyFont="1" applyFill="1" applyBorder="1" applyAlignment="1">
      <alignment wrapText="1"/>
    </xf>
    <xf numFmtId="0" fontId="31" fillId="0" borderId="0" xfId="0" applyNumberFormat="1" applyFont="1" applyFill="1" applyBorder="1"/>
    <xf numFmtId="0" fontId="33" fillId="0" borderId="6" xfId="0" applyNumberFormat="1" applyFont="1" applyFill="1" applyBorder="1"/>
    <xf numFmtId="0" fontId="33" fillId="0" borderId="0" xfId="0" applyNumberFormat="1" applyFont="1" applyFill="1" applyBorder="1" applyAlignment="1">
      <alignment horizontal="left" vertical="center"/>
    </xf>
    <xf numFmtId="0" fontId="34" fillId="0" borderId="0" xfId="8" applyNumberFormat="1" applyFont="1" applyFill="1" applyBorder="1" applyAlignment="1">
      <alignment horizontal="left" vertical="center"/>
    </xf>
    <xf numFmtId="0" fontId="33" fillId="0" borderId="0" xfId="0" applyNumberFormat="1" applyFont="1" applyFill="1" applyBorder="1"/>
    <xf numFmtId="0" fontId="33" fillId="0" borderId="7" xfId="0" applyNumberFormat="1" applyFont="1" applyFill="1" applyBorder="1"/>
    <xf numFmtId="0" fontId="33" fillId="0" borderId="0" xfId="0" applyNumberFormat="1" applyFont="1" applyFill="1" applyBorder="1" applyAlignment="1">
      <alignment vertical="center" wrapText="1"/>
    </xf>
    <xf numFmtId="0" fontId="35" fillId="0" borderId="0" xfId="8" applyNumberFormat="1" applyFont="1" applyFill="1" applyBorder="1" applyAlignment="1">
      <alignment horizontal="left" vertical="center"/>
    </xf>
    <xf numFmtId="0" fontId="33" fillId="0" borderId="6" xfId="0" applyNumberFormat="1" applyFont="1" applyFill="1" applyBorder="1"/>
    <xf numFmtId="0" fontId="36" fillId="0" borderId="0" xfId="8" applyNumberFormat="1" applyFont="1" applyFill="1" applyBorder="1" applyAlignment="1">
      <alignment horizontal="left" vertical="center"/>
    </xf>
    <xf numFmtId="0" fontId="37" fillId="0" borderId="0" xfId="8" applyNumberFormat="1" applyFont="1" applyFill="1" applyBorder="1" applyAlignment="1">
      <alignment horizontal="left" vertical="center"/>
    </xf>
    <xf numFmtId="0" fontId="38" fillId="0" borderId="0" xfId="8" applyNumberFormat="1" applyFont="1" applyFill="1" applyBorder="1" applyAlignment="1">
      <alignment horizontal="center"/>
    </xf>
    <xf numFmtId="0" fontId="33" fillId="0" borderId="7" xfId="0" applyNumberFormat="1" applyFont="1" applyFill="1" applyBorder="1"/>
    <xf numFmtId="0" fontId="31" fillId="0" borderId="8" xfId="0" applyNumberFormat="1" applyFont="1" applyFill="1" applyBorder="1"/>
    <xf numFmtId="0" fontId="31" fillId="0" borderId="9" xfId="0" applyNumberFormat="1" applyFont="1" applyFill="1" applyBorder="1"/>
    <xf numFmtId="0" fontId="31" fillId="0" borderId="10" xfId="0" applyNumberFormat="1" applyFont="1" applyFill="1" applyBorder="1"/>
    <xf numFmtId="0" fontId="39" fillId="0" borderId="0" xfId="7" quotePrefix="1" applyNumberFormat="1" applyFont="1" applyFill="1" applyBorder="1"/>
    <xf numFmtId="0" fontId="39" fillId="0" borderId="0" xfId="7" applyNumberFormat="1" applyFont="1" applyFill="1" applyBorder="1"/>
    <xf numFmtId="14" fontId="39" fillId="0" borderId="0" xfId="7" applyNumberFormat="1" applyFont="1" applyFill="1" applyBorder="1" applyAlignment="1">
      <alignment horizontal="left"/>
    </xf>
    <xf numFmtId="166" fontId="6" fillId="8" borderId="2" xfId="4" applyNumberFormat="1" applyFont="1" applyFill="1" applyBorder="1" applyAlignment="1">
      <alignment horizontal="center" vertical="center" wrapText="1"/>
    </xf>
    <xf numFmtId="0" fontId="6" fillId="8" borderId="2" xfId="4" applyNumberFormat="1" applyFont="1" applyFill="1" applyBorder="1" applyAlignment="1">
      <alignment horizontal="center" vertical="center" wrapText="1"/>
    </xf>
    <xf numFmtId="0" fontId="6" fillId="8" borderId="1" xfId="4" applyNumberFormat="1" applyFont="1" applyFill="1" applyBorder="1" applyAlignment="1">
      <alignment horizontal="center" vertical="center"/>
    </xf>
    <xf numFmtId="0" fontId="6" fillId="8" borderId="0" xfId="4" applyNumberFormat="1" applyFont="1" applyFill="1" applyBorder="1" applyAlignment="1">
      <alignment horizontal="center" vertical="center"/>
    </xf>
    <xf numFmtId="0" fontId="40" fillId="2" borderId="0" xfId="4" applyNumberFormat="1" applyFont="1" applyFill="1" applyBorder="1" applyAlignment="1">
      <alignment horizontal="center" vertical="center"/>
    </xf>
    <xf numFmtId="0" fontId="13" fillId="2" borderId="0" xfId="7" applyNumberFormat="1" applyFont="1" applyFill="1" applyBorder="1"/>
    <xf numFmtId="0" fontId="41" fillId="2" borderId="0" xfId="7" applyNumberFormat="1" applyFont="1" applyFill="1" applyBorder="1"/>
    <xf numFmtId="0" fontId="39" fillId="0" borderId="0" xfId="0" applyNumberFormat="1" applyFont="1" applyFill="1" applyBorder="1" applyAlignment="1">
      <alignment horizontal="left" vertical="center"/>
    </xf>
    <xf numFmtId="0" fontId="39" fillId="2" borderId="0" xfId="7" applyNumberFormat="1" applyFont="1" applyFill="1" applyBorder="1"/>
    <xf numFmtId="166" fontId="39" fillId="2" borderId="0" xfId="7" applyNumberFormat="1" applyFont="1" applyFill="1" applyBorder="1"/>
    <xf numFmtId="166" fontId="39" fillId="2" borderId="0" xfId="7" applyNumberFormat="1" applyFont="1" applyFill="1" applyBorder="1" applyAlignment="1">
      <alignment horizontal="center"/>
    </xf>
    <xf numFmtId="0" fontId="42" fillId="2" borderId="0" xfId="7" applyNumberFormat="1" applyFont="1" applyFill="1" applyBorder="1" applyAlignment="1">
      <alignment vertical="center"/>
    </xf>
    <xf numFmtId="9" fontId="42" fillId="2" borderId="0" xfId="9" applyNumberFormat="1" applyFont="1" applyFill="1" applyBorder="1" applyAlignment="1">
      <alignment horizontal="center" vertical="center" wrapText="1"/>
    </xf>
    <xf numFmtId="0" fontId="43" fillId="0" borderId="0" xfId="0" applyNumberFormat="1" applyFont="1" applyFill="1" applyBorder="1"/>
    <xf numFmtId="0" fontId="44" fillId="0" borderId="0" xfId="4" applyNumberFormat="1" applyFont="1" applyFill="1" applyBorder="1"/>
    <xf numFmtId="0" fontId="41" fillId="0" borderId="0" xfId="4" applyNumberFormat="1" applyFont="1" applyFill="1" applyBorder="1"/>
    <xf numFmtId="0" fontId="11" fillId="8" borderId="26" xfId="4" applyNumberFormat="1" applyFont="1" applyFill="1" applyBorder="1" applyAlignment="1">
      <alignment horizontal="center" vertical="center"/>
    </xf>
    <xf numFmtId="0" fontId="11" fillId="8" borderId="27" xfId="4" applyNumberFormat="1" applyFont="1" applyFill="1" applyBorder="1" applyAlignment="1">
      <alignment horizontal="center" vertical="center" wrapText="1"/>
    </xf>
    <xf numFmtId="0" fontId="41" fillId="0" borderId="15" xfId="4" applyNumberFormat="1" applyFont="1" applyFill="1" applyBorder="1"/>
    <xf numFmtId="0" fontId="41" fillId="0" borderId="39" xfId="4" applyNumberFormat="1" applyFont="1" applyFill="1" applyBorder="1"/>
    <xf numFmtId="0" fontId="41" fillId="0" borderId="20" xfId="4" applyNumberFormat="1" applyFont="1" applyFill="1" applyBorder="1"/>
    <xf numFmtId="0" fontId="41" fillId="0" borderId="29" xfId="4" applyNumberFormat="1" applyFont="1" applyFill="1" applyBorder="1"/>
    <xf numFmtId="2" fontId="10" fillId="8" borderId="2" xfId="4" applyNumberFormat="1" applyFont="1" applyFill="1" applyBorder="1" applyAlignment="1">
      <alignment horizontal="center"/>
    </xf>
    <xf numFmtId="0" fontId="16" fillId="8" borderId="46" xfId="4" applyNumberFormat="1" applyFont="1" applyFill="1" applyBorder="1" applyAlignment="1">
      <alignment horizontal="center" vertical="center" wrapText="1"/>
    </xf>
    <xf numFmtId="0" fontId="16" fillId="8" borderId="43" xfId="4" applyNumberFormat="1" applyFont="1" applyFill="1" applyBorder="1" applyAlignment="1">
      <alignment horizontal="center" vertical="center" wrapText="1"/>
    </xf>
    <xf numFmtId="0" fontId="16" fillId="8" borderId="44" xfId="4" applyNumberFormat="1" applyFont="1" applyFill="1" applyBorder="1" applyAlignment="1">
      <alignment horizontal="center" vertical="center" wrapText="1"/>
    </xf>
    <xf numFmtId="3" fontId="10" fillId="8" borderId="46" xfId="4" applyNumberFormat="1" applyFont="1" applyFill="1" applyBorder="1" applyAlignment="1">
      <alignment horizontal="right" vertical="center"/>
    </xf>
    <xf numFmtId="169" fontId="10" fillId="8" borderId="46" xfId="4" applyNumberFormat="1" applyFont="1" applyFill="1" applyBorder="1" applyAlignment="1">
      <alignment horizontal="right" vertical="center"/>
    </xf>
    <xf numFmtId="166" fontId="10" fillId="8" borderId="46" xfId="4" applyNumberFormat="1" applyFont="1" applyFill="1" applyBorder="1" applyAlignment="1">
      <alignment horizontal="right" vertical="center"/>
    </xf>
    <xf numFmtId="9" fontId="10" fillId="8" borderId="46" xfId="4" applyNumberFormat="1" applyFont="1" applyFill="1" applyBorder="1" applyAlignment="1">
      <alignment horizontal="right" vertical="center"/>
    </xf>
    <xf numFmtId="0" fontId="31" fillId="2" borderId="0" xfId="0" applyNumberFormat="1" applyFont="1" applyFill="1" applyBorder="1"/>
    <xf numFmtId="0" fontId="46" fillId="2" borderId="0" xfId="0" applyNumberFormat="1" applyFont="1" applyFill="1" applyBorder="1" applyAlignment="1">
      <alignment horizontal="center" vertical="center" wrapText="1"/>
    </xf>
    <xf numFmtId="0" fontId="45" fillId="2" borderId="0" xfId="0" applyNumberFormat="1" applyFont="1" applyFill="1" applyBorder="1" applyAlignment="1">
      <alignment vertical="center"/>
    </xf>
    <xf numFmtId="0" fontId="30" fillId="0" borderId="0" xfId="0" applyNumberFormat="1" applyFont="1" applyFill="1" applyBorder="1"/>
    <xf numFmtId="0" fontId="2" fillId="0" borderId="0" xfId="0" applyNumberFormat="1" applyFont="1" applyFill="1" applyBorder="1"/>
    <xf numFmtId="0" fontId="0" fillId="0" borderId="6" xfId="0" applyNumberFormat="1" applyFont="1" applyFill="1" applyBorder="1"/>
    <xf numFmtId="0" fontId="17" fillId="5" borderId="40" xfId="4" applyNumberFormat="1" applyFont="1" applyFill="1" applyBorder="1"/>
    <xf numFmtId="0" fontId="17" fillId="5" borderId="42" xfId="4" applyNumberFormat="1" applyFont="1" applyFill="1" applyBorder="1"/>
    <xf numFmtId="0" fontId="15" fillId="0" borderId="0" xfId="0" applyNumberFormat="1" applyFont="1" applyFill="1" applyBorder="1" applyAlignment="1">
      <alignment horizontal="center" vertical="center"/>
    </xf>
    <xf numFmtId="0" fontId="0" fillId="0" borderId="7" xfId="0" applyNumberFormat="1" applyFont="1" applyFill="1" applyBorder="1"/>
    <xf numFmtId="0" fontId="0" fillId="0" borderId="0" xfId="0" applyNumberFormat="1" applyFont="1" applyFill="1" applyBorder="1"/>
    <xf numFmtId="0" fontId="11" fillId="8" borderId="46" xfId="4" applyNumberFormat="1" applyFont="1" applyFill="1" applyBorder="1"/>
    <xf numFmtId="0" fontId="10" fillId="8" borderId="46" xfId="4" applyNumberFormat="1" applyFont="1" applyFill="1" applyBorder="1"/>
    <xf numFmtId="0" fontId="3" fillId="0" borderId="0" xfId="4" applyNumberFormat="1" applyFont="1" applyFill="1" applyBorder="1"/>
    <xf numFmtId="0" fontId="9" fillId="0" borderId="0" xfId="4" applyNumberFormat="1" applyFont="1" applyFill="1" applyBorder="1"/>
    <xf numFmtId="0" fontId="0" fillId="0" borderId="8" xfId="0" applyNumberFormat="1" applyFont="1" applyFill="1" applyBorder="1"/>
    <xf numFmtId="0" fontId="3" fillId="0" borderId="9" xfId="4" applyNumberFormat="1" applyFont="1" applyFill="1" applyBorder="1"/>
    <xf numFmtId="0" fontId="9" fillId="0" borderId="9" xfId="4" applyNumberFormat="1" applyFont="1" applyFill="1" applyBorder="1"/>
    <xf numFmtId="0" fontId="0" fillId="0" borderId="10" xfId="0" applyNumberFormat="1" applyFont="1" applyFill="1" applyBorder="1"/>
    <xf numFmtId="0" fontId="0" fillId="7" borderId="0" xfId="0" applyNumberFormat="1" applyFont="1" applyFill="1" applyBorder="1" applyAlignment="1">
      <alignment horizontal="center"/>
    </xf>
    <xf numFmtId="0" fontId="30" fillId="7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0" fontId="16" fillId="8" borderId="45" xfId="4" applyNumberFormat="1" applyFont="1" applyFill="1" applyBorder="1" applyAlignment="1">
      <alignment horizontal="center" vertical="center" wrapText="1"/>
    </xf>
    <xf numFmtId="166" fontId="3" fillId="0" borderId="0" xfId="4" applyNumberFormat="1" applyFont="1" applyFill="1" applyBorder="1"/>
    <xf numFmtId="9" fontId="0" fillId="0" borderId="0" xfId="0" applyNumberFormat="1" applyFont="1" applyFill="1" applyBorder="1"/>
    <xf numFmtId="3" fontId="9" fillId="0" borderId="16" xfId="4" applyNumberFormat="1" applyFont="1" applyFill="1" applyBorder="1" applyAlignment="1">
      <alignment horizontal="center" vertical="center"/>
    </xf>
    <xf numFmtId="2" fontId="9" fillId="0" borderId="17" xfId="4" applyNumberFormat="1" applyFont="1" applyFill="1" applyBorder="1" applyAlignment="1">
      <alignment horizontal="center" vertical="center"/>
    </xf>
    <xf numFmtId="9" fontId="9" fillId="5" borderId="17" xfId="9" applyNumberFormat="1" applyFont="1" applyFill="1" applyBorder="1" applyAlignment="1">
      <alignment horizontal="center"/>
    </xf>
    <xf numFmtId="0" fontId="9" fillId="0" borderId="20" xfId="4" applyNumberFormat="1" applyFont="1" applyFill="1" applyBorder="1" applyAlignment="1">
      <alignment horizontal="center" vertical="center"/>
    </xf>
    <xf numFmtId="3" fontId="9" fillId="0" borderId="22" xfId="4" applyNumberFormat="1" applyFont="1" applyFill="1" applyBorder="1" applyAlignment="1">
      <alignment horizontal="center" vertical="center"/>
    </xf>
    <xf numFmtId="2" fontId="9" fillId="0" borderId="23" xfId="4" applyNumberFormat="1" applyFont="1" applyFill="1" applyBorder="1" applyAlignment="1">
      <alignment horizontal="center" vertical="center"/>
    </xf>
    <xf numFmtId="9" fontId="9" fillId="5" borderId="23" xfId="9" applyNumberFormat="1" applyFont="1" applyFill="1" applyBorder="1" applyAlignment="1">
      <alignment horizontal="center"/>
    </xf>
    <xf numFmtId="0" fontId="9" fillId="0" borderId="0" xfId="4" applyNumberFormat="1" applyFont="1" applyFill="1" applyBorder="1" applyAlignment="1">
      <alignment horizontal="center"/>
    </xf>
    <xf numFmtId="0" fontId="14" fillId="8" borderId="46" xfId="4" applyNumberFormat="1" applyFont="1" applyFill="1" applyBorder="1" applyAlignment="1">
      <alignment horizontal="center" vertical="center" wrapText="1"/>
    </xf>
    <xf numFmtId="0" fontId="14" fillId="8" borderId="43" xfId="4" applyNumberFormat="1" applyFont="1" applyFill="1" applyBorder="1" applyAlignment="1">
      <alignment horizontal="center" vertical="center" wrapText="1"/>
    </xf>
    <xf numFmtId="168" fontId="10" fillId="8" borderId="46" xfId="4" applyNumberFormat="1" applyFont="1" applyFill="1" applyBorder="1" applyAlignment="1">
      <alignment horizontal="right" vertical="center"/>
    </xf>
    <xf numFmtId="0" fontId="2" fillId="0" borderId="0" xfId="0" applyNumberFormat="1" applyFont="1" applyFill="1" applyBorder="1" applyAlignment="1">
      <alignment horizontal="center"/>
    </xf>
    <xf numFmtId="0" fontId="0" fillId="0" borderId="4" xfId="0" applyNumberFormat="1" applyFont="1" applyFill="1" applyBorder="1" applyAlignment="1">
      <alignment horizontal="center"/>
    </xf>
    <xf numFmtId="0" fontId="13" fillId="0" borderId="0" xfId="4" applyNumberFormat="1" applyFont="1" applyFill="1" applyBorder="1" applyAlignment="1">
      <alignment horizontal="center"/>
    </xf>
    <xf numFmtId="9" fontId="17" fillId="5" borderId="46" xfId="4" applyNumberFormat="1" applyFont="1" applyFill="1" applyBorder="1" applyAlignment="1">
      <alignment horizontal="center" vertical="center"/>
    </xf>
    <xf numFmtId="9" fontId="10" fillId="8" borderId="46" xfId="4" applyNumberFormat="1" applyFont="1" applyFill="1" applyBorder="1" applyAlignment="1">
      <alignment horizontal="center" vertical="center"/>
    </xf>
    <xf numFmtId="0" fontId="11" fillId="8" borderId="21" xfId="4" applyNumberFormat="1" applyFont="1" applyFill="1" applyBorder="1" applyAlignment="1">
      <alignment horizontal="center" vertical="center"/>
    </xf>
    <xf numFmtId="3" fontId="11" fillId="8" borderId="21" xfId="4" applyNumberFormat="1" applyFont="1" applyFill="1" applyBorder="1" applyAlignment="1">
      <alignment horizontal="center" vertical="center"/>
    </xf>
    <xf numFmtId="2" fontId="11" fillId="8" borderId="21" xfId="4" applyNumberFormat="1" applyFont="1" applyFill="1" applyBorder="1" applyAlignment="1">
      <alignment horizontal="center" vertical="center"/>
    </xf>
    <xf numFmtId="0" fontId="10" fillId="8" borderId="21" xfId="4" applyNumberFormat="1" applyFont="1" applyFill="1" applyBorder="1" applyAlignment="1">
      <alignment horizontal="center" vertical="center"/>
    </xf>
    <xf numFmtId="3" fontId="11" fillId="8" borderId="50" xfId="5" applyNumberFormat="1" applyFont="1" applyFill="1" applyBorder="1" applyAlignment="1">
      <alignment horizontal="center"/>
    </xf>
    <xf numFmtId="9" fontId="11" fillId="8" borderId="19" xfId="5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0" fontId="0" fillId="7" borderId="0" xfId="0" applyNumberFormat="1" applyFont="1" applyFill="1" applyBorder="1"/>
    <xf numFmtId="0" fontId="0" fillId="6" borderId="0" xfId="0" applyNumberFormat="1" applyFont="1" applyFill="1" applyBorder="1"/>
    <xf numFmtId="3" fontId="11" fillId="8" borderId="52" xfId="5" applyNumberFormat="1" applyFont="1" applyFill="1" applyBorder="1" applyAlignment="1">
      <alignment horizontal="center"/>
    </xf>
    <xf numFmtId="0" fontId="49" fillId="0" borderId="0" xfId="0" applyNumberFormat="1" applyFont="1" applyFill="1" applyBorder="1"/>
    <xf numFmtId="0" fontId="50" fillId="0" borderId="0" xfId="4" applyNumberFormat="1" applyFont="1" applyFill="1" applyBorder="1"/>
    <xf numFmtId="170" fontId="10" fillId="8" borderId="46" xfId="4" applyNumberFormat="1" applyFont="1" applyFill="1" applyBorder="1" applyAlignment="1">
      <alignment horizontal="center" vertical="center"/>
    </xf>
    <xf numFmtId="0" fontId="51" fillId="0" borderId="0" xfId="5" applyNumberFormat="1" applyFont="1" applyFill="1" applyBorder="1"/>
    <xf numFmtId="0" fontId="2" fillId="0" borderId="0" xfId="0" applyNumberFormat="1" applyFont="1" applyFill="1" applyBorder="1"/>
    <xf numFmtId="0" fontId="0" fillId="0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0" fontId="0" fillId="0" borderId="6" xfId="0" applyNumberFormat="1" applyFont="1" applyFill="1" applyBorder="1"/>
    <xf numFmtId="0" fontId="0" fillId="0" borderId="7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0" fillId="0" borderId="10" xfId="0" applyNumberFormat="1" applyFont="1" applyFill="1" applyBorder="1"/>
    <xf numFmtId="0" fontId="16" fillId="8" borderId="46" xfId="4" applyNumberFormat="1" applyFont="1" applyFill="1" applyBorder="1" applyAlignment="1">
      <alignment horizontal="center" vertical="center" wrapText="1"/>
    </xf>
    <xf numFmtId="14" fontId="0" fillId="0" borderId="0" xfId="0" applyNumberFormat="1" applyFont="1" applyFill="1" applyBorder="1"/>
    <xf numFmtId="0" fontId="16" fillId="8" borderId="42" xfId="4" applyNumberFormat="1" applyFont="1" applyFill="1" applyBorder="1" applyAlignment="1">
      <alignment horizontal="center" vertical="center" wrapText="1"/>
    </xf>
    <xf numFmtId="0" fontId="0" fillId="0" borderId="58" xfId="0" applyNumberFormat="1" applyFont="1" applyFill="1" applyBorder="1"/>
    <xf numFmtId="0" fontId="0" fillId="0" borderId="59" xfId="0" applyNumberFormat="1" applyFont="1" applyFill="1" applyBorder="1"/>
    <xf numFmtId="0" fontId="0" fillId="0" borderId="60" xfId="0" applyNumberFormat="1" applyFont="1" applyFill="1" applyBorder="1"/>
    <xf numFmtId="0" fontId="0" fillId="0" borderId="0" xfId="0" applyNumberFormat="1" applyFont="1" applyFill="1" applyBorder="1"/>
    <xf numFmtId="0" fontId="0" fillId="0" borderId="61" xfId="0" applyNumberFormat="1" applyFont="1" applyFill="1" applyBorder="1"/>
    <xf numFmtId="171" fontId="0" fillId="0" borderId="0" xfId="3" applyNumberFormat="1" applyFont="1" applyFill="1" applyBorder="1"/>
    <xf numFmtId="0" fontId="0" fillId="0" borderId="62" xfId="0" applyNumberFormat="1" applyFont="1" applyFill="1" applyBorder="1"/>
    <xf numFmtId="171" fontId="0" fillId="0" borderId="63" xfId="3" applyNumberFormat="1" applyFont="1" applyFill="1" applyBorder="1"/>
    <xf numFmtId="171" fontId="0" fillId="0" borderId="61" xfId="3" applyNumberFormat="1" applyFont="1" applyFill="1" applyBorder="1"/>
    <xf numFmtId="171" fontId="0" fillId="0" borderId="64" xfId="3" applyNumberFormat="1" applyFont="1" applyFill="1" applyBorder="1"/>
    <xf numFmtId="0" fontId="54" fillId="0" borderId="0" xfId="0" applyNumberFormat="1" applyFont="1" applyFill="1" applyBorder="1" applyAlignment="1">
      <alignment horizontal="left"/>
    </xf>
    <xf numFmtId="0" fontId="52" fillId="0" borderId="57" xfId="0" applyNumberFormat="1" applyFont="1" applyFill="1" applyBorder="1"/>
    <xf numFmtId="172" fontId="17" fillId="5" borderId="46" xfId="4" applyNumberFormat="1" applyFont="1" applyFill="1" applyBorder="1" applyAlignment="1">
      <alignment horizontal="right" vertical="center"/>
    </xf>
    <xf numFmtId="173" fontId="10" fillId="8" borderId="46" xfId="4" applyNumberFormat="1" applyFont="1" applyFill="1" applyBorder="1" applyAlignment="1">
      <alignment horizontal="right" vertical="center"/>
    </xf>
    <xf numFmtId="172" fontId="3" fillId="0" borderId="0" xfId="4" applyNumberFormat="1" applyFont="1" applyFill="1" applyBorder="1"/>
    <xf numFmtId="0" fontId="17" fillId="0" borderId="46" xfId="4" applyNumberFormat="1" applyFont="1" applyFill="1" applyBorder="1" applyAlignment="1">
      <alignment horizontal="center"/>
    </xf>
    <xf numFmtId="10" fontId="13" fillId="5" borderId="46" xfId="4" applyNumberFormat="1" applyFont="1" applyFill="1" applyBorder="1" applyAlignment="1">
      <alignment horizontal="right" vertical="center"/>
    </xf>
    <xf numFmtId="0" fontId="14" fillId="8" borderId="44" xfId="4" quotePrefix="1" applyNumberFormat="1" applyFont="1" applyFill="1" applyBorder="1" applyAlignment="1">
      <alignment horizontal="center" vertical="center" wrapText="1"/>
    </xf>
    <xf numFmtId="10" fontId="10" fillId="8" borderId="46" xfId="4" applyNumberFormat="1" applyFont="1" applyFill="1" applyBorder="1" applyAlignment="1">
      <alignment horizontal="right" vertical="center"/>
    </xf>
    <xf numFmtId="0" fontId="17" fillId="2" borderId="40" xfId="4" applyNumberFormat="1" applyFont="1" applyFill="1" applyBorder="1"/>
    <xf numFmtId="0" fontId="17" fillId="2" borderId="42" xfId="4" applyNumberFormat="1" applyFont="1" applyFill="1" applyBorder="1"/>
    <xf numFmtId="168" fontId="17" fillId="2" borderId="46" xfId="1" applyNumberFormat="1" applyFont="1" applyFill="1" applyBorder="1" applyAlignment="1">
      <alignment horizontal="right" vertical="center"/>
    </xf>
    <xf numFmtId="169" fontId="17" fillId="2" borderId="46" xfId="1" applyNumberFormat="1" applyFont="1" applyFill="1" applyBorder="1" applyAlignment="1">
      <alignment horizontal="right" vertical="center"/>
    </xf>
    <xf numFmtId="166" fontId="17" fillId="2" borderId="46" xfId="4" applyNumberFormat="1" applyFont="1" applyFill="1" applyBorder="1" applyAlignment="1">
      <alignment horizontal="right" vertical="center"/>
    </xf>
    <xf numFmtId="9" fontId="17" fillId="2" borderId="46" xfId="4" applyNumberFormat="1" applyFont="1" applyFill="1" applyBorder="1" applyAlignment="1">
      <alignment horizontal="right" vertical="center"/>
    </xf>
    <xf numFmtId="0" fontId="15" fillId="2" borderId="0" xfId="0" applyNumberFormat="1" applyFont="1" applyFill="1" applyBorder="1" applyAlignment="1">
      <alignment horizontal="center" vertical="center"/>
    </xf>
    <xf numFmtId="9" fontId="17" fillId="2" borderId="46" xfId="4" applyNumberFormat="1" applyFont="1" applyFill="1" applyBorder="1" applyAlignment="1">
      <alignment horizontal="center" vertical="center"/>
    </xf>
    <xf numFmtId="0" fontId="13" fillId="2" borderId="0" xfId="4" applyNumberFormat="1" applyFont="1" applyFill="1" applyBorder="1"/>
    <xf numFmtId="172" fontId="17" fillId="2" borderId="46" xfId="4" applyNumberFormat="1" applyFont="1" applyFill="1" applyBorder="1" applyAlignment="1">
      <alignment horizontal="right" vertical="center"/>
    </xf>
    <xf numFmtId="10" fontId="13" fillId="2" borderId="46" xfId="4" applyNumberFormat="1" applyFont="1" applyFill="1" applyBorder="1" applyAlignment="1">
      <alignment horizontal="right" vertical="center"/>
    </xf>
    <xf numFmtId="0" fontId="22" fillId="0" borderId="0" xfId="0" applyFont="1"/>
    <xf numFmtId="0" fontId="23" fillId="0" borderId="6" xfId="0" applyFont="1" applyBorder="1"/>
    <xf numFmtId="0" fontId="23" fillId="0" borderId="0" xfId="0" applyFont="1"/>
    <xf numFmtId="0" fontId="11" fillId="8" borderId="55" xfId="5" applyFont="1" applyFill="1" applyBorder="1" applyAlignment="1">
      <alignment horizontal="center" vertical="center" wrapText="1"/>
    </xf>
    <xf numFmtId="0" fontId="9" fillId="0" borderId="0" xfId="5" applyFont="1" applyAlignment="1">
      <alignment horizontal="center"/>
    </xf>
    <xf numFmtId="0" fontId="23" fillId="0" borderId="7" xfId="0" applyFont="1" applyBorder="1"/>
    <xf numFmtId="0" fontId="20" fillId="0" borderId="0" xfId="0" applyFont="1"/>
    <xf numFmtId="0" fontId="21" fillId="0" borderId="6" xfId="0" applyFont="1" applyBorder="1"/>
    <xf numFmtId="0" fontId="9" fillId="0" borderId="0" xfId="5" applyFont="1"/>
    <xf numFmtId="0" fontId="11" fillId="8" borderId="53" xfId="5" applyFont="1" applyFill="1" applyBorder="1" applyAlignment="1">
      <alignment horizontal="center" vertical="center" wrapText="1"/>
    </xf>
    <xf numFmtId="0" fontId="11" fillId="8" borderId="54" xfId="5" applyFont="1" applyFill="1" applyBorder="1" applyAlignment="1">
      <alignment horizontal="center" vertical="center" wrapText="1"/>
    </xf>
    <xf numFmtId="0" fontId="11" fillId="8" borderId="56" xfId="5" applyFont="1" applyFill="1" applyBorder="1" applyAlignment="1">
      <alignment horizontal="center" vertical="center" wrapText="1"/>
    </xf>
    <xf numFmtId="0" fontId="21" fillId="0" borderId="7" xfId="0" applyFont="1" applyBorder="1"/>
    <xf numFmtId="0" fontId="21" fillId="0" borderId="0" xfId="0" applyFont="1"/>
    <xf numFmtId="167" fontId="21" fillId="0" borderId="0" xfId="0" applyNumberFormat="1" applyFont="1"/>
    <xf numFmtId="0" fontId="21" fillId="2" borderId="0" xfId="0" applyFont="1" applyFill="1"/>
    <xf numFmtId="0" fontId="24" fillId="2" borderId="0" xfId="5" applyFont="1" applyFill="1" applyAlignment="1">
      <alignment horizontal="center" vertical="center" wrapText="1"/>
    </xf>
    <xf numFmtId="0" fontId="20" fillId="2" borderId="0" xfId="0" applyFont="1" applyFill="1"/>
    <xf numFmtId="0" fontId="12" fillId="0" borderId="15" xfId="5" applyFont="1" applyBorder="1"/>
    <xf numFmtId="3" fontId="9" fillId="0" borderId="16" xfId="5" applyNumberFormat="1" applyFont="1" applyBorder="1" applyAlignment="1">
      <alignment horizontal="center"/>
    </xf>
    <xf numFmtId="9" fontId="9" fillId="0" borderId="17" xfId="9" applyFont="1" applyBorder="1" applyAlignment="1">
      <alignment horizontal="center"/>
    </xf>
    <xf numFmtId="0" fontId="9" fillId="0" borderId="48" xfId="5" applyFont="1" applyBorder="1"/>
    <xf numFmtId="3" fontId="9" fillId="0" borderId="47" xfId="5" applyNumberFormat="1" applyFont="1" applyBorder="1" applyAlignment="1">
      <alignment horizontal="center"/>
    </xf>
    <xf numFmtId="9" fontId="9" fillId="0" borderId="49" xfId="9" applyFont="1" applyBorder="1" applyAlignment="1">
      <alignment horizontal="center"/>
    </xf>
    <xf numFmtId="0" fontId="11" fillId="8" borderId="2" xfId="5" applyFont="1" applyFill="1" applyBorder="1" applyAlignment="1">
      <alignment horizontal="left" vertical="center"/>
    </xf>
    <xf numFmtId="0" fontId="0" fillId="0" borderId="0" xfId="0"/>
    <xf numFmtId="0" fontId="0" fillId="7" borderId="0" xfId="0" applyFill="1"/>
    <xf numFmtId="0" fontId="48" fillId="0" borderId="0" xfId="0" applyNumberFormat="1" applyFont="1" applyFill="1" applyBorder="1" applyAlignment="1">
      <alignment horizontal="left" vertical="center" wrapText="1"/>
    </xf>
    <xf numFmtId="0" fontId="42" fillId="0" borderId="0" xfId="8" applyNumberFormat="1" applyFont="1" applyFill="1" applyBorder="1" applyAlignment="1">
      <alignment horizontal="left" vertical="center" wrapText="1"/>
    </xf>
    <xf numFmtId="1" fontId="42" fillId="0" borderId="11" xfId="7" applyNumberFormat="1" applyFont="1" applyFill="1" applyBorder="1" applyAlignment="1">
      <alignment horizontal="left" vertical="center" wrapText="1"/>
    </xf>
    <xf numFmtId="1" fontId="42" fillId="0" borderId="12" xfId="7" applyNumberFormat="1" applyFont="1" applyFill="1" applyBorder="1" applyAlignment="1">
      <alignment horizontal="left" vertical="center" wrapText="1"/>
    </xf>
    <xf numFmtId="1" fontId="42" fillId="0" borderId="13" xfId="7" applyNumberFormat="1" applyFont="1" applyFill="1" applyBorder="1" applyAlignment="1">
      <alignment horizontal="left" vertical="center" wrapText="1"/>
    </xf>
    <xf numFmtId="0" fontId="9" fillId="2" borderId="0" xfId="7" applyNumberFormat="1" applyFont="1" applyFill="1" applyBorder="1" applyAlignment="1">
      <alignment horizontal="left" wrapText="1"/>
    </xf>
    <xf numFmtId="0" fontId="41" fillId="2" borderId="0" xfId="7" applyNumberFormat="1" applyFont="1" applyFill="1" applyBorder="1" applyAlignment="1">
      <alignment horizontal="left" wrapText="1"/>
    </xf>
    <xf numFmtId="0" fontId="47" fillId="8" borderId="51" xfId="0" applyFont="1" applyFill="1" applyBorder="1" applyAlignment="1">
      <alignment horizontal="center" vertical="center"/>
    </xf>
    <xf numFmtId="0" fontId="47" fillId="8" borderId="52" xfId="0" applyFont="1" applyFill="1" applyBorder="1" applyAlignment="1">
      <alignment horizontal="center" vertical="center"/>
    </xf>
    <xf numFmtId="0" fontId="12" fillId="0" borderId="31" xfId="4" applyNumberFormat="1" applyFont="1" applyFill="1" applyBorder="1" applyAlignment="1">
      <alignment horizontal="center" vertical="center"/>
    </xf>
    <xf numFmtId="0" fontId="12" fillId="0" borderId="32" xfId="4" applyNumberFormat="1" applyFont="1" applyFill="1" applyBorder="1" applyAlignment="1">
      <alignment horizontal="center" vertical="center"/>
    </xf>
    <xf numFmtId="0" fontId="12" fillId="0" borderId="33" xfId="4" applyNumberFormat="1" applyFont="1" applyFill="1" applyBorder="1" applyAlignment="1">
      <alignment horizontal="center" vertical="center"/>
    </xf>
    <xf numFmtId="0" fontId="12" fillId="0" borderId="34" xfId="4" applyNumberFormat="1" applyFont="1" applyFill="1" applyBorder="1" applyAlignment="1">
      <alignment horizontal="center" vertical="center"/>
    </xf>
    <xf numFmtId="0" fontId="12" fillId="0" borderId="0" xfId="4" applyNumberFormat="1" applyFont="1" applyFill="1" applyBorder="1" applyAlignment="1">
      <alignment horizontal="center" vertical="center"/>
    </xf>
    <xf numFmtId="0" fontId="12" fillId="0" borderId="35" xfId="4" applyNumberFormat="1" applyFont="1" applyFill="1" applyBorder="1" applyAlignment="1">
      <alignment horizontal="center" vertical="center"/>
    </xf>
    <xf numFmtId="0" fontId="12" fillId="0" borderId="36" xfId="4" applyNumberFormat="1" applyFont="1" applyFill="1" applyBorder="1" applyAlignment="1">
      <alignment horizontal="center" vertical="center"/>
    </xf>
    <xf numFmtId="0" fontId="12" fillId="0" borderId="37" xfId="4" applyNumberFormat="1" applyFont="1" applyFill="1" applyBorder="1" applyAlignment="1">
      <alignment horizontal="center" vertical="center"/>
    </xf>
    <xf numFmtId="0" fontId="12" fillId="0" borderId="38" xfId="4" applyNumberFormat="1" applyFont="1" applyFill="1" applyBorder="1" applyAlignment="1">
      <alignment horizontal="center" vertical="center"/>
    </xf>
    <xf numFmtId="0" fontId="14" fillId="8" borderId="40" xfId="4" applyNumberFormat="1" applyFont="1" applyFill="1" applyBorder="1" applyAlignment="1">
      <alignment horizontal="center"/>
    </xf>
    <xf numFmtId="0" fontId="14" fillId="8" borderId="41" xfId="4" applyNumberFormat="1" applyFont="1" applyFill="1" applyBorder="1" applyAlignment="1">
      <alignment horizontal="center"/>
    </xf>
    <xf numFmtId="0" fontId="14" fillId="8" borderId="42" xfId="4" applyNumberFormat="1" applyFont="1" applyFill="1" applyBorder="1" applyAlignment="1">
      <alignment horizontal="center"/>
    </xf>
    <xf numFmtId="0" fontId="45" fillId="0" borderId="0" xfId="0" applyNumberFormat="1" applyFont="1" applyFill="1" applyBorder="1" applyAlignment="1">
      <alignment horizontal="center" vertical="center"/>
    </xf>
    <xf numFmtId="0" fontId="45" fillId="2" borderId="0" xfId="0" applyNumberFormat="1" applyFont="1" applyFill="1" applyBorder="1" applyAlignment="1">
      <alignment horizontal="center" vertical="center"/>
    </xf>
    <xf numFmtId="0" fontId="14" fillId="8" borderId="40" xfId="4" applyNumberFormat="1" applyFont="1" applyFill="1" applyBorder="1" applyAlignment="1">
      <alignment horizontal="center" vertical="center" wrapText="1"/>
    </xf>
    <xf numFmtId="0" fontId="14" fillId="8" borderId="41" xfId="4" applyNumberFormat="1" applyFont="1" applyFill="1" applyBorder="1" applyAlignment="1">
      <alignment horizontal="center" vertical="center" wrapText="1"/>
    </xf>
    <xf numFmtId="0" fontId="14" fillId="8" borderId="42" xfId="4" applyNumberFormat="1" applyFont="1" applyFill="1" applyBorder="1" applyAlignment="1">
      <alignment horizontal="center" vertical="center" wrapText="1"/>
    </xf>
    <xf numFmtId="1" fontId="53" fillId="0" borderId="11" xfId="7" applyNumberFormat="1" applyFont="1" applyFill="1" applyBorder="1" applyAlignment="1">
      <alignment horizontal="left" vertical="center" wrapText="1"/>
    </xf>
    <xf numFmtId="1" fontId="53" fillId="0" borderId="12" xfId="7" applyNumberFormat="1" applyFont="1" applyFill="1" applyBorder="1" applyAlignment="1">
      <alignment horizontal="left" vertical="center" wrapText="1"/>
    </xf>
    <xf numFmtId="1" fontId="53" fillId="0" borderId="13" xfId="7" applyNumberFormat="1" applyFont="1" applyFill="1" applyBorder="1" applyAlignment="1">
      <alignment horizontal="left" vertical="center" wrapText="1"/>
    </xf>
    <xf numFmtId="0" fontId="52" fillId="7" borderId="0" xfId="0" applyFont="1" applyFill="1"/>
    <xf numFmtId="0" fontId="52" fillId="0" borderId="0" xfId="0" applyFont="1"/>
  </cellXfs>
  <cellStyles count="11">
    <cellStyle name="Milliers" xfId="1" builtinId="3"/>
    <cellStyle name="Monétaire 2" xfId="2" xr:uid="{00000000-0005-0000-0000-000001000000}"/>
    <cellStyle name="Monétaire 3" xfId="3" xr:uid="{00000000-0005-0000-0000-000002000000}"/>
    <cellStyle name="Normal" xfId="0" builtinId="0"/>
    <cellStyle name="Normal 2" xfId="4" xr:uid="{00000000-0005-0000-0000-000004000000}"/>
    <cellStyle name="Normal 2 2" xfId="5" xr:uid="{00000000-0005-0000-0000-000005000000}"/>
    <cellStyle name="Normal 3" xfId="6" xr:uid="{00000000-0005-0000-0000-000006000000}"/>
    <cellStyle name="Normal 4" xfId="7" xr:uid="{00000000-0005-0000-0000-000007000000}"/>
    <cellStyle name="Normal_Book 2004 feuille sommaire 2" xfId="8" xr:uid="{00000000-0005-0000-0000-000008000000}"/>
    <cellStyle name="Pourcentage" xfId="9" builtinId="5"/>
    <cellStyle name="Pourcentage 2" xfId="10" xr:uid="{00000000-0005-0000-0000-00000A000000}"/>
  </cellStyles>
  <dxfs count="0"/>
  <tableStyles count="0" defaultTableStyle="TableStyleMedium2" defaultPivotStyle="PivotStyleLight16"/>
  <colors>
    <mruColors>
      <color rgb="FFA6A6A6"/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Effectif total des Assurés années N-1 et 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'Evolution effectifs'!$AB$13</c:f>
              <c:strCache>
                <c:ptCount val="1"/>
                <c:pt idx="0">
                  <c:v>Effectif N-1</c:v>
                </c:pt>
              </c:strCache>
            </c:strRef>
          </c:tx>
          <c:spPr>
            <a:solidFill>
              <a:sysClr val="window" lastClr="FFFFFF">
                <a:lumMod val="75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'Evolution effectifs'!$AA$14:$AA$17</c:f>
              <c:numCache>
                <c:formatCode>General</c:formatCode>
                <c:ptCount val="4"/>
                <c:pt idx="0">
                  <c:v>47500207</c:v>
                </c:pt>
                <c:pt idx="1">
                  <c:v>47502122</c:v>
                </c:pt>
                <c:pt idx="2">
                  <c:v>47525653</c:v>
                </c:pt>
                <c:pt idx="3">
                  <c:v>47530591</c:v>
                </c:pt>
              </c:numCache>
            </c:numRef>
          </c:cat>
          <c:val>
            <c:numRef>
              <c:f>'Evolution effectifs'!$AB$14:$AB$17</c:f>
              <c:numCache>
                <c:formatCode>General</c:formatCode>
                <c:ptCount val="4"/>
                <c:pt idx="0">
                  <c:v>323</c:v>
                </c:pt>
                <c:pt idx="1">
                  <c:v>76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F5-48EA-ABC8-98FEA4AEF98B}"/>
            </c:ext>
          </c:extLst>
        </c:ser>
        <c:ser>
          <c:idx val="1"/>
          <c:order val="1"/>
          <c:tx>
            <c:strRef>
              <c:f>'Evolution effectifs'!$AC$13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'Evolution effectifs'!$AA$14:$AA$17</c:f>
              <c:numCache>
                <c:formatCode>General</c:formatCode>
                <c:ptCount val="4"/>
                <c:pt idx="0">
                  <c:v>47500207</c:v>
                </c:pt>
                <c:pt idx="1">
                  <c:v>47502122</c:v>
                </c:pt>
                <c:pt idx="2">
                  <c:v>47525653</c:v>
                </c:pt>
                <c:pt idx="3">
                  <c:v>47530591</c:v>
                </c:pt>
              </c:numCache>
            </c:numRef>
          </c:cat>
          <c:val>
            <c:numRef>
              <c:f>'Evolution effectifs'!$AC$14:$AC$17</c:f>
              <c:numCache>
                <c:formatCode>General</c:formatCode>
                <c:ptCount val="4"/>
                <c:pt idx="0">
                  <c:v>374</c:v>
                </c:pt>
                <c:pt idx="1">
                  <c:v>80</c:v>
                </c:pt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F5-48EA-ABC8-98FEA4AEF98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69167008"/>
        <c:axId val="1569168096"/>
      </c:barChart>
      <c:catAx>
        <c:axId val="156916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68096"/>
        <c:crosses val="autoZero"/>
        <c:auto val="1"/>
        <c:lblAlgn val="ctr"/>
        <c:lblOffset val="100"/>
        <c:noMultiLvlLbl val="0"/>
      </c:catAx>
      <c:valAx>
        <c:axId val="156916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67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Démographie!$L$13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Démographie!$L$14:$L$22</c:f>
              <c:numCache>
                <c:formatCode>General</c:formatCode>
                <c:ptCount val="9"/>
                <c:pt idx="0">
                  <c:v>2</c:v>
                </c:pt>
                <c:pt idx="1">
                  <c:v>14</c:v>
                </c:pt>
                <c:pt idx="2">
                  <c:v>12</c:v>
                </c:pt>
                <c:pt idx="3">
                  <c:v>13</c:v>
                </c:pt>
                <c:pt idx="4">
                  <c:v>11</c:v>
                </c:pt>
                <c:pt idx="5">
                  <c:v>8</c:v>
                </c:pt>
                <c:pt idx="6">
                  <c:v>8</c:v>
                </c:pt>
                <c:pt idx="7">
                  <c:v>20</c:v>
                </c:pt>
                <c:pt idx="8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98-4819-B642-2800E80D1BDE}"/>
            </c:ext>
          </c:extLst>
        </c:ser>
        <c:ser>
          <c:idx val="1"/>
          <c:order val="1"/>
          <c:tx>
            <c:strRef>
              <c:f>Démographie!$M$13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Démographie!$M$14:$M$22</c:f>
              <c:numCache>
                <c:formatCode>0</c:formatCode>
                <c:ptCount val="9"/>
                <c:pt idx="0">
                  <c:v>1</c:v>
                </c:pt>
                <c:pt idx="1">
                  <c:v>44</c:v>
                </c:pt>
                <c:pt idx="2">
                  <c:v>13</c:v>
                </c:pt>
                <c:pt idx="3">
                  <c:v>17</c:v>
                </c:pt>
                <c:pt idx="4">
                  <c:v>22</c:v>
                </c:pt>
                <c:pt idx="5">
                  <c:v>23</c:v>
                </c:pt>
                <c:pt idx="6">
                  <c:v>17</c:v>
                </c:pt>
                <c:pt idx="7">
                  <c:v>33</c:v>
                </c:pt>
                <c:pt idx="8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8-4819-B642-2800E80D1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9"/>
        <c:axId val="1569170272"/>
        <c:axId val="1569170816"/>
      </c:barChart>
      <c:catAx>
        <c:axId val="15691702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1569170816"/>
        <c:crosses val="autoZero"/>
        <c:auto val="1"/>
        <c:lblAlgn val="ctr"/>
        <c:lblOffset val="100"/>
        <c:noMultiLvlLbl val="0"/>
      </c:catAx>
      <c:valAx>
        <c:axId val="1569170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7027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rgbClr val="4FACBE"/>
                </a:solidFill>
              </a:rPr>
              <a:t>Assuré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  <c:pivotFmt>
        <c:idx val="2"/>
        <c:spPr>
          <a:solidFill>
            <a:schemeClr val="tx2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marker>
          <c:symbol val="none"/>
        </c:marke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1939004324034739E-2"/>
          <c:y val="0.22725798611111114"/>
          <c:w val="0.82445857727777139"/>
          <c:h val="0.68800625000000004"/>
        </c:manualLayout>
      </c:layout>
      <c:pie3DChart>
        <c:varyColors val="1"/>
        <c:ser>
          <c:idx val="0"/>
          <c:order val="0"/>
          <c:tx>
            <c:strRef>
              <c:f>Démographie!$F$13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rgbClr val="70AD47">
                <a:lumMod val="40000"/>
                <a:lumOff val="60000"/>
              </a:srgbClr>
            </a:solidFill>
          </c:spPr>
          <c:explosion val="16"/>
          <c:dPt>
            <c:idx val="1"/>
            <c:bubble3D val="0"/>
            <c:spPr>
              <a:solidFill>
                <a:srgbClr val="E7E6E6">
                  <a:lumMod val="75000"/>
                </a:srgbClr>
              </a:solidFill>
            </c:spPr>
            <c:extLst>
              <c:ext xmlns:c16="http://schemas.microsoft.com/office/drawing/2014/chart" uri="{C3380CC4-5D6E-409C-BE32-E72D297353CC}">
                <c16:uniqueId val="{00000001-1A05-469C-ADA1-9DC4659617D1}"/>
              </c:ext>
            </c:extLst>
          </c:dPt>
          <c:cat>
            <c:strRef>
              <c:f>Démographie!$C$14:$C$15</c:f>
              <c:strCache>
                <c:ptCount val="2"/>
                <c:pt idx="0">
                  <c:v>Masculin</c:v>
                </c:pt>
                <c:pt idx="1">
                  <c:v>Féminin</c:v>
                </c:pt>
              </c:strCache>
            </c:strRef>
          </c:cat>
          <c:val>
            <c:numRef>
              <c:f>Démographie!$F$14:$F$15</c:f>
              <c:numCache>
                <c:formatCode>#,##0</c:formatCode>
                <c:ptCount val="2"/>
                <c:pt idx="0">
                  <c:v>96</c:v>
                </c:pt>
                <c:pt idx="1">
                  <c:v>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05-469C-ADA1-9DC465961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</c:spPr>
      </c:pivotFmt>
      <c:pivotFmt>
        <c:idx val="2"/>
        <c:spPr>
          <a:solidFill>
            <a:srgbClr val="FFC000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spPr>
          <a:solidFill>
            <a:srgbClr val="FFC000"/>
          </a:solidFill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104090798737558"/>
          <c:y val="0.11561056424113748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Démographie!$D$36</c:f>
              <c:strCache>
                <c:ptCount val="1"/>
                <c:pt idx="0">
                  <c:v>Effectif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20CB-48EC-A596-19BBE713ABD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20CB-48EC-A596-19BBE713ABDB}"/>
              </c:ext>
            </c:extLst>
          </c:dPt>
          <c:dPt>
            <c:idx val="2"/>
            <c:bubble3D val="0"/>
            <c:explosion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20CB-48EC-A596-19BBE713ABDB}"/>
              </c:ext>
            </c:extLst>
          </c:dPt>
          <c:dLbls>
            <c:dLbl>
              <c:idx val="0"/>
              <c:layout>
                <c:manualLayout>
                  <c:x val="-0.19630244981774028"/>
                  <c:y val="5.54347652121871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CB-48EC-A596-19BBE713ABDB}"/>
                </c:ext>
              </c:extLst>
            </c:dLbl>
            <c:dLbl>
              <c:idx val="1"/>
              <c:layout>
                <c:manualLayout>
                  <c:x val="-5.4296422290013427E-2"/>
                  <c:y val="-0.295652081131664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CB-48EC-A596-19BBE713ABD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Démographie!$C$37:$C$39</c:f>
              <c:strCache>
                <c:ptCount val="3"/>
                <c:pt idx="0">
                  <c:v>Assuré</c:v>
                </c:pt>
                <c:pt idx="1">
                  <c:v>Conjoint</c:v>
                </c:pt>
                <c:pt idx="2">
                  <c:v>Enfant</c:v>
                </c:pt>
              </c:strCache>
            </c:strRef>
          </c:cat>
          <c:val>
            <c:numRef>
              <c:f>Démographie!$D$37:$D$39</c:f>
              <c:numCache>
                <c:formatCode>General</c:formatCode>
                <c:ptCount val="3"/>
                <c:pt idx="0">
                  <c:v>295</c:v>
                </c:pt>
                <c:pt idx="1">
                  <c:v>124</c:v>
                </c:pt>
                <c:pt idx="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0CB-48EC-A596-19BBE713A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Graph'!$F$66</c:f>
              <c:strCache>
                <c:ptCount val="1"/>
                <c:pt idx="0">
                  <c:v>Vos prestations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5B9B-4785-94E6-4D17AC42C04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5B9B-4785-94E6-4D17AC42C048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5B9B-4785-94E6-4D17AC42C04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5B9B-4785-94E6-4D17AC42C048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5B9B-4785-94E6-4D17AC42C04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5B9B-4785-94E6-4D17AC42C048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5B9B-4785-94E6-4D17AC42C04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5B9B-4785-94E6-4D17AC42C04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5B9B-4785-94E6-4D17AC42C04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5B9B-4785-94E6-4D17AC42C04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5B9B-4785-94E6-4D17AC42C048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B9B-4785-94E6-4D17AC42C048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B9B-4785-94E6-4D17AC42C048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9B-4785-94E6-4D17AC42C048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B9B-4785-94E6-4D17AC42C048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B9B-4785-94E6-4D17AC42C048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B9B-4785-94E6-4D17AC42C048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B9B-4785-94E6-4D17AC42C04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Graph'!$F$67:$F$74</c:f>
              <c:numCache>
                <c:formatCode>General</c:formatCode>
                <c:ptCount val="8"/>
                <c:pt idx="0">
                  <c:v>9942.1199999999899</c:v>
                </c:pt>
                <c:pt idx="1">
                  <c:v>15607.720000000099</c:v>
                </c:pt>
                <c:pt idx="2">
                  <c:v>422.61</c:v>
                </c:pt>
                <c:pt idx="3">
                  <c:v>95951.069999999992</c:v>
                </c:pt>
                <c:pt idx="4">
                  <c:v>20733.629999999997</c:v>
                </c:pt>
                <c:pt idx="5">
                  <c:v>73332.040000000197</c:v>
                </c:pt>
                <c:pt idx="6">
                  <c:v>11046.9</c:v>
                </c:pt>
                <c:pt idx="7">
                  <c:v>151653.6800000004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B9B-4785-94E6-4D17AC42C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'Prestations Réglées Graph'!$I$66</c:f>
              <c:strCache>
                <c:ptCount val="1"/>
                <c:pt idx="0">
                  <c:v>Remboursement SS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Graph'!$I$67:$I$74</c:f>
              <c:numCache>
                <c:formatCode>General</c:formatCode>
                <c:ptCount val="8"/>
                <c:pt idx="0">
                  <c:v>10875.83</c:v>
                </c:pt>
                <c:pt idx="1">
                  <c:v>4702.8900000000103</c:v>
                </c:pt>
                <c:pt idx="2">
                  <c:v>440.56</c:v>
                </c:pt>
                <c:pt idx="3">
                  <c:v>30315.259999999969</c:v>
                </c:pt>
                <c:pt idx="4">
                  <c:v>25828.800000000003</c:v>
                </c:pt>
                <c:pt idx="5">
                  <c:v>64.550000000000011</c:v>
                </c:pt>
                <c:pt idx="6">
                  <c:v>0</c:v>
                </c:pt>
                <c:pt idx="7">
                  <c:v>163902.670000004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6D-46E8-8001-F9BFE623B470}"/>
            </c:ext>
          </c:extLst>
        </c:ser>
        <c:ser>
          <c:idx val="1"/>
          <c:order val="1"/>
          <c:tx>
            <c:strRef>
              <c:f>'Prestations Réglées Graph'!$J$66</c:f>
              <c:strCache>
                <c:ptCount val="1"/>
                <c:pt idx="0">
                  <c:v>Remboursement Autres Régimes</c:v>
                </c:pt>
              </c:strCache>
            </c:strRef>
          </c:tx>
          <c:spPr>
            <a:solidFill>
              <a:sysClr val="window" lastClr="FFFFFF">
                <a:lumMod val="85000"/>
              </a:sys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Graph'!$J$67:$J$74</c:f>
              <c:numCache>
                <c:formatCode>General</c:formatCode>
                <c:ptCount val="8"/>
                <c:pt idx="0">
                  <c:v>118.34</c:v>
                </c:pt>
                <c:pt idx="1">
                  <c:v>0</c:v>
                </c:pt>
                <c:pt idx="2">
                  <c:v>0</c:v>
                </c:pt>
                <c:pt idx="3">
                  <c:v>7063.59</c:v>
                </c:pt>
                <c:pt idx="4">
                  <c:v>2517.2199999999998</c:v>
                </c:pt>
                <c:pt idx="5">
                  <c:v>2185.85</c:v>
                </c:pt>
                <c:pt idx="6">
                  <c:v>40</c:v>
                </c:pt>
                <c:pt idx="7">
                  <c:v>21636.100000000002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6D-46E8-8001-F9BFE623B470}"/>
            </c:ext>
          </c:extLst>
        </c:ser>
        <c:ser>
          <c:idx val="2"/>
          <c:order val="2"/>
          <c:tx>
            <c:strRef>
              <c:f>'Prestations Réglées Graph'!$K$66</c:f>
              <c:strCache>
                <c:ptCount val="1"/>
                <c:pt idx="0">
                  <c:v>Remboursement KERIALIS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Graph'!$K$67:$K$74</c:f>
              <c:numCache>
                <c:formatCode>General</c:formatCode>
                <c:ptCount val="8"/>
                <c:pt idx="0">
                  <c:v>9942.1199999999899</c:v>
                </c:pt>
                <c:pt idx="1">
                  <c:v>15607.720000000099</c:v>
                </c:pt>
                <c:pt idx="2">
                  <c:v>422.61</c:v>
                </c:pt>
                <c:pt idx="3">
                  <c:v>95951.069999999992</c:v>
                </c:pt>
                <c:pt idx="4">
                  <c:v>20733.629999999997</c:v>
                </c:pt>
                <c:pt idx="5">
                  <c:v>73332.040000000197</c:v>
                </c:pt>
                <c:pt idx="6">
                  <c:v>11046.9</c:v>
                </c:pt>
                <c:pt idx="7">
                  <c:v>151653.6800000004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6D-46E8-8001-F9BFE623B470}"/>
            </c:ext>
          </c:extLst>
        </c:ser>
        <c:ser>
          <c:idx val="3"/>
          <c:order val="3"/>
          <c:tx>
            <c:strRef>
              <c:f>'Prestations Réglées Graph'!$L$66</c:f>
              <c:strCache>
                <c:ptCount val="1"/>
                <c:pt idx="0">
                  <c:v>Somme de Reste à charge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Graph'!$L$67:$L$74</c:f>
              <c:numCache>
                <c:formatCode>General</c:formatCode>
                <c:ptCount val="8"/>
                <c:pt idx="0">
                  <c:v>1616.4500000000116</c:v>
                </c:pt>
                <c:pt idx="1">
                  <c:v>1688.0599999997903</c:v>
                </c:pt>
                <c:pt idx="2">
                  <c:v>49.999999999999943</c:v>
                </c:pt>
                <c:pt idx="3">
                  <c:v>24343.490000000049</c:v>
                </c:pt>
                <c:pt idx="4">
                  <c:v>3049.3599999999933</c:v>
                </c:pt>
                <c:pt idx="5">
                  <c:v>14260.589999999793</c:v>
                </c:pt>
                <c:pt idx="6">
                  <c:v>443.1200000000008</c:v>
                </c:pt>
                <c:pt idx="7">
                  <c:v>37208.719999992929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CC-4C09-A6BA-9841BFDEB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69398672"/>
        <c:axId val="1569400304"/>
      </c:barChart>
      <c:catAx>
        <c:axId val="1569398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1569400304"/>
        <c:crosses val="autoZero"/>
        <c:auto val="1"/>
        <c:lblAlgn val="ctr"/>
        <c:lblOffset val="100"/>
        <c:noMultiLvlLbl val="0"/>
      </c:catAx>
      <c:valAx>
        <c:axId val="156940030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398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'Prestations Réglées Graph'!$M$66</c:f>
              <c:strCache>
                <c:ptCount val="1"/>
                <c:pt idx="0">
                  <c:v>Vos prestations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Graph'!$M$67:$M$74</c:f>
              <c:numCache>
                <c:formatCode>General</c:formatCode>
                <c:ptCount val="8"/>
                <c:pt idx="0">
                  <c:v>18.14255474452553</c:v>
                </c:pt>
                <c:pt idx="1">
                  <c:v>30.189013539652031</c:v>
                </c:pt>
                <c:pt idx="2">
                  <c:v>70.435000000000002</c:v>
                </c:pt>
                <c:pt idx="3">
                  <c:v>106.25810631229236</c:v>
                </c:pt>
                <c:pt idx="4">
                  <c:v>61.161150442477869</c:v>
                </c:pt>
                <c:pt idx="5">
                  <c:v>187.54997442455294</c:v>
                </c:pt>
                <c:pt idx="6">
                  <c:v>54.151470588235291</c:v>
                </c:pt>
                <c:pt idx="7">
                  <c:v>6.0175255932069041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CB-4C69-97B0-A6BCCE73F023}"/>
            </c:ext>
          </c:extLst>
        </c:ser>
        <c:ser>
          <c:idx val="1"/>
          <c:order val="1"/>
          <c:tx>
            <c:strRef>
              <c:f>'Prestations Réglées Graph'!$N$66</c:f>
              <c:strCache>
                <c:ptCount val="1"/>
                <c:pt idx="0">
                  <c:v>Notre expérience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Graph'!$N$67:$N$74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1-2ACB-4C69-97B0-A6BCCE73F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5086304"/>
        <c:axId val="1575068896"/>
      </c:barChart>
      <c:catAx>
        <c:axId val="1575086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068896"/>
        <c:crosses val="autoZero"/>
        <c:auto val="1"/>
        <c:lblAlgn val="ctr"/>
        <c:lblOffset val="100"/>
        <c:noMultiLvlLbl val="0"/>
      </c:catAx>
      <c:valAx>
        <c:axId val="157506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086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Graph'!$G$66</c:f>
              <c:strCache>
                <c:ptCount val="1"/>
                <c:pt idx="0">
                  <c:v>Notre expérience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0AF-473A-B5F0-26F85E81E3EE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70AF-473A-B5F0-26F85E81E3EE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70AF-473A-B5F0-26F85E81E3EE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70AF-473A-B5F0-26F85E81E3EE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70AF-473A-B5F0-26F85E81E3EE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70AF-473A-B5F0-26F85E81E3EE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70AF-473A-B5F0-26F85E81E3EE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70AF-473A-B5F0-26F85E81E3EE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70AF-473A-B5F0-26F85E81E3EE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70AF-473A-B5F0-26F85E81E3EE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70AF-473A-B5F0-26F85E81E3EE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0AF-473A-B5F0-26F85E81E3EE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0AF-473A-B5F0-26F85E81E3EE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0AF-473A-B5F0-26F85E81E3EE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AF-473A-B5F0-26F85E81E3EE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0AF-473A-B5F0-26F85E81E3EE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0AF-473A-B5F0-26F85E81E3EE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0AF-473A-B5F0-26F85E81E3E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Graph'!$G$67:$G$74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0AF-473A-B5F0-26F85E81E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AIDES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AIDES!$J$16</c:f>
              <c:numCache>
                <c:formatCode>#\ ##0\ "€"</c:formatCode>
                <c:ptCount val="1"/>
                <c:pt idx="0">
                  <c:v>9942.1199999999899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FE-4884-A512-E8FF64C683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1799343"/>
        <c:axId val="221801423"/>
      </c:barChart>
      <c:catAx>
        <c:axId val="221799343"/>
        <c:scaling>
          <c:orientation val="minMax"/>
        </c:scaling>
        <c:delete val="0"/>
        <c:axPos val="l"/>
        <c:majorTickMark val="out"/>
        <c:minorTickMark val="none"/>
        <c:tickLblPos val="nextTo"/>
        <c:crossAx val="221801423"/>
        <c:crosses val="autoZero"/>
        <c:auto val="1"/>
        <c:lblAlgn val="ctr"/>
        <c:lblOffset val="100"/>
        <c:noMultiLvlLbl val="0"/>
      </c:catAx>
      <c:valAx>
        <c:axId val="221801423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22179934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AUTRE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numRef>
              <c:f>AUTRE!$J$15</c:f>
              <c:numCache>
                <c:formatCode>#\ ##0\ "€"</c:formatCode>
                <c:ptCount val="1"/>
                <c:pt idx="0">
                  <c:v>15607.720000000099</c:v>
                </c:pt>
              </c:numCache>
            </c:numRef>
          </c:cat>
          <c:val>
            <c:numRef>
              <c:f>AUTRE!$J$16</c:f>
              <c:numCache>
                <c:formatCode>#\ ##0\ "€"</c:formatCode>
                <c:ptCount val="1"/>
                <c:pt idx="0">
                  <c:v>15607.720000000099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47-4CB6-BB81-B9A9448696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1794767"/>
        <c:axId val="221810159"/>
      </c:barChart>
      <c:catAx>
        <c:axId val="221794767"/>
        <c:scaling>
          <c:orientation val="minMax"/>
        </c:scaling>
        <c:delete val="0"/>
        <c:axPos val="l"/>
        <c:numFmt formatCode="#\ ##0\ &quot;€&quot;" sourceLinked="1"/>
        <c:majorTickMark val="out"/>
        <c:minorTickMark val="none"/>
        <c:tickLblPos val="nextTo"/>
        <c:crossAx val="221810159"/>
        <c:crosses val="autoZero"/>
        <c:auto val="1"/>
        <c:lblAlgn val="ctr"/>
        <c:lblOffset val="100"/>
        <c:noMultiLvlLbl val="0"/>
      </c:catAx>
      <c:valAx>
        <c:axId val="221810159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22179476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CURE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CURE!$J$16</c:f>
              <c:numCache>
                <c:formatCode>#\ ##0\ "€"</c:formatCode>
                <c:ptCount val="1"/>
                <c:pt idx="0">
                  <c:v>422.61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8C-4BB0-A9D5-E7273C13E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1810575"/>
        <c:axId val="221818895"/>
      </c:barChart>
      <c:catAx>
        <c:axId val="221810575"/>
        <c:scaling>
          <c:orientation val="minMax"/>
        </c:scaling>
        <c:delete val="0"/>
        <c:axPos val="l"/>
        <c:majorTickMark val="out"/>
        <c:minorTickMark val="none"/>
        <c:tickLblPos val="nextTo"/>
        <c:crossAx val="221818895"/>
        <c:crosses val="autoZero"/>
        <c:auto val="1"/>
        <c:lblAlgn val="ctr"/>
        <c:lblOffset val="100"/>
        <c:noMultiLvlLbl val="0"/>
      </c:catAx>
      <c:valAx>
        <c:axId val="221818895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22181057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DENTA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DENTA!$J$16</c:f>
              <c:numCache>
                <c:formatCode>#\ ##0\ "€"</c:formatCode>
                <c:ptCount val="1"/>
                <c:pt idx="0">
                  <c:v>7293.0099999999902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1A-4C5B-B245-AE15D9459C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1814735"/>
        <c:axId val="221805167"/>
      </c:barChart>
      <c:catAx>
        <c:axId val="221814735"/>
        <c:scaling>
          <c:orientation val="minMax"/>
        </c:scaling>
        <c:delete val="0"/>
        <c:axPos val="l"/>
        <c:majorTickMark val="out"/>
        <c:minorTickMark val="none"/>
        <c:tickLblPos val="nextTo"/>
        <c:crossAx val="221805167"/>
        <c:crosses val="autoZero"/>
        <c:auto val="1"/>
        <c:lblAlgn val="ctr"/>
        <c:lblOffset val="100"/>
        <c:noMultiLvlLbl val="0"/>
      </c:catAx>
      <c:valAx>
        <c:axId val="221805167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22181473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HOSPI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HOSPI!$D$16:$D$18</c:f>
              <c:strCache>
                <c:ptCount val="3"/>
                <c:pt idx="0">
                  <c:v>CHAMBRE PARTICULIERE</c:v>
                </c:pt>
                <c:pt idx="1">
                  <c:v>FORFAIT JOURNALIER</c:v>
                </c:pt>
                <c:pt idx="2">
                  <c:v>HONORAIRES</c:v>
                </c:pt>
              </c:strCache>
            </c:strRef>
          </c:cat>
          <c:val>
            <c:numRef>
              <c:f>HOSPI!$J$16:$J$18</c:f>
              <c:numCache>
                <c:formatCode>#\ ##0\ "€"</c:formatCode>
                <c:ptCount val="3"/>
                <c:pt idx="0">
                  <c:v>6938.08</c:v>
                </c:pt>
                <c:pt idx="1">
                  <c:v>1141.1600000000001</c:v>
                </c:pt>
                <c:pt idx="2">
                  <c:v>10917.68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96-4214-8348-F232D4555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1796431"/>
        <c:axId val="221805583"/>
      </c:barChart>
      <c:catAx>
        <c:axId val="22179643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21805583"/>
        <c:crosses val="autoZero"/>
        <c:auto val="1"/>
        <c:lblAlgn val="ctr"/>
        <c:lblOffset val="100"/>
        <c:noMultiLvlLbl val="0"/>
      </c:catAx>
      <c:valAx>
        <c:axId val="221805583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22179643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OPTIQ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OPTIQ!$J$16</c:f>
              <c:numCache>
                <c:formatCode>#\ ##0\ "€"</c:formatCode>
                <c:ptCount val="1"/>
                <c:pt idx="0">
                  <c:v>9436.42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FB-49AC-9275-89C20343D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1818063"/>
        <c:axId val="221800591"/>
      </c:barChart>
      <c:catAx>
        <c:axId val="221818063"/>
        <c:scaling>
          <c:orientation val="minMax"/>
        </c:scaling>
        <c:delete val="0"/>
        <c:axPos val="l"/>
        <c:majorTickMark val="out"/>
        <c:minorTickMark val="none"/>
        <c:tickLblPos val="nextTo"/>
        <c:crossAx val="221800591"/>
        <c:crosses val="autoZero"/>
        <c:auto val="1"/>
        <c:lblAlgn val="ctr"/>
        <c:lblOffset val="100"/>
        <c:noMultiLvlLbl val="0"/>
      </c:catAx>
      <c:valAx>
        <c:axId val="221800591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22181806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PREVE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numRef>
              <c:f>PREVE!$J$15</c:f>
              <c:numCache>
                <c:formatCode>#\ ##0\ "€"</c:formatCode>
                <c:ptCount val="1"/>
                <c:pt idx="0">
                  <c:v>11046.9</c:v>
                </c:pt>
              </c:numCache>
            </c:numRef>
          </c:cat>
          <c:val>
            <c:numRef>
              <c:f>PREVE!$J$16</c:f>
              <c:numCache>
                <c:formatCode>#\ ##0\ "€"</c:formatCode>
                <c:ptCount val="1"/>
                <c:pt idx="0">
                  <c:v>11046.9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67-4324-9DDA-A2AE77809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1811407"/>
        <c:axId val="221797679"/>
      </c:barChart>
      <c:catAx>
        <c:axId val="221811407"/>
        <c:scaling>
          <c:orientation val="minMax"/>
        </c:scaling>
        <c:delete val="0"/>
        <c:axPos val="l"/>
        <c:numFmt formatCode="#\ ##0\ &quot;€&quot;" sourceLinked="1"/>
        <c:majorTickMark val="out"/>
        <c:minorTickMark val="none"/>
        <c:tickLblPos val="nextTo"/>
        <c:crossAx val="221797679"/>
        <c:crosses val="autoZero"/>
        <c:auto val="1"/>
        <c:lblAlgn val="ctr"/>
        <c:lblOffset val="100"/>
        <c:noMultiLvlLbl val="0"/>
      </c:catAx>
      <c:valAx>
        <c:axId val="221797679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22181140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SOINS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SOINS!$D$16:$D$17</c:f>
              <c:strCache>
                <c:ptCount val="2"/>
                <c:pt idx="0">
                  <c:v>ANALYSES</c:v>
                </c:pt>
                <c:pt idx="1">
                  <c:v>AUXILIAIRES MEDICAUX</c:v>
                </c:pt>
              </c:strCache>
            </c:strRef>
          </c:cat>
          <c:val>
            <c:numRef>
              <c:f>SOINS!$J$16:$J$17</c:f>
              <c:numCache>
                <c:formatCode>#\ ##0\ "€"</c:formatCode>
                <c:ptCount val="2"/>
                <c:pt idx="0">
                  <c:v>10194.25</c:v>
                </c:pt>
                <c:pt idx="1">
                  <c:v>17996.3300000001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DE-4772-8BE7-CB71616ED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1815983"/>
        <c:axId val="221796015"/>
      </c:barChart>
      <c:catAx>
        <c:axId val="22181598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21796015"/>
        <c:crosses val="autoZero"/>
        <c:auto val="1"/>
        <c:lblAlgn val="ctr"/>
        <c:lblOffset val="100"/>
        <c:noMultiLvlLbl val="0"/>
      </c:catAx>
      <c:valAx>
        <c:axId val="221796015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22181598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 sz="1800" b="0" i="0" u="none" strike="noStrike" baseline="0">
                <a:effectLst/>
              </a:rPr>
              <a:t>Garantie 1</a:t>
            </a:r>
            <a:endParaRPr lang="en-US">
              <a:solidFill>
                <a:srgbClr val="4FACBE"/>
              </a:solidFill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garantie_1'!$V$18</c:f>
              <c:strCache>
                <c:ptCount val="1"/>
                <c:pt idx="0">
                  <c:v>ACTES DE PROPHYLAXIE ET PREVENTION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49-46B3-A6B0-C548C6FD82AF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849-46B3-A6B0-C548C6FD82AF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49-46B3-A6B0-C548C6FD82AF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garantie_1'!$W$20:$W$25</c:f>
              <c:numCache>
                <c:formatCode>_-* #\ ##0\ "€"_-;\-* #\ ##0\ "€"_-;_-* "-"??\ "€"_-;_-@_-</c:formatCode>
                <c:ptCount val="6"/>
                <c:pt idx="0">
                  <c:v>14.46</c:v>
                </c:pt>
                <c:pt idx="1">
                  <c:v>14.46</c:v>
                </c:pt>
                <c:pt idx="2">
                  <c:v>28.92</c:v>
                </c:pt>
                <c:pt idx="3">
                  <c:v>28.92</c:v>
                </c:pt>
                <c:pt idx="4">
                  <c:v>28.92</c:v>
                </c:pt>
                <c:pt idx="5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49-46B3-A6B0-C548C6FD82AF}"/>
            </c:ext>
          </c:extLst>
        </c:ser>
        <c:ser>
          <c:idx val="1"/>
          <c:order val="1"/>
          <c:tx>
            <c:strRef>
              <c:f>'Quartil garantie_1'!$X$19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49-46B3-A6B0-C548C6FD82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849-46B3-A6B0-C548C6FD82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49-46B3-A6B0-C548C6FD82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49-46B3-A6B0-C548C6FD82A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49-46B3-A6B0-C548C6FD82AF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5849-46B3-A6B0-C548C6FD82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garantie_1'!$X$20:$X$25</c:f>
              <c:numCache>
                <c:formatCode>_-* #\ ##0\ "€"_-;\-* #\ ##0\ "€"_-;_-* "-"??\ "€"_-;_-@_-</c:formatCode>
                <c:ptCount val="6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849-46B3-A6B0-C548C6FD82AF}"/>
            </c:ext>
          </c:extLst>
        </c:ser>
        <c:ser>
          <c:idx val="2"/>
          <c:order val="2"/>
          <c:tx>
            <c:strRef>
              <c:f>'Quartil garantie_1'!$Y$18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49-46B3-A6B0-C548C6FD82AF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49-46B3-A6B0-C548C6FD82AF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849-46B3-A6B0-C548C6FD82AF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849-46B3-A6B0-C548C6FD82AF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849-46B3-A6B0-C548C6FD82AF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garantie_1'!$Z$20:$Z$25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849-46B3-A6B0-C548C6FD82AF}"/>
            </c:ext>
          </c:extLst>
        </c:ser>
        <c:ser>
          <c:idx val="3"/>
          <c:order val="3"/>
          <c:tx>
            <c:strRef>
              <c:f>'Quartil garantie_1'!$AA$19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849-46B3-A6B0-C548C6FD82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849-46B3-A6B0-C548C6FD82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849-46B3-A6B0-C548C6FD82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849-46B3-A6B0-C548C6FD82A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849-46B3-A6B0-C548C6FD82AF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5849-46B3-A6B0-C548C6FD82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garantie_1'!$AA$20:$AA$25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849-46B3-A6B0-C548C6FD8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1002768"/>
        <c:axId val="958230768"/>
      </c:lineChart>
      <c:catAx>
        <c:axId val="15710027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8230768"/>
        <c:crosses val="autoZero"/>
        <c:auto val="1"/>
        <c:lblAlgn val="ctr"/>
        <c:lblOffset val="100"/>
        <c:noMultiLvlLbl val="0"/>
      </c:catAx>
      <c:valAx>
        <c:axId val="95823076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100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garantie 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garantie_2'!$V$18</c:f>
              <c:strCache>
                <c:ptCount val="1"/>
                <c:pt idx="0">
                  <c:v>APPAREILLAGE REFUSE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50-4142-B500-1430FD3099EC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50-4142-B500-1430FD3099EC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750-4142-B500-1430FD3099EC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garantie_2'!$W$20:$W$25</c:f>
              <c:numCache>
                <c:formatCode>_-* #\ ##0\ "€"_-;\-* #\ ##0\ "€"_-;_-* "-"??\ "€"_-;_-@_-</c:formatCode>
                <c:ptCount val="6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50-4142-B500-1430FD3099EC}"/>
            </c:ext>
          </c:extLst>
        </c:ser>
        <c:ser>
          <c:idx val="1"/>
          <c:order val="1"/>
          <c:tx>
            <c:strRef>
              <c:f>'Quartil garantie_2'!$X$19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50-4142-B500-1430FD3099E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50-4142-B500-1430FD3099E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50-4142-B500-1430FD3099E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50-4142-B500-1430FD3099E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750-4142-B500-1430FD3099EC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1750-4142-B500-1430FD3099EC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garantie_2'!$X$20:$X$25</c:f>
              <c:numCache>
                <c:formatCode>_-* #\ ##0\ "€"_-;\-* #\ ##0\ "€"_-;_-* "-"??\ "€"_-;_-@_-</c:formatCode>
                <c:ptCount val="6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750-4142-B500-1430FD3099EC}"/>
            </c:ext>
          </c:extLst>
        </c:ser>
        <c:ser>
          <c:idx val="2"/>
          <c:order val="2"/>
          <c:tx>
            <c:strRef>
              <c:f>'Quartil garantie_2'!$Y$18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50-4142-B500-1430FD3099EC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750-4142-B500-1430FD3099EC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750-4142-B500-1430FD3099EC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750-4142-B500-1430FD3099EC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750-4142-B500-1430FD3099EC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garantie_2'!$Z$20:$Z$25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750-4142-B500-1430FD3099EC}"/>
            </c:ext>
          </c:extLst>
        </c:ser>
        <c:ser>
          <c:idx val="3"/>
          <c:order val="3"/>
          <c:tx>
            <c:strRef>
              <c:f>'Quartil garantie_2'!$AA$19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750-4142-B500-1430FD3099E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750-4142-B500-1430FD3099E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750-4142-B500-1430FD3099E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750-4142-B500-1430FD3099E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750-4142-B500-1430FD3099EC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1750-4142-B500-1430FD3099EC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garantie_2'!$AA$20:$AA$25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750-4142-B500-1430FD309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820528"/>
        <c:axId val="1722806384"/>
      </c:lineChart>
      <c:catAx>
        <c:axId val="17228205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06384"/>
        <c:crosses val="autoZero"/>
        <c:auto val="1"/>
        <c:lblAlgn val="ctr"/>
        <c:lblOffset val="100"/>
        <c:noMultiLvlLbl val="0"/>
      </c:catAx>
      <c:valAx>
        <c:axId val="1722806384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2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40368865176932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en-US">
                <a:solidFill>
                  <a:srgbClr val="4FACBE"/>
                </a:solidFill>
              </a:rPr>
              <a:t>Garantie 3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garantie_3'!$V$18</c:f>
              <c:strCache>
                <c:ptCount val="1"/>
                <c:pt idx="0">
                  <c:v>AUTRES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5F-4D26-A046-BEE042AF46ED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5F-4D26-A046-BEE042AF46ED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5F-4D26-A046-BEE042AF46ED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garantie_3'!$W$20:$W$25</c:f>
              <c:numCache>
                <c:formatCode>_-* #\ ##0\ "€"_-;\-* #\ ##0\ "€"_-;_-* "-"??\ "€"_-;_-@_-</c:formatCode>
                <c:ptCount val="6"/>
                <c:pt idx="0">
                  <c:v>0.51</c:v>
                </c:pt>
                <c:pt idx="1">
                  <c:v>3.57</c:v>
                </c:pt>
                <c:pt idx="2">
                  <c:v>25</c:v>
                </c:pt>
                <c:pt idx="3">
                  <c:v>55</c:v>
                </c:pt>
                <c:pt idx="4">
                  <c:v>72</c:v>
                </c:pt>
                <c:pt idx="5">
                  <c:v>3777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5F-4D26-A046-BEE042AF46ED}"/>
            </c:ext>
          </c:extLst>
        </c:ser>
        <c:ser>
          <c:idx val="1"/>
          <c:order val="1"/>
          <c:tx>
            <c:strRef>
              <c:f>'Quartil garantie_3'!$X$19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15F-4D26-A046-BEE042AF46E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15F-4D26-A046-BEE042AF46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15F-4D26-A046-BEE042AF46E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15F-4D26-A046-BEE042AF46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15F-4D26-A046-BEE042AF46ED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B15F-4D26-A046-BEE042AF46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garantie_3'!$X$20:$X$25</c:f>
              <c:numCache>
                <c:formatCode>_-* #\ ##0\ "€"_-;\-* #\ ##0\ "€"_-;_-* "-"??\ "€"_-;_-@_-</c:formatCode>
                <c:ptCount val="6"/>
                <c:pt idx="0">
                  <c:v>48</c:v>
                </c:pt>
                <c:pt idx="1">
                  <c:v>48</c:v>
                </c:pt>
                <c:pt idx="2">
                  <c:v>48</c:v>
                </c:pt>
                <c:pt idx="3">
                  <c:v>48</c:v>
                </c:pt>
                <c:pt idx="4">
                  <c:v>48</c:v>
                </c:pt>
                <c:pt idx="5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15F-4D26-A046-BEE042AF46ED}"/>
            </c:ext>
          </c:extLst>
        </c:ser>
        <c:ser>
          <c:idx val="2"/>
          <c:order val="2"/>
          <c:tx>
            <c:strRef>
              <c:f>'Quartil garantie_3'!$Y$18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15F-4D26-A046-BEE042AF46ED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5F-4D26-A046-BEE042AF46ED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15F-4D26-A046-BEE042AF46ED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15F-4D26-A046-BEE042AF46ED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15F-4D26-A046-BEE042AF46ED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garantie_3'!$Z$20:$Z$25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15F-4D26-A046-BEE042AF46ED}"/>
            </c:ext>
          </c:extLst>
        </c:ser>
        <c:ser>
          <c:idx val="3"/>
          <c:order val="3"/>
          <c:tx>
            <c:strRef>
              <c:f>'Quartil garantie_3'!$AA$19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15F-4D26-A046-BEE042AF46E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15F-4D26-A046-BEE042AF46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15F-4D26-A046-BEE042AF46E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15F-4D26-A046-BEE042AF46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B15F-4D26-A046-BEE042AF46ED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B15F-4D26-A046-BEE042AF46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garantie_3'!$AA$20:$AA$25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15F-4D26-A046-BEE042AF4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837936"/>
        <c:axId val="1722831408"/>
      </c:lineChart>
      <c:catAx>
        <c:axId val="172283793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31408"/>
        <c:crosses val="autoZero"/>
        <c:auto val="1"/>
        <c:lblAlgn val="ctr"/>
        <c:lblOffset val="100"/>
        <c:noMultiLvlLbl val="0"/>
      </c:catAx>
      <c:valAx>
        <c:axId val="172283140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3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jpg"/><Relationship Id="rId4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.jp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jp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.jp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.jp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706967</xdr:colOff>
          <xdr:row>5</xdr:row>
          <xdr:rowOff>29633</xdr:rowOff>
        </xdr:from>
        <xdr:to>
          <xdr:col>22</xdr:col>
          <xdr:colOff>618067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715433</xdr:colOff>
          <xdr:row>8</xdr:row>
          <xdr:rowOff>220133</xdr:rowOff>
        </xdr:from>
        <xdr:to>
          <xdr:col>22</xdr:col>
          <xdr:colOff>630767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1228725</xdr:colOff>
      <xdr:row>1</xdr:row>
      <xdr:rowOff>123825</xdr:rowOff>
    </xdr:from>
    <xdr:to>
      <xdr:col>18</xdr:col>
      <xdr:colOff>47625</xdr:colOff>
      <xdr:row>4</xdr:row>
      <xdr:rowOff>85725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314325"/>
          <a:ext cx="530678" cy="5306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927847</xdr:colOff>
      <xdr:row>2</xdr:row>
      <xdr:rowOff>12327</xdr:rowOff>
    </xdr:from>
    <xdr:to>
      <xdr:col>11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9922" y="393327"/>
          <a:ext cx="530678" cy="530678"/>
        </a:xfrm>
        <a:prstGeom prst="rect">
          <a:avLst/>
        </a:prstGeom>
      </xdr:spPr>
    </xdr:pic>
    <xdr:clientData/>
  </xdr:twoCellAnchor>
  <xdr:twoCellAnchor>
    <xdr:from>
      <xdr:col>2</xdr:col>
      <xdr:colOff>1400736</xdr:colOff>
      <xdr:row>32</xdr:row>
      <xdr:rowOff>89646</xdr:rowOff>
    </xdr:from>
    <xdr:to>
      <xdr:col>6</xdr:col>
      <xdr:colOff>481853</xdr:colOff>
      <xdr:row>43</xdr:row>
      <xdr:rowOff>44822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1133475</xdr:colOff>
      <xdr:row>11</xdr:row>
      <xdr:rowOff>86285</xdr:rowOff>
    </xdr:from>
    <xdr:to>
      <xdr:col>15</xdr:col>
      <xdr:colOff>752476</xdr:colOff>
      <xdr:row>28</xdr:row>
      <xdr:rowOff>6725</xdr:rowOff>
    </xdr:to>
    <xdr:graphicFrame macro="">
      <xdr:nvGraphicFramePr>
        <xdr:cNvPr id="3" name="demo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302559</xdr:colOff>
      <xdr:row>18</xdr:row>
      <xdr:rowOff>34738</xdr:rowOff>
    </xdr:from>
    <xdr:to>
      <xdr:col>5</xdr:col>
      <xdr:colOff>493059</xdr:colOff>
      <xdr:row>31</xdr:row>
      <xdr:rowOff>33618</xdr:rowOff>
    </xdr:to>
    <xdr:graphicFrame macro="">
      <xdr:nvGraphicFramePr>
        <xdr:cNvPr id="4" name="Demo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466725</xdr:colOff>
      <xdr:row>33</xdr:row>
      <xdr:rowOff>90767</xdr:rowOff>
    </xdr:from>
    <xdr:to>
      <xdr:col>9</xdr:col>
      <xdr:colOff>459441</xdr:colOff>
      <xdr:row>42</xdr:row>
      <xdr:rowOff>133350</xdr:rowOff>
    </xdr:to>
    <xdr:graphicFrame macro="">
      <xdr:nvGraphicFramePr>
        <xdr:cNvPr id="6" name="demo3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266700</xdr:colOff>
      <xdr:row>2</xdr:row>
      <xdr:rowOff>9525</xdr:rowOff>
    </xdr:from>
    <xdr:to>
      <xdr:col>16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96950" y="390525"/>
          <a:ext cx="530678" cy="53067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00" y="390525"/>
          <a:ext cx="530678" cy="530678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38101</xdr:colOff>
      <xdr:row>14</xdr:row>
      <xdr:rowOff>38099</xdr:rowOff>
    </xdr:from>
    <xdr:to>
      <xdr:col>8</xdr:col>
      <xdr:colOff>675601</xdr:colOff>
      <xdr:row>29</xdr:row>
      <xdr:rowOff>60599</xdr:rowOff>
    </xdr:to>
    <xdr:graphicFrame macro="">
      <xdr:nvGraphicFramePr>
        <xdr:cNvPr id="3" name="Prest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33</xdr:row>
      <xdr:rowOff>0</xdr:rowOff>
    </xdr:from>
    <xdr:to>
      <xdr:col>8</xdr:col>
      <xdr:colOff>666075</xdr:colOff>
      <xdr:row>48</xdr:row>
      <xdr:rowOff>22500</xdr:rowOff>
    </xdr:to>
    <xdr:graphicFrame macro="">
      <xdr:nvGraphicFramePr>
        <xdr:cNvPr id="4" name="Prest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28575</xdr:colOff>
      <xdr:row>33</xdr:row>
      <xdr:rowOff>19050</xdr:rowOff>
    </xdr:from>
    <xdr:to>
      <xdr:col>17</xdr:col>
      <xdr:colOff>1428075</xdr:colOff>
      <xdr:row>48</xdr:row>
      <xdr:rowOff>41550</xdr:rowOff>
    </xdr:to>
    <xdr:graphicFrame macro="">
      <xdr:nvGraphicFramePr>
        <xdr:cNvPr id="5" name="Prest3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38100</xdr:colOff>
      <xdr:row>13</xdr:row>
      <xdr:rowOff>190499</xdr:rowOff>
    </xdr:from>
    <xdr:to>
      <xdr:col>18</xdr:col>
      <xdr:colOff>8850</xdr:colOff>
      <xdr:row>29</xdr:row>
      <xdr:rowOff>22499</xdr:rowOff>
    </xdr:to>
    <xdr:graphicFrame macro="">
      <xdr:nvGraphicFramePr>
        <xdr:cNvPr id="6" name="Prest4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17</xdr:col>
      <xdr:colOff>942975</xdr:colOff>
      <xdr:row>2</xdr:row>
      <xdr:rowOff>57150</xdr:rowOff>
    </xdr:from>
    <xdr:to>
      <xdr:col>18</xdr:col>
      <xdr:colOff>47625</xdr:colOff>
      <xdr:row>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438150"/>
          <a:ext cx="530678" cy="53067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>
    <xdr:from>
      <xdr:col>1</xdr:col>
      <xdr:colOff>173567</xdr:colOff>
      <xdr:row>28</xdr:row>
      <xdr:rowOff>67733</xdr:rowOff>
    </xdr:from>
    <xdr:to>
      <xdr:col>15</xdr:col>
      <xdr:colOff>668867</xdr:colOff>
      <xdr:row>52</xdr:row>
      <xdr:rowOff>143933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>
    <xdr:from>
      <xdr:col>1</xdr:col>
      <xdr:colOff>173567</xdr:colOff>
      <xdr:row>27</xdr:row>
      <xdr:rowOff>4233</xdr:rowOff>
    </xdr:from>
    <xdr:to>
      <xdr:col>15</xdr:col>
      <xdr:colOff>668867</xdr:colOff>
      <xdr:row>51</xdr:row>
      <xdr:rowOff>80433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>
    <xdr:from>
      <xdr:col>1</xdr:col>
      <xdr:colOff>173567</xdr:colOff>
      <xdr:row>28</xdr:row>
      <xdr:rowOff>67733</xdr:rowOff>
    </xdr:from>
    <xdr:to>
      <xdr:col>15</xdr:col>
      <xdr:colOff>668867</xdr:colOff>
      <xdr:row>52</xdr:row>
      <xdr:rowOff>143933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>
    <xdr:from>
      <xdr:col>1</xdr:col>
      <xdr:colOff>173567</xdr:colOff>
      <xdr:row>28</xdr:row>
      <xdr:rowOff>67733</xdr:rowOff>
    </xdr:from>
    <xdr:to>
      <xdr:col>15</xdr:col>
      <xdr:colOff>668867</xdr:colOff>
      <xdr:row>52</xdr:row>
      <xdr:rowOff>143933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>
    <xdr:from>
      <xdr:col>1</xdr:col>
      <xdr:colOff>173567</xdr:colOff>
      <xdr:row>31</xdr:row>
      <xdr:rowOff>12700</xdr:rowOff>
    </xdr:from>
    <xdr:to>
      <xdr:col>15</xdr:col>
      <xdr:colOff>668867</xdr:colOff>
      <xdr:row>55</xdr:row>
      <xdr:rowOff>88900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>
    <xdr:from>
      <xdr:col>1</xdr:col>
      <xdr:colOff>173567</xdr:colOff>
      <xdr:row>28</xdr:row>
      <xdr:rowOff>67733</xdr:rowOff>
    </xdr:from>
    <xdr:to>
      <xdr:col>15</xdr:col>
      <xdr:colOff>668867</xdr:colOff>
      <xdr:row>52</xdr:row>
      <xdr:rowOff>143933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>
    <xdr:from>
      <xdr:col>1</xdr:col>
      <xdr:colOff>173567</xdr:colOff>
      <xdr:row>27</xdr:row>
      <xdr:rowOff>4233</xdr:rowOff>
    </xdr:from>
    <xdr:to>
      <xdr:col>15</xdr:col>
      <xdr:colOff>668867</xdr:colOff>
      <xdr:row>51</xdr:row>
      <xdr:rowOff>80433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>
    <xdr:from>
      <xdr:col>1</xdr:col>
      <xdr:colOff>173567</xdr:colOff>
      <xdr:row>29</xdr:row>
      <xdr:rowOff>131233</xdr:rowOff>
    </xdr:from>
    <xdr:to>
      <xdr:col>15</xdr:col>
      <xdr:colOff>668867</xdr:colOff>
      <xdr:row>54</xdr:row>
      <xdr:rowOff>25400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E41"/>
  <sheetViews>
    <sheetView showGridLines="0" tabSelected="1" topLeftCell="E1" zoomScale="70" zoomScaleNormal="70" workbookViewId="0">
      <selection activeCell="X8" sqref="X8"/>
    </sheetView>
  </sheetViews>
  <sheetFormatPr baseColWidth="10" defaultColWidth="11.41015625" defaultRowHeight="14.35"/>
  <cols>
    <col min="1" max="1" width="2.87890625" style="92" customWidth="1"/>
    <col min="2" max="2" width="4.29296875" style="92" customWidth="1"/>
    <col min="3" max="3" width="11.41015625" style="92" customWidth="1"/>
    <col min="4" max="4" width="13.703125" style="92" customWidth="1"/>
    <col min="5" max="9" width="11.41015625" style="92" customWidth="1"/>
    <col min="10" max="11" width="22.87890625" style="92" customWidth="1"/>
    <col min="12" max="18" width="11.41015625" style="92" customWidth="1"/>
    <col min="19" max="19" width="4.29296875" style="92" customWidth="1"/>
    <col min="20" max="20" width="2.87890625" style="92" customWidth="1"/>
    <col min="21" max="29" width="11.41015625" style="92" customWidth="1"/>
    <col min="30" max="16384" width="11.41015625" style="92"/>
  </cols>
  <sheetData>
    <row r="1" spans="2:31">
      <c r="AD1" s="92" t="s">
        <v>0</v>
      </c>
      <c r="AE1" s="92" t="s">
        <v>1</v>
      </c>
    </row>
    <row r="2" spans="2:31">
      <c r="B2" s="93"/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5"/>
      <c r="AD2" s="92" t="s">
        <v>305</v>
      </c>
      <c r="AE2" s="92" t="s">
        <v>2</v>
      </c>
    </row>
    <row r="3" spans="2:31">
      <c r="B3" s="96"/>
      <c r="S3" s="97"/>
    </row>
    <row r="4" spans="2:31">
      <c r="B4" s="96"/>
      <c r="S4" s="97"/>
    </row>
    <row r="5" spans="2:31">
      <c r="B5" s="96"/>
      <c r="S5" s="97"/>
    </row>
    <row r="6" spans="2:31">
      <c r="B6" s="96"/>
      <c r="S6" s="97"/>
    </row>
    <row r="7" spans="2:31">
      <c r="B7" s="96"/>
      <c r="S7" s="97"/>
    </row>
    <row r="8" spans="2:31">
      <c r="B8" s="96"/>
      <c r="S8" s="97"/>
    </row>
    <row r="9" spans="2:31" ht="45">
      <c r="B9" s="96"/>
      <c r="C9" s="98" t="s">
        <v>3</v>
      </c>
      <c r="D9" s="99"/>
      <c r="E9" s="99"/>
      <c r="F9" s="99"/>
      <c r="G9" s="99"/>
      <c r="H9" s="99"/>
      <c r="I9" s="99"/>
      <c r="S9" s="97"/>
    </row>
    <row r="10" spans="2:31" ht="45">
      <c r="B10" s="96"/>
      <c r="C10" s="98" t="s">
        <v>4</v>
      </c>
      <c r="D10" s="99"/>
      <c r="E10" s="99"/>
      <c r="F10" s="99"/>
      <c r="G10" s="99"/>
      <c r="H10" s="99"/>
      <c r="I10" s="99"/>
      <c r="S10" s="97"/>
    </row>
    <row r="11" spans="2:31">
      <c r="B11" s="96"/>
      <c r="C11" s="99"/>
      <c r="D11" s="99"/>
      <c r="E11" s="99"/>
      <c r="F11" s="99"/>
      <c r="G11" s="99"/>
      <c r="H11" s="99"/>
      <c r="I11" s="99"/>
      <c r="S11" s="97"/>
    </row>
    <row r="12" spans="2:31" ht="15" customHeight="1">
      <c r="B12" s="96"/>
      <c r="C12" s="99"/>
      <c r="D12" s="99"/>
      <c r="E12" s="99"/>
      <c r="F12" s="99"/>
      <c r="G12" s="99"/>
      <c r="H12" s="99"/>
      <c r="I12" s="99"/>
      <c r="J12" s="100"/>
      <c r="S12" s="97"/>
    </row>
    <row r="13" spans="2:31" ht="90" customHeight="1">
      <c r="B13" s="101"/>
      <c r="C13" s="277" t="s">
        <v>300</v>
      </c>
      <c r="D13" s="277"/>
      <c r="E13" s="277"/>
      <c r="F13" s="277"/>
      <c r="G13" s="277"/>
      <c r="H13" s="277"/>
      <c r="I13" s="277"/>
      <c r="J13" s="277"/>
      <c r="K13" s="277"/>
      <c r="L13" s="277"/>
      <c r="M13" s="277"/>
      <c r="N13" s="277"/>
      <c r="O13" s="277"/>
      <c r="P13" s="277"/>
      <c r="Q13" s="277"/>
      <c r="R13" s="277"/>
      <c r="S13" s="102"/>
      <c r="W13" s="103"/>
      <c r="X13" s="103"/>
    </row>
    <row r="14" spans="2:31">
      <c r="B14" s="96"/>
      <c r="C14" s="99"/>
      <c r="D14" s="99"/>
      <c r="E14" s="99"/>
      <c r="F14" s="99"/>
      <c r="G14" s="99"/>
      <c r="H14" s="99"/>
      <c r="I14" s="99"/>
      <c r="S14" s="97"/>
      <c r="W14" s="103"/>
      <c r="X14" s="103"/>
    </row>
    <row r="15" spans="2:31">
      <c r="B15" s="96"/>
      <c r="C15" s="99"/>
      <c r="D15" s="99"/>
      <c r="E15" s="99"/>
      <c r="F15" s="99"/>
      <c r="G15" s="99"/>
      <c r="H15" s="99"/>
      <c r="I15" s="99"/>
      <c r="S15" s="97"/>
      <c r="W15" s="103"/>
    </row>
    <row r="16" spans="2:31">
      <c r="B16" s="96"/>
      <c r="S16" s="97"/>
      <c r="W16" s="103"/>
      <c r="X16" s="103"/>
    </row>
    <row r="17" spans="1:24">
      <c r="B17" s="96"/>
      <c r="S17" s="97"/>
      <c r="W17" s="103"/>
      <c r="X17" s="103"/>
    </row>
    <row r="18" spans="1:24">
      <c r="B18" s="96"/>
      <c r="S18" s="97"/>
      <c r="W18" s="103"/>
      <c r="X18" s="103"/>
    </row>
    <row r="19" spans="1:24" s="107" customFormat="1" ht="67.5" customHeight="1">
      <c r="A19" s="103"/>
      <c r="B19" s="104"/>
      <c r="C19" s="105"/>
      <c r="D19" s="106" t="s">
        <v>5</v>
      </c>
      <c r="F19" s="105" t="s">
        <v>6</v>
      </c>
      <c r="G19" s="278" t="s">
        <v>225</v>
      </c>
      <c r="H19" s="278"/>
      <c r="I19" s="278"/>
      <c r="J19" s="278"/>
      <c r="K19" s="278"/>
      <c r="L19" s="278"/>
      <c r="M19" s="278"/>
      <c r="N19" s="278"/>
      <c r="O19" s="278"/>
      <c r="P19" s="278"/>
      <c r="Q19" s="278"/>
      <c r="R19" s="278"/>
      <c r="S19" s="108"/>
    </row>
    <row r="20" spans="1:24" s="107" customFormat="1" ht="67.5" customHeight="1">
      <c r="A20" s="103"/>
      <c r="B20" s="104"/>
      <c r="C20" s="105"/>
      <c r="D20" s="106" t="s">
        <v>7</v>
      </c>
      <c r="F20" s="109"/>
      <c r="G20" s="106" t="s">
        <v>8</v>
      </c>
      <c r="H20" s="106"/>
      <c r="I20" s="106"/>
      <c r="J20" s="106"/>
      <c r="K20" s="106"/>
      <c r="L20" s="106"/>
      <c r="M20" s="106"/>
      <c r="N20" s="106"/>
      <c r="O20" s="106"/>
      <c r="P20" s="106"/>
      <c r="Q20" s="106"/>
      <c r="R20" s="106"/>
      <c r="S20" s="108"/>
    </row>
    <row r="21" spans="1:24">
      <c r="B21" s="96"/>
      <c r="C21" s="99"/>
      <c r="D21" s="110"/>
      <c r="E21" s="99"/>
      <c r="F21" s="99"/>
      <c r="G21" s="99"/>
      <c r="H21" s="99"/>
      <c r="I21" s="99"/>
      <c r="S21" s="97"/>
    </row>
    <row r="22" spans="1:24" s="100" customFormat="1" ht="33.700000000000003">
      <c r="A22" s="92"/>
      <c r="B22" s="111"/>
      <c r="C22" s="105"/>
      <c r="D22" s="112" t="s">
        <v>9</v>
      </c>
      <c r="E22" s="105"/>
      <c r="G22" s="105"/>
      <c r="H22" s="113" t="s">
        <v>303</v>
      </c>
      <c r="I22" s="114"/>
      <c r="S22" s="115"/>
    </row>
    <row r="23" spans="1:24" s="100" customFormat="1" ht="33.35">
      <c r="A23" s="92"/>
      <c r="B23" s="111"/>
      <c r="C23" s="105"/>
      <c r="D23" s="112" t="s">
        <v>10</v>
      </c>
      <c r="E23" s="105"/>
      <c r="F23" s="105"/>
      <c r="H23" s="105"/>
      <c r="J23" s="113" t="s">
        <v>304</v>
      </c>
      <c r="S23" s="115"/>
    </row>
    <row r="24" spans="1:24">
      <c r="B24" s="96"/>
      <c r="S24" s="97"/>
    </row>
    <row r="25" spans="1:24">
      <c r="B25" s="96"/>
      <c r="S25" s="97"/>
    </row>
    <row r="26" spans="1:24" ht="15" hidden="1" customHeight="1">
      <c r="B26" s="96"/>
      <c r="S26" s="97"/>
    </row>
    <row r="27" spans="1:24" ht="15" hidden="1" customHeight="1">
      <c r="B27" s="96"/>
      <c r="S27" s="97"/>
    </row>
    <row r="28" spans="1:24">
      <c r="B28" s="96"/>
      <c r="S28" s="97"/>
    </row>
    <row r="29" spans="1:24">
      <c r="B29" s="96"/>
      <c r="S29" s="97"/>
    </row>
    <row r="30" spans="1:24" hidden="1">
      <c r="B30" s="96"/>
      <c r="S30" s="97"/>
    </row>
    <row r="31" spans="1:24" hidden="1">
      <c r="B31" s="96"/>
      <c r="S31" s="97"/>
    </row>
    <row r="32" spans="1:24" hidden="1">
      <c r="B32" s="96"/>
      <c r="S32" s="97"/>
    </row>
    <row r="33" spans="2:19">
      <c r="B33" s="96"/>
      <c r="S33" s="97"/>
    </row>
    <row r="34" spans="2:19" hidden="1">
      <c r="B34" s="96"/>
      <c r="S34" s="97"/>
    </row>
    <row r="35" spans="2:19" hidden="1">
      <c r="B35" s="96"/>
      <c r="S35" s="97"/>
    </row>
    <row r="36" spans="2:19" hidden="1">
      <c r="B36" s="96"/>
      <c r="S36" s="97"/>
    </row>
    <row r="37" spans="2:19" hidden="1">
      <c r="B37" s="96"/>
      <c r="S37" s="97"/>
    </row>
    <row r="38" spans="2:19">
      <c r="B38" s="96"/>
      <c r="S38" s="97"/>
    </row>
    <row r="39" spans="2:19">
      <c r="B39" s="96"/>
      <c r="S39" s="97"/>
    </row>
    <row r="40" spans="2:19" ht="7.5" customHeight="1">
      <c r="B40" s="96"/>
      <c r="S40" s="97"/>
    </row>
    <row r="41" spans="2:19">
      <c r="B41" s="116"/>
      <c r="C41" s="117"/>
      <c r="D41" s="117"/>
      <c r="E41" s="117"/>
      <c r="F41" s="117"/>
      <c r="G41" s="117"/>
      <c r="H41" s="117"/>
      <c r="I41" s="117"/>
      <c r="J41" s="117"/>
      <c r="K41" s="117"/>
      <c r="L41" s="117"/>
      <c r="M41" s="117"/>
      <c r="N41" s="117"/>
      <c r="O41" s="117"/>
      <c r="P41" s="117"/>
      <c r="Q41" s="117"/>
      <c r="R41" s="117"/>
      <c r="S41" s="118"/>
    </row>
  </sheetData>
  <mergeCells count="2">
    <mergeCell ref="C13:R13"/>
    <mergeCell ref="G19:R19"/>
  </mergeCells>
  <pageMargins left="0.70866141732283472" right="0.70866141732283472" top="0.74803149606299213" bottom="0.74803149606299213" header="0.31496062992125984" footer="0.31496062992125984"/>
  <pageSetup paperSize="9"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706967</xdr:colOff>
                    <xdr:row>5</xdr:row>
                    <xdr:rowOff>29633</xdr:rowOff>
                  </from>
                  <to>
                    <xdr:col>22</xdr:col>
                    <xdr:colOff>618067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715433</xdr:colOff>
                    <xdr:row>8</xdr:row>
                    <xdr:rowOff>220133</xdr:rowOff>
                  </from>
                  <to>
                    <xdr:col>22</xdr:col>
                    <xdr:colOff>630767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3">
    <tabColor theme="4" tint="0.79998168889431442"/>
    <pageSetUpPr fitToPage="1"/>
  </sheetPr>
  <dimension ref="A1:T39"/>
  <sheetViews>
    <sheetView showGridLines="0" zoomScale="70" zoomScaleNormal="70" workbookViewId="0">
      <selection activeCell="V20" sqref="V20:Y20"/>
    </sheetView>
  </sheetViews>
  <sheetFormatPr baseColWidth="10" defaultColWidth="11.41015625" defaultRowHeight="14.35"/>
  <cols>
    <col min="1" max="1" width="2.87890625" style="8" customWidth="1"/>
    <col min="2" max="2" width="4.29296875" style="2" customWidth="1"/>
    <col min="3" max="3" width="22.87890625" style="2" customWidth="1"/>
    <col min="4" max="4" width="2.87890625" style="2" customWidth="1"/>
    <col min="5" max="5" width="22.87890625" style="2" customWidth="1"/>
    <col min="6" max="6" width="2.87890625" style="2" customWidth="1"/>
    <col min="7" max="7" width="22.87890625" style="50" customWidth="1"/>
    <col min="8" max="8" width="2.87890625" style="50" customWidth="1"/>
    <col min="9" max="9" width="22.87890625" style="50" customWidth="1"/>
    <col min="10" max="10" width="2.87890625" style="50" customWidth="1"/>
    <col min="11" max="11" width="22.87890625" style="50" customWidth="1"/>
    <col min="12" max="12" width="2.87890625" style="50" customWidth="1"/>
    <col min="13" max="13" width="22.87890625" style="50" customWidth="1"/>
    <col min="14" max="14" width="2.87890625" style="50" customWidth="1"/>
    <col min="15" max="15" width="22.87890625" style="50" customWidth="1"/>
    <col min="16" max="16" width="2.87890625" style="2" customWidth="1"/>
    <col min="17" max="17" width="22.87890625" style="2" customWidth="1"/>
    <col min="18" max="18" width="2.87890625" style="2" customWidth="1"/>
    <col min="19" max="19" width="4.29296875" style="2" customWidth="1"/>
    <col min="20" max="20" width="2.87890625" style="2" customWidth="1"/>
    <col min="21" max="27" width="11.41015625" style="2" customWidth="1"/>
    <col min="28" max="16384" width="11.41015625" style="2"/>
  </cols>
  <sheetData>
    <row r="1" spans="1:20" ht="15" customHeight="1">
      <c r="A1" s="7"/>
      <c r="B1" s="7"/>
      <c r="C1" s="7"/>
      <c r="D1" s="7"/>
      <c r="E1" s="7"/>
      <c r="F1" s="7"/>
      <c r="G1" s="40"/>
      <c r="H1" s="40"/>
      <c r="I1" s="40"/>
      <c r="J1" s="40"/>
      <c r="K1" s="40"/>
      <c r="L1" s="40"/>
      <c r="M1" s="40"/>
      <c r="N1" s="40"/>
      <c r="O1" s="40"/>
      <c r="P1" s="7"/>
      <c r="Q1" s="7"/>
      <c r="R1" s="7"/>
      <c r="S1" s="8"/>
      <c r="T1" s="7"/>
    </row>
    <row r="2" spans="1:20" ht="15" customHeight="1">
      <c r="B2" s="56"/>
      <c r="C2" s="57"/>
      <c r="D2" s="57"/>
      <c r="E2" s="57"/>
      <c r="F2" s="57"/>
      <c r="G2" s="61"/>
      <c r="H2" s="61"/>
      <c r="I2" s="61"/>
      <c r="J2" s="61"/>
      <c r="K2" s="61"/>
      <c r="L2" s="61"/>
      <c r="M2" s="61"/>
      <c r="N2" s="61"/>
      <c r="O2" s="61"/>
      <c r="P2" s="57"/>
      <c r="Q2" s="57"/>
      <c r="R2" s="57"/>
      <c r="S2" s="58"/>
    </row>
    <row r="3" spans="1:20" ht="15" customHeight="1">
      <c r="A3" s="7"/>
      <c r="B3" s="3"/>
      <c r="C3" s="4"/>
      <c r="D3" s="4"/>
      <c r="E3" s="4"/>
      <c r="F3" s="4"/>
      <c r="G3" s="41"/>
      <c r="H3" s="41"/>
      <c r="I3" s="41"/>
      <c r="J3" s="41"/>
      <c r="K3" s="41"/>
      <c r="L3" s="41"/>
      <c r="M3" s="41"/>
      <c r="N3" s="41"/>
      <c r="O3" s="41"/>
      <c r="P3" s="4"/>
      <c r="Q3" s="4"/>
      <c r="R3" s="4"/>
      <c r="S3" s="59"/>
    </row>
    <row r="4" spans="1:20" ht="15" customHeight="1">
      <c r="A4" s="7"/>
      <c r="B4" s="3"/>
      <c r="C4" s="4"/>
      <c r="D4" s="4"/>
      <c r="E4" s="4"/>
      <c r="F4" s="4"/>
      <c r="G4" s="41"/>
      <c r="H4" s="41"/>
      <c r="I4" s="41"/>
      <c r="J4" s="41"/>
      <c r="K4" s="41"/>
      <c r="L4" s="41"/>
      <c r="M4" s="41"/>
      <c r="N4" s="41"/>
      <c r="O4" s="41"/>
      <c r="P4" s="4"/>
      <c r="Q4" s="4"/>
      <c r="R4" s="4"/>
      <c r="S4" s="59"/>
    </row>
    <row r="5" spans="1:20" ht="15" customHeight="1">
      <c r="A5" s="7"/>
      <c r="B5" s="3"/>
      <c r="C5" s="4"/>
      <c r="D5" s="4"/>
      <c r="E5" s="4"/>
      <c r="F5" s="4"/>
      <c r="G5" s="41"/>
      <c r="H5" s="41"/>
      <c r="I5" s="41"/>
      <c r="J5" s="41"/>
      <c r="K5" s="41"/>
      <c r="L5" s="41"/>
      <c r="M5" s="41"/>
      <c r="N5" s="41"/>
      <c r="O5" s="41"/>
      <c r="P5" s="4"/>
      <c r="Q5" s="4"/>
      <c r="R5" s="4"/>
      <c r="S5" s="59"/>
    </row>
    <row r="6" spans="1:20" ht="15" hidden="1" customHeight="1">
      <c r="A6" s="7"/>
      <c r="B6" s="3"/>
      <c r="C6" s="4"/>
      <c r="D6" s="4"/>
      <c r="E6" s="4"/>
      <c r="F6" s="4"/>
      <c r="G6" s="41"/>
      <c r="H6" s="41"/>
      <c r="I6" s="41"/>
      <c r="J6" s="41"/>
      <c r="K6" s="41"/>
      <c r="L6" s="41"/>
      <c r="M6" s="41"/>
      <c r="N6" s="41"/>
      <c r="O6" s="41"/>
      <c r="P6" s="4"/>
      <c r="Q6" s="4"/>
      <c r="R6" s="4"/>
      <c r="S6" s="59"/>
    </row>
    <row r="7" spans="1:20" ht="15" hidden="1" customHeight="1">
      <c r="A7" s="7"/>
      <c r="B7" s="3"/>
      <c r="C7" s="4"/>
      <c r="D7" s="4"/>
      <c r="E7" s="4"/>
      <c r="F7" s="4"/>
      <c r="G7" s="41"/>
      <c r="H7" s="41"/>
      <c r="I7" s="41"/>
      <c r="J7" s="41"/>
      <c r="K7" s="41"/>
      <c r="L7" s="41"/>
      <c r="M7" s="41"/>
      <c r="N7" s="41"/>
      <c r="O7" s="41"/>
      <c r="P7" s="4"/>
      <c r="Q7" s="4"/>
      <c r="R7" s="4"/>
      <c r="S7" s="59"/>
    </row>
    <row r="8" spans="1:20" ht="60" customHeight="1">
      <c r="A8" s="7"/>
      <c r="B8" s="3"/>
      <c r="C8" s="279" t="str">
        <f>'Page de garde'!C13&amp;" : Résultats"</f>
        <v>47500207 - 47502122 - 47525653 - 47530591 : Résultats</v>
      </c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280"/>
      <c r="Q8" s="280"/>
      <c r="R8" s="281"/>
      <c r="S8" s="59"/>
    </row>
    <row r="9" spans="1:20" ht="15" customHeight="1">
      <c r="A9" s="7"/>
      <c r="B9" s="3"/>
      <c r="C9" s="4"/>
      <c r="D9" s="4"/>
      <c r="E9" s="4"/>
      <c r="F9" s="4"/>
      <c r="G9" s="41"/>
      <c r="H9" s="41"/>
      <c r="I9" s="41"/>
      <c r="J9" s="41"/>
      <c r="K9" s="41"/>
      <c r="L9" s="41"/>
      <c r="M9" s="41"/>
      <c r="N9" s="41"/>
      <c r="O9" s="41"/>
      <c r="P9" s="4"/>
      <c r="Q9" s="4"/>
      <c r="R9" s="4"/>
      <c r="S9" s="59"/>
    </row>
    <row r="10" spans="1:20" ht="15" customHeight="1">
      <c r="A10" s="7"/>
      <c r="B10" s="3"/>
      <c r="C10" s="4"/>
      <c r="D10" s="4"/>
      <c r="E10" s="4"/>
      <c r="F10" s="4"/>
      <c r="G10" s="41"/>
      <c r="H10" s="41"/>
      <c r="I10" s="41"/>
      <c r="J10" s="41"/>
      <c r="K10" s="41"/>
      <c r="L10" s="41"/>
      <c r="M10" s="41"/>
      <c r="N10" s="41"/>
      <c r="O10" s="41"/>
      <c r="P10" s="4"/>
      <c r="Q10" s="4"/>
      <c r="R10" s="4"/>
      <c r="S10" s="59"/>
    </row>
    <row r="11" spans="1:20" ht="15" customHeight="1">
      <c r="A11" s="7"/>
      <c r="B11" s="3"/>
      <c r="C11" s="4"/>
      <c r="D11" s="4"/>
      <c r="E11" s="4"/>
      <c r="F11" s="4"/>
      <c r="G11" s="41"/>
      <c r="H11" s="41"/>
      <c r="I11" s="41"/>
      <c r="J11" s="41"/>
      <c r="K11" s="41"/>
      <c r="L11" s="41"/>
      <c r="M11" s="41"/>
      <c r="N11" s="41"/>
      <c r="O11" s="41"/>
      <c r="P11" s="4"/>
      <c r="Q11" s="4"/>
      <c r="R11" s="4"/>
      <c r="S11" s="59"/>
    </row>
    <row r="12" spans="1:20" ht="15" customHeight="1">
      <c r="A12" s="7"/>
      <c r="B12" s="3"/>
      <c r="C12" s="4"/>
      <c r="D12" s="4"/>
      <c r="E12" s="4"/>
      <c r="F12" s="4"/>
      <c r="G12" s="41"/>
      <c r="H12" s="41"/>
      <c r="I12" s="41"/>
      <c r="J12" s="41"/>
      <c r="K12" s="41"/>
      <c r="L12" s="41"/>
      <c r="M12" s="41"/>
      <c r="N12" s="41"/>
      <c r="O12" s="41"/>
      <c r="P12" s="4"/>
      <c r="Q12" s="4"/>
      <c r="R12" s="4"/>
      <c r="S12" s="59"/>
    </row>
    <row r="13" spans="1:20" s="89" customFormat="1" ht="15" customHeight="1">
      <c r="A13" s="62"/>
      <c r="B13" s="67"/>
      <c r="C13" s="119" t="s">
        <v>11</v>
      </c>
      <c r="D13" s="120"/>
      <c r="E13" s="121" t="str">
        <f>'Page de garde'!J23</f>
        <v>31 décembre 2021</v>
      </c>
      <c r="F13" s="10"/>
      <c r="G13" s="42"/>
      <c r="H13" s="42"/>
      <c r="I13" s="43"/>
      <c r="J13" s="43"/>
      <c r="K13" s="43"/>
      <c r="L13" s="43"/>
      <c r="M13" s="43"/>
      <c r="N13" s="43"/>
      <c r="O13" s="43"/>
      <c r="P13" s="10"/>
      <c r="Q13" s="10"/>
      <c r="R13" s="15"/>
      <c r="S13" s="68"/>
    </row>
    <row r="14" spans="1:20" s="89" customFormat="1" ht="15" customHeight="1">
      <c r="A14" s="62"/>
      <c r="B14" s="67"/>
      <c r="C14" s="10"/>
      <c r="D14" s="10"/>
      <c r="E14" s="10"/>
      <c r="F14" s="10"/>
      <c r="G14" s="43"/>
      <c r="H14" s="43"/>
      <c r="I14" s="43"/>
      <c r="J14" s="43"/>
      <c r="K14" s="43"/>
      <c r="L14" s="43"/>
      <c r="M14" s="43"/>
      <c r="N14" s="43"/>
      <c r="O14" s="43"/>
      <c r="P14" s="10"/>
      <c r="Q14" s="10"/>
      <c r="R14" s="15"/>
      <c r="S14" s="68"/>
    </row>
    <row r="15" spans="1:20" s="89" customFormat="1" ht="54.75" customHeight="1">
      <c r="A15" s="62"/>
      <c r="B15" s="67"/>
      <c r="C15" s="10"/>
      <c r="D15" s="10"/>
      <c r="E15" s="10"/>
      <c r="F15" s="11"/>
      <c r="G15" s="122" t="s">
        <v>12</v>
      </c>
      <c r="H15" s="44"/>
      <c r="I15" s="122" t="s">
        <v>13</v>
      </c>
      <c r="J15" s="44"/>
      <c r="K15" s="122" t="s">
        <v>14</v>
      </c>
      <c r="L15" s="44"/>
      <c r="M15" s="122" t="s">
        <v>15</v>
      </c>
      <c r="N15" s="44"/>
      <c r="O15" s="122" t="s">
        <v>16</v>
      </c>
      <c r="P15" s="11"/>
      <c r="Q15" s="123" t="s">
        <v>17</v>
      </c>
      <c r="R15" s="15"/>
      <c r="S15" s="68"/>
    </row>
    <row r="16" spans="1:20" s="89" customFormat="1" ht="22.5" customHeight="1">
      <c r="A16" s="62"/>
      <c r="B16" s="6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5"/>
      <c r="S16" s="68"/>
    </row>
    <row r="17" spans="1:19" s="89" customFormat="1" ht="22.5" customHeight="1">
      <c r="A17" s="62"/>
      <c r="B17" s="6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5"/>
      <c r="S17" s="68"/>
    </row>
    <row r="18" spans="1:19" s="89" customFormat="1" ht="22.5" customHeight="1">
      <c r="A18" s="62"/>
      <c r="B18" s="67"/>
      <c r="C18" s="10"/>
      <c r="D18" s="10"/>
      <c r="E18" s="10"/>
      <c r="F18" s="10"/>
      <c r="G18" s="43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5"/>
      <c r="S18" s="68"/>
    </row>
    <row r="19" spans="1:19" s="89" customFormat="1" ht="22.5" customHeight="1">
      <c r="A19" s="80"/>
      <c r="B19" s="6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5"/>
      <c r="S19" s="68"/>
    </row>
    <row r="20" spans="1:19" s="89" customFormat="1" ht="22.5" customHeight="1">
      <c r="A20" s="80"/>
      <c r="B20" s="67"/>
      <c r="C20" s="124">
        <v>2021</v>
      </c>
      <c r="D20" s="10"/>
      <c r="E20" s="125" t="s">
        <v>18</v>
      </c>
      <c r="F20" s="10"/>
      <c r="G20" s="45">
        <v>378689.77000000072</v>
      </c>
      <c r="H20" s="44"/>
      <c r="I20" s="45">
        <v>0</v>
      </c>
      <c r="J20" s="44"/>
      <c r="K20" s="45">
        <v>483456.26</v>
      </c>
      <c r="L20" s="44"/>
      <c r="M20" s="12">
        <v>0.22700000000000001</v>
      </c>
      <c r="N20" s="44"/>
      <c r="O20" s="45">
        <v>373713.72000000003</v>
      </c>
      <c r="P20" s="11"/>
      <c r="Q20" s="12">
        <v>1.013315138657473</v>
      </c>
      <c r="R20" s="15"/>
      <c r="S20" s="68"/>
    </row>
    <row r="21" spans="1:19" s="89" customFormat="1" ht="22.5" customHeight="1">
      <c r="A21" s="62"/>
      <c r="B21" s="67"/>
      <c r="C21" s="9"/>
      <c r="D21" s="10"/>
      <c r="E21" s="126"/>
      <c r="F21" s="10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15"/>
      <c r="S21" s="68"/>
    </row>
    <row r="22" spans="1:19" ht="22.5" customHeight="1">
      <c r="A22" s="7"/>
      <c r="B22" s="3"/>
      <c r="C22" s="9"/>
      <c r="D22" s="10"/>
      <c r="E22" s="52"/>
      <c r="F22" s="10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15"/>
      <c r="S22" s="59"/>
    </row>
    <row r="23" spans="1:19" ht="22.5" customHeight="1">
      <c r="A23" s="7"/>
      <c r="B23" s="3"/>
      <c r="C23" s="9"/>
      <c r="D23" s="10"/>
      <c r="E23" s="9"/>
      <c r="F23" s="10"/>
      <c r="G23" s="46"/>
      <c r="H23" s="46"/>
      <c r="I23" s="46"/>
      <c r="J23" s="46"/>
      <c r="K23" s="47"/>
      <c r="L23" s="46"/>
      <c r="M23" s="47"/>
      <c r="N23" s="46"/>
      <c r="O23" s="47"/>
      <c r="P23" s="13"/>
      <c r="Q23" s="14"/>
      <c r="R23" s="15"/>
      <c r="S23" s="59"/>
    </row>
    <row r="24" spans="1:19" s="89" customFormat="1" ht="22.5" customHeight="1">
      <c r="A24" s="80"/>
      <c r="B24" s="67"/>
      <c r="C24" s="9"/>
      <c r="D24" s="10"/>
      <c r="E24" s="9"/>
      <c r="F24" s="10"/>
      <c r="G24" s="46"/>
      <c r="H24" s="46"/>
      <c r="I24" s="46"/>
      <c r="J24" s="46"/>
      <c r="K24" s="47"/>
      <c r="L24" s="46"/>
      <c r="M24" s="47"/>
      <c r="N24" s="46"/>
      <c r="O24" s="47"/>
      <c r="P24" s="13"/>
      <c r="Q24" s="14"/>
      <c r="R24" s="15"/>
      <c r="S24" s="68"/>
    </row>
    <row r="25" spans="1:19" s="89" customFormat="1" ht="22.5" customHeight="1">
      <c r="A25" s="80"/>
      <c r="B25" s="67"/>
      <c r="C25" s="124">
        <v>2020</v>
      </c>
      <c r="D25" s="10"/>
      <c r="E25" s="125" t="s">
        <v>18</v>
      </c>
      <c r="F25" s="10"/>
      <c r="G25" s="45">
        <v>406786.80000000133</v>
      </c>
      <c r="H25" s="44"/>
      <c r="I25" s="45">
        <v>0</v>
      </c>
      <c r="J25" s="44"/>
      <c r="K25" s="45">
        <v>523184.41</v>
      </c>
      <c r="L25" s="44"/>
      <c r="M25" s="12">
        <v>0.28139999999999998</v>
      </c>
      <c r="N25" s="44"/>
      <c r="O25" s="45">
        <v>375979.61</v>
      </c>
      <c r="P25" s="11"/>
      <c r="Q25" s="12">
        <v>1.0819384593754964</v>
      </c>
      <c r="R25" s="15"/>
      <c r="S25" s="68"/>
    </row>
    <row r="26" spans="1:19" s="89" customFormat="1" ht="22.5" customHeight="1">
      <c r="A26" s="62"/>
      <c r="B26" s="67"/>
      <c r="C26" s="9"/>
      <c r="D26" s="10"/>
      <c r="E26" s="126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15"/>
      <c r="S26" s="68"/>
    </row>
    <row r="27" spans="1:19" s="89" customFormat="1" ht="22.5" customHeight="1">
      <c r="A27" s="62"/>
      <c r="B27" s="67"/>
      <c r="C27" s="9"/>
      <c r="D27" s="10"/>
      <c r="E27" s="127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15"/>
      <c r="S27" s="68"/>
    </row>
    <row r="28" spans="1:19" s="89" customFormat="1" ht="22.5" customHeight="1">
      <c r="A28" s="62"/>
      <c r="B28" s="67"/>
      <c r="C28" s="9"/>
      <c r="D28" s="10"/>
      <c r="E28" s="126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15"/>
      <c r="S28" s="68"/>
    </row>
    <row r="29" spans="1:19" ht="12.6" customHeight="1">
      <c r="A29" s="7"/>
      <c r="B29" s="3"/>
      <c r="C29" s="9"/>
      <c r="D29" s="10"/>
      <c r="E29" s="52"/>
      <c r="F29" s="10"/>
      <c r="G29" s="44"/>
      <c r="H29" s="44"/>
      <c r="I29" s="54"/>
      <c r="J29" s="44"/>
      <c r="K29" s="44"/>
      <c r="L29" s="44"/>
      <c r="M29" s="44"/>
      <c r="N29" s="44"/>
      <c r="O29" s="44"/>
      <c r="P29" s="11"/>
      <c r="Q29" s="54"/>
      <c r="R29" s="15"/>
      <c r="S29" s="59"/>
    </row>
    <row r="30" spans="1:19" ht="8.85" customHeight="1">
      <c r="A30" s="7"/>
      <c r="B30" s="3"/>
      <c r="C30" s="9"/>
      <c r="D30" s="10"/>
      <c r="E30" s="52"/>
      <c r="F30" s="10"/>
      <c r="G30" s="44"/>
      <c r="H30" s="44"/>
      <c r="I30" s="54"/>
      <c r="J30" s="44"/>
      <c r="K30" s="44"/>
      <c r="L30" s="44"/>
      <c r="M30" s="44"/>
      <c r="N30" s="44"/>
      <c r="O30" s="44"/>
      <c r="P30" s="11"/>
      <c r="Q30" s="54"/>
      <c r="R30" s="15"/>
      <c r="S30" s="59"/>
    </row>
    <row r="31" spans="1:19" s="89" customFormat="1" ht="22.5" customHeight="1">
      <c r="A31" s="62"/>
      <c r="B31" s="67"/>
      <c r="C31" s="128" t="s">
        <v>19</v>
      </c>
      <c r="D31" s="129"/>
      <c r="E31" s="130"/>
      <c r="F31" s="129"/>
      <c r="G31" s="131"/>
      <c r="H31" s="131"/>
      <c r="I31" s="131"/>
      <c r="J31" s="131"/>
      <c r="K31" s="132"/>
      <c r="L31" s="131"/>
      <c r="M31" s="132"/>
      <c r="N31" s="131"/>
      <c r="O31" s="132"/>
      <c r="P31" s="133"/>
      <c r="Q31" s="134"/>
      <c r="R31" s="135"/>
      <c r="S31" s="68"/>
    </row>
    <row r="32" spans="1:19" s="89" customFormat="1" ht="22.5" customHeight="1">
      <c r="A32" s="62"/>
      <c r="B32" s="67"/>
      <c r="C32" s="128" t="s">
        <v>20</v>
      </c>
      <c r="D32" s="129"/>
      <c r="E32" s="130"/>
      <c r="F32" s="129"/>
      <c r="G32" s="131"/>
      <c r="H32" s="131"/>
      <c r="I32" s="131"/>
      <c r="J32" s="131"/>
      <c r="K32" s="132"/>
      <c r="L32" s="131"/>
      <c r="M32" s="132"/>
      <c r="N32" s="131"/>
      <c r="O32" s="132"/>
      <c r="P32" s="133"/>
      <c r="Q32" s="134"/>
      <c r="R32" s="135"/>
      <c r="S32" s="68"/>
    </row>
    <row r="33" spans="1:19" s="89" customFormat="1" ht="22.5" customHeight="1">
      <c r="A33" s="62"/>
      <c r="B33" s="67"/>
      <c r="C33" s="283" t="s">
        <v>21</v>
      </c>
      <c r="D33" s="283"/>
      <c r="E33" s="283"/>
      <c r="F33" s="283"/>
      <c r="G33" s="283"/>
      <c r="H33" s="283"/>
      <c r="I33" s="283"/>
      <c r="J33" s="283"/>
      <c r="K33" s="283"/>
      <c r="L33" s="283"/>
      <c r="M33" s="283"/>
      <c r="N33" s="283"/>
      <c r="O33" s="283"/>
      <c r="P33" s="283"/>
      <c r="Q33" s="283"/>
      <c r="R33" s="283"/>
      <c r="S33" s="68"/>
    </row>
    <row r="34" spans="1:19" ht="18">
      <c r="A34" s="7"/>
      <c r="B34" s="3"/>
      <c r="C34" s="16"/>
      <c r="D34" s="10"/>
      <c r="E34" s="9"/>
      <c r="F34" s="10"/>
      <c r="G34" s="46"/>
      <c r="H34" s="46"/>
      <c r="I34" s="46"/>
      <c r="J34" s="46"/>
      <c r="K34" s="47"/>
      <c r="L34" s="46"/>
      <c r="M34" s="47"/>
      <c r="N34" s="46"/>
      <c r="O34" s="47"/>
      <c r="P34" s="13"/>
      <c r="Q34" s="14"/>
      <c r="R34" s="15"/>
      <c r="S34" s="59"/>
    </row>
    <row r="35" spans="1:19" ht="32.450000000000003" customHeight="1">
      <c r="A35" s="7"/>
      <c r="B35" s="3"/>
      <c r="C35" s="282"/>
      <c r="D35" s="282"/>
      <c r="E35" s="282"/>
      <c r="F35" s="282"/>
      <c r="G35" s="282"/>
      <c r="H35" s="282"/>
      <c r="I35" s="282"/>
      <c r="J35" s="282"/>
      <c r="K35" s="282"/>
      <c r="L35" s="282"/>
      <c r="M35" s="282"/>
      <c r="N35" s="282"/>
      <c r="O35" s="282"/>
      <c r="P35" s="282"/>
      <c r="Q35" s="282"/>
      <c r="R35" s="282"/>
      <c r="S35" s="59"/>
    </row>
    <row r="36" spans="1:19" ht="22.5" customHeight="1">
      <c r="A36" s="7"/>
      <c r="B36" s="3"/>
      <c r="C36" s="9"/>
      <c r="D36" s="10"/>
      <c r="E36" s="10"/>
      <c r="F36" s="10"/>
      <c r="G36" s="43"/>
      <c r="H36" s="43"/>
      <c r="I36" s="43"/>
      <c r="J36" s="43"/>
      <c r="K36" s="43"/>
      <c r="L36" s="43"/>
      <c r="M36" s="43"/>
      <c r="N36" s="43"/>
      <c r="O36" s="43"/>
      <c r="P36" s="10"/>
      <c r="Q36" s="10"/>
      <c r="R36" s="15"/>
      <c r="S36" s="59"/>
    </row>
    <row r="37" spans="1:19" ht="32.450000000000003" customHeight="1">
      <c r="A37" s="7"/>
      <c r="B37" s="3"/>
      <c r="C37" s="282"/>
      <c r="D37" s="282"/>
      <c r="E37" s="282"/>
      <c r="F37" s="282"/>
      <c r="G37" s="282"/>
      <c r="H37" s="282"/>
      <c r="I37" s="282"/>
      <c r="J37" s="282"/>
      <c r="K37" s="282"/>
      <c r="L37" s="282"/>
      <c r="M37" s="282"/>
      <c r="N37" s="43"/>
      <c r="O37" s="43"/>
      <c r="P37" s="10"/>
      <c r="Q37" s="10"/>
      <c r="R37" s="15"/>
      <c r="S37" s="59"/>
    </row>
    <row r="38" spans="1:19" ht="15" customHeight="1">
      <c r="A38" s="7"/>
      <c r="B38" s="5"/>
      <c r="C38" s="6"/>
      <c r="D38" s="6"/>
      <c r="E38" s="6"/>
      <c r="F38" s="6"/>
      <c r="G38" s="48"/>
      <c r="H38" s="48"/>
      <c r="I38" s="48"/>
      <c r="J38" s="48"/>
      <c r="K38" s="48"/>
      <c r="L38" s="48"/>
      <c r="M38" s="48"/>
      <c r="N38" s="48"/>
      <c r="O38" s="48"/>
      <c r="P38" s="6"/>
      <c r="Q38" s="6"/>
      <c r="R38" s="6"/>
      <c r="S38" s="60"/>
    </row>
    <row r="39" spans="1:19">
      <c r="A39" s="7"/>
      <c r="G39" s="49"/>
      <c r="H39" s="49"/>
      <c r="I39" s="49"/>
      <c r="J39" s="49"/>
      <c r="K39" s="49"/>
      <c r="L39" s="49"/>
      <c r="M39" s="49"/>
      <c r="N39" s="49"/>
      <c r="O39" s="49"/>
    </row>
  </sheetData>
  <mergeCells count="4">
    <mergeCell ref="C8:R8"/>
    <mergeCell ref="C37:M37"/>
    <mergeCell ref="C35:R35"/>
    <mergeCell ref="C33:R33"/>
  </mergeCells>
  <pageMargins left="0.70866141732283472" right="0.70866141732283472" top="0.74803149606299213" bottom="0.74803149606299213" header="0.31496062992125984" footer="0.31496062992125984"/>
  <pageSetup paperSize="9" scale="59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4">
    <tabColor theme="4" tint="0.79998168889431442"/>
    <pageSetUpPr fitToPage="1"/>
  </sheetPr>
  <dimension ref="A1:AD45"/>
  <sheetViews>
    <sheetView showGridLines="0" topLeftCell="A8" zoomScale="85" zoomScaleNormal="85" workbookViewId="0">
      <selection activeCell="A27" sqref="A27:XFD30"/>
    </sheetView>
  </sheetViews>
  <sheetFormatPr baseColWidth="10" defaultColWidth="11.41015625" defaultRowHeight="14.35"/>
  <cols>
    <col min="1" max="1" width="2.87890625" style="62" customWidth="1"/>
    <col min="2" max="2" width="4.29296875" style="53" customWidth="1"/>
    <col min="3" max="3" width="35.703125" style="53" customWidth="1"/>
    <col min="4" max="11" width="21.29296875" style="53" customWidth="1"/>
    <col min="12" max="12" width="4.29296875" style="53" customWidth="1"/>
    <col min="13" max="13" width="2.87890625" style="53" customWidth="1"/>
    <col min="14" max="17" width="11.41015625" style="53" customWidth="1"/>
    <col min="18" max="18" width="22.5859375" style="53" bestFit="1" customWidth="1"/>
    <col min="19" max="26" width="11.41015625" style="53" customWidth="1"/>
    <col min="27" max="27" width="19.1171875" style="53" bestFit="1" customWidth="1"/>
    <col min="28" max="28" width="12.703125" style="53" bestFit="1" customWidth="1"/>
    <col min="29" max="29" width="10.5859375" style="53" bestFit="1" customWidth="1"/>
    <col min="30" max="36" width="11.41015625" style="53" customWidth="1"/>
    <col min="37" max="16384" width="11.41015625" style="53"/>
  </cols>
  <sheetData>
    <row r="1" spans="1:30"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</row>
    <row r="2" spans="1:30">
      <c r="B2" s="63"/>
      <c r="C2" s="64"/>
      <c r="D2" s="64"/>
      <c r="E2" s="64"/>
      <c r="F2" s="64"/>
      <c r="G2" s="64"/>
      <c r="H2" s="64"/>
      <c r="I2" s="64"/>
      <c r="J2" s="64"/>
      <c r="K2" s="64"/>
      <c r="L2" s="65"/>
      <c r="P2" s="66"/>
    </row>
    <row r="3" spans="1:30">
      <c r="B3" s="67"/>
      <c r="L3" s="68"/>
    </row>
    <row r="4" spans="1:30">
      <c r="B4" s="67"/>
      <c r="L4" s="68"/>
    </row>
    <row r="5" spans="1:30">
      <c r="B5" s="67"/>
      <c r="L5" s="68"/>
    </row>
    <row r="6" spans="1:30" hidden="1">
      <c r="B6" s="67"/>
      <c r="L6" s="68"/>
    </row>
    <row r="7" spans="1:30" ht="14.7" thickBot="1">
      <c r="B7" s="67"/>
      <c r="L7" s="68"/>
    </row>
    <row r="8" spans="1:30" s="89" customFormat="1" ht="60" customHeight="1" thickBot="1">
      <c r="A8" s="62"/>
      <c r="B8" s="67"/>
      <c r="C8" s="279" t="str">
        <f>'Page de garde'!C13&amp;" : Nombre d'Assurés par société"</f>
        <v>47500207 - 47502122 - 47525653 - 47530591 : Nombre d'Assurés par société</v>
      </c>
      <c r="D8" s="280"/>
      <c r="E8" s="280"/>
      <c r="F8" s="280"/>
      <c r="G8" s="280"/>
      <c r="H8" s="280"/>
      <c r="I8" s="280"/>
      <c r="J8" s="280"/>
      <c r="K8" s="281"/>
      <c r="L8" s="68"/>
    </row>
    <row r="9" spans="1:30" s="89" customFormat="1" hidden="1">
      <c r="A9" s="62"/>
      <c r="B9" s="67"/>
      <c r="L9" s="68"/>
    </row>
    <row r="10" spans="1:30" s="89" customFormat="1">
      <c r="A10" s="62"/>
      <c r="B10" s="67"/>
      <c r="L10" s="68"/>
    </row>
    <row r="11" spans="1:30" s="89" customFormat="1" ht="18.75" customHeight="1">
      <c r="A11" s="62"/>
      <c r="B11" s="67"/>
      <c r="C11" s="206" t="s">
        <v>22</v>
      </c>
      <c r="L11" s="68"/>
    </row>
    <row r="12" spans="1:30" s="89" customFormat="1" ht="22.5" customHeight="1" thickBot="1">
      <c r="A12" s="62"/>
      <c r="B12" s="67"/>
      <c r="L12" s="68"/>
    </row>
    <row r="13" spans="1:30" s="252" customFormat="1" ht="22.5" customHeight="1">
      <c r="A13" s="250"/>
      <c r="B13" s="251"/>
      <c r="D13" s="284" t="s">
        <v>23</v>
      </c>
      <c r="E13" s="285"/>
      <c r="F13" s="253" t="s">
        <v>24</v>
      </c>
      <c r="G13" s="202" t="s">
        <v>25</v>
      </c>
      <c r="H13" s="254"/>
      <c r="I13" s="254"/>
      <c r="J13" s="254"/>
      <c r="K13" s="254"/>
      <c r="L13" s="255"/>
      <c r="AA13" s="265"/>
      <c r="AB13" s="266" t="s">
        <v>26</v>
      </c>
      <c r="AC13" s="266" t="s">
        <v>27</v>
      </c>
    </row>
    <row r="14" spans="1:30" s="263" customFormat="1" ht="14.25" customHeight="1" thickBot="1">
      <c r="A14" s="256"/>
      <c r="B14" s="257"/>
      <c r="C14" s="258"/>
      <c r="D14" s="259" t="s">
        <v>26</v>
      </c>
      <c r="E14" s="260" t="s">
        <v>27</v>
      </c>
      <c r="F14" s="261"/>
      <c r="G14" s="260" t="s">
        <v>28</v>
      </c>
      <c r="H14" s="254"/>
      <c r="I14" s="254"/>
      <c r="J14" s="254"/>
      <c r="K14" s="254"/>
      <c r="L14" s="262"/>
      <c r="R14" s="264"/>
      <c r="Z14" s="265"/>
      <c r="AA14" s="265">
        <v>47500207</v>
      </c>
      <c r="AB14" s="265">
        <v>323</v>
      </c>
      <c r="AC14" s="265">
        <v>374</v>
      </c>
      <c r="AD14" s="267"/>
    </row>
    <row r="15" spans="1:30" s="263" customFormat="1" ht="14.25" customHeight="1">
      <c r="A15" s="256"/>
      <c r="B15" s="257"/>
      <c r="C15" s="268">
        <v>47500207</v>
      </c>
      <c r="D15" s="269">
        <v>323</v>
      </c>
      <c r="E15" s="269">
        <v>374</v>
      </c>
      <c r="F15" s="270">
        <v>0.15789473684210531</v>
      </c>
      <c r="G15" s="270">
        <v>0.8183807439824945</v>
      </c>
      <c r="H15" s="254"/>
      <c r="I15" s="254"/>
      <c r="J15" s="254"/>
      <c r="K15" s="254"/>
      <c r="L15" s="262"/>
      <c r="Z15" s="265"/>
      <c r="AA15" s="265">
        <v>47502122</v>
      </c>
      <c r="AB15" s="265">
        <v>76</v>
      </c>
      <c r="AC15" s="265">
        <v>80</v>
      </c>
      <c r="AD15" s="267"/>
    </row>
    <row r="16" spans="1:30" s="263" customFormat="1" ht="14.25" customHeight="1">
      <c r="A16" s="256"/>
      <c r="B16" s="257"/>
      <c r="C16" s="271" t="s">
        <v>30</v>
      </c>
      <c r="D16" s="272">
        <v>193</v>
      </c>
      <c r="E16" s="272">
        <v>239</v>
      </c>
      <c r="F16" s="273">
        <v>0.23834196891191706</v>
      </c>
      <c r="G16" s="273">
        <v>0.52297592997811815</v>
      </c>
      <c r="H16" s="254"/>
      <c r="I16" s="254"/>
      <c r="J16" s="254"/>
      <c r="K16" s="254"/>
      <c r="L16" s="262"/>
      <c r="Z16" s="265"/>
      <c r="AA16" s="265">
        <v>47525653</v>
      </c>
      <c r="AB16" s="265">
        <v>1</v>
      </c>
      <c r="AC16" s="265">
        <v>2</v>
      </c>
      <c r="AD16" s="267"/>
    </row>
    <row r="17" spans="1:30" s="263" customFormat="1" ht="14.25" customHeight="1">
      <c r="A17" s="256"/>
      <c r="B17" s="257"/>
      <c r="C17" s="271" t="s">
        <v>32</v>
      </c>
      <c r="D17" s="272">
        <v>116</v>
      </c>
      <c r="E17" s="272">
        <v>117</v>
      </c>
      <c r="F17" s="273">
        <v>8.6206896551723755E-3</v>
      </c>
      <c r="G17" s="273">
        <v>0.25601750547045954</v>
      </c>
      <c r="H17" s="254"/>
      <c r="I17" s="254"/>
      <c r="J17" s="254"/>
      <c r="K17" s="254"/>
      <c r="L17" s="262"/>
      <c r="Z17" s="265"/>
      <c r="AA17" s="265">
        <v>47530591</v>
      </c>
      <c r="AB17" s="265">
        <v>0</v>
      </c>
      <c r="AC17" s="265">
        <v>1</v>
      </c>
      <c r="AD17" s="267"/>
    </row>
    <row r="18" spans="1:30" s="263" customFormat="1" ht="14.25" customHeight="1" thickBot="1">
      <c r="A18" s="256"/>
      <c r="B18" s="257"/>
      <c r="C18" s="271" t="s">
        <v>34</v>
      </c>
      <c r="D18" s="272">
        <v>14</v>
      </c>
      <c r="E18" s="272">
        <v>18</v>
      </c>
      <c r="F18" s="273">
        <v>0.28571428571428581</v>
      </c>
      <c r="G18" s="273">
        <v>3.9387308533916851E-2</v>
      </c>
      <c r="H18" s="254"/>
      <c r="I18" s="254"/>
      <c r="J18" s="254"/>
      <c r="K18" s="254"/>
      <c r="L18" s="262"/>
      <c r="Z18" s="265"/>
      <c r="AA18" s="265"/>
      <c r="AB18" s="265"/>
      <c r="AC18" s="265"/>
      <c r="AD18" s="267"/>
    </row>
    <row r="19" spans="1:30" s="263" customFormat="1" ht="14.25" customHeight="1">
      <c r="A19" s="256"/>
      <c r="B19" s="257"/>
      <c r="C19" s="268">
        <v>47502122</v>
      </c>
      <c r="D19" s="269">
        <v>76</v>
      </c>
      <c r="E19" s="269">
        <v>80</v>
      </c>
      <c r="F19" s="270">
        <v>5.2631578947368363E-2</v>
      </c>
      <c r="G19" s="270">
        <v>0.17505470459518599</v>
      </c>
      <c r="H19" s="254"/>
      <c r="I19" s="254"/>
      <c r="J19" s="254"/>
      <c r="K19" s="254"/>
      <c r="L19" s="262"/>
      <c r="Z19" s="265"/>
      <c r="AA19" s="265"/>
      <c r="AB19" s="265"/>
      <c r="AC19" s="265"/>
      <c r="AD19" s="267"/>
    </row>
    <row r="20" spans="1:30" s="263" customFormat="1" ht="14.25" customHeight="1">
      <c r="A20" s="256"/>
      <c r="B20" s="257"/>
      <c r="C20" s="271" t="s">
        <v>30</v>
      </c>
      <c r="D20" s="272">
        <v>51</v>
      </c>
      <c r="E20" s="272">
        <v>53</v>
      </c>
      <c r="F20" s="273">
        <v>3.9215686274509887E-2</v>
      </c>
      <c r="G20" s="273">
        <v>0.11597374179431072</v>
      </c>
      <c r="H20" s="254"/>
      <c r="I20" s="254"/>
      <c r="J20" s="254"/>
      <c r="K20" s="254"/>
      <c r="L20" s="262"/>
      <c r="Z20" s="265"/>
      <c r="AA20" s="265"/>
      <c r="AB20" s="265"/>
      <c r="AC20" s="265"/>
      <c r="AD20" s="267"/>
    </row>
    <row r="21" spans="1:30" s="263" customFormat="1" ht="14.25" customHeight="1">
      <c r="A21" s="256"/>
      <c r="B21" s="257"/>
      <c r="C21" s="271" t="s">
        <v>32</v>
      </c>
      <c r="D21" s="272">
        <v>7</v>
      </c>
      <c r="E21" s="272">
        <v>7</v>
      </c>
      <c r="F21" s="273">
        <v>0</v>
      </c>
      <c r="G21" s="273">
        <v>1.5317286652078774E-2</v>
      </c>
      <c r="H21" s="254"/>
      <c r="I21" s="254"/>
      <c r="J21" s="254"/>
      <c r="K21" s="254"/>
      <c r="L21" s="262"/>
      <c r="Z21" s="265"/>
      <c r="AA21" s="265"/>
      <c r="AB21" s="265"/>
      <c r="AC21" s="265"/>
      <c r="AD21" s="267"/>
    </row>
    <row r="22" spans="1:30" s="263" customFormat="1" ht="14.25" customHeight="1" thickBot="1">
      <c r="A22" s="256"/>
      <c r="B22" s="257"/>
      <c r="C22" s="271" t="s">
        <v>34</v>
      </c>
      <c r="D22" s="272">
        <v>18</v>
      </c>
      <c r="E22" s="272">
        <v>20</v>
      </c>
      <c r="F22" s="273">
        <v>0.11111111111111116</v>
      </c>
      <c r="G22" s="273">
        <v>4.3763676148796497E-2</v>
      </c>
      <c r="H22" s="254"/>
      <c r="I22" s="254"/>
      <c r="J22" s="254"/>
      <c r="K22" s="254"/>
      <c r="L22" s="262"/>
      <c r="Z22" s="265"/>
      <c r="AA22" s="265"/>
      <c r="AB22" s="265"/>
      <c r="AC22" s="265"/>
      <c r="AD22" s="267"/>
    </row>
    <row r="23" spans="1:30" s="263" customFormat="1" ht="14.25" customHeight="1">
      <c r="A23" s="256"/>
      <c r="B23" s="257"/>
      <c r="C23" s="268">
        <v>47525653</v>
      </c>
      <c r="D23" s="269">
        <v>1</v>
      </c>
      <c r="E23" s="269">
        <v>2</v>
      </c>
      <c r="F23" s="270">
        <v>1</v>
      </c>
      <c r="G23" s="270">
        <v>4.3763676148796497E-3</v>
      </c>
      <c r="H23" s="254"/>
      <c r="I23" s="254"/>
      <c r="J23" s="254"/>
      <c r="K23" s="254"/>
      <c r="L23" s="262"/>
      <c r="Z23" s="265"/>
      <c r="AA23" s="265"/>
      <c r="AB23" s="265"/>
      <c r="AC23" s="265"/>
      <c r="AD23" s="267"/>
    </row>
    <row r="24" spans="1:30" s="263" customFormat="1" ht="14.25" customHeight="1">
      <c r="A24" s="256"/>
      <c r="B24" s="257"/>
      <c r="C24" s="271" t="s">
        <v>30</v>
      </c>
      <c r="D24" s="272">
        <v>1</v>
      </c>
      <c r="E24" s="272">
        <v>2</v>
      </c>
      <c r="F24" s="273">
        <v>1</v>
      </c>
      <c r="G24" s="273">
        <v>4.3763676148796497E-3</v>
      </c>
      <c r="H24" s="254"/>
      <c r="I24" s="254"/>
      <c r="J24" s="254"/>
      <c r="K24" s="254"/>
      <c r="L24" s="262"/>
      <c r="Z24" s="265"/>
      <c r="AA24" s="265"/>
      <c r="AB24" s="265"/>
      <c r="AC24" s="265"/>
      <c r="AD24" s="267"/>
    </row>
    <row r="25" spans="1:30" s="263" customFormat="1" ht="14.25" customHeight="1">
      <c r="A25" s="256"/>
      <c r="B25" s="257"/>
      <c r="C25" s="271" t="s">
        <v>32</v>
      </c>
      <c r="D25" s="272">
        <v>0</v>
      </c>
      <c r="E25" s="272">
        <v>0</v>
      </c>
      <c r="F25" s="273"/>
      <c r="G25" s="273">
        <v>0</v>
      </c>
      <c r="H25" s="254"/>
      <c r="I25" s="254"/>
      <c r="J25" s="254"/>
      <c r="K25" s="254"/>
      <c r="L25" s="262"/>
      <c r="Z25" s="265"/>
      <c r="AA25" s="265"/>
      <c r="AB25" s="265"/>
      <c r="AC25" s="265"/>
      <c r="AD25" s="267"/>
    </row>
    <row r="26" spans="1:30" s="263" customFormat="1" ht="14.25" customHeight="1" thickBot="1">
      <c r="A26" s="256"/>
      <c r="B26" s="257"/>
      <c r="C26" s="271" t="s">
        <v>34</v>
      </c>
      <c r="D26" s="272">
        <v>0</v>
      </c>
      <c r="E26" s="272">
        <v>0</v>
      </c>
      <c r="F26" s="273"/>
      <c r="G26" s="273">
        <v>0</v>
      </c>
      <c r="H26" s="254"/>
      <c r="I26" s="254"/>
      <c r="J26" s="254"/>
      <c r="K26" s="254"/>
      <c r="L26" s="262"/>
      <c r="Z26" s="265"/>
      <c r="AA26" s="265"/>
      <c r="AB26" s="265"/>
      <c r="AC26" s="265"/>
      <c r="AD26" s="267"/>
    </row>
    <row r="27" spans="1:30" s="263" customFormat="1" ht="14.25" customHeight="1">
      <c r="A27" s="256"/>
      <c r="B27" s="257"/>
      <c r="C27" s="268">
        <v>47530591</v>
      </c>
      <c r="D27" s="269">
        <v>0</v>
      </c>
      <c r="E27" s="269">
        <v>1</v>
      </c>
      <c r="F27" s="270"/>
      <c r="G27" s="270">
        <v>2.1881838074398249E-3</v>
      </c>
      <c r="H27" s="254"/>
      <c r="I27" s="254"/>
      <c r="J27" s="254"/>
      <c r="K27" s="254"/>
      <c r="L27" s="262"/>
      <c r="Z27" s="265"/>
      <c r="AA27" s="265"/>
      <c r="AB27" s="265"/>
      <c r="AC27" s="265"/>
      <c r="AD27" s="267"/>
    </row>
    <row r="28" spans="1:30" s="263" customFormat="1" ht="14.25" customHeight="1">
      <c r="A28" s="256"/>
      <c r="B28" s="257"/>
      <c r="C28" s="271" t="s">
        <v>30</v>
      </c>
      <c r="D28" s="272">
        <v>0</v>
      </c>
      <c r="E28" s="272">
        <v>1</v>
      </c>
      <c r="F28" s="273"/>
      <c r="G28" s="273">
        <v>2.1881838074398249E-3</v>
      </c>
      <c r="H28" s="254"/>
      <c r="I28" s="254"/>
      <c r="J28" s="254"/>
      <c r="K28" s="254"/>
      <c r="L28" s="262"/>
      <c r="Z28" s="265"/>
      <c r="AA28" s="265"/>
      <c r="AB28" s="265"/>
      <c r="AC28" s="265"/>
      <c r="AD28" s="267"/>
    </row>
    <row r="29" spans="1:30" s="263" customFormat="1" ht="14.25" customHeight="1">
      <c r="A29" s="256"/>
      <c r="B29" s="257"/>
      <c r="C29" s="271" t="s">
        <v>32</v>
      </c>
      <c r="D29" s="272">
        <v>0</v>
      </c>
      <c r="E29" s="272">
        <v>0</v>
      </c>
      <c r="F29" s="273"/>
      <c r="G29" s="273">
        <v>0</v>
      </c>
      <c r="H29" s="254"/>
      <c r="I29" s="254"/>
      <c r="J29" s="254"/>
      <c r="K29" s="254"/>
      <c r="L29" s="262"/>
      <c r="Z29" s="265"/>
      <c r="AA29" s="265"/>
      <c r="AB29" s="265"/>
      <c r="AC29" s="265"/>
      <c r="AD29" s="267"/>
    </row>
    <row r="30" spans="1:30" s="263" customFormat="1" ht="14.25" customHeight="1" thickBot="1">
      <c r="A30" s="256"/>
      <c r="B30" s="257"/>
      <c r="C30" s="271" t="s">
        <v>34</v>
      </c>
      <c r="D30" s="272">
        <v>0</v>
      </c>
      <c r="E30" s="272">
        <v>0</v>
      </c>
      <c r="F30" s="273"/>
      <c r="G30" s="273">
        <v>0</v>
      </c>
      <c r="H30" s="254"/>
      <c r="I30" s="254"/>
      <c r="J30" s="254"/>
      <c r="K30" s="254"/>
      <c r="L30" s="262"/>
      <c r="Z30" s="265"/>
      <c r="AA30" s="265"/>
      <c r="AB30" s="265"/>
      <c r="AC30" s="265"/>
      <c r="AD30" s="267"/>
    </row>
    <row r="31" spans="1:30" s="263" customFormat="1" ht="14.25" customHeight="1" thickBot="1">
      <c r="A31" s="256"/>
      <c r="B31" s="257"/>
      <c r="C31" s="274" t="s">
        <v>49</v>
      </c>
      <c r="D31" s="197">
        <v>400</v>
      </c>
      <c r="E31" s="197">
        <v>457</v>
      </c>
      <c r="F31" s="198">
        <v>0.14250000000000007</v>
      </c>
      <c r="G31" s="198">
        <v>1</v>
      </c>
      <c r="H31" s="254"/>
      <c r="I31" s="254"/>
      <c r="J31" s="254"/>
      <c r="K31" s="254"/>
      <c r="L31" s="262"/>
    </row>
    <row r="32" spans="1:30" ht="14.25" customHeight="1">
      <c r="B32" s="67"/>
      <c r="L32" s="68"/>
    </row>
    <row r="33" spans="1:12" ht="14.25" customHeight="1">
      <c r="B33" s="67"/>
      <c r="L33" s="68"/>
    </row>
    <row r="34" spans="1:12" ht="14.25" customHeight="1">
      <c r="B34" s="67"/>
      <c r="L34" s="68"/>
    </row>
    <row r="35" spans="1:12" ht="14.25" customHeight="1">
      <c r="B35" s="67"/>
      <c r="L35" s="68"/>
    </row>
    <row r="36" spans="1:12" ht="14.25" customHeight="1">
      <c r="B36" s="67"/>
      <c r="L36" s="68"/>
    </row>
    <row r="37" spans="1:12" ht="14.25" customHeight="1">
      <c r="B37" s="67"/>
      <c r="L37" s="68"/>
    </row>
    <row r="38" spans="1:12" ht="14.25" customHeight="1">
      <c r="B38" s="67"/>
      <c r="L38" s="68"/>
    </row>
    <row r="39" spans="1:12" s="162" customFormat="1" ht="14.25" customHeight="1">
      <c r="A39" s="156"/>
      <c r="B39" s="157"/>
      <c r="L39" s="161"/>
    </row>
    <row r="40" spans="1:12" s="162" customFormat="1" ht="14.25" customHeight="1">
      <c r="A40" s="156"/>
      <c r="B40" s="157"/>
      <c r="L40" s="161"/>
    </row>
    <row r="41" spans="1:12" s="162" customFormat="1" ht="14.25" customHeight="1">
      <c r="A41" s="156"/>
      <c r="B41" s="157"/>
      <c r="L41" s="161"/>
    </row>
    <row r="42" spans="1:12" s="162" customFormat="1" ht="14.25" customHeight="1">
      <c r="A42" s="156"/>
      <c r="B42" s="157"/>
      <c r="L42" s="161"/>
    </row>
    <row r="43" spans="1:12" s="162" customFormat="1" ht="14.25" customHeight="1">
      <c r="A43" s="156"/>
      <c r="B43" s="157"/>
      <c r="L43" s="161"/>
    </row>
    <row r="44" spans="1:12" ht="14.25" customHeight="1">
      <c r="B44" s="67"/>
      <c r="L44" s="68"/>
    </row>
    <row r="45" spans="1:12" ht="7.5" customHeight="1">
      <c r="B45" s="69"/>
      <c r="C45" s="70"/>
      <c r="D45" s="70"/>
      <c r="E45" s="70"/>
      <c r="F45" s="70"/>
      <c r="G45" s="70"/>
      <c r="H45" s="70"/>
      <c r="I45" s="70"/>
      <c r="J45" s="70"/>
      <c r="K45" s="70"/>
      <c r="L45" s="71"/>
    </row>
  </sheetData>
  <mergeCells count="2">
    <mergeCell ref="C8:K8"/>
    <mergeCell ref="D13:E13"/>
  </mergeCells>
  <pageMargins left="0.70866141732283472" right="0.70866141732283472" top="0.74803149606299213" bottom="0.74803149606299213" header="0.31496062992125984" footer="0.31496062992125984"/>
  <pageSetup paperSize="9" scale="3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6">
    <tabColor theme="4" tint="0.79998168889431442"/>
    <pageSetUpPr fitToPage="1"/>
  </sheetPr>
  <dimension ref="A1:U48"/>
  <sheetViews>
    <sheetView showGridLines="0" topLeftCell="A11" zoomScale="85" zoomScaleNormal="85" workbookViewId="0">
      <selection activeCell="T4" sqref="T4"/>
    </sheetView>
  </sheetViews>
  <sheetFormatPr baseColWidth="10" defaultColWidth="11.41015625" defaultRowHeight="14.35"/>
  <cols>
    <col min="1" max="1" width="2.87890625" style="8" customWidth="1"/>
    <col min="2" max="2" width="4.29296875" style="2" customWidth="1"/>
    <col min="3" max="3" width="20" style="2" customWidth="1"/>
    <col min="4" max="4" width="11.41015625" style="2" customWidth="1"/>
    <col min="5" max="5" width="12.5859375" style="2" customWidth="1"/>
    <col min="6" max="6" width="11.41015625" style="2" customWidth="1"/>
    <col min="7" max="7" width="13.41015625" style="2" customWidth="1"/>
    <col min="8" max="9" width="11.41015625" style="2" customWidth="1"/>
    <col min="10" max="10" width="18.41015625" style="2" customWidth="1"/>
    <col min="11" max="11" width="34.29296875" style="2" customWidth="1"/>
    <col min="12" max="12" width="11.41015625" style="2" customWidth="1"/>
    <col min="13" max="13" width="17.1171875" style="2" customWidth="1"/>
    <col min="14" max="16" width="11.41015625" style="2" customWidth="1"/>
    <col min="17" max="17" width="4.1171875" style="2" customWidth="1"/>
    <col min="18" max="18" width="2.87890625" style="2" customWidth="1"/>
    <col min="19" max="20" width="11.41015625" style="2" customWidth="1"/>
    <col min="21" max="21" width="19.703125" style="2" bestFit="1" customWidth="1"/>
    <col min="22" max="28" width="11.41015625" style="2" customWidth="1"/>
    <col min="29" max="16384" width="11.41015625" style="2"/>
  </cols>
  <sheetData>
    <row r="1" spans="1:21" ht="15" customHeight="1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8"/>
      <c r="R1" s="7"/>
    </row>
    <row r="2" spans="1:21" ht="15" customHeight="1">
      <c r="B2" s="56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8"/>
      <c r="U2" s="39"/>
    </row>
    <row r="3" spans="1:21" ht="15" customHeight="1">
      <c r="A3" s="7"/>
      <c r="B3" s="3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59"/>
    </row>
    <row r="4" spans="1:21" ht="15" customHeight="1">
      <c r="A4" s="7"/>
      <c r="B4" s="3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59"/>
    </row>
    <row r="5" spans="1:21" ht="15" customHeight="1">
      <c r="A5" s="7"/>
      <c r="B5" s="3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59"/>
    </row>
    <row r="6" spans="1:21" ht="15" customHeight="1">
      <c r="A6" s="7"/>
      <c r="B6" s="3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59"/>
    </row>
    <row r="7" spans="1:21" ht="15" hidden="1" customHeight="1">
      <c r="A7" s="7"/>
      <c r="B7" s="3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59"/>
    </row>
    <row r="8" spans="1:21" s="89" customFormat="1" ht="60" customHeight="1">
      <c r="A8" s="62"/>
      <c r="B8" s="67"/>
      <c r="C8" s="279" t="str">
        <f>'Page de garde'!C13&amp;" : Démographie des Assurés vue au "&amp;AFFICHAGE!N4</f>
        <v xml:space="preserve">47500207 - 47502122 - 47525653 - 47530591 : Démographie des Assurés vue au </v>
      </c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281"/>
      <c r="Q8" s="68"/>
    </row>
    <row r="9" spans="1:21" s="89" customFormat="1" ht="15" customHeight="1">
      <c r="A9" s="62"/>
      <c r="B9" s="67"/>
      <c r="Q9" s="68"/>
    </row>
    <row r="10" spans="1:21" s="89" customFormat="1" ht="15" customHeight="1">
      <c r="A10" s="62"/>
      <c r="B10" s="67"/>
      <c r="Q10" s="68"/>
    </row>
    <row r="11" spans="1:21" s="89" customFormat="1" ht="15" customHeight="1">
      <c r="A11" s="62"/>
      <c r="B11" s="67"/>
      <c r="C11" s="136" t="s">
        <v>50</v>
      </c>
      <c r="K11" s="137" t="s">
        <v>51</v>
      </c>
      <c r="Q11" s="68"/>
    </row>
    <row r="12" spans="1:21" s="89" customFormat="1" ht="30" customHeight="1">
      <c r="A12" s="62"/>
      <c r="B12" s="67"/>
      <c r="Q12" s="68"/>
    </row>
    <row r="13" spans="1:21" s="89" customFormat="1" ht="45">
      <c r="A13" s="62"/>
      <c r="B13" s="67"/>
      <c r="C13" s="18"/>
      <c r="D13" s="91" t="s">
        <v>52</v>
      </c>
      <c r="E13" s="91" t="s">
        <v>53</v>
      </c>
      <c r="F13" s="91" t="s">
        <v>27</v>
      </c>
      <c r="G13" s="91" t="s">
        <v>54</v>
      </c>
      <c r="H13" s="91" t="s">
        <v>55</v>
      </c>
      <c r="K13" s="21" t="s">
        <v>56</v>
      </c>
      <c r="L13" s="21" t="s">
        <v>57</v>
      </c>
      <c r="M13" s="21" t="s">
        <v>58</v>
      </c>
      <c r="N13" s="35" t="s">
        <v>49</v>
      </c>
      <c r="Q13" s="68"/>
    </row>
    <row r="14" spans="1:21" s="89" customFormat="1" ht="15" customHeight="1">
      <c r="A14" s="62"/>
      <c r="B14" s="67"/>
      <c r="C14" s="19" t="s">
        <v>57</v>
      </c>
      <c r="D14" s="177">
        <v>82</v>
      </c>
      <c r="E14" s="178">
        <v>46.048780487804876</v>
      </c>
      <c r="F14" s="177">
        <v>96</v>
      </c>
      <c r="G14" s="178">
        <v>43.5625</v>
      </c>
      <c r="H14" s="179">
        <v>0.1707317073170731</v>
      </c>
      <c r="K14" s="19" t="s">
        <v>59</v>
      </c>
      <c r="L14" s="22">
        <v>2</v>
      </c>
      <c r="M14" s="23">
        <v>1</v>
      </c>
      <c r="N14" s="33">
        <v>3</v>
      </c>
      <c r="Q14" s="68"/>
    </row>
    <row r="15" spans="1:21" s="89" customFormat="1" ht="15" customHeight="1">
      <c r="A15" s="62"/>
      <c r="B15" s="67"/>
      <c r="C15" s="180" t="s">
        <v>58</v>
      </c>
      <c r="D15" s="181">
        <v>163</v>
      </c>
      <c r="E15" s="182">
        <v>48.914110429447852</v>
      </c>
      <c r="F15" s="181">
        <v>199</v>
      </c>
      <c r="G15" s="182">
        <v>44.4070351758794</v>
      </c>
      <c r="H15" s="183">
        <v>0.22085889570552153</v>
      </c>
      <c r="K15" s="19" t="s">
        <v>60</v>
      </c>
      <c r="L15" s="22">
        <v>14</v>
      </c>
      <c r="M15" s="23">
        <v>44</v>
      </c>
      <c r="N15" s="33">
        <v>58</v>
      </c>
      <c r="Q15" s="68"/>
    </row>
    <row r="16" spans="1:21" s="89" customFormat="1" ht="15" customHeight="1">
      <c r="A16" s="62"/>
      <c r="B16" s="67"/>
      <c r="C16" s="193" t="s">
        <v>49</v>
      </c>
      <c r="D16" s="194">
        <v>245</v>
      </c>
      <c r="E16" s="195">
        <v>47.955102040816328</v>
      </c>
      <c r="F16" s="194">
        <v>295</v>
      </c>
      <c r="G16" s="195">
        <v>44.132203389830508</v>
      </c>
      <c r="H16" s="196">
        <v>0.20408163265306123</v>
      </c>
      <c r="K16" s="19" t="s">
        <v>61</v>
      </c>
      <c r="L16" s="22">
        <v>12</v>
      </c>
      <c r="M16" s="23">
        <v>13</v>
      </c>
      <c r="N16" s="33">
        <v>25</v>
      </c>
      <c r="Q16" s="68"/>
    </row>
    <row r="17" spans="1:17" s="89" customFormat="1" ht="15" customHeight="1">
      <c r="A17" s="62"/>
      <c r="B17" s="67"/>
      <c r="K17" s="19" t="s">
        <v>62</v>
      </c>
      <c r="L17" s="22">
        <v>13</v>
      </c>
      <c r="M17" s="23">
        <v>17</v>
      </c>
      <c r="N17" s="33">
        <v>30</v>
      </c>
      <c r="Q17" s="68"/>
    </row>
    <row r="18" spans="1:17" ht="15" customHeight="1">
      <c r="A18" s="7"/>
      <c r="B18" s="3"/>
      <c r="C18" s="4"/>
      <c r="D18" s="4"/>
      <c r="E18" s="4"/>
      <c r="F18" s="4"/>
      <c r="G18" s="4"/>
      <c r="H18" s="4"/>
      <c r="I18" s="4"/>
      <c r="J18" s="4"/>
      <c r="K18" s="19" t="s">
        <v>63</v>
      </c>
      <c r="L18" s="22">
        <v>11</v>
      </c>
      <c r="M18" s="23">
        <v>22</v>
      </c>
      <c r="N18" s="33">
        <v>33</v>
      </c>
      <c r="O18" s="4"/>
      <c r="P18" s="4"/>
      <c r="Q18" s="59"/>
    </row>
    <row r="19" spans="1:17" ht="15" customHeight="1">
      <c r="A19" s="7"/>
      <c r="B19" s="3"/>
      <c r="C19" s="4"/>
      <c r="D19" s="4"/>
      <c r="E19" s="4"/>
      <c r="F19" s="4"/>
      <c r="G19" s="4"/>
      <c r="H19" s="4"/>
      <c r="I19" s="4"/>
      <c r="J19" s="4"/>
      <c r="K19" s="19" t="s">
        <v>64</v>
      </c>
      <c r="L19" s="22">
        <v>8</v>
      </c>
      <c r="M19" s="23">
        <v>23</v>
      </c>
      <c r="N19" s="33">
        <v>31</v>
      </c>
      <c r="O19" s="4"/>
      <c r="P19" s="4"/>
      <c r="Q19" s="59"/>
    </row>
    <row r="20" spans="1:17" ht="15" customHeight="1">
      <c r="A20" s="7"/>
      <c r="B20" s="3"/>
      <c r="C20" s="4"/>
      <c r="D20" s="4"/>
      <c r="E20" s="4"/>
      <c r="F20" s="4"/>
      <c r="G20" s="4"/>
      <c r="H20" s="4"/>
      <c r="I20" s="4"/>
      <c r="J20" s="4"/>
      <c r="K20" s="19" t="s">
        <v>65</v>
      </c>
      <c r="L20" s="22">
        <v>8</v>
      </c>
      <c r="M20" s="23">
        <v>17</v>
      </c>
      <c r="N20" s="33">
        <v>25</v>
      </c>
      <c r="O20" s="4"/>
      <c r="P20" s="4"/>
      <c r="Q20" s="59"/>
    </row>
    <row r="21" spans="1:17" ht="15" customHeight="1">
      <c r="A21" s="7"/>
      <c r="B21" s="3"/>
      <c r="C21" s="4"/>
      <c r="D21" s="4"/>
      <c r="E21" s="4"/>
      <c r="F21" s="4"/>
      <c r="G21" s="4"/>
      <c r="H21" s="4"/>
      <c r="I21" s="4"/>
      <c r="J21" s="4"/>
      <c r="K21" s="19" t="s">
        <v>66</v>
      </c>
      <c r="L21" s="22">
        <v>20</v>
      </c>
      <c r="M21" s="23">
        <v>33</v>
      </c>
      <c r="N21" s="33">
        <v>53</v>
      </c>
      <c r="O21" s="4"/>
      <c r="P21" s="4"/>
      <c r="Q21" s="59"/>
    </row>
    <row r="22" spans="1:17" ht="15" customHeight="1">
      <c r="A22" s="7"/>
      <c r="B22" s="3"/>
      <c r="C22" s="4"/>
      <c r="D22" s="4"/>
      <c r="E22" s="4"/>
      <c r="F22" s="4"/>
      <c r="G22" s="4"/>
      <c r="H22" s="4"/>
      <c r="I22" s="4"/>
      <c r="J22" s="4"/>
      <c r="K22" s="19" t="s">
        <v>67</v>
      </c>
      <c r="L22" s="22">
        <v>8</v>
      </c>
      <c r="M22" s="23">
        <v>29</v>
      </c>
      <c r="N22" s="33">
        <v>37</v>
      </c>
      <c r="O22" s="4"/>
      <c r="P22" s="4"/>
      <c r="Q22" s="59"/>
    </row>
    <row r="23" spans="1:17" ht="15" customHeight="1">
      <c r="A23" s="7"/>
      <c r="B23" s="3"/>
      <c r="C23" s="4"/>
      <c r="D23" s="4"/>
      <c r="E23" s="4"/>
      <c r="F23" s="4"/>
      <c r="G23" s="4"/>
      <c r="H23" s="4"/>
      <c r="I23" s="4"/>
      <c r="J23" s="4"/>
      <c r="K23" s="20" t="s">
        <v>49</v>
      </c>
      <c r="L23" s="24">
        <v>96</v>
      </c>
      <c r="M23" s="25">
        <v>199</v>
      </c>
      <c r="N23" s="34">
        <v>295</v>
      </c>
      <c r="O23" s="4"/>
      <c r="P23" s="4"/>
      <c r="Q23" s="59"/>
    </row>
    <row r="24" spans="1:17" ht="15" customHeight="1">
      <c r="A24" s="7"/>
      <c r="B24" s="3"/>
      <c r="C24" s="4"/>
      <c r="D24" s="4"/>
      <c r="E24" s="4"/>
      <c r="F24" s="4"/>
      <c r="G24" s="4"/>
      <c r="H24" s="4"/>
      <c r="I24" s="4"/>
      <c r="J24" s="4"/>
      <c r="O24" s="4"/>
      <c r="P24" s="4"/>
      <c r="Q24" s="59"/>
    </row>
    <row r="25" spans="1:17" ht="15" customHeight="1">
      <c r="A25" s="7"/>
      <c r="B25" s="3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59"/>
    </row>
    <row r="26" spans="1:17" ht="15" customHeight="1">
      <c r="A26" s="7"/>
      <c r="B26" s="3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59"/>
    </row>
    <row r="27" spans="1:17" ht="15" customHeight="1">
      <c r="A27" s="7"/>
      <c r="B27" s="3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59"/>
    </row>
    <row r="28" spans="1:17" ht="15" customHeight="1">
      <c r="A28" s="7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59"/>
    </row>
    <row r="29" spans="1:17" ht="15" customHeight="1">
      <c r="A29" s="7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59"/>
    </row>
    <row r="30" spans="1:17">
      <c r="A30" s="7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59"/>
    </row>
    <row r="31" spans="1:17" ht="12" customHeight="1">
      <c r="A31" s="7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59"/>
    </row>
    <row r="32" spans="1:17" ht="15" customHeight="1">
      <c r="A32" s="7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59"/>
    </row>
    <row r="33" spans="1:17" ht="15" customHeight="1">
      <c r="A33" s="7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59"/>
    </row>
    <row r="34" spans="1:17" s="89" customFormat="1" ht="15" customHeight="1">
      <c r="A34" s="62"/>
      <c r="B34" s="67"/>
      <c r="C34" s="137" t="s">
        <v>68</v>
      </c>
      <c r="K34" s="286"/>
      <c r="L34" s="287"/>
      <c r="M34" s="287"/>
      <c r="N34" s="287"/>
      <c r="O34" s="287"/>
      <c r="P34" s="288"/>
      <c r="Q34" s="68"/>
    </row>
    <row r="35" spans="1:17" s="89" customFormat="1" ht="15" customHeight="1">
      <c r="A35" s="62"/>
      <c r="B35" s="67"/>
      <c r="K35" s="289"/>
      <c r="L35" s="290"/>
      <c r="M35" s="290"/>
      <c r="N35" s="290"/>
      <c r="O35" s="290"/>
      <c r="P35" s="291"/>
      <c r="Q35" s="68"/>
    </row>
    <row r="36" spans="1:17" s="89" customFormat="1" ht="30" customHeight="1">
      <c r="A36" s="62"/>
      <c r="B36" s="67"/>
      <c r="C36" s="17"/>
      <c r="D36" s="138" t="s">
        <v>69</v>
      </c>
      <c r="E36" s="139" t="s">
        <v>70</v>
      </c>
      <c r="K36" s="289"/>
      <c r="L36" s="290"/>
      <c r="M36" s="290"/>
      <c r="N36" s="290"/>
      <c r="O36" s="290"/>
      <c r="P36" s="291"/>
      <c r="Q36" s="68"/>
    </row>
    <row r="37" spans="1:17" s="89" customFormat="1" ht="15" customHeight="1">
      <c r="A37" s="62"/>
      <c r="B37" s="67"/>
      <c r="C37" s="140" t="s">
        <v>71</v>
      </c>
      <c r="D37" s="26">
        <v>295</v>
      </c>
      <c r="E37" s="27">
        <v>44.132203389830508</v>
      </c>
      <c r="K37" s="289"/>
      <c r="L37" s="290"/>
      <c r="M37" s="290"/>
      <c r="N37" s="290"/>
      <c r="O37" s="290"/>
      <c r="P37" s="291"/>
      <c r="Q37" s="68"/>
    </row>
    <row r="38" spans="1:17" s="89" customFormat="1" ht="15" customHeight="1">
      <c r="A38" s="62"/>
      <c r="B38" s="67"/>
      <c r="C38" s="141" t="s">
        <v>72</v>
      </c>
      <c r="D38" s="28">
        <v>124</v>
      </c>
      <c r="E38" s="29">
        <v>48.62903225806452</v>
      </c>
      <c r="K38" s="289"/>
      <c r="L38" s="290"/>
      <c r="M38" s="290"/>
      <c r="N38" s="290"/>
      <c r="O38" s="290"/>
      <c r="P38" s="291"/>
      <c r="Q38" s="68"/>
    </row>
    <row r="39" spans="1:17" s="89" customFormat="1" ht="15" customHeight="1">
      <c r="A39" s="62"/>
      <c r="B39" s="67"/>
      <c r="C39" s="142" t="s">
        <v>73</v>
      </c>
      <c r="D39" s="28">
        <v>38</v>
      </c>
      <c r="E39" s="29">
        <v>10.947368421052632</v>
      </c>
      <c r="K39" s="289"/>
      <c r="L39" s="290"/>
      <c r="M39" s="290"/>
      <c r="N39" s="290"/>
      <c r="O39" s="290"/>
      <c r="P39" s="291"/>
      <c r="Q39" s="68"/>
    </row>
    <row r="40" spans="1:17" s="89" customFormat="1" ht="15" customHeight="1">
      <c r="A40" s="62"/>
      <c r="B40" s="67"/>
      <c r="C40" s="143" t="s">
        <v>49</v>
      </c>
      <c r="D40" s="30">
        <v>457</v>
      </c>
      <c r="E40" s="31"/>
      <c r="K40" s="289"/>
      <c r="L40" s="290"/>
      <c r="M40" s="290"/>
      <c r="N40" s="290"/>
      <c r="O40" s="290"/>
      <c r="P40" s="291"/>
      <c r="Q40" s="68"/>
    </row>
    <row r="41" spans="1:17" s="89" customFormat="1" ht="15" customHeight="1">
      <c r="A41" s="62"/>
      <c r="B41" s="67"/>
      <c r="C41" s="1"/>
      <c r="D41" s="1"/>
      <c r="E41" s="1"/>
      <c r="K41" s="289"/>
      <c r="L41" s="290"/>
      <c r="M41" s="290"/>
      <c r="N41" s="290"/>
      <c r="O41" s="290"/>
      <c r="P41" s="291"/>
      <c r="Q41" s="68"/>
    </row>
    <row r="42" spans="1:17" s="89" customFormat="1" ht="15" customHeight="1">
      <c r="A42" s="62"/>
      <c r="B42" s="67"/>
      <c r="C42" s="143" t="s">
        <v>74</v>
      </c>
      <c r="D42" s="32"/>
      <c r="E42" s="144">
        <f>D40/F16</f>
        <v>1.5491525423728814</v>
      </c>
      <c r="K42" s="292"/>
      <c r="L42" s="293"/>
      <c r="M42" s="293"/>
      <c r="N42" s="293"/>
      <c r="O42" s="293"/>
      <c r="P42" s="294"/>
      <c r="Q42" s="68"/>
    </row>
    <row r="43" spans="1:17" ht="15" customHeight="1">
      <c r="A43" s="7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59"/>
    </row>
    <row r="44" spans="1:17" ht="15" customHeight="1">
      <c r="A44" s="7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59"/>
    </row>
    <row r="45" spans="1:17" ht="15" customHeight="1">
      <c r="A45" s="7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59"/>
    </row>
    <row r="46" spans="1:17" s="92" customFormat="1" ht="15" customHeight="1">
      <c r="B46" s="96"/>
      <c r="Q46" s="97"/>
    </row>
    <row r="47" spans="1:17" ht="15" customHeight="1">
      <c r="A47" s="7"/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0"/>
    </row>
    <row r="48" spans="1:17" ht="15" customHeight="1">
      <c r="A48" s="7"/>
    </row>
  </sheetData>
  <mergeCells count="2">
    <mergeCell ref="K34:P42"/>
    <mergeCell ref="C8:P8"/>
  </mergeCells>
  <pageMargins left="0.70866141732283472" right="0.70866141732283472" top="0.74803149606299213" bottom="0.74803149606299213" header="0.31496062992125984" footer="0.31496062992125984"/>
  <pageSetup paperSize="9" scale="59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8">
    <tabColor theme="4" tint="0.79998168889431442"/>
    <pageSetUpPr fitToPage="1"/>
  </sheetPr>
  <dimension ref="A1:V104"/>
  <sheetViews>
    <sheetView showGridLines="0" topLeftCell="A8" zoomScale="70" zoomScaleNormal="70" workbookViewId="0">
      <selection sqref="A1:XFD1048576"/>
    </sheetView>
  </sheetViews>
  <sheetFormatPr baseColWidth="10" defaultColWidth="11.41015625" defaultRowHeight="14.35"/>
  <cols>
    <col min="1" max="1" width="2.87890625" style="80" customWidth="1"/>
    <col min="2" max="2" width="4.29296875" style="89" customWidth="1"/>
    <col min="3" max="3" width="10" style="89" customWidth="1"/>
    <col min="4" max="4" width="50.703125" style="89" customWidth="1"/>
    <col min="5" max="5" width="12" style="89" bestFit="1" customWidth="1"/>
    <col min="6" max="11" width="14.29296875" style="89" customWidth="1"/>
    <col min="12" max="12" width="15.703125" style="89" customWidth="1"/>
    <col min="13" max="13" width="10.703125" style="89" customWidth="1"/>
    <col min="14" max="14" width="1.41015625" style="89" customWidth="1"/>
    <col min="15" max="15" width="14.29296875" style="89" customWidth="1"/>
    <col min="16" max="16" width="15.703125" style="89" customWidth="1"/>
    <col min="17" max="17" width="10.703125" style="89" customWidth="1"/>
    <col min="18" max="18" width="4.29296875" style="89" customWidth="1"/>
    <col min="19" max="19" width="2.87890625" style="89" customWidth="1"/>
    <col min="20" max="21" width="11.41015625" style="89" customWidth="1"/>
    <col min="22" max="22" width="16.703125" style="89" bestFit="1" customWidth="1"/>
    <col min="23" max="29" width="11.41015625" style="89" customWidth="1"/>
    <col min="30" max="16384" width="11.41015625" style="89"/>
  </cols>
  <sheetData>
    <row r="1" spans="1:22">
      <c r="A1" s="80">
        <v>0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</row>
    <row r="2" spans="1:22" ht="15" customHeight="1">
      <c r="B2" s="63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5"/>
      <c r="V2" s="39"/>
    </row>
    <row r="3" spans="1:22" ht="15" customHeight="1">
      <c r="B3" s="67"/>
      <c r="R3" s="68"/>
    </row>
    <row r="4" spans="1:22" ht="15" customHeight="1">
      <c r="B4" s="67"/>
      <c r="R4" s="68"/>
    </row>
    <row r="5" spans="1:22" ht="15" customHeight="1">
      <c r="B5" s="67"/>
      <c r="R5" s="68"/>
    </row>
    <row r="6" spans="1:22" ht="15" customHeight="1" thickBot="1">
      <c r="B6" s="67"/>
      <c r="R6" s="68"/>
    </row>
    <row r="7" spans="1:22" ht="15" hidden="1" customHeight="1">
      <c r="B7" s="67"/>
      <c r="R7" s="68"/>
    </row>
    <row r="8" spans="1:22" ht="60" customHeight="1" thickBot="1">
      <c r="B8" s="67"/>
      <c r="C8" s="279" t="str">
        <f>'Page de garde'!C13&amp;" : Détail des Prestations Réglées - Synthèse par famille d'actes"</f>
        <v>47500207 - 47502122 - 47525653 - 47530591 : Détail des Prestations Réglées - Synthèse par famille d'actes</v>
      </c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280"/>
      <c r="Q8" s="281"/>
      <c r="R8" s="68"/>
    </row>
    <row r="9" spans="1:22">
      <c r="B9" s="67"/>
      <c r="R9" s="68"/>
    </row>
    <row r="10" spans="1:22">
      <c r="B10" s="67"/>
      <c r="R10" s="68"/>
    </row>
    <row r="11" spans="1:22">
      <c r="B11" s="67"/>
      <c r="R11" s="68"/>
    </row>
    <row r="12" spans="1:22">
      <c r="B12" s="67"/>
      <c r="C12" s="38"/>
      <c r="D12" s="38"/>
      <c r="E12" s="295" t="s">
        <v>75</v>
      </c>
      <c r="F12" s="296"/>
      <c r="G12" s="296"/>
      <c r="H12" s="296"/>
      <c r="I12" s="296"/>
      <c r="J12" s="296"/>
      <c r="K12" s="296"/>
      <c r="L12" s="296"/>
      <c r="M12" s="297"/>
      <c r="N12" s="36"/>
      <c r="O12" s="295" t="s">
        <v>301</v>
      </c>
      <c r="P12" s="296"/>
      <c r="Q12" s="297"/>
      <c r="R12" s="68"/>
    </row>
    <row r="13" spans="1:22">
      <c r="B13" s="67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68"/>
    </row>
    <row r="14" spans="1:22" ht="45" customHeight="1">
      <c r="B14" s="67"/>
      <c r="C14" s="38"/>
      <c r="D14" s="38"/>
      <c r="E14" s="145" t="s">
        <v>76</v>
      </c>
      <c r="F14" s="145" t="s">
        <v>77</v>
      </c>
      <c r="G14" s="146" t="s">
        <v>78</v>
      </c>
      <c r="H14" s="145" t="s">
        <v>79</v>
      </c>
      <c r="I14" s="145" t="s">
        <v>80</v>
      </c>
      <c r="J14" s="145" t="s">
        <v>81</v>
      </c>
      <c r="K14" s="147" t="s">
        <v>82</v>
      </c>
      <c r="L14" s="147" t="s">
        <v>83</v>
      </c>
      <c r="M14" s="147" t="s">
        <v>84</v>
      </c>
      <c r="N14" s="36"/>
      <c r="O14" s="174" t="s">
        <v>82</v>
      </c>
      <c r="P14" s="174" t="s">
        <v>83</v>
      </c>
      <c r="Q14" s="147" t="s">
        <v>84</v>
      </c>
      <c r="R14" s="68"/>
    </row>
    <row r="15" spans="1:22" s="162" customFormat="1" ht="15" customHeight="1" thickBot="1">
      <c r="A15" s="156"/>
      <c r="B15" s="157"/>
      <c r="C15" s="158" t="s">
        <v>242</v>
      </c>
      <c r="D15" s="159"/>
      <c r="E15" s="72">
        <v>548</v>
      </c>
      <c r="F15" s="84">
        <v>1.1991247264770242</v>
      </c>
      <c r="G15" s="73">
        <v>22552.74</v>
      </c>
      <c r="H15" s="73">
        <v>10875.83</v>
      </c>
      <c r="I15" s="73">
        <v>118.34</v>
      </c>
      <c r="J15" s="73">
        <v>9942.1199999999899</v>
      </c>
      <c r="K15" s="73">
        <v>18.142554744525548</v>
      </c>
      <c r="L15" s="74">
        <v>2.6253996774193246E-2</v>
      </c>
      <c r="M15" s="74">
        <v>0.92832578214443118</v>
      </c>
      <c r="N15" s="160"/>
      <c r="O15" s="73">
        <v>0</v>
      </c>
      <c r="P15" s="74">
        <v>0</v>
      </c>
      <c r="Q15" s="74">
        <v>0</v>
      </c>
      <c r="R15" s="161"/>
      <c r="T15" s="176"/>
    </row>
    <row r="16" spans="1:22" s="223" customFormat="1" ht="15" customHeight="1" thickBot="1">
      <c r="A16" s="207"/>
      <c r="B16" s="212"/>
      <c r="C16" s="239"/>
      <c r="D16" s="240" t="s">
        <v>241</v>
      </c>
      <c r="E16" s="241">
        <v>548</v>
      </c>
      <c r="F16" s="242">
        <v>1.1991247264770242</v>
      </c>
      <c r="G16" s="243">
        <v>22552.74</v>
      </c>
      <c r="H16" s="243">
        <v>10875.83</v>
      </c>
      <c r="I16" s="243">
        <v>118.34</v>
      </c>
      <c r="J16" s="243">
        <v>9942.1199999999899</v>
      </c>
      <c r="K16" s="243">
        <v>18.142554744525548</v>
      </c>
      <c r="L16" s="244">
        <v>2.6253996774193246E-2</v>
      </c>
      <c r="M16" s="244">
        <v>0.92832578214443118</v>
      </c>
      <c r="N16" s="245"/>
      <c r="O16" s="243">
        <v>0</v>
      </c>
      <c r="P16" s="244">
        <v>0</v>
      </c>
      <c r="Q16" s="244">
        <v>0</v>
      </c>
      <c r="R16" s="213"/>
      <c r="T16" s="176"/>
    </row>
    <row r="17" spans="1:20" s="223" customFormat="1" ht="15" customHeight="1" thickBot="1">
      <c r="A17" s="207"/>
      <c r="B17" s="212"/>
      <c r="C17" s="158" t="s">
        <v>85</v>
      </c>
      <c r="D17" s="159"/>
      <c r="E17" s="72">
        <v>517</v>
      </c>
      <c r="F17" s="84">
        <v>1.1312910284463895</v>
      </c>
      <c r="G17" s="73">
        <v>21998.6699999999</v>
      </c>
      <c r="H17" s="73">
        <v>4702.8900000000103</v>
      </c>
      <c r="I17" s="73">
        <v>0</v>
      </c>
      <c r="J17" s="73">
        <v>15607.720000000099</v>
      </c>
      <c r="K17" s="73">
        <v>30.189013539651835</v>
      </c>
      <c r="L17" s="74">
        <v>4.1215055796199537E-2</v>
      </c>
      <c r="M17" s="74">
        <v>0.9232653610422813</v>
      </c>
      <c r="N17" s="160"/>
      <c r="O17" s="73">
        <v>0</v>
      </c>
      <c r="P17" s="74">
        <v>0</v>
      </c>
      <c r="Q17" s="74">
        <v>0</v>
      </c>
      <c r="R17" s="213"/>
      <c r="T17" s="176"/>
    </row>
    <row r="18" spans="1:20" s="223" customFormat="1" ht="15" customHeight="1" thickBot="1">
      <c r="A18" s="207"/>
      <c r="B18" s="212"/>
      <c r="C18" s="158" t="s">
        <v>92</v>
      </c>
      <c r="D18" s="159"/>
      <c r="E18" s="72">
        <v>6</v>
      </c>
      <c r="F18" s="84">
        <v>1.3129102844638949E-2</v>
      </c>
      <c r="G18" s="73">
        <v>913.17</v>
      </c>
      <c r="H18" s="73">
        <v>440.56</v>
      </c>
      <c r="I18" s="73">
        <v>0</v>
      </c>
      <c r="J18" s="73">
        <v>422.61</v>
      </c>
      <c r="K18" s="73">
        <v>70.435000000000002</v>
      </c>
      <c r="L18" s="74">
        <v>1.1159794467117483E-3</v>
      </c>
      <c r="M18" s="74">
        <v>0.94524568262207476</v>
      </c>
      <c r="N18" s="160"/>
      <c r="O18" s="73">
        <v>0</v>
      </c>
      <c r="P18" s="74">
        <v>0</v>
      </c>
      <c r="Q18" s="74">
        <v>0</v>
      </c>
      <c r="R18" s="213"/>
      <c r="T18" s="176"/>
    </row>
    <row r="19" spans="1:20" s="223" customFormat="1" ht="15" customHeight="1" thickBot="1">
      <c r="A19" s="207"/>
      <c r="B19" s="212"/>
      <c r="C19" s="239"/>
      <c r="D19" s="240" t="s">
        <v>93</v>
      </c>
      <c r="E19" s="241">
        <v>6</v>
      </c>
      <c r="F19" s="242">
        <v>1.3129102844638949E-2</v>
      </c>
      <c r="G19" s="243">
        <v>913.17</v>
      </c>
      <c r="H19" s="243">
        <v>440.56</v>
      </c>
      <c r="I19" s="243">
        <v>0</v>
      </c>
      <c r="J19" s="243">
        <v>422.61</v>
      </c>
      <c r="K19" s="243">
        <v>70.435000000000002</v>
      </c>
      <c r="L19" s="244">
        <v>1.1159794467117483E-3</v>
      </c>
      <c r="M19" s="244">
        <v>0.94524568262207476</v>
      </c>
      <c r="N19" s="245"/>
      <c r="O19" s="243">
        <v>0</v>
      </c>
      <c r="P19" s="244">
        <v>0</v>
      </c>
      <c r="Q19" s="244">
        <v>0</v>
      </c>
      <c r="R19" s="213"/>
      <c r="T19" s="176"/>
    </row>
    <row r="20" spans="1:20" s="223" customFormat="1" ht="15" customHeight="1" thickBot="1">
      <c r="A20" s="207"/>
      <c r="B20" s="212"/>
      <c r="C20" s="158" t="s">
        <v>95</v>
      </c>
      <c r="D20" s="159"/>
      <c r="E20" s="72">
        <v>903</v>
      </c>
      <c r="F20" s="84">
        <v>1.9759299781181618</v>
      </c>
      <c r="G20" s="73">
        <v>157673.41</v>
      </c>
      <c r="H20" s="73">
        <v>30315.259999999969</v>
      </c>
      <c r="I20" s="73">
        <v>7063.59</v>
      </c>
      <c r="J20" s="73">
        <v>95951.069999999992</v>
      </c>
      <c r="K20" s="73">
        <v>106.25810631229237</v>
      </c>
      <c r="L20" s="74">
        <v>0.25337645112515139</v>
      </c>
      <c r="M20" s="74">
        <v>0.84560814661140393</v>
      </c>
      <c r="N20" s="160"/>
      <c r="O20" s="73">
        <v>0</v>
      </c>
      <c r="P20" s="74">
        <v>0</v>
      </c>
      <c r="Q20" s="74">
        <v>0</v>
      </c>
      <c r="R20" s="213"/>
      <c r="T20" s="176"/>
    </row>
    <row r="21" spans="1:20" s="223" customFormat="1" ht="15" customHeight="1" thickBot="1">
      <c r="A21" s="207"/>
      <c r="B21" s="212"/>
      <c r="C21" s="239"/>
      <c r="D21" s="240" t="s">
        <v>119</v>
      </c>
      <c r="E21" s="241">
        <v>241</v>
      </c>
      <c r="F21" s="242">
        <v>0.52735229759299784</v>
      </c>
      <c r="G21" s="243">
        <v>16587.650000000001</v>
      </c>
      <c r="H21" s="243">
        <v>8605.0100000000093</v>
      </c>
      <c r="I21" s="243">
        <v>0</v>
      </c>
      <c r="J21" s="243">
        <v>7293.0099999999902</v>
      </c>
      <c r="K21" s="243">
        <v>30.261452282157677</v>
      </c>
      <c r="L21" s="244">
        <v>1.9258534499096678E-2</v>
      </c>
      <c r="M21" s="244">
        <v>0.95842509336765602</v>
      </c>
      <c r="N21" s="245"/>
      <c r="O21" s="243">
        <v>0</v>
      </c>
      <c r="P21" s="244">
        <v>0</v>
      </c>
      <c r="Q21" s="244">
        <v>0</v>
      </c>
      <c r="R21" s="213"/>
      <c r="T21" s="176"/>
    </row>
    <row r="22" spans="1:20" s="223" customFormat="1" ht="15" customHeight="1" thickBot="1">
      <c r="A22" s="207"/>
      <c r="B22" s="212"/>
      <c r="C22" s="158" t="s">
        <v>120</v>
      </c>
      <c r="D22" s="159"/>
      <c r="E22" s="72">
        <v>339</v>
      </c>
      <c r="F22" s="84">
        <v>0.74179431072210067</v>
      </c>
      <c r="G22" s="73">
        <v>52129.009999999995</v>
      </c>
      <c r="H22" s="73">
        <v>25828.800000000003</v>
      </c>
      <c r="I22" s="73">
        <v>2517.2199999999998</v>
      </c>
      <c r="J22" s="73">
        <v>20733.629999999997</v>
      </c>
      <c r="K22" s="73">
        <v>61.161150442477876</v>
      </c>
      <c r="L22" s="74">
        <v>5.4750964093907159E-2</v>
      </c>
      <c r="M22" s="74">
        <v>0.94150358888457697</v>
      </c>
      <c r="N22" s="160"/>
      <c r="O22" s="73">
        <v>0</v>
      </c>
      <c r="P22" s="74">
        <v>0</v>
      </c>
      <c r="Q22" s="74">
        <v>0</v>
      </c>
      <c r="R22" s="213"/>
      <c r="T22" s="176"/>
    </row>
    <row r="23" spans="1:20" s="223" customFormat="1" ht="15" customHeight="1" thickBot="1">
      <c r="A23" s="207"/>
      <c r="B23" s="212"/>
      <c r="C23" s="239"/>
      <c r="D23" s="240" t="s">
        <v>122</v>
      </c>
      <c r="E23" s="241">
        <v>108</v>
      </c>
      <c r="F23" s="242">
        <v>0.23632385120350111</v>
      </c>
      <c r="G23" s="243">
        <v>9894</v>
      </c>
      <c r="H23" s="243">
        <v>0</v>
      </c>
      <c r="I23" s="243">
        <v>2091.12</v>
      </c>
      <c r="J23" s="243">
        <v>6938.08</v>
      </c>
      <c r="K23" s="243">
        <v>64.241481481481486</v>
      </c>
      <c r="L23" s="244">
        <v>1.8321276542537672E-2</v>
      </c>
      <c r="M23" s="244">
        <v>0.91259349100464937</v>
      </c>
      <c r="N23" s="245"/>
      <c r="O23" s="243">
        <v>0</v>
      </c>
      <c r="P23" s="244">
        <v>0</v>
      </c>
      <c r="Q23" s="244">
        <v>0</v>
      </c>
      <c r="R23" s="213"/>
      <c r="T23" s="176"/>
    </row>
    <row r="24" spans="1:20" s="223" customFormat="1" ht="15" customHeight="1" thickBot="1">
      <c r="A24" s="207"/>
      <c r="B24" s="212"/>
      <c r="C24" s="239"/>
      <c r="D24" s="240" t="s">
        <v>123</v>
      </c>
      <c r="E24" s="241">
        <v>7</v>
      </c>
      <c r="F24" s="242">
        <v>1.5317286652078774E-2</v>
      </c>
      <c r="G24" s="243">
        <v>5705.8</v>
      </c>
      <c r="H24" s="243">
        <v>4564.6400000000003</v>
      </c>
      <c r="I24" s="243">
        <v>0</v>
      </c>
      <c r="J24" s="243">
        <v>1141.1600000000001</v>
      </c>
      <c r="K24" s="243">
        <v>163.02285714285716</v>
      </c>
      <c r="L24" s="244">
        <v>3.0134429034087665E-3</v>
      </c>
      <c r="M24" s="244">
        <v>1</v>
      </c>
      <c r="N24" s="245"/>
      <c r="O24" s="243">
        <v>0</v>
      </c>
      <c r="P24" s="244">
        <v>0</v>
      </c>
      <c r="Q24" s="244">
        <v>0</v>
      </c>
      <c r="R24" s="213"/>
      <c r="T24" s="176"/>
    </row>
    <row r="25" spans="1:20" s="223" customFormat="1" ht="15" customHeight="1" thickBot="1">
      <c r="A25" s="207"/>
      <c r="B25" s="212"/>
      <c r="C25" s="239"/>
      <c r="D25" s="240" t="s">
        <v>125</v>
      </c>
      <c r="E25" s="241">
        <v>200</v>
      </c>
      <c r="F25" s="242">
        <v>0.43763676148796499</v>
      </c>
      <c r="G25" s="243">
        <v>34139.050000000003</v>
      </c>
      <c r="H25" s="243">
        <v>20610.71</v>
      </c>
      <c r="I25" s="243">
        <v>426.1</v>
      </c>
      <c r="J25" s="243">
        <v>10917.68</v>
      </c>
      <c r="K25" s="243">
        <v>54.5884</v>
      </c>
      <c r="L25" s="244">
        <v>2.8830142414462318E-2</v>
      </c>
      <c r="M25" s="244">
        <v>0.9360099358359415</v>
      </c>
      <c r="N25" s="245"/>
      <c r="O25" s="243">
        <v>0</v>
      </c>
      <c r="P25" s="244">
        <v>0</v>
      </c>
      <c r="Q25" s="244">
        <v>0</v>
      </c>
      <c r="R25" s="213"/>
      <c r="T25" s="176"/>
    </row>
    <row r="26" spans="1:20" s="223" customFormat="1" ht="15" customHeight="1" thickBot="1">
      <c r="A26" s="207"/>
      <c r="B26" s="212"/>
      <c r="C26" s="158" t="s">
        <v>136</v>
      </c>
      <c r="D26" s="159"/>
      <c r="E26" s="72">
        <v>391</v>
      </c>
      <c r="F26" s="84">
        <v>0.85557986870897151</v>
      </c>
      <c r="G26" s="73">
        <v>89843.03</v>
      </c>
      <c r="H26" s="73">
        <v>64.550000000000011</v>
      </c>
      <c r="I26" s="73">
        <v>2185.85</v>
      </c>
      <c r="J26" s="73">
        <v>73332.040000000197</v>
      </c>
      <c r="K26" s="73">
        <v>187.5499744245524</v>
      </c>
      <c r="L26" s="74">
        <v>0.19364674150030473</v>
      </c>
      <c r="M26" s="74">
        <v>0.84127216101237912</v>
      </c>
      <c r="N26" s="160"/>
      <c r="O26" s="73">
        <v>0</v>
      </c>
      <c r="P26" s="74">
        <v>0</v>
      </c>
      <c r="Q26" s="74">
        <v>0</v>
      </c>
      <c r="R26" s="213"/>
      <c r="T26" s="176"/>
    </row>
    <row r="27" spans="1:20" s="223" customFormat="1" ht="15" customHeight="1" thickBot="1">
      <c r="A27" s="207"/>
      <c r="B27" s="212"/>
      <c r="C27" s="239"/>
      <c r="D27" s="240" t="s">
        <v>138</v>
      </c>
      <c r="E27" s="241">
        <v>126</v>
      </c>
      <c r="F27" s="242">
        <v>0.27571115973741794</v>
      </c>
      <c r="G27" s="243">
        <v>10760.7</v>
      </c>
      <c r="H27" s="243">
        <v>47.38</v>
      </c>
      <c r="I27" s="243">
        <v>102.68</v>
      </c>
      <c r="J27" s="243">
        <v>9436.42</v>
      </c>
      <c r="K27" s="243">
        <v>74.892222222222216</v>
      </c>
      <c r="L27" s="244">
        <v>2.4918602897564365E-2</v>
      </c>
      <c r="M27" s="244">
        <v>0.89087884617171731</v>
      </c>
      <c r="N27" s="245"/>
      <c r="O27" s="243">
        <v>0</v>
      </c>
      <c r="P27" s="244">
        <v>0</v>
      </c>
      <c r="Q27" s="244">
        <v>0</v>
      </c>
      <c r="R27" s="213"/>
      <c r="T27" s="176"/>
    </row>
    <row r="28" spans="1:20" s="223" customFormat="1" ht="15" customHeight="1" thickBot="1">
      <c r="A28" s="207"/>
      <c r="B28" s="212"/>
      <c r="C28" s="158" t="s">
        <v>149</v>
      </c>
      <c r="D28" s="159"/>
      <c r="E28" s="72">
        <v>204</v>
      </c>
      <c r="F28" s="84">
        <v>0.44638949671772427</v>
      </c>
      <c r="G28" s="73">
        <v>11530.02</v>
      </c>
      <c r="H28" s="73">
        <v>0</v>
      </c>
      <c r="I28" s="73">
        <v>40</v>
      </c>
      <c r="J28" s="73">
        <v>11046.9</v>
      </c>
      <c r="K28" s="73">
        <v>54.151470588235291</v>
      </c>
      <c r="L28" s="74">
        <v>2.9171371595276996E-2</v>
      </c>
      <c r="M28" s="74">
        <v>0.96156814992515183</v>
      </c>
      <c r="N28" s="160"/>
      <c r="O28" s="73">
        <v>0</v>
      </c>
      <c r="P28" s="74">
        <v>0</v>
      </c>
      <c r="Q28" s="74">
        <v>0</v>
      </c>
      <c r="R28" s="213"/>
      <c r="T28" s="176"/>
    </row>
    <row r="29" spans="1:20" s="223" customFormat="1" ht="15" customHeight="1" thickBot="1">
      <c r="A29" s="207"/>
      <c r="B29" s="212"/>
      <c r="C29" s="158" t="s">
        <v>151</v>
      </c>
      <c r="D29" s="159"/>
      <c r="E29" s="72">
        <v>25202</v>
      </c>
      <c r="F29" s="84">
        <v>55.146608315098469</v>
      </c>
      <c r="G29" s="73">
        <v>374401.16999999731</v>
      </c>
      <c r="H29" s="73">
        <v>163902.670000004</v>
      </c>
      <c r="I29" s="73">
        <v>21636.100000000002</v>
      </c>
      <c r="J29" s="73">
        <v>151653.6800000004</v>
      </c>
      <c r="K29" s="73">
        <v>6.0175255932068881</v>
      </c>
      <c r="L29" s="74">
        <v>0.40046943966825327</v>
      </c>
      <c r="M29" s="74">
        <v>0.90061804561134262</v>
      </c>
      <c r="N29" s="160"/>
      <c r="O29" s="73">
        <v>0</v>
      </c>
      <c r="P29" s="74">
        <v>0</v>
      </c>
      <c r="Q29" s="74">
        <v>0</v>
      </c>
      <c r="R29" s="213"/>
      <c r="T29" s="176"/>
    </row>
    <row r="30" spans="1:20" s="223" customFormat="1" ht="15" customHeight="1" thickBot="1">
      <c r="A30" s="207"/>
      <c r="B30" s="212"/>
      <c r="C30" s="239"/>
      <c r="D30" s="240" t="s">
        <v>154</v>
      </c>
      <c r="E30" s="241">
        <v>1088</v>
      </c>
      <c r="F30" s="242">
        <v>2.3807439824945296</v>
      </c>
      <c r="G30" s="243">
        <v>25599.84</v>
      </c>
      <c r="H30" s="243">
        <v>15405.59</v>
      </c>
      <c r="I30" s="243">
        <v>0</v>
      </c>
      <c r="J30" s="243">
        <v>10194.25</v>
      </c>
      <c r="K30" s="243">
        <v>9.3697150735294112</v>
      </c>
      <c r="L30" s="244">
        <v>2.6919792420059249E-2</v>
      </c>
      <c r="M30" s="244">
        <v>1</v>
      </c>
      <c r="N30" s="245"/>
      <c r="O30" s="243">
        <v>0</v>
      </c>
      <c r="P30" s="244">
        <v>0</v>
      </c>
      <c r="Q30" s="244">
        <v>0</v>
      </c>
      <c r="R30" s="213"/>
      <c r="T30" s="176"/>
    </row>
    <row r="31" spans="1:20" s="223" customFormat="1" ht="15" customHeight="1" thickBot="1">
      <c r="A31" s="207"/>
      <c r="B31" s="212"/>
      <c r="C31" s="239"/>
      <c r="D31" s="240" t="s">
        <v>155</v>
      </c>
      <c r="E31" s="241">
        <v>1728</v>
      </c>
      <c r="F31" s="242">
        <v>3.7811816192560177</v>
      </c>
      <c r="G31" s="243">
        <v>30670.2399999999</v>
      </c>
      <c r="H31" s="243">
        <v>12566.040000000099</v>
      </c>
      <c r="I31" s="243">
        <v>20</v>
      </c>
      <c r="J31" s="243">
        <v>17996.3300000001</v>
      </c>
      <c r="K31" s="243">
        <v>10.414542824074076</v>
      </c>
      <c r="L31" s="244">
        <v>4.7522619900717065E-2</v>
      </c>
      <c r="M31" s="244">
        <v>0.99713500774692332</v>
      </c>
      <c r="N31" s="245"/>
      <c r="O31" s="243">
        <v>0</v>
      </c>
      <c r="P31" s="244">
        <v>0</v>
      </c>
      <c r="Q31" s="244">
        <v>0</v>
      </c>
      <c r="R31" s="213"/>
      <c r="T31" s="176"/>
    </row>
    <row r="32" spans="1:20" s="162" customFormat="1" ht="15" customHeight="1" thickBot="1">
      <c r="A32" s="156"/>
      <c r="B32" s="157"/>
      <c r="C32" s="163" t="s">
        <v>49</v>
      </c>
      <c r="D32" s="164"/>
      <c r="E32" s="148">
        <v>28110</v>
      </c>
      <c r="F32" s="149">
        <v>61.50984682713348</v>
      </c>
      <c r="G32" s="150">
        <v>731041.21999999718</v>
      </c>
      <c r="H32" s="150">
        <v>236130.56000000398</v>
      </c>
      <c r="I32" s="150">
        <v>33561.100000000006</v>
      </c>
      <c r="J32" s="150">
        <v>378689.77000000072</v>
      </c>
      <c r="K32" s="150">
        <v>13.47171006759163</v>
      </c>
      <c r="L32" s="151">
        <v>0.99999999999999822</v>
      </c>
      <c r="M32" s="151">
        <v>0.88692868782420675</v>
      </c>
      <c r="N32" s="160"/>
      <c r="O32" s="150"/>
      <c r="P32" s="151">
        <v>0</v>
      </c>
      <c r="Q32" s="151"/>
      <c r="R32" s="161"/>
    </row>
    <row r="33" spans="1:18" s="162" customFormat="1" ht="15" customHeight="1">
      <c r="A33" s="156"/>
      <c r="B33" s="157"/>
      <c r="C33" s="165"/>
      <c r="D33" s="166"/>
      <c r="E33" s="166"/>
      <c r="F33" s="166"/>
      <c r="G33" s="166"/>
      <c r="H33" s="166"/>
      <c r="I33" s="166"/>
      <c r="J33" s="166"/>
      <c r="K33" s="166"/>
      <c r="L33" s="166"/>
      <c r="M33" s="166"/>
      <c r="N33" s="166"/>
      <c r="O33" s="166"/>
      <c r="P33" s="166"/>
      <c r="Q33" s="166"/>
      <c r="R33" s="161"/>
    </row>
    <row r="34" spans="1:18" s="162" customFormat="1" ht="15" customHeight="1">
      <c r="A34" s="156"/>
      <c r="B34" s="157"/>
      <c r="C34" s="165"/>
      <c r="D34" s="166"/>
      <c r="E34" s="166"/>
      <c r="F34" s="166"/>
      <c r="G34" s="166"/>
      <c r="H34" s="166"/>
      <c r="I34" s="166"/>
      <c r="J34" s="166"/>
      <c r="K34" s="166"/>
      <c r="L34" s="166"/>
      <c r="M34" s="166"/>
      <c r="N34" s="166"/>
      <c r="O34" s="166"/>
      <c r="P34" s="166"/>
      <c r="Q34" s="166"/>
      <c r="R34" s="161"/>
    </row>
    <row r="35" spans="1:18" s="162" customFormat="1" ht="15" customHeight="1">
      <c r="A35" s="156"/>
      <c r="B35" s="157"/>
      <c r="C35" s="164" t="s">
        <v>158</v>
      </c>
      <c r="D35" s="164"/>
      <c r="E35" s="165"/>
      <c r="F35" s="165"/>
      <c r="G35" s="165"/>
      <c r="H35" s="205">
        <v>0.36420000000000002</v>
      </c>
      <c r="I35" s="205">
        <v>5.1799999999999999E-2</v>
      </c>
      <c r="J35" s="205">
        <v>0.58399999999999996</v>
      </c>
      <c r="K35" s="165"/>
      <c r="L35" s="165"/>
      <c r="M35" s="165"/>
      <c r="N35" s="165"/>
      <c r="O35" s="165"/>
      <c r="P35" s="166"/>
      <c r="Q35" s="166"/>
      <c r="R35" s="161"/>
    </row>
    <row r="36" spans="1:18" s="162" customFormat="1" ht="15" customHeight="1">
      <c r="A36" s="156"/>
      <c r="B36" s="157"/>
      <c r="C36" s="165"/>
      <c r="D36" s="165"/>
      <c r="E36" s="165"/>
      <c r="F36" s="165"/>
      <c r="G36" s="165"/>
      <c r="H36" s="165"/>
      <c r="I36" s="165"/>
      <c r="J36" s="165"/>
      <c r="K36" s="165"/>
      <c r="L36" s="165"/>
      <c r="M36" s="165"/>
      <c r="N36" s="165"/>
      <c r="O36" s="165"/>
      <c r="P36" s="166"/>
      <c r="Q36" s="166"/>
      <c r="R36" s="161"/>
    </row>
    <row r="37" spans="1:18" s="162" customFormat="1" ht="15" customHeight="1">
      <c r="A37" s="156"/>
      <c r="B37" s="157"/>
      <c r="C37" s="164" t="s">
        <v>159</v>
      </c>
      <c r="D37" s="164"/>
      <c r="E37" s="165"/>
      <c r="F37" s="165"/>
      <c r="G37" s="150">
        <v>1599.65</v>
      </c>
      <c r="H37" s="150">
        <v>516.70000000000005</v>
      </c>
      <c r="I37" s="150">
        <v>73.44</v>
      </c>
      <c r="J37" s="150">
        <v>828.64</v>
      </c>
      <c r="K37" s="165"/>
      <c r="L37" s="165"/>
      <c r="M37" s="165"/>
      <c r="N37" s="165"/>
      <c r="O37" s="165"/>
      <c r="P37" s="166"/>
      <c r="Q37" s="166"/>
      <c r="R37" s="161"/>
    </row>
    <row r="38" spans="1:18" s="162" customFormat="1" ht="15" customHeight="1">
      <c r="A38" s="156"/>
      <c r="B38" s="157"/>
      <c r="C38" s="164" t="s">
        <v>160</v>
      </c>
      <c r="D38" s="164"/>
      <c r="E38" s="165"/>
      <c r="F38" s="165"/>
      <c r="G38" s="150">
        <v>2478.11</v>
      </c>
      <c r="H38" s="150">
        <v>800.44</v>
      </c>
      <c r="I38" s="150">
        <v>113.77</v>
      </c>
      <c r="J38" s="150">
        <v>1283.69</v>
      </c>
      <c r="K38" s="165"/>
      <c r="L38" s="165"/>
      <c r="M38" s="165"/>
      <c r="N38" s="165"/>
      <c r="O38" s="165"/>
      <c r="P38" s="166"/>
      <c r="Q38" s="166"/>
      <c r="R38" s="161"/>
    </row>
    <row r="39" spans="1:18" s="162" customFormat="1" ht="15" customHeight="1">
      <c r="A39" s="156"/>
      <c r="B39" s="157"/>
      <c r="C39" s="165"/>
      <c r="D39" s="165"/>
      <c r="E39" s="165"/>
      <c r="F39" s="165"/>
      <c r="G39" s="165"/>
      <c r="H39" s="165"/>
      <c r="I39" s="165"/>
      <c r="J39" s="165"/>
      <c r="K39" s="165"/>
      <c r="L39" s="165"/>
      <c r="M39" s="165"/>
      <c r="N39" s="165"/>
      <c r="O39" s="165"/>
      <c r="P39" s="166"/>
      <c r="Q39" s="166"/>
      <c r="R39" s="161"/>
    </row>
    <row r="40" spans="1:18" s="162" customFormat="1" ht="15" customHeight="1">
      <c r="A40" s="156"/>
      <c r="B40" s="157"/>
      <c r="C40" s="165"/>
      <c r="D40" s="165"/>
      <c r="E40" s="165"/>
      <c r="F40" s="165"/>
      <c r="G40" s="165"/>
      <c r="H40" s="165"/>
      <c r="I40" s="165"/>
      <c r="J40" s="165"/>
      <c r="K40" s="165"/>
      <c r="L40" s="165"/>
      <c r="M40" s="165"/>
      <c r="N40" s="165"/>
      <c r="O40" s="165"/>
      <c r="P40" s="166"/>
      <c r="Q40" s="166"/>
      <c r="R40" s="161"/>
    </row>
    <row r="41" spans="1:18" s="162" customFormat="1" ht="12" customHeight="1">
      <c r="A41" s="156"/>
      <c r="B41" s="167"/>
      <c r="C41" s="168"/>
      <c r="D41" s="168"/>
      <c r="E41" s="168"/>
      <c r="F41" s="168"/>
      <c r="G41" s="168"/>
      <c r="H41" s="168"/>
      <c r="I41" s="168"/>
      <c r="J41" s="168"/>
      <c r="K41" s="168"/>
      <c r="L41" s="168"/>
      <c r="M41" s="168"/>
      <c r="N41" s="168"/>
      <c r="O41" s="168"/>
      <c r="P41" s="169"/>
      <c r="Q41" s="169"/>
      <c r="R41" s="170"/>
    </row>
    <row r="42" spans="1:18" ht="15.35">
      <c r="G42" s="50"/>
      <c r="J42" s="50"/>
      <c r="K42" s="1"/>
      <c r="L42" s="1"/>
      <c r="M42" s="1"/>
      <c r="N42" s="1"/>
      <c r="O42" s="1"/>
      <c r="P42" s="17"/>
      <c r="Q42" s="17"/>
    </row>
    <row r="43" spans="1:18" ht="15.35">
      <c r="G43" s="234"/>
      <c r="H43" s="175"/>
      <c r="I43" s="1"/>
      <c r="J43" s="1"/>
      <c r="K43" s="1"/>
      <c r="L43" s="1"/>
      <c r="M43" s="1"/>
      <c r="N43" s="1"/>
      <c r="O43" s="1"/>
      <c r="P43" s="17"/>
      <c r="Q43" s="17"/>
    </row>
    <row r="44" spans="1:18">
      <c r="H44" s="1"/>
      <c r="I44" s="1"/>
      <c r="J44" s="1"/>
    </row>
    <row r="48" spans="1:18" s="162" customFormat="1">
      <c r="A48" s="156"/>
    </row>
    <row r="49" spans="1:1" s="162" customFormat="1">
      <c r="A49" s="156"/>
    </row>
    <row r="50" spans="1:1" s="162" customFormat="1">
      <c r="A50" s="156"/>
    </row>
    <row r="51" spans="1:1" s="162" customFormat="1">
      <c r="A51" s="156"/>
    </row>
    <row r="52" spans="1:1" s="162" customFormat="1">
      <c r="A52" s="156"/>
    </row>
    <row r="53" spans="1:1" s="199" customFormat="1">
      <c r="A53" s="156"/>
    </row>
    <row r="54" spans="1:1" s="199" customFormat="1">
      <c r="A54" s="156"/>
    </row>
    <row r="55" spans="1:1" s="199" customFormat="1">
      <c r="A55" s="156"/>
    </row>
    <row r="56" spans="1:1" s="199" customFormat="1">
      <c r="A56" s="156"/>
    </row>
    <row r="57" spans="1:1" s="199" customFormat="1">
      <c r="A57" s="156"/>
    </row>
    <row r="58" spans="1:1" s="199" customFormat="1">
      <c r="A58" s="156"/>
    </row>
    <row r="59" spans="1:1" s="199" customFormat="1">
      <c r="A59" s="156"/>
    </row>
    <row r="60" spans="1:1" s="199" customFormat="1">
      <c r="A60" s="156"/>
    </row>
    <row r="61" spans="1:1" s="199" customFormat="1">
      <c r="A61" s="156"/>
    </row>
    <row r="62" spans="1:1" s="199" customFormat="1">
      <c r="A62" s="156"/>
    </row>
    <row r="63" spans="1:1" s="199" customFormat="1">
      <c r="A63" s="156"/>
    </row>
    <row r="64" spans="1:1" s="199" customFormat="1">
      <c r="A64" s="156"/>
    </row>
    <row r="65" spans="1:1" s="162" customFormat="1">
      <c r="A65" s="156"/>
    </row>
    <row r="66" spans="1:1" s="162" customFormat="1">
      <c r="A66" s="156"/>
    </row>
    <row r="67" spans="1:1" s="162" customFormat="1">
      <c r="A67" s="156"/>
    </row>
    <row r="68" spans="1:1" s="162" customFormat="1">
      <c r="A68" s="156"/>
    </row>
    <row r="69" spans="1:1" s="162" customFormat="1">
      <c r="A69" s="156"/>
    </row>
    <row r="70" spans="1:1" s="162" customFormat="1">
      <c r="A70" s="156"/>
    </row>
    <row r="71" spans="1:1" s="162" customFormat="1">
      <c r="A71" s="156"/>
    </row>
    <row r="72" spans="1:1" s="162" customFormat="1">
      <c r="A72" s="156"/>
    </row>
    <row r="73" spans="1:1" s="162" customFormat="1">
      <c r="A73" s="156"/>
    </row>
    <row r="74" spans="1:1" s="162" customFormat="1">
      <c r="A74" s="156"/>
    </row>
    <row r="75" spans="1:1" s="162" customFormat="1">
      <c r="A75" s="156"/>
    </row>
    <row r="76" spans="1:1" s="162" customFormat="1">
      <c r="A76" s="156"/>
    </row>
    <row r="77" spans="1:1" s="162" customFormat="1">
      <c r="A77" s="156"/>
    </row>
    <row r="78" spans="1:1" s="162" customFormat="1">
      <c r="A78" s="156"/>
    </row>
    <row r="79" spans="1:1" s="162" customFormat="1">
      <c r="A79" s="156"/>
    </row>
    <row r="80" spans="1:1" s="162" customFormat="1">
      <c r="A80" s="156"/>
    </row>
    <row r="81" spans="1:1" s="162" customFormat="1">
      <c r="A81" s="156"/>
    </row>
    <row r="82" spans="1:1" s="162" customFormat="1">
      <c r="A82" s="156"/>
    </row>
    <row r="83" spans="1:1" s="162" customFormat="1">
      <c r="A83" s="156"/>
    </row>
    <row r="84" spans="1:1" s="162" customFormat="1">
      <c r="A84" s="156"/>
    </row>
    <row r="85" spans="1:1" s="162" customFormat="1">
      <c r="A85" s="156"/>
    </row>
    <row r="86" spans="1:1" s="162" customFormat="1">
      <c r="A86" s="156"/>
    </row>
    <row r="87" spans="1:1" s="162" customFormat="1">
      <c r="A87" s="156"/>
    </row>
    <row r="88" spans="1:1" s="162" customFormat="1">
      <c r="A88" s="156"/>
    </row>
    <row r="89" spans="1:1" s="162" customFormat="1">
      <c r="A89" s="156"/>
    </row>
    <row r="90" spans="1:1" s="162" customFormat="1">
      <c r="A90" s="156"/>
    </row>
    <row r="91" spans="1:1" s="162" customFormat="1">
      <c r="A91" s="156"/>
    </row>
    <row r="92" spans="1:1" s="162" customFormat="1">
      <c r="A92" s="156"/>
    </row>
    <row r="93" spans="1:1" s="162" customFormat="1">
      <c r="A93" s="156"/>
    </row>
    <row r="94" spans="1:1" s="162" customFormat="1">
      <c r="A94" s="156"/>
    </row>
    <row r="95" spans="1:1" s="162" customFormat="1">
      <c r="A95" s="156"/>
    </row>
    <row r="96" spans="1:1" s="162" customFormat="1">
      <c r="A96" s="156"/>
    </row>
    <row r="97" spans="1:1" s="162" customFormat="1">
      <c r="A97" s="156"/>
    </row>
    <row r="98" spans="1:1" s="162" customFormat="1">
      <c r="A98" s="156"/>
    </row>
    <row r="99" spans="1:1" s="162" customFormat="1">
      <c r="A99" s="156"/>
    </row>
    <row r="100" spans="1:1" s="162" customFormat="1">
      <c r="A100" s="156"/>
    </row>
    <row r="101" spans="1:1" s="162" customFormat="1">
      <c r="A101" s="156"/>
    </row>
    <row r="102" spans="1:1" s="162" customFormat="1">
      <c r="A102" s="156"/>
    </row>
    <row r="103" spans="1:1" s="162" customFormat="1">
      <c r="A103" s="156"/>
    </row>
    <row r="104" spans="1:1" s="162" customFormat="1">
      <c r="A104" s="156"/>
    </row>
  </sheetData>
  <mergeCells count="3">
    <mergeCell ref="O12:Q12"/>
    <mergeCell ref="E12:M12"/>
    <mergeCell ref="C8:Q8"/>
  </mergeCells>
  <pageMargins left="0.70866141732283472" right="0.70866141732283472" top="0.74803149606299213" bottom="0.74803149606299213" header="0.31496062992125984" footer="0.31496062992125984"/>
  <pageSetup paperSize="9" scale="54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7">
    <tabColor theme="4" tint="0.79998168889431442"/>
    <pageSetUpPr fitToPage="1"/>
  </sheetPr>
  <dimension ref="A1:AD76"/>
  <sheetViews>
    <sheetView showGridLines="0" zoomScale="85" zoomScaleNormal="85" workbookViewId="0">
      <selection activeCell="U8" sqref="U8"/>
    </sheetView>
  </sheetViews>
  <sheetFormatPr baseColWidth="10" defaultColWidth="11.41015625" defaultRowHeight="14.35"/>
  <cols>
    <col min="1" max="1" width="2.87890625" style="62" customWidth="1"/>
    <col min="2" max="2" width="4.29296875" style="55" customWidth="1"/>
    <col min="3" max="3" width="14.29296875" style="55" customWidth="1"/>
    <col min="4" max="9" width="11.41015625" style="55" customWidth="1"/>
    <col min="10" max="11" width="18.5859375" style="55" customWidth="1"/>
    <col min="12" max="12" width="4.29296875" style="55" customWidth="1"/>
    <col min="13" max="16" width="11.41015625" style="55" customWidth="1"/>
    <col min="17" max="17" width="14.29296875" style="55" customWidth="1"/>
    <col min="18" max="18" width="21.41015625" style="55" customWidth="1"/>
    <col min="19" max="19" width="4.29296875" style="55" customWidth="1"/>
    <col min="20" max="20" width="2.87890625" style="55" customWidth="1"/>
    <col min="21" max="27" width="11.41015625" style="55" customWidth="1"/>
    <col min="28" max="16384" width="11.41015625" style="55"/>
  </cols>
  <sheetData>
    <row r="1" spans="1:30"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</row>
    <row r="2" spans="1:30">
      <c r="B2" s="63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5"/>
    </row>
    <row r="3" spans="1:30">
      <c r="B3" s="67"/>
      <c r="S3" s="68"/>
    </row>
    <row r="4" spans="1:30">
      <c r="B4" s="67"/>
      <c r="H4" s="37"/>
      <c r="S4" s="68"/>
    </row>
    <row r="5" spans="1:30">
      <c r="B5" s="67"/>
      <c r="S5" s="68"/>
    </row>
    <row r="6" spans="1:30">
      <c r="B6" s="67"/>
      <c r="S6" s="68"/>
    </row>
    <row r="7" spans="1:30">
      <c r="B7" s="67"/>
      <c r="S7" s="68"/>
    </row>
    <row r="8" spans="1:30" s="89" customFormat="1" ht="60" customHeight="1">
      <c r="A8" s="62"/>
      <c r="B8" s="67"/>
      <c r="C8" s="279" t="str">
        <f>'Page de garde'!C13&amp;" : Détail des Prestations Réglées - Synthèse par famille d'actes"</f>
        <v>47500207 - 47502122 - 47525653 - 47530591 : Détail des Prestations Réglées - Synthèse par famille d'actes</v>
      </c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280"/>
      <c r="Q8" s="280"/>
      <c r="R8" s="281"/>
      <c r="S8" s="68"/>
    </row>
    <row r="9" spans="1:30" ht="11.25" customHeight="1">
      <c r="B9" s="67"/>
      <c r="S9" s="68"/>
    </row>
    <row r="10" spans="1:30" ht="7.5" customHeight="1">
      <c r="B10" s="67"/>
      <c r="S10" s="68"/>
    </row>
    <row r="11" spans="1:30">
      <c r="B11" s="67"/>
      <c r="D11" s="298" t="s">
        <v>161</v>
      </c>
      <c r="E11" s="298"/>
      <c r="F11" s="298"/>
      <c r="G11" s="298"/>
      <c r="H11" s="298"/>
      <c r="I11" s="298"/>
      <c r="J11" s="298"/>
      <c r="K11" s="298"/>
      <c r="L11" s="298"/>
      <c r="M11" s="298"/>
      <c r="N11" s="298"/>
      <c r="O11" s="298"/>
      <c r="P11" s="298"/>
      <c r="Q11" s="298"/>
      <c r="S11" s="68"/>
    </row>
    <row r="12" spans="1:30">
      <c r="B12" s="67"/>
      <c r="S12" s="68"/>
      <c r="AD12" s="78"/>
    </row>
    <row r="13" spans="1:30" s="76" customFormat="1">
      <c r="A13" s="75"/>
      <c r="B13" s="67"/>
      <c r="D13" s="298" t="s">
        <v>162</v>
      </c>
      <c r="E13" s="298"/>
      <c r="F13" s="298"/>
      <c r="G13" s="298"/>
      <c r="H13" s="79"/>
      <c r="O13" s="298" t="s">
        <v>163</v>
      </c>
      <c r="P13" s="298"/>
      <c r="Q13" s="298"/>
      <c r="S13" s="68"/>
    </row>
    <row r="14" spans="1:30">
      <c r="B14" s="67"/>
      <c r="C14" s="62"/>
      <c r="D14" s="62"/>
      <c r="E14" s="80"/>
      <c r="F14" s="80"/>
      <c r="G14" s="80"/>
      <c r="H14" s="80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8"/>
    </row>
    <row r="15" spans="1:30">
      <c r="B15" s="67"/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62"/>
      <c r="Q15" s="62"/>
      <c r="R15" s="62"/>
      <c r="S15" s="68"/>
    </row>
    <row r="16" spans="1:30">
      <c r="B16" s="67"/>
      <c r="C16" s="62"/>
      <c r="D16" s="62"/>
      <c r="E16" s="62"/>
      <c r="F16" s="77"/>
      <c r="G16" s="77"/>
      <c r="H16" s="77"/>
      <c r="I16" s="77"/>
      <c r="J16" s="77"/>
      <c r="K16" s="77"/>
      <c r="L16" s="77"/>
      <c r="M16" s="77"/>
      <c r="N16" s="62"/>
      <c r="O16" s="62"/>
      <c r="P16" s="62"/>
      <c r="Q16" s="62"/>
      <c r="R16" s="62"/>
      <c r="S16" s="68"/>
    </row>
    <row r="17" spans="1:19">
      <c r="B17" s="67"/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62"/>
      <c r="Q17" s="62"/>
      <c r="R17" s="62"/>
      <c r="S17" s="68"/>
    </row>
    <row r="18" spans="1:19">
      <c r="B18" s="67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8"/>
    </row>
    <row r="19" spans="1:19">
      <c r="B19" s="67"/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8"/>
    </row>
    <row r="20" spans="1:19">
      <c r="B20" s="67"/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68"/>
    </row>
    <row r="21" spans="1:19">
      <c r="B21" s="67"/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8"/>
    </row>
    <row r="22" spans="1:19">
      <c r="B22" s="67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8"/>
    </row>
    <row r="23" spans="1:19">
      <c r="B23" s="67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8"/>
    </row>
    <row r="24" spans="1:19">
      <c r="B24" s="67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8"/>
    </row>
    <row r="25" spans="1:19">
      <c r="B25" s="67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8"/>
    </row>
    <row r="26" spans="1:19">
      <c r="B26" s="67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8"/>
    </row>
    <row r="27" spans="1:19">
      <c r="B27" s="67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8"/>
    </row>
    <row r="28" spans="1:19">
      <c r="B28" s="67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8"/>
    </row>
    <row r="29" spans="1:19" s="76" customFormat="1">
      <c r="A29" s="75"/>
      <c r="B29" s="67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  <c r="N29" s="75"/>
      <c r="O29" s="75"/>
      <c r="P29" s="75"/>
      <c r="Q29" s="75"/>
      <c r="R29" s="75"/>
      <c r="S29" s="68"/>
    </row>
    <row r="30" spans="1:19">
      <c r="B30" s="67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8"/>
    </row>
    <row r="31" spans="1:19" s="76" customFormat="1">
      <c r="A31" s="75"/>
      <c r="B31" s="67"/>
      <c r="C31" s="75"/>
      <c r="D31" s="299" t="s">
        <v>164</v>
      </c>
      <c r="E31" s="299"/>
      <c r="F31" s="299"/>
      <c r="G31" s="299"/>
      <c r="H31" s="75"/>
      <c r="I31" s="75"/>
      <c r="L31" s="75"/>
      <c r="M31" s="75"/>
      <c r="O31" s="154" t="s">
        <v>165</v>
      </c>
      <c r="P31" s="81"/>
      <c r="Q31" s="81"/>
      <c r="R31" s="75"/>
      <c r="S31" s="68"/>
    </row>
    <row r="32" spans="1:19" s="152" customFormat="1" ht="23.35">
      <c r="B32" s="96"/>
      <c r="J32" s="153" t="s">
        <v>166</v>
      </c>
      <c r="K32" s="153" t="s">
        <v>167</v>
      </c>
      <c r="S32" s="97"/>
    </row>
    <row r="33" spans="2:19">
      <c r="B33" s="67"/>
      <c r="H33" s="79"/>
      <c r="K33" s="86"/>
      <c r="S33" s="68"/>
    </row>
    <row r="34" spans="2:19">
      <c r="B34" s="67"/>
      <c r="C34" s="62"/>
      <c r="D34" s="62"/>
      <c r="E34" s="62">
        <v>0</v>
      </c>
      <c r="F34" s="62"/>
      <c r="G34" s="62"/>
      <c r="H34" s="62"/>
      <c r="I34" s="62"/>
      <c r="J34" s="82">
        <v>0.90061804561136072</v>
      </c>
      <c r="K34" s="83"/>
      <c r="L34" s="62"/>
      <c r="M34" s="62"/>
      <c r="N34" s="62"/>
      <c r="O34" s="62"/>
      <c r="P34" s="62"/>
      <c r="Q34" s="62"/>
      <c r="R34" s="62"/>
      <c r="S34" s="68"/>
    </row>
    <row r="35" spans="2:19">
      <c r="B35" s="67"/>
      <c r="C35" s="62"/>
      <c r="D35" s="62"/>
      <c r="E35" s="62"/>
      <c r="F35" s="62"/>
      <c r="G35" s="62"/>
      <c r="H35" s="62"/>
      <c r="I35" s="62"/>
      <c r="J35" s="82">
        <v>0.96156814992515183</v>
      </c>
      <c r="K35" s="83"/>
      <c r="L35" s="62"/>
      <c r="M35" s="62"/>
      <c r="N35" s="62"/>
      <c r="O35" s="62"/>
      <c r="P35" s="62"/>
      <c r="Q35" s="62"/>
      <c r="R35" s="62"/>
      <c r="S35" s="68"/>
    </row>
    <row r="36" spans="2:19">
      <c r="B36" s="67"/>
      <c r="C36" s="62"/>
      <c r="D36" s="62"/>
      <c r="E36" s="62"/>
      <c r="F36" s="62"/>
      <c r="G36" s="62"/>
      <c r="H36" s="62"/>
      <c r="I36" s="62"/>
      <c r="J36" s="82">
        <v>0.84127216101238123</v>
      </c>
      <c r="K36" s="83"/>
      <c r="L36" s="62"/>
      <c r="M36" s="62"/>
      <c r="N36" s="62"/>
      <c r="O36" s="62"/>
      <c r="P36" s="62"/>
      <c r="Q36" s="62"/>
      <c r="R36" s="62"/>
      <c r="S36" s="68"/>
    </row>
    <row r="37" spans="2:19">
      <c r="B37" s="67"/>
      <c r="C37" s="62"/>
      <c r="D37" s="62"/>
      <c r="E37" s="62"/>
      <c r="F37" s="62"/>
      <c r="G37" s="62"/>
      <c r="H37" s="62"/>
      <c r="I37" s="62"/>
      <c r="J37" s="82">
        <v>0.94150358888457708</v>
      </c>
      <c r="K37" s="83"/>
      <c r="L37" s="62"/>
      <c r="M37" s="62"/>
      <c r="N37" s="62"/>
      <c r="O37" s="62"/>
      <c r="P37" s="62"/>
      <c r="Q37" s="62"/>
      <c r="R37" s="62"/>
      <c r="S37" s="68"/>
    </row>
    <row r="38" spans="2:19">
      <c r="B38" s="67"/>
      <c r="C38" s="62"/>
      <c r="D38" s="62"/>
      <c r="E38" s="62"/>
      <c r="F38" s="62"/>
      <c r="G38" s="62"/>
      <c r="H38" s="62"/>
      <c r="I38" s="62"/>
      <c r="J38" s="82">
        <v>0.8456081466114036</v>
      </c>
      <c r="K38" s="83"/>
      <c r="L38" s="62"/>
      <c r="M38" s="62"/>
      <c r="N38" s="62"/>
      <c r="O38" s="62"/>
      <c r="P38" s="62"/>
      <c r="Q38" s="62"/>
      <c r="R38" s="62"/>
      <c r="S38" s="68"/>
    </row>
    <row r="39" spans="2:19">
      <c r="B39" s="67"/>
      <c r="C39" s="62"/>
      <c r="D39" s="62"/>
      <c r="E39" s="62"/>
      <c r="F39" s="62"/>
      <c r="G39" s="62"/>
      <c r="H39" s="62"/>
      <c r="I39" s="62"/>
      <c r="J39" s="82">
        <v>0.94524568262207487</v>
      </c>
      <c r="K39" s="83"/>
      <c r="L39" s="62"/>
      <c r="M39" s="62"/>
      <c r="N39" s="62"/>
      <c r="O39" s="62"/>
      <c r="P39" s="62"/>
      <c r="Q39" s="62"/>
      <c r="R39" s="62"/>
      <c r="S39" s="68"/>
    </row>
    <row r="40" spans="2:19">
      <c r="B40" s="67"/>
      <c r="C40" s="62"/>
      <c r="D40" s="62"/>
      <c r="E40" s="62"/>
      <c r="F40" s="62"/>
      <c r="G40" s="62"/>
      <c r="H40" s="62"/>
      <c r="I40" s="62"/>
      <c r="J40" s="82">
        <v>0.9232653610422904</v>
      </c>
      <c r="K40" s="83"/>
      <c r="L40" s="62"/>
      <c r="M40" s="62"/>
      <c r="N40" s="62"/>
      <c r="O40" s="62"/>
      <c r="P40" s="62"/>
      <c r="Q40" s="62"/>
      <c r="R40" s="62"/>
      <c r="S40" s="68"/>
    </row>
    <row r="41" spans="2:19">
      <c r="B41" s="67"/>
      <c r="C41" s="62"/>
      <c r="D41" s="62"/>
      <c r="E41" s="62"/>
      <c r="F41" s="62"/>
      <c r="G41" s="62"/>
      <c r="H41" s="62"/>
      <c r="I41" s="62"/>
      <c r="J41" s="82">
        <v>0.92832578214443073</v>
      </c>
      <c r="K41" s="83"/>
      <c r="L41" s="62"/>
      <c r="M41" s="62"/>
      <c r="N41" s="62"/>
      <c r="O41" s="62"/>
      <c r="P41" s="62"/>
      <c r="Q41" s="62"/>
      <c r="R41" s="62"/>
      <c r="S41" s="68"/>
    </row>
    <row r="42" spans="2:19">
      <c r="B42" s="67"/>
      <c r="C42" s="62"/>
      <c r="D42" s="62"/>
      <c r="E42" s="62"/>
      <c r="F42" s="62"/>
      <c r="G42" s="62"/>
      <c r="H42" s="62"/>
      <c r="I42" s="62"/>
      <c r="J42" s="82">
        <v>0.62398769977502344</v>
      </c>
      <c r="K42" s="83">
        <v>0.62398769977502355</v>
      </c>
      <c r="L42" s="62"/>
      <c r="M42" s="62"/>
      <c r="N42" s="62"/>
      <c r="O42" s="62"/>
      <c r="P42" s="62"/>
      <c r="Q42" s="62"/>
      <c r="R42" s="62"/>
      <c r="S42" s="68"/>
    </row>
    <row r="43" spans="2:19">
      <c r="B43" s="67"/>
      <c r="C43" s="62"/>
      <c r="D43" s="62"/>
      <c r="E43" s="62"/>
      <c r="F43" s="62"/>
      <c r="G43" s="62"/>
      <c r="H43" s="62"/>
      <c r="I43" s="62"/>
      <c r="J43" s="82">
        <v>0.68167768501362702</v>
      </c>
      <c r="K43" s="83">
        <v>0.68167768501362691</v>
      </c>
      <c r="L43" s="62"/>
      <c r="M43" s="62"/>
      <c r="N43" s="62"/>
      <c r="O43" s="62"/>
      <c r="P43" s="62"/>
      <c r="Q43" s="62"/>
      <c r="R43" s="62"/>
      <c r="S43" s="68"/>
    </row>
    <row r="44" spans="2:19">
      <c r="B44" s="67"/>
      <c r="C44" s="62"/>
      <c r="D44" s="62"/>
      <c r="E44" s="62"/>
      <c r="F44" s="62"/>
      <c r="G44" s="62"/>
      <c r="H44" s="62"/>
      <c r="I44" s="62"/>
      <c r="J44" s="82"/>
      <c r="K44" s="83"/>
      <c r="L44" s="62"/>
      <c r="M44" s="62"/>
      <c r="N44" s="62"/>
      <c r="O44" s="62"/>
      <c r="P44" s="62"/>
      <c r="Q44" s="62"/>
      <c r="R44" s="62"/>
      <c r="S44" s="68"/>
    </row>
    <row r="45" spans="2:19">
      <c r="B45" s="67"/>
      <c r="C45" s="62"/>
      <c r="D45" s="62"/>
      <c r="E45" s="62"/>
      <c r="F45" s="62"/>
      <c r="G45" s="62"/>
      <c r="H45" s="62"/>
      <c r="I45" s="62"/>
      <c r="J45" s="82"/>
      <c r="K45" s="83"/>
      <c r="L45" s="62"/>
      <c r="M45" s="62"/>
      <c r="N45" s="62"/>
      <c r="O45" s="62"/>
      <c r="P45" s="62"/>
      <c r="Q45" s="62"/>
      <c r="R45" s="62"/>
      <c r="S45" s="68"/>
    </row>
    <row r="46" spans="2:19">
      <c r="B46" s="67"/>
      <c r="C46" s="62"/>
      <c r="D46" s="62"/>
      <c r="E46" s="62"/>
      <c r="F46" s="62"/>
      <c r="G46" s="62"/>
      <c r="H46" s="62"/>
      <c r="I46" s="62"/>
      <c r="J46" s="82"/>
      <c r="K46" s="83"/>
      <c r="L46" s="62"/>
      <c r="M46" s="62"/>
      <c r="N46" s="62"/>
      <c r="O46" s="62"/>
      <c r="P46" s="62"/>
      <c r="Q46" s="62"/>
      <c r="R46" s="62"/>
      <c r="S46" s="68"/>
    </row>
    <row r="47" spans="2:19">
      <c r="B47" s="67"/>
      <c r="C47" s="62"/>
      <c r="D47" s="62"/>
      <c r="E47" s="62"/>
      <c r="F47" s="62"/>
      <c r="G47" s="62"/>
      <c r="H47" s="62"/>
      <c r="I47" s="62"/>
      <c r="J47" s="82"/>
      <c r="K47" s="83"/>
      <c r="L47" s="62"/>
      <c r="M47" s="62"/>
      <c r="N47" s="62"/>
      <c r="O47" s="62"/>
      <c r="P47" s="62"/>
      <c r="Q47" s="62"/>
      <c r="R47" s="62"/>
      <c r="S47" s="68"/>
    </row>
    <row r="48" spans="2:19">
      <c r="B48" s="67"/>
      <c r="C48" s="62"/>
      <c r="D48" s="62"/>
      <c r="E48" s="62"/>
      <c r="F48" s="62"/>
      <c r="G48" s="62"/>
      <c r="H48" s="62"/>
      <c r="I48" s="62"/>
      <c r="J48" s="82"/>
      <c r="K48" s="83"/>
      <c r="L48" s="62"/>
      <c r="M48" s="62"/>
      <c r="N48" s="62"/>
      <c r="O48" s="62"/>
      <c r="P48" s="62"/>
      <c r="Q48" s="62"/>
      <c r="R48" s="62"/>
      <c r="S48" s="68"/>
    </row>
    <row r="49" spans="2:19">
      <c r="B49" s="67"/>
      <c r="C49" s="62"/>
      <c r="D49" s="62"/>
      <c r="E49" s="62"/>
      <c r="F49" s="62"/>
      <c r="G49" s="62"/>
      <c r="H49" s="62"/>
      <c r="I49" s="62"/>
      <c r="J49" s="87"/>
      <c r="K49" s="85"/>
      <c r="L49" s="62"/>
      <c r="M49" s="62"/>
      <c r="N49" s="62"/>
      <c r="O49" s="62"/>
      <c r="P49" s="62"/>
      <c r="Q49" s="62"/>
      <c r="R49" s="62"/>
      <c r="S49" s="68"/>
    </row>
    <row r="50" spans="2:19">
      <c r="B50" s="67"/>
      <c r="J50" s="86"/>
      <c r="K50" s="86"/>
      <c r="S50" s="68"/>
    </row>
    <row r="51" spans="2:19">
      <c r="B51" s="69"/>
      <c r="C51" s="70"/>
      <c r="D51" s="70"/>
      <c r="E51" s="70"/>
      <c r="F51" s="70"/>
      <c r="G51" s="70"/>
      <c r="H51" s="70"/>
      <c r="I51" s="70"/>
      <c r="J51" s="88"/>
      <c r="K51" s="90"/>
      <c r="L51" s="70"/>
      <c r="M51" s="70"/>
      <c r="N51" s="70"/>
      <c r="O51" s="70"/>
      <c r="P51" s="70"/>
      <c r="Q51" s="70"/>
      <c r="R51" s="70"/>
      <c r="S51" s="71"/>
    </row>
    <row r="66" spans="5:14">
      <c r="E66" s="203"/>
      <c r="F66" s="204" t="s">
        <v>168</v>
      </c>
      <c r="G66" s="204" t="s">
        <v>169</v>
      </c>
      <c r="H66" s="204" t="s">
        <v>81</v>
      </c>
      <c r="I66" s="204" t="s">
        <v>79</v>
      </c>
      <c r="J66" s="204" t="s">
        <v>170</v>
      </c>
      <c r="K66" s="204" t="s">
        <v>81</v>
      </c>
      <c r="L66" s="204" t="s">
        <v>171</v>
      </c>
      <c r="M66" s="204" t="s">
        <v>168</v>
      </c>
      <c r="N66" s="204" t="s">
        <v>169</v>
      </c>
    </row>
    <row r="67" spans="5:14">
      <c r="E67" s="203" t="s">
        <v>242</v>
      </c>
      <c r="F67" s="203">
        <v>9942.1199999999899</v>
      </c>
      <c r="G67" s="203">
        <v>0</v>
      </c>
      <c r="H67" s="203">
        <v>9942.1199999999899</v>
      </c>
      <c r="I67" s="203">
        <v>10875.83</v>
      </c>
      <c r="J67" s="203">
        <v>118.34</v>
      </c>
      <c r="K67" s="203">
        <v>9942.1199999999899</v>
      </c>
      <c r="L67" s="203">
        <v>1616.4500000000116</v>
      </c>
      <c r="M67" s="203">
        <v>18.14255474452553</v>
      </c>
      <c r="N67" s="203"/>
    </row>
    <row r="68" spans="5:14">
      <c r="E68" s="203" t="s">
        <v>85</v>
      </c>
      <c r="F68" s="203">
        <v>15607.720000000099</v>
      </c>
      <c r="G68" s="203">
        <v>0</v>
      </c>
      <c r="H68" s="203">
        <v>15607.720000000099</v>
      </c>
      <c r="I68" s="203">
        <v>4702.8900000000103</v>
      </c>
      <c r="J68" s="203">
        <v>0</v>
      </c>
      <c r="K68" s="203">
        <v>15607.720000000099</v>
      </c>
      <c r="L68" s="203">
        <v>1688.0599999997903</v>
      </c>
      <c r="M68" s="203">
        <v>30.189013539652031</v>
      </c>
      <c r="N68" s="203"/>
    </row>
    <row r="69" spans="5:14">
      <c r="E69" s="203" t="s">
        <v>92</v>
      </c>
      <c r="F69" s="203">
        <v>422.61</v>
      </c>
      <c r="G69" s="203">
        <v>0</v>
      </c>
      <c r="H69" s="203">
        <v>422.61</v>
      </c>
      <c r="I69" s="203">
        <v>440.56</v>
      </c>
      <c r="J69" s="203">
        <v>0</v>
      </c>
      <c r="K69" s="203">
        <v>422.61</v>
      </c>
      <c r="L69" s="203">
        <v>49.999999999999943</v>
      </c>
      <c r="M69" s="203">
        <v>70.435000000000002</v>
      </c>
      <c r="N69" s="203"/>
    </row>
    <row r="70" spans="5:14">
      <c r="E70" s="203" t="s">
        <v>95</v>
      </c>
      <c r="F70" s="203">
        <v>95951.069999999992</v>
      </c>
      <c r="G70" s="203">
        <v>0</v>
      </c>
      <c r="H70" s="203">
        <v>95951.069999999992</v>
      </c>
      <c r="I70" s="203">
        <v>30315.259999999969</v>
      </c>
      <c r="J70" s="203">
        <v>7063.59</v>
      </c>
      <c r="K70" s="203">
        <v>95951.069999999992</v>
      </c>
      <c r="L70" s="203">
        <v>24343.490000000049</v>
      </c>
      <c r="M70" s="203">
        <v>106.25810631229236</v>
      </c>
      <c r="N70" s="203"/>
    </row>
    <row r="71" spans="5:14">
      <c r="E71" s="203" t="s">
        <v>120</v>
      </c>
      <c r="F71" s="203">
        <v>20733.629999999997</v>
      </c>
      <c r="G71" s="203">
        <v>0</v>
      </c>
      <c r="H71" s="203">
        <v>20733.629999999997</v>
      </c>
      <c r="I71" s="203">
        <v>25828.800000000003</v>
      </c>
      <c r="J71" s="203">
        <v>2517.2199999999998</v>
      </c>
      <c r="K71" s="203">
        <v>20733.629999999997</v>
      </c>
      <c r="L71" s="203">
        <v>3049.3599999999933</v>
      </c>
      <c r="M71" s="203">
        <v>61.161150442477869</v>
      </c>
      <c r="N71" s="203"/>
    </row>
    <row r="72" spans="5:14">
      <c r="E72" s="203" t="s">
        <v>136</v>
      </c>
      <c r="F72" s="203">
        <v>73332.040000000197</v>
      </c>
      <c r="G72" s="203">
        <v>0</v>
      </c>
      <c r="H72" s="203">
        <v>73332.040000000197</v>
      </c>
      <c r="I72" s="203">
        <v>64.550000000000011</v>
      </c>
      <c r="J72" s="203">
        <v>2185.85</v>
      </c>
      <c r="K72" s="203">
        <v>73332.040000000197</v>
      </c>
      <c r="L72" s="203">
        <v>14260.589999999793</v>
      </c>
      <c r="M72" s="203">
        <v>187.54997442455294</v>
      </c>
      <c r="N72" s="203"/>
    </row>
    <row r="73" spans="5:14">
      <c r="E73" s="203" t="s">
        <v>149</v>
      </c>
      <c r="F73" s="203">
        <v>11046.9</v>
      </c>
      <c r="G73" s="203">
        <v>0</v>
      </c>
      <c r="H73" s="203">
        <v>11046.9</v>
      </c>
      <c r="I73" s="203">
        <v>0</v>
      </c>
      <c r="J73" s="203">
        <v>40</v>
      </c>
      <c r="K73" s="203">
        <v>11046.9</v>
      </c>
      <c r="L73" s="203">
        <v>443.1200000000008</v>
      </c>
      <c r="M73" s="203">
        <v>54.151470588235291</v>
      </c>
      <c r="N73" s="203"/>
    </row>
    <row r="74" spans="5:14">
      <c r="E74" s="203" t="s">
        <v>151</v>
      </c>
      <c r="F74" s="203">
        <v>151653.6800000004</v>
      </c>
      <c r="G74" s="203">
        <v>0</v>
      </c>
      <c r="H74" s="203">
        <v>151653.6800000004</v>
      </c>
      <c r="I74" s="203">
        <v>163902.670000004</v>
      </c>
      <c r="J74" s="203">
        <v>21636.100000000002</v>
      </c>
      <c r="K74" s="203">
        <v>151653.6800000004</v>
      </c>
      <c r="L74" s="203">
        <v>37208.719999992929</v>
      </c>
      <c r="M74" s="203">
        <v>6.0175255932069041</v>
      </c>
      <c r="N74" s="203"/>
    </row>
    <row r="75" spans="5:14">
      <c r="E75" s="203"/>
      <c r="F75" s="203"/>
      <c r="G75" s="203"/>
      <c r="H75" s="203"/>
      <c r="I75" s="203"/>
      <c r="J75" s="203"/>
      <c r="K75" s="203"/>
      <c r="L75" s="203"/>
      <c r="M75" s="203"/>
      <c r="N75" s="203"/>
    </row>
    <row r="76" spans="5:14">
      <c r="E76" s="203"/>
      <c r="F76" s="203"/>
      <c r="G76" s="203"/>
      <c r="H76" s="203"/>
      <c r="I76" s="203"/>
      <c r="J76" s="203"/>
      <c r="K76" s="203"/>
      <c r="L76" s="203"/>
      <c r="M76" s="203"/>
      <c r="N76" s="203"/>
    </row>
  </sheetData>
  <mergeCells count="5">
    <mergeCell ref="D11:Q11"/>
    <mergeCell ref="D13:G13"/>
    <mergeCell ref="O13:Q13"/>
    <mergeCell ref="D31:G31"/>
    <mergeCell ref="C8:R8"/>
  </mergeCells>
  <pageMargins left="0.70866141732283472" right="0.70866141732283472" top="0.74803149606299213" bottom="0.74803149606299213" header="0.31496062992125984" footer="0.31496062992125984"/>
  <pageSetup paperSize="9" scale="59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C90D3-1B7A-43D4-B7C5-873EF95D320C}">
  <sheetPr>
    <tabColor theme="4" tint="0.79998168889431442"/>
  </sheetPr>
  <dimension ref="A1:V29"/>
  <sheetViews>
    <sheetView showGridLines="0" zoomScale="70" zoomScaleNormal="70" workbookViewId="0">
      <selection activeCell="A17" sqref="A17:XFD17"/>
    </sheetView>
  </sheetViews>
  <sheetFormatPr baseColWidth="10" defaultColWidth="11.41015625" defaultRowHeight="14.35"/>
  <cols>
    <col min="1" max="1" width="2.87890625" style="207" customWidth="1"/>
    <col min="2" max="2" width="4.29296875" style="223" customWidth="1"/>
    <col min="3" max="3" width="10" style="223" customWidth="1"/>
    <col min="4" max="4" width="50.703125" style="223" customWidth="1"/>
    <col min="5" max="5" width="12" style="223" bestFit="1" customWidth="1"/>
    <col min="6" max="11" width="14.29296875" style="223" customWidth="1"/>
    <col min="12" max="12" width="15.703125" style="223" customWidth="1"/>
    <col min="13" max="13" width="10.703125" style="223" customWidth="1"/>
    <col min="14" max="14" width="1.41015625" style="223" customWidth="1"/>
    <col min="15" max="15" width="14.29296875" style="223" customWidth="1"/>
    <col min="16" max="16" width="15.703125" style="223" customWidth="1"/>
    <col min="17" max="17" width="10.703125" style="223" customWidth="1"/>
    <col min="18" max="18" width="4.29296875" style="223" customWidth="1"/>
    <col min="19" max="19" width="2.87890625" style="223" customWidth="1"/>
    <col min="20" max="21" width="11.41015625" style="223"/>
    <col min="22" max="22" width="16.703125" style="223" bestFit="1" customWidth="1"/>
    <col min="23" max="16384" width="11.41015625" style="223"/>
  </cols>
  <sheetData>
    <row r="1" spans="1:22">
      <c r="A1" s="207">
        <v>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</row>
    <row r="2" spans="1:22" ht="15" customHeight="1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1"/>
      <c r="V2" s="39"/>
    </row>
    <row r="3" spans="1:22" ht="15" customHeight="1">
      <c r="B3" s="212"/>
      <c r="R3" s="213"/>
    </row>
    <row r="4" spans="1:22" ht="15" customHeight="1">
      <c r="B4" s="212"/>
      <c r="R4" s="213"/>
    </row>
    <row r="5" spans="1:22" ht="15" customHeight="1">
      <c r="B5" s="212"/>
      <c r="R5" s="213"/>
    </row>
    <row r="6" spans="1:22" ht="15" customHeight="1" thickBot="1">
      <c r="B6" s="212"/>
      <c r="R6" s="213"/>
    </row>
    <row r="7" spans="1:22" ht="15" hidden="1" customHeight="1">
      <c r="B7" s="212"/>
      <c r="R7" s="213"/>
    </row>
    <row r="8" spans="1:22" ht="60" customHeight="1" thickBot="1">
      <c r="B8" s="212"/>
      <c r="C8" s="279" t="str">
        <f>'Page de garde'!C13&amp;" : Détail des Prestations Réglées - Synthèse par famille d'actes"</f>
        <v>47500207 - 47502122 - 47525653 - 47530591 : Détail des Prestations Réglées - Synthèse par famille d'actes</v>
      </c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280"/>
      <c r="Q8" s="281"/>
      <c r="R8" s="213"/>
    </row>
    <row r="9" spans="1:22">
      <c r="B9" s="212"/>
      <c r="R9" s="213"/>
    </row>
    <row r="10" spans="1:22">
      <c r="B10" s="212"/>
      <c r="R10" s="213"/>
    </row>
    <row r="11" spans="1:22" ht="14.7" thickBot="1">
      <c r="B11" s="212"/>
      <c r="R11" s="213"/>
    </row>
    <row r="12" spans="1:22" ht="14.7" thickBot="1">
      <c r="B12" s="212"/>
      <c r="C12" s="38"/>
      <c r="D12" s="38"/>
      <c r="E12" s="295" t="s">
        <v>75</v>
      </c>
      <c r="F12" s="296"/>
      <c r="G12" s="296"/>
      <c r="H12" s="296"/>
      <c r="I12" s="296"/>
      <c r="J12" s="296"/>
      <c r="K12" s="296"/>
      <c r="L12" s="296"/>
      <c r="M12" s="297"/>
      <c r="N12" s="36"/>
      <c r="O12" s="295" t="s">
        <v>301</v>
      </c>
      <c r="P12" s="296"/>
      <c r="Q12" s="297"/>
      <c r="R12" s="213"/>
    </row>
    <row r="13" spans="1:22" ht="14.7" thickBot="1">
      <c r="B13" s="212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213"/>
    </row>
    <row r="14" spans="1:22" ht="45" customHeight="1" thickBot="1">
      <c r="B14" s="212"/>
      <c r="C14" s="38"/>
      <c r="D14" s="38"/>
      <c r="E14" s="217" t="s">
        <v>76</v>
      </c>
      <c r="F14" s="217" t="s">
        <v>77</v>
      </c>
      <c r="G14" s="146" t="s">
        <v>78</v>
      </c>
      <c r="H14" s="217" t="s">
        <v>79</v>
      </c>
      <c r="I14" s="217" t="s">
        <v>80</v>
      </c>
      <c r="J14" s="217" t="s">
        <v>81</v>
      </c>
      <c r="K14" s="147" t="s">
        <v>82</v>
      </c>
      <c r="L14" s="147" t="s">
        <v>83</v>
      </c>
      <c r="M14" s="147" t="s">
        <v>84</v>
      </c>
      <c r="N14" s="36"/>
      <c r="O14" s="174" t="s">
        <v>82</v>
      </c>
      <c r="P14" s="174" t="s">
        <v>83</v>
      </c>
      <c r="Q14" s="147" t="s">
        <v>84</v>
      </c>
      <c r="R14" s="213"/>
    </row>
    <row r="15" spans="1:22" ht="15" customHeight="1" thickBot="1">
      <c r="B15" s="212"/>
      <c r="C15" s="158" t="s">
        <v>242</v>
      </c>
      <c r="D15" s="159"/>
      <c r="E15" s="72">
        <v>548</v>
      </c>
      <c r="F15" s="84">
        <v>1.1991247264770242</v>
      </c>
      <c r="G15" s="73">
        <v>22552.74</v>
      </c>
      <c r="H15" s="73">
        <v>10875.83</v>
      </c>
      <c r="I15" s="73">
        <v>118.34</v>
      </c>
      <c r="J15" s="73">
        <v>9942.1199999999899</v>
      </c>
      <c r="K15" s="73">
        <v>18.142554744525548</v>
      </c>
      <c r="L15" s="74">
        <v>1.0000000000000011</v>
      </c>
      <c r="M15" s="74">
        <v>0.92832578214443118</v>
      </c>
      <c r="N15" s="160"/>
      <c r="O15" s="73">
        <v>0</v>
      </c>
      <c r="P15" s="74">
        <v>0</v>
      </c>
      <c r="Q15" s="74">
        <v>0</v>
      </c>
      <c r="R15" s="213"/>
      <c r="T15" s="176"/>
    </row>
    <row r="16" spans="1:22" ht="15" customHeight="1" thickBot="1">
      <c r="B16" s="212"/>
      <c r="C16" s="239"/>
      <c r="D16" s="240" t="s">
        <v>241</v>
      </c>
      <c r="E16" s="241">
        <v>548</v>
      </c>
      <c r="F16" s="242">
        <v>1.1991247264770242</v>
      </c>
      <c r="G16" s="243">
        <v>22552.74</v>
      </c>
      <c r="H16" s="243">
        <v>10875.83</v>
      </c>
      <c r="I16" s="243">
        <v>118.34</v>
      </c>
      <c r="J16" s="243">
        <v>9942.1199999999899</v>
      </c>
      <c r="K16" s="243">
        <v>18.142554744525548</v>
      </c>
      <c r="L16" s="244">
        <v>1.0000000000000011</v>
      </c>
      <c r="M16" s="244">
        <v>0.92832578214443118</v>
      </c>
      <c r="N16" s="245"/>
      <c r="O16" s="243">
        <v>0</v>
      </c>
      <c r="P16" s="244">
        <v>0</v>
      </c>
      <c r="Q16" s="244">
        <v>0</v>
      </c>
      <c r="R16" s="213"/>
      <c r="T16" s="176"/>
    </row>
    <row r="17" spans="2:18" ht="15" customHeight="1" thickBot="1">
      <c r="B17" s="212"/>
      <c r="C17" s="163" t="s">
        <v>49</v>
      </c>
      <c r="D17" s="164"/>
      <c r="E17" s="148">
        <v>548</v>
      </c>
      <c r="F17" s="149">
        <v>1.1991247264770242</v>
      </c>
      <c r="G17" s="150">
        <v>22552.74</v>
      </c>
      <c r="H17" s="150">
        <v>10875.83</v>
      </c>
      <c r="I17" s="150">
        <v>118.34</v>
      </c>
      <c r="J17" s="150">
        <v>9942.1199999999899</v>
      </c>
      <c r="K17" s="150">
        <v>18.14255474452553</v>
      </c>
      <c r="L17" s="151">
        <v>1.0000000000000011</v>
      </c>
      <c r="M17" s="151">
        <v>0.92832578214443073</v>
      </c>
      <c r="N17" s="160"/>
      <c r="O17" s="150"/>
      <c r="P17" s="151">
        <v>0</v>
      </c>
      <c r="Q17" s="151"/>
      <c r="R17" s="213"/>
    </row>
    <row r="18" spans="2:18" ht="15" customHeight="1">
      <c r="B18" s="212"/>
      <c r="C18" s="165"/>
      <c r="D18" s="166"/>
      <c r="E18" s="166"/>
      <c r="F18" s="166"/>
      <c r="G18" s="166"/>
      <c r="H18" s="166"/>
      <c r="I18" s="166"/>
      <c r="J18" s="166"/>
      <c r="K18" s="166"/>
      <c r="L18" s="166"/>
      <c r="M18" s="166"/>
      <c r="N18" s="166"/>
      <c r="O18" s="166"/>
      <c r="P18" s="166"/>
      <c r="Q18" s="166"/>
      <c r="R18" s="213"/>
    </row>
    <row r="19" spans="2:18" ht="15" customHeight="1" thickBot="1">
      <c r="B19" s="212"/>
      <c r="C19" s="165"/>
      <c r="D19" s="166"/>
      <c r="E19" s="166"/>
      <c r="F19" s="166"/>
      <c r="G19" s="166"/>
      <c r="H19" s="166"/>
      <c r="I19" s="166"/>
      <c r="J19" s="166"/>
      <c r="K19" s="166"/>
      <c r="L19" s="166"/>
      <c r="M19" s="166"/>
      <c r="N19" s="166"/>
      <c r="O19" s="166"/>
      <c r="P19" s="166"/>
      <c r="Q19" s="166"/>
      <c r="R19" s="213"/>
    </row>
    <row r="20" spans="2:18" ht="15" customHeight="1" thickBot="1">
      <c r="B20" s="212"/>
      <c r="C20" s="164" t="s">
        <v>158</v>
      </c>
      <c r="D20" s="164"/>
      <c r="E20" s="165"/>
      <c r="F20" s="165"/>
      <c r="G20" s="165"/>
      <c r="H20" s="205">
        <v>0.51949999999999996</v>
      </c>
      <c r="I20" s="205">
        <v>5.7000000000000002E-3</v>
      </c>
      <c r="J20" s="205">
        <v>0.47480000000000006</v>
      </c>
      <c r="K20" s="165"/>
      <c r="L20" s="165"/>
      <c r="M20" s="165"/>
      <c r="N20" s="165"/>
      <c r="O20" s="165"/>
      <c r="P20" s="166"/>
      <c r="Q20" s="166"/>
      <c r="R20" s="213"/>
    </row>
    <row r="21" spans="2:18" ht="15" customHeight="1" thickBot="1">
      <c r="B21" s="212"/>
      <c r="C21" s="165"/>
      <c r="D21" s="165"/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  <c r="P21" s="166"/>
      <c r="Q21" s="166"/>
      <c r="R21" s="213"/>
    </row>
    <row r="22" spans="2:18" ht="15" customHeight="1" thickBot="1">
      <c r="B22" s="212"/>
      <c r="C22" s="164" t="s">
        <v>159</v>
      </c>
      <c r="D22" s="164"/>
      <c r="E22" s="165"/>
      <c r="F22" s="165"/>
      <c r="G22" s="150">
        <v>49.35</v>
      </c>
      <c r="H22" s="150">
        <v>23.8</v>
      </c>
      <c r="I22" s="150">
        <v>0.26</v>
      </c>
      <c r="J22" s="150">
        <v>21.76</v>
      </c>
      <c r="K22" s="165"/>
      <c r="L22" s="165"/>
      <c r="M22" s="165"/>
      <c r="N22" s="165"/>
      <c r="O22" s="165"/>
      <c r="P22" s="166"/>
      <c r="Q22" s="166"/>
      <c r="R22" s="213"/>
    </row>
    <row r="23" spans="2:18" ht="15" customHeight="1" thickBot="1">
      <c r="B23" s="212"/>
      <c r="C23" s="164" t="s">
        <v>160</v>
      </c>
      <c r="D23" s="164"/>
      <c r="E23" s="165"/>
      <c r="F23" s="165"/>
      <c r="G23" s="150">
        <v>76.45</v>
      </c>
      <c r="H23" s="150">
        <v>36.869999999999997</v>
      </c>
      <c r="I23" s="150">
        <v>0.4</v>
      </c>
      <c r="J23" s="150">
        <v>33.700000000000003</v>
      </c>
      <c r="K23" s="165"/>
      <c r="L23" s="165"/>
      <c r="M23" s="165"/>
      <c r="N23" s="165"/>
      <c r="O23" s="165"/>
      <c r="P23" s="166"/>
      <c r="Q23" s="166"/>
      <c r="R23" s="213"/>
    </row>
    <row r="24" spans="2:18" ht="15" customHeight="1">
      <c r="B24" s="212"/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6"/>
      <c r="Q24" s="166"/>
      <c r="R24" s="213"/>
    </row>
    <row r="25" spans="2:18" ht="15" customHeight="1">
      <c r="B25" s="212"/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6"/>
      <c r="Q25" s="166"/>
      <c r="R25" s="213"/>
    </row>
    <row r="26" spans="2:18" ht="12" customHeight="1">
      <c r="B26" s="214"/>
      <c r="C26" s="168"/>
      <c r="D26" s="168"/>
      <c r="E26" s="168"/>
      <c r="F26" s="168"/>
      <c r="G26" s="168"/>
      <c r="H26" s="168"/>
      <c r="I26" s="168"/>
      <c r="J26" s="168"/>
      <c r="K26" s="168"/>
      <c r="L26" s="168"/>
      <c r="M26" s="168"/>
      <c r="N26" s="168"/>
      <c r="O26" s="168"/>
      <c r="P26" s="169"/>
      <c r="Q26" s="169"/>
      <c r="R26" s="216"/>
    </row>
    <row r="27" spans="2:18" ht="15.35">
      <c r="G27" s="50"/>
      <c r="J27" s="50"/>
      <c r="K27" s="165"/>
      <c r="L27" s="165"/>
      <c r="M27" s="165"/>
      <c r="N27" s="165"/>
      <c r="O27" s="165"/>
      <c r="P27" s="166"/>
      <c r="Q27" s="166"/>
    </row>
    <row r="28" spans="2:18" ht="15.35">
      <c r="G28" s="234"/>
      <c r="H28" s="175"/>
      <c r="I28" s="165"/>
      <c r="J28" s="165"/>
      <c r="K28" s="165"/>
      <c r="L28" s="165"/>
      <c r="M28" s="165"/>
      <c r="N28" s="165"/>
      <c r="O28" s="165"/>
      <c r="P28" s="166"/>
      <c r="Q28" s="166"/>
    </row>
    <row r="29" spans="2:18">
      <c r="H29" s="165"/>
      <c r="I29" s="165"/>
      <c r="J29" s="165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29334-3F3E-4AED-AC8E-9086CEAC2586}">
  <sheetPr>
    <tabColor theme="4" tint="0.79998168889431442"/>
  </sheetPr>
  <dimension ref="A1:V28"/>
  <sheetViews>
    <sheetView showGridLines="0" zoomScale="70" zoomScaleNormal="70" workbookViewId="0">
      <selection activeCell="A16" sqref="A16:XFD16"/>
    </sheetView>
  </sheetViews>
  <sheetFormatPr baseColWidth="10" defaultColWidth="11.41015625" defaultRowHeight="14.35"/>
  <cols>
    <col min="1" max="1" width="2.87890625" style="207" customWidth="1"/>
    <col min="2" max="2" width="4.29296875" style="223" customWidth="1"/>
    <col min="3" max="3" width="10" style="223" customWidth="1"/>
    <col min="4" max="4" width="50.703125" style="223" customWidth="1"/>
    <col min="5" max="5" width="12" style="223" bestFit="1" customWidth="1"/>
    <col min="6" max="11" width="14.29296875" style="223" customWidth="1"/>
    <col min="12" max="12" width="15.703125" style="223" customWidth="1"/>
    <col min="13" max="13" width="10.703125" style="223" customWidth="1"/>
    <col min="14" max="14" width="1.41015625" style="223" customWidth="1"/>
    <col min="15" max="15" width="14.29296875" style="223" customWidth="1"/>
    <col min="16" max="16" width="15.703125" style="223" customWidth="1"/>
    <col min="17" max="17" width="10.703125" style="223" customWidth="1"/>
    <col min="18" max="18" width="4.29296875" style="223" customWidth="1"/>
    <col min="19" max="19" width="2.87890625" style="223" customWidth="1"/>
    <col min="20" max="21" width="11.41015625" style="223"/>
    <col min="22" max="22" width="16.703125" style="223" bestFit="1" customWidth="1"/>
    <col min="23" max="16384" width="11.41015625" style="223"/>
  </cols>
  <sheetData>
    <row r="1" spans="1:22">
      <c r="A1" s="207">
        <v>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</row>
    <row r="2" spans="1:22" ht="15" customHeight="1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1"/>
      <c r="V2" s="39"/>
    </row>
    <row r="3" spans="1:22" ht="15" customHeight="1">
      <c r="B3" s="212"/>
      <c r="R3" s="213"/>
    </row>
    <row r="4" spans="1:22" ht="15" customHeight="1">
      <c r="B4" s="212"/>
      <c r="R4" s="213"/>
    </row>
    <row r="5" spans="1:22" ht="15" customHeight="1">
      <c r="B5" s="212"/>
      <c r="R5" s="213"/>
    </row>
    <row r="6" spans="1:22" ht="15" customHeight="1" thickBot="1">
      <c r="B6" s="212"/>
      <c r="R6" s="213"/>
    </row>
    <row r="7" spans="1:22" ht="15" hidden="1" customHeight="1">
      <c r="B7" s="212"/>
      <c r="R7" s="213"/>
    </row>
    <row r="8" spans="1:22" ht="60" customHeight="1" thickBot="1">
      <c r="B8" s="212"/>
      <c r="C8" s="279" t="str">
        <f>'Page de garde'!C13&amp;" : Détail des Prestations Réglées - Synthèse par famille d'actes"</f>
        <v>47500207 - 47502122 - 47525653 - 47530591 : Détail des Prestations Réglées - Synthèse par famille d'actes</v>
      </c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280"/>
      <c r="Q8" s="281"/>
      <c r="R8" s="213"/>
    </row>
    <row r="9" spans="1:22">
      <c r="B9" s="212"/>
      <c r="R9" s="213"/>
    </row>
    <row r="10" spans="1:22">
      <c r="B10" s="212"/>
      <c r="R10" s="213"/>
    </row>
    <row r="11" spans="1:22" ht="14.7" thickBot="1">
      <c r="B11" s="212"/>
      <c r="R11" s="213"/>
    </row>
    <row r="12" spans="1:22" ht="14.7" thickBot="1">
      <c r="B12" s="212"/>
      <c r="C12" s="38"/>
      <c r="D12" s="38"/>
      <c r="E12" s="295" t="s">
        <v>75</v>
      </c>
      <c r="F12" s="296"/>
      <c r="G12" s="296"/>
      <c r="H12" s="296"/>
      <c r="I12" s="296"/>
      <c r="J12" s="296"/>
      <c r="K12" s="296"/>
      <c r="L12" s="296"/>
      <c r="M12" s="297"/>
      <c r="N12" s="36"/>
      <c r="O12" s="295" t="s">
        <v>301</v>
      </c>
      <c r="P12" s="296"/>
      <c r="Q12" s="297"/>
      <c r="R12" s="213"/>
    </row>
    <row r="13" spans="1:22" ht="14.7" thickBot="1">
      <c r="B13" s="212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213"/>
    </row>
    <row r="14" spans="1:22" ht="45" customHeight="1" thickBot="1">
      <c r="B14" s="212"/>
      <c r="C14" s="38"/>
      <c r="D14" s="38"/>
      <c r="E14" s="217" t="s">
        <v>76</v>
      </c>
      <c r="F14" s="217" t="s">
        <v>77</v>
      </c>
      <c r="G14" s="146" t="s">
        <v>78</v>
      </c>
      <c r="H14" s="217" t="s">
        <v>79</v>
      </c>
      <c r="I14" s="217" t="s">
        <v>80</v>
      </c>
      <c r="J14" s="217" t="s">
        <v>81</v>
      </c>
      <c r="K14" s="147" t="s">
        <v>82</v>
      </c>
      <c r="L14" s="147" t="s">
        <v>83</v>
      </c>
      <c r="M14" s="147" t="s">
        <v>84</v>
      </c>
      <c r="N14" s="36"/>
      <c r="O14" s="174" t="s">
        <v>82</v>
      </c>
      <c r="P14" s="174" t="s">
        <v>83</v>
      </c>
      <c r="Q14" s="147" t="s">
        <v>84</v>
      </c>
      <c r="R14" s="213"/>
    </row>
    <row r="15" spans="1:22" ht="15" customHeight="1" thickBot="1">
      <c r="B15" s="212"/>
      <c r="C15" s="158" t="s">
        <v>85</v>
      </c>
      <c r="D15" s="159"/>
      <c r="E15" s="72">
        <v>517</v>
      </c>
      <c r="F15" s="84">
        <v>1.1312910284463895</v>
      </c>
      <c r="G15" s="73">
        <v>21998.6699999999</v>
      </c>
      <c r="H15" s="73">
        <v>4702.8900000000103</v>
      </c>
      <c r="I15" s="73">
        <v>0</v>
      </c>
      <c r="J15" s="73">
        <v>15607.720000000099</v>
      </c>
      <c r="K15" s="73">
        <v>30.189013539651835</v>
      </c>
      <c r="L15" s="74">
        <v>0.99999999999999356</v>
      </c>
      <c r="M15" s="74">
        <v>0.9232653610422813</v>
      </c>
      <c r="N15" s="160"/>
      <c r="O15" s="73">
        <v>0</v>
      </c>
      <c r="P15" s="74">
        <v>0</v>
      </c>
      <c r="Q15" s="74">
        <v>0</v>
      </c>
      <c r="R15" s="213"/>
      <c r="T15" s="176"/>
    </row>
    <row r="16" spans="1:22" ht="15" customHeight="1" thickBot="1">
      <c r="B16" s="212"/>
      <c r="C16" s="163" t="s">
        <v>49</v>
      </c>
      <c r="D16" s="164"/>
      <c r="E16" s="148">
        <v>517</v>
      </c>
      <c r="F16" s="149">
        <v>1.1312910284463895</v>
      </c>
      <c r="G16" s="150">
        <v>21998.6699999999</v>
      </c>
      <c r="H16" s="150">
        <v>4702.8900000000103</v>
      </c>
      <c r="I16" s="150">
        <v>0</v>
      </c>
      <c r="J16" s="150">
        <v>15607.720000000099</v>
      </c>
      <c r="K16" s="150">
        <v>30.189013539652031</v>
      </c>
      <c r="L16" s="151">
        <v>0.99999999999999356</v>
      </c>
      <c r="M16" s="151">
        <v>0.9232653610422904</v>
      </c>
      <c r="N16" s="160"/>
      <c r="O16" s="150"/>
      <c r="P16" s="151">
        <v>0</v>
      </c>
      <c r="Q16" s="151"/>
      <c r="R16" s="213"/>
    </row>
    <row r="17" spans="2:18" ht="15" customHeight="1">
      <c r="B17" s="212"/>
      <c r="C17" s="165"/>
      <c r="D17" s="166"/>
      <c r="E17" s="166"/>
      <c r="F17" s="166"/>
      <c r="G17" s="166"/>
      <c r="H17" s="166"/>
      <c r="I17" s="166"/>
      <c r="J17" s="166"/>
      <c r="K17" s="166"/>
      <c r="L17" s="166"/>
      <c r="M17" s="166"/>
      <c r="N17" s="166"/>
      <c r="O17" s="166"/>
      <c r="P17" s="166"/>
      <c r="Q17" s="166"/>
      <c r="R17" s="213"/>
    </row>
    <row r="18" spans="2:18" ht="15" customHeight="1" thickBot="1">
      <c r="B18" s="212"/>
      <c r="C18" s="165"/>
      <c r="D18" s="166"/>
      <c r="E18" s="166"/>
      <c r="F18" s="166"/>
      <c r="G18" s="166"/>
      <c r="H18" s="166"/>
      <c r="I18" s="166"/>
      <c r="J18" s="166"/>
      <c r="K18" s="166"/>
      <c r="L18" s="166"/>
      <c r="M18" s="166"/>
      <c r="N18" s="166"/>
      <c r="O18" s="166"/>
      <c r="P18" s="166"/>
      <c r="Q18" s="166"/>
      <c r="R18" s="213"/>
    </row>
    <row r="19" spans="2:18" ht="15" customHeight="1" thickBot="1">
      <c r="B19" s="212"/>
      <c r="C19" s="164" t="s">
        <v>158</v>
      </c>
      <c r="D19" s="164"/>
      <c r="E19" s="165"/>
      <c r="F19" s="165"/>
      <c r="G19" s="165"/>
      <c r="H19" s="205">
        <v>0.23150000000000001</v>
      </c>
      <c r="I19" s="205">
        <v>0</v>
      </c>
      <c r="J19" s="205">
        <v>0.76849999999999996</v>
      </c>
      <c r="K19" s="165"/>
      <c r="L19" s="165"/>
      <c r="M19" s="165"/>
      <c r="N19" s="165"/>
      <c r="O19" s="165"/>
      <c r="P19" s="166"/>
      <c r="Q19" s="166"/>
      <c r="R19" s="213"/>
    </row>
    <row r="20" spans="2:18" ht="15" customHeight="1" thickBot="1">
      <c r="B20" s="212"/>
      <c r="C20" s="165"/>
      <c r="D20" s="165"/>
      <c r="E20" s="165"/>
      <c r="F20" s="165"/>
      <c r="G20" s="165"/>
      <c r="H20" s="165"/>
      <c r="I20" s="165"/>
      <c r="J20" s="165"/>
      <c r="K20" s="165"/>
      <c r="L20" s="165"/>
      <c r="M20" s="165"/>
      <c r="N20" s="165"/>
      <c r="O20" s="165"/>
      <c r="P20" s="166"/>
      <c r="Q20" s="166"/>
      <c r="R20" s="213"/>
    </row>
    <row r="21" spans="2:18" ht="15" customHeight="1" thickBot="1">
      <c r="B21" s="212"/>
      <c r="C21" s="164" t="s">
        <v>159</v>
      </c>
      <c r="D21" s="164"/>
      <c r="E21" s="165"/>
      <c r="F21" s="165"/>
      <c r="G21" s="150">
        <v>48.14</v>
      </c>
      <c r="H21" s="150">
        <v>10.29</v>
      </c>
      <c r="I21" s="150">
        <v>0</v>
      </c>
      <c r="J21" s="150">
        <v>34.15</v>
      </c>
      <c r="K21" s="165"/>
      <c r="L21" s="165"/>
      <c r="M21" s="165"/>
      <c r="N21" s="165"/>
      <c r="O21" s="165"/>
      <c r="P21" s="166"/>
      <c r="Q21" s="166"/>
      <c r="R21" s="213"/>
    </row>
    <row r="22" spans="2:18" ht="15" customHeight="1" thickBot="1">
      <c r="B22" s="212"/>
      <c r="C22" s="164" t="s">
        <v>160</v>
      </c>
      <c r="D22" s="164"/>
      <c r="E22" s="165"/>
      <c r="F22" s="165"/>
      <c r="G22" s="150">
        <v>74.569999999999993</v>
      </c>
      <c r="H22" s="150">
        <v>15.94</v>
      </c>
      <c r="I22" s="150">
        <v>0</v>
      </c>
      <c r="J22" s="150">
        <v>52.91</v>
      </c>
      <c r="K22" s="165"/>
      <c r="L22" s="165"/>
      <c r="M22" s="165"/>
      <c r="N22" s="165"/>
      <c r="O22" s="165"/>
      <c r="P22" s="166"/>
      <c r="Q22" s="166"/>
      <c r="R22" s="213"/>
    </row>
    <row r="23" spans="2:18" ht="15" customHeight="1">
      <c r="B23" s="212"/>
      <c r="C23" s="165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6"/>
      <c r="Q23" s="166"/>
      <c r="R23" s="213"/>
    </row>
    <row r="24" spans="2:18" ht="15" customHeight="1">
      <c r="B24" s="212"/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6"/>
      <c r="Q24" s="166"/>
      <c r="R24" s="213"/>
    </row>
    <row r="25" spans="2:18" ht="12" customHeight="1">
      <c r="B25" s="214"/>
      <c r="C25" s="168"/>
      <c r="D25" s="168"/>
      <c r="E25" s="168"/>
      <c r="F25" s="168"/>
      <c r="G25" s="168"/>
      <c r="H25" s="168"/>
      <c r="I25" s="168"/>
      <c r="J25" s="168"/>
      <c r="K25" s="168"/>
      <c r="L25" s="168"/>
      <c r="M25" s="168"/>
      <c r="N25" s="168"/>
      <c r="O25" s="168"/>
      <c r="P25" s="169"/>
      <c r="Q25" s="169"/>
      <c r="R25" s="216"/>
    </row>
    <row r="26" spans="2:18" ht="15.35">
      <c r="G26" s="50"/>
      <c r="J26" s="50"/>
      <c r="K26" s="165"/>
      <c r="L26" s="165"/>
      <c r="M26" s="165"/>
      <c r="N26" s="165"/>
      <c r="O26" s="165"/>
      <c r="P26" s="166"/>
      <c r="Q26" s="166"/>
    </row>
    <row r="27" spans="2:18" ht="15.35">
      <c r="G27" s="234"/>
      <c r="H27" s="175"/>
      <c r="I27" s="165"/>
      <c r="J27" s="165"/>
      <c r="K27" s="165"/>
      <c r="L27" s="165"/>
      <c r="M27" s="165"/>
      <c r="N27" s="165"/>
      <c r="O27" s="165"/>
      <c r="P27" s="166"/>
      <c r="Q27" s="166"/>
    </row>
    <row r="28" spans="2:18">
      <c r="H28" s="165"/>
      <c r="I28" s="165"/>
      <c r="J28" s="165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3B63E-DD91-44A7-9C7B-1672FE3203A6}">
  <sheetPr>
    <tabColor theme="4" tint="0.79998168889431442"/>
  </sheetPr>
  <dimension ref="A1:V29"/>
  <sheetViews>
    <sheetView showGridLines="0" zoomScale="70" zoomScaleNormal="70" workbookViewId="0">
      <selection activeCell="A17" sqref="A17:XFD17"/>
    </sheetView>
  </sheetViews>
  <sheetFormatPr baseColWidth="10" defaultColWidth="11.41015625" defaultRowHeight="14.35"/>
  <cols>
    <col min="1" max="1" width="2.87890625" style="207" customWidth="1"/>
    <col min="2" max="2" width="4.29296875" style="223" customWidth="1"/>
    <col min="3" max="3" width="10" style="223" customWidth="1"/>
    <col min="4" max="4" width="50.703125" style="223" customWidth="1"/>
    <col min="5" max="5" width="12" style="223" bestFit="1" customWidth="1"/>
    <col min="6" max="11" width="14.29296875" style="223" customWidth="1"/>
    <col min="12" max="12" width="15.703125" style="223" customWidth="1"/>
    <col min="13" max="13" width="10.703125" style="223" customWidth="1"/>
    <col min="14" max="14" width="1.41015625" style="223" customWidth="1"/>
    <col min="15" max="15" width="14.29296875" style="223" customWidth="1"/>
    <col min="16" max="16" width="15.703125" style="223" customWidth="1"/>
    <col min="17" max="17" width="10.703125" style="223" customWidth="1"/>
    <col min="18" max="18" width="4.29296875" style="223" customWidth="1"/>
    <col min="19" max="19" width="2.87890625" style="223" customWidth="1"/>
    <col min="20" max="21" width="11.41015625" style="223"/>
    <col min="22" max="22" width="16.703125" style="223" bestFit="1" customWidth="1"/>
    <col min="23" max="16384" width="11.41015625" style="223"/>
  </cols>
  <sheetData>
    <row r="1" spans="1:22">
      <c r="A1" s="207">
        <v>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</row>
    <row r="2" spans="1:22" ht="15" customHeight="1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1"/>
      <c r="V2" s="39"/>
    </row>
    <row r="3" spans="1:22" ht="15" customHeight="1">
      <c r="B3" s="212"/>
      <c r="R3" s="213"/>
    </row>
    <row r="4" spans="1:22" ht="15" customHeight="1">
      <c r="B4" s="212"/>
      <c r="R4" s="213"/>
    </row>
    <row r="5" spans="1:22" ht="15" customHeight="1">
      <c r="B5" s="212"/>
      <c r="R5" s="213"/>
    </row>
    <row r="6" spans="1:22" ht="15" customHeight="1" thickBot="1">
      <c r="B6" s="212"/>
      <c r="R6" s="213"/>
    </row>
    <row r="7" spans="1:22" ht="15" hidden="1" customHeight="1">
      <c r="B7" s="212"/>
      <c r="R7" s="213"/>
    </row>
    <row r="8" spans="1:22" ht="60" customHeight="1" thickBot="1">
      <c r="B8" s="212"/>
      <c r="C8" s="279" t="str">
        <f>'Page de garde'!C13&amp;" : Détail des Prestations Réglées - Synthèse par famille d'actes"</f>
        <v>47500207 - 47502122 - 47525653 - 47530591 : Détail des Prestations Réglées - Synthèse par famille d'actes</v>
      </c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280"/>
      <c r="Q8" s="281"/>
      <c r="R8" s="213"/>
    </row>
    <row r="9" spans="1:22">
      <c r="B9" s="212"/>
      <c r="R9" s="213"/>
    </row>
    <row r="10" spans="1:22">
      <c r="B10" s="212"/>
      <c r="R10" s="213"/>
    </row>
    <row r="11" spans="1:22" ht="14.7" thickBot="1">
      <c r="B11" s="212"/>
      <c r="R11" s="213"/>
    </row>
    <row r="12" spans="1:22" ht="14.7" thickBot="1">
      <c r="B12" s="212"/>
      <c r="C12" s="38"/>
      <c r="D12" s="38"/>
      <c r="E12" s="295" t="s">
        <v>75</v>
      </c>
      <c r="F12" s="296"/>
      <c r="G12" s="296"/>
      <c r="H12" s="296"/>
      <c r="I12" s="296"/>
      <c r="J12" s="296"/>
      <c r="K12" s="296"/>
      <c r="L12" s="296"/>
      <c r="M12" s="297"/>
      <c r="N12" s="36"/>
      <c r="O12" s="295" t="s">
        <v>301</v>
      </c>
      <c r="P12" s="296"/>
      <c r="Q12" s="297"/>
      <c r="R12" s="213"/>
    </row>
    <row r="13" spans="1:22" ht="14.7" thickBot="1">
      <c r="B13" s="212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213"/>
    </row>
    <row r="14" spans="1:22" ht="45" customHeight="1" thickBot="1">
      <c r="B14" s="212"/>
      <c r="C14" s="38"/>
      <c r="D14" s="38"/>
      <c r="E14" s="217" t="s">
        <v>76</v>
      </c>
      <c r="F14" s="217" t="s">
        <v>77</v>
      </c>
      <c r="G14" s="146" t="s">
        <v>78</v>
      </c>
      <c r="H14" s="217" t="s">
        <v>79</v>
      </c>
      <c r="I14" s="217" t="s">
        <v>80</v>
      </c>
      <c r="J14" s="217" t="s">
        <v>81</v>
      </c>
      <c r="K14" s="147" t="s">
        <v>82</v>
      </c>
      <c r="L14" s="147" t="s">
        <v>83</v>
      </c>
      <c r="M14" s="147" t="s">
        <v>84</v>
      </c>
      <c r="N14" s="36"/>
      <c r="O14" s="174" t="s">
        <v>82</v>
      </c>
      <c r="P14" s="174" t="s">
        <v>83</v>
      </c>
      <c r="Q14" s="147" t="s">
        <v>84</v>
      </c>
      <c r="R14" s="213"/>
    </row>
    <row r="15" spans="1:22" ht="15" customHeight="1" thickBot="1">
      <c r="B15" s="212"/>
      <c r="C15" s="158" t="s">
        <v>92</v>
      </c>
      <c r="D15" s="159"/>
      <c r="E15" s="72">
        <v>6</v>
      </c>
      <c r="F15" s="84">
        <v>1.3129102844638949E-2</v>
      </c>
      <c r="G15" s="73">
        <v>913.17</v>
      </c>
      <c r="H15" s="73">
        <v>440.56</v>
      </c>
      <c r="I15" s="73">
        <v>0</v>
      </c>
      <c r="J15" s="73">
        <v>422.61</v>
      </c>
      <c r="K15" s="73">
        <v>70.435000000000002</v>
      </c>
      <c r="L15" s="74">
        <v>1</v>
      </c>
      <c r="M15" s="74">
        <v>0.94524568262207476</v>
      </c>
      <c r="N15" s="160"/>
      <c r="O15" s="73">
        <v>0</v>
      </c>
      <c r="P15" s="74">
        <v>0</v>
      </c>
      <c r="Q15" s="74">
        <v>0</v>
      </c>
      <c r="R15" s="213"/>
      <c r="T15" s="176"/>
    </row>
    <row r="16" spans="1:22" ht="15" customHeight="1" thickBot="1">
      <c r="B16" s="212"/>
      <c r="C16" s="239"/>
      <c r="D16" s="240" t="s">
        <v>93</v>
      </c>
      <c r="E16" s="241">
        <v>6</v>
      </c>
      <c r="F16" s="242">
        <v>1.3129102844638949E-2</v>
      </c>
      <c r="G16" s="243">
        <v>913.17</v>
      </c>
      <c r="H16" s="243">
        <v>440.56</v>
      </c>
      <c r="I16" s="243">
        <v>0</v>
      </c>
      <c r="J16" s="243">
        <v>422.61</v>
      </c>
      <c r="K16" s="243">
        <v>70.435000000000002</v>
      </c>
      <c r="L16" s="244">
        <v>1</v>
      </c>
      <c r="M16" s="244">
        <v>0.94524568262207476</v>
      </c>
      <c r="N16" s="245"/>
      <c r="O16" s="243">
        <v>0</v>
      </c>
      <c r="P16" s="244">
        <v>0</v>
      </c>
      <c r="Q16" s="244">
        <v>0</v>
      </c>
      <c r="R16" s="213"/>
      <c r="T16" s="176"/>
    </row>
    <row r="17" spans="2:18" ht="15" customHeight="1" thickBot="1">
      <c r="B17" s="212"/>
      <c r="C17" s="163" t="s">
        <v>49</v>
      </c>
      <c r="D17" s="164"/>
      <c r="E17" s="148">
        <v>6</v>
      </c>
      <c r="F17" s="149">
        <v>1.3129102844638949E-2</v>
      </c>
      <c r="G17" s="150">
        <v>913.17</v>
      </c>
      <c r="H17" s="150">
        <v>440.56</v>
      </c>
      <c r="I17" s="150">
        <v>0</v>
      </c>
      <c r="J17" s="150">
        <v>422.61</v>
      </c>
      <c r="K17" s="150">
        <v>70.435000000000002</v>
      </c>
      <c r="L17" s="151">
        <v>1</v>
      </c>
      <c r="M17" s="151">
        <v>0.94524568262207487</v>
      </c>
      <c r="N17" s="160"/>
      <c r="O17" s="150"/>
      <c r="P17" s="151">
        <v>0</v>
      </c>
      <c r="Q17" s="151"/>
      <c r="R17" s="213"/>
    </row>
    <row r="18" spans="2:18" ht="15" customHeight="1">
      <c r="B18" s="212"/>
      <c r="C18" s="165"/>
      <c r="D18" s="166"/>
      <c r="E18" s="166"/>
      <c r="F18" s="166"/>
      <c r="G18" s="166"/>
      <c r="H18" s="166"/>
      <c r="I18" s="166"/>
      <c r="J18" s="166"/>
      <c r="K18" s="166"/>
      <c r="L18" s="166"/>
      <c r="M18" s="166"/>
      <c r="N18" s="166"/>
      <c r="O18" s="166"/>
      <c r="P18" s="166"/>
      <c r="Q18" s="166"/>
      <c r="R18" s="213"/>
    </row>
    <row r="19" spans="2:18" ht="15" customHeight="1" thickBot="1">
      <c r="B19" s="212"/>
      <c r="C19" s="165"/>
      <c r="D19" s="166"/>
      <c r="E19" s="166"/>
      <c r="F19" s="166"/>
      <c r="G19" s="166"/>
      <c r="H19" s="166"/>
      <c r="I19" s="166"/>
      <c r="J19" s="166"/>
      <c r="K19" s="166"/>
      <c r="L19" s="166"/>
      <c r="M19" s="166"/>
      <c r="N19" s="166"/>
      <c r="O19" s="166"/>
      <c r="P19" s="166"/>
      <c r="Q19" s="166"/>
      <c r="R19" s="213"/>
    </row>
    <row r="20" spans="2:18" ht="15" customHeight="1" thickBot="1">
      <c r="B20" s="212"/>
      <c r="C20" s="164" t="s">
        <v>158</v>
      </c>
      <c r="D20" s="164"/>
      <c r="E20" s="165"/>
      <c r="F20" s="165"/>
      <c r="G20" s="165"/>
      <c r="H20" s="205">
        <v>0.51039999999999996</v>
      </c>
      <c r="I20" s="205">
        <v>0</v>
      </c>
      <c r="J20" s="205">
        <v>0.48960000000000004</v>
      </c>
      <c r="K20" s="165"/>
      <c r="L20" s="165"/>
      <c r="M20" s="165"/>
      <c r="N20" s="165"/>
      <c r="O20" s="165"/>
      <c r="P20" s="166"/>
      <c r="Q20" s="166"/>
      <c r="R20" s="213"/>
    </row>
    <row r="21" spans="2:18" ht="15" customHeight="1" thickBot="1">
      <c r="B21" s="212"/>
      <c r="C21" s="165"/>
      <c r="D21" s="165"/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  <c r="P21" s="166"/>
      <c r="Q21" s="166"/>
      <c r="R21" s="213"/>
    </row>
    <row r="22" spans="2:18" ht="15" customHeight="1" thickBot="1">
      <c r="B22" s="212"/>
      <c r="C22" s="164" t="s">
        <v>159</v>
      </c>
      <c r="D22" s="164"/>
      <c r="E22" s="165"/>
      <c r="F22" s="165"/>
      <c r="G22" s="150">
        <v>2</v>
      </c>
      <c r="H22" s="150">
        <v>0.96</v>
      </c>
      <c r="I22" s="150">
        <v>0</v>
      </c>
      <c r="J22" s="150">
        <v>0.92</v>
      </c>
      <c r="K22" s="165"/>
      <c r="L22" s="165"/>
      <c r="M22" s="165"/>
      <c r="N22" s="165"/>
      <c r="O22" s="165"/>
      <c r="P22" s="166"/>
      <c r="Q22" s="166"/>
      <c r="R22" s="213"/>
    </row>
    <row r="23" spans="2:18" ht="15" customHeight="1" thickBot="1">
      <c r="B23" s="212"/>
      <c r="C23" s="164" t="s">
        <v>160</v>
      </c>
      <c r="D23" s="164"/>
      <c r="E23" s="165"/>
      <c r="F23" s="165"/>
      <c r="G23" s="150">
        <v>3.1</v>
      </c>
      <c r="H23" s="150">
        <v>1.49</v>
      </c>
      <c r="I23" s="150">
        <v>0</v>
      </c>
      <c r="J23" s="150">
        <v>1.43</v>
      </c>
      <c r="K23" s="165"/>
      <c r="L23" s="165"/>
      <c r="M23" s="165"/>
      <c r="N23" s="165"/>
      <c r="O23" s="165"/>
      <c r="P23" s="166"/>
      <c r="Q23" s="166"/>
      <c r="R23" s="213"/>
    </row>
    <row r="24" spans="2:18" ht="15" customHeight="1">
      <c r="B24" s="212"/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6"/>
      <c r="Q24" s="166"/>
      <c r="R24" s="213"/>
    </row>
    <row r="25" spans="2:18" ht="15" customHeight="1">
      <c r="B25" s="212"/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6"/>
      <c r="Q25" s="166"/>
      <c r="R25" s="213"/>
    </row>
    <row r="26" spans="2:18" ht="12" customHeight="1">
      <c r="B26" s="214"/>
      <c r="C26" s="168"/>
      <c r="D26" s="168"/>
      <c r="E26" s="168"/>
      <c r="F26" s="168"/>
      <c r="G26" s="168"/>
      <c r="H26" s="168"/>
      <c r="I26" s="168"/>
      <c r="J26" s="168"/>
      <c r="K26" s="168"/>
      <c r="L26" s="168"/>
      <c r="M26" s="168"/>
      <c r="N26" s="168"/>
      <c r="O26" s="168"/>
      <c r="P26" s="169"/>
      <c r="Q26" s="169"/>
      <c r="R26" s="216"/>
    </row>
    <row r="27" spans="2:18" ht="15.35">
      <c r="G27" s="50"/>
      <c r="J27" s="50"/>
      <c r="K27" s="165"/>
      <c r="L27" s="165"/>
      <c r="M27" s="165"/>
      <c r="N27" s="165"/>
      <c r="O27" s="165"/>
      <c r="P27" s="166"/>
      <c r="Q27" s="166"/>
    </row>
    <row r="28" spans="2:18" ht="15.35">
      <c r="G28" s="234"/>
      <c r="H28" s="175"/>
      <c r="I28" s="165"/>
      <c r="J28" s="165"/>
      <c r="K28" s="165"/>
      <c r="L28" s="165"/>
      <c r="M28" s="165"/>
      <c r="N28" s="165"/>
      <c r="O28" s="165"/>
      <c r="P28" s="166"/>
      <c r="Q28" s="166"/>
    </row>
    <row r="29" spans="2:18">
      <c r="H29" s="165"/>
      <c r="I29" s="165"/>
      <c r="J29" s="165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B6153-54E6-4560-95F4-0C05E4FFE1A1}">
  <sheetPr>
    <tabColor theme="4" tint="0.79998168889431442"/>
  </sheetPr>
  <dimension ref="A1:V29"/>
  <sheetViews>
    <sheetView showGridLines="0" zoomScale="70" zoomScaleNormal="70" workbookViewId="0">
      <selection activeCell="A17" sqref="A17:XFD17"/>
    </sheetView>
  </sheetViews>
  <sheetFormatPr baseColWidth="10" defaultColWidth="11.41015625" defaultRowHeight="14.35"/>
  <cols>
    <col min="1" max="1" width="2.87890625" style="207" customWidth="1"/>
    <col min="2" max="2" width="4.29296875" style="223" customWidth="1"/>
    <col min="3" max="3" width="10" style="223" customWidth="1"/>
    <col min="4" max="4" width="50.703125" style="223" customWidth="1"/>
    <col min="5" max="5" width="12" style="223" bestFit="1" customWidth="1"/>
    <col min="6" max="11" width="14.29296875" style="223" customWidth="1"/>
    <col min="12" max="12" width="15.703125" style="223" customWidth="1"/>
    <col min="13" max="13" width="10.703125" style="223" customWidth="1"/>
    <col min="14" max="14" width="1.41015625" style="223" customWidth="1"/>
    <col min="15" max="15" width="14.29296875" style="223" customWidth="1"/>
    <col min="16" max="16" width="15.703125" style="223" customWidth="1"/>
    <col min="17" max="17" width="10.703125" style="223" customWidth="1"/>
    <col min="18" max="18" width="4.29296875" style="223" customWidth="1"/>
    <col min="19" max="19" width="2.87890625" style="223" customWidth="1"/>
    <col min="20" max="21" width="11.41015625" style="223"/>
    <col min="22" max="22" width="16.703125" style="223" bestFit="1" customWidth="1"/>
    <col min="23" max="16384" width="11.41015625" style="223"/>
  </cols>
  <sheetData>
    <row r="1" spans="1:22">
      <c r="A1" s="207">
        <v>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</row>
    <row r="2" spans="1:22" ht="15" customHeight="1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1"/>
      <c r="V2" s="39"/>
    </row>
    <row r="3" spans="1:22" ht="15" customHeight="1">
      <c r="B3" s="212"/>
      <c r="R3" s="213"/>
    </row>
    <row r="4" spans="1:22" ht="15" customHeight="1">
      <c r="B4" s="212"/>
      <c r="R4" s="213"/>
    </row>
    <row r="5" spans="1:22" ht="15" customHeight="1">
      <c r="B5" s="212"/>
      <c r="R5" s="213"/>
    </row>
    <row r="6" spans="1:22" ht="15" customHeight="1" thickBot="1">
      <c r="B6" s="212"/>
      <c r="R6" s="213"/>
    </row>
    <row r="7" spans="1:22" ht="15" hidden="1" customHeight="1">
      <c r="B7" s="212"/>
      <c r="R7" s="213"/>
    </row>
    <row r="8" spans="1:22" ht="60" customHeight="1" thickBot="1">
      <c r="B8" s="212"/>
      <c r="C8" s="279" t="str">
        <f>'Page de garde'!C13&amp;" : Détail des Prestations Réglées - Synthèse par famille d'actes"</f>
        <v>47500207 - 47502122 - 47525653 - 47530591 : Détail des Prestations Réglées - Synthèse par famille d'actes</v>
      </c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280"/>
      <c r="Q8" s="281"/>
      <c r="R8" s="213"/>
    </row>
    <row r="9" spans="1:22">
      <c r="B9" s="212"/>
      <c r="R9" s="213"/>
    </row>
    <row r="10" spans="1:22">
      <c r="B10" s="212"/>
      <c r="R10" s="213"/>
    </row>
    <row r="11" spans="1:22" ht="14.7" thickBot="1">
      <c r="B11" s="212"/>
      <c r="R11" s="213"/>
    </row>
    <row r="12" spans="1:22" ht="14.7" thickBot="1">
      <c r="B12" s="212"/>
      <c r="C12" s="38"/>
      <c r="D12" s="38"/>
      <c r="E12" s="295" t="s">
        <v>75</v>
      </c>
      <c r="F12" s="296"/>
      <c r="G12" s="296"/>
      <c r="H12" s="296"/>
      <c r="I12" s="296"/>
      <c r="J12" s="296"/>
      <c r="K12" s="296"/>
      <c r="L12" s="296"/>
      <c r="M12" s="297"/>
      <c r="N12" s="36"/>
      <c r="O12" s="295" t="s">
        <v>301</v>
      </c>
      <c r="P12" s="296"/>
      <c r="Q12" s="297"/>
      <c r="R12" s="213"/>
    </row>
    <row r="13" spans="1:22" ht="14.7" thickBot="1">
      <c r="B13" s="212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213"/>
    </row>
    <row r="14" spans="1:22" ht="45" customHeight="1" thickBot="1">
      <c r="B14" s="212"/>
      <c r="C14" s="38"/>
      <c r="D14" s="38"/>
      <c r="E14" s="217" t="s">
        <v>76</v>
      </c>
      <c r="F14" s="217" t="s">
        <v>77</v>
      </c>
      <c r="G14" s="146" t="s">
        <v>78</v>
      </c>
      <c r="H14" s="217" t="s">
        <v>79</v>
      </c>
      <c r="I14" s="217" t="s">
        <v>80</v>
      </c>
      <c r="J14" s="217" t="s">
        <v>81</v>
      </c>
      <c r="K14" s="147" t="s">
        <v>82</v>
      </c>
      <c r="L14" s="147" t="s">
        <v>83</v>
      </c>
      <c r="M14" s="147" t="s">
        <v>84</v>
      </c>
      <c r="N14" s="36"/>
      <c r="O14" s="174" t="s">
        <v>82</v>
      </c>
      <c r="P14" s="174" t="s">
        <v>83</v>
      </c>
      <c r="Q14" s="147" t="s">
        <v>84</v>
      </c>
      <c r="R14" s="213"/>
    </row>
    <row r="15" spans="1:22" ht="15" customHeight="1" thickBot="1">
      <c r="B15" s="212"/>
      <c r="C15" s="158" t="s">
        <v>95</v>
      </c>
      <c r="D15" s="159"/>
      <c r="E15" s="72">
        <v>903</v>
      </c>
      <c r="F15" s="84">
        <v>1.9759299781181618</v>
      </c>
      <c r="G15" s="73">
        <v>157673.41</v>
      </c>
      <c r="H15" s="73">
        <v>30315.259999999969</v>
      </c>
      <c r="I15" s="73">
        <v>7063.59</v>
      </c>
      <c r="J15" s="73">
        <v>95951.069999999992</v>
      </c>
      <c r="K15" s="73">
        <v>106.25810631229237</v>
      </c>
      <c r="L15" s="74">
        <v>1.0000000000000002</v>
      </c>
      <c r="M15" s="74">
        <v>0.84560814661140393</v>
      </c>
      <c r="N15" s="160"/>
      <c r="O15" s="73">
        <v>0</v>
      </c>
      <c r="P15" s="74">
        <v>0</v>
      </c>
      <c r="Q15" s="74">
        <v>0</v>
      </c>
      <c r="R15" s="213"/>
      <c r="T15" s="176"/>
    </row>
    <row r="16" spans="1:22" ht="15" customHeight="1" thickBot="1">
      <c r="B16" s="212"/>
      <c r="C16" s="239"/>
      <c r="D16" s="240" t="s">
        <v>119</v>
      </c>
      <c r="E16" s="241">
        <v>241</v>
      </c>
      <c r="F16" s="242">
        <v>0.52735229759299784</v>
      </c>
      <c r="G16" s="243">
        <v>16587.650000000001</v>
      </c>
      <c r="H16" s="243">
        <v>8605.0100000000093</v>
      </c>
      <c r="I16" s="243">
        <v>0</v>
      </c>
      <c r="J16" s="243">
        <v>7293.0099999999902</v>
      </c>
      <c r="K16" s="243">
        <v>30.261452282157677</v>
      </c>
      <c r="L16" s="244">
        <v>7.600759428738002E-2</v>
      </c>
      <c r="M16" s="244">
        <v>0.95842509336765602</v>
      </c>
      <c r="N16" s="245"/>
      <c r="O16" s="243">
        <v>0</v>
      </c>
      <c r="P16" s="244">
        <v>0</v>
      </c>
      <c r="Q16" s="244">
        <v>0</v>
      </c>
      <c r="R16" s="213"/>
      <c r="T16" s="176"/>
    </row>
    <row r="17" spans="2:18" ht="15" customHeight="1" thickBot="1">
      <c r="B17" s="212"/>
      <c r="C17" s="163" t="s">
        <v>49</v>
      </c>
      <c r="D17" s="164"/>
      <c r="E17" s="148">
        <v>903</v>
      </c>
      <c r="F17" s="149">
        <v>1.9759299781181618</v>
      </c>
      <c r="G17" s="150">
        <v>157673.41</v>
      </c>
      <c r="H17" s="150">
        <v>30315.259999999969</v>
      </c>
      <c r="I17" s="150">
        <v>7063.59</v>
      </c>
      <c r="J17" s="150">
        <v>95951.069999999992</v>
      </c>
      <c r="K17" s="150">
        <v>106.25810631229236</v>
      </c>
      <c r="L17" s="151">
        <v>1.0000000000000002</v>
      </c>
      <c r="M17" s="151">
        <v>0.8456081466114036</v>
      </c>
      <c r="N17" s="160"/>
      <c r="O17" s="150"/>
      <c r="P17" s="151">
        <v>0</v>
      </c>
      <c r="Q17" s="151"/>
      <c r="R17" s="213"/>
    </row>
    <row r="18" spans="2:18" ht="15" customHeight="1">
      <c r="B18" s="212"/>
      <c r="C18" s="165"/>
      <c r="D18" s="166"/>
      <c r="E18" s="166"/>
      <c r="F18" s="166"/>
      <c r="G18" s="166"/>
      <c r="H18" s="166"/>
      <c r="I18" s="166"/>
      <c r="J18" s="166"/>
      <c r="K18" s="166"/>
      <c r="L18" s="166"/>
      <c r="M18" s="166"/>
      <c r="N18" s="166"/>
      <c r="O18" s="166"/>
      <c r="P18" s="166"/>
      <c r="Q18" s="166"/>
      <c r="R18" s="213"/>
    </row>
    <row r="19" spans="2:18" ht="15" customHeight="1" thickBot="1">
      <c r="B19" s="212"/>
      <c r="C19" s="165"/>
      <c r="D19" s="166"/>
      <c r="E19" s="166"/>
      <c r="F19" s="166"/>
      <c r="G19" s="166"/>
      <c r="H19" s="166"/>
      <c r="I19" s="166"/>
      <c r="J19" s="166"/>
      <c r="K19" s="166"/>
      <c r="L19" s="166"/>
      <c r="M19" s="166"/>
      <c r="N19" s="166"/>
      <c r="O19" s="166"/>
      <c r="P19" s="166"/>
      <c r="Q19" s="166"/>
      <c r="R19" s="213"/>
    </row>
    <row r="20" spans="2:18" ht="15" customHeight="1" thickBot="1">
      <c r="B20" s="212"/>
      <c r="C20" s="164" t="s">
        <v>158</v>
      </c>
      <c r="D20" s="164"/>
      <c r="E20" s="165"/>
      <c r="F20" s="165"/>
      <c r="G20" s="165"/>
      <c r="H20" s="205">
        <v>0.22739999999999999</v>
      </c>
      <c r="I20" s="205">
        <v>5.2999999999999999E-2</v>
      </c>
      <c r="J20" s="205">
        <v>0.71959999999999991</v>
      </c>
      <c r="K20" s="165"/>
      <c r="L20" s="165"/>
      <c r="M20" s="165"/>
      <c r="N20" s="165"/>
      <c r="O20" s="165"/>
      <c r="P20" s="166"/>
      <c r="Q20" s="166"/>
      <c r="R20" s="213"/>
    </row>
    <row r="21" spans="2:18" ht="15" customHeight="1" thickBot="1">
      <c r="B21" s="212"/>
      <c r="C21" s="165"/>
      <c r="D21" s="165"/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  <c r="P21" s="166"/>
      <c r="Q21" s="166"/>
      <c r="R21" s="213"/>
    </row>
    <row r="22" spans="2:18" ht="15" customHeight="1" thickBot="1">
      <c r="B22" s="212"/>
      <c r="C22" s="164" t="s">
        <v>159</v>
      </c>
      <c r="D22" s="164"/>
      <c r="E22" s="165"/>
      <c r="F22" s="165"/>
      <c r="G22" s="150">
        <v>345.02</v>
      </c>
      <c r="H22" s="150">
        <v>66.34</v>
      </c>
      <c r="I22" s="150">
        <v>15.46</v>
      </c>
      <c r="J22" s="150">
        <v>209.96</v>
      </c>
      <c r="K22" s="165"/>
      <c r="L22" s="165"/>
      <c r="M22" s="165"/>
      <c r="N22" s="165"/>
      <c r="O22" s="165"/>
      <c r="P22" s="166"/>
      <c r="Q22" s="166"/>
      <c r="R22" s="213"/>
    </row>
    <row r="23" spans="2:18" ht="15" customHeight="1" thickBot="1">
      <c r="B23" s="212"/>
      <c r="C23" s="164" t="s">
        <v>160</v>
      </c>
      <c r="D23" s="164"/>
      <c r="E23" s="165"/>
      <c r="F23" s="165"/>
      <c r="G23" s="150">
        <v>534.49</v>
      </c>
      <c r="H23" s="150">
        <v>102.76</v>
      </c>
      <c r="I23" s="150">
        <v>23.94</v>
      </c>
      <c r="J23" s="150">
        <v>325.26</v>
      </c>
      <c r="K23" s="165"/>
      <c r="L23" s="165"/>
      <c r="M23" s="165"/>
      <c r="N23" s="165"/>
      <c r="O23" s="165"/>
      <c r="P23" s="166"/>
      <c r="Q23" s="166"/>
      <c r="R23" s="213"/>
    </row>
    <row r="24" spans="2:18" ht="15" customHeight="1">
      <c r="B24" s="212"/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6"/>
      <c r="Q24" s="166"/>
      <c r="R24" s="213"/>
    </row>
    <row r="25" spans="2:18" ht="15" customHeight="1">
      <c r="B25" s="212"/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6"/>
      <c r="Q25" s="166"/>
      <c r="R25" s="213"/>
    </row>
    <row r="26" spans="2:18" ht="12" customHeight="1">
      <c r="B26" s="214"/>
      <c r="C26" s="168"/>
      <c r="D26" s="168"/>
      <c r="E26" s="168"/>
      <c r="F26" s="168"/>
      <c r="G26" s="168"/>
      <c r="H26" s="168"/>
      <c r="I26" s="168"/>
      <c r="J26" s="168"/>
      <c r="K26" s="168"/>
      <c r="L26" s="168"/>
      <c r="M26" s="168"/>
      <c r="N26" s="168"/>
      <c r="O26" s="168"/>
      <c r="P26" s="169"/>
      <c r="Q26" s="169"/>
      <c r="R26" s="216"/>
    </row>
    <row r="27" spans="2:18" ht="15.35">
      <c r="G27" s="50"/>
      <c r="J27" s="50"/>
      <c r="K27" s="165"/>
      <c r="L27" s="165"/>
      <c r="M27" s="165"/>
      <c r="N27" s="165"/>
      <c r="O27" s="165"/>
      <c r="P27" s="166"/>
      <c r="Q27" s="166"/>
    </row>
    <row r="28" spans="2:18" ht="15.35">
      <c r="G28" s="234"/>
      <c r="H28" s="175"/>
      <c r="I28" s="165"/>
      <c r="J28" s="165"/>
      <c r="K28" s="165"/>
      <c r="L28" s="165"/>
      <c r="M28" s="165"/>
      <c r="N28" s="165"/>
      <c r="O28" s="165"/>
      <c r="P28" s="166"/>
      <c r="Q28" s="166"/>
    </row>
    <row r="29" spans="2:18">
      <c r="H29" s="165"/>
      <c r="I29" s="165"/>
      <c r="J29" s="165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7D717-A85C-4E70-B26B-2B431D1624B2}">
  <sheetPr>
    <tabColor theme="4" tint="0.79998168889431442"/>
  </sheetPr>
  <dimension ref="A1:V31"/>
  <sheetViews>
    <sheetView showGridLines="0" zoomScale="70" zoomScaleNormal="70" workbookViewId="0">
      <selection activeCell="A19" sqref="A19:XFD19"/>
    </sheetView>
  </sheetViews>
  <sheetFormatPr baseColWidth="10" defaultColWidth="11.41015625" defaultRowHeight="14.35"/>
  <cols>
    <col min="1" max="1" width="2.87890625" style="207" customWidth="1"/>
    <col min="2" max="2" width="4.29296875" style="223" customWidth="1"/>
    <col min="3" max="3" width="10" style="223" customWidth="1"/>
    <col min="4" max="4" width="50.703125" style="223" customWidth="1"/>
    <col min="5" max="5" width="12" style="223" bestFit="1" customWidth="1"/>
    <col min="6" max="11" width="14.29296875" style="223" customWidth="1"/>
    <col min="12" max="12" width="15.703125" style="223" customWidth="1"/>
    <col min="13" max="13" width="10.703125" style="223" customWidth="1"/>
    <col min="14" max="14" width="1.41015625" style="223" customWidth="1"/>
    <col min="15" max="15" width="14.29296875" style="223" customWidth="1"/>
    <col min="16" max="16" width="15.703125" style="223" customWidth="1"/>
    <col min="17" max="17" width="10.703125" style="223" customWidth="1"/>
    <col min="18" max="18" width="4.29296875" style="223" customWidth="1"/>
    <col min="19" max="19" width="2.87890625" style="223" customWidth="1"/>
    <col min="20" max="21" width="11.41015625" style="223"/>
    <col min="22" max="22" width="16.703125" style="223" bestFit="1" customWidth="1"/>
    <col min="23" max="16384" width="11.41015625" style="223"/>
  </cols>
  <sheetData>
    <row r="1" spans="1:22">
      <c r="A1" s="207">
        <v>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</row>
    <row r="2" spans="1:22" ht="15" customHeight="1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1"/>
      <c r="V2" s="39"/>
    </row>
    <row r="3" spans="1:22" ht="15" customHeight="1">
      <c r="B3" s="212"/>
      <c r="R3" s="213"/>
    </row>
    <row r="4" spans="1:22" ht="15" customHeight="1">
      <c r="B4" s="212"/>
      <c r="R4" s="213"/>
    </row>
    <row r="5" spans="1:22" ht="15" customHeight="1">
      <c r="B5" s="212"/>
      <c r="R5" s="213"/>
    </row>
    <row r="6" spans="1:22" ht="15" customHeight="1" thickBot="1">
      <c r="B6" s="212"/>
      <c r="R6" s="213"/>
    </row>
    <row r="7" spans="1:22" ht="15" hidden="1" customHeight="1">
      <c r="B7" s="212"/>
      <c r="R7" s="213"/>
    </row>
    <row r="8" spans="1:22" ht="60" customHeight="1" thickBot="1">
      <c r="B8" s="212"/>
      <c r="C8" s="279" t="str">
        <f>'Page de garde'!C13&amp;" : Détail des Prestations Réglées - Synthèse par famille d'actes"</f>
        <v>47500207 - 47502122 - 47525653 - 47530591 : Détail des Prestations Réglées - Synthèse par famille d'actes</v>
      </c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280"/>
      <c r="Q8" s="281"/>
      <c r="R8" s="213"/>
    </row>
    <row r="9" spans="1:22">
      <c r="B9" s="212"/>
      <c r="R9" s="213"/>
    </row>
    <row r="10" spans="1:22">
      <c r="B10" s="212"/>
      <c r="R10" s="213"/>
    </row>
    <row r="11" spans="1:22" ht="14.7" thickBot="1">
      <c r="B11" s="212"/>
      <c r="R11" s="213"/>
    </row>
    <row r="12" spans="1:22" ht="14.7" thickBot="1">
      <c r="B12" s="212"/>
      <c r="C12" s="38"/>
      <c r="D12" s="38"/>
      <c r="E12" s="295" t="s">
        <v>75</v>
      </c>
      <c r="F12" s="296"/>
      <c r="G12" s="296"/>
      <c r="H12" s="296"/>
      <c r="I12" s="296"/>
      <c r="J12" s="296"/>
      <c r="K12" s="296"/>
      <c r="L12" s="296"/>
      <c r="M12" s="297"/>
      <c r="N12" s="36"/>
      <c r="O12" s="295" t="s">
        <v>301</v>
      </c>
      <c r="P12" s="296"/>
      <c r="Q12" s="297"/>
      <c r="R12" s="213"/>
    </row>
    <row r="13" spans="1:22" ht="14.7" thickBot="1">
      <c r="B13" s="212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213"/>
    </row>
    <row r="14" spans="1:22" ht="45" customHeight="1" thickBot="1">
      <c r="B14" s="212"/>
      <c r="C14" s="38"/>
      <c r="D14" s="38"/>
      <c r="E14" s="217" t="s">
        <v>76</v>
      </c>
      <c r="F14" s="217" t="s">
        <v>77</v>
      </c>
      <c r="G14" s="146" t="s">
        <v>78</v>
      </c>
      <c r="H14" s="217" t="s">
        <v>79</v>
      </c>
      <c r="I14" s="217" t="s">
        <v>80</v>
      </c>
      <c r="J14" s="217" t="s">
        <v>81</v>
      </c>
      <c r="K14" s="147" t="s">
        <v>82</v>
      </c>
      <c r="L14" s="147" t="s">
        <v>83</v>
      </c>
      <c r="M14" s="147" t="s">
        <v>84</v>
      </c>
      <c r="N14" s="36"/>
      <c r="O14" s="174" t="s">
        <v>82</v>
      </c>
      <c r="P14" s="174" t="s">
        <v>83</v>
      </c>
      <c r="Q14" s="147" t="s">
        <v>84</v>
      </c>
      <c r="R14" s="213"/>
    </row>
    <row r="15" spans="1:22" ht="15" customHeight="1" thickBot="1">
      <c r="B15" s="212"/>
      <c r="C15" s="158" t="s">
        <v>120</v>
      </c>
      <c r="D15" s="159"/>
      <c r="E15" s="72">
        <v>339</v>
      </c>
      <c r="F15" s="84">
        <v>0.74179431072210067</v>
      </c>
      <c r="G15" s="73">
        <v>52129.009999999995</v>
      </c>
      <c r="H15" s="73">
        <v>25828.800000000003</v>
      </c>
      <c r="I15" s="73">
        <v>2517.2199999999998</v>
      </c>
      <c r="J15" s="73">
        <v>20733.629999999997</v>
      </c>
      <c r="K15" s="73">
        <v>61.161150442477876</v>
      </c>
      <c r="L15" s="74">
        <v>1.0000000000000002</v>
      </c>
      <c r="M15" s="74">
        <v>0.94150358888457697</v>
      </c>
      <c r="N15" s="160"/>
      <c r="O15" s="73">
        <v>0</v>
      </c>
      <c r="P15" s="74">
        <v>0</v>
      </c>
      <c r="Q15" s="74">
        <v>0</v>
      </c>
      <c r="R15" s="213"/>
      <c r="T15" s="176"/>
    </row>
    <row r="16" spans="1:22" ht="15" customHeight="1" thickBot="1">
      <c r="B16" s="212"/>
      <c r="C16" s="239"/>
      <c r="D16" s="240" t="s">
        <v>122</v>
      </c>
      <c r="E16" s="241">
        <v>108</v>
      </c>
      <c r="F16" s="242">
        <v>0.23632385120350111</v>
      </c>
      <c r="G16" s="243">
        <v>9894</v>
      </c>
      <c r="H16" s="243">
        <v>0</v>
      </c>
      <c r="I16" s="243">
        <v>2091.12</v>
      </c>
      <c r="J16" s="243">
        <v>6938.08</v>
      </c>
      <c r="K16" s="243">
        <v>64.241481481481486</v>
      </c>
      <c r="L16" s="244">
        <v>0.33462929549721881</v>
      </c>
      <c r="M16" s="244">
        <v>0.91259349100464937</v>
      </c>
      <c r="N16" s="245"/>
      <c r="O16" s="243">
        <v>0</v>
      </c>
      <c r="P16" s="244">
        <v>0</v>
      </c>
      <c r="Q16" s="244">
        <v>0</v>
      </c>
      <c r="R16" s="213"/>
      <c r="T16" s="176"/>
    </row>
    <row r="17" spans="2:20" ht="15" customHeight="1" thickBot="1">
      <c r="B17" s="212"/>
      <c r="C17" s="239"/>
      <c r="D17" s="240" t="s">
        <v>123</v>
      </c>
      <c r="E17" s="241">
        <v>7</v>
      </c>
      <c r="F17" s="242">
        <v>1.5317286652078774E-2</v>
      </c>
      <c r="G17" s="243">
        <v>5705.8</v>
      </c>
      <c r="H17" s="243">
        <v>4564.6400000000003</v>
      </c>
      <c r="I17" s="243">
        <v>0</v>
      </c>
      <c r="J17" s="243">
        <v>1141.1600000000001</v>
      </c>
      <c r="K17" s="243">
        <v>163.02285714285716</v>
      </c>
      <c r="L17" s="244">
        <v>5.5039083845906396E-2</v>
      </c>
      <c r="M17" s="244">
        <v>1</v>
      </c>
      <c r="N17" s="245"/>
      <c r="O17" s="243">
        <v>0</v>
      </c>
      <c r="P17" s="244">
        <v>0</v>
      </c>
      <c r="Q17" s="244">
        <v>0</v>
      </c>
      <c r="R17" s="213"/>
      <c r="T17" s="176"/>
    </row>
    <row r="18" spans="2:20" ht="15" customHeight="1" thickBot="1">
      <c r="B18" s="212"/>
      <c r="C18" s="239"/>
      <c r="D18" s="240" t="s">
        <v>125</v>
      </c>
      <c r="E18" s="241">
        <v>200</v>
      </c>
      <c r="F18" s="242">
        <v>0.43763676148796499</v>
      </c>
      <c r="G18" s="243">
        <v>34139.050000000003</v>
      </c>
      <c r="H18" s="243">
        <v>20610.71</v>
      </c>
      <c r="I18" s="243">
        <v>426.1</v>
      </c>
      <c r="J18" s="243">
        <v>10917.68</v>
      </c>
      <c r="K18" s="243">
        <v>54.5884</v>
      </c>
      <c r="L18" s="244">
        <v>0.52656867128428553</v>
      </c>
      <c r="M18" s="244">
        <v>0.9360099358359415</v>
      </c>
      <c r="N18" s="245"/>
      <c r="O18" s="243">
        <v>0</v>
      </c>
      <c r="P18" s="244">
        <v>0</v>
      </c>
      <c r="Q18" s="244">
        <v>0</v>
      </c>
      <c r="R18" s="213"/>
      <c r="T18" s="176"/>
    </row>
    <row r="19" spans="2:20" ht="15" customHeight="1" thickBot="1">
      <c r="B19" s="212"/>
      <c r="C19" s="163" t="s">
        <v>49</v>
      </c>
      <c r="D19" s="164"/>
      <c r="E19" s="148">
        <v>339</v>
      </c>
      <c r="F19" s="149">
        <v>0.74179431072210067</v>
      </c>
      <c r="G19" s="150">
        <v>52129.009999999995</v>
      </c>
      <c r="H19" s="150">
        <v>25828.800000000003</v>
      </c>
      <c r="I19" s="150">
        <v>2517.2199999999998</v>
      </c>
      <c r="J19" s="150">
        <v>20733.629999999997</v>
      </c>
      <c r="K19" s="150">
        <v>61.161150442477869</v>
      </c>
      <c r="L19" s="151">
        <v>1.0000000000000002</v>
      </c>
      <c r="M19" s="151">
        <v>0.94150358888457708</v>
      </c>
      <c r="N19" s="160"/>
      <c r="O19" s="150"/>
      <c r="P19" s="151">
        <v>0</v>
      </c>
      <c r="Q19" s="151"/>
      <c r="R19" s="213"/>
    </row>
    <row r="20" spans="2:20" ht="15" customHeight="1">
      <c r="B20" s="212"/>
      <c r="C20" s="165"/>
      <c r="D20" s="166"/>
      <c r="E20" s="166"/>
      <c r="F20" s="166"/>
      <c r="G20" s="166"/>
      <c r="H20" s="166"/>
      <c r="I20" s="166"/>
      <c r="J20" s="166"/>
      <c r="K20" s="166"/>
      <c r="L20" s="166"/>
      <c r="M20" s="166"/>
      <c r="N20" s="166"/>
      <c r="O20" s="166"/>
      <c r="P20" s="166"/>
      <c r="Q20" s="166"/>
      <c r="R20" s="213"/>
    </row>
    <row r="21" spans="2:20" ht="15" customHeight="1" thickBot="1">
      <c r="B21" s="212"/>
      <c r="C21" s="165"/>
      <c r="D21" s="166"/>
      <c r="E21" s="166"/>
      <c r="F21" s="166"/>
      <c r="G21" s="166"/>
      <c r="H21" s="166"/>
      <c r="I21" s="166"/>
      <c r="J21" s="166"/>
      <c r="K21" s="166"/>
      <c r="L21" s="166"/>
      <c r="M21" s="166"/>
      <c r="N21" s="166"/>
      <c r="O21" s="166"/>
      <c r="P21" s="166"/>
      <c r="Q21" s="166"/>
      <c r="R21" s="213"/>
    </row>
    <row r="22" spans="2:20" ht="15" customHeight="1" thickBot="1">
      <c r="B22" s="212"/>
      <c r="C22" s="164" t="s">
        <v>158</v>
      </c>
      <c r="D22" s="164"/>
      <c r="E22" s="165"/>
      <c r="F22" s="165"/>
      <c r="G22" s="165"/>
      <c r="H22" s="205">
        <v>0.52629999999999999</v>
      </c>
      <c r="I22" s="205">
        <v>5.1299999999999998E-2</v>
      </c>
      <c r="J22" s="205">
        <v>0.4224</v>
      </c>
      <c r="K22" s="165"/>
      <c r="L22" s="165"/>
      <c r="M22" s="165"/>
      <c r="N22" s="165"/>
      <c r="O22" s="165"/>
      <c r="P22" s="166"/>
      <c r="Q22" s="166"/>
      <c r="R22" s="213"/>
    </row>
    <row r="23" spans="2:20" ht="15" customHeight="1" thickBot="1">
      <c r="B23" s="212"/>
      <c r="C23" s="165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6"/>
      <c r="Q23" s="166"/>
      <c r="R23" s="213"/>
    </row>
    <row r="24" spans="2:20" ht="15" customHeight="1" thickBot="1">
      <c r="B24" s="212"/>
      <c r="C24" s="164" t="s">
        <v>159</v>
      </c>
      <c r="D24" s="164"/>
      <c r="E24" s="165"/>
      <c r="F24" s="165"/>
      <c r="G24" s="150">
        <v>114.07</v>
      </c>
      <c r="H24" s="150">
        <v>56.52</v>
      </c>
      <c r="I24" s="150">
        <v>5.51</v>
      </c>
      <c r="J24" s="150">
        <v>45.37</v>
      </c>
      <c r="K24" s="165"/>
      <c r="L24" s="165"/>
      <c r="M24" s="165"/>
      <c r="N24" s="165"/>
      <c r="O24" s="165"/>
      <c r="P24" s="166"/>
      <c r="Q24" s="166"/>
      <c r="R24" s="213"/>
    </row>
    <row r="25" spans="2:20" ht="15" customHeight="1" thickBot="1">
      <c r="B25" s="212"/>
      <c r="C25" s="164" t="s">
        <v>160</v>
      </c>
      <c r="D25" s="164"/>
      <c r="E25" s="165"/>
      <c r="F25" s="165"/>
      <c r="G25" s="150">
        <v>176.71</v>
      </c>
      <c r="H25" s="150">
        <v>87.56</v>
      </c>
      <c r="I25" s="150">
        <v>8.5299999999999994</v>
      </c>
      <c r="J25" s="150">
        <v>70.28</v>
      </c>
      <c r="K25" s="165"/>
      <c r="L25" s="165"/>
      <c r="M25" s="165"/>
      <c r="N25" s="165"/>
      <c r="O25" s="165"/>
      <c r="P25" s="166"/>
      <c r="Q25" s="166"/>
      <c r="R25" s="213"/>
    </row>
    <row r="26" spans="2:20" ht="15" customHeight="1">
      <c r="B26" s="212"/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6"/>
      <c r="Q26" s="166"/>
      <c r="R26" s="213"/>
    </row>
    <row r="27" spans="2:20" ht="15" customHeight="1">
      <c r="B27" s="212"/>
      <c r="C27" s="165"/>
      <c r="D27" s="165"/>
      <c r="E27" s="165"/>
      <c r="F27" s="165"/>
      <c r="G27" s="165"/>
      <c r="H27" s="165"/>
      <c r="I27" s="165"/>
      <c r="J27" s="165"/>
      <c r="K27" s="165"/>
      <c r="L27" s="165"/>
      <c r="M27" s="165"/>
      <c r="N27" s="165"/>
      <c r="O27" s="165"/>
      <c r="P27" s="166"/>
      <c r="Q27" s="166"/>
      <c r="R27" s="213"/>
    </row>
    <row r="28" spans="2:20" ht="12" customHeight="1">
      <c r="B28" s="214"/>
      <c r="C28" s="168"/>
      <c r="D28" s="168"/>
      <c r="E28" s="168"/>
      <c r="F28" s="168"/>
      <c r="G28" s="168"/>
      <c r="H28" s="168"/>
      <c r="I28" s="168"/>
      <c r="J28" s="168"/>
      <c r="K28" s="168"/>
      <c r="L28" s="168"/>
      <c r="M28" s="168"/>
      <c r="N28" s="168"/>
      <c r="O28" s="168"/>
      <c r="P28" s="169"/>
      <c r="Q28" s="169"/>
      <c r="R28" s="216"/>
    </row>
    <row r="29" spans="2:20" ht="15.35">
      <c r="G29" s="50"/>
      <c r="J29" s="50"/>
      <c r="K29" s="165"/>
      <c r="L29" s="165"/>
      <c r="M29" s="165"/>
      <c r="N29" s="165"/>
      <c r="O29" s="165"/>
      <c r="P29" s="166"/>
      <c r="Q29" s="166"/>
    </row>
    <row r="30" spans="2:20" ht="15.35">
      <c r="G30" s="234"/>
      <c r="H30" s="175"/>
      <c r="I30" s="165"/>
      <c r="J30" s="165"/>
      <c r="K30" s="165"/>
      <c r="L30" s="165"/>
      <c r="M30" s="165"/>
      <c r="N30" s="165"/>
      <c r="O30" s="165"/>
      <c r="P30" s="166"/>
      <c r="Q30" s="166"/>
    </row>
    <row r="31" spans="2:20">
      <c r="H31" s="165"/>
      <c r="I31" s="165"/>
      <c r="J31" s="165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AB50B-F409-4C88-98D4-09F7B1ED8B73}">
  <sheetPr>
    <tabColor theme="4" tint="0.79998168889431442"/>
  </sheetPr>
  <dimension ref="A1:V29"/>
  <sheetViews>
    <sheetView showGridLines="0" zoomScale="70" zoomScaleNormal="70" workbookViewId="0">
      <selection activeCell="A17" sqref="A17:XFD17"/>
    </sheetView>
  </sheetViews>
  <sheetFormatPr baseColWidth="10" defaultColWidth="11.41015625" defaultRowHeight="14.35"/>
  <cols>
    <col min="1" max="1" width="2.87890625" style="207" customWidth="1"/>
    <col min="2" max="2" width="4.29296875" style="223" customWidth="1"/>
    <col min="3" max="3" width="10" style="223" customWidth="1"/>
    <col min="4" max="4" width="50.703125" style="223" customWidth="1"/>
    <col min="5" max="5" width="12" style="223" bestFit="1" customWidth="1"/>
    <col min="6" max="11" width="14.29296875" style="223" customWidth="1"/>
    <col min="12" max="12" width="15.703125" style="223" customWidth="1"/>
    <col min="13" max="13" width="10.703125" style="223" customWidth="1"/>
    <col min="14" max="14" width="1.41015625" style="223" customWidth="1"/>
    <col min="15" max="15" width="14.29296875" style="223" customWidth="1"/>
    <col min="16" max="16" width="15.703125" style="223" customWidth="1"/>
    <col min="17" max="17" width="10.703125" style="223" customWidth="1"/>
    <col min="18" max="18" width="4.29296875" style="223" customWidth="1"/>
    <col min="19" max="19" width="2.87890625" style="223" customWidth="1"/>
    <col min="20" max="21" width="11.41015625" style="223"/>
    <col min="22" max="22" width="16.703125" style="223" bestFit="1" customWidth="1"/>
    <col min="23" max="16384" width="11.41015625" style="223"/>
  </cols>
  <sheetData>
    <row r="1" spans="1:22">
      <c r="A1" s="207">
        <v>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</row>
    <row r="2" spans="1:22" ht="15" customHeight="1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1"/>
      <c r="V2" s="39"/>
    </row>
    <row r="3" spans="1:22" ht="15" customHeight="1">
      <c r="B3" s="212"/>
      <c r="R3" s="213"/>
    </row>
    <row r="4" spans="1:22" ht="15" customHeight="1">
      <c r="B4" s="212"/>
      <c r="R4" s="213"/>
    </row>
    <row r="5" spans="1:22" ht="15" customHeight="1">
      <c r="B5" s="212"/>
      <c r="R5" s="213"/>
    </row>
    <row r="6" spans="1:22" ht="15" customHeight="1" thickBot="1">
      <c r="B6" s="212"/>
      <c r="R6" s="213"/>
    </row>
    <row r="7" spans="1:22" ht="15" hidden="1" customHeight="1">
      <c r="B7" s="212"/>
      <c r="R7" s="213"/>
    </row>
    <row r="8" spans="1:22" ht="60" customHeight="1" thickBot="1">
      <c r="B8" s="212"/>
      <c r="C8" s="279" t="str">
        <f>'Page de garde'!C13&amp;" : Détail des Prestations Réglées - Synthèse par famille d'actes"</f>
        <v>47500207 - 47502122 - 47525653 - 47530591 : Détail des Prestations Réglées - Synthèse par famille d'actes</v>
      </c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280"/>
      <c r="Q8" s="281"/>
      <c r="R8" s="213"/>
    </row>
    <row r="9" spans="1:22">
      <c r="B9" s="212"/>
      <c r="R9" s="213"/>
    </row>
    <row r="10" spans="1:22">
      <c r="B10" s="212"/>
      <c r="R10" s="213"/>
    </row>
    <row r="11" spans="1:22" ht="14.7" thickBot="1">
      <c r="B11" s="212"/>
      <c r="R11" s="213"/>
    </row>
    <row r="12" spans="1:22" ht="14.7" thickBot="1">
      <c r="B12" s="212"/>
      <c r="C12" s="38"/>
      <c r="D12" s="38"/>
      <c r="E12" s="295" t="s">
        <v>75</v>
      </c>
      <c r="F12" s="296"/>
      <c r="G12" s="296"/>
      <c r="H12" s="296"/>
      <c r="I12" s="296"/>
      <c r="J12" s="296"/>
      <c r="K12" s="296"/>
      <c r="L12" s="296"/>
      <c r="M12" s="297"/>
      <c r="N12" s="36"/>
      <c r="O12" s="295" t="s">
        <v>301</v>
      </c>
      <c r="P12" s="296"/>
      <c r="Q12" s="297"/>
      <c r="R12" s="213"/>
    </row>
    <row r="13" spans="1:22" ht="14.7" thickBot="1">
      <c r="B13" s="212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213"/>
    </row>
    <row r="14" spans="1:22" ht="45" customHeight="1" thickBot="1">
      <c r="B14" s="212"/>
      <c r="C14" s="38"/>
      <c r="D14" s="38"/>
      <c r="E14" s="217" t="s">
        <v>76</v>
      </c>
      <c r="F14" s="217" t="s">
        <v>77</v>
      </c>
      <c r="G14" s="146" t="s">
        <v>78</v>
      </c>
      <c r="H14" s="217" t="s">
        <v>79</v>
      </c>
      <c r="I14" s="217" t="s">
        <v>80</v>
      </c>
      <c r="J14" s="217" t="s">
        <v>81</v>
      </c>
      <c r="K14" s="147" t="s">
        <v>82</v>
      </c>
      <c r="L14" s="147" t="s">
        <v>83</v>
      </c>
      <c r="M14" s="147" t="s">
        <v>84</v>
      </c>
      <c r="N14" s="36"/>
      <c r="O14" s="174" t="s">
        <v>82</v>
      </c>
      <c r="P14" s="174" t="s">
        <v>83</v>
      </c>
      <c r="Q14" s="147" t="s">
        <v>84</v>
      </c>
      <c r="R14" s="213"/>
    </row>
    <row r="15" spans="1:22" ht="15" customHeight="1" thickBot="1">
      <c r="B15" s="212"/>
      <c r="C15" s="158" t="s">
        <v>136</v>
      </c>
      <c r="D15" s="159"/>
      <c r="E15" s="72">
        <v>391</v>
      </c>
      <c r="F15" s="84">
        <v>0.85557986870897151</v>
      </c>
      <c r="G15" s="73">
        <v>89843.03</v>
      </c>
      <c r="H15" s="73">
        <v>64.550000000000011</v>
      </c>
      <c r="I15" s="73">
        <v>2185.85</v>
      </c>
      <c r="J15" s="73">
        <v>73332.040000000197</v>
      </c>
      <c r="K15" s="73">
        <v>187.5499744245524</v>
      </c>
      <c r="L15" s="74">
        <v>0.99999999999999722</v>
      </c>
      <c r="M15" s="74">
        <v>0.84127216101237912</v>
      </c>
      <c r="N15" s="160"/>
      <c r="O15" s="73">
        <v>0</v>
      </c>
      <c r="P15" s="74">
        <v>0</v>
      </c>
      <c r="Q15" s="74">
        <v>0</v>
      </c>
      <c r="R15" s="213"/>
      <c r="T15" s="176"/>
    </row>
    <row r="16" spans="1:22" ht="15" customHeight="1" thickBot="1">
      <c r="B16" s="212"/>
      <c r="C16" s="239"/>
      <c r="D16" s="240" t="s">
        <v>138</v>
      </c>
      <c r="E16" s="241">
        <v>126</v>
      </c>
      <c r="F16" s="242">
        <v>0.27571115973741794</v>
      </c>
      <c r="G16" s="243">
        <v>10760.7</v>
      </c>
      <c r="H16" s="243">
        <v>47.38</v>
      </c>
      <c r="I16" s="243">
        <v>102.68</v>
      </c>
      <c r="J16" s="243">
        <v>9436.42</v>
      </c>
      <c r="K16" s="243">
        <v>74.892222222222216</v>
      </c>
      <c r="L16" s="244">
        <v>0.12868072400549574</v>
      </c>
      <c r="M16" s="244">
        <v>0.89087884617171731</v>
      </c>
      <c r="N16" s="245"/>
      <c r="O16" s="243">
        <v>0</v>
      </c>
      <c r="P16" s="244">
        <v>0</v>
      </c>
      <c r="Q16" s="244">
        <v>0</v>
      </c>
      <c r="R16" s="213"/>
      <c r="T16" s="176"/>
    </row>
    <row r="17" spans="2:18" ht="15" customHeight="1" thickBot="1">
      <c r="B17" s="212"/>
      <c r="C17" s="163" t="s">
        <v>49</v>
      </c>
      <c r="D17" s="164"/>
      <c r="E17" s="148">
        <v>391</v>
      </c>
      <c r="F17" s="149">
        <v>0.85557986870897151</v>
      </c>
      <c r="G17" s="150">
        <v>89843.03</v>
      </c>
      <c r="H17" s="150">
        <v>64.550000000000011</v>
      </c>
      <c r="I17" s="150">
        <v>2185.85</v>
      </c>
      <c r="J17" s="150">
        <v>73332.040000000197</v>
      </c>
      <c r="K17" s="150">
        <v>187.54997442455294</v>
      </c>
      <c r="L17" s="151">
        <v>0.99999999999999722</v>
      </c>
      <c r="M17" s="151">
        <v>0.84127216101238123</v>
      </c>
      <c r="N17" s="160"/>
      <c r="O17" s="150"/>
      <c r="P17" s="151">
        <v>0</v>
      </c>
      <c r="Q17" s="151"/>
      <c r="R17" s="213"/>
    </row>
    <row r="18" spans="2:18" ht="15" customHeight="1">
      <c r="B18" s="212"/>
      <c r="C18" s="165"/>
      <c r="D18" s="166"/>
      <c r="E18" s="166"/>
      <c r="F18" s="166"/>
      <c r="G18" s="166"/>
      <c r="H18" s="166"/>
      <c r="I18" s="166"/>
      <c r="J18" s="166"/>
      <c r="K18" s="166"/>
      <c r="L18" s="166"/>
      <c r="M18" s="166"/>
      <c r="N18" s="166"/>
      <c r="O18" s="166"/>
      <c r="P18" s="166"/>
      <c r="Q18" s="166"/>
      <c r="R18" s="213"/>
    </row>
    <row r="19" spans="2:18" ht="15" customHeight="1" thickBot="1">
      <c r="B19" s="212"/>
      <c r="C19" s="165"/>
      <c r="D19" s="166"/>
      <c r="E19" s="166"/>
      <c r="F19" s="166"/>
      <c r="G19" s="166"/>
      <c r="H19" s="166"/>
      <c r="I19" s="166"/>
      <c r="J19" s="166"/>
      <c r="K19" s="166"/>
      <c r="L19" s="166"/>
      <c r="M19" s="166"/>
      <c r="N19" s="166"/>
      <c r="O19" s="166"/>
      <c r="P19" s="166"/>
      <c r="Q19" s="166"/>
      <c r="R19" s="213"/>
    </row>
    <row r="20" spans="2:18" ht="15" customHeight="1" thickBot="1">
      <c r="B20" s="212"/>
      <c r="C20" s="164" t="s">
        <v>158</v>
      </c>
      <c r="D20" s="164"/>
      <c r="E20" s="165"/>
      <c r="F20" s="165"/>
      <c r="G20" s="165"/>
      <c r="H20" s="205">
        <v>8.9999999999999998E-4</v>
      </c>
      <c r="I20" s="205">
        <v>2.8899999999999999E-2</v>
      </c>
      <c r="J20" s="205">
        <v>0.97019999999999995</v>
      </c>
      <c r="K20" s="165"/>
      <c r="L20" s="165"/>
      <c r="M20" s="165"/>
      <c r="N20" s="165"/>
      <c r="O20" s="165"/>
      <c r="P20" s="166"/>
      <c r="Q20" s="166"/>
      <c r="R20" s="213"/>
    </row>
    <row r="21" spans="2:18" ht="15" customHeight="1" thickBot="1">
      <c r="B21" s="212"/>
      <c r="C21" s="165"/>
      <c r="D21" s="165"/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  <c r="P21" s="166"/>
      <c r="Q21" s="166"/>
      <c r="R21" s="213"/>
    </row>
    <row r="22" spans="2:18" ht="15" customHeight="1" thickBot="1">
      <c r="B22" s="212"/>
      <c r="C22" s="164" t="s">
        <v>159</v>
      </c>
      <c r="D22" s="164"/>
      <c r="E22" s="165"/>
      <c r="F22" s="165"/>
      <c r="G22" s="150">
        <v>196.59</v>
      </c>
      <c r="H22" s="150">
        <v>0.14000000000000001</v>
      </c>
      <c r="I22" s="150">
        <v>4.78</v>
      </c>
      <c r="J22" s="150">
        <v>160.46</v>
      </c>
      <c r="K22" s="165"/>
      <c r="L22" s="165"/>
      <c r="M22" s="165"/>
      <c r="N22" s="165"/>
      <c r="O22" s="165"/>
      <c r="P22" s="166"/>
      <c r="Q22" s="166"/>
      <c r="R22" s="213"/>
    </row>
    <row r="23" spans="2:18" ht="15" customHeight="1" thickBot="1">
      <c r="B23" s="212"/>
      <c r="C23" s="164" t="s">
        <v>160</v>
      </c>
      <c r="D23" s="164"/>
      <c r="E23" s="165"/>
      <c r="F23" s="165"/>
      <c r="G23" s="150">
        <v>304.55</v>
      </c>
      <c r="H23" s="150">
        <v>0.22</v>
      </c>
      <c r="I23" s="150">
        <v>7.41</v>
      </c>
      <c r="J23" s="150">
        <v>248.58</v>
      </c>
      <c r="K23" s="165"/>
      <c r="L23" s="165"/>
      <c r="M23" s="165"/>
      <c r="N23" s="165"/>
      <c r="O23" s="165"/>
      <c r="P23" s="166"/>
      <c r="Q23" s="166"/>
      <c r="R23" s="213"/>
    </row>
    <row r="24" spans="2:18" ht="15" customHeight="1">
      <c r="B24" s="212"/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6"/>
      <c r="Q24" s="166"/>
      <c r="R24" s="213"/>
    </row>
    <row r="25" spans="2:18" ht="15" customHeight="1">
      <c r="B25" s="212"/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6"/>
      <c r="Q25" s="166"/>
      <c r="R25" s="213"/>
    </row>
    <row r="26" spans="2:18" ht="12" customHeight="1">
      <c r="B26" s="214"/>
      <c r="C26" s="168"/>
      <c r="D26" s="168"/>
      <c r="E26" s="168"/>
      <c r="F26" s="168"/>
      <c r="G26" s="168"/>
      <c r="H26" s="168"/>
      <c r="I26" s="168"/>
      <c r="J26" s="168"/>
      <c r="K26" s="168"/>
      <c r="L26" s="168"/>
      <c r="M26" s="168"/>
      <c r="N26" s="168"/>
      <c r="O26" s="168"/>
      <c r="P26" s="169"/>
      <c r="Q26" s="169"/>
      <c r="R26" s="216"/>
    </row>
    <row r="27" spans="2:18" ht="15.35">
      <c r="G27" s="50"/>
      <c r="J27" s="50"/>
      <c r="K27" s="165"/>
      <c r="L27" s="165"/>
      <c r="M27" s="165"/>
      <c r="N27" s="165"/>
      <c r="O27" s="165"/>
      <c r="P27" s="166"/>
      <c r="Q27" s="166"/>
    </row>
    <row r="28" spans="2:18" ht="15.35">
      <c r="G28" s="234"/>
      <c r="H28" s="175"/>
      <c r="I28" s="165"/>
      <c r="J28" s="165"/>
      <c r="K28" s="165"/>
      <c r="L28" s="165"/>
      <c r="M28" s="165"/>
      <c r="N28" s="165"/>
      <c r="O28" s="165"/>
      <c r="P28" s="166"/>
      <c r="Q28" s="166"/>
    </row>
    <row r="29" spans="2:18">
      <c r="H29" s="165"/>
      <c r="I29" s="165"/>
      <c r="J29" s="165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867E7-D1FC-4476-9F30-19088FE6D2E7}">
  <sheetPr>
    <tabColor theme="4" tint="0.79998168889431442"/>
  </sheetPr>
  <dimension ref="A1:V28"/>
  <sheetViews>
    <sheetView showGridLines="0" zoomScale="70" zoomScaleNormal="70" workbookViewId="0">
      <selection activeCell="A16" sqref="A16:XFD16"/>
    </sheetView>
  </sheetViews>
  <sheetFormatPr baseColWidth="10" defaultColWidth="11.41015625" defaultRowHeight="14.35"/>
  <cols>
    <col min="1" max="1" width="2.87890625" style="207" customWidth="1"/>
    <col min="2" max="2" width="4.29296875" style="223" customWidth="1"/>
    <col min="3" max="3" width="10" style="223" customWidth="1"/>
    <col min="4" max="4" width="50.703125" style="223" customWidth="1"/>
    <col min="5" max="5" width="12" style="223" bestFit="1" customWidth="1"/>
    <col min="6" max="11" width="14.29296875" style="223" customWidth="1"/>
    <col min="12" max="12" width="15.703125" style="223" customWidth="1"/>
    <col min="13" max="13" width="10.703125" style="223" customWidth="1"/>
    <col min="14" max="14" width="1.41015625" style="223" customWidth="1"/>
    <col min="15" max="15" width="14.29296875" style="223" customWidth="1"/>
    <col min="16" max="16" width="15.703125" style="223" customWidth="1"/>
    <col min="17" max="17" width="10.703125" style="223" customWidth="1"/>
    <col min="18" max="18" width="4.29296875" style="223" customWidth="1"/>
    <col min="19" max="19" width="2.87890625" style="223" customWidth="1"/>
    <col min="20" max="21" width="11.41015625" style="223"/>
    <col min="22" max="22" width="16.703125" style="223" bestFit="1" customWidth="1"/>
    <col min="23" max="16384" width="11.41015625" style="223"/>
  </cols>
  <sheetData>
    <row r="1" spans="1:22">
      <c r="A1" s="207">
        <v>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</row>
    <row r="2" spans="1:22" ht="15" customHeight="1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1"/>
      <c r="V2" s="39"/>
    </row>
    <row r="3" spans="1:22" ht="15" customHeight="1">
      <c r="B3" s="212"/>
      <c r="R3" s="213"/>
    </row>
    <row r="4" spans="1:22" ht="15" customHeight="1">
      <c r="B4" s="212"/>
      <c r="R4" s="213"/>
    </row>
    <row r="5" spans="1:22" ht="15" customHeight="1">
      <c r="B5" s="212"/>
      <c r="R5" s="213"/>
    </row>
    <row r="6" spans="1:22" ht="15" customHeight="1" thickBot="1">
      <c r="B6" s="212"/>
      <c r="R6" s="213"/>
    </row>
    <row r="7" spans="1:22" ht="15" hidden="1" customHeight="1">
      <c r="B7" s="212"/>
      <c r="R7" s="213"/>
    </row>
    <row r="8" spans="1:22" ht="60" customHeight="1" thickBot="1">
      <c r="B8" s="212"/>
      <c r="C8" s="279" t="str">
        <f>'Page de garde'!C13&amp;" : Détail des Prestations Réglées - Synthèse par famille d'actes"</f>
        <v>47500207 - 47502122 - 47525653 - 47530591 : Détail des Prestations Réglées - Synthèse par famille d'actes</v>
      </c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280"/>
      <c r="Q8" s="281"/>
      <c r="R8" s="213"/>
    </row>
    <row r="9" spans="1:22">
      <c r="B9" s="212"/>
      <c r="R9" s="213"/>
    </row>
    <row r="10" spans="1:22">
      <c r="B10" s="212"/>
      <c r="R10" s="213"/>
    </row>
    <row r="11" spans="1:22" ht="14.7" thickBot="1">
      <c r="B11" s="212"/>
      <c r="R11" s="213"/>
    </row>
    <row r="12" spans="1:22" ht="14.7" thickBot="1">
      <c r="B12" s="212"/>
      <c r="C12" s="38"/>
      <c r="D12" s="38"/>
      <c r="E12" s="295" t="s">
        <v>75</v>
      </c>
      <c r="F12" s="296"/>
      <c r="G12" s="296"/>
      <c r="H12" s="296"/>
      <c r="I12" s="296"/>
      <c r="J12" s="296"/>
      <c r="K12" s="296"/>
      <c r="L12" s="296"/>
      <c r="M12" s="297"/>
      <c r="N12" s="36"/>
      <c r="O12" s="295" t="s">
        <v>301</v>
      </c>
      <c r="P12" s="296"/>
      <c r="Q12" s="297"/>
      <c r="R12" s="213"/>
    </row>
    <row r="13" spans="1:22" ht="14.7" thickBot="1">
      <c r="B13" s="212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213"/>
    </row>
    <row r="14" spans="1:22" ht="45" customHeight="1" thickBot="1">
      <c r="B14" s="212"/>
      <c r="C14" s="38"/>
      <c r="D14" s="38"/>
      <c r="E14" s="217" t="s">
        <v>76</v>
      </c>
      <c r="F14" s="217" t="s">
        <v>77</v>
      </c>
      <c r="G14" s="146" t="s">
        <v>78</v>
      </c>
      <c r="H14" s="217" t="s">
        <v>79</v>
      </c>
      <c r="I14" s="217" t="s">
        <v>80</v>
      </c>
      <c r="J14" s="217" t="s">
        <v>81</v>
      </c>
      <c r="K14" s="147" t="s">
        <v>82</v>
      </c>
      <c r="L14" s="147" t="s">
        <v>83</v>
      </c>
      <c r="M14" s="147" t="s">
        <v>84</v>
      </c>
      <c r="N14" s="36"/>
      <c r="O14" s="174" t="s">
        <v>82</v>
      </c>
      <c r="P14" s="174" t="s">
        <v>83</v>
      </c>
      <c r="Q14" s="147" t="s">
        <v>84</v>
      </c>
      <c r="R14" s="213"/>
    </row>
    <row r="15" spans="1:22" ht="15" customHeight="1" thickBot="1">
      <c r="B15" s="212"/>
      <c r="C15" s="158" t="s">
        <v>149</v>
      </c>
      <c r="D15" s="159"/>
      <c r="E15" s="72">
        <v>204</v>
      </c>
      <c r="F15" s="84">
        <v>0.44638949671772427</v>
      </c>
      <c r="G15" s="73">
        <v>11530.02</v>
      </c>
      <c r="H15" s="73">
        <v>0</v>
      </c>
      <c r="I15" s="73">
        <v>40</v>
      </c>
      <c r="J15" s="73">
        <v>11046.9</v>
      </c>
      <c r="K15" s="73">
        <v>54.151470588235291</v>
      </c>
      <c r="L15" s="74">
        <v>1</v>
      </c>
      <c r="M15" s="74">
        <v>0.96156814992515183</v>
      </c>
      <c r="N15" s="160"/>
      <c r="O15" s="73">
        <v>0</v>
      </c>
      <c r="P15" s="74">
        <v>0</v>
      </c>
      <c r="Q15" s="74">
        <v>0</v>
      </c>
      <c r="R15" s="213"/>
      <c r="T15" s="176"/>
    </row>
    <row r="16" spans="1:22" ht="15" customHeight="1" thickBot="1">
      <c r="B16" s="212"/>
      <c r="C16" s="163" t="s">
        <v>49</v>
      </c>
      <c r="D16" s="164"/>
      <c r="E16" s="148">
        <v>204</v>
      </c>
      <c r="F16" s="149">
        <v>0.44638949671772427</v>
      </c>
      <c r="G16" s="150">
        <v>11530.02</v>
      </c>
      <c r="H16" s="150">
        <v>0</v>
      </c>
      <c r="I16" s="150">
        <v>40</v>
      </c>
      <c r="J16" s="150">
        <v>11046.9</v>
      </c>
      <c r="K16" s="150">
        <v>54.151470588235291</v>
      </c>
      <c r="L16" s="151">
        <v>1</v>
      </c>
      <c r="M16" s="151">
        <v>0.96156814992515183</v>
      </c>
      <c r="N16" s="160"/>
      <c r="O16" s="150"/>
      <c r="P16" s="151">
        <v>0</v>
      </c>
      <c r="Q16" s="151"/>
      <c r="R16" s="213"/>
    </row>
    <row r="17" spans="2:18" ht="15" customHeight="1">
      <c r="B17" s="212"/>
      <c r="C17" s="165"/>
      <c r="D17" s="166"/>
      <c r="E17" s="166"/>
      <c r="F17" s="166"/>
      <c r="G17" s="166"/>
      <c r="H17" s="166"/>
      <c r="I17" s="166"/>
      <c r="J17" s="166"/>
      <c r="K17" s="166"/>
      <c r="L17" s="166"/>
      <c r="M17" s="166"/>
      <c r="N17" s="166"/>
      <c r="O17" s="166"/>
      <c r="P17" s="166"/>
      <c r="Q17" s="166"/>
      <c r="R17" s="213"/>
    </row>
    <row r="18" spans="2:18" ht="15" customHeight="1" thickBot="1">
      <c r="B18" s="212"/>
      <c r="C18" s="165"/>
      <c r="D18" s="166"/>
      <c r="E18" s="166"/>
      <c r="F18" s="166"/>
      <c r="G18" s="166"/>
      <c r="H18" s="166"/>
      <c r="I18" s="166"/>
      <c r="J18" s="166"/>
      <c r="K18" s="166"/>
      <c r="L18" s="166"/>
      <c r="M18" s="166"/>
      <c r="N18" s="166"/>
      <c r="O18" s="166"/>
      <c r="P18" s="166"/>
      <c r="Q18" s="166"/>
      <c r="R18" s="213"/>
    </row>
    <row r="19" spans="2:18" ht="15" customHeight="1" thickBot="1">
      <c r="B19" s="212"/>
      <c r="C19" s="164" t="s">
        <v>158</v>
      </c>
      <c r="D19" s="164"/>
      <c r="E19" s="165"/>
      <c r="F19" s="165"/>
      <c r="G19" s="165"/>
      <c r="H19" s="205">
        <v>0</v>
      </c>
      <c r="I19" s="205">
        <v>3.5999999999999999E-3</v>
      </c>
      <c r="J19" s="205">
        <v>0.99639999999999995</v>
      </c>
      <c r="K19" s="165"/>
      <c r="L19" s="165"/>
      <c r="M19" s="165"/>
      <c r="N19" s="165"/>
      <c r="O19" s="165"/>
      <c r="P19" s="166"/>
      <c r="Q19" s="166"/>
      <c r="R19" s="213"/>
    </row>
    <row r="20" spans="2:18" ht="15" customHeight="1" thickBot="1">
      <c r="B20" s="212"/>
      <c r="C20" s="165"/>
      <c r="D20" s="165"/>
      <c r="E20" s="165"/>
      <c r="F20" s="165"/>
      <c r="G20" s="165"/>
      <c r="H20" s="165"/>
      <c r="I20" s="165"/>
      <c r="J20" s="165"/>
      <c r="K20" s="165"/>
      <c r="L20" s="165"/>
      <c r="M20" s="165"/>
      <c r="N20" s="165"/>
      <c r="O20" s="165"/>
      <c r="P20" s="166"/>
      <c r="Q20" s="166"/>
      <c r="R20" s="213"/>
    </row>
    <row r="21" spans="2:18" ht="15" customHeight="1" thickBot="1">
      <c r="B21" s="212"/>
      <c r="C21" s="164" t="s">
        <v>159</v>
      </c>
      <c r="D21" s="164"/>
      <c r="E21" s="165"/>
      <c r="F21" s="165"/>
      <c r="G21" s="150">
        <v>25.23</v>
      </c>
      <c r="H21" s="150">
        <v>0</v>
      </c>
      <c r="I21" s="150">
        <v>0.09</v>
      </c>
      <c r="J21" s="150">
        <v>24.17</v>
      </c>
      <c r="K21" s="165"/>
      <c r="L21" s="165"/>
      <c r="M21" s="165"/>
      <c r="N21" s="165"/>
      <c r="O21" s="165"/>
      <c r="P21" s="166"/>
      <c r="Q21" s="166"/>
      <c r="R21" s="213"/>
    </row>
    <row r="22" spans="2:18" ht="15" customHeight="1" thickBot="1">
      <c r="B22" s="212"/>
      <c r="C22" s="164" t="s">
        <v>160</v>
      </c>
      <c r="D22" s="164"/>
      <c r="E22" s="165"/>
      <c r="F22" s="165"/>
      <c r="G22" s="150">
        <v>39.08</v>
      </c>
      <c r="H22" s="150">
        <v>0</v>
      </c>
      <c r="I22" s="150">
        <v>0.14000000000000001</v>
      </c>
      <c r="J22" s="150">
        <v>37.450000000000003</v>
      </c>
      <c r="K22" s="165"/>
      <c r="L22" s="165"/>
      <c r="M22" s="165"/>
      <c r="N22" s="165"/>
      <c r="O22" s="165"/>
      <c r="P22" s="166"/>
      <c r="Q22" s="166"/>
      <c r="R22" s="213"/>
    </row>
    <row r="23" spans="2:18" ht="15" customHeight="1">
      <c r="B23" s="212"/>
      <c r="C23" s="165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6"/>
      <c r="Q23" s="166"/>
      <c r="R23" s="213"/>
    </row>
    <row r="24" spans="2:18" ht="15" customHeight="1">
      <c r="B24" s="212"/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6"/>
      <c r="Q24" s="166"/>
      <c r="R24" s="213"/>
    </row>
    <row r="25" spans="2:18" ht="12" customHeight="1">
      <c r="B25" s="214"/>
      <c r="C25" s="168"/>
      <c r="D25" s="168"/>
      <c r="E25" s="168"/>
      <c r="F25" s="168"/>
      <c r="G25" s="168"/>
      <c r="H25" s="168"/>
      <c r="I25" s="168"/>
      <c r="J25" s="168"/>
      <c r="K25" s="168"/>
      <c r="L25" s="168"/>
      <c r="M25" s="168"/>
      <c r="N25" s="168"/>
      <c r="O25" s="168"/>
      <c r="P25" s="169"/>
      <c r="Q25" s="169"/>
      <c r="R25" s="216"/>
    </row>
    <row r="26" spans="2:18" ht="15.35">
      <c r="G26" s="50"/>
      <c r="J26" s="50"/>
      <c r="K26" s="165"/>
      <c r="L26" s="165"/>
      <c r="M26" s="165"/>
      <c r="N26" s="165"/>
      <c r="O26" s="165"/>
      <c r="P26" s="166"/>
      <c r="Q26" s="166"/>
    </row>
    <row r="27" spans="2:18" ht="15.35">
      <c r="G27" s="234"/>
      <c r="H27" s="175"/>
      <c r="I27" s="165"/>
      <c r="J27" s="165"/>
      <c r="K27" s="165"/>
      <c r="L27" s="165"/>
      <c r="M27" s="165"/>
      <c r="N27" s="165"/>
      <c r="O27" s="165"/>
      <c r="P27" s="166"/>
      <c r="Q27" s="166"/>
    </row>
    <row r="28" spans="2:18">
      <c r="H28" s="165"/>
      <c r="I28" s="165"/>
      <c r="J28" s="165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B6BB2-19BA-4FE7-8747-3735F3A866E9}">
  <sheetPr>
    <tabColor theme="4" tint="0.79998168889431442"/>
  </sheetPr>
  <dimension ref="A1:V30"/>
  <sheetViews>
    <sheetView showGridLines="0" zoomScale="70" zoomScaleNormal="70" workbookViewId="0">
      <selection activeCell="A18" sqref="A18:XFD18"/>
    </sheetView>
  </sheetViews>
  <sheetFormatPr baseColWidth="10" defaultColWidth="11.41015625" defaultRowHeight="14.35"/>
  <cols>
    <col min="1" max="1" width="2.87890625" style="207" customWidth="1"/>
    <col min="2" max="2" width="4.29296875" style="223" customWidth="1"/>
    <col min="3" max="3" width="10" style="223" customWidth="1"/>
    <col min="4" max="4" width="50.703125" style="223" customWidth="1"/>
    <col min="5" max="5" width="12" style="223" bestFit="1" customWidth="1"/>
    <col min="6" max="11" width="14.29296875" style="223" customWidth="1"/>
    <col min="12" max="12" width="15.703125" style="223" customWidth="1"/>
    <col min="13" max="13" width="10.703125" style="223" customWidth="1"/>
    <col min="14" max="14" width="1.41015625" style="223" customWidth="1"/>
    <col min="15" max="15" width="14.29296875" style="223" customWidth="1"/>
    <col min="16" max="16" width="15.703125" style="223" customWidth="1"/>
    <col min="17" max="17" width="10.703125" style="223" customWidth="1"/>
    <col min="18" max="18" width="4.29296875" style="223" customWidth="1"/>
    <col min="19" max="19" width="2.87890625" style="223" customWidth="1"/>
    <col min="20" max="21" width="11.41015625" style="223"/>
    <col min="22" max="22" width="16.703125" style="223" bestFit="1" customWidth="1"/>
    <col min="23" max="16384" width="11.41015625" style="223"/>
  </cols>
  <sheetData>
    <row r="1" spans="1:22">
      <c r="A1" s="207">
        <v>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</row>
    <row r="2" spans="1:22" ht="15" customHeight="1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1"/>
      <c r="V2" s="39"/>
    </row>
    <row r="3" spans="1:22" ht="15" customHeight="1">
      <c r="B3" s="212"/>
      <c r="R3" s="213"/>
    </row>
    <row r="4" spans="1:22" ht="15" customHeight="1">
      <c r="B4" s="212"/>
      <c r="R4" s="213"/>
    </row>
    <row r="5" spans="1:22" ht="15" customHeight="1">
      <c r="B5" s="212"/>
      <c r="R5" s="213"/>
    </row>
    <row r="6" spans="1:22" ht="15" customHeight="1" thickBot="1">
      <c r="B6" s="212"/>
      <c r="R6" s="213"/>
    </row>
    <row r="7" spans="1:22" ht="15" hidden="1" customHeight="1">
      <c r="B7" s="212"/>
      <c r="R7" s="213"/>
    </row>
    <row r="8" spans="1:22" ht="60" customHeight="1" thickBot="1">
      <c r="B8" s="212"/>
      <c r="C8" s="279" t="str">
        <f>'Page de garde'!C13&amp;" : Détail des Prestations Réglées - Synthèse par famille d'actes"</f>
        <v>47500207 - 47502122 - 47525653 - 47530591 : Détail des Prestations Réglées - Synthèse par famille d'actes</v>
      </c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280"/>
      <c r="Q8" s="281"/>
      <c r="R8" s="213"/>
    </row>
    <row r="9" spans="1:22">
      <c r="B9" s="212"/>
      <c r="R9" s="213"/>
    </row>
    <row r="10" spans="1:22">
      <c r="B10" s="212"/>
      <c r="R10" s="213"/>
    </row>
    <row r="11" spans="1:22" ht="14.7" thickBot="1">
      <c r="B11" s="212"/>
      <c r="R11" s="213"/>
    </row>
    <row r="12" spans="1:22" ht="14.7" thickBot="1">
      <c r="B12" s="212"/>
      <c r="C12" s="38"/>
      <c r="D12" s="38"/>
      <c r="E12" s="295" t="s">
        <v>75</v>
      </c>
      <c r="F12" s="296"/>
      <c r="G12" s="296"/>
      <c r="H12" s="296"/>
      <c r="I12" s="296"/>
      <c r="J12" s="296"/>
      <c r="K12" s="296"/>
      <c r="L12" s="296"/>
      <c r="M12" s="297"/>
      <c r="N12" s="36"/>
      <c r="O12" s="295" t="s">
        <v>301</v>
      </c>
      <c r="P12" s="296"/>
      <c r="Q12" s="297"/>
      <c r="R12" s="213"/>
    </row>
    <row r="13" spans="1:22" ht="14.7" thickBot="1">
      <c r="B13" s="212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213"/>
    </row>
    <row r="14" spans="1:22" ht="45" customHeight="1" thickBot="1">
      <c r="B14" s="212"/>
      <c r="C14" s="38"/>
      <c r="D14" s="38"/>
      <c r="E14" s="217" t="s">
        <v>76</v>
      </c>
      <c r="F14" s="217" t="s">
        <v>77</v>
      </c>
      <c r="G14" s="146" t="s">
        <v>78</v>
      </c>
      <c r="H14" s="217" t="s">
        <v>79</v>
      </c>
      <c r="I14" s="217" t="s">
        <v>80</v>
      </c>
      <c r="J14" s="217" t="s">
        <v>81</v>
      </c>
      <c r="K14" s="147" t="s">
        <v>82</v>
      </c>
      <c r="L14" s="147" t="s">
        <v>83</v>
      </c>
      <c r="M14" s="147" t="s">
        <v>84</v>
      </c>
      <c r="N14" s="36"/>
      <c r="O14" s="174" t="s">
        <v>82</v>
      </c>
      <c r="P14" s="174" t="s">
        <v>83</v>
      </c>
      <c r="Q14" s="147" t="s">
        <v>84</v>
      </c>
      <c r="R14" s="213"/>
    </row>
    <row r="15" spans="1:22" ht="15" customHeight="1" thickBot="1">
      <c r="B15" s="212"/>
      <c r="C15" s="158" t="s">
        <v>151</v>
      </c>
      <c r="D15" s="159"/>
      <c r="E15" s="72">
        <v>25202</v>
      </c>
      <c r="F15" s="84">
        <v>55.146608315098469</v>
      </c>
      <c r="G15" s="73">
        <v>374401.16999999731</v>
      </c>
      <c r="H15" s="73">
        <v>163902.670000004</v>
      </c>
      <c r="I15" s="73">
        <v>21636.100000000002</v>
      </c>
      <c r="J15" s="73">
        <v>151653.6800000004</v>
      </c>
      <c r="K15" s="73">
        <v>6.0175255932068881</v>
      </c>
      <c r="L15" s="74">
        <v>0.99999999999999734</v>
      </c>
      <c r="M15" s="74">
        <v>0.90061804561134262</v>
      </c>
      <c r="N15" s="160"/>
      <c r="O15" s="73">
        <v>0</v>
      </c>
      <c r="P15" s="74">
        <v>0</v>
      </c>
      <c r="Q15" s="74">
        <v>0</v>
      </c>
      <c r="R15" s="213"/>
      <c r="T15" s="176"/>
    </row>
    <row r="16" spans="1:22" ht="15" customHeight="1" thickBot="1">
      <c r="B16" s="212"/>
      <c r="C16" s="239"/>
      <c r="D16" s="240" t="s">
        <v>154</v>
      </c>
      <c r="E16" s="241">
        <v>1088</v>
      </c>
      <c r="F16" s="242">
        <v>2.3807439824945296</v>
      </c>
      <c r="G16" s="243">
        <v>25599.84</v>
      </c>
      <c r="H16" s="243">
        <v>15405.59</v>
      </c>
      <c r="I16" s="243">
        <v>0</v>
      </c>
      <c r="J16" s="243">
        <v>10194.25</v>
      </c>
      <c r="K16" s="243">
        <v>9.3697150735294112</v>
      </c>
      <c r="L16" s="244">
        <v>6.7220591020277082E-2</v>
      </c>
      <c r="M16" s="244">
        <v>1</v>
      </c>
      <c r="N16" s="245"/>
      <c r="O16" s="243">
        <v>0</v>
      </c>
      <c r="P16" s="244">
        <v>0</v>
      </c>
      <c r="Q16" s="244">
        <v>0</v>
      </c>
      <c r="R16" s="213"/>
      <c r="T16" s="176"/>
    </row>
    <row r="17" spans="2:20" ht="15" customHeight="1" thickBot="1">
      <c r="B17" s="212"/>
      <c r="C17" s="239"/>
      <c r="D17" s="240" t="s">
        <v>155</v>
      </c>
      <c r="E17" s="241">
        <v>1728</v>
      </c>
      <c r="F17" s="242">
        <v>3.7811816192560177</v>
      </c>
      <c r="G17" s="243">
        <v>30670.2399999999</v>
      </c>
      <c r="H17" s="243">
        <v>12566.040000000099</v>
      </c>
      <c r="I17" s="243">
        <v>20</v>
      </c>
      <c r="J17" s="243">
        <v>17996.3300000001</v>
      </c>
      <c r="K17" s="243">
        <v>10.414542824074076</v>
      </c>
      <c r="L17" s="244">
        <v>0.11866728192814019</v>
      </c>
      <c r="M17" s="244">
        <v>0.99713500774692332</v>
      </c>
      <c r="N17" s="245"/>
      <c r="O17" s="243">
        <v>0</v>
      </c>
      <c r="P17" s="244">
        <v>0</v>
      </c>
      <c r="Q17" s="244">
        <v>0</v>
      </c>
      <c r="R17" s="213"/>
      <c r="T17" s="176"/>
    </row>
    <row r="18" spans="2:20" ht="15" customHeight="1" thickBot="1">
      <c r="B18" s="212"/>
      <c r="C18" s="163" t="s">
        <v>49</v>
      </c>
      <c r="D18" s="164"/>
      <c r="E18" s="148">
        <v>25202</v>
      </c>
      <c r="F18" s="149">
        <v>55.146608315098469</v>
      </c>
      <c r="G18" s="150">
        <v>374401.16999999731</v>
      </c>
      <c r="H18" s="150">
        <v>163902.670000004</v>
      </c>
      <c r="I18" s="150">
        <v>21636.100000000002</v>
      </c>
      <c r="J18" s="150">
        <v>151653.6800000004</v>
      </c>
      <c r="K18" s="150">
        <v>6.0175255932069041</v>
      </c>
      <c r="L18" s="151">
        <v>0.99999999999999734</v>
      </c>
      <c r="M18" s="151">
        <v>0.90061804561136072</v>
      </c>
      <c r="N18" s="160"/>
      <c r="O18" s="150"/>
      <c r="P18" s="151">
        <v>0</v>
      </c>
      <c r="Q18" s="151"/>
      <c r="R18" s="213"/>
    </row>
    <row r="19" spans="2:20" ht="15" customHeight="1">
      <c r="B19" s="212"/>
      <c r="C19" s="165"/>
      <c r="D19" s="166"/>
      <c r="E19" s="166"/>
      <c r="F19" s="166"/>
      <c r="G19" s="166"/>
      <c r="H19" s="166"/>
      <c r="I19" s="166"/>
      <c r="J19" s="166"/>
      <c r="K19" s="166"/>
      <c r="L19" s="166"/>
      <c r="M19" s="166"/>
      <c r="N19" s="166"/>
      <c r="O19" s="166"/>
      <c r="P19" s="166"/>
      <c r="Q19" s="166"/>
      <c r="R19" s="213"/>
    </row>
    <row r="20" spans="2:20" ht="15" customHeight="1" thickBot="1">
      <c r="B20" s="212"/>
      <c r="C20" s="165"/>
      <c r="D20" s="166"/>
      <c r="E20" s="166"/>
      <c r="F20" s="166"/>
      <c r="G20" s="166"/>
      <c r="H20" s="166"/>
      <c r="I20" s="166"/>
      <c r="J20" s="166"/>
      <c r="K20" s="166"/>
      <c r="L20" s="166"/>
      <c r="M20" s="166"/>
      <c r="N20" s="166"/>
      <c r="O20" s="166"/>
      <c r="P20" s="166"/>
      <c r="Q20" s="166"/>
      <c r="R20" s="213"/>
    </row>
    <row r="21" spans="2:20" ht="15" customHeight="1" thickBot="1">
      <c r="B21" s="212"/>
      <c r="C21" s="164" t="s">
        <v>158</v>
      </c>
      <c r="D21" s="164"/>
      <c r="E21" s="165"/>
      <c r="F21" s="165"/>
      <c r="G21" s="165"/>
      <c r="H21" s="205">
        <v>0.48609999999999998</v>
      </c>
      <c r="I21" s="205">
        <v>6.4199999999999993E-2</v>
      </c>
      <c r="J21" s="205">
        <v>0.44970000000000004</v>
      </c>
      <c r="K21" s="165"/>
      <c r="L21" s="165"/>
      <c r="M21" s="165"/>
      <c r="N21" s="165"/>
      <c r="O21" s="165"/>
      <c r="P21" s="166"/>
      <c r="Q21" s="166"/>
      <c r="R21" s="213"/>
    </row>
    <row r="22" spans="2:20" ht="15" customHeight="1" thickBot="1">
      <c r="B22" s="212"/>
      <c r="C22" s="165"/>
      <c r="D22" s="165"/>
      <c r="E22" s="165"/>
      <c r="F22" s="165"/>
      <c r="G22" s="165"/>
      <c r="H22" s="165"/>
      <c r="I22" s="165"/>
      <c r="J22" s="165"/>
      <c r="K22" s="165"/>
      <c r="L22" s="165"/>
      <c r="M22" s="165"/>
      <c r="N22" s="165"/>
      <c r="O22" s="165"/>
      <c r="P22" s="166"/>
      <c r="Q22" s="166"/>
      <c r="R22" s="213"/>
    </row>
    <row r="23" spans="2:20" ht="15" customHeight="1" thickBot="1">
      <c r="B23" s="212"/>
      <c r="C23" s="164" t="s">
        <v>159</v>
      </c>
      <c r="D23" s="164"/>
      <c r="E23" s="165"/>
      <c r="F23" s="165"/>
      <c r="G23" s="150">
        <v>819.26</v>
      </c>
      <c r="H23" s="150">
        <v>358.65</v>
      </c>
      <c r="I23" s="150">
        <v>47.34</v>
      </c>
      <c r="J23" s="150">
        <v>331.85</v>
      </c>
      <c r="K23" s="165"/>
      <c r="L23" s="165"/>
      <c r="M23" s="165"/>
      <c r="N23" s="165"/>
      <c r="O23" s="165"/>
      <c r="P23" s="166"/>
      <c r="Q23" s="166"/>
      <c r="R23" s="213"/>
    </row>
    <row r="24" spans="2:20" ht="15" customHeight="1" thickBot="1">
      <c r="B24" s="212"/>
      <c r="C24" s="164" t="s">
        <v>160</v>
      </c>
      <c r="D24" s="164"/>
      <c r="E24" s="165"/>
      <c r="F24" s="165"/>
      <c r="G24" s="150">
        <v>1269.1600000000001</v>
      </c>
      <c r="H24" s="150">
        <v>555.6</v>
      </c>
      <c r="I24" s="150">
        <v>73.34</v>
      </c>
      <c r="J24" s="150">
        <v>514.08000000000004</v>
      </c>
      <c r="K24" s="165"/>
      <c r="L24" s="165"/>
      <c r="M24" s="165"/>
      <c r="N24" s="165"/>
      <c r="O24" s="165"/>
      <c r="P24" s="166"/>
      <c r="Q24" s="166"/>
      <c r="R24" s="213"/>
    </row>
    <row r="25" spans="2:20" ht="15" customHeight="1">
      <c r="B25" s="212"/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6"/>
      <c r="Q25" s="166"/>
      <c r="R25" s="213"/>
    </row>
    <row r="26" spans="2:20" ht="15" customHeight="1">
      <c r="B26" s="212"/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6"/>
      <c r="Q26" s="166"/>
      <c r="R26" s="213"/>
    </row>
    <row r="27" spans="2:20" ht="12" customHeight="1">
      <c r="B27" s="214"/>
      <c r="C27" s="168"/>
      <c r="D27" s="168"/>
      <c r="E27" s="168"/>
      <c r="F27" s="168"/>
      <c r="G27" s="168"/>
      <c r="H27" s="168"/>
      <c r="I27" s="168"/>
      <c r="J27" s="168"/>
      <c r="K27" s="168"/>
      <c r="L27" s="168"/>
      <c r="M27" s="168"/>
      <c r="N27" s="168"/>
      <c r="O27" s="168"/>
      <c r="P27" s="169"/>
      <c r="Q27" s="169"/>
      <c r="R27" s="216"/>
    </row>
    <row r="28" spans="2:20" ht="15.35">
      <c r="G28" s="50"/>
      <c r="J28" s="50"/>
      <c r="K28" s="165"/>
      <c r="L28" s="165"/>
      <c r="M28" s="165"/>
      <c r="N28" s="165"/>
      <c r="O28" s="165"/>
      <c r="P28" s="166"/>
      <c r="Q28" s="166"/>
    </row>
    <row r="29" spans="2:20" ht="15.35">
      <c r="G29" s="234"/>
      <c r="H29" s="175"/>
      <c r="I29" s="165"/>
      <c r="J29" s="165"/>
      <c r="K29" s="165"/>
      <c r="L29" s="165"/>
      <c r="M29" s="165"/>
      <c r="N29" s="165"/>
      <c r="O29" s="165"/>
      <c r="P29" s="166"/>
      <c r="Q29" s="166"/>
    </row>
    <row r="30" spans="2:20">
      <c r="H30" s="165"/>
      <c r="I30" s="165"/>
      <c r="J30" s="165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9">
    <tabColor theme="4" tint="0.79998168889431442"/>
    <pageSetUpPr fitToPage="1"/>
  </sheetPr>
  <dimension ref="A1:V171"/>
  <sheetViews>
    <sheetView showGridLines="0" zoomScale="70" zoomScaleNormal="70" workbookViewId="0">
      <selection activeCell="A33" sqref="A33:XFD33"/>
    </sheetView>
  </sheetViews>
  <sheetFormatPr baseColWidth="10" defaultColWidth="11.41015625" defaultRowHeight="14.35"/>
  <cols>
    <col min="1" max="1" width="2.87890625" style="80" customWidth="1"/>
    <col min="2" max="2" width="4.29296875" style="89" customWidth="1"/>
    <col min="3" max="3" width="10" style="89" customWidth="1"/>
    <col min="4" max="4" width="50.703125" style="89" customWidth="1"/>
    <col min="5" max="6" width="21.41015625" style="89" customWidth="1"/>
    <col min="7" max="7" width="26.703125" style="173" customWidth="1"/>
    <col min="8" max="10" width="14.29296875" style="89" customWidth="1"/>
    <col min="11" max="11" width="10.41015625" style="89" customWidth="1"/>
    <col min="12" max="12" width="7.29296875" style="89" customWidth="1"/>
    <col min="13" max="13" width="10.703125" style="89" customWidth="1"/>
    <col min="14" max="14" width="1.41015625" style="89" customWidth="1"/>
    <col min="15" max="15" width="7.5859375" style="89" customWidth="1"/>
    <col min="16" max="16" width="6.87890625" style="89" customWidth="1"/>
    <col min="17" max="17" width="10.703125" style="89" customWidth="1"/>
    <col min="18" max="18" width="4.29296875" style="89" customWidth="1"/>
    <col min="19" max="19" width="2.87890625" style="89" customWidth="1"/>
    <col min="20" max="21" width="11.41015625" style="89" customWidth="1"/>
    <col min="22" max="22" width="16.703125" style="89" bestFit="1" customWidth="1"/>
    <col min="23" max="29" width="11.41015625" style="89" customWidth="1"/>
    <col min="30" max="16384" width="11.41015625" style="89"/>
  </cols>
  <sheetData>
    <row r="1" spans="1:22">
      <c r="B1" s="80"/>
      <c r="C1" s="80"/>
      <c r="D1" s="80"/>
      <c r="E1" s="80"/>
      <c r="F1" s="80"/>
      <c r="G1" s="188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</row>
    <row r="2" spans="1:22" ht="15" customHeight="1">
      <c r="B2" s="63"/>
      <c r="C2" s="64"/>
      <c r="D2" s="64"/>
      <c r="E2" s="64"/>
      <c r="F2" s="64"/>
      <c r="G2" s="189"/>
      <c r="H2" s="64"/>
      <c r="I2" s="64"/>
      <c r="J2" s="64"/>
      <c r="K2" s="64"/>
      <c r="L2" s="64"/>
      <c r="M2" s="64"/>
      <c r="N2" s="64"/>
      <c r="O2" s="64"/>
      <c r="P2" s="64"/>
      <c r="Q2" s="64"/>
      <c r="R2" s="65"/>
      <c r="V2" s="39"/>
    </row>
    <row r="3" spans="1:22" ht="15" customHeight="1">
      <c r="B3" s="67"/>
      <c r="R3" s="68"/>
    </row>
    <row r="4" spans="1:22" ht="15" customHeight="1">
      <c r="B4" s="67"/>
      <c r="R4" s="68"/>
    </row>
    <row r="5" spans="1:22" ht="15" customHeight="1">
      <c r="B5" s="67"/>
      <c r="R5" s="68"/>
    </row>
    <row r="6" spans="1:22" ht="15" customHeight="1" thickBot="1">
      <c r="B6" s="67"/>
      <c r="R6" s="68"/>
    </row>
    <row r="7" spans="1:22" ht="15" hidden="1" customHeight="1">
      <c r="B7" s="67"/>
      <c r="R7" s="68"/>
    </row>
    <row r="8" spans="1:22" ht="60" customHeight="1" thickBot="1">
      <c r="B8" s="67"/>
      <c r="C8" s="279" t="str">
        <f>IF(E14&lt;&gt;0,'Page de garde'!C13&amp;" : Détail des Prestations Réglées - Synthèse par famille d'actes" &amp; " - années " &amp;E14 &amp; " et "&amp;F14,'Page de garde'!C13&amp;" : Détail des Prestations Réglées - Synthèse par famille d'actes" &amp; " - année " &amp;F14)</f>
        <v>47500207 - 47502122 - 47525653 - 47530591 : Détail des Prestations Réglées - Synthèse par famille d'actes - années 2020 et 2021</v>
      </c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280"/>
      <c r="Q8" s="281"/>
      <c r="R8" s="68"/>
      <c r="V8" s="162"/>
    </row>
    <row r="9" spans="1:22">
      <c r="B9" s="67"/>
      <c r="R9" s="68"/>
    </row>
    <row r="10" spans="1:22">
      <c r="B10" s="67"/>
      <c r="R10" s="68"/>
    </row>
    <row r="11" spans="1:22">
      <c r="B11" s="67"/>
      <c r="R11" s="68"/>
    </row>
    <row r="12" spans="1:22">
      <c r="B12" s="67"/>
      <c r="C12" s="38"/>
      <c r="D12" s="38"/>
      <c r="E12" s="300" t="s">
        <v>81</v>
      </c>
      <c r="F12" s="301"/>
      <c r="G12" s="302"/>
      <c r="H12" s="38"/>
      <c r="I12" s="38"/>
      <c r="M12" s="38"/>
      <c r="N12" s="36"/>
      <c r="R12" s="68"/>
    </row>
    <row r="13" spans="1:22">
      <c r="B13" s="67"/>
      <c r="C13" s="38"/>
      <c r="D13" s="38"/>
      <c r="E13" s="38"/>
      <c r="F13" s="38"/>
      <c r="G13" s="190"/>
      <c r="H13" s="38"/>
      <c r="I13" s="38"/>
      <c r="J13" s="38"/>
      <c r="K13" s="38"/>
      <c r="L13" s="38"/>
      <c r="M13" s="38"/>
      <c r="N13" s="36"/>
      <c r="R13" s="68"/>
    </row>
    <row r="14" spans="1:22" ht="45" customHeight="1">
      <c r="B14" s="67"/>
      <c r="C14" s="38"/>
      <c r="D14" s="38"/>
      <c r="E14" s="185">
        <v>2020</v>
      </c>
      <c r="F14" s="185">
        <v>2021</v>
      </c>
      <c r="G14" s="186" t="s">
        <v>302</v>
      </c>
      <c r="H14" s="38"/>
      <c r="I14" s="38"/>
      <c r="J14" s="38"/>
      <c r="K14" s="38"/>
      <c r="L14" s="38"/>
      <c r="M14" s="38"/>
      <c r="N14" s="36"/>
      <c r="R14" s="68"/>
    </row>
    <row r="15" spans="1:22" s="162" customFormat="1" ht="15" customHeight="1" thickBot="1">
      <c r="A15" s="156"/>
      <c r="B15" s="157"/>
      <c r="C15" s="158" t="s">
        <v>242</v>
      </c>
      <c r="D15" s="159"/>
      <c r="E15" s="72">
        <v>26602.6</v>
      </c>
      <c r="F15" s="72">
        <v>9942.1199999999899</v>
      </c>
      <c r="G15" s="191">
        <v>-0.62627261996947703</v>
      </c>
      <c r="H15" s="38"/>
      <c r="I15" s="38"/>
      <c r="J15" s="38"/>
      <c r="K15" s="38"/>
      <c r="L15" s="38"/>
      <c r="M15" s="38"/>
      <c r="N15" s="160"/>
      <c r="O15" s="89"/>
      <c r="P15" s="89"/>
      <c r="Q15" s="89"/>
      <c r="R15" s="161"/>
      <c r="T15" s="176"/>
    </row>
    <row r="16" spans="1:22" s="223" customFormat="1" ht="15" customHeight="1" thickBot="1">
      <c r="A16" s="207"/>
      <c r="B16" s="212"/>
      <c r="C16" s="239"/>
      <c r="D16" s="240" t="s">
        <v>241</v>
      </c>
      <c r="E16" s="241">
        <v>11630.6</v>
      </c>
      <c r="F16" s="241">
        <v>9942.1199999999899</v>
      </c>
      <c r="G16" s="246">
        <v>-0.14517565731776605</v>
      </c>
      <c r="H16" s="247"/>
      <c r="I16" s="247"/>
      <c r="J16" s="247"/>
      <c r="K16" s="247"/>
      <c r="L16" s="247"/>
      <c r="M16" s="247"/>
      <c r="N16" s="245"/>
      <c r="O16" s="76"/>
      <c r="P16" s="76"/>
      <c r="Q16" s="76"/>
      <c r="R16" s="213"/>
      <c r="T16" s="176"/>
    </row>
    <row r="17" spans="1:20" s="223" customFormat="1" ht="15" customHeight="1" thickBot="1">
      <c r="A17" s="207"/>
      <c r="B17" s="212"/>
      <c r="C17" s="239"/>
      <c r="D17" s="240" t="s">
        <v>91</v>
      </c>
      <c r="E17" s="241">
        <v>14972</v>
      </c>
      <c r="F17" s="241">
        <v>0</v>
      </c>
      <c r="G17" s="246">
        <v>-1</v>
      </c>
      <c r="H17" s="247"/>
      <c r="I17" s="247"/>
      <c r="J17" s="247"/>
      <c r="K17" s="247"/>
      <c r="L17" s="247"/>
      <c r="M17" s="247"/>
      <c r="N17" s="245"/>
      <c r="O17" s="76"/>
      <c r="P17" s="76"/>
      <c r="Q17" s="76"/>
      <c r="R17" s="213"/>
      <c r="T17" s="176"/>
    </row>
    <row r="18" spans="1:20" s="223" customFormat="1" ht="15" customHeight="1" thickBot="1">
      <c r="A18" s="207"/>
      <c r="B18" s="212"/>
      <c r="C18" s="158" t="s">
        <v>85</v>
      </c>
      <c r="D18" s="159"/>
      <c r="E18" s="72">
        <v>25.6</v>
      </c>
      <c r="F18" s="72">
        <v>15607.720000000099</v>
      </c>
      <c r="G18" s="191">
        <v>608.6765625000038</v>
      </c>
      <c r="H18" s="38"/>
      <c r="I18" s="38"/>
      <c r="J18" s="38"/>
      <c r="K18" s="38"/>
      <c r="L18" s="38"/>
      <c r="M18" s="38"/>
      <c r="N18" s="160"/>
      <c r="R18" s="213"/>
      <c r="T18" s="176"/>
    </row>
    <row r="19" spans="1:20" s="223" customFormat="1" ht="15" customHeight="1" thickBot="1">
      <c r="A19" s="207"/>
      <c r="B19" s="212"/>
      <c r="C19" s="158" t="s">
        <v>92</v>
      </c>
      <c r="D19" s="159"/>
      <c r="E19" s="72">
        <v>169</v>
      </c>
      <c r="F19" s="72">
        <v>422.61</v>
      </c>
      <c r="G19" s="191">
        <v>1.5006508875739644</v>
      </c>
      <c r="H19" s="38"/>
      <c r="I19" s="38"/>
      <c r="J19" s="38"/>
      <c r="K19" s="38"/>
      <c r="L19" s="38"/>
      <c r="M19" s="38"/>
      <c r="N19" s="160"/>
      <c r="R19" s="213"/>
      <c r="T19" s="176"/>
    </row>
    <row r="20" spans="1:20" s="223" customFormat="1" ht="15" customHeight="1" thickBot="1">
      <c r="A20" s="207"/>
      <c r="B20" s="212"/>
      <c r="C20" s="239"/>
      <c r="D20" s="240" t="s">
        <v>93</v>
      </c>
      <c r="E20" s="241">
        <v>169</v>
      </c>
      <c r="F20" s="241">
        <v>422.61</v>
      </c>
      <c r="G20" s="246">
        <v>1.5006508875739644</v>
      </c>
      <c r="H20" s="247"/>
      <c r="I20" s="247"/>
      <c r="J20" s="247"/>
      <c r="K20" s="247"/>
      <c r="L20" s="247"/>
      <c r="M20" s="247"/>
      <c r="N20" s="245"/>
      <c r="O20" s="76"/>
      <c r="P20" s="76"/>
      <c r="Q20" s="76"/>
      <c r="R20" s="213"/>
      <c r="T20" s="176"/>
    </row>
    <row r="21" spans="1:20" s="223" customFormat="1" ht="15" customHeight="1" thickBot="1">
      <c r="A21" s="207"/>
      <c r="B21" s="212"/>
      <c r="C21" s="158" t="s">
        <v>95</v>
      </c>
      <c r="D21" s="159"/>
      <c r="E21" s="72">
        <v>100722.5</v>
      </c>
      <c r="F21" s="72">
        <v>95951.069999999992</v>
      </c>
      <c r="G21" s="191">
        <v>-4.7372037032440639E-2</v>
      </c>
      <c r="H21" s="38"/>
      <c r="I21" s="38"/>
      <c r="J21" s="38"/>
      <c r="K21" s="38"/>
      <c r="L21" s="38"/>
      <c r="M21" s="38"/>
      <c r="N21" s="160"/>
      <c r="R21" s="213"/>
      <c r="T21" s="176"/>
    </row>
    <row r="22" spans="1:20" s="223" customFormat="1" ht="15" customHeight="1" thickBot="1">
      <c r="A22" s="207"/>
      <c r="B22" s="212"/>
      <c r="C22" s="239"/>
      <c r="D22" s="240" t="s">
        <v>119</v>
      </c>
      <c r="E22" s="241">
        <v>4294.43</v>
      </c>
      <c r="F22" s="241">
        <v>7293.0099999999902</v>
      </c>
      <c r="G22" s="246">
        <v>0.69824866163844557</v>
      </c>
      <c r="H22" s="247"/>
      <c r="I22" s="247"/>
      <c r="J22" s="247"/>
      <c r="K22" s="247"/>
      <c r="L22" s="247"/>
      <c r="M22" s="247"/>
      <c r="N22" s="245"/>
      <c r="O22" s="76"/>
      <c r="P22" s="76"/>
      <c r="Q22" s="76"/>
      <c r="R22" s="213"/>
      <c r="T22" s="176"/>
    </row>
    <row r="23" spans="1:20" s="223" customFormat="1" ht="15" customHeight="1" thickBot="1">
      <c r="A23" s="207"/>
      <c r="B23" s="212"/>
      <c r="C23" s="158" t="s">
        <v>120</v>
      </c>
      <c r="D23" s="159"/>
      <c r="E23" s="72">
        <v>66614.53</v>
      </c>
      <c r="F23" s="72">
        <v>20733.629999999997</v>
      </c>
      <c r="G23" s="191">
        <v>-0.68875213860999995</v>
      </c>
      <c r="H23" s="38"/>
      <c r="I23" s="38"/>
      <c r="J23" s="38"/>
      <c r="K23" s="38"/>
      <c r="L23" s="38"/>
      <c r="M23" s="38"/>
      <c r="N23" s="160"/>
      <c r="R23" s="213"/>
      <c r="T23" s="176"/>
    </row>
    <row r="24" spans="1:20" s="223" customFormat="1" ht="15" customHeight="1" thickBot="1">
      <c r="A24" s="207"/>
      <c r="B24" s="212"/>
      <c r="C24" s="239"/>
      <c r="D24" s="240" t="s">
        <v>122</v>
      </c>
      <c r="E24" s="241">
        <v>37914.559999999998</v>
      </c>
      <c r="F24" s="241">
        <v>6938.08</v>
      </c>
      <c r="G24" s="246">
        <v>-0.81700750318611104</v>
      </c>
      <c r="H24" s="247"/>
      <c r="I24" s="247"/>
      <c r="J24" s="247"/>
      <c r="K24" s="247"/>
      <c r="L24" s="247"/>
      <c r="M24" s="247"/>
      <c r="N24" s="245"/>
      <c r="O24" s="76"/>
      <c r="P24" s="76"/>
      <c r="Q24" s="76"/>
      <c r="R24" s="213"/>
      <c r="T24" s="176"/>
    </row>
    <row r="25" spans="1:20" s="223" customFormat="1" ht="15" customHeight="1" thickBot="1">
      <c r="A25" s="207"/>
      <c r="B25" s="212"/>
      <c r="C25" s="239"/>
      <c r="D25" s="240" t="s">
        <v>123</v>
      </c>
      <c r="E25" s="241">
        <v>1047.94</v>
      </c>
      <c r="F25" s="241">
        <v>1141.1600000000001</v>
      </c>
      <c r="G25" s="246">
        <v>8.895547455006958E-2</v>
      </c>
      <c r="H25" s="247"/>
      <c r="I25" s="247"/>
      <c r="J25" s="247"/>
      <c r="K25" s="247"/>
      <c r="L25" s="247"/>
      <c r="M25" s="247"/>
      <c r="N25" s="245"/>
      <c r="O25" s="76"/>
      <c r="P25" s="76"/>
      <c r="Q25" s="76"/>
      <c r="R25" s="213"/>
      <c r="T25" s="176"/>
    </row>
    <row r="26" spans="1:20" s="223" customFormat="1" ht="15" customHeight="1" thickBot="1">
      <c r="A26" s="207"/>
      <c r="B26" s="212"/>
      <c r="C26" s="239"/>
      <c r="D26" s="240" t="s">
        <v>125</v>
      </c>
      <c r="E26" s="241">
        <v>21167.119999999999</v>
      </c>
      <c r="F26" s="241">
        <v>10917.68</v>
      </c>
      <c r="G26" s="246">
        <v>-0.48421514121902265</v>
      </c>
      <c r="H26" s="247"/>
      <c r="I26" s="247"/>
      <c r="J26" s="247"/>
      <c r="K26" s="247"/>
      <c r="L26" s="247"/>
      <c r="M26" s="247"/>
      <c r="N26" s="245"/>
      <c r="O26" s="76"/>
      <c r="P26" s="76"/>
      <c r="Q26" s="76"/>
      <c r="R26" s="213"/>
      <c r="T26" s="176"/>
    </row>
    <row r="27" spans="1:20" s="223" customFormat="1" ht="15" customHeight="1" thickBot="1">
      <c r="A27" s="207"/>
      <c r="B27" s="212"/>
      <c r="C27" s="158" t="s">
        <v>136</v>
      </c>
      <c r="D27" s="159"/>
      <c r="E27" s="72">
        <v>95056.640000000305</v>
      </c>
      <c r="F27" s="72">
        <v>73332.040000000197</v>
      </c>
      <c r="G27" s="191">
        <v>-0.22854373981659815</v>
      </c>
      <c r="H27" s="38"/>
      <c r="I27" s="38"/>
      <c r="J27" s="38"/>
      <c r="K27" s="38"/>
      <c r="L27" s="38"/>
      <c r="M27" s="38"/>
      <c r="N27" s="160"/>
      <c r="R27" s="213"/>
      <c r="T27" s="176"/>
    </row>
    <row r="28" spans="1:20" s="223" customFormat="1" ht="15" customHeight="1" thickBot="1">
      <c r="A28" s="207"/>
      <c r="B28" s="212"/>
      <c r="C28" s="239"/>
      <c r="D28" s="240" t="s">
        <v>138</v>
      </c>
      <c r="E28" s="241">
        <v>8883.6</v>
      </c>
      <c r="F28" s="241">
        <v>9436.42</v>
      </c>
      <c r="G28" s="246">
        <v>6.2229276419469626E-2</v>
      </c>
      <c r="H28" s="247"/>
      <c r="I28" s="247"/>
      <c r="J28" s="247"/>
      <c r="K28" s="247"/>
      <c r="L28" s="247"/>
      <c r="M28" s="247"/>
      <c r="N28" s="245"/>
      <c r="O28" s="76"/>
      <c r="P28" s="76"/>
      <c r="Q28" s="76"/>
      <c r="R28" s="213"/>
      <c r="T28" s="176"/>
    </row>
    <row r="29" spans="1:20" s="223" customFormat="1" ht="15" customHeight="1" thickBot="1">
      <c r="A29" s="207"/>
      <c r="B29" s="212"/>
      <c r="C29" s="158" t="s">
        <v>149</v>
      </c>
      <c r="D29" s="159"/>
      <c r="E29" s="72">
        <v>12317.68</v>
      </c>
      <c r="F29" s="72">
        <v>11046.9</v>
      </c>
      <c r="G29" s="191">
        <v>-0.10316715485383621</v>
      </c>
      <c r="H29" s="38"/>
      <c r="I29" s="38"/>
      <c r="J29" s="38"/>
      <c r="K29" s="38"/>
      <c r="L29" s="38"/>
      <c r="M29" s="38"/>
      <c r="N29" s="160"/>
      <c r="R29" s="213"/>
      <c r="T29" s="176"/>
    </row>
    <row r="30" spans="1:20" s="223" customFormat="1" ht="15" customHeight="1" thickBot="1">
      <c r="A30" s="207"/>
      <c r="B30" s="212"/>
      <c r="C30" s="158" t="s">
        <v>151</v>
      </c>
      <c r="D30" s="159"/>
      <c r="E30" s="72">
        <v>105278.25000000111</v>
      </c>
      <c r="F30" s="72">
        <v>151653.6800000004</v>
      </c>
      <c r="G30" s="191">
        <v>0.44050342782102492</v>
      </c>
      <c r="H30" s="38"/>
      <c r="I30" s="38"/>
      <c r="J30" s="38"/>
      <c r="K30" s="38"/>
      <c r="L30" s="38"/>
      <c r="M30" s="38"/>
      <c r="N30" s="160"/>
      <c r="R30" s="213"/>
      <c r="T30" s="176"/>
    </row>
    <row r="31" spans="1:20" s="223" customFormat="1" ht="15" customHeight="1" thickBot="1">
      <c r="A31" s="207"/>
      <c r="B31" s="212"/>
      <c r="C31" s="239"/>
      <c r="D31" s="240" t="s">
        <v>154</v>
      </c>
      <c r="E31" s="241">
        <v>11185.970000000099</v>
      </c>
      <c r="F31" s="241">
        <v>10194.25</v>
      </c>
      <c r="G31" s="246">
        <v>-8.8657487906734112E-2</v>
      </c>
      <c r="H31" s="247"/>
      <c r="I31" s="247"/>
      <c r="J31" s="247"/>
      <c r="K31" s="247"/>
      <c r="L31" s="247"/>
      <c r="M31" s="247"/>
      <c r="N31" s="245"/>
      <c r="O31" s="76"/>
      <c r="P31" s="76"/>
      <c r="Q31" s="76"/>
      <c r="R31" s="213"/>
      <c r="T31" s="176"/>
    </row>
    <row r="32" spans="1:20" s="223" customFormat="1" ht="15" customHeight="1" thickBot="1">
      <c r="A32" s="207"/>
      <c r="B32" s="212"/>
      <c r="C32" s="239"/>
      <c r="D32" s="240" t="s">
        <v>155</v>
      </c>
      <c r="E32" s="241">
        <v>23733.280000000101</v>
      </c>
      <c r="F32" s="241">
        <v>17996.3300000001</v>
      </c>
      <c r="G32" s="246">
        <v>-0.24172596455272832</v>
      </c>
      <c r="H32" s="247"/>
      <c r="I32" s="247"/>
      <c r="J32" s="247"/>
      <c r="K32" s="247"/>
      <c r="L32" s="247"/>
      <c r="M32" s="247"/>
      <c r="N32" s="245"/>
      <c r="O32" s="76"/>
      <c r="P32" s="76"/>
      <c r="Q32" s="76"/>
      <c r="R32" s="213"/>
      <c r="T32" s="176"/>
    </row>
    <row r="33" spans="1:18" s="162" customFormat="1" ht="15" customHeight="1" thickBot="1">
      <c r="A33" s="156"/>
      <c r="B33" s="157"/>
      <c r="C33" s="163" t="s">
        <v>49</v>
      </c>
      <c r="D33" s="164"/>
      <c r="E33" s="187">
        <v>406786.80000000139</v>
      </c>
      <c r="F33" s="187">
        <v>378689.77000000072</v>
      </c>
      <c r="G33" s="192">
        <v>-6.9070653226703915E-2</v>
      </c>
      <c r="H33" s="38"/>
      <c r="I33" s="38"/>
      <c r="J33" s="38"/>
      <c r="K33" s="38"/>
      <c r="L33" s="38"/>
      <c r="M33" s="38"/>
      <c r="N33" s="160"/>
      <c r="O33" s="89"/>
      <c r="P33" s="89"/>
      <c r="Q33" s="89"/>
      <c r="R33" s="161"/>
    </row>
    <row r="34" spans="1:18" s="162" customFormat="1" ht="15" customHeight="1">
      <c r="A34" s="156"/>
      <c r="B34" s="157"/>
      <c r="C34" s="165"/>
      <c r="D34" s="166"/>
      <c r="E34" s="184"/>
      <c r="F34" s="166"/>
      <c r="G34" s="184"/>
      <c r="H34" s="38"/>
      <c r="I34" s="38"/>
      <c r="J34" s="38"/>
      <c r="K34" s="38"/>
      <c r="L34" s="38"/>
      <c r="M34" s="38"/>
      <c r="N34" s="166"/>
      <c r="O34" s="166"/>
      <c r="P34" s="166"/>
      <c r="Q34" s="166"/>
      <c r="R34" s="161"/>
    </row>
    <row r="35" spans="1:18" s="223" customFormat="1" ht="15" customHeight="1">
      <c r="A35" s="207"/>
      <c r="B35" s="212"/>
      <c r="C35" s="165"/>
      <c r="D35" s="165"/>
      <c r="E35" s="165"/>
      <c r="F35" s="165"/>
      <c r="G35" s="165"/>
      <c r="H35" s="165"/>
      <c r="I35" s="165"/>
      <c r="J35" s="165"/>
      <c r="K35" s="165"/>
      <c r="L35" s="165"/>
      <c r="M35" s="165"/>
      <c r="N35" s="165"/>
      <c r="O35" s="165"/>
      <c r="P35" s="166"/>
      <c r="Q35" s="166"/>
      <c r="R35" s="213"/>
    </row>
    <row r="36" spans="1:18" s="223" customFormat="1" ht="12" customHeight="1">
      <c r="A36" s="207"/>
      <c r="B36" s="214"/>
      <c r="C36" s="168"/>
      <c r="D36" s="168"/>
      <c r="E36" s="168"/>
      <c r="F36" s="168"/>
      <c r="G36" s="168"/>
      <c r="H36" s="168"/>
      <c r="I36" s="168"/>
      <c r="J36" s="168"/>
      <c r="K36" s="168"/>
      <c r="L36" s="168"/>
      <c r="M36" s="168"/>
      <c r="N36" s="168"/>
      <c r="O36" s="168"/>
      <c r="P36" s="169"/>
      <c r="Q36" s="169"/>
      <c r="R36" s="216"/>
    </row>
    <row r="108" spans="1:7" s="223" customFormat="1">
      <c r="A108" s="207"/>
      <c r="G108" s="173"/>
    </row>
    <row r="109" spans="1:7" s="223" customFormat="1">
      <c r="A109" s="207"/>
      <c r="G109" s="173"/>
    </row>
    <row r="110" spans="1:7" s="223" customFormat="1">
      <c r="A110" s="207"/>
      <c r="G110" s="173"/>
    </row>
    <row r="111" spans="1:7" s="223" customFormat="1">
      <c r="A111" s="207"/>
      <c r="G111" s="173"/>
    </row>
    <row r="112" spans="1:7" s="223" customFormat="1">
      <c r="A112" s="207"/>
      <c r="G112" s="173"/>
    </row>
    <row r="113" spans="1:7" s="223" customFormat="1">
      <c r="A113" s="207"/>
      <c r="G113" s="173"/>
    </row>
    <row r="114" spans="1:7" s="223" customFormat="1">
      <c r="A114" s="207"/>
      <c r="G114" s="173"/>
    </row>
    <row r="115" spans="1:7" s="223" customFormat="1">
      <c r="A115" s="207"/>
      <c r="G115" s="173"/>
    </row>
    <row r="116" spans="1:7" s="223" customFormat="1">
      <c r="A116" s="207"/>
      <c r="G116" s="173"/>
    </row>
    <row r="117" spans="1:7" s="223" customFormat="1">
      <c r="A117" s="207"/>
      <c r="G117" s="173"/>
    </row>
    <row r="118" spans="1:7" s="223" customFormat="1">
      <c r="A118" s="207"/>
      <c r="G118" s="173"/>
    </row>
    <row r="119" spans="1:7" s="223" customFormat="1">
      <c r="A119" s="207"/>
      <c r="G119" s="173"/>
    </row>
    <row r="120" spans="1:7" s="223" customFormat="1">
      <c r="A120" s="207"/>
      <c r="G120" s="173"/>
    </row>
    <row r="121" spans="1:7" s="223" customFormat="1">
      <c r="A121" s="207"/>
      <c r="G121" s="173"/>
    </row>
    <row r="122" spans="1:7" s="223" customFormat="1">
      <c r="A122" s="207"/>
      <c r="G122" s="173"/>
    </row>
    <row r="123" spans="1:7" s="223" customFormat="1">
      <c r="A123" s="207"/>
      <c r="G123" s="173"/>
    </row>
    <row r="124" spans="1:7" s="223" customFormat="1">
      <c r="A124" s="207"/>
      <c r="G124" s="173"/>
    </row>
    <row r="125" spans="1:7" s="223" customFormat="1">
      <c r="A125" s="207"/>
      <c r="G125" s="173"/>
    </row>
    <row r="126" spans="1:7" s="223" customFormat="1">
      <c r="A126" s="207"/>
      <c r="G126" s="173"/>
    </row>
    <row r="127" spans="1:7" s="223" customFormat="1">
      <c r="A127" s="207"/>
      <c r="G127" s="173"/>
    </row>
    <row r="128" spans="1:7" s="223" customFormat="1">
      <c r="A128" s="207"/>
      <c r="G128" s="173"/>
    </row>
    <row r="129" spans="1:7" s="223" customFormat="1">
      <c r="A129" s="207"/>
      <c r="G129" s="173"/>
    </row>
    <row r="130" spans="1:7" s="223" customFormat="1">
      <c r="A130" s="207"/>
      <c r="G130" s="173"/>
    </row>
    <row r="131" spans="1:7" s="223" customFormat="1">
      <c r="A131" s="207"/>
      <c r="G131" s="173"/>
    </row>
    <row r="132" spans="1:7" s="223" customFormat="1">
      <c r="A132" s="207"/>
      <c r="G132" s="173"/>
    </row>
    <row r="133" spans="1:7" s="223" customFormat="1">
      <c r="A133" s="207"/>
      <c r="G133" s="173"/>
    </row>
    <row r="134" spans="1:7" s="223" customFormat="1">
      <c r="A134" s="207"/>
      <c r="G134" s="173"/>
    </row>
    <row r="135" spans="1:7" s="223" customFormat="1">
      <c r="A135" s="207"/>
      <c r="G135" s="173"/>
    </row>
    <row r="136" spans="1:7" s="223" customFormat="1">
      <c r="A136" s="207"/>
      <c r="G136" s="173"/>
    </row>
    <row r="137" spans="1:7" s="223" customFormat="1">
      <c r="A137" s="207"/>
      <c r="G137" s="173"/>
    </row>
    <row r="138" spans="1:7" s="223" customFormat="1">
      <c r="A138" s="207"/>
      <c r="G138" s="173"/>
    </row>
    <row r="139" spans="1:7" s="223" customFormat="1">
      <c r="A139" s="207"/>
      <c r="G139" s="173"/>
    </row>
    <row r="140" spans="1:7" s="223" customFormat="1">
      <c r="A140" s="207"/>
      <c r="G140" s="173"/>
    </row>
    <row r="141" spans="1:7" s="223" customFormat="1">
      <c r="A141" s="207"/>
      <c r="G141" s="173"/>
    </row>
    <row r="142" spans="1:7" s="223" customFormat="1">
      <c r="A142" s="207"/>
      <c r="G142" s="173"/>
    </row>
    <row r="143" spans="1:7" s="223" customFormat="1">
      <c r="A143" s="207"/>
      <c r="G143" s="173"/>
    </row>
    <row r="144" spans="1:7" s="223" customFormat="1">
      <c r="A144" s="207"/>
      <c r="G144" s="173"/>
    </row>
    <row r="145" spans="1:7" s="223" customFormat="1">
      <c r="A145" s="207"/>
      <c r="G145" s="173"/>
    </row>
    <row r="146" spans="1:7" s="223" customFormat="1">
      <c r="A146" s="207"/>
      <c r="G146" s="173"/>
    </row>
    <row r="147" spans="1:7" s="223" customFormat="1">
      <c r="A147" s="207"/>
      <c r="G147" s="173"/>
    </row>
    <row r="148" spans="1:7" s="223" customFormat="1">
      <c r="A148" s="207"/>
      <c r="G148" s="173"/>
    </row>
    <row r="149" spans="1:7" s="223" customFormat="1">
      <c r="A149" s="207"/>
      <c r="G149" s="173"/>
    </row>
    <row r="150" spans="1:7" s="223" customFormat="1">
      <c r="A150" s="207"/>
      <c r="G150" s="173"/>
    </row>
    <row r="151" spans="1:7" s="223" customFormat="1">
      <c r="A151" s="207"/>
      <c r="G151" s="173"/>
    </row>
    <row r="152" spans="1:7" s="223" customFormat="1">
      <c r="A152" s="207"/>
      <c r="G152" s="173"/>
    </row>
    <row r="153" spans="1:7" s="223" customFormat="1">
      <c r="A153" s="207"/>
      <c r="G153" s="173"/>
    </row>
    <row r="154" spans="1:7" s="223" customFormat="1">
      <c r="A154" s="207"/>
      <c r="G154" s="173"/>
    </row>
    <row r="155" spans="1:7" s="223" customFormat="1">
      <c r="A155" s="207"/>
      <c r="G155" s="173"/>
    </row>
    <row r="156" spans="1:7" s="223" customFormat="1">
      <c r="A156" s="207"/>
      <c r="G156" s="173"/>
    </row>
    <row r="157" spans="1:7" s="223" customFormat="1">
      <c r="A157" s="207"/>
      <c r="G157" s="173"/>
    </row>
    <row r="158" spans="1:7" s="223" customFormat="1">
      <c r="A158" s="207"/>
      <c r="G158" s="173"/>
    </row>
    <row r="159" spans="1:7" s="223" customFormat="1">
      <c r="A159" s="207"/>
      <c r="G159" s="173"/>
    </row>
    <row r="160" spans="1:7" s="223" customFormat="1">
      <c r="A160" s="207"/>
      <c r="G160" s="173"/>
    </row>
    <row r="161" spans="1:7" s="223" customFormat="1">
      <c r="A161" s="207"/>
      <c r="G161" s="173"/>
    </row>
    <row r="162" spans="1:7" s="223" customFormat="1">
      <c r="A162" s="207"/>
      <c r="G162" s="173"/>
    </row>
    <row r="163" spans="1:7" s="223" customFormat="1">
      <c r="A163" s="207"/>
      <c r="G163" s="173"/>
    </row>
    <row r="164" spans="1:7" s="223" customFormat="1">
      <c r="A164" s="207"/>
      <c r="G164" s="173"/>
    </row>
    <row r="165" spans="1:7" s="223" customFormat="1">
      <c r="A165" s="207"/>
      <c r="G165" s="173"/>
    </row>
    <row r="166" spans="1:7" s="223" customFormat="1">
      <c r="A166" s="207"/>
      <c r="G166" s="173"/>
    </row>
    <row r="167" spans="1:7" s="223" customFormat="1">
      <c r="A167" s="207"/>
      <c r="G167" s="173"/>
    </row>
    <row r="168" spans="1:7" s="223" customFormat="1">
      <c r="A168" s="207"/>
      <c r="G168" s="173"/>
    </row>
    <row r="169" spans="1:7" s="223" customFormat="1">
      <c r="A169" s="207"/>
      <c r="G169" s="173"/>
    </row>
    <row r="170" spans="1:7" s="223" customFormat="1">
      <c r="A170" s="207"/>
      <c r="G170" s="173"/>
    </row>
    <row r="171" spans="1:7" s="223" customFormat="1">
      <c r="A171" s="207"/>
      <c r="G171" s="173"/>
    </row>
  </sheetData>
  <mergeCells count="2">
    <mergeCell ref="C8:Q8"/>
    <mergeCell ref="E12:G12"/>
  </mergeCells>
  <pageMargins left="0.70866141732283472" right="0.70866141732283472" top="0.74803149606299213" bottom="0.74803149606299213" header="0.31496062992125984" footer="0.31496062992125984"/>
  <pageSetup paperSize="9" scale="36" orientation="portrait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21">
    <tabColor theme="4" tint="0.79998168889431442"/>
    <pageSetUpPr fitToPage="1"/>
  </sheetPr>
  <dimension ref="A1:V162"/>
  <sheetViews>
    <sheetView showGridLines="0" zoomScale="70" zoomScaleNormal="70" workbookViewId="0">
      <selection activeCell="A32" sqref="A32:XFD32"/>
    </sheetView>
  </sheetViews>
  <sheetFormatPr baseColWidth="10" defaultColWidth="11.41015625" defaultRowHeight="14.35"/>
  <cols>
    <col min="1" max="1" width="2.87890625" style="156" customWidth="1"/>
    <col min="2" max="2" width="4.29296875" style="199" customWidth="1"/>
    <col min="3" max="3" width="10" style="199" customWidth="1"/>
    <col min="4" max="4" width="50.703125" style="199" customWidth="1"/>
    <col min="5" max="5" width="12" style="199" bestFit="1" customWidth="1"/>
    <col min="6" max="6" width="14.29296875" style="199" customWidth="1"/>
    <col min="7" max="12" width="16.29296875" style="199" customWidth="1"/>
    <col min="13" max="13" width="10.703125" style="199" customWidth="1"/>
    <col min="14" max="14" width="1.41015625" style="199" customWidth="1"/>
    <col min="15" max="16" width="15.29296875" style="199" customWidth="1"/>
    <col min="17" max="17" width="10.703125" style="199" customWidth="1"/>
    <col min="18" max="18" width="4.29296875" style="199" customWidth="1"/>
    <col min="19" max="19" width="2.87890625" style="199" customWidth="1"/>
    <col min="20" max="21" width="11.41015625" style="199" customWidth="1"/>
    <col min="22" max="22" width="16.703125" style="199" bestFit="1" customWidth="1"/>
    <col min="23" max="29" width="11.41015625" style="199" customWidth="1"/>
    <col min="30" max="16384" width="11.41015625" style="199"/>
  </cols>
  <sheetData>
    <row r="1" spans="1:22"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</row>
    <row r="2" spans="1:22" ht="15" customHeight="1">
      <c r="B2" s="63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5"/>
      <c r="V2" s="39"/>
    </row>
    <row r="3" spans="1:22" ht="15" customHeight="1">
      <c r="B3" s="157"/>
      <c r="R3" s="161"/>
    </row>
    <row r="4" spans="1:22" ht="15" customHeight="1">
      <c r="B4" s="157"/>
      <c r="R4" s="161"/>
    </row>
    <row r="5" spans="1:22" ht="15" customHeight="1">
      <c r="B5" s="157"/>
      <c r="R5" s="161"/>
    </row>
    <row r="6" spans="1:22" ht="15" customHeight="1" thickBot="1">
      <c r="B6" s="157"/>
      <c r="R6" s="161"/>
    </row>
    <row r="7" spans="1:22" ht="15" hidden="1" customHeight="1">
      <c r="B7" s="157"/>
      <c r="R7" s="161"/>
    </row>
    <row r="8" spans="1:22" ht="60" customHeight="1" thickBot="1">
      <c r="B8" s="157"/>
      <c r="C8" s="279" t="str">
        <f>'Page de garde'!C13&amp;" : Détail des Prestations Réglées - Synthèse par famille d'actes"</f>
        <v>47500207 - 47502122 - 47525653 - 47530591 : Détail des Prestations Réglées - Synthèse par famille d'actes</v>
      </c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280"/>
      <c r="Q8" s="281"/>
      <c r="R8" s="161"/>
    </row>
    <row r="9" spans="1:22">
      <c r="B9" s="157"/>
      <c r="R9" s="161"/>
    </row>
    <row r="10" spans="1:22">
      <c r="B10" s="157"/>
      <c r="R10" s="161"/>
    </row>
    <row r="11" spans="1:22">
      <c r="B11" s="157"/>
      <c r="R11" s="161"/>
    </row>
    <row r="12" spans="1:22">
      <c r="B12" s="157"/>
      <c r="C12" s="38"/>
      <c r="D12" s="38"/>
      <c r="E12" s="295" t="s">
        <v>182</v>
      </c>
      <c r="F12" s="296"/>
      <c r="G12" s="296"/>
      <c r="H12" s="296"/>
      <c r="I12" s="296"/>
      <c r="J12" s="296"/>
      <c r="K12" s="296"/>
      <c r="L12" s="296"/>
      <c r="M12" s="297"/>
      <c r="N12" s="36"/>
      <c r="O12" s="295" t="s">
        <v>301</v>
      </c>
      <c r="P12" s="296"/>
      <c r="Q12" s="297"/>
      <c r="R12" s="161"/>
    </row>
    <row r="13" spans="1:22">
      <c r="B13" s="157"/>
      <c r="C13" s="38"/>
      <c r="D13" s="38"/>
      <c r="E13" s="38"/>
      <c r="F13" s="38"/>
      <c r="G13" s="38"/>
      <c r="H13" s="38"/>
      <c r="I13" s="38"/>
      <c r="J13" s="235" t="s">
        <v>183</v>
      </c>
      <c r="K13" s="38"/>
      <c r="L13" s="38"/>
      <c r="M13" s="38"/>
      <c r="N13" s="36"/>
      <c r="O13" s="38"/>
      <c r="P13" s="235" t="s">
        <v>184</v>
      </c>
      <c r="Q13" s="235" t="s">
        <v>185</v>
      </c>
      <c r="R13" s="161"/>
    </row>
    <row r="14" spans="1:22" ht="45" customHeight="1">
      <c r="B14" s="157"/>
      <c r="C14" s="38"/>
      <c r="D14" s="38"/>
      <c r="E14" s="145" t="s">
        <v>76</v>
      </c>
      <c r="F14" s="145" t="s">
        <v>77</v>
      </c>
      <c r="G14" s="217" t="s">
        <v>186</v>
      </c>
      <c r="H14" s="217" t="s">
        <v>187</v>
      </c>
      <c r="I14" s="217" t="s">
        <v>188</v>
      </c>
      <c r="J14" s="217" t="s">
        <v>189</v>
      </c>
      <c r="K14" s="219" t="s">
        <v>190</v>
      </c>
      <c r="L14" s="219" t="s">
        <v>191</v>
      </c>
      <c r="M14" s="147"/>
      <c r="N14" s="36"/>
      <c r="O14" s="217" t="s">
        <v>186</v>
      </c>
      <c r="P14" s="174" t="s">
        <v>192</v>
      </c>
      <c r="Q14" s="237" t="s">
        <v>193</v>
      </c>
      <c r="R14" s="161"/>
    </row>
    <row r="15" spans="1:22" ht="15" customHeight="1" thickBot="1">
      <c r="B15" s="157"/>
      <c r="C15" s="158" t="s">
        <v>242</v>
      </c>
      <c r="D15" s="159"/>
      <c r="E15" s="72">
        <v>548</v>
      </c>
      <c r="F15" s="84">
        <v>1.1991247264770242</v>
      </c>
      <c r="G15" s="232">
        <v>41.154635036496352</v>
      </c>
      <c r="H15" s="232">
        <v>1.61</v>
      </c>
      <c r="I15" s="232">
        <v>700</v>
      </c>
      <c r="J15" s="232">
        <v>18.14255474452553</v>
      </c>
      <c r="K15" s="232">
        <v>0.46</v>
      </c>
      <c r="L15" s="232">
        <v>450</v>
      </c>
      <c r="M15" s="74"/>
      <c r="N15" s="160"/>
      <c r="O15" s="232">
        <v>0</v>
      </c>
      <c r="P15" s="232">
        <v>0</v>
      </c>
      <c r="Q15" s="236"/>
      <c r="R15" s="161"/>
      <c r="T15" s="176"/>
    </row>
    <row r="16" spans="1:22" s="223" customFormat="1" ht="15" customHeight="1" thickBot="1">
      <c r="A16" s="207"/>
      <c r="B16" s="212"/>
      <c r="C16" s="239"/>
      <c r="D16" s="240" t="s">
        <v>241</v>
      </c>
      <c r="E16" s="241">
        <v>548</v>
      </c>
      <c r="F16" s="242">
        <v>1.1991247264770242</v>
      </c>
      <c r="G16" s="248">
        <v>41.154635036496352</v>
      </c>
      <c r="H16" s="248">
        <v>1.61</v>
      </c>
      <c r="I16" s="248">
        <v>700</v>
      </c>
      <c r="J16" s="248">
        <v>18.14255474452553</v>
      </c>
      <c r="K16" s="248">
        <v>0.46</v>
      </c>
      <c r="L16" s="248">
        <v>450</v>
      </c>
      <c r="M16" s="244"/>
      <c r="N16" s="245"/>
      <c r="O16" s="248">
        <v>0</v>
      </c>
      <c r="P16" s="248">
        <v>0</v>
      </c>
      <c r="Q16" s="249"/>
      <c r="R16" s="213"/>
      <c r="T16" s="176"/>
    </row>
    <row r="17" spans="1:20" s="223" customFormat="1" ht="15" customHeight="1" thickBot="1">
      <c r="A17" s="207"/>
      <c r="B17" s="212"/>
      <c r="C17" s="158" t="s">
        <v>85</v>
      </c>
      <c r="D17" s="159"/>
      <c r="E17" s="72">
        <v>517</v>
      </c>
      <c r="F17" s="84">
        <v>1.1312910284463895</v>
      </c>
      <c r="G17" s="232">
        <v>42.550618955512377</v>
      </c>
      <c r="H17" s="232">
        <v>1.35</v>
      </c>
      <c r="I17" s="232">
        <v>4564.0600000000004</v>
      </c>
      <c r="J17" s="232">
        <v>30.189013539652031</v>
      </c>
      <c r="K17" s="232">
        <v>0.34</v>
      </c>
      <c r="L17" s="232">
        <v>3428</v>
      </c>
      <c r="M17" s="74"/>
      <c r="N17" s="160"/>
      <c r="O17" s="232">
        <v>0</v>
      </c>
      <c r="P17" s="232">
        <v>0</v>
      </c>
      <c r="Q17" s="236"/>
      <c r="R17" s="213"/>
      <c r="T17" s="176"/>
    </row>
    <row r="18" spans="1:20" s="223" customFormat="1" ht="15" customHeight="1" thickBot="1">
      <c r="A18" s="207"/>
      <c r="B18" s="212"/>
      <c r="C18" s="158" t="s">
        <v>92</v>
      </c>
      <c r="D18" s="159"/>
      <c r="E18" s="72">
        <v>6</v>
      </c>
      <c r="F18" s="84">
        <v>1.3129102844638949E-2</v>
      </c>
      <c r="G18" s="232">
        <v>152.19499999999999</v>
      </c>
      <c r="H18" s="232">
        <v>60</v>
      </c>
      <c r="I18" s="232">
        <v>613.16999999999996</v>
      </c>
      <c r="J18" s="232">
        <v>70.435000000000002</v>
      </c>
      <c r="K18" s="232">
        <v>40</v>
      </c>
      <c r="L18" s="232">
        <v>210.61</v>
      </c>
      <c r="M18" s="74"/>
      <c r="N18" s="160"/>
      <c r="O18" s="232">
        <v>0</v>
      </c>
      <c r="P18" s="232">
        <v>0</v>
      </c>
      <c r="Q18" s="236"/>
      <c r="R18" s="213"/>
      <c r="T18" s="176"/>
    </row>
    <row r="19" spans="1:20" s="223" customFormat="1" ht="15" customHeight="1" thickBot="1">
      <c r="A19" s="207"/>
      <c r="B19" s="212"/>
      <c r="C19" s="239"/>
      <c r="D19" s="240" t="s">
        <v>93</v>
      </c>
      <c r="E19" s="241">
        <v>6</v>
      </c>
      <c r="F19" s="242">
        <v>1.3129102844638949E-2</v>
      </c>
      <c r="G19" s="248">
        <v>152.19499999999999</v>
      </c>
      <c r="H19" s="248">
        <v>60</v>
      </c>
      <c r="I19" s="248">
        <v>613.16999999999996</v>
      </c>
      <c r="J19" s="248">
        <v>70.435000000000002</v>
      </c>
      <c r="K19" s="248">
        <v>40</v>
      </c>
      <c r="L19" s="248">
        <v>210.61</v>
      </c>
      <c r="M19" s="244"/>
      <c r="N19" s="245"/>
      <c r="O19" s="248">
        <v>0</v>
      </c>
      <c r="P19" s="248">
        <v>0</v>
      </c>
      <c r="Q19" s="249"/>
      <c r="R19" s="213"/>
      <c r="T19" s="176"/>
    </row>
    <row r="20" spans="1:20" s="223" customFormat="1" ht="15" customHeight="1" thickBot="1">
      <c r="A20" s="207"/>
      <c r="B20" s="212"/>
      <c r="C20" s="158" t="s">
        <v>95</v>
      </c>
      <c r="D20" s="159"/>
      <c r="E20" s="72">
        <v>903</v>
      </c>
      <c r="F20" s="84">
        <v>1.9759299781181618</v>
      </c>
      <c r="G20" s="232">
        <v>174.610642303433</v>
      </c>
      <c r="H20" s="232">
        <v>14.46</v>
      </c>
      <c r="I20" s="232">
        <v>1900</v>
      </c>
      <c r="J20" s="232">
        <v>106.25810631229236</v>
      </c>
      <c r="K20" s="232">
        <v>3.61</v>
      </c>
      <c r="L20" s="232">
        <v>1201.8499999999999</v>
      </c>
      <c r="M20" s="74"/>
      <c r="N20" s="160"/>
      <c r="O20" s="232">
        <v>0</v>
      </c>
      <c r="P20" s="232">
        <v>0</v>
      </c>
      <c r="Q20" s="236"/>
      <c r="R20" s="213"/>
      <c r="T20" s="176"/>
    </row>
    <row r="21" spans="1:20" s="223" customFormat="1" ht="15" customHeight="1" thickBot="1">
      <c r="A21" s="207"/>
      <c r="B21" s="212"/>
      <c r="C21" s="239"/>
      <c r="D21" s="240" t="s">
        <v>119</v>
      </c>
      <c r="E21" s="241">
        <v>241</v>
      </c>
      <c r="F21" s="242">
        <v>0.52735229759299784</v>
      </c>
      <c r="G21" s="248">
        <v>68.828423236514524</v>
      </c>
      <c r="H21" s="248">
        <v>17.989999999999998</v>
      </c>
      <c r="I21" s="248">
        <v>528.03</v>
      </c>
      <c r="J21" s="248">
        <v>30.261452282157634</v>
      </c>
      <c r="K21" s="248">
        <v>5.4</v>
      </c>
      <c r="L21" s="248">
        <v>500</v>
      </c>
      <c r="M21" s="244"/>
      <c r="N21" s="245"/>
      <c r="O21" s="248">
        <v>0</v>
      </c>
      <c r="P21" s="248">
        <v>0</v>
      </c>
      <c r="Q21" s="249"/>
      <c r="R21" s="213"/>
      <c r="T21" s="176"/>
    </row>
    <row r="22" spans="1:20" s="223" customFormat="1" ht="15" customHeight="1" thickBot="1">
      <c r="A22" s="207"/>
      <c r="B22" s="212"/>
      <c r="C22" s="158" t="s">
        <v>120</v>
      </c>
      <c r="D22" s="159"/>
      <c r="E22" s="72">
        <v>339</v>
      </c>
      <c r="F22" s="84">
        <v>0.74179431072210067</v>
      </c>
      <c r="G22" s="232">
        <v>153.77289085545721</v>
      </c>
      <c r="H22" s="232">
        <v>3.15</v>
      </c>
      <c r="I22" s="232">
        <v>2961.4</v>
      </c>
      <c r="J22" s="232">
        <v>61.161150442477869</v>
      </c>
      <c r="K22" s="232">
        <v>1.18</v>
      </c>
      <c r="L22" s="232">
        <v>800</v>
      </c>
      <c r="M22" s="74"/>
      <c r="N22" s="160"/>
      <c r="O22" s="232">
        <v>0</v>
      </c>
      <c r="P22" s="232">
        <v>0</v>
      </c>
      <c r="Q22" s="236"/>
      <c r="R22" s="213"/>
      <c r="T22" s="176"/>
    </row>
    <row r="23" spans="1:20" s="223" customFormat="1" ht="15" customHeight="1" thickBot="1">
      <c r="A23" s="207"/>
      <c r="B23" s="212"/>
      <c r="C23" s="239"/>
      <c r="D23" s="240" t="s">
        <v>122</v>
      </c>
      <c r="E23" s="241">
        <v>108</v>
      </c>
      <c r="F23" s="242">
        <v>0.23632385120350111</v>
      </c>
      <c r="G23" s="248">
        <v>91.611111111111114</v>
      </c>
      <c r="H23" s="248">
        <v>40</v>
      </c>
      <c r="I23" s="248">
        <v>155</v>
      </c>
      <c r="J23" s="248">
        <v>64.241481481481486</v>
      </c>
      <c r="K23" s="248">
        <v>17.16</v>
      </c>
      <c r="L23" s="248">
        <v>102.84</v>
      </c>
      <c r="M23" s="244"/>
      <c r="N23" s="245"/>
      <c r="O23" s="248">
        <v>0</v>
      </c>
      <c r="P23" s="248">
        <v>0</v>
      </c>
      <c r="Q23" s="249"/>
      <c r="R23" s="213"/>
      <c r="T23" s="176"/>
    </row>
    <row r="24" spans="1:20" s="223" customFormat="1" ht="15" customHeight="1" thickBot="1">
      <c r="A24" s="207"/>
      <c r="B24" s="212"/>
      <c r="C24" s="239"/>
      <c r="D24" s="240" t="s">
        <v>123</v>
      </c>
      <c r="E24" s="241">
        <v>7</v>
      </c>
      <c r="F24" s="242">
        <v>1.5317286652078774E-2</v>
      </c>
      <c r="G24" s="248">
        <v>815.11428571428576</v>
      </c>
      <c r="H24" s="248">
        <v>59.65</v>
      </c>
      <c r="I24" s="248">
        <v>2961.4</v>
      </c>
      <c r="J24" s="248">
        <v>163.02285714285716</v>
      </c>
      <c r="K24" s="248">
        <v>11.93</v>
      </c>
      <c r="L24" s="248">
        <v>592.28</v>
      </c>
      <c r="M24" s="244"/>
      <c r="N24" s="245"/>
      <c r="O24" s="248">
        <v>0</v>
      </c>
      <c r="P24" s="248">
        <v>0</v>
      </c>
      <c r="Q24" s="249"/>
      <c r="R24" s="213"/>
      <c r="T24" s="176"/>
    </row>
    <row r="25" spans="1:20" s="223" customFormat="1" ht="15" customHeight="1" thickBot="1">
      <c r="A25" s="207"/>
      <c r="B25" s="212"/>
      <c r="C25" s="239"/>
      <c r="D25" s="240" t="s">
        <v>125</v>
      </c>
      <c r="E25" s="241">
        <v>200</v>
      </c>
      <c r="F25" s="242">
        <v>0.43763676148796499</v>
      </c>
      <c r="G25" s="248">
        <v>170.69525000000002</v>
      </c>
      <c r="H25" s="248">
        <v>20</v>
      </c>
      <c r="I25" s="248">
        <v>2379</v>
      </c>
      <c r="J25" s="248">
        <v>54.5884</v>
      </c>
      <c r="K25" s="248">
        <v>10.63</v>
      </c>
      <c r="L25" s="248">
        <v>800</v>
      </c>
      <c r="M25" s="244"/>
      <c r="N25" s="245"/>
      <c r="O25" s="248">
        <v>0</v>
      </c>
      <c r="P25" s="248">
        <v>0</v>
      </c>
      <c r="Q25" s="249"/>
      <c r="R25" s="213"/>
      <c r="T25" s="176"/>
    </row>
    <row r="26" spans="1:20" s="223" customFormat="1" ht="15" customHeight="1" thickBot="1">
      <c r="A26" s="207"/>
      <c r="B26" s="212"/>
      <c r="C26" s="158" t="s">
        <v>136</v>
      </c>
      <c r="D26" s="159"/>
      <c r="E26" s="72">
        <v>391</v>
      </c>
      <c r="F26" s="84">
        <v>0.85557986870897151</v>
      </c>
      <c r="G26" s="232">
        <v>229.77757033248082</v>
      </c>
      <c r="H26" s="232">
        <v>15.75</v>
      </c>
      <c r="I26" s="232">
        <v>1400</v>
      </c>
      <c r="J26" s="232">
        <v>187.54997442455294</v>
      </c>
      <c r="K26" s="232">
        <v>0.32</v>
      </c>
      <c r="L26" s="232">
        <v>700</v>
      </c>
      <c r="M26" s="74"/>
      <c r="N26" s="160"/>
      <c r="O26" s="232">
        <v>0</v>
      </c>
      <c r="P26" s="232">
        <v>0</v>
      </c>
      <c r="Q26" s="236"/>
      <c r="R26" s="213"/>
      <c r="T26" s="176"/>
    </row>
    <row r="27" spans="1:20" s="223" customFormat="1" ht="15" customHeight="1" thickBot="1">
      <c r="A27" s="207"/>
      <c r="B27" s="212"/>
      <c r="C27" s="239"/>
      <c r="D27" s="240" t="s">
        <v>138</v>
      </c>
      <c r="E27" s="241">
        <v>126</v>
      </c>
      <c r="F27" s="242">
        <v>0.27571115973741794</v>
      </c>
      <c r="G27" s="248">
        <v>85.402380952380952</v>
      </c>
      <c r="H27" s="248">
        <v>15.75</v>
      </c>
      <c r="I27" s="248">
        <v>208</v>
      </c>
      <c r="J27" s="248">
        <v>74.892222222222216</v>
      </c>
      <c r="K27" s="248">
        <v>0.32</v>
      </c>
      <c r="L27" s="248">
        <v>205.68</v>
      </c>
      <c r="M27" s="244"/>
      <c r="N27" s="245"/>
      <c r="O27" s="248">
        <v>0</v>
      </c>
      <c r="P27" s="248">
        <v>0</v>
      </c>
      <c r="Q27" s="249"/>
      <c r="R27" s="213"/>
      <c r="T27" s="176"/>
    </row>
    <row r="28" spans="1:20" s="223" customFormat="1" ht="15" customHeight="1" thickBot="1">
      <c r="A28" s="207"/>
      <c r="B28" s="212"/>
      <c r="C28" s="158" t="s">
        <v>149</v>
      </c>
      <c r="D28" s="159"/>
      <c r="E28" s="72">
        <v>204</v>
      </c>
      <c r="F28" s="84">
        <v>0.44638949671772427</v>
      </c>
      <c r="G28" s="232">
        <v>56.519705882352945</v>
      </c>
      <c r="H28" s="232">
        <v>18.940000000000001</v>
      </c>
      <c r="I28" s="232">
        <v>110</v>
      </c>
      <c r="J28" s="232">
        <v>54.151470588235291</v>
      </c>
      <c r="K28" s="232">
        <v>18.940000000000001</v>
      </c>
      <c r="L28" s="232">
        <v>68.56</v>
      </c>
      <c r="M28" s="74"/>
      <c r="N28" s="160"/>
      <c r="O28" s="232">
        <v>0</v>
      </c>
      <c r="P28" s="232">
        <v>0</v>
      </c>
      <c r="Q28" s="236"/>
      <c r="R28" s="213"/>
      <c r="T28" s="176"/>
    </row>
    <row r="29" spans="1:20" s="223" customFormat="1" ht="15" customHeight="1" thickBot="1">
      <c r="A29" s="207"/>
      <c r="B29" s="212"/>
      <c r="C29" s="158" t="s">
        <v>151</v>
      </c>
      <c r="D29" s="159"/>
      <c r="E29" s="72">
        <v>25202</v>
      </c>
      <c r="F29" s="84">
        <v>55.146608315098469</v>
      </c>
      <c r="G29" s="232">
        <v>14.856010237282648</v>
      </c>
      <c r="H29" s="232">
        <v>0.1</v>
      </c>
      <c r="I29" s="232">
        <v>3730.34</v>
      </c>
      <c r="J29" s="232">
        <v>6.0175255932069041</v>
      </c>
      <c r="K29" s="232">
        <v>0.01</v>
      </c>
      <c r="L29" s="232">
        <v>2191.02</v>
      </c>
      <c r="M29" s="74"/>
      <c r="N29" s="160"/>
      <c r="O29" s="232">
        <v>0</v>
      </c>
      <c r="P29" s="232">
        <v>0</v>
      </c>
      <c r="Q29" s="236"/>
      <c r="R29" s="213"/>
      <c r="T29" s="176"/>
    </row>
    <row r="30" spans="1:20" s="223" customFormat="1" ht="15" customHeight="1" thickBot="1">
      <c r="A30" s="207"/>
      <c r="B30" s="212"/>
      <c r="C30" s="239"/>
      <c r="D30" s="240" t="s">
        <v>154</v>
      </c>
      <c r="E30" s="241">
        <v>1088</v>
      </c>
      <c r="F30" s="242">
        <v>2.3807439824945296</v>
      </c>
      <c r="G30" s="248">
        <v>23.529264705882355</v>
      </c>
      <c r="H30" s="248">
        <v>0.54</v>
      </c>
      <c r="I30" s="248">
        <v>235.17</v>
      </c>
      <c r="J30" s="248">
        <v>9.3697150735294112</v>
      </c>
      <c r="K30" s="248">
        <v>0.22</v>
      </c>
      <c r="L30" s="248">
        <v>94.07</v>
      </c>
      <c r="M30" s="244"/>
      <c r="N30" s="245"/>
      <c r="O30" s="248">
        <v>0</v>
      </c>
      <c r="P30" s="248">
        <v>0</v>
      </c>
      <c r="Q30" s="249"/>
      <c r="R30" s="213"/>
      <c r="T30" s="176"/>
    </row>
    <row r="31" spans="1:20" s="223" customFormat="1" ht="15" customHeight="1" thickBot="1">
      <c r="A31" s="207"/>
      <c r="B31" s="212"/>
      <c r="C31" s="239"/>
      <c r="D31" s="240" t="s">
        <v>155</v>
      </c>
      <c r="E31" s="241">
        <v>1728</v>
      </c>
      <c r="F31" s="242">
        <v>3.7811816192560177</v>
      </c>
      <c r="G31" s="248">
        <v>17.748981481481422</v>
      </c>
      <c r="H31" s="248">
        <v>1.35</v>
      </c>
      <c r="I31" s="248">
        <v>210</v>
      </c>
      <c r="J31" s="248">
        <v>10.414542824074132</v>
      </c>
      <c r="K31" s="248">
        <v>0.54</v>
      </c>
      <c r="L31" s="248">
        <v>128.63999999999999</v>
      </c>
      <c r="M31" s="244"/>
      <c r="N31" s="245"/>
      <c r="O31" s="248">
        <v>0</v>
      </c>
      <c r="P31" s="248">
        <v>0</v>
      </c>
      <c r="Q31" s="249"/>
      <c r="R31" s="213"/>
      <c r="T31" s="176"/>
    </row>
    <row r="32" spans="1:20" ht="15" customHeight="1" thickBot="1">
      <c r="B32" s="157"/>
      <c r="C32" s="163" t="s">
        <v>49</v>
      </c>
      <c r="D32" s="164"/>
      <c r="E32" s="148">
        <v>28110</v>
      </c>
      <c r="F32" s="149">
        <v>61.50984682713348</v>
      </c>
      <c r="G32" s="233">
        <v>26.006446816079588</v>
      </c>
      <c r="H32" s="233">
        <v>0.1</v>
      </c>
      <c r="I32" s="233">
        <v>4564.0600000000004</v>
      </c>
      <c r="J32" s="233">
        <v>13.47171006759163</v>
      </c>
      <c r="K32" s="233">
        <v>0.01</v>
      </c>
      <c r="L32" s="233">
        <v>3428</v>
      </c>
      <c r="M32" s="151"/>
      <c r="N32" s="160"/>
      <c r="O32" s="233"/>
      <c r="P32" s="233"/>
      <c r="Q32" s="238"/>
      <c r="R32" s="161"/>
    </row>
    <row r="33" spans="2:18" ht="15" customHeight="1">
      <c r="B33" s="157"/>
      <c r="C33" s="165"/>
      <c r="D33" s="166"/>
      <c r="E33" s="166"/>
      <c r="F33" s="166"/>
      <c r="G33" s="166"/>
      <c r="H33" s="166"/>
      <c r="I33" s="166"/>
      <c r="J33" s="166"/>
      <c r="K33" s="166"/>
      <c r="L33" s="166"/>
      <c r="M33" s="166"/>
      <c r="N33" s="166"/>
      <c r="O33" s="166"/>
      <c r="P33" s="166"/>
      <c r="Q33" s="166"/>
      <c r="R33" s="161"/>
    </row>
    <row r="34" spans="2:18" ht="15" customHeight="1">
      <c r="B34" s="157"/>
      <c r="C34" s="165"/>
      <c r="D34" s="166"/>
      <c r="E34" s="166"/>
      <c r="F34" s="166"/>
      <c r="G34" s="166"/>
      <c r="H34" s="166"/>
      <c r="I34" s="166"/>
      <c r="J34" s="166"/>
      <c r="K34" s="166"/>
      <c r="L34" s="166"/>
      <c r="M34" s="166"/>
      <c r="N34" s="166"/>
      <c r="O34" s="166"/>
      <c r="P34" s="166"/>
      <c r="Q34" s="166"/>
      <c r="R34" s="161"/>
    </row>
    <row r="35" spans="2:18" ht="15" customHeight="1">
      <c r="B35" s="157"/>
      <c r="C35" s="164" t="s">
        <v>158</v>
      </c>
      <c r="D35" s="164"/>
      <c r="E35" s="165"/>
      <c r="F35" s="165"/>
      <c r="G35" s="165"/>
      <c r="H35" s="205">
        <v>0.36420000000000002</v>
      </c>
      <c r="I35" s="205">
        <v>5.1799999999999999E-2</v>
      </c>
      <c r="J35" s="205">
        <v>0.58399999999999996</v>
      </c>
      <c r="K35" s="165"/>
      <c r="L35" s="165"/>
      <c r="M35" s="165"/>
      <c r="N35" s="165"/>
      <c r="O35" s="165"/>
      <c r="P35" s="166"/>
      <c r="Q35" s="166"/>
      <c r="R35" s="161"/>
    </row>
    <row r="36" spans="2:18" ht="15" customHeight="1">
      <c r="B36" s="157"/>
      <c r="C36" s="165"/>
      <c r="D36" s="165"/>
      <c r="E36" s="165"/>
      <c r="F36" s="165"/>
      <c r="G36" s="165"/>
      <c r="H36" s="165"/>
      <c r="I36" s="165"/>
      <c r="J36" s="165"/>
      <c r="K36" s="165"/>
      <c r="L36" s="165"/>
      <c r="M36" s="165"/>
      <c r="N36" s="165"/>
      <c r="O36" s="165"/>
      <c r="P36" s="166"/>
      <c r="Q36" s="166"/>
      <c r="R36" s="161"/>
    </row>
    <row r="37" spans="2:18" ht="15" customHeight="1">
      <c r="B37" s="157"/>
      <c r="C37" s="164" t="s">
        <v>159</v>
      </c>
      <c r="D37" s="164"/>
      <c r="E37" s="165"/>
      <c r="F37" s="165"/>
      <c r="G37" s="150">
        <v>1599.65</v>
      </c>
      <c r="H37" s="150">
        <v>516.70000000000005</v>
      </c>
      <c r="I37" s="150">
        <v>73.44</v>
      </c>
      <c r="J37" s="150">
        <v>828.64</v>
      </c>
      <c r="K37" s="165"/>
      <c r="M37" s="165"/>
      <c r="N37" s="165"/>
      <c r="O37" s="165"/>
      <c r="P37" s="166"/>
      <c r="Q37" s="166"/>
      <c r="R37" s="161"/>
    </row>
    <row r="38" spans="2:18" ht="15" customHeight="1">
      <c r="B38" s="157"/>
      <c r="C38" s="164" t="s">
        <v>160</v>
      </c>
      <c r="D38" s="164"/>
      <c r="E38" s="165"/>
      <c r="F38" s="165"/>
      <c r="G38" s="150">
        <v>2478.11</v>
      </c>
      <c r="H38" s="150">
        <v>800.44</v>
      </c>
      <c r="I38" s="150">
        <v>113.77</v>
      </c>
      <c r="J38" s="150">
        <v>1283.69</v>
      </c>
      <c r="K38" s="165"/>
      <c r="L38" s="165"/>
      <c r="M38" s="165"/>
      <c r="N38" s="165"/>
      <c r="O38" s="165"/>
      <c r="P38" s="166"/>
      <c r="Q38" s="166"/>
      <c r="R38" s="161"/>
    </row>
    <row r="39" spans="2:18" ht="15" customHeight="1">
      <c r="B39" s="157"/>
      <c r="C39" s="165"/>
      <c r="D39" s="165"/>
      <c r="E39" s="165"/>
      <c r="F39" s="165"/>
      <c r="G39" s="165"/>
      <c r="H39" s="165"/>
      <c r="I39" s="165"/>
      <c r="J39" s="165"/>
      <c r="K39" s="165"/>
      <c r="L39" s="165"/>
      <c r="M39" s="165"/>
      <c r="N39" s="165"/>
      <c r="O39" s="165"/>
      <c r="P39" s="166"/>
      <c r="Q39" s="166"/>
      <c r="R39" s="161"/>
    </row>
    <row r="40" spans="2:18" ht="15" customHeight="1">
      <c r="B40" s="157"/>
      <c r="C40" s="165"/>
      <c r="D40" s="165"/>
      <c r="E40" s="165"/>
      <c r="F40" s="165"/>
      <c r="G40" s="165"/>
      <c r="H40" s="165"/>
      <c r="I40" s="165"/>
      <c r="J40" s="165"/>
      <c r="K40" s="165"/>
      <c r="L40" s="165"/>
      <c r="M40" s="165"/>
      <c r="N40" s="165"/>
      <c r="O40" s="165"/>
      <c r="P40" s="166"/>
      <c r="Q40" s="166"/>
      <c r="R40" s="161"/>
    </row>
    <row r="41" spans="2:18" ht="12" customHeight="1">
      <c r="B41" s="167"/>
      <c r="C41" s="168"/>
      <c r="D41" s="168"/>
      <c r="E41" s="168"/>
      <c r="F41" s="168"/>
      <c r="G41" s="168"/>
      <c r="H41" s="168"/>
      <c r="I41" s="168"/>
      <c r="J41" s="168"/>
      <c r="K41" s="168"/>
      <c r="L41" s="168"/>
      <c r="M41" s="168"/>
      <c r="N41" s="168"/>
      <c r="O41" s="168"/>
      <c r="P41" s="169"/>
      <c r="Q41" s="169"/>
      <c r="R41" s="170"/>
    </row>
    <row r="42" spans="2:18" ht="15.35">
      <c r="G42" s="50"/>
      <c r="J42" s="50"/>
      <c r="K42" s="165"/>
      <c r="L42" s="165"/>
      <c r="M42" s="165"/>
      <c r="N42" s="165"/>
      <c r="O42" s="165"/>
      <c r="P42" s="166"/>
      <c r="Q42" s="166"/>
    </row>
    <row r="43" spans="2:18" ht="15.35">
      <c r="G43" s="165"/>
      <c r="H43" s="234"/>
      <c r="I43" s="234"/>
      <c r="J43" s="165"/>
      <c r="K43" s="234"/>
      <c r="L43" s="234"/>
      <c r="M43" s="165"/>
      <c r="N43" s="165"/>
      <c r="O43" s="165"/>
      <c r="P43" s="166"/>
      <c r="Q43" s="166"/>
    </row>
    <row r="44" spans="2:18">
      <c r="H44" s="165"/>
      <c r="I44" s="165"/>
      <c r="J44" s="165"/>
    </row>
    <row r="107" spans="1:1" s="223" customFormat="1">
      <c r="A107" s="207"/>
    </row>
    <row r="108" spans="1:1" s="223" customFormat="1">
      <c r="A108" s="207"/>
    </row>
    <row r="109" spans="1:1" s="223" customFormat="1">
      <c r="A109" s="207"/>
    </row>
    <row r="110" spans="1:1" s="223" customFormat="1">
      <c r="A110" s="207"/>
    </row>
    <row r="111" spans="1:1" s="223" customFormat="1">
      <c r="A111" s="207"/>
    </row>
    <row r="112" spans="1:1" s="223" customFormat="1">
      <c r="A112" s="207"/>
    </row>
    <row r="113" spans="1:1" s="223" customFormat="1">
      <c r="A113" s="207"/>
    </row>
    <row r="114" spans="1:1" s="223" customFormat="1">
      <c r="A114" s="207"/>
    </row>
    <row r="115" spans="1:1" s="223" customFormat="1">
      <c r="A115" s="207"/>
    </row>
    <row r="116" spans="1:1" s="223" customFormat="1">
      <c r="A116" s="207"/>
    </row>
    <row r="117" spans="1:1" s="223" customFormat="1">
      <c r="A117" s="207"/>
    </row>
    <row r="118" spans="1:1" s="223" customFormat="1">
      <c r="A118" s="207"/>
    </row>
    <row r="119" spans="1:1" s="223" customFormat="1">
      <c r="A119" s="207"/>
    </row>
    <row r="120" spans="1:1" s="223" customFormat="1">
      <c r="A120" s="207"/>
    </row>
    <row r="121" spans="1:1" s="223" customFormat="1">
      <c r="A121" s="207"/>
    </row>
    <row r="122" spans="1:1" s="223" customFormat="1">
      <c r="A122" s="207"/>
    </row>
    <row r="123" spans="1:1" s="223" customFormat="1">
      <c r="A123" s="207"/>
    </row>
    <row r="124" spans="1:1" s="223" customFormat="1">
      <c r="A124" s="207"/>
    </row>
    <row r="125" spans="1:1" s="223" customFormat="1">
      <c r="A125" s="207"/>
    </row>
    <row r="126" spans="1:1" s="223" customFormat="1">
      <c r="A126" s="207"/>
    </row>
    <row r="127" spans="1:1" s="223" customFormat="1">
      <c r="A127" s="207"/>
    </row>
    <row r="128" spans="1:1" s="223" customFormat="1">
      <c r="A128" s="207"/>
    </row>
    <row r="129" spans="1:1" s="223" customFormat="1">
      <c r="A129" s="207"/>
    </row>
    <row r="130" spans="1:1" s="223" customFormat="1">
      <c r="A130" s="207"/>
    </row>
    <row r="131" spans="1:1" s="223" customFormat="1">
      <c r="A131" s="207"/>
    </row>
    <row r="132" spans="1:1" s="223" customFormat="1">
      <c r="A132" s="207"/>
    </row>
    <row r="133" spans="1:1" s="223" customFormat="1">
      <c r="A133" s="207"/>
    </row>
    <row r="134" spans="1:1" s="223" customFormat="1">
      <c r="A134" s="207"/>
    </row>
    <row r="135" spans="1:1" s="223" customFormat="1">
      <c r="A135" s="207"/>
    </row>
    <row r="136" spans="1:1" s="223" customFormat="1">
      <c r="A136" s="207"/>
    </row>
    <row r="137" spans="1:1" s="223" customFormat="1">
      <c r="A137" s="207"/>
    </row>
    <row r="138" spans="1:1" s="223" customFormat="1">
      <c r="A138" s="207"/>
    </row>
    <row r="139" spans="1:1" s="223" customFormat="1">
      <c r="A139" s="207"/>
    </row>
    <row r="140" spans="1:1" s="223" customFormat="1">
      <c r="A140" s="207"/>
    </row>
    <row r="141" spans="1:1" s="223" customFormat="1">
      <c r="A141" s="207"/>
    </row>
    <row r="142" spans="1:1" s="223" customFormat="1">
      <c r="A142" s="207"/>
    </row>
    <row r="143" spans="1:1" s="223" customFormat="1">
      <c r="A143" s="207"/>
    </row>
    <row r="144" spans="1:1" s="223" customFormat="1">
      <c r="A144" s="207"/>
    </row>
    <row r="145" spans="1:1" s="223" customFormat="1">
      <c r="A145" s="207"/>
    </row>
    <row r="146" spans="1:1" s="223" customFormat="1">
      <c r="A146" s="207"/>
    </row>
    <row r="147" spans="1:1" s="223" customFormat="1">
      <c r="A147" s="207"/>
    </row>
    <row r="148" spans="1:1" s="223" customFormat="1">
      <c r="A148" s="207"/>
    </row>
    <row r="149" spans="1:1" s="223" customFormat="1">
      <c r="A149" s="207"/>
    </row>
    <row r="150" spans="1:1" s="223" customFormat="1">
      <c r="A150" s="207"/>
    </row>
    <row r="151" spans="1:1" s="223" customFormat="1">
      <c r="A151" s="207"/>
    </row>
    <row r="152" spans="1:1" s="223" customFormat="1">
      <c r="A152" s="207"/>
    </row>
    <row r="153" spans="1:1" s="223" customFormat="1">
      <c r="A153" s="207"/>
    </row>
    <row r="154" spans="1:1" s="223" customFormat="1">
      <c r="A154" s="207"/>
    </row>
    <row r="155" spans="1:1" s="223" customFormat="1">
      <c r="A155" s="207"/>
    </row>
    <row r="156" spans="1:1" s="223" customFormat="1">
      <c r="A156" s="207"/>
    </row>
    <row r="157" spans="1:1" s="223" customFormat="1">
      <c r="A157" s="207"/>
    </row>
    <row r="158" spans="1:1" s="223" customFormat="1">
      <c r="A158" s="207"/>
    </row>
    <row r="159" spans="1:1" s="223" customFormat="1">
      <c r="A159" s="207"/>
    </row>
    <row r="160" spans="1:1" s="223" customFormat="1">
      <c r="A160" s="207"/>
    </row>
    <row r="161" spans="1:1" s="223" customFormat="1">
      <c r="A161" s="207"/>
    </row>
    <row r="162" spans="1:1" s="223" customFormat="1">
      <c r="A162" s="207"/>
    </row>
  </sheetData>
  <mergeCells count="3">
    <mergeCell ref="C8:Q8"/>
    <mergeCell ref="E12:M12"/>
    <mergeCell ref="O12:Q12"/>
  </mergeCells>
  <pageMargins left="0.70866141732283472" right="0.70866141732283472" top="0.74803149606299213" bottom="0.74803149606299213" header="0.31496062992125984" footer="0.31496062992125984"/>
  <pageSetup paperSize="9" scale="34" orientation="portrait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25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1015625" defaultRowHeight="14.35"/>
  <cols>
    <col min="1" max="1" width="2.87890625" style="207" customWidth="1"/>
    <col min="2" max="2" width="4.29296875" style="208" customWidth="1"/>
    <col min="3" max="3" width="18.5859375" style="208" customWidth="1"/>
    <col min="4" max="9" width="11.41015625" style="208" customWidth="1"/>
    <col min="10" max="10" width="14.29296875" style="208" customWidth="1"/>
    <col min="11" max="17" width="11.41015625" style="208" customWidth="1"/>
    <col min="18" max="18" width="18.5859375" style="208" customWidth="1"/>
    <col min="19" max="19" width="4.1171875" style="208" customWidth="1"/>
    <col min="20" max="20" width="2.87890625" style="208" customWidth="1"/>
    <col min="21" max="21" width="11.41015625" style="208" customWidth="1"/>
    <col min="22" max="22" width="35.41015625" style="208" bestFit="1" customWidth="1"/>
    <col min="23" max="23" width="11.41015625" style="208" customWidth="1"/>
    <col min="24" max="24" width="9.41015625" style="208" bestFit="1" customWidth="1"/>
    <col min="25" max="26" width="11.41015625" style="208" customWidth="1"/>
    <col min="27" max="16384" width="11.41015625" style="208"/>
  </cols>
  <sheetData>
    <row r="1" spans="2:27"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</row>
    <row r="2" spans="2:27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0"/>
      <c r="S2" s="211"/>
    </row>
    <row r="3" spans="2:27">
      <c r="B3" s="212"/>
      <c r="S3" s="213"/>
    </row>
    <row r="4" spans="2:27">
      <c r="B4" s="212"/>
      <c r="S4" s="213"/>
    </row>
    <row r="5" spans="2:27">
      <c r="B5" s="212"/>
      <c r="S5" s="213"/>
    </row>
    <row r="6" spans="2:27" hidden="1">
      <c r="B6" s="212"/>
      <c r="S6" s="213"/>
    </row>
    <row r="7" spans="2:27" hidden="1">
      <c r="B7" s="212"/>
      <c r="S7" s="213"/>
    </row>
    <row r="8" spans="2:27" ht="61.5" customHeight="1">
      <c r="B8" s="212"/>
      <c r="C8" s="303" t="str">
        <f>'Page de garde'!C13&amp;" : Analyse de la dépense médicale"</f>
        <v>47500207 - 47502122 - 47525653 - 47530591 : Analyse de la dépense médicale</v>
      </c>
      <c r="D8" s="304"/>
      <c r="E8" s="304"/>
      <c r="F8" s="304"/>
      <c r="G8" s="304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5"/>
      <c r="S8" s="213"/>
    </row>
    <row r="9" spans="2:27">
      <c r="B9" s="212"/>
      <c r="S9" s="213"/>
    </row>
    <row r="10" spans="2:27">
      <c r="B10" s="212"/>
      <c r="S10" s="213"/>
    </row>
    <row r="11" spans="2:27">
      <c r="B11" s="212"/>
      <c r="S11" s="213"/>
    </row>
    <row r="12" spans="2:27">
      <c r="B12" s="212"/>
      <c r="S12" s="213"/>
    </row>
    <row r="13" spans="2:27">
      <c r="B13" s="212"/>
      <c r="S13" s="213"/>
    </row>
    <row r="14" spans="2:27" ht="15.75" customHeight="1">
      <c r="B14" s="212"/>
      <c r="S14" s="213"/>
    </row>
    <row r="15" spans="2:27">
      <c r="B15" s="212"/>
      <c r="S15" s="213"/>
    </row>
    <row r="16" spans="2:27" ht="23.35">
      <c r="B16" s="212"/>
      <c r="S16" s="213"/>
      <c r="V16" s="223"/>
      <c r="W16" s="223"/>
      <c r="X16" s="223"/>
      <c r="Y16" s="223"/>
      <c r="Z16" s="230"/>
      <c r="AA16" s="223"/>
    </row>
    <row r="17" spans="2:27">
      <c r="B17" s="212"/>
      <c r="S17" s="213"/>
      <c r="V17" s="223"/>
      <c r="W17" s="223"/>
      <c r="X17" s="223"/>
      <c r="Y17" s="223"/>
      <c r="Z17" s="223"/>
      <c r="AA17" s="223"/>
    </row>
    <row r="18" spans="2:27">
      <c r="B18" s="212"/>
      <c r="S18" s="213"/>
      <c r="V18" s="231" t="str">
        <f>'DATA QUARTILE'!C2</f>
        <v>ACTES DE PROPHYLAXIE ET PREVENTION</v>
      </c>
      <c r="W18" s="220"/>
      <c r="X18" s="221"/>
      <c r="Y18" s="231"/>
      <c r="Z18" s="220"/>
      <c r="AA18" s="221"/>
    </row>
    <row r="19" spans="2:27">
      <c r="B19" s="212"/>
      <c r="S19" s="213"/>
      <c r="V19" s="222"/>
      <c r="W19" s="223"/>
      <c r="X19" s="224" t="s">
        <v>194</v>
      </c>
      <c r="Y19" s="222"/>
      <c r="Z19" s="223"/>
      <c r="AA19" s="224" t="s">
        <v>194</v>
      </c>
    </row>
    <row r="20" spans="2:27">
      <c r="B20" s="212"/>
      <c r="S20" s="213"/>
      <c r="V20" s="222" t="s">
        <v>195</v>
      </c>
      <c r="W20" s="225">
        <f>VLOOKUP($V$18,'DATA QUARTILE'!$C:$J,2,FALSE)</f>
        <v>14.46</v>
      </c>
      <c r="X20" s="228">
        <f>ROUND(VLOOKUP($V$18,'DATA QUARTILE'!$C:$J,8,FALSE),0)</f>
        <v>24</v>
      </c>
      <c r="Y20" s="222"/>
      <c r="Z20" s="225" t="e">
        <f>VLOOKUP($Y$18,'DATA QUARTILE'!$C:$J,2,FALSE)</f>
        <v>#N/A</v>
      </c>
      <c r="AA20" s="228" t="e">
        <f>ROUND(VLOOKUP($Y$18,'DATA QUARTILE'!$C:$J,8,FALSE),0)</f>
        <v>#N/A</v>
      </c>
    </row>
    <row r="21" spans="2:27">
      <c r="B21" s="212"/>
      <c r="S21" s="213"/>
      <c r="V21" s="222" t="s">
        <v>196</v>
      </c>
      <c r="W21" s="225">
        <f>VLOOKUP($V$18,'DATA QUARTILE'!$C:$J,4,FALSE)</f>
        <v>14.46</v>
      </c>
      <c r="X21" s="228">
        <f>X20</f>
        <v>24</v>
      </c>
      <c r="Y21" s="222" t="s">
        <v>197</v>
      </c>
      <c r="Z21" s="225" t="e">
        <f>VLOOKUP($Y$18,'DATA QUARTILE'!$C:$J,4,FALSE)</f>
        <v>#N/A</v>
      </c>
      <c r="AA21" s="228" t="e">
        <f>AA20</f>
        <v>#N/A</v>
      </c>
    </row>
    <row r="22" spans="2:27">
      <c r="B22" s="212"/>
      <c r="S22" s="213"/>
      <c r="V22" s="222" t="s">
        <v>198</v>
      </c>
      <c r="W22" s="225">
        <f>VLOOKUP($V$18,'DATA QUARTILE'!$C:$J,5,FALSE)</f>
        <v>28.92</v>
      </c>
      <c r="X22" s="228">
        <f>X21</f>
        <v>24</v>
      </c>
      <c r="Y22" s="222" t="s">
        <v>199</v>
      </c>
      <c r="Z22" s="225" t="e">
        <f>VLOOKUP($Y$18,'DATA QUARTILE'!$C:$J,5,FALSE)</f>
        <v>#N/A</v>
      </c>
      <c r="AA22" s="228" t="e">
        <f>AA21</f>
        <v>#N/A</v>
      </c>
    </row>
    <row r="23" spans="2:27">
      <c r="B23" s="212"/>
      <c r="S23" s="213"/>
      <c r="V23" s="222" t="s">
        <v>200</v>
      </c>
      <c r="W23" s="225">
        <f>VLOOKUP($V$18,'DATA QUARTILE'!$C:$J,6,FALSE)</f>
        <v>28.92</v>
      </c>
      <c r="X23" s="228">
        <f>X22</f>
        <v>24</v>
      </c>
      <c r="Y23" s="222" t="s">
        <v>201</v>
      </c>
      <c r="Z23" s="225" t="e">
        <f>VLOOKUP($Y$18,'DATA QUARTILE'!$C:$J,6,FALSE)</f>
        <v>#N/A</v>
      </c>
      <c r="AA23" s="228" t="e">
        <f>AA22</f>
        <v>#N/A</v>
      </c>
    </row>
    <row r="24" spans="2:27">
      <c r="B24" s="212"/>
      <c r="S24" s="213"/>
      <c r="V24" s="222" t="s">
        <v>202</v>
      </c>
      <c r="W24" s="225">
        <f>VLOOKUP($V$18,'DATA QUARTILE'!$C:$J,7,FALSE)</f>
        <v>28.92</v>
      </c>
      <c r="X24" s="228">
        <f>X23</f>
        <v>24</v>
      </c>
      <c r="Y24" s="222" t="s">
        <v>203</v>
      </c>
      <c r="Z24" s="225" t="e">
        <f>VLOOKUP($Y$18,'DATA QUARTILE'!$C:$J,7,FALSE)</f>
        <v>#N/A</v>
      </c>
      <c r="AA24" s="228" t="e">
        <f>AA23</f>
        <v>#N/A</v>
      </c>
    </row>
    <row r="25" spans="2:27">
      <c r="B25" s="212"/>
      <c r="S25" s="213"/>
      <c r="V25" s="226" t="s">
        <v>204</v>
      </c>
      <c r="W25" s="227">
        <f>VLOOKUP($V$18,'DATA QUARTILE'!$C:$J,3,FALSE)</f>
        <v>90</v>
      </c>
      <c r="X25" s="229">
        <f>X24</f>
        <v>24</v>
      </c>
      <c r="Y25" s="226"/>
      <c r="Z25" s="227" t="e">
        <f>VLOOKUP($Y$18,'DATA QUARTILE'!$C:$J,3,FALSE)</f>
        <v>#N/A</v>
      </c>
      <c r="AA25" s="229" t="e">
        <f>AA24</f>
        <v>#N/A</v>
      </c>
    </row>
    <row r="26" spans="2:27">
      <c r="B26" s="212"/>
      <c r="S26" s="213"/>
    </row>
    <row r="27" spans="2:27">
      <c r="B27" s="212"/>
      <c r="S27" s="213"/>
    </row>
    <row r="28" spans="2:27">
      <c r="B28" s="212"/>
      <c r="S28" s="213"/>
    </row>
    <row r="29" spans="2:27">
      <c r="B29" s="212"/>
      <c r="S29" s="213"/>
    </row>
    <row r="30" spans="2:27">
      <c r="B30" s="212"/>
      <c r="S30" s="213"/>
    </row>
    <row r="31" spans="2:27">
      <c r="B31" s="212"/>
      <c r="S31" s="213"/>
    </row>
    <row r="32" spans="2:27">
      <c r="B32" s="212"/>
      <c r="S32" s="213"/>
    </row>
    <row r="33" spans="2:19">
      <c r="B33" s="212"/>
      <c r="S33" s="213"/>
    </row>
    <row r="34" spans="2:19">
      <c r="B34" s="212"/>
      <c r="S34" s="213"/>
    </row>
    <row r="35" spans="2:19">
      <c r="B35" s="212"/>
      <c r="S35" s="213"/>
    </row>
    <row r="36" spans="2:19">
      <c r="B36" s="212"/>
      <c r="S36" s="213"/>
    </row>
    <row r="37" spans="2:19">
      <c r="B37" s="212"/>
      <c r="S37" s="213"/>
    </row>
    <row r="38" spans="2:19">
      <c r="B38" s="212"/>
      <c r="S38" s="213"/>
    </row>
    <row r="39" spans="2:19">
      <c r="B39" s="212"/>
      <c r="S39" s="213"/>
    </row>
    <row r="40" spans="2:19">
      <c r="B40" s="212"/>
      <c r="S40" s="213"/>
    </row>
    <row r="41" spans="2:19">
      <c r="B41" s="212"/>
      <c r="S41" s="213"/>
    </row>
    <row r="42" spans="2:19">
      <c r="B42" s="212"/>
      <c r="S42" s="213"/>
    </row>
    <row r="43" spans="2:19">
      <c r="B43" s="212"/>
      <c r="S43" s="213"/>
    </row>
    <row r="44" spans="2:19">
      <c r="B44" s="212"/>
      <c r="S44" s="213"/>
    </row>
    <row r="45" spans="2:19" ht="12.75" customHeight="1">
      <c r="B45" s="212"/>
      <c r="S45" s="213"/>
    </row>
    <row r="46" spans="2:19" ht="14.25" customHeight="1">
      <c r="B46" s="212"/>
      <c r="S46" s="213"/>
    </row>
    <row r="47" spans="2:19">
      <c r="B47" s="212"/>
      <c r="S47" s="213"/>
    </row>
    <row r="48" spans="2:19">
      <c r="B48" s="212"/>
      <c r="S48" s="213"/>
    </row>
    <row r="49" spans="2:19">
      <c r="B49" s="212"/>
      <c r="S49" s="213"/>
    </row>
    <row r="50" spans="2:19" ht="18" customHeight="1">
      <c r="B50" s="214"/>
      <c r="C50" s="215"/>
      <c r="D50" s="215"/>
      <c r="E50" s="215"/>
      <c r="F50" s="215"/>
      <c r="G50" s="215"/>
      <c r="H50" s="215"/>
      <c r="I50" s="215"/>
      <c r="J50" s="215"/>
      <c r="K50" s="215"/>
      <c r="L50" s="215"/>
      <c r="M50" s="215"/>
      <c r="N50" s="215"/>
      <c r="O50" s="215"/>
      <c r="P50" s="215"/>
      <c r="Q50" s="215"/>
      <c r="R50" s="215"/>
      <c r="S50" s="216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20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1015625" defaultRowHeight="14.35"/>
  <cols>
    <col min="1" max="1" width="2.87890625" style="207" customWidth="1"/>
    <col min="2" max="2" width="4.29296875" style="208" customWidth="1"/>
    <col min="3" max="3" width="18.5859375" style="208" customWidth="1"/>
    <col min="4" max="9" width="11.41015625" style="208" customWidth="1"/>
    <col min="10" max="10" width="14.29296875" style="208" customWidth="1"/>
    <col min="11" max="17" width="11.41015625" style="208" customWidth="1"/>
    <col min="18" max="18" width="18.5859375" style="208" customWidth="1"/>
    <col min="19" max="19" width="4.1171875" style="208" customWidth="1"/>
    <col min="20" max="20" width="2.87890625" style="208" customWidth="1"/>
    <col min="21" max="21" width="11.41015625" style="208" customWidth="1"/>
    <col min="22" max="22" width="35.703125" style="208" bestFit="1" customWidth="1"/>
    <col min="23" max="23" width="11.41015625" style="208" customWidth="1"/>
    <col min="24" max="24" width="9.41015625" style="208" bestFit="1" customWidth="1"/>
    <col min="25" max="25" width="35.703125" style="208" bestFit="1" customWidth="1"/>
    <col min="26" max="27" width="11.41015625" style="208" customWidth="1"/>
    <col min="28" max="16384" width="11.41015625" style="208"/>
  </cols>
  <sheetData>
    <row r="1" spans="2:27"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</row>
    <row r="2" spans="2:27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0"/>
      <c r="S2" s="211"/>
    </row>
    <row r="3" spans="2:27">
      <c r="B3" s="212"/>
      <c r="S3" s="213"/>
    </row>
    <row r="4" spans="2:27">
      <c r="B4" s="212"/>
      <c r="S4" s="213"/>
    </row>
    <row r="5" spans="2:27">
      <c r="B5" s="212"/>
      <c r="S5" s="213"/>
    </row>
    <row r="6" spans="2:27" hidden="1">
      <c r="B6" s="212"/>
      <c r="S6" s="213"/>
    </row>
    <row r="7" spans="2:27" hidden="1">
      <c r="B7" s="212"/>
      <c r="S7" s="213"/>
    </row>
    <row r="8" spans="2:27" ht="61.5" customHeight="1">
      <c r="B8" s="212"/>
      <c r="C8" s="303" t="str">
        <f>'Page de garde'!C13&amp;" : Analyse de la dépense médicale optique"</f>
        <v>47500207 - 47502122 - 47525653 - 47530591 : Analyse de la dépense médicale optique</v>
      </c>
      <c r="D8" s="304"/>
      <c r="E8" s="304"/>
      <c r="F8" s="304"/>
      <c r="G8" s="304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5"/>
      <c r="S8" s="213"/>
    </row>
    <row r="9" spans="2:27">
      <c r="B9" s="212"/>
      <c r="S9" s="213"/>
    </row>
    <row r="10" spans="2:27">
      <c r="B10" s="212"/>
      <c r="S10" s="213"/>
    </row>
    <row r="11" spans="2:27">
      <c r="B11" s="212"/>
      <c r="S11" s="213"/>
    </row>
    <row r="12" spans="2:27">
      <c r="B12" s="212"/>
      <c r="S12" s="213"/>
    </row>
    <row r="13" spans="2:27">
      <c r="B13" s="212"/>
      <c r="S13" s="213"/>
    </row>
    <row r="14" spans="2:27" ht="15.75" customHeight="1">
      <c r="B14" s="212"/>
      <c r="S14" s="213"/>
    </row>
    <row r="15" spans="2:27">
      <c r="B15" s="212"/>
      <c r="S15" s="213"/>
    </row>
    <row r="16" spans="2:27" ht="23.35">
      <c r="B16" s="212"/>
      <c r="S16" s="213"/>
      <c r="V16" s="223"/>
      <c r="W16" s="223"/>
      <c r="X16" s="223"/>
      <c r="Y16" s="223"/>
      <c r="Z16" s="230"/>
      <c r="AA16" s="223"/>
    </row>
    <row r="17" spans="2:27">
      <c r="B17" s="212"/>
      <c r="S17" s="213"/>
      <c r="V17" s="223"/>
      <c r="W17" s="223"/>
      <c r="X17" s="223"/>
      <c r="Y17" s="223"/>
      <c r="Z17" s="223"/>
      <c r="AA17" s="223"/>
    </row>
    <row r="18" spans="2:27">
      <c r="B18" s="212"/>
      <c r="S18" s="213"/>
      <c r="V18" s="231" t="str">
        <f>'DATA QUARTILE'!C3</f>
        <v>APPAREILLAGE REFUSE</v>
      </c>
      <c r="W18" s="220"/>
      <c r="X18" s="221"/>
      <c r="Y18" s="231"/>
      <c r="Z18" s="220"/>
      <c r="AA18" s="221"/>
    </row>
    <row r="19" spans="2:27">
      <c r="B19" s="212"/>
      <c r="S19" s="213"/>
      <c r="V19" s="222"/>
      <c r="W19" s="223"/>
      <c r="X19" s="224" t="s">
        <v>194</v>
      </c>
      <c r="Y19" s="222"/>
      <c r="Z19" s="223"/>
      <c r="AA19" s="224" t="s">
        <v>194</v>
      </c>
    </row>
    <row r="20" spans="2:27">
      <c r="B20" s="212"/>
      <c r="S20" s="213"/>
      <c r="V20" s="222" t="s">
        <v>195</v>
      </c>
      <c r="W20" s="225">
        <f>VLOOKUP($V$18,'DATA QUARTILE'!$C:$J,2,FALSE)</f>
        <v>50</v>
      </c>
      <c r="X20" s="228">
        <f>ROUND(VLOOKUP($V$18,'DATA QUARTILE'!$C:$J,8,FALSE),0)</f>
        <v>50</v>
      </c>
      <c r="Y20" s="222"/>
      <c r="Z20" s="225" t="e">
        <f>VLOOKUP($Y$18,'DATA QUARTILE'!$C:$J,2,FALSE)</f>
        <v>#N/A</v>
      </c>
      <c r="AA20" s="228" t="e">
        <f>ROUND(VLOOKUP($Y$18,'DATA QUARTILE'!$C:$J,8,FALSE),0)</f>
        <v>#N/A</v>
      </c>
    </row>
    <row r="21" spans="2:27">
      <c r="B21" s="212"/>
      <c r="S21" s="213"/>
      <c r="V21" s="222" t="s">
        <v>196</v>
      </c>
      <c r="W21" s="225">
        <f>VLOOKUP($V$18,'DATA QUARTILE'!$C:$J,4,FALSE)</f>
        <v>50</v>
      </c>
      <c r="X21" s="228">
        <f>X20</f>
        <v>50</v>
      </c>
      <c r="Y21" s="222" t="s">
        <v>197</v>
      </c>
      <c r="Z21" s="225" t="e">
        <f>VLOOKUP($Y$18,'DATA QUARTILE'!$C:$J,4,FALSE)</f>
        <v>#N/A</v>
      </c>
      <c r="AA21" s="228" t="e">
        <f>AA20</f>
        <v>#N/A</v>
      </c>
    </row>
    <row r="22" spans="2:27">
      <c r="B22" s="212"/>
      <c r="S22" s="213"/>
      <c r="V22" s="222" t="s">
        <v>198</v>
      </c>
      <c r="W22" s="225">
        <f>VLOOKUP($V$18,'DATA QUARTILE'!$C:$J,5,FALSE)</f>
        <v>50</v>
      </c>
      <c r="X22" s="228">
        <f>X21</f>
        <v>50</v>
      </c>
      <c r="Y22" s="222" t="s">
        <v>199</v>
      </c>
      <c r="Z22" s="225" t="e">
        <f>VLOOKUP($Y$18,'DATA QUARTILE'!$C:$J,5,FALSE)</f>
        <v>#N/A</v>
      </c>
      <c r="AA22" s="228" t="e">
        <f>AA21</f>
        <v>#N/A</v>
      </c>
    </row>
    <row r="23" spans="2:27">
      <c r="B23" s="212"/>
      <c r="S23" s="213"/>
      <c r="V23" s="222" t="s">
        <v>200</v>
      </c>
      <c r="W23" s="225">
        <f>VLOOKUP($V$18,'DATA QUARTILE'!$C:$J,6,FALSE)</f>
        <v>50</v>
      </c>
      <c r="X23" s="228">
        <f>X22</f>
        <v>50</v>
      </c>
      <c r="Y23" s="222" t="s">
        <v>201</v>
      </c>
      <c r="Z23" s="225" t="e">
        <f>VLOOKUP($Y$18,'DATA QUARTILE'!$C:$J,6,FALSE)</f>
        <v>#N/A</v>
      </c>
      <c r="AA23" s="228" t="e">
        <f>AA22</f>
        <v>#N/A</v>
      </c>
    </row>
    <row r="24" spans="2:27">
      <c r="B24" s="212"/>
      <c r="S24" s="213"/>
      <c r="V24" s="222" t="s">
        <v>202</v>
      </c>
      <c r="W24" s="225">
        <f>VLOOKUP($V$18,'DATA QUARTILE'!$C:$J,7,FALSE)</f>
        <v>50</v>
      </c>
      <c r="X24" s="228">
        <f>X23</f>
        <v>50</v>
      </c>
      <c r="Y24" s="222" t="s">
        <v>203</v>
      </c>
      <c r="Z24" s="225" t="e">
        <f>VLOOKUP($Y$18,'DATA QUARTILE'!$C:$J,7,FALSE)</f>
        <v>#N/A</v>
      </c>
      <c r="AA24" s="228" t="e">
        <f>AA23</f>
        <v>#N/A</v>
      </c>
    </row>
    <row r="25" spans="2:27">
      <c r="B25" s="212"/>
      <c r="S25" s="213"/>
      <c r="V25" s="226" t="s">
        <v>204</v>
      </c>
      <c r="W25" s="227">
        <f>VLOOKUP($V$18,'DATA QUARTILE'!$C:$J,3,FALSE)</f>
        <v>50</v>
      </c>
      <c r="X25" s="229">
        <f>X24</f>
        <v>50</v>
      </c>
      <c r="Y25" s="226"/>
      <c r="Z25" s="227" t="e">
        <f>VLOOKUP($Y$18,'DATA QUARTILE'!$C:$J,3,FALSE)</f>
        <v>#N/A</v>
      </c>
      <c r="AA25" s="229" t="e">
        <f>AA24</f>
        <v>#N/A</v>
      </c>
    </row>
    <row r="26" spans="2:27">
      <c r="B26" s="212"/>
      <c r="S26" s="213"/>
    </row>
    <row r="27" spans="2:27">
      <c r="B27" s="212"/>
      <c r="S27" s="213"/>
    </row>
    <row r="28" spans="2:27">
      <c r="B28" s="212"/>
      <c r="S28" s="213"/>
    </row>
    <row r="29" spans="2:27">
      <c r="B29" s="212"/>
      <c r="S29" s="213"/>
    </row>
    <row r="30" spans="2:27">
      <c r="B30" s="212"/>
      <c r="S30" s="213"/>
    </row>
    <row r="31" spans="2:27">
      <c r="B31" s="212"/>
      <c r="S31" s="213"/>
    </row>
    <row r="32" spans="2:27">
      <c r="B32" s="212"/>
      <c r="S32" s="213"/>
    </row>
    <row r="33" spans="2:19">
      <c r="B33" s="212"/>
      <c r="S33" s="213"/>
    </row>
    <row r="34" spans="2:19">
      <c r="B34" s="212"/>
      <c r="S34" s="213"/>
    </row>
    <row r="35" spans="2:19">
      <c r="B35" s="212"/>
      <c r="S35" s="213"/>
    </row>
    <row r="36" spans="2:19">
      <c r="B36" s="212"/>
      <c r="S36" s="213"/>
    </row>
    <row r="37" spans="2:19">
      <c r="B37" s="212"/>
      <c r="S37" s="213"/>
    </row>
    <row r="38" spans="2:19">
      <c r="B38" s="212"/>
      <c r="S38" s="213"/>
    </row>
    <row r="39" spans="2:19">
      <c r="B39" s="212"/>
      <c r="S39" s="213"/>
    </row>
    <row r="40" spans="2:19">
      <c r="B40" s="212"/>
      <c r="S40" s="213"/>
    </row>
    <row r="41" spans="2:19">
      <c r="B41" s="212"/>
      <c r="S41" s="213"/>
    </row>
    <row r="42" spans="2:19">
      <c r="B42" s="212"/>
      <c r="S42" s="213"/>
    </row>
    <row r="43" spans="2:19">
      <c r="B43" s="212"/>
      <c r="S43" s="213"/>
    </row>
    <row r="44" spans="2:19">
      <c r="B44" s="212"/>
      <c r="S44" s="213"/>
    </row>
    <row r="45" spans="2:19" ht="12.75" customHeight="1">
      <c r="B45" s="212"/>
      <c r="S45" s="213"/>
    </row>
    <row r="46" spans="2:19" ht="14.25" customHeight="1">
      <c r="B46" s="212"/>
      <c r="S46" s="213"/>
    </row>
    <row r="47" spans="2:19">
      <c r="B47" s="212"/>
      <c r="S47" s="213"/>
    </row>
    <row r="48" spans="2:19">
      <c r="B48" s="212"/>
      <c r="S48" s="213"/>
    </row>
    <row r="49" spans="2:19">
      <c r="B49" s="212"/>
      <c r="S49" s="213"/>
    </row>
    <row r="50" spans="2:19" ht="18" customHeight="1">
      <c r="B50" s="214"/>
      <c r="C50" s="215"/>
      <c r="D50" s="215"/>
      <c r="E50" s="215"/>
      <c r="F50" s="215"/>
      <c r="G50" s="215"/>
      <c r="H50" s="215"/>
      <c r="I50" s="215"/>
      <c r="J50" s="215"/>
      <c r="K50" s="215"/>
      <c r="L50" s="215"/>
      <c r="M50" s="215"/>
      <c r="N50" s="215"/>
      <c r="O50" s="215"/>
      <c r="P50" s="215"/>
      <c r="Q50" s="215"/>
      <c r="R50" s="215"/>
      <c r="S50" s="216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23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1015625" defaultRowHeight="14.35"/>
  <cols>
    <col min="1" max="1" width="2.87890625" style="207" customWidth="1"/>
    <col min="2" max="2" width="4.29296875" style="208" customWidth="1"/>
    <col min="3" max="3" width="18.5859375" style="208" customWidth="1"/>
    <col min="4" max="9" width="11.41015625" style="208" customWidth="1"/>
    <col min="10" max="10" width="14.29296875" style="208" customWidth="1"/>
    <col min="11" max="17" width="11.41015625" style="208" customWidth="1"/>
    <col min="18" max="18" width="18.5859375" style="208" customWidth="1"/>
    <col min="19" max="19" width="4.1171875" style="208" customWidth="1"/>
    <col min="20" max="20" width="2.87890625" style="208" customWidth="1"/>
    <col min="21" max="21" width="11.41015625" style="208" customWidth="1"/>
    <col min="22" max="22" width="45" style="208" bestFit="1" customWidth="1"/>
    <col min="23" max="23" width="11.41015625" style="208" customWidth="1"/>
    <col min="24" max="24" width="9.41015625" style="208" bestFit="1" customWidth="1"/>
    <col min="25" max="26" width="11.41015625" style="208" customWidth="1"/>
    <col min="27" max="16384" width="11.41015625" style="208"/>
  </cols>
  <sheetData>
    <row r="1" spans="2:27"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</row>
    <row r="2" spans="2:27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0"/>
      <c r="S2" s="211"/>
    </row>
    <row r="3" spans="2:27">
      <c r="B3" s="212"/>
      <c r="S3" s="213"/>
    </row>
    <row r="4" spans="2:27">
      <c r="B4" s="212"/>
      <c r="S4" s="213"/>
    </row>
    <row r="5" spans="2:27">
      <c r="B5" s="212"/>
      <c r="S5" s="213"/>
    </row>
    <row r="6" spans="2:27" hidden="1">
      <c r="B6" s="212"/>
      <c r="S6" s="213"/>
    </row>
    <row r="7" spans="2:27" hidden="1">
      <c r="B7" s="212"/>
      <c r="S7" s="213"/>
    </row>
    <row r="8" spans="2:27" ht="61.5" customHeight="1">
      <c r="B8" s="212"/>
      <c r="C8" s="303" t="str">
        <f>'Page de garde'!C13&amp;" : Analyse de la dépense médicale dentaire"</f>
        <v>47500207 - 47502122 - 47525653 - 47530591 : Analyse de la dépense médicale dentaire</v>
      </c>
      <c r="D8" s="304"/>
      <c r="E8" s="304"/>
      <c r="F8" s="304"/>
      <c r="G8" s="304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5"/>
      <c r="S8" s="213"/>
    </row>
    <row r="9" spans="2:27">
      <c r="B9" s="212"/>
      <c r="S9" s="213"/>
    </row>
    <row r="10" spans="2:27">
      <c r="B10" s="212"/>
      <c r="S10" s="213"/>
    </row>
    <row r="11" spans="2:27">
      <c r="B11" s="212"/>
      <c r="S11" s="213"/>
    </row>
    <row r="12" spans="2:27">
      <c r="B12" s="212"/>
      <c r="S12" s="213"/>
    </row>
    <row r="13" spans="2:27">
      <c r="B13" s="212"/>
      <c r="S13" s="213"/>
    </row>
    <row r="14" spans="2:27" ht="15.75" customHeight="1">
      <c r="B14" s="212"/>
      <c r="S14" s="213"/>
    </row>
    <row r="15" spans="2:27">
      <c r="B15" s="212"/>
      <c r="S15" s="213"/>
    </row>
    <row r="16" spans="2:27" ht="23.35">
      <c r="B16" s="212"/>
      <c r="S16" s="213"/>
      <c r="V16" s="223"/>
      <c r="W16" s="223"/>
      <c r="X16" s="223"/>
      <c r="Y16" s="223"/>
      <c r="Z16" s="230"/>
      <c r="AA16" s="223"/>
    </row>
    <row r="17" spans="2:27">
      <c r="B17" s="212"/>
      <c r="S17" s="213"/>
      <c r="V17" s="223"/>
      <c r="W17" s="223"/>
      <c r="X17" s="223"/>
      <c r="Y17" s="223"/>
      <c r="Z17" s="223"/>
      <c r="AA17" s="223"/>
    </row>
    <row r="18" spans="2:27">
      <c r="B18" s="212"/>
      <c r="S18" s="213"/>
      <c r="V18" s="231" t="str">
        <f>'DATA QUARTILE'!C4</f>
        <v>AUTRES</v>
      </c>
      <c r="W18" s="220"/>
      <c r="X18" s="221"/>
      <c r="Y18" s="231"/>
      <c r="Z18" s="220"/>
      <c r="AA18" s="221"/>
    </row>
    <row r="19" spans="2:27">
      <c r="B19" s="212"/>
      <c r="S19" s="213"/>
      <c r="V19" s="222"/>
      <c r="W19" s="223"/>
      <c r="X19" s="224" t="s">
        <v>194</v>
      </c>
      <c r="Y19" s="222"/>
      <c r="Z19" s="223"/>
      <c r="AA19" s="224" t="s">
        <v>194</v>
      </c>
    </row>
    <row r="20" spans="2:27">
      <c r="B20" s="212"/>
      <c r="S20" s="213"/>
      <c r="V20" s="222" t="s">
        <v>195</v>
      </c>
      <c r="W20" s="225">
        <f>VLOOKUP($V$18,'DATA QUARTILE'!$C:$J,2,FALSE)</f>
        <v>0.51</v>
      </c>
      <c r="X20" s="228">
        <f>ROUND(VLOOKUP($V$18,'DATA QUARTILE'!$C:$J,8,FALSE),0)</f>
        <v>48</v>
      </c>
      <c r="Y20" s="222"/>
      <c r="Z20" s="225" t="e">
        <f>VLOOKUP($Y$18,'DATA QUARTILE'!$C:$J,2,FALSE)</f>
        <v>#N/A</v>
      </c>
      <c r="AA20" s="228" t="e">
        <f>ROUND(VLOOKUP($Y$18,'DATA QUARTILE'!$C:$J,8,FALSE),0)</f>
        <v>#N/A</v>
      </c>
    </row>
    <row r="21" spans="2:27">
      <c r="B21" s="212"/>
      <c r="S21" s="213"/>
      <c r="V21" s="222" t="s">
        <v>196</v>
      </c>
      <c r="W21" s="225">
        <f>VLOOKUP($V$18,'DATA QUARTILE'!$C:$J,4,FALSE)</f>
        <v>3.57</v>
      </c>
      <c r="X21" s="228">
        <f>X20</f>
        <v>48</v>
      </c>
      <c r="Y21" s="222" t="s">
        <v>197</v>
      </c>
      <c r="Z21" s="225" t="e">
        <f>VLOOKUP($Y$18,'DATA QUARTILE'!$C:$J,4,FALSE)</f>
        <v>#N/A</v>
      </c>
      <c r="AA21" s="228" t="e">
        <f>AA20</f>
        <v>#N/A</v>
      </c>
    </row>
    <row r="22" spans="2:27">
      <c r="B22" s="212"/>
      <c r="S22" s="213"/>
      <c r="V22" s="222" t="s">
        <v>198</v>
      </c>
      <c r="W22" s="225">
        <f>VLOOKUP($V$18,'DATA QUARTILE'!$C:$J,5,FALSE)</f>
        <v>25</v>
      </c>
      <c r="X22" s="228">
        <f>X21</f>
        <v>48</v>
      </c>
      <c r="Y22" s="222" t="s">
        <v>199</v>
      </c>
      <c r="Z22" s="225" t="e">
        <f>VLOOKUP($Y$18,'DATA QUARTILE'!$C:$J,5,FALSE)</f>
        <v>#N/A</v>
      </c>
      <c r="AA22" s="228" t="e">
        <f>AA21</f>
        <v>#N/A</v>
      </c>
    </row>
    <row r="23" spans="2:27">
      <c r="B23" s="212"/>
      <c r="S23" s="213"/>
      <c r="V23" s="222" t="s">
        <v>200</v>
      </c>
      <c r="W23" s="225">
        <f>VLOOKUP($V$18,'DATA QUARTILE'!$C:$J,6,FALSE)</f>
        <v>55</v>
      </c>
      <c r="X23" s="228">
        <f>X22</f>
        <v>48</v>
      </c>
      <c r="Y23" s="222" t="s">
        <v>201</v>
      </c>
      <c r="Z23" s="225" t="e">
        <f>VLOOKUP($Y$18,'DATA QUARTILE'!$C:$J,6,FALSE)</f>
        <v>#N/A</v>
      </c>
      <c r="AA23" s="228" t="e">
        <f>AA22</f>
        <v>#N/A</v>
      </c>
    </row>
    <row r="24" spans="2:27">
      <c r="B24" s="212"/>
      <c r="S24" s="213"/>
      <c r="V24" s="222" t="s">
        <v>202</v>
      </c>
      <c r="W24" s="225">
        <f>VLOOKUP($V$18,'DATA QUARTILE'!$C:$J,7,FALSE)</f>
        <v>72</v>
      </c>
      <c r="X24" s="228">
        <f>X23</f>
        <v>48</v>
      </c>
      <c r="Y24" s="222" t="s">
        <v>203</v>
      </c>
      <c r="Z24" s="225" t="e">
        <f>VLOOKUP($Y$18,'DATA QUARTILE'!$C:$J,7,FALSE)</f>
        <v>#N/A</v>
      </c>
      <c r="AA24" s="228" t="e">
        <f>AA23</f>
        <v>#N/A</v>
      </c>
    </row>
    <row r="25" spans="2:27">
      <c r="B25" s="212"/>
      <c r="S25" s="213"/>
      <c r="V25" s="226" t="s">
        <v>204</v>
      </c>
      <c r="W25" s="227">
        <f>VLOOKUP($V$18,'DATA QUARTILE'!$C:$J,3,FALSE)</f>
        <v>3777</v>
      </c>
      <c r="X25" s="229">
        <f>X24</f>
        <v>48</v>
      </c>
      <c r="Y25" s="226"/>
      <c r="Z25" s="227" t="e">
        <f>VLOOKUP($Y$18,'DATA QUARTILE'!$C:$J,3,FALSE)</f>
        <v>#N/A</v>
      </c>
      <c r="AA25" s="229" t="e">
        <f>AA24</f>
        <v>#N/A</v>
      </c>
    </row>
    <row r="26" spans="2:27">
      <c r="B26" s="212"/>
      <c r="S26" s="213"/>
    </row>
    <row r="27" spans="2:27">
      <c r="B27" s="212"/>
      <c r="S27" s="213"/>
    </row>
    <row r="28" spans="2:27">
      <c r="B28" s="212"/>
      <c r="S28" s="213"/>
    </row>
    <row r="29" spans="2:27">
      <c r="B29" s="212"/>
      <c r="S29" s="213"/>
    </row>
    <row r="30" spans="2:27">
      <c r="B30" s="212"/>
      <c r="S30" s="213"/>
    </row>
    <row r="31" spans="2:27">
      <c r="B31" s="212"/>
      <c r="S31" s="213"/>
    </row>
    <row r="32" spans="2:27">
      <c r="B32" s="212"/>
      <c r="S32" s="213"/>
    </row>
    <row r="33" spans="2:19">
      <c r="B33" s="212"/>
      <c r="S33" s="213"/>
    </row>
    <row r="34" spans="2:19">
      <c r="B34" s="212"/>
      <c r="S34" s="213"/>
    </row>
    <row r="35" spans="2:19">
      <c r="B35" s="212"/>
      <c r="S35" s="213"/>
    </row>
    <row r="36" spans="2:19">
      <c r="B36" s="212"/>
      <c r="S36" s="213"/>
    </row>
    <row r="37" spans="2:19">
      <c r="B37" s="212"/>
      <c r="S37" s="213"/>
    </row>
    <row r="38" spans="2:19">
      <c r="B38" s="212"/>
      <c r="S38" s="213"/>
    </row>
    <row r="39" spans="2:19">
      <c r="B39" s="212"/>
      <c r="S39" s="213"/>
    </row>
    <row r="40" spans="2:19">
      <c r="B40" s="212"/>
      <c r="S40" s="213"/>
    </row>
    <row r="41" spans="2:19">
      <c r="B41" s="212"/>
      <c r="S41" s="213"/>
    </row>
    <row r="42" spans="2:19">
      <c r="B42" s="212"/>
      <c r="S42" s="213"/>
    </row>
    <row r="43" spans="2:19">
      <c r="B43" s="212"/>
      <c r="S43" s="213"/>
    </row>
    <row r="44" spans="2:19">
      <c r="B44" s="212"/>
      <c r="S44" s="213"/>
    </row>
    <row r="45" spans="2:19" ht="12.75" customHeight="1">
      <c r="B45" s="212"/>
      <c r="S45" s="213"/>
    </row>
    <row r="46" spans="2:19" ht="14.25" customHeight="1">
      <c r="B46" s="212"/>
      <c r="S46" s="213"/>
    </row>
    <row r="47" spans="2:19">
      <c r="B47" s="212"/>
      <c r="S47" s="213"/>
    </row>
    <row r="48" spans="2:19">
      <c r="B48" s="212"/>
      <c r="S48" s="213"/>
    </row>
    <row r="49" spans="2:19">
      <c r="B49" s="212"/>
      <c r="S49" s="213"/>
    </row>
    <row r="50" spans="2:19" ht="18" customHeight="1">
      <c r="B50" s="214"/>
      <c r="C50" s="215"/>
      <c r="D50" s="215"/>
      <c r="E50" s="215"/>
      <c r="F50" s="215"/>
      <c r="G50" s="215"/>
      <c r="H50" s="215"/>
      <c r="I50" s="215"/>
      <c r="J50" s="215"/>
      <c r="K50" s="215"/>
      <c r="L50" s="215"/>
      <c r="M50" s="215"/>
      <c r="N50" s="215"/>
      <c r="O50" s="215"/>
      <c r="P50" s="215"/>
      <c r="Q50" s="215"/>
      <c r="R50" s="215"/>
      <c r="S50" s="216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4">
    <tabColor theme="9" tint="0.79998168889431442"/>
  </sheetPr>
  <dimension ref="A1:J284"/>
  <sheetViews>
    <sheetView zoomScale="85" zoomScaleNormal="85" workbookViewId="0">
      <selection activeCell="A2" sqref="A2:XFD176"/>
    </sheetView>
  </sheetViews>
  <sheetFormatPr baseColWidth="10" defaultColWidth="11.41015625" defaultRowHeight="14.35"/>
  <cols>
    <col min="1" max="1" width="7.1171875" style="199" bestFit="1" customWidth="1"/>
    <col min="2" max="2" width="21" style="199" bestFit="1" customWidth="1"/>
    <col min="3" max="3" width="4.703125" style="199" bestFit="1" customWidth="1"/>
    <col min="4" max="4" width="9.5859375" style="199" bestFit="1" customWidth="1"/>
    <col min="5" max="5" width="8.703125" style="199" bestFit="1" customWidth="1"/>
    <col min="6" max="6" width="25.87890625" style="199" bestFit="1" customWidth="1"/>
    <col min="7" max="7" width="14.5859375" style="199" bestFit="1" customWidth="1"/>
    <col min="8" max="8" width="20.1171875" style="199" bestFit="1" customWidth="1"/>
    <col min="9" max="9" width="38" style="199" bestFit="1" customWidth="1"/>
    <col min="10" max="10" width="16.41015625" style="199" bestFit="1" customWidth="1"/>
    <col min="11" max="13" width="11.41015625" style="199" customWidth="1"/>
    <col min="14" max="16384" width="11.41015625" style="199"/>
  </cols>
  <sheetData>
    <row r="1" spans="1:10">
      <c r="A1" s="199" t="s">
        <v>205</v>
      </c>
      <c r="B1" s="199" t="s">
        <v>206</v>
      </c>
      <c r="C1" s="199" t="s">
        <v>207</v>
      </c>
      <c r="D1" s="199" t="s">
        <v>208</v>
      </c>
      <c r="E1" s="199" t="s">
        <v>209</v>
      </c>
      <c r="F1" s="199" t="s">
        <v>210</v>
      </c>
      <c r="G1" s="199" t="s">
        <v>211</v>
      </c>
      <c r="H1" s="199" t="s">
        <v>212</v>
      </c>
      <c r="I1" s="199" t="s">
        <v>213</v>
      </c>
      <c r="J1" s="199" t="s">
        <v>214</v>
      </c>
    </row>
    <row r="2" spans="1:10">
      <c r="A2" s="199">
        <v>2020</v>
      </c>
      <c r="B2" s="199" t="s">
        <v>215</v>
      </c>
      <c r="C2" s="199">
        <v>1</v>
      </c>
      <c r="D2" s="199" t="s">
        <v>57</v>
      </c>
      <c r="E2" s="199" t="s">
        <v>73</v>
      </c>
      <c r="F2" s="199" t="s">
        <v>59</v>
      </c>
      <c r="G2" s="199">
        <v>3</v>
      </c>
      <c r="H2" s="199">
        <v>3</v>
      </c>
      <c r="I2" s="199" t="s">
        <v>8</v>
      </c>
      <c r="J2" s="199" t="s">
        <v>276</v>
      </c>
    </row>
    <row r="3" spans="1:10">
      <c r="A3" s="199">
        <v>2020</v>
      </c>
      <c r="B3" s="199" t="s">
        <v>215</v>
      </c>
      <c r="C3" s="199">
        <v>1</v>
      </c>
      <c r="D3" s="199" t="s">
        <v>58</v>
      </c>
      <c r="E3" s="199" t="s">
        <v>73</v>
      </c>
      <c r="F3" s="199" t="s">
        <v>59</v>
      </c>
      <c r="G3" s="199">
        <v>1</v>
      </c>
      <c r="H3" s="199">
        <v>1</v>
      </c>
      <c r="I3" s="199" t="s">
        <v>8</v>
      </c>
      <c r="J3" s="199" t="s">
        <v>276</v>
      </c>
    </row>
    <row r="4" spans="1:10">
      <c r="A4" s="199">
        <v>2020</v>
      </c>
      <c r="B4" s="199" t="s">
        <v>215</v>
      </c>
      <c r="C4" s="199">
        <v>2</v>
      </c>
      <c r="D4" s="199" t="s">
        <v>58</v>
      </c>
      <c r="E4" s="199" t="s">
        <v>73</v>
      </c>
      <c r="F4" s="199" t="s">
        <v>59</v>
      </c>
      <c r="G4" s="199">
        <v>1</v>
      </c>
      <c r="H4" s="199">
        <v>2</v>
      </c>
      <c r="I4" s="199" t="s">
        <v>8</v>
      </c>
      <c r="J4" s="199" t="s">
        <v>276</v>
      </c>
    </row>
    <row r="5" spans="1:10">
      <c r="A5" s="199">
        <v>2020</v>
      </c>
      <c r="B5" s="199" t="s">
        <v>215</v>
      </c>
      <c r="C5" s="199">
        <v>3</v>
      </c>
      <c r="D5" s="199" t="s">
        <v>57</v>
      </c>
      <c r="E5" s="199" t="s">
        <v>73</v>
      </c>
      <c r="F5" s="199" t="s">
        <v>59</v>
      </c>
      <c r="G5" s="199">
        <v>2</v>
      </c>
      <c r="H5" s="199">
        <v>6</v>
      </c>
      <c r="I5" s="199" t="s">
        <v>8</v>
      </c>
      <c r="J5" s="199" t="s">
        <v>276</v>
      </c>
    </row>
    <row r="6" spans="1:10">
      <c r="A6" s="199">
        <v>2020</v>
      </c>
      <c r="B6" s="199" t="s">
        <v>215</v>
      </c>
      <c r="C6" s="199">
        <v>3</v>
      </c>
      <c r="D6" s="199" t="s">
        <v>58</v>
      </c>
      <c r="E6" s="199" t="s">
        <v>73</v>
      </c>
      <c r="F6" s="199" t="s">
        <v>59</v>
      </c>
      <c r="G6" s="199">
        <v>1</v>
      </c>
      <c r="H6" s="199">
        <v>3</v>
      </c>
      <c r="I6" s="199" t="s">
        <v>8</v>
      </c>
      <c r="J6" s="199" t="s">
        <v>276</v>
      </c>
    </row>
    <row r="7" spans="1:10">
      <c r="A7" s="199">
        <v>2020</v>
      </c>
      <c r="B7" s="199" t="s">
        <v>215</v>
      </c>
      <c r="C7" s="199">
        <v>4</v>
      </c>
      <c r="D7" s="199" t="s">
        <v>57</v>
      </c>
      <c r="E7" s="199" t="s">
        <v>73</v>
      </c>
      <c r="F7" s="199" t="s">
        <v>59</v>
      </c>
      <c r="G7" s="199">
        <v>2</v>
      </c>
      <c r="H7" s="199">
        <v>8</v>
      </c>
      <c r="I7" s="199" t="s">
        <v>8</v>
      </c>
      <c r="J7" s="199" t="s">
        <v>276</v>
      </c>
    </row>
    <row r="8" spans="1:10">
      <c r="A8" s="199">
        <v>2020</v>
      </c>
      <c r="B8" s="199" t="s">
        <v>215</v>
      </c>
      <c r="C8" s="199">
        <v>5</v>
      </c>
      <c r="D8" s="199" t="s">
        <v>57</v>
      </c>
      <c r="E8" s="199" t="s">
        <v>73</v>
      </c>
      <c r="F8" s="199" t="s">
        <v>59</v>
      </c>
      <c r="G8" s="199">
        <v>1</v>
      </c>
      <c r="H8" s="199">
        <v>5</v>
      </c>
      <c r="I8" s="199" t="s">
        <v>8</v>
      </c>
      <c r="J8" s="199" t="s">
        <v>276</v>
      </c>
    </row>
    <row r="9" spans="1:10">
      <c r="A9" s="199">
        <v>2020</v>
      </c>
      <c r="B9" s="199" t="s">
        <v>215</v>
      </c>
      <c r="C9" s="199">
        <v>6</v>
      </c>
      <c r="D9" s="199" t="s">
        <v>58</v>
      </c>
      <c r="E9" s="199" t="s">
        <v>73</v>
      </c>
      <c r="F9" s="199" t="s">
        <v>59</v>
      </c>
      <c r="G9" s="199">
        <v>1</v>
      </c>
      <c r="H9" s="199">
        <v>6</v>
      </c>
      <c r="I9" s="199" t="s">
        <v>8</v>
      </c>
      <c r="J9" s="199" t="s">
        <v>276</v>
      </c>
    </row>
    <row r="10" spans="1:10">
      <c r="A10" s="199">
        <v>2020</v>
      </c>
      <c r="B10" s="199" t="s">
        <v>215</v>
      </c>
      <c r="C10" s="199">
        <v>10</v>
      </c>
      <c r="D10" s="199" t="s">
        <v>58</v>
      </c>
      <c r="E10" s="199" t="s">
        <v>73</v>
      </c>
      <c r="F10" s="199" t="s">
        <v>59</v>
      </c>
      <c r="G10" s="199">
        <v>1</v>
      </c>
      <c r="H10" s="199">
        <v>10</v>
      </c>
      <c r="I10" s="199" t="s">
        <v>8</v>
      </c>
      <c r="J10" s="199" t="s">
        <v>276</v>
      </c>
    </row>
    <row r="11" spans="1:10">
      <c r="A11" s="199">
        <v>2020</v>
      </c>
      <c r="B11" s="199" t="s">
        <v>215</v>
      </c>
      <c r="C11" s="199">
        <v>16</v>
      </c>
      <c r="D11" s="199" t="s">
        <v>58</v>
      </c>
      <c r="E11" s="199" t="s">
        <v>73</v>
      </c>
      <c r="F11" s="199" t="s">
        <v>59</v>
      </c>
      <c r="G11" s="199">
        <v>1</v>
      </c>
      <c r="H11" s="199">
        <v>16</v>
      </c>
      <c r="I11" s="199" t="s">
        <v>8</v>
      </c>
      <c r="J11" s="199" t="s">
        <v>276</v>
      </c>
    </row>
    <row r="12" spans="1:10">
      <c r="A12" s="199">
        <v>2020</v>
      </c>
      <c r="B12" s="199" t="s">
        <v>215</v>
      </c>
      <c r="C12" s="199">
        <v>22</v>
      </c>
      <c r="D12" s="199" t="s">
        <v>57</v>
      </c>
      <c r="E12" s="199" t="s">
        <v>71</v>
      </c>
      <c r="F12" s="199" t="s">
        <v>59</v>
      </c>
      <c r="G12" s="199">
        <v>1</v>
      </c>
      <c r="H12" s="199">
        <v>22</v>
      </c>
      <c r="I12" s="199" t="s">
        <v>8</v>
      </c>
      <c r="J12" s="199" t="s">
        <v>276</v>
      </c>
    </row>
    <row r="13" spans="1:10">
      <c r="A13" s="199">
        <v>2020</v>
      </c>
      <c r="B13" s="199" t="s">
        <v>215</v>
      </c>
      <c r="C13" s="199">
        <v>24</v>
      </c>
      <c r="D13" s="199" t="s">
        <v>58</v>
      </c>
      <c r="E13" s="199" t="s">
        <v>71</v>
      </c>
      <c r="F13" s="199" t="s">
        <v>59</v>
      </c>
      <c r="G13" s="199">
        <v>1</v>
      </c>
      <c r="H13" s="199">
        <v>24</v>
      </c>
      <c r="I13" s="199" t="s">
        <v>8</v>
      </c>
      <c r="J13" s="199" t="s">
        <v>276</v>
      </c>
    </row>
    <row r="14" spans="1:10">
      <c r="A14" s="199">
        <v>2020</v>
      </c>
      <c r="B14" s="199" t="s">
        <v>215</v>
      </c>
      <c r="C14" s="199">
        <v>27</v>
      </c>
      <c r="D14" s="199" t="s">
        <v>57</v>
      </c>
      <c r="E14" s="199" t="s">
        <v>71</v>
      </c>
      <c r="F14" s="199" t="s">
        <v>60</v>
      </c>
      <c r="G14" s="199">
        <v>2</v>
      </c>
      <c r="H14" s="199">
        <v>54</v>
      </c>
      <c r="I14" s="199" t="s">
        <v>8</v>
      </c>
      <c r="J14" s="199" t="s">
        <v>276</v>
      </c>
    </row>
    <row r="15" spans="1:10">
      <c r="A15" s="199">
        <v>2020</v>
      </c>
      <c r="B15" s="199" t="s">
        <v>215</v>
      </c>
      <c r="C15" s="199">
        <v>27</v>
      </c>
      <c r="D15" s="199" t="s">
        <v>58</v>
      </c>
      <c r="E15" s="199" t="s">
        <v>71</v>
      </c>
      <c r="F15" s="199" t="s">
        <v>60</v>
      </c>
      <c r="G15" s="199">
        <v>3</v>
      </c>
      <c r="H15" s="199">
        <v>81</v>
      </c>
      <c r="I15" s="199" t="s">
        <v>8</v>
      </c>
      <c r="J15" s="199" t="s">
        <v>276</v>
      </c>
    </row>
    <row r="16" spans="1:10">
      <c r="A16" s="199">
        <v>2020</v>
      </c>
      <c r="B16" s="199" t="s">
        <v>215</v>
      </c>
      <c r="C16" s="199">
        <v>27</v>
      </c>
      <c r="D16" s="199" t="s">
        <v>58</v>
      </c>
      <c r="E16" s="199" t="s">
        <v>72</v>
      </c>
      <c r="F16" s="199" t="s">
        <v>60</v>
      </c>
      <c r="G16" s="199">
        <v>1</v>
      </c>
      <c r="H16" s="199">
        <v>27</v>
      </c>
      <c r="I16" s="199" t="s">
        <v>8</v>
      </c>
      <c r="J16" s="199" t="s">
        <v>276</v>
      </c>
    </row>
    <row r="17" spans="1:10">
      <c r="A17" s="199">
        <v>2020</v>
      </c>
      <c r="B17" s="199" t="s">
        <v>215</v>
      </c>
      <c r="C17" s="199">
        <v>28</v>
      </c>
      <c r="D17" s="199" t="s">
        <v>58</v>
      </c>
      <c r="E17" s="199" t="s">
        <v>71</v>
      </c>
      <c r="F17" s="199" t="s">
        <v>60</v>
      </c>
      <c r="G17" s="199">
        <v>1</v>
      </c>
      <c r="H17" s="199">
        <v>28</v>
      </c>
      <c r="I17" s="199" t="s">
        <v>8</v>
      </c>
      <c r="J17" s="199" t="s">
        <v>276</v>
      </c>
    </row>
    <row r="18" spans="1:10">
      <c r="A18" s="199">
        <v>2020</v>
      </c>
      <c r="B18" s="199" t="s">
        <v>215</v>
      </c>
      <c r="C18" s="199">
        <v>29</v>
      </c>
      <c r="D18" s="199" t="s">
        <v>57</v>
      </c>
      <c r="E18" s="199" t="s">
        <v>71</v>
      </c>
      <c r="F18" s="199" t="s">
        <v>60</v>
      </c>
      <c r="G18" s="199">
        <v>1</v>
      </c>
      <c r="H18" s="199">
        <v>29</v>
      </c>
      <c r="I18" s="199" t="s">
        <v>8</v>
      </c>
      <c r="J18" s="199" t="s">
        <v>276</v>
      </c>
    </row>
    <row r="19" spans="1:10">
      <c r="A19" s="199">
        <v>2020</v>
      </c>
      <c r="B19" s="199" t="s">
        <v>215</v>
      </c>
      <c r="C19" s="199">
        <v>29</v>
      </c>
      <c r="D19" s="199" t="s">
        <v>58</v>
      </c>
      <c r="E19" s="199" t="s">
        <v>71</v>
      </c>
      <c r="F19" s="199" t="s">
        <v>60</v>
      </c>
      <c r="G19" s="199">
        <v>2</v>
      </c>
      <c r="H19" s="199">
        <v>58</v>
      </c>
      <c r="I19" s="199" t="s">
        <v>8</v>
      </c>
      <c r="J19" s="199" t="s">
        <v>276</v>
      </c>
    </row>
    <row r="20" spans="1:10">
      <c r="A20" s="199">
        <v>2020</v>
      </c>
      <c r="B20" s="199" t="s">
        <v>215</v>
      </c>
      <c r="C20" s="199">
        <v>30</v>
      </c>
      <c r="D20" s="199" t="s">
        <v>57</v>
      </c>
      <c r="E20" s="199" t="s">
        <v>71</v>
      </c>
      <c r="F20" s="199" t="s">
        <v>61</v>
      </c>
      <c r="G20" s="199">
        <v>2</v>
      </c>
      <c r="H20" s="199">
        <v>60</v>
      </c>
      <c r="I20" s="199" t="s">
        <v>8</v>
      </c>
      <c r="J20" s="199" t="s">
        <v>276</v>
      </c>
    </row>
    <row r="21" spans="1:10">
      <c r="A21" s="199">
        <v>2020</v>
      </c>
      <c r="B21" s="199" t="s">
        <v>215</v>
      </c>
      <c r="C21" s="199">
        <v>31</v>
      </c>
      <c r="D21" s="199" t="s">
        <v>57</v>
      </c>
      <c r="E21" s="199" t="s">
        <v>71</v>
      </c>
      <c r="F21" s="199" t="s">
        <v>61</v>
      </c>
      <c r="G21" s="199">
        <v>1</v>
      </c>
      <c r="H21" s="199">
        <v>31</v>
      </c>
      <c r="I21" s="199" t="s">
        <v>8</v>
      </c>
      <c r="J21" s="199" t="s">
        <v>276</v>
      </c>
    </row>
    <row r="22" spans="1:10">
      <c r="A22" s="199">
        <v>2020</v>
      </c>
      <c r="B22" s="199" t="s">
        <v>215</v>
      </c>
      <c r="C22" s="199">
        <v>31</v>
      </c>
      <c r="D22" s="199" t="s">
        <v>58</v>
      </c>
      <c r="E22" s="199" t="s">
        <v>71</v>
      </c>
      <c r="F22" s="199" t="s">
        <v>61</v>
      </c>
      <c r="G22" s="199">
        <v>5</v>
      </c>
      <c r="H22" s="199">
        <v>155</v>
      </c>
      <c r="I22" s="199" t="s">
        <v>8</v>
      </c>
      <c r="J22" s="199" t="s">
        <v>276</v>
      </c>
    </row>
    <row r="23" spans="1:10">
      <c r="A23" s="199">
        <v>2020</v>
      </c>
      <c r="B23" s="199" t="s">
        <v>215</v>
      </c>
      <c r="C23" s="199">
        <v>32</v>
      </c>
      <c r="D23" s="199" t="s">
        <v>58</v>
      </c>
      <c r="E23" s="199" t="s">
        <v>71</v>
      </c>
      <c r="F23" s="199" t="s">
        <v>61</v>
      </c>
      <c r="G23" s="199">
        <v>3</v>
      </c>
      <c r="H23" s="199">
        <v>96</v>
      </c>
      <c r="I23" s="199" t="s">
        <v>8</v>
      </c>
      <c r="J23" s="199" t="s">
        <v>276</v>
      </c>
    </row>
    <row r="24" spans="1:10">
      <c r="A24" s="199">
        <v>2020</v>
      </c>
      <c r="B24" s="199" t="s">
        <v>215</v>
      </c>
      <c r="C24" s="199">
        <v>32</v>
      </c>
      <c r="D24" s="199" t="s">
        <v>58</v>
      </c>
      <c r="E24" s="199" t="s">
        <v>72</v>
      </c>
      <c r="F24" s="199" t="s">
        <v>61</v>
      </c>
      <c r="G24" s="199">
        <v>1</v>
      </c>
      <c r="H24" s="199">
        <v>32</v>
      </c>
      <c r="I24" s="199" t="s">
        <v>8</v>
      </c>
      <c r="J24" s="199" t="s">
        <v>276</v>
      </c>
    </row>
    <row r="25" spans="1:10">
      <c r="A25" s="199">
        <v>2020</v>
      </c>
      <c r="B25" s="199" t="s">
        <v>215</v>
      </c>
      <c r="C25" s="199">
        <v>33</v>
      </c>
      <c r="D25" s="199" t="s">
        <v>57</v>
      </c>
      <c r="E25" s="199" t="s">
        <v>71</v>
      </c>
      <c r="F25" s="199" t="s">
        <v>61</v>
      </c>
      <c r="G25" s="199">
        <v>1</v>
      </c>
      <c r="H25" s="199">
        <v>33</v>
      </c>
      <c r="I25" s="199" t="s">
        <v>8</v>
      </c>
      <c r="J25" s="199" t="s">
        <v>276</v>
      </c>
    </row>
    <row r="26" spans="1:10">
      <c r="A26" s="199">
        <v>2020</v>
      </c>
      <c r="B26" s="199" t="s">
        <v>215</v>
      </c>
      <c r="C26" s="199">
        <v>33</v>
      </c>
      <c r="D26" s="199" t="s">
        <v>57</v>
      </c>
      <c r="E26" s="199" t="s">
        <v>72</v>
      </c>
      <c r="F26" s="199" t="s">
        <v>61</v>
      </c>
      <c r="G26" s="199">
        <v>1</v>
      </c>
      <c r="H26" s="199">
        <v>33</v>
      </c>
      <c r="I26" s="199" t="s">
        <v>8</v>
      </c>
      <c r="J26" s="199" t="s">
        <v>276</v>
      </c>
    </row>
    <row r="27" spans="1:10">
      <c r="A27" s="199">
        <v>2020</v>
      </c>
      <c r="B27" s="199" t="s">
        <v>215</v>
      </c>
      <c r="C27" s="199">
        <v>33</v>
      </c>
      <c r="D27" s="199" t="s">
        <v>58</v>
      </c>
      <c r="E27" s="199" t="s">
        <v>71</v>
      </c>
      <c r="F27" s="199" t="s">
        <v>61</v>
      </c>
      <c r="G27" s="199">
        <v>1</v>
      </c>
      <c r="H27" s="199">
        <v>33</v>
      </c>
      <c r="I27" s="199" t="s">
        <v>8</v>
      </c>
      <c r="J27" s="199" t="s">
        <v>276</v>
      </c>
    </row>
    <row r="28" spans="1:10">
      <c r="A28" s="199">
        <v>2020</v>
      </c>
      <c r="B28" s="199" t="s">
        <v>215</v>
      </c>
      <c r="C28" s="199">
        <v>34</v>
      </c>
      <c r="D28" s="199" t="s">
        <v>57</v>
      </c>
      <c r="E28" s="199" t="s">
        <v>71</v>
      </c>
      <c r="F28" s="199" t="s">
        <v>61</v>
      </c>
      <c r="G28" s="199">
        <v>2</v>
      </c>
      <c r="H28" s="199">
        <v>68</v>
      </c>
      <c r="I28" s="199" t="s">
        <v>8</v>
      </c>
      <c r="J28" s="199" t="s">
        <v>276</v>
      </c>
    </row>
    <row r="29" spans="1:10">
      <c r="A29" s="199">
        <v>2020</v>
      </c>
      <c r="B29" s="199" t="s">
        <v>215</v>
      </c>
      <c r="C29" s="199">
        <v>34</v>
      </c>
      <c r="D29" s="199" t="s">
        <v>58</v>
      </c>
      <c r="E29" s="199" t="s">
        <v>71</v>
      </c>
      <c r="F29" s="199" t="s">
        <v>61</v>
      </c>
      <c r="G29" s="199">
        <v>1</v>
      </c>
      <c r="H29" s="199">
        <v>34</v>
      </c>
      <c r="I29" s="199" t="s">
        <v>8</v>
      </c>
      <c r="J29" s="199" t="s">
        <v>276</v>
      </c>
    </row>
    <row r="30" spans="1:10">
      <c r="A30" s="199">
        <v>2020</v>
      </c>
      <c r="B30" s="199" t="s">
        <v>215</v>
      </c>
      <c r="C30" s="199">
        <v>35</v>
      </c>
      <c r="D30" s="199" t="s">
        <v>57</v>
      </c>
      <c r="E30" s="199" t="s">
        <v>71</v>
      </c>
      <c r="F30" s="199" t="s">
        <v>62</v>
      </c>
      <c r="G30" s="199">
        <v>6</v>
      </c>
      <c r="H30" s="199">
        <v>210</v>
      </c>
      <c r="I30" s="199" t="s">
        <v>8</v>
      </c>
      <c r="J30" s="199" t="s">
        <v>276</v>
      </c>
    </row>
    <row r="31" spans="1:10">
      <c r="A31" s="199">
        <v>2020</v>
      </c>
      <c r="B31" s="199" t="s">
        <v>215</v>
      </c>
      <c r="C31" s="199">
        <v>35</v>
      </c>
      <c r="D31" s="199" t="s">
        <v>57</v>
      </c>
      <c r="E31" s="199" t="s">
        <v>72</v>
      </c>
      <c r="F31" s="199" t="s">
        <v>62</v>
      </c>
      <c r="G31" s="199">
        <v>1</v>
      </c>
      <c r="H31" s="199">
        <v>35</v>
      </c>
      <c r="I31" s="199" t="s">
        <v>8</v>
      </c>
      <c r="J31" s="199" t="s">
        <v>276</v>
      </c>
    </row>
    <row r="32" spans="1:10">
      <c r="A32" s="199">
        <v>2020</v>
      </c>
      <c r="B32" s="199" t="s">
        <v>215</v>
      </c>
      <c r="C32" s="199">
        <v>35</v>
      </c>
      <c r="D32" s="199" t="s">
        <v>58</v>
      </c>
      <c r="E32" s="199" t="s">
        <v>71</v>
      </c>
      <c r="F32" s="199" t="s">
        <v>62</v>
      </c>
      <c r="G32" s="199">
        <v>5</v>
      </c>
      <c r="H32" s="199">
        <v>175</v>
      </c>
      <c r="I32" s="199" t="s">
        <v>8</v>
      </c>
      <c r="J32" s="199" t="s">
        <v>276</v>
      </c>
    </row>
    <row r="33" spans="1:10">
      <c r="A33" s="199">
        <v>2020</v>
      </c>
      <c r="B33" s="199" t="s">
        <v>215</v>
      </c>
      <c r="C33" s="199">
        <v>36</v>
      </c>
      <c r="D33" s="199" t="s">
        <v>57</v>
      </c>
      <c r="E33" s="199" t="s">
        <v>71</v>
      </c>
      <c r="F33" s="199" t="s">
        <v>62</v>
      </c>
      <c r="G33" s="199">
        <v>1</v>
      </c>
      <c r="H33" s="199">
        <v>36</v>
      </c>
      <c r="I33" s="199" t="s">
        <v>8</v>
      </c>
      <c r="J33" s="199" t="s">
        <v>276</v>
      </c>
    </row>
    <row r="34" spans="1:10">
      <c r="A34" s="199">
        <v>2020</v>
      </c>
      <c r="B34" s="199" t="s">
        <v>215</v>
      </c>
      <c r="C34" s="199">
        <v>36</v>
      </c>
      <c r="D34" s="199" t="s">
        <v>58</v>
      </c>
      <c r="E34" s="199" t="s">
        <v>71</v>
      </c>
      <c r="F34" s="199" t="s">
        <v>62</v>
      </c>
      <c r="G34" s="199">
        <v>1</v>
      </c>
      <c r="H34" s="199">
        <v>36</v>
      </c>
      <c r="I34" s="199" t="s">
        <v>8</v>
      </c>
      <c r="J34" s="199" t="s">
        <v>276</v>
      </c>
    </row>
    <row r="35" spans="1:10">
      <c r="A35" s="199">
        <v>2020</v>
      </c>
      <c r="B35" s="199" t="s">
        <v>215</v>
      </c>
      <c r="C35" s="199">
        <v>37</v>
      </c>
      <c r="D35" s="199" t="s">
        <v>57</v>
      </c>
      <c r="E35" s="199" t="s">
        <v>71</v>
      </c>
      <c r="F35" s="199" t="s">
        <v>62</v>
      </c>
      <c r="G35" s="199">
        <v>2</v>
      </c>
      <c r="H35" s="199">
        <v>74</v>
      </c>
      <c r="I35" s="199" t="s">
        <v>8</v>
      </c>
      <c r="J35" s="199" t="s">
        <v>276</v>
      </c>
    </row>
    <row r="36" spans="1:10">
      <c r="A36" s="199">
        <v>2020</v>
      </c>
      <c r="B36" s="199" t="s">
        <v>215</v>
      </c>
      <c r="C36" s="199">
        <v>37</v>
      </c>
      <c r="D36" s="199" t="s">
        <v>58</v>
      </c>
      <c r="E36" s="199" t="s">
        <v>71</v>
      </c>
      <c r="F36" s="199" t="s">
        <v>62</v>
      </c>
      <c r="G36" s="199">
        <v>1</v>
      </c>
      <c r="H36" s="199">
        <v>37</v>
      </c>
      <c r="I36" s="199" t="s">
        <v>8</v>
      </c>
      <c r="J36" s="199" t="s">
        <v>276</v>
      </c>
    </row>
    <row r="37" spans="1:10">
      <c r="A37" s="199">
        <v>2020</v>
      </c>
      <c r="B37" s="199" t="s">
        <v>215</v>
      </c>
      <c r="C37" s="199">
        <v>38</v>
      </c>
      <c r="D37" s="199" t="s">
        <v>57</v>
      </c>
      <c r="E37" s="199" t="s">
        <v>71</v>
      </c>
      <c r="F37" s="199" t="s">
        <v>62</v>
      </c>
      <c r="G37" s="199">
        <v>1</v>
      </c>
      <c r="H37" s="199">
        <v>38</v>
      </c>
      <c r="I37" s="199" t="s">
        <v>8</v>
      </c>
      <c r="J37" s="199" t="s">
        <v>276</v>
      </c>
    </row>
    <row r="38" spans="1:10">
      <c r="A38" s="199">
        <v>2020</v>
      </c>
      <c r="B38" s="199" t="s">
        <v>215</v>
      </c>
      <c r="C38" s="199">
        <v>38</v>
      </c>
      <c r="D38" s="199" t="s">
        <v>58</v>
      </c>
      <c r="E38" s="199" t="s">
        <v>71</v>
      </c>
      <c r="F38" s="199" t="s">
        <v>62</v>
      </c>
      <c r="G38" s="199">
        <v>2</v>
      </c>
      <c r="H38" s="199">
        <v>76</v>
      </c>
      <c r="I38" s="199" t="s">
        <v>8</v>
      </c>
      <c r="J38" s="199" t="s">
        <v>276</v>
      </c>
    </row>
    <row r="39" spans="1:10">
      <c r="A39" s="199">
        <v>2020</v>
      </c>
      <c r="B39" s="199" t="s">
        <v>215</v>
      </c>
      <c r="C39" s="199">
        <v>39</v>
      </c>
      <c r="D39" s="199" t="s">
        <v>58</v>
      </c>
      <c r="E39" s="199" t="s">
        <v>71</v>
      </c>
      <c r="F39" s="199" t="s">
        <v>62</v>
      </c>
      <c r="G39" s="199">
        <v>2</v>
      </c>
      <c r="H39" s="199">
        <v>78</v>
      </c>
      <c r="I39" s="199" t="s">
        <v>8</v>
      </c>
      <c r="J39" s="199" t="s">
        <v>276</v>
      </c>
    </row>
    <row r="40" spans="1:10">
      <c r="A40" s="199">
        <v>2020</v>
      </c>
      <c r="B40" s="199" t="s">
        <v>215</v>
      </c>
      <c r="C40" s="199">
        <v>39</v>
      </c>
      <c r="D40" s="199" t="s">
        <v>58</v>
      </c>
      <c r="E40" s="199" t="s">
        <v>72</v>
      </c>
      <c r="F40" s="199" t="s">
        <v>62</v>
      </c>
      <c r="G40" s="199">
        <v>1</v>
      </c>
      <c r="H40" s="199">
        <v>39</v>
      </c>
      <c r="I40" s="199" t="s">
        <v>8</v>
      </c>
      <c r="J40" s="199" t="s">
        <v>276</v>
      </c>
    </row>
    <row r="41" spans="1:10">
      <c r="A41" s="199">
        <v>2020</v>
      </c>
      <c r="B41" s="199" t="s">
        <v>215</v>
      </c>
      <c r="C41" s="199">
        <v>40</v>
      </c>
      <c r="D41" s="199" t="s">
        <v>57</v>
      </c>
      <c r="E41" s="199" t="s">
        <v>71</v>
      </c>
      <c r="F41" s="199" t="s">
        <v>63</v>
      </c>
      <c r="G41" s="199">
        <v>3</v>
      </c>
      <c r="H41" s="199">
        <v>120</v>
      </c>
      <c r="I41" s="199" t="s">
        <v>8</v>
      </c>
      <c r="J41" s="199" t="s">
        <v>276</v>
      </c>
    </row>
    <row r="42" spans="1:10">
      <c r="A42" s="199">
        <v>2020</v>
      </c>
      <c r="B42" s="199" t="s">
        <v>215</v>
      </c>
      <c r="C42" s="199">
        <v>40</v>
      </c>
      <c r="D42" s="199" t="s">
        <v>58</v>
      </c>
      <c r="E42" s="199" t="s">
        <v>71</v>
      </c>
      <c r="F42" s="199" t="s">
        <v>63</v>
      </c>
      <c r="G42" s="199">
        <v>3</v>
      </c>
      <c r="H42" s="199">
        <v>120</v>
      </c>
      <c r="I42" s="199" t="s">
        <v>8</v>
      </c>
      <c r="J42" s="199" t="s">
        <v>276</v>
      </c>
    </row>
    <row r="43" spans="1:10">
      <c r="A43" s="199">
        <v>2020</v>
      </c>
      <c r="B43" s="199" t="s">
        <v>215</v>
      </c>
      <c r="C43" s="199">
        <v>41</v>
      </c>
      <c r="D43" s="199" t="s">
        <v>58</v>
      </c>
      <c r="E43" s="199" t="s">
        <v>71</v>
      </c>
      <c r="F43" s="199" t="s">
        <v>63</v>
      </c>
      <c r="G43" s="199">
        <v>3</v>
      </c>
      <c r="H43" s="199">
        <v>123</v>
      </c>
      <c r="I43" s="199" t="s">
        <v>8</v>
      </c>
      <c r="J43" s="199" t="s">
        <v>276</v>
      </c>
    </row>
    <row r="44" spans="1:10">
      <c r="A44" s="199">
        <v>2020</v>
      </c>
      <c r="B44" s="199" t="s">
        <v>215</v>
      </c>
      <c r="C44" s="199">
        <v>42</v>
      </c>
      <c r="D44" s="199" t="s">
        <v>57</v>
      </c>
      <c r="E44" s="199" t="s">
        <v>71</v>
      </c>
      <c r="F44" s="199" t="s">
        <v>63</v>
      </c>
      <c r="G44" s="199">
        <v>1</v>
      </c>
      <c r="H44" s="199">
        <v>42</v>
      </c>
      <c r="I44" s="199" t="s">
        <v>8</v>
      </c>
      <c r="J44" s="199" t="s">
        <v>276</v>
      </c>
    </row>
    <row r="45" spans="1:10">
      <c r="A45" s="199">
        <v>2020</v>
      </c>
      <c r="B45" s="199" t="s">
        <v>215</v>
      </c>
      <c r="C45" s="199">
        <v>42</v>
      </c>
      <c r="D45" s="199" t="s">
        <v>57</v>
      </c>
      <c r="E45" s="199" t="s">
        <v>72</v>
      </c>
      <c r="F45" s="199" t="s">
        <v>63</v>
      </c>
      <c r="G45" s="199">
        <v>1</v>
      </c>
      <c r="H45" s="199">
        <v>42</v>
      </c>
      <c r="I45" s="199" t="s">
        <v>8</v>
      </c>
      <c r="J45" s="199" t="s">
        <v>276</v>
      </c>
    </row>
    <row r="46" spans="1:10">
      <c r="A46" s="199">
        <v>2020</v>
      </c>
      <c r="B46" s="199" t="s">
        <v>215</v>
      </c>
      <c r="C46" s="199">
        <v>42</v>
      </c>
      <c r="D46" s="199" t="s">
        <v>58</v>
      </c>
      <c r="E46" s="199" t="s">
        <v>71</v>
      </c>
      <c r="F46" s="199" t="s">
        <v>63</v>
      </c>
      <c r="G46" s="199">
        <v>3</v>
      </c>
      <c r="H46" s="199">
        <v>126</v>
      </c>
      <c r="I46" s="199" t="s">
        <v>8</v>
      </c>
      <c r="J46" s="199" t="s">
        <v>276</v>
      </c>
    </row>
    <row r="47" spans="1:10">
      <c r="A47" s="199">
        <v>2020</v>
      </c>
      <c r="B47" s="199" t="s">
        <v>215</v>
      </c>
      <c r="C47" s="199">
        <v>43</v>
      </c>
      <c r="D47" s="199" t="s">
        <v>57</v>
      </c>
      <c r="E47" s="199" t="s">
        <v>71</v>
      </c>
      <c r="F47" s="199" t="s">
        <v>63</v>
      </c>
      <c r="G47" s="199">
        <v>3</v>
      </c>
      <c r="H47" s="199">
        <v>129</v>
      </c>
      <c r="I47" s="199" t="s">
        <v>8</v>
      </c>
      <c r="J47" s="199" t="s">
        <v>276</v>
      </c>
    </row>
    <row r="48" spans="1:10">
      <c r="A48" s="199">
        <v>2020</v>
      </c>
      <c r="B48" s="199" t="s">
        <v>215</v>
      </c>
      <c r="C48" s="199">
        <v>43</v>
      </c>
      <c r="D48" s="199" t="s">
        <v>58</v>
      </c>
      <c r="E48" s="199" t="s">
        <v>71</v>
      </c>
      <c r="F48" s="199" t="s">
        <v>63</v>
      </c>
      <c r="G48" s="199">
        <v>4</v>
      </c>
      <c r="H48" s="199">
        <v>172</v>
      </c>
      <c r="I48" s="199" t="s">
        <v>8</v>
      </c>
      <c r="J48" s="199" t="s">
        <v>276</v>
      </c>
    </row>
    <row r="49" spans="1:10">
      <c r="A49" s="199">
        <v>2020</v>
      </c>
      <c r="B49" s="199" t="s">
        <v>215</v>
      </c>
      <c r="C49" s="199">
        <v>44</v>
      </c>
      <c r="D49" s="199" t="s">
        <v>58</v>
      </c>
      <c r="E49" s="199" t="s">
        <v>71</v>
      </c>
      <c r="F49" s="199" t="s">
        <v>63</v>
      </c>
      <c r="G49" s="199">
        <v>1</v>
      </c>
      <c r="H49" s="199">
        <v>44</v>
      </c>
      <c r="I49" s="199" t="s">
        <v>8</v>
      </c>
      <c r="J49" s="199" t="s">
        <v>276</v>
      </c>
    </row>
    <row r="50" spans="1:10">
      <c r="A50" s="199">
        <v>2020</v>
      </c>
      <c r="B50" s="199" t="s">
        <v>215</v>
      </c>
      <c r="C50" s="199">
        <v>45</v>
      </c>
      <c r="D50" s="199" t="s">
        <v>57</v>
      </c>
      <c r="E50" s="199" t="s">
        <v>71</v>
      </c>
      <c r="F50" s="199" t="s">
        <v>64</v>
      </c>
      <c r="G50" s="199">
        <v>1</v>
      </c>
      <c r="H50" s="199">
        <v>45</v>
      </c>
      <c r="I50" s="199" t="s">
        <v>8</v>
      </c>
      <c r="J50" s="199" t="s">
        <v>276</v>
      </c>
    </row>
    <row r="51" spans="1:10">
      <c r="A51" s="199">
        <v>2020</v>
      </c>
      <c r="B51" s="199" t="s">
        <v>215</v>
      </c>
      <c r="C51" s="199">
        <v>45</v>
      </c>
      <c r="D51" s="199" t="s">
        <v>58</v>
      </c>
      <c r="E51" s="199" t="s">
        <v>71</v>
      </c>
      <c r="F51" s="199" t="s">
        <v>64</v>
      </c>
      <c r="G51" s="199">
        <v>5</v>
      </c>
      <c r="H51" s="199">
        <v>225</v>
      </c>
      <c r="I51" s="199" t="s">
        <v>8</v>
      </c>
      <c r="J51" s="199" t="s">
        <v>276</v>
      </c>
    </row>
    <row r="52" spans="1:10">
      <c r="A52" s="199">
        <v>2020</v>
      </c>
      <c r="B52" s="199" t="s">
        <v>215</v>
      </c>
      <c r="C52" s="199">
        <v>46</v>
      </c>
      <c r="D52" s="199" t="s">
        <v>58</v>
      </c>
      <c r="E52" s="199" t="s">
        <v>71</v>
      </c>
      <c r="F52" s="199" t="s">
        <v>64</v>
      </c>
      <c r="G52" s="199">
        <v>6</v>
      </c>
      <c r="H52" s="199">
        <v>276</v>
      </c>
      <c r="I52" s="199" t="s">
        <v>8</v>
      </c>
      <c r="J52" s="199" t="s">
        <v>276</v>
      </c>
    </row>
    <row r="53" spans="1:10">
      <c r="A53" s="199">
        <v>2020</v>
      </c>
      <c r="B53" s="199" t="s">
        <v>215</v>
      </c>
      <c r="C53" s="199">
        <v>47</v>
      </c>
      <c r="D53" s="199" t="s">
        <v>57</v>
      </c>
      <c r="E53" s="199" t="s">
        <v>71</v>
      </c>
      <c r="F53" s="199" t="s">
        <v>64</v>
      </c>
      <c r="G53" s="199">
        <v>4</v>
      </c>
      <c r="H53" s="199">
        <v>188</v>
      </c>
      <c r="I53" s="199" t="s">
        <v>8</v>
      </c>
      <c r="J53" s="199" t="s">
        <v>276</v>
      </c>
    </row>
    <row r="54" spans="1:10">
      <c r="A54" s="199">
        <v>2020</v>
      </c>
      <c r="B54" s="199" t="s">
        <v>215</v>
      </c>
      <c r="C54" s="199">
        <v>47</v>
      </c>
      <c r="D54" s="199" t="s">
        <v>58</v>
      </c>
      <c r="E54" s="199" t="s">
        <v>71</v>
      </c>
      <c r="F54" s="199" t="s">
        <v>64</v>
      </c>
      <c r="G54" s="199">
        <v>4</v>
      </c>
      <c r="H54" s="199">
        <v>188</v>
      </c>
      <c r="I54" s="199" t="s">
        <v>8</v>
      </c>
      <c r="J54" s="199" t="s">
        <v>276</v>
      </c>
    </row>
    <row r="55" spans="1:10">
      <c r="A55" s="199">
        <v>2020</v>
      </c>
      <c r="B55" s="199" t="s">
        <v>215</v>
      </c>
      <c r="C55" s="199">
        <v>48</v>
      </c>
      <c r="D55" s="199" t="s">
        <v>57</v>
      </c>
      <c r="E55" s="199" t="s">
        <v>72</v>
      </c>
      <c r="F55" s="199" t="s">
        <v>64</v>
      </c>
      <c r="G55" s="199">
        <v>35</v>
      </c>
      <c r="H55" s="199">
        <v>1680</v>
      </c>
      <c r="I55" s="199" t="s">
        <v>8</v>
      </c>
      <c r="J55" s="199" t="s">
        <v>276</v>
      </c>
    </row>
    <row r="56" spans="1:10">
      <c r="A56" s="199">
        <v>2020</v>
      </c>
      <c r="B56" s="199" t="s">
        <v>215</v>
      </c>
      <c r="C56" s="199">
        <v>48</v>
      </c>
      <c r="D56" s="199" t="s">
        <v>58</v>
      </c>
      <c r="E56" s="199" t="s">
        <v>71</v>
      </c>
      <c r="F56" s="199" t="s">
        <v>64</v>
      </c>
      <c r="G56" s="199">
        <v>3</v>
      </c>
      <c r="H56" s="199">
        <v>144</v>
      </c>
      <c r="I56" s="199" t="s">
        <v>8</v>
      </c>
      <c r="J56" s="199" t="s">
        <v>276</v>
      </c>
    </row>
    <row r="57" spans="1:10">
      <c r="A57" s="199">
        <v>2020</v>
      </c>
      <c r="B57" s="199" t="s">
        <v>215</v>
      </c>
      <c r="C57" s="199">
        <v>49</v>
      </c>
      <c r="D57" s="199" t="s">
        <v>57</v>
      </c>
      <c r="E57" s="199" t="s">
        <v>71</v>
      </c>
      <c r="F57" s="199" t="s">
        <v>64</v>
      </c>
      <c r="G57" s="199">
        <v>1</v>
      </c>
      <c r="H57" s="199">
        <v>49</v>
      </c>
      <c r="I57" s="199" t="s">
        <v>8</v>
      </c>
      <c r="J57" s="199" t="s">
        <v>276</v>
      </c>
    </row>
    <row r="58" spans="1:10">
      <c r="A58" s="199">
        <v>2020</v>
      </c>
      <c r="B58" s="199" t="s">
        <v>215</v>
      </c>
      <c r="C58" s="199">
        <v>49</v>
      </c>
      <c r="D58" s="199" t="s">
        <v>57</v>
      </c>
      <c r="E58" s="199" t="s">
        <v>72</v>
      </c>
      <c r="F58" s="199" t="s">
        <v>64</v>
      </c>
      <c r="G58" s="199">
        <v>73</v>
      </c>
      <c r="H58" s="199">
        <v>3577</v>
      </c>
      <c r="I58" s="199" t="s">
        <v>8</v>
      </c>
      <c r="J58" s="199" t="s">
        <v>276</v>
      </c>
    </row>
    <row r="59" spans="1:10">
      <c r="A59" s="199">
        <v>2020</v>
      </c>
      <c r="B59" s="199" t="s">
        <v>215</v>
      </c>
      <c r="C59" s="199">
        <v>49</v>
      </c>
      <c r="D59" s="199" t="s">
        <v>58</v>
      </c>
      <c r="E59" s="199" t="s">
        <v>71</v>
      </c>
      <c r="F59" s="199" t="s">
        <v>64</v>
      </c>
      <c r="G59" s="199">
        <v>2</v>
      </c>
      <c r="H59" s="199">
        <v>98</v>
      </c>
      <c r="I59" s="199" t="s">
        <v>8</v>
      </c>
      <c r="J59" s="199" t="s">
        <v>276</v>
      </c>
    </row>
    <row r="60" spans="1:10">
      <c r="A60" s="199">
        <v>2020</v>
      </c>
      <c r="B60" s="199" t="s">
        <v>215</v>
      </c>
      <c r="C60" s="199">
        <v>50</v>
      </c>
      <c r="D60" s="199" t="s">
        <v>58</v>
      </c>
      <c r="E60" s="199" t="s">
        <v>71</v>
      </c>
      <c r="F60" s="199" t="s">
        <v>65</v>
      </c>
      <c r="G60" s="199">
        <v>5</v>
      </c>
      <c r="H60" s="199">
        <v>250</v>
      </c>
      <c r="I60" s="199" t="s">
        <v>8</v>
      </c>
      <c r="J60" s="199" t="s">
        <v>276</v>
      </c>
    </row>
    <row r="61" spans="1:10">
      <c r="A61" s="199">
        <v>2020</v>
      </c>
      <c r="B61" s="199" t="s">
        <v>215</v>
      </c>
      <c r="C61" s="199">
        <v>51</v>
      </c>
      <c r="D61" s="199" t="s">
        <v>57</v>
      </c>
      <c r="E61" s="199" t="s">
        <v>71</v>
      </c>
      <c r="F61" s="199" t="s">
        <v>65</v>
      </c>
      <c r="G61" s="199">
        <v>1</v>
      </c>
      <c r="H61" s="199">
        <v>51</v>
      </c>
      <c r="I61" s="199" t="s">
        <v>8</v>
      </c>
      <c r="J61" s="199" t="s">
        <v>276</v>
      </c>
    </row>
    <row r="62" spans="1:10">
      <c r="A62" s="199">
        <v>2020</v>
      </c>
      <c r="B62" s="199" t="s">
        <v>215</v>
      </c>
      <c r="C62" s="199">
        <v>51</v>
      </c>
      <c r="D62" s="199" t="s">
        <v>58</v>
      </c>
      <c r="E62" s="199" t="s">
        <v>71</v>
      </c>
      <c r="F62" s="199" t="s">
        <v>65</v>
      </c>
      <c r="G62" s="199">
        <v>2</v>
      </c>
      <c r="H62" s="199">
        <v>102</v>
      </c>
      <c r="I62" s="199" t="s">
        <v>8</v>
      </c>
      <c r="J62" s="199" t="s">
        <v>276</v>
      </c>
    </row>
    <row r="63" spans="1:10">
      <c r="A63" s="199">
        <v>2020</v>
      </c>
      <c r="B63" s="199" t="s">
        <v>215</v>
      </c>
      <c r="C63" s="199">
        <v>52</v>
      </c>
      <c r="D63" s="199" t="s">
        <v>57</v>
      </c>
      <c r="E63" s="199" t="s">
        <v>71</v>
      </c>
      <c r="F63" s="199" t="s">
        <v>65</v>
      </c>
      <c r="G63" s="199">
        <v>2</v>
      </c>
      <c r="H63" s="199">
        <v>104</v>
      </c>
      <c r="I63" s="199" t="s">
        <v>8</v>
      </c>
      <c r="J63" s="199" t="s">
        <v>276</v>
      </c>
    </row>
    <row r="64" spans="1:10">
      <c r="A64" s="199">
        <v>2020</v>
      </c>
      <c r="B64" s="199" t="s">
        <v>215</v>
      </c>
      <c r="C64" s="199">
        <v>52</v>
      </c>
      <c r="D64" s="199" t="s">
        <v>58</v>
      </c>
      <c r="E64" s="199" t="s">
        <v>71</v>
      </c>
      <c r="F64" s="199" t="s">
        <v>65</v>
      </c>
      <c r="G64" s="199">
        <v>4</v>
      </c>
      <c r="H64" s="199">
        <v>208</v>
      </c>
      <c r="I64" s="199" t="s">
        <v>8</v>
      </c>
      <c r="J64" s="199" t="s">
        <v>276</v>
      </c>
    </row>
    <row r="65" spans="1:10">
      <c r="A65" s="199">
        <v>2020</v>
      </c>
      <c r="B65" s="199" t="s">
        <v>215</v>
      </c>
      <c r="C65" s="199">
        <v>53</v>
      </c>
      <c r="D65" s="199" t="s">
        <v>57</v>
      </c>
      <c r="E65" s="199" t="s">
        <v>71</v>
      </c>
      <c r="F65" s="199" t="s">
        <v>65</v>
      </c>
      <c r="G65" s="199">
        <v>2</v>
      </c>
      <c r="H65" s="199">
        <v>106</v>
      </c>
      <c r="I65" s="199" t="s">
        <v>8</v>
      </c>
      <c r="J65" s="199" t="s">
        <v>276</v>
      </c>
    </row>
    <row r="66" spans="1:10">
      <c r="A66" s="199">
        <v>2020</v>
      </c>
      <c r="B66" s="199" t="s">
        <v>215</v>
      </c>
      <c r="C66" s="199">
        <v>53</v>
      </c>
      <c r="D66" s="199" t="s">
        <v>58</v>
      </c>
      <c r="E66" s="199" t="s">
        <v>71</v>
      </c>
      <c r="F66" s="199" t="s">
        <v>65</v>
      </c>
      <c r="G66" s="199">
        <v>1</v>
      </c>
      <c r="H66" s="199">
        <v>53</v>
      </c>
      <c r="I66" s="199" t="s">
        <v>8</v>
      </c>
      <c r="J66" s="199" t="s">
        <v>276</v>
      </c>
    </row>
    <row r="67" spans="1:10">
      <c r="A67" s="199">
        <v>2020</v>
      </c>
      <c r="B67" s="199" t="s">
        <v>215</v>
      </c>
      <c r="C67" s="199">
        <v>54</v>
      </c>
      <c r="D67" s="199" t="s">
        <v>57</v>
      </c>
      <c r="E67" s="199" t="s">
        <v>71</v>
      </c>
      <c r="F67" s="199" t="s">
        <v>65</v>
      </c>
      <c r="G67" s="199">
        <v>6</v>
      </c>
      <c r="H67" s="199">
        <v>324</v>
      </c>
      <c r="I67" s="199" t="s">
        <v>8</v>
      </c>
      <c r="J67" s="199" t="s">
        <v>276</v>
      </c>
    </row>
    <row r="68" spans="1:10">
      <c r="A68" s="199">
        <v>2020</v>
      </c>
      <c r="B68" s="199" t="s">
        <v>215</v>
      </c>
      <c r="C68" s="199">
        <v>54</v>
      </c>
      <c r="D68" s="199" t="s">
        <v>58</v>
      </c>
      <c r="E68" s="199" t="s">
        <v>71</v>
      </c>
      <c r="F68" s="199" t="s">
        <v>65</v>
      </c>
      <c r="G68" s="199">
        <v>9</v>
      </c>
      <c r="H68" s="199">
        <v>486</v>
      </c>
      <c r="I68" s="199" t="s">
        <v>8</v>
      </c>
      <c r="J68" s="199" t="s">
        <v>276</v>
      </c>
    </row>
    <row r="69" spans="1:10">
      <c r="A69" s="199">
        <v>2020</v>
      </c>
      <c r="B69" s="199" t="s">
        <v>215</v>
      </c>
      <c r="C69" s="199">
        <v>55</v>
      </c>
      <c r="D69" s="199" t="s">
        <v>57</v>
      </c>
      <c r="E69" s="199" t="s">
        <v>71</v>
      </c>
      <c r="F69" s="199" t="s">
        <v>66</v>
      </c>
      <c r="G69" s="199">
        <v>5</v>
      </c>
      <c r="H69" s="199">
        <v>275</v>
      </c>
      <c r="I69" s="199" t="s">
        <v>8</v>
      </c>
      <c r="J69" s="199" t="s">
        <v>276</v>
      </c>
    </row>
    <row r="70" spans="1:10">
      <c r="A70" s="199">
        <v>2020</v>
      </c>
      <c r="B70" s="199" t="s">
        <v>215</v>
      </c>
      <c r="C70" s="199">
        <v>55</v>
      </c>
      <c r="D70" s="199" t="s">
        <v>58</v>
      </c>
      <c r="E70" s="199" t="s">
        <v>71</v>
      </c>
      <c r="F70" s="199" t="s">
        <v>66</v>
      </c>
      <c r="G70" s="199">
        <v>3</v>
      </c>
      <c r="H70" s="199">
        <v>165</v>
      </c>
      <c r="I70" s="199" t="s">
        <v>8</v>
      </c>
      <c r="J70" s="199" t="s">
        <v>276</v>
      </c>
    </row>
    <row r="71" spans="1:10">
      <c r="A71" s="199">
        <v>2020</v>
      </c>
      <c r="B71" s="199" t="s">
        <v>215</v>
      </c>
      <c r="C71" s="199">
        <v>56</v>
      </c>
      <c r="D71" s="199" t="s">
        <v>57</v>
      </c>
      <c r="E71" s="199" t="s">
        <v>71</v>
      </c>
      <c r="F71" s="199" t="s">
        <v>66</v>
      </c>
      <c r="G71" s="199">
        <v>2</v>
      </c>
      <c r="H71" s="199">
        <v>112</v>
      </c>
      <c r="I71" s="199" t="s">
        <v>8</v>
      </c>
      <c r="J71" s="199" t="s">
        <v>276</v>
      </c>
    </row>
    <row r="72" spans="1:10">
      <c r="A72" s="199">
        <v>2020</v>
      </c>
      <c r="B72" s="199" t="s">
        <v>215</v>
      </c>
      <c r="C72" s="199">
        <v>56</v>
      </c>
      <c r="D72" s="199" t="s">
        <v>58</v>
      </c>
      <c r="E72" s="199" t="s">
        <v>71</v>
      </c>
      <c r="F72" s="199" t="s">
        <v>66</v>
      </c>
      <c r="G72" s="199">
        <v>7</v>
      </c>
      <c r="H72" s="199">
        <v>392</v>
      </c>
      <c r="I72" s="199" t="s">
        <v>8</v>
      </c>
      <c r="J72" s="199" t="s">
        <v>276</v>
      </c>
    </row>
    <row r="73" spans="1:10">
      <c r="A73" s="199">
        <v>2020</v>
      </c>
      <c r="B73" s="199" t="s">
        <v>215</v>
      </c>
      <c r="C73" s="199">
        <v>57</v>
      </c>
      <c r="D73" s="199" t="s">
        <v>57</v>
      </c>
      <c r="E73" s="199" t="s">
        <v>71</v>
      </c>
      <c r="F73" s="199" t="s">
        <v>66</v>
      </c>
      <c r="G73" s="199">
        <v>1</v>
      </c>
      <c r="H73" s="199">
        <v>57</v>
      </c>
      <c r="I73" s="199" t="s">
        <v>8</v>
      </c>
      <c r="J73" s="199" t="s">
        <v>276</v>
      </c>
    </row>
    <row r="74" spans="1:10">
      <c r="A74" s="199">
        <v>2020</v>
      </c>
      <c r="B74" s="199" t="s">
        <v>215</v>
      </c>
      <c r="C74" s="199">
        <v>57</v>
      </c>
      <c r="D74" s="199" t="s">
        <v>58</v>
      </c>
      <c r="E74" s="199" t="s">
        <v>71</v>
      </c>
      <c r="F74" s="199" t="s">
        <v>66</v>
      </c>
      <c r="G74" s="199">
        <v>3</v>
      </c>
      <c r="H74" s="199">
        <v>171</v>
      </c>
      <c r="I74" s="199" t="s">
        <v>8</v>
      </c>
      <c r="J74" s="199" t="s">
        <v>276</v>
      </c>
    </row>
    <row r="75" spans="1:10">
      <c r="A75" s="199">
        <v>2020</v>
      </c>
      <c r="B75" s="199" t="s">
        <v>215</v>
      </c>
      <c r="C75" s="199">
        <v>58</v>
      </c>
      <c r="D75" s="199" t="s">
        <v>57</v>
      </c>
      <c r="E75" s="199" t="s">
        <v>71</v>
      </c>
      <c r="F75" s="199" t="s">
        <v>66</v>
      </c>
      <c r="G75" s="199">
        <v>2</v>
      </c>
      <c r="H75" s="199">
        <v>116</v>
      </c>
      <c r="I75" s="199" t="s">
        <v>8</v>
      </c>
      <c r="J75" s="199" t="s">
        <v>276</v>
      </c>
    </row>
    <row r="76" spans="1:10">
      <c r="A76" s="199">
        <v>2020</v>
      </c>
      <c r="B76" s="199" t="s">
        <v>215</v>
      </c>
      <c r="C76" s="199">
        <v>58</v>
      </c>
      <c r="D76" s="199" t="s">
        <v>58</v>
      </c>
      <c r="E76" s="199" t="s">
        <v>71</v>
      </c>
      <c r="F76" s="199" t="s">
        <v>66</v>
      </c>
      <c r="G76" s="199">
        <v>4</v>
      </c>
      <c r="H76" s="199">
        <v>232</v>
      </c>
      <c r="I76" s="199" t="s">
        <v>8</v>
      </c>
      <c r="J76" s="199" t="s">
        <v>276</v>
      </c>
    </row>
    <row r="77" spans="1:10">
      <c r="A77" s="199">
        <v>2020</v>
      </c>
      <c r="B77" s="199" t="s">
        <v>215</v>
      </c>
      <c r="C77" s="199">
        <v>59</v>
      </c>
      <c r="D77" s="199" t="s">
        <v>57</v>
      </c>
      <c r="E77" s="199" t="s">
        <v>71</v>
      </c>
      <c r="F77" s="199" t="s">
        <v>66</v>
      </c>
      <c r="G77" s="199">
        <v>2</v>
      </c>
      <c r="H77" s="199">
        <v>118</v>
      </c>
      <c r="I77" s="199" t="s">
        <v>8</v>
      </c>
      <c r="J77" s="199" t="s">
        <v>276</v>
      </c>
    </row>
    <row r="78" spans="1:10">
      <c r="A78" s="199">
        <v>2020</v>
      </c>
      <c r="B78" s="199" t="s">
        <v>215</v>
      </c>
      <c r="C78" s="199">
        <v>59</v>
      </c>
      <c r="D78" s="199" t="s">
        <v>58</v>
      </c>
      <c r="E78" s="199" t="s">
        <v>71</v>
      </c>
      <c r="F78" s="199" t="s">
        <v>66</v>
      </c>
      <c r="G78" s="199">
        <v>5</v>
      </c>
      <c r="H78" s="199">
        <v>295</v>
      </c>
      <c r="I78" s="199" t="s">
        <v>8</v>
      </c>
      <c r="J78" s="199" t="s">
        <v>276</v>
      </c>
    </row>
    <row r="79" spans="1:10">
      <c r="A79" s="199">
        <v>2020</v>
      </c>
      <c r="B79" s="199" t="s">
        <v>215</v>
      </c>
      <c r="C79" s="199">
        <v>60</v>
      </c>
      <c r="D79" s="199" t="s">
        <v>57</v>
      </c>
      <c r="E79" s="199" t="s">
        <v>71</v>
      </c>
      <c r="F79" s="199" t="s">
        <v>67</v>
      </c>
      <c r="G79" s="199">
        <v>1</v>
      </c>
      <c r="H79" s="199">
        <v>60</v>
      </c>
      <c r="I79" s="199" t="s">
        <v>8</v>
      </c>
      <c r="J79" s="199" t="s">
        <v>276</v>
      </c>
    </row>
    <row r="80" spans="1:10">
      <c r="A80" s="199">
        <v>2020</v>
      </c>
      <c r="B80" s="199" t="s">
        <v>215</v>
      </c>
      <c r="C80" s="199">
        <v>60</v>
      </c>
      <c r="D80" s="199" t="s">
        <v>58</v>
      </c>
      <c r="E80" s="199" t="s">
        <v>71</v>
      </c>
      <c r="F80" s="199" t="s">
        <v>67</v>
      </c>
      <c r="G80" s="199">
        <v>5</v>
      </c>
      <c r="H80" s="199">
        <v>300</v>
      </c>
      <c r="I80" s="199" t="s">
        <v>8</v>
      </c>
      <c r="J80" s="199" t="s">
        <v>276</v>
      </c>
    </row>
    <row r="81" spans="1:10">
      <c r="A81" s="199">
        <v>2020</v>
      </c>
      <c r="B81" s="199" t="s">
        <v>215</v>
      </c>
      <c r="C81" s="199">
        <v>61</v>
      </c>
      <c r="D81" s="199" t="s">
        <v>57</v>
      </c>
      <c r="E81" s="199" t="s">
        <v>71</v>
      </c>
      <c r="F81" s="199" t="s">
        <v>67</v>
      </c>
      <c r="G81" s="199">
        <v>1</v>
      </c>
      <c r="H81" s="199">
        <v>61</v>
      </c>
      <c r="I81" s="199" t="s">
        <v>8</v>
      </c>
      <c r="J81" s="199" t="s">
        <v>276</v>
      </c>
    </row>
    <row r="82" spans="1:10">
      <c r="A82" s="199">
        <v>2020</v>
      </c>
      <c r="B82" s="199" t="s">
        <v>215</v>
      </c>
      <c r="C82" s="199">
        <v>61</v>
      </c>
      <c r="D82" s="199" t="s">
        <v>58</v>
      </c>
      <c r="E82" s="199" t="s">
        <v>71</v>
      </c>
      <c r="F82" s="199" t="s">
        <v>67</v>
      </c>
      <c r="G82" s="199">
        <v>6</v>
      </c>
      <c r="H82" s="199">
        <v>366</v>
      </c>
      <c r="I82" s="199" t="s">
        <v>8</v>
      </c>
      <c r="J82" s="199" t="s">
        <v>276</v>
      </c>
    </row>
    <row r="83" spans="1:10">
      <c r="A83" s="199">
        <v>2020</v>
      </c>
      <c r="B83" s="199" t="s">
        <v>215</v>
      </c>
      <c r="C83" s="199">
        <v>62</v>
      </c>
      <c r="D83" s="199" t="s">
        <v>57</v>
      </c>
      <c r="E83" s="199" t="s">
        <v>71</v>
      </c>
      <c r="F83" s="199" t="s">
        <v>67</v>
      </c>
      <c r="G83" s="199">
        <v>2</v>
      </c>
      <c r="H83" s="199">
        <v>124</v>
      </c>
      <c r="I83" s="199" t="s">
        <v>8</v>
      </c>
      <c r="J83" s="199" t="s">
        <v>276</v>
      </c>
    </row>
    <row r="84" spans="1:10">
      <c r="A84" s="199">
        <v>2020</v>
      </c>
      <c r="B84" s="199" t="s">
        <v>215</v>
      </c>
      <c r="C84" s="199">
        <v>62</v>
      </c>
      <c r="D84" s="199" t="s">
        <v>58</v>
      </c>
      <c r="E84" s="199" t="s">
        <v>71</v>
      </c>
      <c r="F84" s="199" t="s">
        <v>67</v>
      </c>
      <c r="G84" s="199">
        <v>2</v>
      </c>
      <c r="H84" s="199">
        <v>124</v>
      </c>
      <c r="I84" s="199" t="s">
        <v>8</v>
      </c>
      <c r="J84" s="199" t="s">
        <v>276</v>
      </c>
    </row>
    <row r="85" spans="1:10">
      <c r="A85" s="199">
        <v>2020</v>
      </c>
      <c r="B85" s="199" t="s">
        <v>215</v>
      </c>
      <c r="C85" s="199">
        <v>63</v>
      </c>
      <c r="D85" s="199" t="s">
        <v>57</v>
      </c>
      <c r="E85" s="199" t="s">
        <v>71</v>
      </c>
      <c r="F85" s="199" t="s">
        <v>67</v>
      </c>
      <c r="G85" s="199">
        <v>2</v>
      </c>
      <c r="H85" s="199">
        <v>126</v>
      </c>
      <c r="I85" s="199" t="s">
        <v>8</v>
      </c>
      <c r="J85" s="199" t="s">
        <v>276</v>
      </c>
    </row>
    <row r="86" spans="1:10">
      <c r="A86" s="199">
        <v>2020</v>
      </c>
      <c r="B86" s="199" t="s">
        <v>215</v>
      </c>
      <c r="C86" s="199">
        <v>63</v>
      </c>
      <c r="D86" s="199" t="s">
        <v>58</v>
      </c>
      <c r="E86" s="199" t="s">
        <v>71</v>
      </c>
      <c r="F86" s="199" t="s">
        <v>67</v>
      </c>
      <c r="G86" s="199">
        <v>5</v>
      </c>
      <c r="H86" s="199">
        <v>315</v>
      </c>
      <c r="I86" s="199" t="s">
        <v>8</v>
      </c>
      <c r="J86" s="199" t="s">
        <v>276</v>
      </c>
    </row>
    <row r="87" spans="1:10">
      <c r="A87" s="199">
        <v>2020</v>
      </c>
      <c r="B87" s="199" t="s">
        <v>215</v>
      </c>
      <c r="C87" s="199">
        <v>64</v>
      </c>
      <c r="D87" s="199" t="s">
        <v>58</v>
      </c>
      <c r="E87" s="199" t="s">
        <v>71</v>
      </c>
      <c r="F87" s="199" t="s">
        <v>67</v>
      </c>
      <c r="G87" s="199">
        <v>2</v>
      </c>
      <c r="H87" s="199">
        <v>128</v>
      </c>
      <c r="I87" s="199" t="s">
        <v>8</v>
      </c>
      <c r="J87" s="199" t="s">
        <v>276</v>
      </c>
    </row>
    <row r="88" spans="1:10">
      <c r="A88" s="199">
        <v>2020</v>
      </c>
      <c r="B88" s="199" t="s">
        <v>215</v>
      </c>
      <c r="C88" s="199">
        <v>66</v>
      </c>
      <c r="D88" s="199" t="s">
        <v>58</v>
      </c>
      <c r="E88" s="199" t="s">
        <v>71</v>
      </c>
      <c r="F88" s="199" t="s">
        <v>67</v>
      </c>
      <c r="G88" s="199">
        <v>1</v>
      </c>
      <c r="H88" s="199">
        <v>66</v>
      </c>
      <c r="I88" s="199" t="s">
        <v>8</v>
      </c>
      <c r="J88" s="199" t="s">
        <v>276</v>
      </c>
    </row>
    <row r="89" spans="1:10">
      <c r="A89" s="199">
        <v>2020</v>
      </c>
      <c r="B89" s="199" t="s">
        <v>215</v>
      </c>
      <c r="C89" s="199">
        <v>67</v>
      </c>
      <c r="D89" s="199" t="s">
        <v>58</v>
      </c>
      <c r="E89" s="199" t="s">
        <v>71</v>
      </c>
      <c r="F89" s="199" t="s">
        <v>67</v>
      </c>
      <c r="G89" s="199">
        <v>1</v>
      </c>
      <c r="H89" s="199">
        <v>67</v>
      </c>
      <c r="I89" s="199" t="s">
        <v>8</v>
      </c>
      <c r="J89" s="199" t="s">
        <v>276</v>
      </c>
    </row>
    <row r="90" spans="1:10">
      <c r="A90" s="199">
        <v>2020</v>
      </c>
      <c r="B90" s="199" t="s">
        <v>215</v>
      </c>
      <c r="C90" s="199">
        <v>68</v>
      </c>
      <c r="D90" s="199" t="s">
        <v>57</v>
      </c>
      <c r="E90" s="199" t="s">
        <v>71</v>
      </c>
      <c r="F90" s="199" t="s">
        <v>67</v>
      </c>
      <c r="G90" s="199">
        <v>1</v>
      </c>
      <c r="H90" s="199">
        <v>68</v>
      </c>
      <c r="I90" s="199" t="s">
        <v>8</v>
      </c>
      <c r="J90" s="199" t="s">
        <v>276</v>
      </c>
    </row>
    <row r="91" spans="1:10">
      <c r="A91" s="199">
        <v>2020</v>
      </c>
      <c r="B91" s="199" t="s">
        <v>215</v>
      </c>
      <c r="C91" s="199">
        <v>68</v>
      </c>
      <c r="D91" s="199" t="s">
        <v>58</v>
      </c>
      <c r="E91" s="199" t="s">
        <v>71</v>
      </c>
      <c r="F91" s="199" t="s">
        <v>67</v>
      </c>
      <c r="G91" s="199">
        <v>1</v>
      </c>
      <c r="H91" s="199">
        <v>68</v>
      </c>
      <c r="I91" s="199" t="s">
        <v>8</v>
      </c>
      <c r="J91" s="199" t="s">
        <v>276</v>
      </c>
    </row>
    <row r="92" spans="1:10">
      <c r="A92" s="199">
        <v>2020</v>
      </c>
      <c r="B92" s="199" t="s">
        <v>215</v>
      </c>
      <c r="C92" s="199">
        <v>69</v>
      </c>
      <c r="D92" s="199" t="s">
        <v>58</v>
      </c>
      <c r="E92" s="199" t="s">
        <v>71</v>
      </c>
      <c r="F92" s="199" t="s">
        <v>67</v>
      </c>
      <c r="G92" s="199">
        <v>1</v>
      </c>
      <c r="H92" s="199">
        <v>69</v>
      </c>
      <c r="I92" s="199" t="s">
        <v>8</v>
      </c>
      <c r="J92" s="199" t="s">
        <v>276</v>
      </c>
    </row>
    <row r="93" spans="1:10">
      <c r="A93" s="199">
        <v>2020</v>
      </c>
      <c r="B93" s="199" t="s">
        <v>215</v>
      </c>
      <c r="C93" s="199">
        <v>71</v>
      </c>
      <c r="D93" s="199" t="s">
        <v>58</v>
      </c>
      <c r="E93" s="199" t="s">
        <v>71</v>
      </c>
      <c r="F93" s="199" t="s">
        <v>67</v>
      </c>
      <c r="G93" s="199">
        <v>1</v>
      </c>
      <c r="H93" s="199">
        <v>71</v>
      </c>
      <c r="I93" s="199" t="s">
        <v>8</v>
      </c>
      <c r="J93" s="199" t="s">
        <v>276</v>
      </c>
    </row>
    <row r="94" spans="1:10">
      <c r="A94" s="199">
        <v>2020</v>
      </c>
      <c r="B94" s="199" t="s">
        <v>215</v>
      </c>
      <c r="C94" s="199">
        <v>74</v>
      </c>
      <c r="D94" s="199" t="s">
        <v>57</v>
      </c>
      <c r="E94" s="199" t="s">
        <v>72</v>
      </c>
      <c r="F94" s="199" t="s">
        <v>67</v>
      </c>
      <c r="G94" s="199">
        <v>2</v>
      </c>
      <c r="H94" s="199">
        <v>148</v>
      </c>
      <c r="I94" s="199" t="s">
        <v>8</v>
      </c>
      <c r="J94" s="199" t="s">
        <v>276</v>
      </c>
    </row>
    <row r="95" spans="1:10">
      <c r="A95" s="199">
        <v>2021</v>
      </c>
      <c r="B95" s="199" t="s">
        <v>215</v>
      </c>
      <c r="C95" s="199">
        <v>1</v>
      </c>
      <c r="D95" s="199" t="s">
        <v>57</v>
      </c>
      <c r="E95" s="199" t="s">
        <v>73</v>
      </c>
      <c r="F95" s="199" t="s">
        <v>59</v>
      </c>
      <c r="G95" s="199">
        <v>2</v>
      </c>
      <c r="H95" s="199">
        <v>2</v>
      </c>
      <c r="I95" s="199" t="s">
        <v>8</v>
      </c>
      <c r="J95" s="199" t="s">
        <v>276</v>
      </c>
    </row>
    <row r="96" spans="1:10">
      <c r="A96" s="199">
        <v>2021</v>
      </c>
      <c r="B96" s="199" t="s">
        <v>215</v>
      </c>
      <c r="C96" s="199">
        <v>2</v>
      </c>
      <c r="D96" s="199" t="s">
        <v>57</v>
      </c>
      <c r="E96" s="199" t="s">
        <v>73</v>
      </c>
      <c r="F96" s="199" t="s">
        <v>59</v>
      </c>
      <c r="G96" s="199">
        <v>3</v>
      </c>
      <c r="H96" s="199">
        <v>6</v>
      </c>
      <c r="I96" s="199" t="s">
        <v>8</v>
      </c>
      <c r="J96" s="199" t="s">
        <v>276</v>
      </c>
    </row>
    <row r="97" spans="1:10">
      <c r="A97" s="199">
        <v>2021</v>
      </c>
      <c r="B97" s="199" t="s">
        <v>215</v>
      </c>
      <c r="C97" s="199">
        <v>2</v>
      </c>
      <c r="D97" s="199" t="s">
        <v>58</v>
      </c>
      <c r="E97" s="199" t="s">
        <v>73</v>
      </c>
      <c r="F97" s="199" t="s">
        <v>59</v>
      </c>
      <c r="G97" s="199">
        <v>2</v>
      </c>
      <c r="H97" s="199">
        <v>4</v>
      </c>
      <c r="I97" s="199" t="s">
        <v>8</v>
      </c>
      <c r="J97" s="199" t="s">
        <v>276</v>
      </c>
    </row>
    <row r="98" spans="1:10">
      <c r="A98" s="199">
        <v>2021</v>
      </c>
      <c r="B98" s="199" t="s">
        <v>215</v>
      </c>
      <c r="C98" s="199">
        <v>3</v>
      </c>
      <c r="D98" s="199" t="s">
        <v>58</v>
      </c>
      <c r="E98" s="199" t="s">
        <v>73</v>
      </c>
      <c r="F98" s="199" t="s">
        <v>59</v>
      </c>
      <c r="G98" s="199">
        <v>1</v>
      </c>
      <c r="H98" s="199">
        <v>3</v>
      </c>
      <c r="I98" s="199" t="s">
        <v>8</v>
      </c>
      <c r="J98" s="199" t="s">
        <v>276</v>
      </c>
    </row>
    <row r="99" spans="1:10">
      <c r="A99" s="199">
        <v>2021</v>
      </c>
      <c r="B99" s="199" t="s">
        <v>215</v>
      </c>
      <c r="C99" s="199">
        <v>4</v>
      </c>
      <c r="D99" s="199" t="s">
        <v>57</v>
      </c>
      <c r="E99" s="199" t="s">
        <v>73</v>
      </c>
      <c r="F99" s="199" t="s">
        <v>59</v>
      </c>
      <c r="G99" s="199">
        <v>2</v>
      </c>
      <c r="H99" s="199">
        <v>8</v>
      </c>
      <c r="I99" s="199" t="s">
        <v>8</v>
      </c>
      <c r="J99" s="199" t="s">
        <v>276</v>
      </c>
    </row>
    <row r="100" spans="1:10">
      <c r="A100" s="199">
        <v>2021</v>
      </c>
      <c r="B100" s="199" t="s">
        <v>215</v>
      </c>
      <c r="C100" s="199">
        <v>4</v>
      </c>
      <c r="D100" s="199" t="s">
        <v>58</v>
      </c>
      <c r="E100" s="199" t="s">
        <v>73</v>
      </c>
      <c r="F100" s="199" t="s">
        <v>59</v>
      </c>
      <c r="G100" s="199">
        <v>1</v>
      </c>
      <c r="H100" s="199">
        <v>4</v>
      </c>
      <c r="I100" s="199" t="s">
        <v>8</v>
      </c>
      <c r="J100" s="199" t="s">
        <v>276</v>
      </c>
    </row>
    <row r="101" spans="1:10">
      <c r="A101" s="199">
        <v>2021</v>
      </c>
      <c r="B101" s="199" t="s">
        <v>215</v>
      </c>
      <c r="C101" s="199">
        <v>5</v>
      </c>
      <c r="D101" s="199" t="s">
        <v>57</v>
      </c>
      <c r="E101" s="199" t="s">
        <v>73</v>
      </c>
      <c r="F101" s="199" t="s">
        <v>59</v>
      </c>
      <c r="G101" s="199">
        <v>2</v>
      </c>
      <c r="H101" s="199">
        <v>10</v>
      </c>
      <c r="I101" s="199" t="s">
        <v>8</v>
      </c>
      <c r="J101" s="199" t="s">
        <v>276</v>
      </c>
    </row>
    <row r="102" spans="1:10">
      <c r="A102" s="199">
        <v>2021</v>
      </c>
      <c r="B102" s="199" t="s">
        <v>215</v>
      </c>
      <c r="C102" s="199">
        <v>6</v>
      </c>
      <c r="D102" s="199" t="s">
        <v>57</v>
      </c>
      <c r="E102" s="199" t="s">
        <v>73</v>
      </c>
      <c r="F102" s="199" t="s">
        <v>59</v>
      </c>
      <c r="G102" s="199">
        <v>1</v>
      </c>
      <c r="H102" s="199">
        <v>6</v>
      </c>
      <c r="I102" s="199" t="s">
        <v>8</v>
      </c>
      <c r="J102" s="199" t="s">
        <v>276</v>
      </c>
    </row>
    <row r="103" spans="1:10">
      <c r="A103" s="199">
        <v>2021</v>
      </c>
      <c r="B103" s="199" t="s">
        <v>215</v>
      </c>
      <c r="C103" s="199">
        <v>7</v>
      </c>
      <c r="D103" s="199" t="s">
        <v>58</v>
      </c>
      <c r="E103" s="199" t="s">
        <v>73</v>
      </c>
      <c r="F103" s="199" t="s">
        <v>59</v>
      </c>
      <c r="G103" s="199">
        <v>1</v>
      </c>
      <c r="H103" s="199">
        <v>7</v>
      </c>
      <c r="I103" s="199" t="s">
        <v>8</v>
      </c>
      <c r="J103" s="199" t="s">
        <v>276</v>
      </c>
    </row>
    <row r="104" spans="1:10">
      <c r="A104" s="199">
        <v>2021</v>
      </c>
      <c r="B104" s="199" t="s">
        <v>215</v>
      </c>
      <c r="C104" s="199">
        <v>11</v>
      </c>
      <c r="D104" s="199" t="s">
        <v>58</v>
      </c>
      <c r="E104" s="199" t="s">
        <v>73</v>
      </c>
      <c r="F104" s="199" t="s">
        <v>59</v>
      </c>
      <c r="G104" s="199">
        <v>1</v>
      </c>
      <c r="H104" s="199">
        <v>11</v>
      </c>
      <c r="I104" s="199" t="s">
        <v>8</v>
      </c>
      <c r="J104" s="199" t="s">
        <v>276</v>
      </c>
    </row>
    <row r="105" spans="1:10">
      <c r="A105" s="199">
        <v>2021</v>
      </c>
      <c r="B105" s="199" t="s">
        <v>215</v>
      </c>
      <c r="C105" s="199">
        <v>13</v>
      </c>
      <c r="D105" s="199" t="s">
        <v>58</v>
      </c>
      <c r="E105" s="199" t="s">
        <v>73</v>
      </c>
      <c r="F105" s="199" t="s">
        <v>59</v>
      </c>
      <c r="G105" s="199">
        <v>1</v>
      </c>
      <c r="H105" s="199">
        <v>13</v>
      </c>
      <c r="I105" s="199" t="s">
        <v>8</v>
      </c>
      <c r="J105" s="199" t="s">
        <v>276</v>
      </c>
    </row>
    <row r="106" spans="1:10">
      <c r="A106" s="199">
        <v>2021</v>
      </c>
      <c r="B106" s="199" t="s">
        <v>215</v>
      </c>
      <c r="C106" s="199">
        <v>17</v>
      </c>
      <c r="D106" s="199" t="s">
        <v>58</v>
      </c>
      <c r="E106" s="199" t="s">
        <v>73</v>
      </c>
      <c r="F106" s="199" t="s">
        <v>59</v>
      </c>
      <c r="G106" s="199">
        <v>1</v>
      </c>
      <c r="H106" s="199">
        <v>17</v>
      </c>
      <c r="I106" s="199" t="s">
        <v>8</v>
      </c>
      <c r="J106" s="199" t="s">
        <v>276</v>
      </c>
    </row>
    <row r="107" spans="1:10">
      <c r="A107" s="199">
        <v>2021</v>
      </c>
      <c r="B107" s="199" t="s">
        <v>215</v>
      </c>
      <c r="C107" s="199">
        <v>21</v>
      </c>
      <c r="D107" s="199" t="s">
        <v>57</v>
      </c>
      <c r="E107" s="199" t="s">
        <v>71</v>
      </c>
      <c r="F107" s="199" t="s">
        <v>59</v>
      </c>
      <c r="G107" s="199">
        <v>1</v>
      </c>
      <c r="H107" s="199">
        <v>21</v>
      </c>
      <c r="I107" s="199" t="s">
        <v>8</v>
      </c>
      <c r="J107" s="199" t="s">
        <v>276</v>
      </c>
    </row>
    <row r="108" spans="1:10">
      <c r="A108" s="199">
        <v>2021</v>
      </c>
      <c r="B108" s="199" t="s">
        <v>215</v>
      </c>
      <c r="C108" s="199">
        <v>23</v>
      </c>
      <c r="D108" s="199" t="s">
        <v>57</v>
      </c>
      <c r="E108" s="199" t="s">
        <v>71</v>
      </c>
      <c r="F108" s="199" t="s">
        <v>59</v>
      </c>
      <c r="G108" s="199">
        <v>1</v>
      </c>
      <c r="H108" s="199">
        <v>23</v>
      </c>
      <c r="I108" s="199" t="s">
        <v>8</v>
      </c>
      <c r="J108" s="199" t="s">
        <v>276</v>
      </c>
    </row>
    <row r="109" spans="1:10">
      <c r="A109" s="199">
        <v>2021</v>
      </c>
      <c r="B109" s="199" t="s">
        <v>215</v>
      </c>
      <c r="C109" s="199">
        <v>25</v>
      </c>
      <c r="D109" s="199" t="s">
        <v>58</v>
      </c>
      <c r="E109" s="199" t="s">
        <v>71</v>
      </c>
      <c r="F109" s="199" t="s">
        <v>60</v>
      </c>
      <c r="G109" s="199">
        <v>5</v>
      </c>
      <c r="H109" s="199">
        <v>125</v>
      </c>
      <c r="I109" s="199" t="s">
        <v>8</v>
      </c>
      <c r="J109" s="199" t="s">
        <v>276</v>
      </c>
    </row>
    <row r="110" spans="1:10">
      <c r="A110" s="199">
        <v>2021</v>
      </c>
      <c r="B110" s="199" t="s">
        <v>215</v>
      </c>
      <c r="C110" s="199">
        <v>26</v>
      </c>
      <c r="D110" s="199" t="s">
        <v>57</v>
      </c>
      <c r="E110" s="199" t="s">
        <v>71</v>
      </c>
      <c r="F110" s="199" t="s">
        <v>60</v>
      </c>
      <c r="G110" s="199">
        <v>1</v>
      </c>
      <c r="H110" s="199">
        <v>26</v>
      </c>
      <c r="I110" s="199" t="s">
        <v>8</v>
      </c>
      <c r="J110" s="199" t="s">
        <v>276</v>
      </c>
    </row>
    <row r="111" spans="1:10">
      <c r="A111" s="199">
        <v>2021</v>
      </c>
      <c r="B111" s="199" t="s">
        <v>215</v>
      </c>
      <c r="C111" s="199">
        <v>26</v>
      </c>
      <c r="D111" s="199" t="s">
        <v>58</v>
      </c>
      <c r="E111" s="199" t="s">
        <v>71</v>
      </c>
      <c r="F111" s="199" t="s">
        <v>60</v>
      </c>
      <c r="G111" s="199">
        <v>10</v>
      </c>
      <c r="H111" s="199">
        <v>260</v>
      </c>
      <c r="I111" s="199" t="s">
        <v>8</v>
      </c>
      <c r="J111" s="199" t="s">
        <v>276</v>
      </c>
    </row>
    <row r="112" spans="1:10">
      <c r="A112" s="199">
        <v>2021</v>
      </c>
      <c r="B112" s="199" t="s">
        <v>215</v>
      </c>
      <c r="C112" s="199">
        <v>27</v>
      </c>
      <c r="D112" s="199" t="s">
        <v>57</v>
      </c>
      <c r="E112" s="199" t="s">
        <v>71</v>
      </c>
      <c r="F112" s="199" t="s">
        <v>60</v>
      </c>
      <c r="G112" s="199">
        <v>5</v>
      </c>
      <c r="H112" s="199">
        <v>135</v>
      </c>
      <c r="I112" s="199" t="s">
        <v>8</v>
      </c>
      <c r="J112" s="199" t="s">
        <v>276</v>
      </c>
    </row>
    <row r="113" spans="1:10">
      <c r="A113" s="199">
        <v>2021</v>
      </c>
      <c r="B113" s="199" t="s">
        <v>215</v>
      </c>
      <c r="C113" s="199">
        <v>27</v>
      </c>
      <c r="D113" s="199" t="s">
        <v>58</v>
      </c>
      <c r="E113" s="199" t="s">
        <v>71</v>
      </c>
      <c r="F113" s="199" t="s">
        <v>60</v>
      </c>
      <c r="G113" s="199">
        <v>11</v>
      </c>
      <c r="H113" s="199">
        <v>297</v>
      </c>
      <c r="I113" s="199" t="s">
        <v>8</v>
      </c>
      <c r="J113" s="199" t="s">
        <v>276</v>
      </c>
    </row>
    <row r="114" spans="1:10">
      <c r="A114" s="199">
        <v>2021</v>
      </c>
      <c r="B114" s="199" t="s">
        <v>215</v>
      </c>
      <c r="C114" s="199">
        <v>28</v>
      </c>
      <c r="D114" s="199" t="s">
        <v>57</v>
      </c>
      <c r="E114" s="199" t="s">
        <v>71</v>
      </c>
      <c r="F114" s="199" t="s">
        <v>60</v>
      </c>
      <c r="G114" s="199">
        <v>5</v>
      </c>
      <c r="H114" s="199">
        <v>140</v>
      </c>
      <c r="I114" s="199" t="s">
        <v>8</v>
      </c>
      <c r="J114" s="199" t="s">
        <v>276</v>
      </c>
    </row>
    <row r="115" spans="1:10">
      <c r="A115" s="199">
        <v>2021</v>
      </c>
      <c r="B115" s="199" t="s">
        <v>215</v>
      </c>
      <c r="C115" s="199">
        <v>28</v>
      </c>
      <c r="D115" s="199" t="s">
        <v>58</v>
      </c>
      <c r="E115" s="199" t="s">
        <v>71</v>
      </c>
      <c r="F115" s="199" t="s">
        <v>60</v>
      </c>
      <c r="G115" s="199">
        <v>13</v>
      </c>
      <c r="H115" s="199">
        <v>364</v>
      </c>
      <c r="I115" s="199" t="s">
        <v>8</v>
      </c>
      <c r="J115" s="199" t="s">
        <v>276</v>
      </c>
    </row>
    <row r="116" spans="1:10">
      <c r="A116" s="199">
        <v>2021</v>
      </c>
      <c r="B116" s="199" t="s">
        <v>215</v>
      </c>
      <c r="C116" s="199">
        <v>28</v>
      </c>
      <c r="D116" s="199" t="s">
        <v>58</v>
      </c>
      <c r="E116" s="199" t="s">
        <v>72</v>
      </c>
      <c r="F116" s="199" t="s">
        <v>60</v>
      </c>
      <c r="G116" s="199">
        <v>1</v>
      </c>
      <c r="H116" s="199">
        <v>28</v>
      </c>
      <c r="I116" s="199" t="s">
        <v>8</v>
      </c>
      <c r="J116" s="199" t="s">
        <v>276</v>
      </c>
    </row>
    <row r="117" spans="1:10">
      <c r="A117" s="199">
        <v>2021</v>
      </c>
      <c r="B117" s="199" t="s">
        <v>215</v>
      </c>
      <c r="C117" s="199">
        <v>29</v>
      </c>
      <c r="D117" s="199" t="s">
        <v>57</v>
      </c>
      <c r="E117" s="199" t="s">
        <v>71</v>
      </c>
      <c r="F117" s="199" t="s">
        <v>60</v>
      </c>
      <c r="G117" s="199">
        <v>2</v>
      </c>
      <c r="H117" s="199">
        <v>58</v>
      </c>
      <c r="I117" s="199" t="s">
        <v>8</v>
      </c>
      <c r="J117" s="199" t="s">
        <v>276</v>
      </c>
    </row>
    <row r="118" spans="1:10">
      <c r="A118" s="199">
        <v>2021</v>
      </c>
      <c r="B118" s="199" t="s">
        <v>215</v>
      </c>
      <c r="C118" s="199">
        <v>29</v>
      </c>
      <c r="D118" s="199" t="s">
        <v>58</v>
      </c>
      <c r="E118" s="199" t="s">
        <v>71</v>
      </c>
      <c r="F118" s="199" t="s">
        <v>60</v>
      </c>
      <c r="G118" s="199">
        <v>1</v>
      </c>
      <c r="H118" s="199">
        <v>29</v>
      </c>
      <c r="I118" s="199" t="s">
        <v>8</v>
      </c>
      <c r="J118" s="199" t="s">
        <v>276</v>
      </c>
    </row>
    <row r="119" spans="1:10">
      <c r="A119" s="199">
        <v>2021</v>
      </c>
      <c r="B119" s="199" t="s">
        <v>215</v>
      </c>
      <c r="C119" s="199">
        <v>30</v>
      </c>
      <c r="D119" s="199" t="s">
        <v>57</v>
      </c>
      <c r="E119" s="199" t="s">
        <v>71</v>
      </c>
      <c r="F119" s="199" t="s">
        <v>61</v>
      </c>
      <c r="G119" s="199">
        <v>3</v>
      </c>
      <c r="H119" s="199">
        <v>90</v>
      </c>
      <c r="I119" s="199" t="s">
        <v>8</v>
      </c>
      <c r="J119" s="199" t="s">
        <v>276</v>
      </c>
    </row>
    <row r="120" spans="1:10">
      <c r="A120" s="199">
        <v>2021</v>
      </c>
      <c r="B120" s="199" t="s">
        <v>215</v>
      </c>
      <c r="C120" s="199">
        <v>30</v>
      </c>
      <c r="D120" s="199" t="s">
        <v>58</v>
      </c>
      <c r="E120" s="199" t="s">
        <v>71</v>
      </c>
      <c r="F120" s="199" t="s">
        <v>61</v>
      </c>
      <c r="G120" s="199">
        <v>2</v>
      </c>
      <c r="H120" s="199">
        <v>60</v>
      </c>
      <c r="I120" s="199" t="s">
        <v>8</v>
      </c>
      <c r="J120" s="199" t="s">
        <v>276</v>
      </c>
    </row>
    <row r="121" spans="1:10">
      <c r="A121" s="199">
        <v>2021</v>
      </c>
      <c r="B121" s="199" t="s">
        <v>215</v>
      </c>
      <c r="C121" s="199">
        <v>31</v>
      </c>
      <c r="D121" s="199" t="s">
        <v>57</v>
      </c>
      <c r="E121" s="199" t="s">
        <v>71</v>
      </c>
      <c r="F121" s="199" t="s">
        <v>61</v>
      </c>
      <c r="G121" s="199">
        <v>3</v>
      </c>
      <c r="H121" s="199">
        <v>93</v>
      </c>
      <c r="I121" s="199" t="s">
        <v>8</v>
      </c>
      <c r="J121" s="199" t="s">
        <v>276</v>
      </c>
    </row>
    <row r="122" spans="1:10">
      <c r="A122" s="199">
        <v>2021</v>
      </c>
      <c r="B122" s="199" t="s">
        <v>215</v>
      </c>
      <c r="C122" s="199">
        <v>32</v>
      </c>
      <c r="D122" s="199" t="s">
        <v>57</v>
      </c>
      <c r="E122" s="199" t="s">
        <v>71</v>
      </c>
      <c r="F122" s="199" t="s">
        <v>61</v>
      </c>
      <c r="G122" s="199">
        <v>1</v>
      </c>
      <c r="H122" s="199">
        <v>32</v>
      </c>
      <c r="I122" s="199" t="s">
        <v>8</v>
      </c>
      <c r="J122" s="199" t="s">
        <v>276</v>
      </c>
    </row>
    <row r="123" spans="1:10">
      <c r="A123" s="199">
        <v>2021</v>
      </c>
      <c r="B123" s="199" t="s">
        <v>215</v>
      </c>
      <c r="C123" s="199">
        <v>32</v>
      </c>
      <c r="D123" s="199" t="s">
        <v>58</v>
      </c>
      <c r="E123" s="199" t="s">
        <v>71</v>
      </c>
      <c r="F123" s="199" t="s">
        <v>61</v>
      </c>
      <c r="G123" s="199">
        <v>6</v>
      </c>
      <c r="H123" s="199">
        <v>192</v>
      </c>
      <c r="I123" s="199" t="s">
        <v>8</v>
      </c>
      <c r="J123" s="199" t="s">
        <v>276</v>
      </c>
    </row>
    <row r="124" spans="1:10">
      <c r="A124" s="199">
        <v>2021</v>
      </c>
      <c r="B124" s="199" t="s">
        <v>215</v>
      </c>
      <c r="C124" s="199">
        <v>33</v>
      </c>
      <c r="D124" s="199" t="s">
        <v>58</v>
      </c>
      <c r="E124" s="199" t="s">
        <v>71</v>
      </c>
      <c r="F124" s="199" t="s">
        <v>61</v>
      </c>
      <c r="G124" s="199">
        <v>3</v>
      </c>
      <c r="H124" s="199">
        <v>99</v>
      </c>
      <c r="I124" s="199" t="s">
        <v>8</v>
      </c>
      <c r="J124" s="199" t="s">
        <v>276</v>
      </c>
    </row>
    <row r="125" spans="1:10">
      <c r="A125" s="199">
        <v>2021</v>
      </c>
      <c r="B125" s="199" t="s">
        <v>215</v>
      </c>
      <c r="C125" s="199">
        <v>33</v>
      </c>
      <c r="D125" s="199" t="s">
        <v>58</v>
      </c>
      <c r="E125" s="199" t="s">
        <v>72</v>
      </c>
      <c r="F125" s="199" t="s">
        <v>61</v>
      </c>
      <c r="G125" s="199">
        <v>2</v>
      </c>
      <c r="H125" s="199">
        <v>66</v>
      </c>
      <c r="I125" s="199" t="s">
        <v>8</v>
      </c>
      <c r="J125" s="199" t="s">
        <v>276</v>
      </c>
    </row>
    <row r="126" spans="1:10">
      <c r="A126" s="199">
        <v>2021</v>
      </c>
      <c r="B126" s="199" t="s">
        <v>215</v>
      </c>
      <c r="C126" s="199">
        <v>34</v>
      </c>
      <c r="D126" s="199" t="s">
        <v>57</v>
      </c>
      <c r="E126" s="199" t="s">
        <v>71</v>
      </c>
      <c r="F126" s="199" t="s">
        <v>61</v>
      </c>
      <c r="G126" s="199">
        <v>1</v>
      </c>
      <c r="H126" s="199">
        <v>34</v>
      </c>
      <c r="I126" s="199" t="s">
        <v>8</v>
      </c>
      <c r="J126" s="199" t="s">
        <v>276</v>
      </c>
    </row>
    <row r="127" spans="1:10">
      <c r="A127" s="199">
        <v>2021</v>
      </c>
      <c r="B127" s="199" t="s">
        <v>215</v>
      </c>
      <c r="C127" s="199">
        <v>34</v>
      </c>
      <c r="D127" s="199" t="s">
        <v>57</v>
      </c>
      <c r="E127" s="199" t="s">
        <v>72</v>
      </c>
      <c r="F127" s="199" t="s">
        <v>61</v>
      </c>
      <c r="G127" s="199">
        <v>1</v>
      </c>
      <c r="H127" s="199">
        <v>34</v>
      </c>
      <c r="I127" s="199" t="s">
        <v>8</v>
      </c>
      <c r="J127" s="199" t="s">
        <v>276</v>
      </c>
    </row>
    <row r="128" spans="1:10">
      <c r="A128" s="199">
        <v>2021</v>
      </c>
      <c r="B128" s="199" t="s">
        <v>215</v>
      </c>
      <c r="C128" s="199">
        <v>34</v>
      </c>
      <c r="D128" s="199" t="s">
        <v>58</v>
      </c>
      <c r="E128" s="199" t="s">
        <v>71</v>
      </c>
      <c r="F128" s="199" t="s">
        <v>61</v>
      </c>
      <c r="G128" s="199">
        <v>1</v>
      </c>
      <c r="H128" s="199">
        <v>34</v>
      </c>
      <c r="I128" s="199" t="s">
        <v>8</v>
      </c>
      <c r="J128" s="199" t="s">
        <v>276</v>
      </c>
    </row>
    <row r="129" spans="1:10">
      <c r="A129" s="199">
        <v>2021</v>
      </c>
      <c r="B129" s="199" t="s">
        <v>215</v>
      </c>
      <c r="C129" s="199">
        <v>35</v>
      </c>
      <c r="D129" s="199" t="s">
        <v>57</v>
      </c>
      <c r="E129" s="199" t="s">
        <v>71</v>
      </c>
      <c r="F129" s="199" t="s">
        <v>62</v>
      </c>
      <c r="G129" s="199">
        <v>2</v>
      </c>
      <c r="H129" s="199">
        <v>70</v>
      </c>
      <c r="I129" s="199" t="s">
        <v>8</v>
      </c>
      <c r="J129" s="199" t="s">
        <v>276</v>
      </c>
    </row>
    <row r="130" spans="1:10">
      <c r="A130" s="199">
        <v>2021</v>
      </c>
      <c r="B130" s="199" t="s">
        <v>215</v>
      </c>
      <c r="C130" s="199">
        <v>35</v>
      </c>
      <c r="D130" s="199" t="s">
        <v>58</v>
      </c>
      <c r="E130" s="199" t="s">
        <v>71</v>
      </c>
      <c r="F130" s="199" t="s">
        <v>62</v>
      </c>
      <c r="G130" s="199">
        <v>3</v>
      </c>
      <c r="H130" s="199">
        <v>105</v>
      </c>
      <c r="I130" s="199" t="s">
        <v>8</v>
      </c>
      <c r="J130" s="199" t="s">
        <v>276</v>
      </c>
    </row>
    <row r="131" spans="1:10">
      <c r="A131" s="199">
        <v>2021</v>
      </c>
      <c r="B131" s="199" t="s">
        <v>215</v>
      </c>
      <c r="C131" s="199">
        <v>36</v>
      </c>
      <c r="D131" s="199" t="s">
        <v>57</v>
      </c>
      <c r="E131" s="199" t="s">
        <v>71</v>
      </c>
      <c r="F131" s="199" t="s">
        <v>62</v>
      </c>
      <c r="G131" s="199">
        <v>6</v>
      </c>
      <c r="H131" s="199">
        <v>216</v>
      </c>
      <c r="I131" s="199" t="s">
        <v>8</v>
      </c>
      <c r="J131" s="199" t="s">
        <v>276</v>
      </c>
    </row>
    <row r="132" spans="1:10">
      <c r="A132" s="199">
        <v>2021</v>
      </c>
      <c r="B132" s="199" t="s">
        <v>215</v>
      </c>
      <c r="C132" s="199">
        <v>36</v>
      </c>
      <c r="D132" s="199" t="s">
        <v>57</v>
      </c>
      <c r="E132" s="199" t="s">
        <v>72</v>
      </c>
      <c r="F132" s="199" t="s">
        <v>62</v>
      </c>
      <c r="G132" s="199">
        <v>1</v>
      </c>
      <c r="H132" s="199">
        <v>36</v>
      </c>
      <c r="I132" s="199" t="s">
        <v>8</v>
      </c>
      <c r="J132" s="199" t="s">
        <v>276</v>
      </c>
    </row>
    <row r="133" spans="1:10">
      <c r="A133" s="199">
        <v>2021</v>
      </c>
      <c r="B133" s="199" t="s">
        <v>215</v>
      </c>
      <c r="C133" s="199">
        <v>36</v>
      </c>
      <c r="D133" s="199" t="s">
        <v>58</v>
      </c>
      <c r="E133" s="199" t="s">
        <v>71</v>
      </c>
      <c r="F133" s="199" t="s">
        <v>62</v>
      </c>
      <c r="G133" s="199">
        <v>6</v>
      </c>
      <c r="H133" s="199">
        <v>216</v>
      </c>
      <c r="I133" s="199" t="s">
        <v>8</v>
      </c>
      <c r="J133" s="199" t="s">
        <v>276</v>
      </c>
    </row>
    <row r="134" spans="1:10">
      <c r="A134" s="199">
        <v>2021</v>
      </c>
      <c r="B134" s="199" t="s">
        <v>215</v>
      </c>
      <c r="C134" s="199">
        <v>37</v>
      </c>
      <c r="D134" s="199" t="s">
        <v>57</v>
      </c>
      <c r="E134" s="199" t="s">
        <v>71</v>
      </c>
      <c r="F134" s="199" t="s">
        <v>62</v>
      </c>
      <c r="G134" s="199">
        <v>1</v>
      </c>
      <c r="H134" s="199">
        <v>37</v>
      </c>
      <c r="I134" s="199" t="s">
        <v>8</v>
      </c>
      <c r="J134" s="199" t="s">
        <v>276</v>
      </c>
    </row>
    <row r="135" spans="1:10">
      <c r="A135" s="199">
        <v>2021</v>
      </c>
      <c r="B135" s="199" t="s">
        <v>215</v>
      </c>
      <c r="C135" s="199">
        <v>37</v>
      </c>
      <c r="D135" s="199" t="s">
        <v>58</v>
      </c>
      <c r="E135" s="199" t="s">
        <v>71</v>
      </c>
      <c r="F135" s="199" t="s">
        <v>62</v>
      </c>
      <c r="G135" s="199">
        <v>2</v>
      </c>
      <c r="H135" s="199">
        <v>74</v>
      </c>
      <c r="I135" s="199" t="s">
        <v>8</v>
      </c>
      <c r="J135" s="199" t="s">
        <v>276</v>
      </c>
    </row>
    <row r="136" spans="1:10">
      <c r="A136" s="199">
        <v>2021</v>
      </c>
      <c r="B136" s="199" t="s">
        <v>215</v>
      </c>
      <c r="C136" s="199">
        <v>38</v>
      </c>
      <c r="D136" s="199" t="s">
        <v>57</v>
      </c>
      <c r="E136" s="199" t="s">
        <v>71</v>
      </c>
      <c r="F136" s="199" t="s">
        <v>62</v>
      </c>
      <c r="G136" s="199">
        <v>2</v>
      </c>
      <c r="H136" s="199">
        <v>76</v>
      </c>
      <c r="I136" s="199" t="s">
        <v>8</v>
      </c>
      <c r="J136" s="199" t="s">
        <v>276</v>
      </c>
    </row>
    <row r="137" spans="1:10">
      <c r="A137" s="199">
        <v>2021</v>
      </c>
      <c r="B137" s="199" t="s">
        <v>215</v>
      </c>
      <c r="C137" s="199">
        <v>38</v>
      </c>
      <c r="D137" s="199" t="s">
        <v>58</v>
      </c>
      <c r="E137" s="199" t="s">
        <v>71</v>
      </c>
      <c r="F137" s="199" t="s">
        <v>62</v>
      </c>
      <c r="G137" s="199">
        <v>2</v>
      </c>
      <c r="H137" s="199">
        <v>76</v>
      </c>
      <c r="I137" s="199" t="s">
        <v>8</v>
      </c>
      <c r="J137" s="199" t="s">
        <v>276</v>
      </c>
    </row>
    <row r="138" spans="1:10">
      <c r="A138" s="199">
        <v>2021</v>
      </c>
      <c r="B138" s="199" t="s">
        <v>215</v>
      </c>
      <c r="C138" s="199">
        <v>39</v>
      </c>
      <c r="D138" s="199" t="s">
        <v>57</v>
      </c>
      <c r="E138" s="199" t="s">
        <v>71</v>
      </c>
      <c r="F138" s="199" t="s">
        <v>62</v>
      </c>
      <c r="G138" s="199">
        <v>1</v>
      </c>
      <c r="H138" s="199">
        <v>39</v>
      </c>
      <c r="I138" s="199" t="s">
        <v>8</v>
      </c>
      <c r="J138" s="199" t="s">
        <v>276</v>
      </c>
    </row>
    <row r="139" spans="1:10">
      <c r="A139" s="199">
        <v>2021</v>
      </c>
      <c r="B139" s="199" t="s">
        <v>215</v>
      </c>
      <c r="C139" s="199">
        <v>39</v>
      </c>
      <c r="D139" s="199" t="s">
        <v>58</v>
      </c>
      <c r="E139" s="199" t="s">
        <v>71</v>
      </c>
      <c r="F139" s="199" t="s">
        <v>62</v>
      </c>
      <c r="G139" s="199">
        <v>2</v>
      </c>
      <c r="H139" s="199">
        <v>78</v>
      </c>
      <c r="I139" s="199" t="s">
        <v>8</v>
      </c>
      <c r="J139" s="199" t="s">
        <v>276</v>
      </c>
    </row>
    <row r="140" spans="1:10">
      <c r="A140" s="199">
        <v>2021</v>
      </c>
      <c r="B140" s="199" t="s">
        <v>215</v>
      </c>
      <c r="C140" s="199">
        <v>40</v>
      </c>
      <c r="D140" s="199" t="s">
        <v>58</v>
      </c>
      <c r="E140" s="199" t="s">
        <v>71</v>
      </c>
      <c r="F140" s="199" t="s">
        <v>63</v>
      </c>
      <c r="G140" s="199">
        <v>3</v>
      </c>
      <c r="H140" s="199">
        <v>120</v>
      </c>
      <c r="I140" s="199" t="s">
        <v>8</v>
      </c>
      <c r="J140" s="199" t="s">
        <v>276</v>
      </c>
    </row>
    <row r="141" spans="1:10">
      <c r="A141" s="199">
        <v>2021</v>
      </c>
      <c r="B141" s="199" t="s">
        <v>215</v>
      </c>
      <c r="C141" s="199">
        <v>40</v>
      </c>
      <c r="D141" s="199" t="s">
        <v>58</v>
      </c>
      <c r="E141" s="199" t="s">
        <v>72</v>
      </c>
      <c r="F141" s="199" t="s">
        <v>63</v>
      </c>
      <c r="G141" s="199">
        <v>1</v>
      </c>
      <c r="H141" s="199">
        <v>40</v>
      </c>
      <c r="I141" s="199" t="s">
        <v>8</v>
      </c>
      <c r="J141" s="199" t="s">
        <v>276</v>
      </c>
    </row>
    <row r="142" spans="1:10">
      <c r="A142" s="199">
        <v>2021</v>
      </c>
      <c r="B142" s="199" t="s">
        <v>215</v>
      </c>
      <c r="C142" s="199">
        <v>41</v>
      </c>
      <c r="D142" s="199" t="s">
        <v>57</v>
      </c>
      <c r="E142" s="199" t="s">
        <v>71</v>
      </c>
      <c r="F142" s="199" t="s">
        <v>63</v>
      </c>
      <c r="G142" s="199">
        <v>2</v>
      </c>
      <c r="H142" s="199">
        <v>82</v>
      </c>
      <c r="I142" s="199" t="s">
        <v>8</v>
      </c>
      <c r="J142" s="199" t="s">
        <v>276</v>
      </c>
    </row>
    <row r="143" spans="1:10">
      <c r="A143" s="199">
        <v>2021</v>
      </c>
      <c r="B143" s="199" t="s">
        <v>215</v>
      </c>
      <c r="C143" s="199">
        <v>41</v>
      </c>
      <c r="D143" s="199" t="s">
        <v>58</v>
      </c>
      <c r="E143" s="199" t="s">
        <v>71</v>
      </c>
      <c r="F143" s="199" t="s">
        <v>63</v>
      </c>
      <c r="G143" s="199">
        <v>2</v>
      </c>
      <c r="H143" s="199">
        <v>82</v>
      </c>
      <c r="I143" s="199" t="s">
        <v>8</v>
      </c>
      <c r="J143" s="199" t="s">
        <v>276</v>
      </c>
    </row>
    <row r="144" spans="1:10">
      <c r="A144" s="199">
        <v>2021</v>
      </c>
      <c r="B144" s="199" t="s">
        <v>215</v>
      </c>
      <c r="C144" s="199">
        <v>42</v>
      </c>
      <c r="D144" s="199" t="s">
        <v>57</v>
      </c>
      <c r="E144" s="199" t="s">
        <v>71</v>
      </c>
      <c r="F144" s="199" t="s">
        <v>63</v>
      </c>
      <c r="G144" s="199">
        <v>1</v>
      </c>
      <c r="H144" s="199">
        <v>42</v>
      </c>
      <c r="I144" s="199" t="s">
        <v>8</v>
      </c>
      <c r="J144" s="199" t="s">
        <v>276</v>
      </c>
    </row>
    <row r="145" spans="1:10">
      <c r="A145" s="199">
        <v>2021</v>
      </c>
      <c r="B145" s="199" t="s">
        <v>215</v>
      </c>
      <c r="C145" s="199">
        <v>42</v>
      </c>
      <c r="D145" s="199" t="s">
        <v>58</v>
      </c>
      <c r="E145" s="199" t="s">
        <v>71</v>
      </c>
      <c r="F145" s="199" t="s">
        <v>63</v>
      </c>
      <c r="G145" s="199">
        <v>3</v>
      </c>
      <c r="H145" s="199">
        <v>126</v>
      </c>
      <c r="I145" s="199" t="s">
        <v>8</v>
      </c>
      <c r="J145" s="199" t="s">
        <v>276</v>
      </c>
    </row>
    <row r="146" spans="1:10">
      <c r="A146" s="199">
        <v>2021</v>
      </c>
      <c r="B146" s="199" t="s">
        <v>215</v>
      </c>
      <c r="C146" s="199">
        <v>43</v>
      </c>
      <c r="D146" s="199" t="s">
        <v>57</v>
      </c>
      <c r="E146" s="199" t="s">
        <v>71</v>
      </c>
      <c r="F146" s="199" t="s">
        <v>63</v>
      </c>
      <c r="G146" s="199">
        <v>1</v>
      </c>
      <c r="H146" s="199">
        <v>43</v>
      </c>
      <c r="I146" s="199" t="s">
        <v>8</v>
      </c>
      <c r="J146" s="199" t="s">
        <v>276</v>
      </c>
    </row>
    <row r="147" spans="1:10">
      <c r="A147" s="199">
        <v>2021</v>
      </c>
      <c r="B147" s="199" t="s">
        <v>215</v>
      </c>
      <c r="C147" s="199">
        <v>43</v>
      </c>
      <c r="D147" s="199" t="s">
        <v>57</v>
      </c>
      <c r="E147" s="199" t="s">
        <v>72</v>
      </c>
      <c r="F147" s="199" t="s">
        <v>63</v>
      </c>
      <c r="G147" s="199">
        <v>1</v>
      </c>
      <c r="H147" s="199">
        <v>43</v>
      </c>
      <c r="I147" s="199" t="s">
        <v>8</v>
      </c>
      <c r="J147" s="199" t="s">
        <v>276</v>
      </c>
    </row>
    <row r="148" spans="1:10">
      <c r="A148" s="199">
        <v>2021</v>
      </c>
      <c r="B148" s="199" t="s">
        <v>215</v>
      </c>
      <c r="C148" s="199">
        <v>43</v>
      </c>
      <c r="D148" s="199" t="s">
        <v>58</v>
      </c>
      <c r="E148" s="199" t="s">
        <v>71</v>
      </c>
      <c r="F148" s="199" t="s">
        <v>63</v>
      </c>
      <c r="G148" s="199">
        <v>4</v>
      </c>
      <c r="H148" s="199">
        <v>172</v>
      </c>
      <c r="I148" s="199" t="s">
        <v>8</v>
      </c>
      <c r="J148" s="199" t="s">
        <v>276</v>
      </c>
    </row>
    <row r="149" spans="1:10">
      <c r="A149" s="199">
        <v>2021</v>
      </c>
      <c r="B149" s="199" t="s">
        <v>215</v>
      </c>
      <c r="C149" s="199">
        <v>44</v>
      </c>
      <c r="D149" s="199" t="s">
        <v>57</v>
      </c>
      <c r="E149" s="199" t="s">
        <v>71</v>
      </c>
      <c r="F149" s="199" t="s">
        <v>63</v>
      </c>
      <c r="G149" s="199">
        <v>3</v>
      </c>
      <c r="H149" s="199">
        <v>132</v>
      </c>
      <c r="I149" s="199" t="s">
        <v>8</v>
      </c>
      <c r="J149" s="199" t="s">
        <v>276</v>
      </c>
    </row>
    <row r="150" spans="1:10">
      <c r="A150" s="199">
        <v>2021</v>
      </c>
      <c r="B150" s="199" t="s">
        <v>215</v>
      </c>
      <c r="C150" s="199">
        <v>44</v>
      </c>
      <c r="D150" s="199" t="s">
        <v>58</v>
      </c>
      <c r="E150" s="199" t="s">
        <v>71</v>
      </c>
      <c r="F150" s="199" t="s">
        <v>63</v>
      </c>
      <c r="G150" s="199">
        <v>4</v>
      </c>
      <c r="H150" s="199">
        <v>176</v>
      </c>
      <c r="I150" s="199" t="s">
        <v>8</v>
      </c>
      <c r="J150" s="199" t="s">
        <v>276</v>
      </c>
    </row>
    <row r="151" spans="1:10">
      <c r="A151" s="199">
        <v>2021</v>
      </c>
      <c r="B151" s="199" t="s">
        <v>215</v>
      </c>
      <c r="C151" s="199">
        <v>45</v>
      </c>
      <c r="D151" s="199" t="s">
        <v>58</v>
      </c>
      <c r="E151" s="199" t="s">
        <v>71</v>
      </c>
      <c r="F151" s="199" t="s">
        <v>64</v>
      </c>
      <c r="G151" s="199">
        <v>1</v>
      </c>
      <c r="H151" s="199">
        <v>45</v>
      </c>
      <c r="I151" s="199" t="s">
        <v>8</v>
      </c>
      <c r="J151" s="199" t="s">
        <v>276</v>
      </c>
    </row>
    <row r="152" spans="1:10">
      <c r="A152" s="199">
        <v>2021</v>
      </c>
      <c r="B152" s="199" t="s">
        <v>215</v>
      </c>
      <c r="C152" s="199">
        <v>46</v>
      </c>
      <c r="D152" s="199" t="s">
        <v>57</v>
      </c>
      <c r="E152" s="199" t="s">
        <v>71</v>
      </c>
      <c r="F152" s="199" t="s">
        <v>64</v>
      </c>
      <c r="G152" s="199">
        <v>1</v>
      </c>
      <c r="H152" s="199">
        <v>46</v>
      </c>
      <c r="I152" s="199" t="s">
        <v>8</v>
      </c>
      <c r="J152" s="199" t="s">
        <v>276</v>
      </c>
    </row>
    <row r="153" spans="1:10">
      <c r="A153" s="199">
        <v>2021</v>
      </c>
      <c r="B153" s="199" t="s">
        <v>215</v>
      </c>
      <c r="C153" s="199">
        <v>46</v>
      </c>
      <c r="D153" s="199" t="s">
        <v>58</v>
      </c>
      <c r="E153" s="199" t="s">
        <v>71</v>
      </c>
      <c r="F153" s="199" t="s">
        <v>64</v>
      </c>
      <c r="G153" s="199">
        <v>5</v>
      </c>
      <c r="H153" s="199">
        <v>230</v>
      </c>
      <c r="I153" s="199" t="s">
        <v>8</v>
      </c>
      <c r="J153" s="199" t="s">
        <v>276</v>
      </c>
    </row>
    <row r="154" spans="1:10">
      <c r="A154" s="199">
        <v>2021</v>
      </c>
      <c r="B154" s="199" t="s">
        <v>215</v>
      </c>
      <c r="C154" s="199">
        <v>47</v>
      </c>
      <c r="D154" s="199" t="s">
        <v>58</v>
      </c>
      <c r="E154" s="199" t="s">
        <v>71</v>
      </c>
      <c r="F154" s="199" t="s">
        <v>64</v>
      </c>
      <c r="G154" s="199">
        <v>6</v>
      </c>
      <c r="H154" s="199">
        <v>282</v>
      </c>
      <c r="I154" s="199" t="s">
        <v>8</v>
      </c>
      <c r="J154" s="199" t="s">
        <v>276</v>
      </c>
    </row>
    <row r="155" spans="1:10">
      <c r="A155" s="199">
        <v>2021</v>
      </c>
      <c r="B155" s="199" t="s">
        <v>215</v>
      </c>
      <c r="C155" s="199">
        <v>48</v>
      </c>
      <c r="D155" s="199" t="s">
        <v>57</v>
      </c>
      <c r="E155" s="199" t="s">
        <v>71</v>
      </c>
      <c r="F155" s="199" t="s">
        <v>64</v>
      </c>
      <c r="G155" s="199">
        <v>4</v>
      </c>
      <c r="H155" s="199">
        <v>192</v>
      </c>
      <c r="I155" s="199" t="s">
        <v>8</v>
      </c>
      <c r="J155" s="199" t="s">
        <v>276</v>
      </c>
    </row>
    <row r="156" spans="1:10">
      <c r="A156" s="199">
        <v>2021</v>
      </c>
      <c r="B156" s="199" t="s">
        <v>215</v>
      </c>
      <c r="C156" s="199">
        <v>48</v>
      </c>
      <c r="D156" s="199" t="s">
        <v>58</v>
      </c>
      <c r="E156" s="199" t="s">
        <v>71</v>
      </c>
      <c r="F156" s="199" t="s">
        <v>64</v>
      </c>
      <c r="G156" s="199">
        <v>4</v>
      </c>
      <c r="H156" s="199">
        <v>192</v>
      </c>
      <c r="I156" s="199" t="s">
        <v>8</v>
      </c>
      <c r="J156" s="199" t="s">
        <v>276</v>
      </c>
    </row>
    <row r="157" spans="1:10">
      <c r="A157" s="199">
        <v>2021</v>
      </c>
      <c r="B157" s="199" t="s">
        <v>215</v>
      </c>
      <c r="C157" s="199">
        <v>49</v>
      </c>
      <c r="D157" s="199" t="s">
        <v>57</v>
      </c>
      <c r="E157" s="199" t="s">
        <v>72</v>
      </c>
      <c r="F157" s="199" t="s">
        <v>64</v>
      </c>
      <c r="G157" s="199">
        <v>35</v>
      </c>
      <c r="H157" s="199">
        <v>1715</v>
      </c>
      <c r="I157" s="199" t="s">
        <v>8</v>
      </c>
      <c r="J157" s="199" t="s">
        <v>276</v>
      </c>
    </row>
    <row r="158" spans="1:10">
      <c r="A158" s="199">
        <v>2021</v>
      </c>
      <c r="B158" s="199" t="s">
        <v>215</v>
      </c>
      <c r="C158" s="199">
        <v>49</v>
      </c>
      <c r="D158" s="199" t="s">
        <v>58</v>
      </c>
      <c r="E158" s="199" t="s">
        <v>71</v>
      </c>
      <c r="F158" s="199" t="s">
        <v>64</v>
      </c>
      <c r="G158" s="199">
        <v>3</v>
      </c>
      <c r="H158" s="199">
        <v>147</v>
      </c>
      <c r="I158" s="199" t="s">
        <v>8</v>
      </c>
      <c r="J158" s="199" t="s">
        <v>276</v>
      </c>
    </row>
    <row r="159" spans="1:10">
      <c r="A159" s="199">
        <v>2021</v>
      </c>
      <c r="B159" s="199" t="s">
        <v>215</v>
      </c>
      <c r="C159" s="199">
        <v>50</v>
      </c>
      <c r="D159" s="199" t="s">
        <v>57</v>
      </c>
      <c r="E159" s="199" t="s">
        <v>71</v>
      </c>
      <c r="F159" s="199" t="s">
        <v>65</v>
      </c>
      <c r="G159" s="199">
        <v>1</v>
      </c>
      <c r="H159" s="199">
        <v>50</v>
      </c>
      <c r="I159" s="199" t="s">
        <v>8</v>
      </c>
      <c r="J159" s="199" t="s">
        <v>276</v>
      </c>
    </row>
    <row r="160" spans="1:10">
      <c r="A160" s="199">
        <v>2021</v>
      </c>
      <c r="B160" s="199" t="s">
        <v>215</v>
      </c>
      <c r="C160" s="199">
        <v>50</v>
      </c>
      <c r="D160" s="199" t="s">
        <v>57</v>
      </c>
      <c r="E160" s="199" t="s">
        <v>72</v>
      </c>
      <c r="F160" s="199" t="s">
        <v>65</v>
      </c>
      <c r="G160" s="199">
        <v>73</v>
      </c>
      <c r="H160" s="199">
        <v>3650</v>
      </c>
      <c r="I160" s="199" t="s">
        <v>8</v>
      </c>
      <c r="J160" s="199" t="s">
        <v>276</v>
      </c>
    </row>
    <row r="161" spans="1:10">
      <c r="A161" s="199">
        <v>2021</v>
      </c>
      <c r="B161" s="199" t="s">
        <v>215</v>
      </c>
      <c r="C161" s="199">
        <v>50</v>
      </c>
      <c r="D161" s="199" t="s">
        <v>58</v>
      </c>
      <c r="E161" s="199" t="s">
        <v>71</v>
      </c>
      <c r="F161" s="199" t="s">
        <v>65</v>
      </c>
      <c r="G161" s="199">
        <v>2</v>
      </c>
      <c r="H161" s="199">
        <v>100</v>
      </c>
      <c r="I161" s="199" t="s">
        <v>8</v>
      </c>
      <c r="J161" s="199" t="s">
        <v>276</v>
      </c>
    </row>
    <row r="162" spans="1:10">
      <c r="A162" s="199">
        <v>2021</v>
      </c>
      <c r="B162" s="199" t="s">
        <v>215</v>
      </c>
      <c r="C162" s="199">
        <v>51</v>
      </c>
      <c r="D162" s="199" t="s">
        <v>58</v>
      </c>
      <c r="E162" s="199" t="s">
        <v>71</v>
      </c>
      <c r="F162" s="199" t="s">
        <v>65</v>
      </c>
      <c r="G162" s="199">
        <v>5</v>
      </c>
      <c r="H162" s="199">
        <v>255</v>
      </c>
      <c r="I162" s="199" t="s">
        <v>8</v>
      </c>
      <c r="J162" s="199" t="s">
        <v>276</v>
      </c>
    </row>
    <row r="163" spans="1:10">
      <c r="A163" s="199">
        <v>2021</v>
      </c>
      <c r="B163" s="199" t="s">
        <v>215</v>
      </c>
      <c r="C163" s="199">
        <v>52</v>
      </c>
      <c r="D163" s="199" t="s">
        <v>57</v>
      </c>
      <c r="E163" s="199" t="s">
        <v>71</v>
      </c>
      <c r="F163" s="199" t="s">
        <v>65</v>
      </c>
      <c r="G163" s="199">
        <v>1</v>
      </c>
      <c r="H163" s="199">
        <v>52</v>
      </c>
      <c r="I163" s="199" t="s">
        <v>8</v>
      </c>
      <c r="J163" s="199" t="s">
        <v>276</v>
      </c>
    </row>
    <row r="164" spans="1:10">
      <c r="A164" s="199">
        <v>2021</v>
      </c>
      <c r="B164" s="199" t="s">
        <v>215</v>
      </c>
      <c r="C164" s="199">
        <v>52</v>
      </c>
      <c r="D164" s="199" t="s">
        <v>58</v>
      </c>
      <c r="E164" s="199" t="s">
        <v>71</v>
      </c>
      <c r="F164" s="199" t="s">
        <v>65</v>
      </c>
      <c r="G164" s="199">
        <v>2</v>
      </c>
      <c r="H164" s="199">
        <v>104</v>
      </c>
      <c r="I164" s="199" t="s">
        <v>8</v>
      </c>
      <c r="J164" s="199" t="s">
        <v>276</v>
      </c>
    </row>
    <row r="165" spans="1:10">
      <c r="A165" s="199">
        <v>2021</v>
      </c>
      <c r="B165" s="199" t="s">
        <v>215</v>
      </c>
      <c r="C165" s="199">
        <v>53</v>
      </c>
      <c r="D165" s="199" t="s">
        <v>57</v>
      </c>
      <c r="E165" s="199" t="s">
        <v>71</v>
      </c>
      <c r="F165" s="199" t="s">
        <v>65</v>
      </c>
      <c r="G165" s="199">
        <v>2</v>
      </c>
      <c r="H165" s="199">
        <v>106</v>
      </c>
      <c r="I165" s="199" t="s">
        <v>8</v>
      </c>
      <c r="J165" s="199" t="s">
        <v>276</v>
      </c>
    </row>
    <row r="166" spans="1:10">
      <c r="A166" s="199">
        <v>2021</v>
      </c>
      <c r="B166" s="199" t="s">
        <v>215</v>
      </c>
      <c r="C166" s="199">
        <v>53</v>
      </c>
      <c r="D166" s="199" t="s">
        <v>58</v>
      </c>
      <c r="E166" s="199" t="s">
        <v>71</v>
      </c>
      <c r="F166" s="199" t="s">
        <v>65</v>
      </c>
      <c r="G166" s="199">
        <v>4</v>
      </c>
      <c r="H166" s="199">
        <v>212</v>
      </c>
      <c r="I166" s="199" t="s">
        <v>8</v>
      </c>
      <c r="J166" s="199" t="s">
        <v>276</v>
      </c>
    </row>
    <row r="167" spans="1:10">
      <c r="A167" s="199">
        <v>2021</v>
      </c>
      <c r="B167" s="199" t="s">
        <v>215</v>
      </c>
      <c r="C167" s="199">
        <v>54</v>
      </c>
      <c r="D167" s="199" t="s">
        <v>57</v>
      </c>
      <c r="E167" s="199" t="s">
        <v>71</v>
      </c>
      <c r="F167" s="199" t="s">
        <v>65</v>
      </c>
      <c r="G167" s="199">
        <v>2</v>
      </c>
      <c r="H167" s="199">
        <v>108</v>
      </c>
      <c r="I167" s="199" t="s">
        <v>8</v>
      </c>
      <c r="J167" s="199" t="s">
        <v>276</v>
      </c>
    </row>
    <row r="168" spans="1:10">
      <c r="A168" s="199">
        <v>2021</v>
      </c>
      <c r="B168" s="199" t="s">
        <v>215</v>
      </c>
      <c r="C168" s="199">
        <v>54</v>
      </c>
      <c r="D168" s="199" t="s">
        <v>58</v>
      </c>
      <c r="E168" s="199" t="s">
        <v>71</v>
      </c>
      <c r="F168" s="199" t="s">
        <v>65</v>
      </c>
      <c r="G168" s="199">
        <v>1</v>
      </c>
      <c r="H168" s="199">
        <v>54</v>
      </c>
      <c r="I168" s="199" t="s">
        <v>8</v>
      </c>
      <c r="J168" s="199" t="s">
        <v>276</v>
      </c>
    </row>
    <row r="169" spans="1:10">
      <c r="A169" s="199">
        <v>2021</v>
      </c>
      <c r="B169" s="199" t="s">
        <v>215</v>
      </c>
      <c r="C169" s="199">
        <v>55</v>
      </c>
      <c r="D169" s="199" t="s">
        <v>57</v>
      </c>
      <c r="E169" s="199" t="s">
        <v>71</v>
      </c>
      <c r="F169" s="199" t="s">
        <v>66</v>
      </c>
      <c r="G169" s="199">
        <v>6</v>
      </c>
      <c r="H169" s="199">
        <v>330</v>
      </c>
      <c r="I169" s="199" t="s">
        <v>8</v>
      </c>
      <c r="J169" s="199" t="s">
        <v>276</v>
      </c>
    </row>
    <row r="170" spans="1:10">
      <c r="A170" s="199">
        <v>2021</v>
      </c>
      <c r="B170" s="199" t="s">
        <v>215</v>
      </c>
      <c r="C170" s="199">
        <v>55</v>
      </c>
      <c r="D170" s="199" t="s">
        <v>58</v>
      </c>
      <c r="E170" s="199" t="s">
        <v>71</v>
      </c>
      <c r="F170" s="199" t="s">
        <v>66</v>
      </c>
      <c r="G170" s="199">
        <v>8</v>
      </c>
      <c r="H170" s="199">
        <v>440</v>
      </c>
      <c r="I170" s="199" t="s">
        <v>8</v>
      </c>
      <c r="J170" s="199" t="s">
        <v>276</v>
      </c>
    </row>
    <row r="171" spans="1:10">
      <c r="A171" s="199">
        <v>2021</v>
      </c>
      <c r="B171" s="199" t="s">
        <v>215</v>
      </c>
      <c r="C171" s="199">
        <v>56</v>
      </c>
      <c r="D171" s="199" t="s">
        <v>57</v>
      </c>
      <c r="E171" s="199" t="s">
        <v>71</v>
      </c>
      <c r="F171" s="199" t="s">
        <v>66</v>
      </c>
      <c r="G171" s="199">
        <v>5</v>
      </c>
      <c r="H171" s="199">
        <v>280</v>
      </c>
      <c r="I171" s="199" t="s">
        <v>8</v>
      </c>
      <c r="J171" s="199" t="s">
        <v>276</v>
      </c>
    </row>
    <row r="172" spans="1:10">
      <c r="A172" s="199">
        <v>2021</v>
      </c>
      <c r="B172" s="199" t="s">
        <v>215</v>
      </c>
      <c r="C172" s="199">
        <v>56</v>
      </c>
      <c r="D172" s="199" t="s">
        <v>58</v>
      </c>
      <c r="E172" s="199" t="s">
        <v>71</v>
      </c>
      <c r="F172" s="199" t="s">
        <v>66</v>
      </c>
      <c r="G172" s="199">
        <v>3</v>
      </c>
      <c r="H172" s="199">
        <v>168</v>
      </c>
      <c r="I172" s="199" t="s">
        <v>8</v>
      </c>
      <c r="J172" s="199" t="s">
        <v>276</v>
      </c>
    </row>
    <row r="173" spans="1:10">
      <c r="A173" s="199">
        <v>2021</v>
      </c>
      <c r="B173" s="199" t="s">
        <v>215</v>
      </c>
      <c r="C173" s="199">
        <v>57</v>
      </c>
      <c r="D173" s="199" t="s">
        <v>57</v>
      </c>
      <c r="E173" s="199" t="s">
        <v>71</v>
      </c>
      <c r="F173" s="199" t="s">
        <v>66</v>
      </c>
      <c r="G173" s="199">
        <v>2</v>
      </c>
      <c r="H173" s="199">
        <v>114</v>
      </c>
      <c r="I173" s="199" t="s">
        <v>8</v>
      </c>
      <c r="J173" s="199" t="s">
        <v>276</v>
      </c>
    </row>
    <row r="174" spans="1:10">
      <c r="A174" s="199">
        <v>2021</v>
      </c>
      <c r="B174" s="199" t="s">
        <v>215</v>
      </c>
      <c r="C174" s="199">
        <v>57</v>
      </c>
      <c r="D174" s="199" t="s">
        <v>58</v>
      </c>
      <c r="E174" s="199" t="s">
        <v>71</v>
      </c>
      <c r="F174" s="199" t="s">
        <v>66</v>
      </c>
      <c r="G174" s="199">
        <v>6</v>
      </c>
      <c r="H174" s="199">
        <v>342</v>
      </c>
      <c r="I174" s="199" t="s">
        <v>8</v>
      </c>
      <c r="J174" s="199" t="s">
        <v>276</v>
      </c>
    </row>
    <row r="175" spans="1:10">
      <c r="A175" s="199">
        <v>2021</v>
      </c>
      <c r="B175" s="199" t="s">
        <v>215</v>
      </c>
      <c r="C175" s="199">
        <v>58</v>
      </c>
      <c r="D175" s="199" t="s">
        <v>57</v>
      </c>
      <c r="E175" s="199" t="s">
        <v>71</v>
      </c>
      <c r="F175" s="199" t="s">
        <v>66</v>
      </c>
      <c r="G175" s="199">
        <v>1</v>
      </c>
      <c r="H175" s="199">
        <v>58</v>
      </c>
      <c r="I175" s="199" t="s">
        <v>8</v>
      </c>
      <c r="J175" s="199" t="s">
        <v>276</v>
      </c>
    </row>
    <row r="176" spans="1:10">
      <c r="A176" s="199">
        <v>2021</v>
      </c>
      <c r="B176" s="199" t="s">
        <v>215</v>
      </c>
      <c r="C176" s="199">
        <v>58</v>
      </c>
      <c r="D176" s="199" t="s">
        <v>58</v>
      </c>
      <c r="E176" s="199" t="s">
        <v>71</v>
      </c>
      <c r="F176" s="199" t="s">
        <v>66</v>
      </c>
      <c r="G176" s="199">
        <v>3</v>
      </c>
      <c r="H176" s="199">
        <v>174</v>
      </c>
      <c r="I176" s="199" t="s">
        <v>8</v>
      </c>
      <c r="J176" s="199" t="s">
        <v>276</v>
      </c>
    </row>
    <row r="177" spans="1:10">
      <c r="A177" s="199">
        <v>2021</v>
      </c>
      <c r="B177" s="199" t="s">
        <v>215</v>
      </c>
      <c r="C177" s="199">
        <v>59</v>
      </c>
      <c r="D177" s="199" t="s">
        <v>57</v>
      </c>
      <c r="E177" s="199" t="s">
        <v>71</v>
      </c>
      <c r="F177" s="199" t="s">
        <v>66</v>
      </c>
      <c r="G177" s="199">
        <v>2</v>
      </c>
      <c r="H177" s="199">
        <v>118</v>
      </c>
      <c r="I177" s="199" t="s">
        <v>8</v>
      </c>
      <c r="J177" s="199" t="s">
        <v>276</v>
      </c>
    </row>
    <row r="178" spans="1:10">
      <c r="A178" s="199">
        <v>2021</v>
      </c>
      <c r="B178" s="199" t="s">
        <v>215</v>
      </c>
      <c r="C178" s="199">
        <v>59</v>
      </c>
      <c r="D178" s="199" t="s">
        <v>58</v>
      </c>
      <c r="E178" s="199" t="s">
        <v>71</v>
      </c>
      <c r="F178" s="199" t="s">
        <v>66</v>
      </c>
      <c r="G178" s="199">
        <v>4</v>
      </c>
      <c r="H178" s="199">
        <v>236</v>
      </c>
      <c r="I178" s="199" t="s">
        <v>8</v>
      </c>
      <c r="J178" s="199" t="s">
        <v>276</v>
      </c>
    </row>
    <row r="179" spans="1:10">
      <c r="A179" s="199">
        <v>2021</v>
      </c>
      <c r="B179" s="199" t="s">
        <v>215</v>
      </c>
      <c r="C179" s="199">
        <v>60</v>
      </c>
      <c r="D179" s="199" t="s">
        <v>57</v>
      </c>
      <c r="E179" s="199" t="s">
        <v>71</v>
      </c>
      <c r="F179" s="199" t="s">
        <v>67</v>
      </c>
      <c r="G179" s="199">
        <v>2</v>
      </c>
      <c r="H179" s="199">
        <v>120</v>
      </c>
      <c r="I179" s="199" t="s">
        <v>8</v>
      </c>
      <c r="J179" s="199" t="s">
        <v>276</v>
      </c>
    </row>
    <row r="180" spans="1:10">
      <c r="A180" s="199">
        <v>2021</v>
      </c>
      <c r="B180" s="199" t="s">
        <v>215</v>
      </c>
      <c r="C180" s="199">
        <v>60</v>
      </c>
      <c r="D180" s="199" t="s">
        <v>58</v>
      </c>
      <c r="E180" s="199" t="s">
        <v>71</v>
      </c>
      <c r="F180" s="199" t="s">
        <v>67</v>
      </c>
      <c r="G180" s="199">
        <v>5</v>
      </c>
      <c r="H180" s="199">
        <v>300</v>
      </c>
      <c r="I180" s="199" t="s">
        <v>8</v>
      </c>
      <c r="J180" s="199" t="s">
        <v>276</v>
      </c>
    </row>
    <row r="181" spans="1:10">
      <c r="A181" s="199">
        <v>2021</v>
      </c>
      <c r="B181" s="199" t="s">
        <v>215</v>
      </c>
      <c r="C181" s="199">
        <v>61</v>
      </c>
      <c r="D181" s="199" t="s">
        <v>57</v>
      </c>
      <c r="E181" s="199" t="s">
        <v>71</v>
      </c>
      <c r="F181" s="199" t="s">
        <v>67</v>
      </c>
      <c r="G181" s="199">
        <v>1</v>
      </c>
      <c r="H181" s="199">
        <v>61</v>
      </c>
      <c r="I181" s="199" t="s">
        <v>8</v>
      </c>
      <c r="J181" s="199" t="s">
        <v>276</v>
      </c>
    </row>
    <row r="182" spans="1:10">
      <c r="A182" s="199">
        <v>2021</v>
      </c>
      <c r="B182" s="199" t="s">
        <v>215</v>
      </c>
      <c r="C182" s="199">
        <v>61</v>
      </c>
      <c r="D182" s="199" t="s">
        <v>58</v>
      </c>
      <c r="E182" s="199" t="s">
        <v>71</v>
      </c>
      <c r="F182" s="199" t="s">
        <v>67</v>
      </c>
      <c r="G182" s="199">
        <v>4</v>
      </c>
      <c r="H182" s="199">
        <v>244</v>
      </c>
      <c r="I182" s="199" t="s">
        <v>8</v>
      </c>
      <c r="J182" s="199" t="s">
        <v>276</v>
      </c>
    </row>
    <row r="183" spans="1:10">
      <c r="A183" s="199">
        <v>2021</v>
      </c>
      <c r="B183" s="199" t="s">
        <v>215</v>
      </c>
      <c r="C183" s="199">
        <v>62</v>
      </c>
      <c r="D183" s="199" t="s">
        <v>57</v>
      </c>
      <c r="E183" s="199" t="s">
        <v>71</v>
      </c>
      <c r="F183" s="199" t="s">
        <v>67</v>
      </c>
      <c r="G183" s="199">
        <v>1</v>
      </c>
      <c r="H183" s="199">
        <v>62</v>
      </c>
      <c r="I183" s="199" t="s">
        <v>8</v>
      </c>
      <c r="J183" s="199" t="s">
        <v>276</v>
      </c>
    </row>
    <row r="184" spans="1:10">
      <c r="A184" s="199">
        <v>2021</v>
      </c>
      <c r="B184" s="199" t="s">
        <v>215</v>
      </c>
      <c r="C184" s="199">
        <v>62</v>
      </c>
      <c r="D184" s="199" t="s">
        <v>58</v>
      </c>
      <c r="E184" s="199" t="s">
        <v>71</v>
      </c>
      <c r="F184" s="199" t="s">
        <v>67</v>
      </c>
      <c r="G184" s="199">
        <v>4</v>
      </c>
      <c r="H184" s="199">
        <v>248</v>
      </c>
      <c r="I184" s="199" t="s">
        <v>8</v>
      </c>
      <c r="J184" s="199" t="s">
        <v>276</v>
      </c>
    </row>
    <row r="185" spans="1:10">
      <c r="A185" s="199">
        <v>2021</v>
      </c>
      <c r="B185" s="199" t="s">
        <v>215</v>
      </c>
      <c r="C185" s="199">
        <v>63</v>
      </c>
      <c r="D185" s="199" t="s">
        <v>57</v>
      </c>
      <c r="E185" s="199" t="s">
        <v>71</v>
      </c>
      <c r="F185" s="199" t="s">
        <v>67</v>
      </c>
      <c r="G185" s="199">
        <v>1</v>
      </c>
      <c r="H185" s="199">
        <v>63</v>
      </c>
      <c r="I185" s="199" t="s">
        <v>8</v>
      </c>
      <c r="J185" s="199" t="s">
        <v>276</v>
      </c>
    </row>
    <row r="186" spans="1:10">
      <c r="A186" s="199">
        <v>2021</v>
      </c>
      <c r="B186" s="199" t="s">
        <v>215</v>
      </c>
      <c r="C186" s="199">
        <v>63</v>
      </c>
      <c r="D186" s="199" t="s">
        <v>58</v>
      </c>
      <c r="E186" s="199" t="s">
        <v>71</v>
      </c>
      <c r="F186" s="199" t="s">
        <v>67</v>
      </c>
      <c r="G186" s="199">
        <v>1</v>
      </c>
      <c r="H186" s="199">
        <v>63</v>
      </c>
      <c r="I186" s="199" t="s">
        <v>8</v>
      </c>
      <c r="J186" s="199" t="s">
        <v>276</v>
      </c>
    </row>
    <row r="187" spans="1:10">
      <c r="A187" s="199">
        <v>2021</v>
      </c>
      <c r="B187" s="199" t="s">
        <v>215</v>
      </c>
      <c r="C187" s="199">
        <v>64</v>
      </c>
      <c r="D187" s="199" t="s">
        <v>57</v>
      </c>
      <c r="E187" s="199" t="s">
        <v>71</v>
      </c>
      <c r="F187" s="199" t="s">
        <v>67</v>
      </c>
      <c r="G187" s="199">
        <v>2</v>
      </c>
      <c r="H187" s="199">
        <v>128</v>
      </c>
      <c r="I187" s="199" t="s">
        <v>8</v>
      </c>
      <c r="J187" s="199" t="s">
        <v>276</v>
      </c>
    </row>
    <row r="188" spans="1:10">
      <c r="A188" s="199">
        <v>2021</v>
      </c>
      <c r="B188" s="199" t="s">
        <v>215</v>
      </c>
      <c r="C188" s="199">
        <v>64</v>
      </c>
      <c r="D188" s="199" t="s">
        <v>58</v>
      </c>
      <c r="E188" s="199" t="s">
        <v>71</v>
      </c>
      <c r="F188" s="199" t="s">
        <v>67</v>
      </c>
      <c r="G188" s="199">
        <v>5</v>
      </c>
      <c r="H188" s="199">
        <v>320</v>
      </c>
      <c r="I188" s="199" t="s">
        <v>8</v>
      </c>
      <c r="J188" s="199" t="s">
        <v>276</v>
      </c>
    </row>
    <row r="189" spans="1:10">
      <c r="A189" s="199">
        <v>2021</v>
      </c>
      <c r="B189" s="199" t="s">
        <v>215</v>
      </c>
      <c r="C189" s="199">
        <v>65</v>
      </c>
      <c r="D189" s="199" t="s">
        <v>58</v>
      </c>
      <c r="E189" s="199" t="s">
        <v>71</v>
      </c>
      <c r="F189" s="199" t="s">
        <v>67</v>
      </c>
      <c r="G189" s="199">
        <v>2</v>
      </c>
      <c r="H189" s="199">
        <v>130</v>
      </c>
      <c r="I189" s="199" t="s">
        <v>8</v>
      </c>
      <c r="J189" s="199" t="s">
        <v>276</v>
      </c>
    </row>
    <row r="190" spans="1:10">
      <c r="A190" s="199">
        <v>2021</v>
      </c>
      <c r="B190" s="199" t="s">
        <v>215</v>
      </c>
      <c r="C190" s="199">
        <v>67</v>
      </c>
      <c r="D190" s="199" t="s">
        <v>58</v>
      </c>
      <c r="E190" s="199" t="s">
        <v>71</v>
      </c>
      <c r="F190" s="199" t="s">
        <v>67</v>
      </c>
      <c r="G190" s="199">
        <v>1</v>
      </c>
      <c r="H190" s="199">
        <v>67</v>
      </c>
      <c r="I190" s="199" t="s">
        <v>8</v>
      </c>
      <c r="J190" s="199" t="s">
        <v>276</v>
      </c>
    </row>
    <row r="191" spans="1:10">
      <c r="A191" s="199">
        <v>2021</v>
      </c>
      <c r="B191" s="199" t="s">
        <v>215</v>
      </c>
      <c r="C191" s="199">
        <v>68</v>
      </c>
      <c r="D191" s="199" t="s">
        <v>58</v>
      </c>
      <c r="E191" s="199" t="s">
        <v>71</v>
      </c>
      <c r="F191" s="199" t="s">
        <v>67</v>
      </c>
      <c r="G191" s="199">
        <v>1</v>
      </c>
      <c r="H191" s="199">
        <v>68</v>
      </c>
      <c r="I191" s="199" t="s">
        <v>8</v>
      </c>
      <c r="J191" s="199" t="s">
        <v>276</v>
      </c>
    </row>
    <row r="192" spans="1:10">
      <c r="A192" s="199">
        <v>2021</v>
      </c>
      <c r="B192" s="199" t="s">
        <v>215</v>
      </c>
      <c r="C192" s="199">
        <v>75</v>
      </c>
      <c r="D192" s="199" t="s">
        <v>57</v>
      </c>
      <c r="E192" s="199" t="s">
        <v>72</v>
      </c>
      <c r="F192" s="199" t="s">
        <v>67</v>
      </c>
      <c r="G192" s="199">
        <v>2</v>
      </c>
      <c r="H192" s="199">
        <v>150</v>
      </c>
      <c r="I192" s="199" t="s">
        <v>8</v>
      </c>
      <c r="J192" s="199" t="s">
        <v>276</v>
      </c>
    </row>
    <row r="193" spans="1:10">
      <c r="A193" s="199">
        <v>2020</v>
      </c>
      <c r="B193" s="199" t="s">
        <v>216</v>
      </c>
      <c r="C193" s="199">
        <v>1</v>
      </c>
      <c r="D193" s="199" t="s">
        <v>58</v>
      </c>
      <c r="E193" s="199" t="s">
        <v>73</v>
      </c>
      <c r="F193" s="199" t="s">
        <v>59</v>
      </c>
      <c r="G193" s="199">
        <v>1</v>
      </c>
      <c r="H193" s="199">
        <v>1</v>
      </c>
      <c r="I193" s="199" t="s">
        <v>8</v>
      </c>
      <c r="J193" s="199" t="s">
        <v>276</v>
      </c>
    </row>
    <row r="194" spans="1:10">
      <c r="A194" s="199">
        <v>2020</v>
      </c>
      <c r="B194" s="199" t="s">
        <v>216</v>
      </c>
      <c r="C194" s="199">
        <v>2</v>
      </c>
      <c r="D194" s="199" t="s">
        <v>57</v>
      </c>
      <c r="E194" s="199" t="s">
        <v>73</v>
      </c>
      <c r="F194" s="199" t="s">
        <v>59</v>
      </c>
      <c r="G194" s="199">
        <v>1</v>
      </c>
      <c r="H194" s="199">
        <v>2</v>
      </c>
      <c r="I194" s="199" t="s">
        <v>8</v>
      </c>
      <c r="J194" s="199" t="s">
        <v>276</v>
      </c>
    </row>
    <row r="195" spans="1:10">
      <c r="A195" s="199">
        <v>2020</v>
      </c>
      <c r="B195" s="199" t="s">
        <v>216</v>
      </c>
      <c r="C195" s="199">
        <v>12</v>
      </c>
      <c r="D195" s="199" t="s">
        <v>58</v>
      </c>
      <c r="E195" s="199" t="s">
        <v>73</v>
      </c>
      <c r="F195" s="199" t="s">
        <v>59</v>
      </c>
      <c r="G195" s="199">
        <v>7</v>
      </c>
      <c r="H195" s="199">
        <v>84</v>
      </c>
      <c r="I195" s="199" t="s">
        <v>8</v>
      </c>
      <c r="J195" s="199" t="s">
        <v>276</v>
      </c>
    </row>
    <row r="196" spans="1:10">
      <c r="A196" s="199">
        <v>2020</v>
      </c>
      <c r="B196" s="199" t="s">
        <v>216</v>
      </c>
      <c r="C196" s="199">
        <v>20</v>
      </c>
      <c r="D196" s="199" t="s">
        <v>58</v>
      </c>
      <c r="E196" s="199" t="s">
        <v>73</v>
      </c>
      <c r="F196" s="199" t="s">
        <v>59</v>
      </c>
      <c r="G196" s="199">
        <v>9</v>
      </c>
      <c r="H196" s="199">
        <v>180</v>
      </c>
      <c r="I196" s="199" t="s">
        <v>8</v>
      </c>
      <c r="J196" s="199" t="s">
        <v>276</v>
      </c>
    </row>
    <row r="197" spans="1:10">
      <c r="A197" s="199">
        <v>2020</v>
      </c>
      <c r="B197" s="199" t="s">
        <v>216</v>
      </c>
      <c r="C197" s="199">
        <v>24</v>
      </c>
      <c r="D197" s="199" t="s">
        <v>58</v>
      </c>
      <c r="E197" s="199" t="s">
        <v>71</v>
      </c>
      <c r="F197" s="199" t="s">
        <v>59</v>
      </c>
      <c r="G197" s="199">
        <v>1</v>
      </c>
      <c r="H197" s="199">
        <v>24</v>
      </c>
      <c r="I197" s="199" t="s">
        <v>8</v>
      </c>
      <c r="J197" s="199" t="s">
        <v>276</v>
      </c>
    </row>
    <row r="198" spans="1:10">
      <c r="A198" s="199">
        <v>2020</v>
      </c>
      <c r="B198" s="199" t="s">
        <v>216</v>
      </c>
      <c r="C198" s="199">
        <v>25</v>
      </c>
      <c r="D198" s="199" t="s">
        <v>58</v>
      </c>
      <c r="E198" s="199" t="s">
        <v>71</v>
      </c>
      <c r="F198" s="199" t="s">
        <v>60</v>
      </c>
      <c r="G198" s="199">
        <v>1</v>
      </c>
      <c r="H198" s="199">
        <v>25</v>
      </c>
      <c r="I198" s="199" t="s">
        <v>8</v>
      </c>
      <c r="J198" s="199" t="s">
        <v>276</v>
      </c>
    </row>
    <row r="199" spans="1:10">
      <c r="A199" s="199">
        <v>2020</v>
      </c>
      <c r="B199" s="199" t="s">
        <v>216</v>
      </c>
      <c r="C199" s="199">
        <v>28</v>
      </c>
      <c r="D199" s="199" t="s">
        <v>57</v>
      </c>
      <c r="E199" s="199" t="s">
        <v>71</v>
      </c>
      <c r="F199" s="199" t="s">
        <v>60</v>
      </c>
      <c r="G199" s="199">
        <v>1</v>
      </c>
      <c r="H199" s="199">
        <v>28</v>
      </c>
      <c r="I199" s="199" t="s">
        <v>8</v>
      </c>
      <c r="J199" s="199" t="s">
        <v>276</v>
      </c>
    </row>
    <row r="200" spans="1:10">
      <c r="A200" s="199">
        <v>2020</v>
      </c>
      <c r="B200" s="199" t="s">
        <v>216</v>
      </c>
      <c r="C200" s="199">
        <v>32</v>
      </c>
      <c r="D200" s="199" t="s">
        <v>57</v>
      </c>
      <c r="E200" s="199" t="s">
        <v>71</v>
      </c>
      <c r="F200" s="199" t="s">
        <v>61</v>
      </c>
      <c r="G200" s="199">
        <v>1</v>
      </c>
      <c r="H200" s="199">
        <v>32</v>
      </c>
      <c r="I200" s="199" t="s">
        <v>8</v>
      </c>
      <c r="J200" s="199" t="s">
        <v>276</v>
      </c>
    </row>
    <row r="201" spans="1:10">
      <c r="A201" s="199">
        <v>2020</v>
      </c>
      <c r="B201" s="199" t="s">
        <v>216</v>
      </c>
      <c r="C201" s="199">
        <v>32</v>
      </c>
      <c r="D201" s="199" t="s">
        <v>58</v>
      </c>
      <c r="E201" s="199" t="s">
        <v>71</v>
      </c>
      <c r="F201" s="199" t="s">
        <v>61</v>
      </c>
      <c r="G201" s="199">
        <v>1</v>
      </c>
      <c r="H201" s="199">
        <v>32</v>
      </c>
      <c r="I201" s="199" t="s">
        <v>8</v>
      </c>
      <c r="J201" s="199" t="s">
        <v>276</v>
      </c>
    </row>
    <row r="202" spans="1:10">
      <c r="A202" s="199">
        <v>2020</v>
      </c>
      <c r="B202" s="199" t="s">
        <v>216</v>
      </c>
      <c r="C202" s="199">
        <v>33</v>
      </c>
      <c r="D202" s="199" t="s">
        <v>57</v>
      </c>
      <c r="E202" s="199" t="s">
        <v>71</v>
      </c>
      <c r="F202" s="199" t="s">
        <v>61</v>
      </c>
      <c r="G202" s="199">
        <v>1</v>
      </c>
      <c r="H202" s="199">
        <v>33</v>
      </c>
      <c r="I202" s="199" t="s">
        <v>8</v>
      </c>
      <c r="J202" s="199" t="s">
        <v>276</v>
      </c>
    </row>
    <row r="203" spans="1:10">
      <c r="A203" s="199">
        <v>2020</v>
      </c>
      <c r="B203" s="199" t="s">
        <v>216</v>
      </c>
      <c r="C203" s="199">
        <v>33</v>
      </c>
      <c r="D203" s="199" t="s">
        <v>57</v>
      </c>
      <c r="E203" s="199" t="s">
        <v>72</v>
      </c>
      <c r="F203" s="199" t="s">
        <v>61</v>
      </c>
      <c r="G203" s="199">
        <v>1</v>
      </c>
      <c r="H203" s="199">
        <v>33</v>
      </c>
      <c r="I203" s="199" t="s">
        <v>8</v>
      </c>
      <c r="J203" s="199" t="s">
        <v>276</v>
      </c>
    </row>
    <row r="204" spans="1:10">
      <c r="A204" s="199">
        <v>2020</v>
      </c>
      <c r="B204" s="199" t="s">
        <v>216</v>
      </c>
      <c r="C204" s="199">
        <v>33</v>
      </c>
      <c r="D204" s="199" t="s">
        <v>58</v>
      </c>
      <c r="E204" s="199" t="s">
        <v>71</v>
      </c>
      <c r="F204" s="199" t="s">
        <v>61</v>
      </c>
      <c r="G204" s="199">
        <v>1</v>
      </c>
      <c r="H204" s="199">
        <v>33</v>
      </c>
      <c r="I204" s="199" t="s">
        <v>8</v>
      </c>
      <c r="J204" s="199" t="s">
        <v>276</v>
      </c>
    </row>
    <row r="205" spans="1:10">
      <c r="A205" s="199">
        <v>2020</v>
      </c>
      <c r="B205" s="199" t="s">
        <v>216</v>
      </c>
      <c r="C205" s="199">
        <v>37</v>
      </c>
      <c r="D205" s="199" t="s">
        <v>57</v>
      </c>
      <c r="E205" s="199" t="s">
        <v>71</v>
      </c>
      <c r="F205" s="199" t="s">
        <v>62</v>
      </c>
      <c r="G205" s="199">
        <v>1</v>
      </c>
      <c r="H205" s="199">
        <v>37</v>
      </c>
      <c r="I205" s="199" t="s">
        <v>8</v>
      </c>
      <c r="J205" s="199" t="s">
        <v>276</v>
      </c>
    </row>
    <row r="206" spans="1:10">
      <c r="A206" s="199">
        <v>2020</v>
      </c>
      <c r="B206" s="199" t="s">
        <v>216</v>
      </c>
      <c r="C206" s="199">
        <v>37</v>
      </c>
      <c r="D206" s="199" t="s">
        <v>58</v>
      </c>
      <c r="E206" s="199" t="s">
        <v>71</v>
      </c>
      <c r="F206" s="199" t="s">
        <v>62</v>
      </c>
      <c r="G206" s="199">
        <v>1</v>
      </c>
      <c r="H206" s="199">
        <v>37</v>
      </c>
      <c r="I206" s="199" t="s">
        <v>8</v>
      </c>
      <c r="J206" s="199" t="s">
        <v>276</v>
      </c>
    </row>
    <row r="207" spans="1:10">
      <c r="A207" s="199">
        <v>2020</v>
      </c>
      <c r="B207" s="199" t="s">
        <v>216</v>
      </c>
      <c r="C207" s="199">
        <v>38</v>
      </c>
      <c r="D207" s="199" t="s">
        <v>58</v>
      </c>
      <c r="E207" s="199" t="s">
        <v>72</v>
      </c>
      <c r="F207" s="199" t="s">
        <v>62</v>
      </c>
      <c r="G207" s="199">
        <v>6</v>
      </c>
      <c r="H207" s="199">
        <v>228</v>
      </c>
      <c r="I207" s="199" t="s">
        <v>8</v>
      </c>
      <c r="J207" s="199" t="s">
        <v>276</v>
      </c>
    </row>
    <row r="208" spans="1:10">
      <c r="A208" s="199">
        <v>2020</v>
      </c>
      <c r="B208" s="199" t="s">
        <v>216</v>
      </c>
      <c r="C208" s="199">
        <v>39</v>
      </c>
      <c r="D208" s="199" t="s">
        <v>58</v>
      </c>
      <c r="E208" s="199" t="s">
        <v>71</v>
      </c>
      <c r="F208" s="199" t="s">
        <v>62</v>
      </c>
      <c r="G208" s="199">
        <v>2</v>
      </c>
      <c r="H208" s="199">
        <v>78</v>
      </c>
      <c r="I208" s="199" t="s">
        <v>8</v>
      </c>
      <c r="J208" s="199" t="s">
        <v>276</v>
      </c>
    </row>
    <row r="209" spans="1:10">
      <c r="A209" s="199">
        <v>2020</v>
      </c>
      <c r="B209" s="199" t="s">
        <v>216</v>
      </c>
      <c r="C209" s="199">
        <v>40</v>
      </c>
      <c r="D209" s="199" t="s">
        <v>57</v>
      </c>
      <c r="E209" s="199" t="s">
        <v>71</v>
      </c>
      <c r="F209" s="199" t="s">
        <v>63</v>
      </c>
      <c r="G209" s="199">
        <v>1</v>
      </c>
      <c r="H209" s="199">
        <v>40</v>
      </c>
      <c r="I209" s="199" t="s">
        <v>8</v>
      </c>
      <c r="J209" s="199" t="s">
        <v>276</v>
      </c>
    </row>
    <row r="210" spans="1:10">
      <c r="A210" s="199">
        <v>2020</v>
      </c>
      <c r="B210" s="199" t="s">
        <v>216</v>
      </c>
      <c r="C210" s="199">
        <v>40</v>
      </c>
      <c r="D210" s="199" t="s">
        <v>58</v>
      </c>
      <c r="E210" s="199" t="s">
        <v>71</v>
      </c>
      <c r="F210" s="199" t="s">
        <v>63</v>
      </c>
      <c r="G210" s="199">
        <v>3</v>
      </c>
      <c r="H210" s="199">
        <v>120</v>
      </c>
      <c r="I210" s="199" t="s">
        <v>8</v>
      </c>
      <c r="J210" s="199" t="s">
        <v>276</v>
      </c>
    </row>
    <row r="211" spans="1:10">
      <c r="A211" s="199">
        <v>2020</v>
      </c>
      <c r="B211" s="199" t="s">
        <v>216</v>
      </c>
      <c r="C211" s="199">
        <v>43</v>
      </c>
      <c r="D211" s="199" t="s">
        <v>57</v>
      </c>
      <c r="E211" s="199" t="s">
        <v>71</v>
      </c>
      <c r="F211" s="199" t="s">
        <v>63</v>
      </c>
      <c r="G211" s="199">
        <v>3</v>
      </c>
      <c r="H211" s="199">
        <v>129</v>
      </c>
      <c r="I211" s="199" t="s">
        <v>8</v>
      </c>
      <c r="J211" s="199" t="s">
        <v>276</v>
      </c>
    </row>
    <row r="212" spans="1:10">
      <c r="A212" s="199">
        <v>2020</v>
      </c>
      <c r="B212" s="199" t="s">
        <v>216</v>
      </c>
      <c r="C212" s="199">
        <v>43</v>
      </c>
      <c r="D212" s="199" t="s">
        <v>58</v>
      </c>
      <c r="E212" s="199" t="s">
        <v>71</v>
      </c>
      <c r="F212" s="199" t="s">
        <v>63</v>
      </c>
      <c r="G212" s="199">
        <v>1</v>
      </c>
      <c r="H212" s="199">
        <v>43</v>
      </c>
      <c r="I212" s="199" t="s">
        <v>8</v>
      </c>
      <c r="J212" s="199" t="s">
        <v>276</v>
      </c>
    </row>
    <row r="213" spans="1:10">
      <c r="A213" s="199">
        <v>2020</v>
      </c>
      <c r="B213" s="199" t="s">
        <v>216</v>
      </c>
      <c r="C213" s="199">
        <v>44</v>
      </c>
      <c r="D213" s="199" t="s">
        <v>57</v>
      </c>
      <c r="E213" s="199" t="s">
        <v>71</v>
      </c>
      <c r="F213" s="199" t="s">
        <v>63</v>
      </c>
      <c r="G213" s="199">
        <v>1</v>
      </c>
      <c r="H213" s="199">
        <v>44</v>
      </c>
      <c r="I213" s="199" t="s">
        <v>8</v>
      </c>
      <c r="J213" s="199" t="s">
        <v>276</v>
      </c>
    </row>
    <row r="214" spans="1:10">
      <c r="A214" s="199">
        <v>2020</v>
      </c>
      <c r="B214" s="199" t="s">
        <v>216</v>
      </c>
      <c r="C214" s="199">
        <v>45</v>
      </c>
      <c r="D214" s="199" t="s">
        <v>57</v>
      </c>
      <c r="E214" s="199" t="s">
        <v>71</v>
      </c>
      <c r="F214" s="199" t="s">
        <v>64</v>
      </c>
      <c r="G214" s="199">
        <v>1</v>
      </c>
      <c r="H214" s="199">
        <v>45</v>
      </c>
      <c r="I214" s="199" t="s">
        <v>8</v>
      </c>
      <c r="J214" s="199" t="s">
        <v>276</v>
      </c>
    </row>
    <row r="215" spans="1:10">
      <c r="A215" s="199">
        <v>2020</v>
      </c>
      <c r="B215" s="199" t="s">
        <v>216</v>
      </c>
      <c r="C215" s="199">
        <v>45</v>
      </c>
      <c r="D215" s="199" t="s">
        <v>58</v>
      </c>
      <c r="E215" s="199" t="s">
        <v>71</v>
      </c>
      <c r="F215" s="199" t="s">
        <v>64</v>
      </c>
      <c r="G215" s="199">
        <v>1</v>
      </c>
      <c r="H215" s="199">
        <v>45</v>
      </c>
      <c r="I215" s="199" t="s">
        <v>8</v>
      </c>
      <c r="J215" s="199" t="s">
        <v>276</v>
      </c>
    </row>
    <row r="216" spans="1:10">
      <c r="A216" s="199">
        <v>2020</v>
      </c>
      <c r="B216" s="199" t="s">
        <v>216</v>
      </c>
      <c r="C216" s="199">
        <v>46</v>
      </c>
      <c r="D216" s="199" t="s">
        <v>57</v>
      </c>
      <c r="E216" s="199" t="s">
        <v>71</v>
      </c>
      <c r="F216" s="199" t="s">
        <v>64</v>
      </c>
      <c r="G216" s="199">
        <v>1</v>
      </c>
      <c r="H216" s="199">
        <v>46</v>
      </c>
      <c r="I216" s="199" t="s">
        <v>8</v>
      </c>
      <c r="J216" s="199" t="s">
        <v>276</v>
      </c>
    </row>
    <row r="217" spans="1:10">
      <c r="A217" s="199">
        <v>2020</v>
      </c>
      <c r="B217" s="199" t="s">
        <v>216</v>
      </c>
      <c r="C217" s="199">
        <v>47</v>
      </c>
      <c r="D217" s="199" t="s">
        <v>58</v>
      </c>
      <c r="E217" s="199" t="s">
        <v>71</v>
      </c>
      <c r="F217" s="199" t="s">
        <v>64</v>
      </c>
      <c r="G217" s="199">
        <v>2</v>
      </c>
      <c r="H217" s="199">
        <v>94</v>
      </c>
      <c r="I217" s="199" t="s">
        <v>8</v>
      </c>
      <c r="J217" s="199" t="s">
        <v>276</v>
      </c>
    </row>
    <row r="218" spans="1:10">
      <c r="A218" s="199">
        <v>2020</v>
      </c>
      <c r="B218" s="199" t="s">
        <v>216</v>
      </c>
      <c r="C218" s="199">
        <v>48</v>
      </c>
      <c r="D218" s="199" t="s">
        <v>58</v>
      </c>
      <c r="E218" s="199" t="s">
        <v>71</v>
      </c>
      <c r="F218" s="199" t="s">
        <v>64</v>
      </c>
      <c r="G218" s="199">
        <v>1</v>
      </c>
      <c r="H218" s="199">
        <v>48</v>
      </c>
      <c r="I218" s="199" t="s">
        <v>8</v>
      </c>
      <c r="J218" s="199" t="s">
        <v>276</v>
      </c>
    </row>
    <row r="219" spans="1:10">
      <c r="A219" s="199">
        <v>2020</v>
      </c>
      <c r="B219" s="199" t="s">
        <v>216</v>
      </c>
      <c r="C219" s="199">
        <v>49</v>
      </c>
      <c r="D219" s="199" t="s">
        <v>57</v>
      </c>
      <c r="E219" s="199" t="s">
        <v>71</v>
      </c>
      <c r="F219" s="199" t="s">
        <v>64</v>
      </c>
      <c r="G219" s="199">
        <v>1</v>
      </c>
      <c r="H219" s="199">
        <v>49</v>
      </c>
      <c r="I219" s="199" t="s">
        <v>8</v>
      </c>
      <c r="J219" s="199" t="s">
        <v>276</v>
      </c>
    </row>
    <row r="220" spans="1:10">
      <c r="A220" s="199">
        <v>2020</v>
      </c>
      <c r="B220" s="199" t="s">
        <v>216</v>
      </c>
      <c r="C220" s="199">
        <v>50</v>
      </c>
      <c r="D220" s="199" t="s">
        <v>58</v>
      </c>
      <c r="E220" s="199" t="s">
        <v>71</v>
      </c>
      <c r="F220" s="199" t="s">
        <v>65</v>
      </c>
      <c r="G220" s="199">
        <v>1</v>
      </c>
      <c r="H220" s="199">
        <v>50</v>
      </c>
      <c r="I220" s="199" t="s">
        <v>8</v>
      </c>
      <c r="J220" s="199" t="s">
        <v>276</v>
      </c>
    </row>
    <row r="221" spans="1:10">
      <c r="A221" s="199">
        <v>2020</v>
      </c>
      <c r="B221" s="199" t="s">
        <v>216</v>
      </c>
      <c r="C221" s="199">
        <v>51</v>
      </c>
      <c r="D221" s="199" t="s">
        <v>57</v>
      </c>
      <c r="E221" s="199" t="s">
        <v>71</v>
      </c>
      <c r="F221" s="199" t="s">
        <v>65</v>
      </c>
      <c r="G221" s="199">
        <v>1</v>
      </c>
      <c r="H221" s="199">
        <v>51</v>
      </c>
      <c r="I221" s="199" t="s">
        <v>8</v>
      </c>
      <c r="J221" s="199" t="s">
        <v>276</v>
      </c>
    </row>
    <row r="222" spans="1:10">
      <c r="A222" s="199">
        <v>2020</v>
      </c>
      <c r="B222" s="199" t="s">
        <v>216</v>
      </c>
      <c r="C222" s="199">
        <v>52</v>
      </c>
      <c r="D222" s="199" t="s">
        <v>57</v>
      </c>
      <c r="E222" s="199" t="s">
        <v>71</v>
      </c>
      <c r="F222" s="199" t="s">
        <v>65</v>
      </c>
      <c r="G222" s="199">
        <v>1</v>
      </c>
      <c r="H222" s="199">
        <v>52</v>
      </c>
      <c r="I222" s="199" t="s">
        <v>8</v>
      </c>
      <c r="J222" s="199" t="s">
        <v>276</v>
      </c>
    </row>
    <row r="223" spans="1:10">
      <c r="A223" s="199">
        <v>2020</v>
      </c>
      <c r="B223" s="199" t="s">
        <v>216</v>
      </c>
      <c r="C223" s="199">
        <v>52</v>
      </c>
      <c r="D223" s="199" t="s">
        <v>58</v>
      </c>
      <c r="E223" s="199" t="s">
        <v>71</v>
      </c>
      <c r="F223" s="199" t="s">
        <v>65</v>
      </c>
      <c r="G223" s="199">
        <v>2</v>
      </c>
      <c r="H223" s="199">
        <v>104</v>
      </c>
      <c r="I223" s="199" t="s">
        <v>8</v>
      </c>
      <c r="J223" s="199" t="s">
        <v>276</v>
      </c>
    </row>
    <row r="224" spans="1:10">
      <c r="A224" s="199">
        <v>2020</v>
      </c>
      <c r="B224" s="199" t="s">
        <v>216</v>
      </c>
      <c r="C224" s="199">
        <v>54</v>
      </c>
      <c r="D224" s="199" t="s">
        <v>57</v>
      </c>
      <c r="E224" s="199" t="s">
        <v>71</v>
      </c>
      <c r="F224" s="199" t="s">
        <v>65</v>
      </c>
      <c r="G224" s="199">
        <v>1</v>
      </c>
      <c r="H224" s="199">
        <v>54</v>
      </c>
      <c r="I224" s="199" t="s">
        <v>8</v>
      </c>
      <c r="J224" s="199" t="s">
        <v>276</v>
      </c>
    </row>
    <row r="225" spans="1:10">
      <c r="A225" s="199">
        <v>2020</v>
      </c>
      <c r="B225" s="199" t="s">
        <v>216</v>
      </c>
      <c r="C225" s="199">
        <v>54</v>
      </c>
      <c r="D225" s="199" t="s">
        <v>58</v>
      </c>
      <c r="E225" s="199" t="s">
        <v>71</v>
      </c>
      <c r="F225" s="199" t="s">
        <v>65</v>
      </c>
      <c r="G225" s="199">
        <v>4</v>
      </c>
      <c r="H225" s="199">
        <v>216</v>
      </c>
      <c r="I225" s="199" t="s">
        <v>8</v>
      </c>
      <c r="J225" s="199" t="s">
        <v>276</v>
      </c>
    </row>
    <row r="226" spans="1:10">
      <c r="A226" s="199">
        <v>2020</v>
      </c>
      <c r="B226" s="199" t="s">
        <v>216</v>
      </c>
      <c r="C226" s="199">
        <v>56</v>
      </c>
      <c r="D226" s="199" t="s">
        <v>57</v>
      </c>
      <c r="E226" s="199" t="s">
        <v>71</v>
      </c>
      <c r="F226" s="199" t="s">
        <v>66</v>
      </c>
      <c r="G226" s="199">
        <v>1</v>
      </c>
      <c r="H226" s="199">
        <v>56</v>
      </c>
      <c r="I226" s="199" t="s">
        <v>8</v>
      </c>
      <c r="J226" s="199" t="s">
        <v>276</v>
      </c>
    </row>
    <row r="227" spans="1:10">
      <c r="A227" s="199">
        <v>2020</v>
      </c>
      <c r="B227" s="199" t="s">
        <v>216</v>
      </c>
      <c r="C227" s="199">
        <v>56</v>
      </c>
      <c r="D227" s="199" t="s">
        <v>58</v>
      </c>
      <c r="E227" s="199" t="s">
        <v>71</v>
      </c>
      <c r="F227" s="199" t="s">
        <v>66</v>
      </c>
      <c r="G227" s="199">
        <v>3</v>
      </c>
      <c r="H227" s="199">
        <v>168</v>
      </c>
      <c r="I227" s="199" t="s">
        <v>8</v>
      </c>
      <c r="J227" s="199" t="s">
        <v>276</v>
      </c>
    </row>
    <row r="228" spans="1:10">
      <c r="A228" s="199">
        <v>2020</v>
      </c>
      <c r="B228" s="199" t="s">
        <v>216</v>
      </c>
      <c r="C228" s="199">
        <v>57</v>
      </c>
      <c r="D228" s="199" t="s">
        <v>58</v>
      </c>
      <c r="E228" s="199" t="s">
        <v>71</v>
      </c>
      <c r="F228" s="199" t="s">
        <v>66</v>
      </c>
      <c r="G228" s="199">
        <v>1</v>
      </c>
      <c r="H228" s="199">
        <v>57</v>
      </c>
      <c r="I228" s="199" t="s">
        <v>8</v>
      </c>
      <c r="J228" s="199" t="s">
        <v>276</v>
      </c>
    </row>
    <row r="229" spans="1:10">
      <c r="A229" s="199">
        <v>2020</v>
      </c>
      <c r="B229" s="199" t="s">
        <v>216</v>
      </c>
      <c r="C229" s="199">
        <v>58</v>
      </c>
      <c r="D229" s="199" t="s">
        <v>57</v>
      </c>
      <c r="E229" s="199" t="s">
        <v>71</v>
      </c>
      <c r="F229" s="199" t="s">
        <v>66</v>
      </c>
      <c r="G229" s="199">
        <v>1</v>
      </c>
      <c r="H229" s="199">
        <v>58</v>
      </c>
      <c r="I229" s="199" t="s">
        <v>8</v>
      </c>
      <c r="J229" s="199" t="s">
        <v>276</v>
      </c>
    </row>
    <row r="230" spans="1:10">
      <c r="A230" s="199">
        <v>2020</v>
      </c>
      <c r="B230" s="199" t="s">
        <v>216</v>
      </c>
      <c r="C230" s="199">
        <v>59</v>
      </c>
      <c r="D230" s="199" t="s">
        <v>58</v>
      </c>
      <c r="E230" s="199" t="s">
        <v>71</v>
      </c>
      <c r="F230" s="199" t="s">
        <v>66</v>
      </c>
      <c r="G230" s="199">
        <v>1</v>
      </c>
      <c r="H230" s="199">
        <v>59</v>
      </c>
      <c r="I230" s="199" t="s">
        <v>8</v>
      </c>
      <c r="J230" s="199" t="s">
        <v>276</v>
      </c>
    </row>
    <row r="231" spans="1:10">
      <c r="A231" s="199">
        <v>2020</v>
      </c>
      <c r="B231" s="199" t="s">
        <v>216</v>
      </c>
      <c r="C231" s="199">
        <v>60</v>
      </c>
      <c r="D231" s="199" t="s">
        <v>57</v>
      </c>
      <c r="E231" s="199" t="s">
        <v>71</v>
      </c>
      <c r="F231" s="199" t="s">
        <v>67</v>
      </c>
      <c r="G231" s="199">
        <v>1</v>
      </c>
      <c r="H231" s="199">
        <v>60</v>
      </c>
      <c r="I231" s="199" t="s">
        <v>8</v>
      </c>
      <c r="J231" s="199" t="s">
        <v>276</v>
      </c>
    </row>
    <row r="232" spans="1:10">
      <c r="A232" s="199">
        <v>2020</v>
      </c>
      <c r="B232" s="199" t="s">
        <v>216</v>
      </c>
      <c r="C232" s="199">
        <v>61</v>
      </c>
      <c r="D232" s="199" t="s">
        <v>58</v>
      </c>
      <c r="E232" s="199" t="s">
        <v>71</v>
      </c>
      <c r="F232" s="199" t="s">
        <v>67</v>
      </c>
      <c r="G232" s="199">
        <v>2</v>
      </c>
      <c r="H232" s="199">
        <v>122</v>
      </c>
      <c r="I232" s="199" t="s">
        <v>8</v>
      </c>
      <c r="J232" s="199" t="s">
        <v>276</v>
      </c>
    </row>
    <row r="233" spans="1:10">
      <c r="A233" s="199">
        <v>2020</v>
      </c>
      <c r="B233" s="199" t="s">
        <v>216</v>
      </c>
      <c r="C233" s="199">
        <v>64</v>
      </c>
      <c r="D233" s="199" t="s">
        <v>58</v>
      </c>
      <c r="E233" s="199" t="s">
        <v>71</v>
      </c>
      <c r="F233" s="199" t="s">
        <v>67</v>
      </c>
      <c r="G233" s="199">
        <v>1</v>
      </c>
      <c r="H233" s="199">
        <v>64</v>
      </c>
      <c r="I233" s="199" t="s">
        <v>8</v>
      </c>
      <c r="J233" s="199" t="s">
        <v>276</v>
      </c>
    </row>
    <row r="234" spans="1:10">
      <c r="A234" s="199">
        <v>2020</v>
      </c>
      <c r="B234" s="199" t="s">
        <v>216</v>
      </c>
      <c r="C234" s="199">
        <v>65</v>
      </c>
      <c r="D234" s="199" t="s">
        <v>58</v>
      </c>
      <c r="E234" s="199" t="s">
        <v>71</v>
      </c>
      <c r="F234" s="199" t="s">
        <v>67</v>
      </c>
      <c r="G234" s="199">
        <v>2</v>
      </c>
      <c r="H234" s="199">
        <v>130</v>
      </c>
      <c r="I234" s="199" t="s">
        <v>8</v>
      </c>
      <c r="J234" s="199" t="s">
        <v>276</v>
      </c>
    </row>
    <row r="235" spans="1:10">
      <c r="A235" s="199">
        <v>2020</v>
      </c>
      <c r="B235" s="199" t="s">
        <v>216</v>
      </c>
      <c r="C235" s="199">
        <v>69</v>
      </c>
      <c r="D235" s="199" t="s">
        <v>58</v>
      </c>
      <c r="E235" s="199" t="s">
        <v>71</v>
      </c>
      <c r="F235" s="199" t="s">
        <v>67</v>
      </c>
      <c r="G235" s="199">
        <v>1</v>
      </c>
      <c r="H235" s="199">
        <v>69</v>
      </c>
      <c r="I235" s="199" t="s">
        <v>8</v>
      </c>
      <c r="J235" s="199" t="s">
        <v>276</v>
      </c>
    </row>
    <row r="236" spans="1:10">
      <c r="A236" s="199">
        <v>2021</v>
      </c>
      <c r="B236" s="199" t="s">
        <v>216</v>
      </c>
      <c r="C236" s="199">
        <v>2</v>
      </c>
      <c r="D236" s="199" t="s">
        <v>58</v>
      </c>
      <c r="E236" s="199" t="s">
        <v>73</v>
      </c>
      <c r="F236" s="199" t="s">
        <v>59</v>
      </c>
      <c r="G236" s="199">
        <v>1</v>
      </c>
      <c r="H236" s="199">
        <v>2</v>
      </c>
      <c r="I236" s="199" t="s">
        <v>8</v>
      </c>
      <c r="J236" s="199" t="s">
        <v>276</v>
      </c>
    </row>
    <row r="237" spans="1:10">
      <c r="A237" s="199">
        <v>2021</v>
      </c>
      <c r="B237" s="199" t="s">
        <v>216</v>
      </c>
      <c r="C237" s="199">
        <v>3</v>
      </c>
      <c r="D237" s="199" t="s">
        <v>57</v>
      </c>
      <c r="E237" s="199" t="s">
        <v>73</v>
      </c>
      <c r="F237" s="199" t="s">
        <v>59</v>
      </c>
      <c r="G237" s="199">
        <v>1</v>
      </c>
      <c r="H237" s="199">
        <v>3</v>
      </c>
      <c r="I237" s="199" t="s">
        <v>8</v>
      </c>
      <c r="J237" s="199" t="s">
        <v>276</v>
      </c>
    </row>
    <row r="238" spans="1:10">
      <c r="A238" s="199">
        <v>2021</v>
      </c>
      <c r="B238" s="199" t="s">
        <v>216</v>
      </c>
      <c r="C238" s="199">
        <v>13</v>
      </c>
      <c r="D238" s="199" t="s">
        <v>58</v>
      </c>
      <c r="E238" s="199" t="s">
        <v>73</v>
      </c>
      <c r="F238" s="199" t="s">
        <v>59</v>
      </c>
      <c r="G238" s="199">
        <v>7</v>
      </c>
      <c r="H238" s="199">
        <v>91</v>
      </c>
      <c r="I238" s="199" t="s">
        <v>8</v>
      </c>
      <c r="J238" s="199" t="s">
        <v>276</v>
      </c>
    </row>
    <row r="239" spans="1:10">
      <c r="A239" s="199">
        <v>2021</v>
      </c>
      <c r="B239" s="199" t="s">
        <v>216</v>
      </c>
      <c r="C239" s="199">
        <v>20</v>
      </c>
      <c r="D239" s="199" t="s">
        <v>58</v>
      </c>
      <c r="E239" s="199" t="s">
        <v>73</v>
      </c>
      <c r="F239" s="199" t="s">
        <v>59</v>
      </c>
      <c r="G239" s="199">
        <v>2</v>
      </c>
      <c r="H239" s="199">
        <v>40</v>
      </c>
      <c r="I239" s="199" t="s">
        <v>8</v>
      </c>
      <c r="J239" s="199" t="s">
        <v>276</v>
      </c>
    </row>
    <row r="240" spans="1:10">
      <c r="A240" s="199">
        <v>2021</v>
      </c>
      <c r="B240" s="199" t="s">
        <v>216</v>
      </c>
      <c r="C240" s="199">
        <v>21</v>
      </c>
      <c r="D240" s="199" t="s">
        <v>58</v>
      </c>
      <c r="E240" s="199" t="s">
        <v>73</v>
      </c>
      <c r="F240" s="199" t="s">
        <v>59</v>
      </c>
      <c r="G240" s="199">
        <v>9</v>
      </c>
      <c r="H240" s="199">
        <v>189</v>
      </c>
      <c r="I240" s="199" t="s">
        <v>8</v>
      </c>
      <c r="J240" s="199" t="s">
        <v>276</v>
      </c>
    </row>
    <row r="241" spans="1:10">
      <c r="A241" s="199">
        <v>2021</v>
      </c>
      <c r="B241" s="199" t="s">
        <v>216</v>
      </c>
      <c r="C241" s="199">
        <v>24</v>
      </c>
      <c r="D241" s="199" t="s">
        <v>58</v>
      </c>
      <c r="E241" s="199" t="s">
        <v>71</v>
      </c>
      <c r="F241" s="199" t="s">
        <v>59</v>
      </c>
      <c r="G241" s="199">
        <v>1</v>
      </c>
      <c r="H241" s="199">
        <v>24</v>
      </c>
      <c r="I241" s="199" t="s">
        <v>8</v>
      </c>
      <c r="J241" s="199" t="s">
        <v>276</v>
      </c>
    </row>
    <row r="242" spans="1:10">
      <c r="A242" s="199">
        <v>2021</v>
      </c>
      <c r="B242" s="199" t="s">
        <v>216</v>
      </c>
      <c r="C242" s="199">
        <v>25</v>
      </c>
      <c r="D242" s="199" t="s">
        <v>58</v>
      </c>
      <c r="E242" s="199" t="s">
        <v>71</v>
      </c>
      <c r="F242" s="199" t="s">
        <v>60</v>
      </c>
      <c r="G242" s="199">
        <v>2</v>
      </c>
      <c r="H242" s="199">
        <v>50</v>
      </c>
      <c r="I242" s="199" t="s">
        <v>8</v>
      </c>
      <c r="J242" s="199" t="s">
        <v>276</v>
      </c>
    </row>
    <row r="243" spans="1:10">
      <c r="A243" s="199">
        <v>2021</v>
      </c>
      <c r="B243" s="199" t="s">
        <v>216</v>
      </c>
      <c r="C243" s="199">
        <v>26</v>
      </c>
      <c r="D243" s="199" t="s">
        <v>58</v>
      </c>
      <c r="E243" s="199" t="s">
        <v>71</v>
      </c>
      <c r="F243" s="199" t="s">
        <v>60</v>
      </c>
      <c r="G243" s="199">
        <v>1</v>
      </c>
      <c r="H243" s="199">
        <v>26</v>
      </c>
      <c r="I243" s="199" t="s">
        <v>8</v>
      </c>
      <c r="J243" s="199" t="s">
        <v>276</v>
      </c>
    </row>
    <row r="244" spans="1:10">
      <c r="A244" s="199">
        <v>2021</v>
      </c>
      <c r="B244" s="199" t="s">
        <v>216</v>
      </c>
      <c r="C244" s="199">
        <v>28</v>
      </c>
      <c r="D244" s="199" t="s">
        <v>58</v>
      </c>
      <c r="E244" s="199" t="s">
        <v>71</v>
      </c>
      <c r="F244" s="199" t="s">
        <v>60</v>
      </c>
      <c r="G244" s="199">
        <v>1</v>
      </c>
      <c r="H244" s="199">
        <v>28</v>
      </c>
      <c r="I244" s="199" t="s">
        <v>8</v>
      </c>
      <c r="J244" s="199" t="s">
        <v>276</v>
      </c>
    </row>
    <row r="245" spans="1:10">
      <c r="A245" s="199">
        <v>2021</v>
      </c>
      <c r="B245" s="199" t="s">
        <v>216</v>
      </c>
      <c r="C245" s="199">
        <v>29</v>
      </c>
      <c r="D245" s="199" t="s">
        <v>57</v>
      </c>
      <c r="E245" s="199" t="s">
        <v>71</v>
      </c>
      <c r="F245" s="199" t="s">
        <v>60</v>
      </c>
      <c r="G245" s="199">
        <v>1</v>
      </c>
      <c r="H245" s="199">
        <v>29</v>
      </c>
      <c r="I245" s="199" t="s">
        <v>8</v>
      </c>
      <c r="J245" s="199" t="s">
        <v>276</v>
      </c>
    </row>
    <row r="246" spans="1:10">
      <c r="A246" s="199">
        <v>2021</v>
      </c>
      <c r="B246" s="199" t="s">
        <v>216</v>
      </c>
      <c r="C246" s="199">
        <v>33</v>
      </c>
      <c r="D246" s="199" t="s">
        <v>57</v>
      </c>
      <c r="E246" s="199" t="s">
        <v>71</v>
      </c>
      <c r="F246" s="199" t="s">
        <v>61</v>
      </c>
      <c r="G246" s="199">
        <v>1</v>
      </c>
      <c r="H246" s="199">
        <v>33</v>
      </c>
      <c r="I246" s="199" t="s">
        <v>8</v>
      </c>
      <c r="J246" s="199" t="s">
        <v>276</v>
      </c>
    </row>
    <row r="247" spans="1:10">
      <c r="A247" s="199">
        <v>2021</v>
      </c>
      <c r="B247" s="199" t="s">
        <v>216</v>
      </c>
      <c r="C247" s="199">
        <v>33</v>
      </c>
      <c r="D247" s="199" t="s">
        <v>58</v>
      </c>
      <c r="E247" s="199" t="s">
        <v>71</v>
      </c>
      <c r="F247" s="199" t="s">
        <v>61</v>
      </c>
      <c r="G247" s="199">
        <v>1</v>
      </c>
      <c r="H247" s="199">
        <v>33</v>
      </c>
      <c r="I247" s="199" t="s">
        <v>8</v>
      </c>
      <c r="J247" s="199" t="s">
        <v>276</v>
      </c>
    </row>
    <row r="248" spans="1:10">
      <c r="A248" s="199">
        <v>2021</v>
      </c>
      <c r="B248" s="199" t="s">
        <v>216</v>
      </c>
      <c r="C248" s="199">
        <v>34</v>
      </c>
      <c r="D248" s="199" t="s">
        <v>57</v>
      </c>
      <c r="E248" s="199" t="s">
        <v>71</v>
      </c>
      <c r="F248" s="199" t="s">
        <v>61</v>
      </c>
      <c r="G248" s="199">
        <v>2</v>
      </c>
      <c r="H248" s="199">
        <v>68</v>
      </c>
      <c r="I248" s="199" t="s">
        <v>8</v>
      </c>
      <c r="J248" s="199" t="s">
        <v>276</v>
      </c>
    </row>
    <row r="249" spans="1:10">
      <c r="A249" s="199">
        <v>2021</v>
      </c>
      <c r="B249" s="199" t="s">
        <v>216</v>
      </c>
      <c r="C249" s="199">
        <v>34</v>
      </c>
      <c r="D249" s="199" t="s">
        <v>57</v>
      </c>
      <c r="E249" s="199" t="s">
        <v>72</v>
      </c>
      <c r="F249" s="199" t="s">
        <v>61</v>
      </c>
      <c r="G249" s="199">
        <v>1</v>
      </c>
      <c r="H249" s="199">
        <v>34</v>
      </c>
      <c r="I249" s="199" t="s">
        <v>8</v>
      </c>
      <c r="J249" s="199" t="s">
        <v>276</v>
      </c>
    </row>
    <row r="250" spans="1:10">
      <c r="A250" s="199">
        <v>2021</v>
      </c>
      <c r="B250" s="199" t="s">
        <v>216</v>
      </c>
      <c r="C250" s="199">
        <v>38</v>
      </c>
      <c r="D250" s="199" t="s">
        <v>57</v>
      </c>
      <c r="E250" s="199" t="s">
        <v>71</v>
      </c>
      <c r="F250" s="199" t="s">
        <v>62</v>
      </c>
      <c r="G250" s="199">
        <v>1</v>
      </c>
      <c r="H250" s="199">
        <v>38</v>
      </c>
      <c r="I250" s="199" t="s">
        <v>8</v>
      </c>
      <c r="J250" s="199" t="s">
        <v>276</v>
      </c>
    </row>
    <row r="251" spans="1:10">
      <c r="A251" s="199">
        <v>2021</v>
      </c>
      <c r="B251" s="199" t="s">
        <v>216</v>
      </c>
      <c r="C251" s="199">
        <v>38</v>
      </c>
      <c r="D251" s="199" t="s">
        <v>58</v>
      </c>
      <c r="E251" s="199" t="s">
        <v>71</v>
      </c>
      <c r="F251" s="199" t="s">
        <v>62</v>
      </c>
      <c r="G251" s="199">
        <v>1</v>
      </c>
      <c r="H251" s="199">
        <v>38</v>
      </c>
      <c r="I251" s="199" t="s">
        <v>8</v>
      </c>
      <c r="J251" s="199" t="s">
        <v>276</v>
      </c>
    </row>
    <row r="252" spans="1:10">
      <c r="A252" s="199">
        <v>2021</v>
      </c>
      <c r="B252" s="199" t="s">
        <v>216</v>
      </c>
      <c r="C252" s="199">
        <v>39</v>
      </c>
      <c r="D252" s="199" t="s">
        <v>58</v>
      </c>
      <c r="E252" s="199" t="s">
        <v>72</v>
      </c>
      <c r="F252" s="199" t="s">
        <v>62</v>
      </c>
      <c r="G252" s="199">
        <v>6</v>
      </c>
      <c r="H252" s="199">
        <v>234</v>
      </c>
      <c r="I252" s="199" t="s">
        <v>8</v>
      </c>
      <c r="J252" s="199" t="s">
        <v>276</v>
      </c>
    </row>
    <row r="253" spans="1:10">
      <c r="A253" s="199">
        <v>2021</v>
      </c>
      <c r="B253" s="199" t="s">
        <v>216</v>
      </c>
      <c r="C253" s="199">
        <v>40</v>
      </c>
      <c r="D253" s="199" t="s">
        <v>58</v>
      </c>
      <c r="E253" s="199" t="s">
        <v>71</v>
      </c>
      <c r="F253" s="199" t="s">
        <v>63</v>
      </c>
      <c r="G253" s="199">
        <v>1</v>
      </c>
      <c r="H253" s="199">
        <v>40</v>
      </c>
      <c r="I253" s="199" t="s">
        <v>8</v>
      </c>
      <c r="J253" s="199" t="s">
        <v>276</v>
      </c>
    </row>
    <row r="254" spans="1:10">
      <c r="A254" s="199">
        <v>2021</v>
      </c>
      <c r="B254" s="199" t="s">
        <v>216</v>
      </c>
      <c r="C254" s="199">
        <v>41</v>
      </c>
      <c r="D254" s="199" t="s">
        <v>57</v>
      </c>
      <c r="E254" s="199" t="s">
        <v>71</v>
      </c>
      <c r="F254" s="199" t="s">
        <v>63</v>
      </c>
      <c r="G254" s="199">
        <v>1</v>
      </c>
      <c r="H254" s="199">
        <v>41</v>
      </c>
      <c r="I254" s="199" t="s">
        <v>8</v>
      </c>
      <c r="J254" s="199" t="s">
        <v>276</v>
      </c>
    </row>
    <row r="255" spans="1:10">
      <c r="A255" s="199">
        <v>2021</v>
      </c>
      <c r="B255" s="199" t="s">
        <v>216</v>
      </c>
      <c r="C255" s="199">
        <v>41</v>
      </c>
      <c r="D255" s="199" t="s">
        <v>58</v>
      </c>
      <c r="E255" s="199" t="s">
        <v>71</v>
      </c>
      <c r="F255" s="199" t="s">
        <v>63</v>
      </c>
      <c r="G255" s="199">
        <v>3</v>
      </c>
      <c r="H255" s="199">
        <v>123</v>
      </c>
      <c r="I255" s="199" t="s">
        <v>8</v>
      </c>
      <c r="J255" s="199" t="s">
        <v>276</v>
      </c>
    </row>
    <row r="256" spans="1:10">
      <c r="A256" s="199">
        <v>2021</v>
      </c>
      <c r="B256" s="199" t="s">
        <v>216</v>
      </c>
      <c r="C256" s="199">
        <v>43</v>
      </c>
      <c r="D256" s="199" t="s">
        <v>58</v>
      </c>
      <c r="E256" s="199" t="s">
        <v>71</v>
      </c>
      <c r="F256" s="199" t="s">
        <v>63</v>
      </c>
      <c r="G256" s="199">
        <v>1</v>
      </c>
      <c r="H256" s="199">
        <v>43</v>
      </c>
      <c r="I256" s="199" t="s">
        <v>8</v>
      </c>
      <c r="J256" s="199" t="s">
        <v>276</v>
      </c>
    </row>
    <row r="257" spans="1:10">
      <c r="A257" s="199">
        <v>2021</v>
      </c>
      <c r="B257" s="199" t="s">
        <v>216</v>
      </c>
      <c r="C257" s="199">
        <v>44</v>
      </c>
      <c r="D257" s="199" t="s">
        <v>57</v>
      </c>
      <c r="E257" s="199" t="s">
        <v>71</v>
      </c>
      <c r="F257" s="199" t="s">
        <v>63</v>
      </c>
      <c r="G257" s="199">
        <v>3</v>
      </c>
      <c r="H257" s="199">
        <v>132</v>
      </c>
      <c r="I257" s="199" t="s">
        <v>8</v>
      </c>
      <c r="J257" s="199" t="s">
        <v>276</v>
      </c>
    </row>
    <row r="258" spans="1:10">
      <c r="A258" s="199">
        <v>2021</v>
      </c>
      <c r="B258" s="199" t="s">
        <v>216</v>
      </c>
      <c r="C258" s="199">
        <v>44</v>
      </c>
      <c r="D258" s="199" t="s">
        <v>58</v>
      </c>
      <c r="E258" s="199" t="s">
        <v>71</v>
      </c>
      <c r="F258" s="199" t="s">
        <v>63</v>
      </c>
      <c r="G258" s="199">
        <v>1</v>
      </c>
      <c r="H258" s="199">
        <v>44</v>
      </c>
      <c r="I258" s="199" t="s">
        <v>8</v>
      </c>
      <c r="J258" s="199" t="s">
        <v>276</v>
      </c>
    </row>
    <row r="259" spans="1:10">
      <c r="A259" s="199">
        <v>2021</v>
      </c>
      <c r="B259" s="199" t="s">
        <v>216</v>
      </c>
      <c r="C259" s="199">
        <v>45</v>
      </c>
      <c r="D259" s="199" t="s">
        <v>57</v>
      </c>
      <c r="E259" s="199" t="s">
        <v>71</v>
      </c>
      <c r="F259" s="199" t="s">
        <v>64</v>
      </c>
      <c r="G259" s="199">
        <v>1</v>
      </c>
      <c r="H259" s="199">
        <v>45</v>
      </c>
      <c r="I259" s="199" t="s">
        <v>8</v>
      </c>
      <c r="J259" s="199" t="s">
        <v>276</v>
      </c>
    </row>
    <row r="260" spans="1:10">
      <c r="A260" s="199">
        <v>2021</v>
      </c>
      <c r="B260" s="199" t="s">
        <v>216</v>
      </c>
      <c r="C260" s="199">
        <v>46</v>
      </c>
      <c r="D260" s="199" t="s">
        <v>57</v>
      </c>
      <c r="E260" s="199" t="s">
        <v>71</v>
      </c>
      <c r="F260" s="199" t="s">
        <v>64</v>
      </c>
      <c r="G260" s="199">
        <v>1</v>
      </c>
      <c r="H260" s="199">
        <v>46</v>
      </c>
      <c r="I260" s="199" t="s">
        <v>8</v>
      </c>
      <c r="J260" s="199" t="s">
        <v>276</v>
      </c>
    </row>
    <row r="261" spans="1:10">
      <c r="A261" s="199">
        <v>2021</v>
      </c>
      <c r="B261" s="199" t="s">
        <v>216</v>
      </c>
      <c r="C261" s="199">
        <v>46</v>
      </c>
      <c r="D261" s="199" t="s">
        <v>58</v>
      </c>
      <c r="E261" s="199" t="s">
        <v>71</v>
      </c>
      <c r="F261" s="199" t="s">
        <v>64</v>
      </c>
      <c r="G261" s="199">
        <v>1</v>
      </c>
      <c r="H261" s="199">
        <v>46</v>
      </c>
      <c r="I261" s="199" t="s">
        <v>8</v>
      </c>
      <c r="J261" s="199" t="s">
        <v>276</v>
      </c>
    </row>
    <row r="262" spans="1:10">
      <c r="A262" s="199">
        <v>2021</v>
      </c>
      <c r="B262" s="199" t="s">
        <v>216</v>
      </c>
      <c r="C262" s="199">
        <v>47</v>
      </c>
      <c r="D262" s="199" t="s">
        <v>57</v>
      </c>
      <c r="E262" s="199" t="s">
        <v>71</v>
      </c>
      <c r="F262" s="199" t="s">
        <v>64</v>
      </c>
      <c r="G262" s="199">
        <v>1</v>
      </c>
      <c r="H262" s="199">
        <v>47</v>
      </c>
      <c r="I262" s="199" t="s">
        <v>8</v>
      </c>
      <c r="J262" s="199" t="s">
        <v>276</v>
      </c>
    </row>
    <row r="263" spans="1:10">
      <c r="A263" s="199">
        <v>2021</v>
      </c>
      <c r="B263" s="199" t="s">
        <v>216</v>
      </c>
      <c r="C263" s="199">
        <v>48</v>
      </c>
      <c r="D263" s="199" t="s">
        <v>58</v>
      </c>
      <c r="E263" s="199" t="s">
        <v>71</v>
      </c>
      <c r="F263" s="199" t="s">
        <v>64</v>
      </c>
      <c r="G263" s="199">
        <v>2</v>
      </c>
      <c r="H263" s="199">
        <v>96</v>
      </c>
      <c r="I263" s="199" t="s">
        <v>8</v>
      </c>
      <c r="J263" s="199" t="s">
        <v>276</v>
      </c>
    </row>
    <row r="264" spans="1:10">
      <c r="A264" s="199">
        <v>2021</v>
      </c>
      <c r="B264" s="199" t="s">
        <v>216</v>
      </c>
      <c r="C264" s="199">
        <v>49</v>
      </c>
      <c r="D264" s="199" t="s">
        <v>58</v>
      </c>
      <c r="E264" s="199" t="s">
        <v>71</v>
      </c>
      <c r="F264" s="199" t="s">
        <v>64</v>
      </c>
      <c r="G264" s="199">
        <v>1</v>
      </c>
      <c r="H264" s="199">
        <v>49</v>
      </c>
      <c r="I264" s="199" t="s">
        <v>8</v>
      </c>
      <c r="J264" s="199" t="s">
        <v>276</v>
      </c>
    </row>
    <row r="265" spans="1:10">
      <c r="A265" s="199">
        <v>2021</v>
      </c>
      <c r="B265" s="199" t="s">
        <v>216</v>
      </c>
      <c r="C265" s="199">
        <v>50</v>
      </c>
      <c r="D265" s="199" t="s">
        <v>57</v>
      </c>
      <c r="E265" s="199" t="s">
        <v>71</v>
      </c>
      <c r="F265" s="199" t="s">
        <v>65</v>
      </c>
      <c r="G265" s="199">
        <v>1</v>
      </c>
      <c r="H265" s="199">
        <v>50</v>
      </c>
      <c r="I265" s="199" t="s">
        <v>8</v>
      </c>
      <c r="J265" s="199" t="s">
        <v>276</v>
      </c>
    </row>
    <row r="266" spans="1:10">
      <c r="A266" s="199">
        <v>2021</v>
      </c>
      <c r="B266" s="199" t="s">
        <v>216</v>
      </c>
      <c r="C266" s="199">
        <v>51</v>
      </c>
      <c r="D266" s="199" t="s">
        <v>58</v>
      </c>
      <c r="E266" s="199" t="s">
        <v>71</v>
      </c>
      <c r="F266" s="199" t="s">
        <v>65</v>
      </c>
      <c r="G266" s="199">
        <v>1</v>
      </c>
      <c r="H266" s="199">
        <v>51</v>
      </c>
      <c r="I266" s="199" t="s">
        <v>8</v>
      </c>
      <c r="J266" s="199" t="s">
        <v>276</v>
      </c>
    </row>
    <row r="267" spans="1:10">
      <c r="A267" s="199">
        <v>2021</v>
      </c>
      <c r="B267" s="199" t="s">
        <v>216</v>
      </c>
      <c r="C267" s="199">
        <v>53</v>
      </c>
      <c r="D267" s="199" t="s">
        <v>57</v>
      </c>
      <c r="E267" s="199" t="s">
        <v>71</v>
      </c>
      <c r="F267" s="199" t="s">
        <v>65</v>
      </c>
      <c r="G267" s="199">
        <v>1</v>
      </c>
      <c r="H267" s="199">
        <v>53</v>
      </c>
      <c r="I267" s="199" t="s">
        <v>8</v>
      </c>
      <c r="J267" s="199" t="s">
        <v>276</v>
      </c>
    </row>
    <row r="268" spans="1:10">
      <c r="A268" s="199">
        <v>2021</v>
      </c>
      <c r="B268" s="199" t="s">
        <v>216</v>
      </c>
      <c r="C268" s="199">
        <v>53</v>
      </c>
      <c r="D268" s="199" t="s">
        <v>58</v>
      </c>
      <c r="E268" s="199" t="s">
        <v>71</v>
      </c>
      <c r="F268" s="199" t="s">
        <v>65</v>
      </c>
      <c r="G268" s="199">
        <v>2</v>
      </c>
      <c r="H268" s="199">
        <v>106</v>
      </c>
      <c r="I268" s="199" t="s">
        <v>8</v>
      </c>
      <c r="J268" s="199" t="s">
        <v>276</v>
      </c>
    </row>
    <row r="269" spans="1:10">
      <c r="A269" s="199">
        <v>2021</v>
      </c>
      <c r="B269" s="199" t="s">
        <v>216</v>
      </c>
      <c r="C269" s="199">
        <v>55</v>
      </c>
      <c r="D269" s="199" t="s">
        <v>57</v>
      </c>
      <c r="E269" s="199" t="s">
        <v>71</v>
      </c>
      <c r="F269" s="199" t="s">
        <v>66</v>
      </c>
      <c r="G269" s="199">
        <v>1</v>
      </c>
      <c r="H269" s="199">
        <v>55</v>
      </c>
      <c r="I269" s="199" t="s">
        <v>8</v>
      </c>
      <c r="J269" s="199" t="s">
        <v>276</v>
      </c>
    </row>
    <row r="270" spans="1:10">
      <c r="A270" s="199">
        <v>2021</v>
      </c>
      <c r="B270" s="199" t="s">
        <v>216</v>
      </c>
      <c r="C270" s="199">
        <v>55</v>
      </c>
      <c r="D270" s="199" t="s">
        <v>58</v>
      </c>
      <c r="E270" s="199" t="s">
        <v>71</v>
      </c>
      <c r="F270" s="199" t="s">
        <v>66</v>
      </c>
      <c r="G270" s="199">
        <v>4</v>
      </c>
      <c r="H270" s="199">
        <v>220</v>
      </c>
      <c r="I270" s="199" t="s">
        <v>8</v>
      </c>
      <c r="J270" s="199" t="s">
        <v>276</v>
      </c>
    </row>
    <row r="271" spans="1:10">
      <c r="A271" s="199">
        <v>2021</v>
      </c>
      <c r="B271" s="199" t="s">
        <v>216</v>
      </c>
      <c r="C271" s="199">
        <v>57</v>
      </c>
      <c r="D271" s="199" t="s">
        <v>57</v>
      </c>
      <c r="E271" s="199" t="s">
        <v>71</v>
      </c>
      <c r="F271" s="199" t="s">
        <v>66</v>
      </c>
      <c r="G271" s="199">
        <v>1</v>
      </c>
      <c r="H271" s="199">
        <v>57</v>
      </c>
      <c r="I271" s="199" t="s">
        <v>8</v>
      </c>
      <c r="J271" s="199" t="s">
        <v>276</v>
      </c>
    </row>
    <row r="272" spans="1:10">
      <c r="A272" s="199">
        <v>2021</v>
      </c>
      <c r="B272" s="199" t="s">
        <v>216</v>
      </c>
      <c r="C272" s="199">
        <v>57</v>
      </c>
      <c r="D272" s="199" t="s">
        <v>58</v>
      </c>
      <c r="E272" s="199" t="s">
        <v>71</v>
      </c>
      <c r="F272" s="199" t="s">
        <v>66</v>
      </c>
      <c r="G272" s="199">
        <v>4</v>
      </c>
      <c r="H272" s="199">
        <v>228</v>
      </c>
      <c r="I272" s="199" t="s">
        <v>8</v>
      </c>
      <c r="J272" s="199" t="s">
        <v>276</v>
      </c>
    </row>
    <row r="273" spans="1:10">
      <c r="A273" s="199">
        <v>2021</v>
      </c>
      <c r="B273" s="199" t="s">
        <v>216</v>
      </c>
      <c r="C273" s="199">
        <v>58</v>
      </c>
      <c r="D273" s="199" t="s">
        <v>58</v>
      </c>
      <c r="E273" s="199" t="s">
        <v>71</v>
      </c>
      <c r="F273" s="199" t="s">
        <v>66</v>
      </c>
      <c r="G273" s="199">
        <v>1</v>
      </c>
      <c r="H273" s="199">
        <v>58</v>
      </c>
      <c r="I273" s="199" t="s">
        <v>8</v>
      </c>
      <c r="J273" s="199" t="s">
        <v>276</v>
      </c>
    </row>
    <row r="274" spans="1:10">
      <c r="A274" s="199">
        <v>2021</v>
      </c>
      <c r="B274" s="199" t="s">
        <v>216</v>
      </c>
      <c r="C274" s="199">
        <v>59</v>
      </c>
      <c r="D274" s="199" t="s">
        <v>57</v>
      </c>
      <c r="E274" s="199" t="s">
        <v>71</v>
      </c>
      <c r="F274" s="199" t="s">
        <v>66</v>
      </c>
      <c r="G274" s="199">
        <v>1</v>
      </c>
      <c r="H274" s="199">
        <v>59</v>
      </c>
      <c r="I274" s="199" t="s">
        <v>8</v>
      </c>
      <c r="J274" s="199" t="s">
        <v>276</v>
      </c>
    </row>
    <row r="275" spans="1:10">
      <c r="A275" s="199">
        <v>2021</v>
      </c>
      <c r="B275" s="199" t="s">
        <v>216</v>
      </c>
      <c r="C275" s="199">
        <v>60</v>
      </c>
      <c r="D275" s="199" t="s">
        <v>58</v>
      </c>
      <c r="E275" s="199" t="s">
        <v>71</v>
      </c>
      <c r="F275" s="199" t="s">
        <v>67</v>
      </c>
      <c r="G275" s="199">
        <v>1</v>
      </c>
      <c r="H275" s="199">
        <v>60</v>
      </c>
      <c r="I275" s="199" t="s">
        <v>8</v>
      </c>
      <c r="J275" s="199" t="s">
        <v>276</v>
      </c>
    </row>
    <row r="276" spans="1:10">
      <c r="A276" s="199">
        <v>2021</v>
      </c>
      <c r="B276" s="199" t="s">
        <v>216</v>
      </c>
      <c r="C276" s="199">
        <v>61</v>
      </c>
      <c r="D276" s="199" t="s">
        <v>57</v>
      </c>
      <c r="E276" s="199" t="s">
        <v>71</v>
      </c>
      <c r="F276" s="199" t="s">
        <v>67</v>
      </c>
      <c r="G276" s="199">
        <v>1</v>
      </c>
      <c r="H276" s="199">
        <v>61</v>
      </c>
      <c r="I276" s="199" t="s">
        <v>8</v>
      </c>
      <c r="J276" s="199" t="s">
        <v>276</v>
      </c>
    </row>
    <row r="277" spans="1:10">
      <c r="A277" s="199">
        <v>2021</v>
      </c>
      <c r="B277" s="199" t="s">
        <v>216</v>
      </c>
      <c r="C277" s="199">
        <v>62</v>
      </c>
      <c r="D277" s="199" t="s">
        <v>58</v>
      </c>
      <c r="E277" s="199" t="s">
        <v>71</v>
      </c>
      <c r="F277" s="199" t="s">
        <v>67</v>
      </c>
      <c r="G277" s="199">
        <v>1</v>
      </c>
      <c r="H277" s="199">
        <v>62</v>
      </c>
      <c r="I277" s="199" t="s">
        <v>8</v>
      </c>
      <c r="J277" s="199" t="s">
        <v>276</v>
      </c>
    </row>
    <row r="278" spans="1:10">
      <c r="A278" s="199">
        <v>2021</v>
      </c>
      <c r="B278" s="199" t="s">
        <v>216</v>
      </c>
      <c r="C278" s="199">
        <v>65</v>
      </c>
      <c r="D278" s="199" t="s">
        <v>58</v>
      </c>
      <c r="E278" s="199" t="s">
        <v>71</v>
      </c>
      <c r="F278" s="199" t="s">
        <v>67</v>
      </c>
      <c r="G278" s="199">
        <v>1</v>
      </c>
      <c r="H278" s="199">
        <v>65</v>
      </c>
      <c r="I278" s="199" t="s">
        <v>8</v>
      </c>
      <c r="J278" s="199" t="s">
        <v>276</v>
      </c>
    </row>
    <row r="279" spans="1:10">
      <c r="A279" s="199">
        <v>2021</v>
      </c>
      <c r="B279" s="199" t="s">
        <v>216</v>
      </c>
      <c r="C279" s="199">
        <v>66</v>
      </c>
      <c r="D279" s="199" t="s">
        <v>58</v>
      </c>
      <c r="E279" s="199" t="s">
        <v>71</v>
      </c>
      <c r="F279" s="199" t="s">
        <v>67</v>
      </c>
      <c r="G279" s="199">
        <v>2</v>
      </c>
      <c r="H279" s="199">
        <v>132</v>
      </c>
      <c r="I279" s="199" t="s">
        <v>8</v>
      </c>
      <c r="J279" s="199" t="s">
        <v>276</v>
      </c>
    </row>
    <row r="280" spans="1:10">
      <c r="A280" s="199">
        <v>2021</v>
      </c>
      <c r="B280" s="199" t="s">
        <v>216</v>
      </c>
      <c r="C280" s="199">
        <v>70</v>
      </c>
      <c r="D280" s="199" t="s">
        <v>58</v>
      </c>
      <c r="E280" s="199" t="s">
        <v>71</v>
      </c>
      <c r="F280" s="199" t="s">
        <v>67</v>
      </c>
      <c r="G280" s="199">
        <v>1</v>
      </c>
      <c r="H280" s="199">
        <v>70</v>
      </c>
      <c r="I280" s="199" t="s">
        <v>8</v>
      </c>
      <c r="J280" s="199" t="s">
        <v>276</v>
      </c>
    </row>
    <row r="281" spans="1:10">
      <c r="A281" s="199">
        <v>2020</v>
      </c>
      <c r="B281" s="199" t="s">
        <v>217</v>
      </c>
      <c r="C281" s="199">
        <v>32</v>
      </c>
      <c r="D281" s="199" t="s">
        <v>57</v>
      </c>
      <c r="E281" s="199" t="s">
        <v>71</v>
      </c>
      <c r="F281" s="199" t="s">
        <v>61</v>
      </c>
      <c r="G281" s="199">
        <v>1</v>
      </c>
      <c r="H281" s="199">
        <v>32</v>
      </c>
      <c r="I281" s="199" t="s">
        <v>8</v>
      </c>
      <c r="J281" s="199" t="s">
        <v>276</v>
      </c>
    </row>
    <row r="282" spans="1:10">
      <c r="A282" s="199">
        <v>2021</v>
      </c>
      <c r="B282" s="199" t="s">
        <v>217</v>
      </c>
      <c r="C282" s="199">
        <v>33</v>
      </c>
      <c r="D282" s="199" t="s">
        <v>57</v>
      </c>
      <c r="E282" s="199" t="s">
        <v>71</v>
      </c>
      <c r="F282" s="199" t="s">
        <v>61</v>
      </c>
      <c r="G282" s="199">
        <v>1</v>
      </c>
      <c r="H282" s="199">
        <v>33</v>
      </c>
      <c r="I282" s="199" t="s">
        <v>8</v>
      </c>
      <c r="J282" s="199" t="s">
        <v>276</v>
      </c>
    </row>
    <row r="283" spans="1:10">
      <c r="A283" s="199">
        <v>2021</v>
      </c>
      <c r="B283" s="199" t="s">
        <v>217</v>
      </c>
      <c r="C283" s="199">
        <v>39</v>
      </c>
      <c r="D283" s="199" t="s">
        <v>58</v>
      </c>
      <c r="E283" s="199" t="s">
        <v>71</v>
      </c>
      <c r="F283" s="199" t="s">
        <v>62</v>
      </c>
      <c r="G283" s="199">
        <v>1</v>
      </c>
      <c r="H283" s="199">
        <v>39</v>
      </c>
      <c r="I283" s="199" t="s">
        <v>8</v>
      </c>
      <c r="J283" s="199" t="s">
        <v>276</v>
      </c>
    </row>
    <row r="284" spans="1:10">
      <c r="A284" s="199">
        <v>2021</v>
      </c>
      <c r="B284" s="199" t="s">
        <v>218</v>
      </c>
      <c r="C284" s="199">
        <v>58</v>
      </c>
      <c r="D284" s="199" t="s">
        <v>57</v>
      </c>
      <c r="E284" s="199" t="s">
        <v>71</v>
      </c>
      <c r="F284" s="199" t="s">
        <v>66</v>
      </c>
      <c r="G284" s="199">
        <v>1</v>
      </c>
      <c r="H284" s="199">
        <v>58</v>
      </c>
      <c r="I284" s="199" t="s">
        <v>8</v>
      </c>
      <c r="J284" s="199" t="s">
        <v>276</v>
      </c>
    </row>
  </sheetData>
  <sortState xmlns:xlrd2="http://schemas.microsoft.com/office/spreadsheetml/2017/richdata2" ref="A2:M288">
    <sortCondition ref="B1:B1048576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5">
    <tabColor theme="9" tint="0.79998168889431442"/>
  </sheetPr>
  <dimension ref="A1:H12"/>
  <sheetViews>
    <sheetView workbookViewId="0">
      <selection sqref="A1:B1048576"/>
    </sheetView>
  </sheetViews>
  <sheetFormatPr baseColWidth="10" defaultColWidth="11.41015625" defaultRowHeight="14.35"/>
  <cols>
    <col min="1" max="2" width="11.41015625" style="218" customWidth="1"/>
    <col min="3" max="3" width="16.1171875" style="199" bestFit="1" customWidth="1"/>
    <col min="4" max="4" width="37.703125" style="199" bestFit="1" customWidth="1"/>
    <col min="5" max="5" width="11.41015625" style="199" customWidth="1"/>
    <col min="6" max="6" width="18" style="199" bestFit="1" customWidth="1"/>
    <col min="7" max="7" width="16.41015625" style="199" bestFit="1" customWidth="1"/>
    <col min="8" max="8" width="18.1171875" style="199" bestFit="1" customWidth="1"/>
    <col min="9" max="11" width="11.41015625" style="199" customWidth="1"/>
    <col min="12" max="16384" width="11.41015625" style="199"/>
  </cols>
  <sheetData>
    <row r="1" spans="1:8">
      <c r="A1" s="218" t="s">
        <v>219</v>
      </c>
      <c r="B1" s="218" t="s">
        <v>220</v>
      </c>
      <c r="C1" s="199" t="s">
        <v>221</v>
      </c>
      <c r="D1" s="199" t="s">
        <v>222</v>
      </c>
      <c r="E1" s="199" t="s">
        <v>205</v>
      </c>
      <c r="F1" s="199" t="s">
        <v>223</v>
      </c>
      <c r="G1" s="199" t="s">
        <v>214</v>
      </c>
      <c r="H1" s="199" t="s">
        <v>224</v>
      </c>
    </row>
    <row r="2" spans="1:8">
      <c r="A2" s="218">
        <v>44197</v>
      </c>
      <c r="B2" s="218">
        <v>44561</v>
      </c>
      <c r="C2" s="199" t="s">
        <v>225</v>
      </c>
      <c r="D2" s="199" t="s">
        <v>8</v>
      </c>
      <c r="E2" s="199">
        <v>2021</v>
      </c>
      <c r="F2" s="199">
        <v>281517.56</v>
      </c>
      <c r="G2" s="199" t="s">
        <v>276</v>
      </c>
      <c r="H2" s="199">
        <v>364186.32</v>
      </c>
    </row>
    <row r="3" spans="1:8">
      <c r="A3" s="218">
        <v>43831</v>
      </c>
      <c r="B3" s="218">
        <v>44196</v>
      </c>
      <c r="C3" s="199" t="s">
        <v>225</v>
      </c>
      <c r="D3" s="199" t="s">
        <v>8</v>
      </c>
      <c r="E3" s="199">
        <v>2020</v>
      </c>
      <c r="F3" s="199">
        <v>273073.96000000002</v>
      </c>
      <c r="G3" s="199" t="s">
        <v>276</v>
      </c>
      <c r="H3" s="199">
        <v>379988.79</v>
      </c>
    </row>
    <row r="4" spans="1:8">
      <c r="A4" s="218">
        <v>43831</v>
      </c>
      <c r="B4" s="218">
        <v>44196</v>
      </c>
      <c r="C4" s="199" t="s">
        <v>225</v>
      </c>
      <c r="D4" s="199" t="s">
        <v>8</v>
      </c>
      <c r="E4" s="199">
        <v>2020</v>
      </c>
      <c r="F4" s="199">
        <v>27912.31</v>
      </c>
      <c r="G4" s="199" t="s">
        <v>276</v>
      </c>
      <c r="H4" s="199">
        <v>38840.629999999997</v>
      </c>
    </row>
    <row r="5" spans="1:8">
      <c r="A5" s="218">
        <v>44197</v>
      </c>
      <c r="B5" s="218">
        <v>44561</v>
      </c>
      <c r="C5" s="199" t="s">
        <v>225</v>
      </c>
      <c r="D5" s="199" t="s">
        <v>8</v>
      </c>
      <c r="E5" s="199">
        <v>2021</v>
      </c>
      <c r="F5" s="199">
        <v>8656.7099999999991</v>
      </c>
      <c r="G5" s="199" t="s">
        <v>276</v>
      </c>
      <c r="H5" s="199">
        <v>11198.79</v>
      </c>
    </row>
    <row r="6" spans="1:8">
      <c r="A6" s="218">
        <v>43831</v>
      </c>
      <c r="B6" s="218">
        <v>44196</v>
      </c>
      <c r="C6" s="199" t="s">
        <v>225</v>
      </c>
      <c r="D6" s="199" t="s">
        <v>8</v>
      </c>
      <c r="E6" s="199">
        <v>2020</v>
      </c>
      <c r="F6" s="199">
        <v>69714.509999999995</v>
      </c>
      <c r="G6" s="199" t="s">
        <v>276</v>
      </c>
      <c r="H6" s="199">
        <v>97009.37</v>
      </c>
    </row>
    <row r="7" spans="1:8">
      <c r="A7" s="218">
        <v>44197</v>
      </c>
      <c r="B7" s="218">
        <v>44561</v>
      </c>
      <c r="C7" s="199" t="s">
        <v>225</v>
      </c>
      <c r="D7" s="199" t="s">
        <v>8</v>
      </c>
      <c r="E7" s="199">
        <v>2021</v>
      </c>
      <c r="F7" s="199">
        <v>78687.7</v>
      </c>
      <c r="G7" s="199" t="s">
        <v>276</v>
      </c>
      <c r="H7" s="199">
        <v>101794.66</v>
      </c>
    </row>
    <row r="8" spans="1:8">
      <c r="A8" s="218">
        <v>43831</v>
      </c>
      <c r="B8" s="218">
        <v>44196</v>
      </c>
      <c r="C8" s="199" t="s">
        <v>225</v>
      </c>
      <c r="D8" s="199" t="s">
        <v>8</v>
      </c>
      <c r="E8" s="199">
        <v>2020</v>
      </c>
      <c r="F8" s="199">
        <v>3780.04</v>
      </c>
      <c r="G8" s="199" t="s">
        <v>276</v>
      </c>
      <c r="H8" s="199">
        <v>5260.02</v>
      </c>
    </row>
    <row r="9" spans="1:8">
      <c r="A9" s="218">
        <v>44409</v>
      </c>
      <c r="B9" s="218">
        <v>44561</v>
      </c>
      <c r="C9" s="199" t="s">
        <v>225</v>
      </c>
      <c r="D9" s="199" t="s">
        <v>8</v>
      </c>
      <c r="E9" s="199">
        <v>2021</v>
      </c>
      <c r="F9" s="199">
        <v>1493.05</v>
      </c>
      <c r="G9" s="199" t="s">
        <v>276</v>
      </c>
      <c r="H9" s="199">
        <v>1931.49</v>
      </c>
    </row>
    <row r="10" spans="1:8">
      <c r="A10" s="218">
        <v>44197</v>
      </c>
      <c r="B10" s="218">
        <v>44561</v>
      </c>
      <c r="C10" s="199" t="s">
        <v>225</v>
      </c>
      <c r="D10" s="199" t="s">
        <v>8</v>
      </c>
      <c r="E10" s="199">
        <v>2021</v>
      </c>
      <c r="F10" s="199">
        <v>806.09</v>
      </c>
      <c r="G10" s="199" t="s">
        <v>276</v>
      </c>
      <c r="H10" s="199">
        <v>1042.8</v>
      </c>
    </row>
    <row r="11" spans="1:8">
      <c r="A11" s="218">
        <v>44197</v>
      </c>
      <c r="B11" s="218">
        <v>44561</v>
      </c>
      <c r="C11" s="199" t="s">
        <v>225</v>
      </c>
      <c r="D11" s="199" t="s">
        <v>8</v>
      </c>
      <c r="E11" s="199">
        <v>2021</v>
      </c>
      <c r="F11" s="199">
        <v>2552.61</v>
      </c>
      <c r="G11" s="199" t="s">
        <v>276</v>
      </c>
      <c r="H11" s="199">
        <v>3302.2</v>
      </c>
    </row>
    <row r="12" spans="1:8">
      <c r="A12" s="218">
        <v>43831</v>
      </c>
      <c r="B12" s="218">
        <v>44196</v>
      </c>
      <c r="C12" s="199" t="s">
        <v>225</v>
      </c>
      <c r="D12" s="199" t="s">
        <v>8</v>
      </c>
      <c r="E12" s="199">
        <v>2020</v>
      </c>
      <c r="F12" s="199">
        <v>1498.79</v>
      </c>
      <c r="G12" s="199" t="s">
        <v>276</v>
      </c>
      <c r="H12" s="199">
        <v>2085.6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6">
    <tabColor theme="9" tint="0.79998168889431442"/>
    <pageSetUpPr fitToPage="1"/>
  </sheetPr>
  <dimension ref="A1:R53"/>
  <sheetViews>
    <sheetView zoomScale="85" zoomScaleNormal="85" workbookViewId="0">
      <pane ySplit="1" topLeftCell="A2" activePane="bottomLeft" state="frozen"/>
      <selection activeCell="B1" sqref="B1"/>
      <selection pane="bottomLeft" sqref="A1:A1048576"/>
    </sheetView>
  </sheetViews>
  <sheetFormatPr baseColWidth="10" defaultColWidth="11.41015625" defaultRowHeight="14.35"/>
  <cols>
    <col min="1" max="1" width="10.87890625" style="218" bestFit="1" customWidth="1"/>
    <col min="2" max="2" width="17.5859375" style="199" bestFit="1" customWidth="1"/>
    <col min="3" max="3" width="18.5859375" style="199" bestFit="1" customWidth="1"/>
    <col min="4" max="4" width="11.5859375" style="199" bestFit="1" customWidth="1"/>
    <col min="5" max="6" width="31.87890625" style="199" bestFit="1" customWidth="1"/>
    <col min="7" max="7" width="17.703125" style="199" bestFit="1" customWidth="1"/>
    <col min="8" max="8" width="10.1171875" style="199" bestFit="1" customWidth="1"/>
    <col min="9" max="9" width="11.29296875" style="199" bestFit="1" customWidth="1"/>
    <col min="10" max="10" width="9.703125" style="199" bestFit="1" customWidth="1"/>
    <col min="11" max="11" width="13.29296875" style="199" bestFit="1" customWidth="1"/>
    <col min="12" max="12" width="11.29296875" style="199" bestFit="1" customWidth="1"/>
    <col min="13" max="13" width="7.87890625" style="199" bestFit="1" customWidth="1"/>
    <col min="14" max="14" width="7" style="199" bestFit="1" customWidth="1"/>
    <col min="15" max="15" width="7.703125" style="199" bestFit="1" customWidth="1"/>
    <col min="16" max="16" width="9.87890625" style="199" bestFit="1" customWidth="1"/>
    <col min="17" max="17" width="10.29296875" style="199" bestFit="1" customWidth="1"/>
    <col min="18" max="18" width="21.5859375" style="199" bestFit="1" customWidth="1"/>
    <col min="19" max="22" width="11.41015625" style="199" customWidth="1"/>
    <col min="23" max="23" width="33.41015625" style="199" bestFit="1" customWidth="1"/>
    <col min="24" max="30" width="11.41015625" style="199" customWidth="1"/>
    <col min="31" max="16384" width="11.41015625" style="199"/>
  </cols>
  <sheetData>
    <row r="1" spans="1:18">
      <c r="A1" s="218" t="s">
        <v>226</v>
      </c>
      <c r="B1" s="199" t="s">
        <v>221</v>
      </c>
      <c r="C1" s="199" t="s">
        <v>222</v>
      </c>
      <c r="D1" s="199" t="s">
        <v>227</v>
      </c>
      <c r="E1" s="199" t="s">
        <v>228</v>
      </c>
      <c r="F1" s="199" t="s">
        <v>229</v>
      </c>
      <c r="G1" s="199" t="s">
        <v>230</v>
      </c>
      <c r="H1" s="199" t="s">
        <v>231</v>
      </c>
      <c r="I1" s="199" t="s">
        <v>232</v>
      </c>
      <c r="J1" s="199" t="s">
        <v>233</v>
      </c>
      <c r="K1" s="199" t="s">
        <v>234</v>
      </c>
      <c r="L1" s="199" t="s">
        <v>235</v>
      </c>
      <c r="M1" s="199" t="s">
        <v>236</v>
      </c>
      <c r="N1" s="199" t="s">
        <v>237</v>
      </c>
      <c r="O1" s="199" t="s">
        <v>238</v>
      </c>
      <c r="P1" s="199" t="s">
        <v>239</v>
      </c>
      <c r="Q1" s="199" t="s">
        <v>240</v>
      </c>
      <c r="R1" s="199" t="s">
        <v>214</v>
      </c>
    </row>
    <row r="2" spans="1:18">
      <c r="A2" s="218">
        <v>44742</v>
      </c>
      <c r="B2" s="199" t="s">
        <v>225</v>
      </c>
      <c r="C2" s="199" t="s">
        <v>8</v>
      </c>
      <c r="D2" s="199">
        <v>2020</v>
      </c>
      <c r="E2" s="199" t="s">
        <v>241</v>
      </c>
      <c r="F2" s="199" t="s">
        <v>242</v>
      </c>
      <c r="G2" s="199" t="s">
        <v>243</v>
      </c>
      <c r="H2" s="199">
        <v>683</v>
      </c>
      <c r="I2" s="199">
        <v>24968.22</v>
      </c>
      <c r="J2" s="199">
        <v>11207.53</v>
      </c>
      <c r="K2" s="199">
        <v>0</v>
      </c>
      <c r="L2" s="199">
        <v>11630.6</v>
      </c>
      <c r="M2" s="199" t="s">
        <v>244</v>
      </c>
      <c r="N2" s="199">
        <v>1.8</v>
      </c>
      <c r="O2" s="199">
        <v>650</v>
      </c>
      <c r="P2" s="199">
        <v>0.46</v>
      </c>
      <c r="Q2" s="199">
        <v>400</v>
      </c>
      <c r="R2" s="199" t="s">
        <v>276</v>
      </c>
    </row>
    <row r="3" spans="1:18">
      <c r="A3" s="218">
        <v>44742</v>
      </c>
      <c r="B3" s="199" t="s">
        <v>225</v>
      </c>
      <c r="C3" s="199" t="s">
        <v>8</v>
      </c>
      <c r="D3" s="199">
        <v>2020</v>
      </c>
      <c r="E3" s="199" t="s">
        <v>91</v>
      </c>
      <c r="F3" s="199" t="s">
        <v>242</v>
      </c>
      <c r="G3" s="199" t="s">
        <v>243</v>
      </c>
      <c r="H3" s="199">
        <v>14</v>
      </c>
      <c r="I3" s="199">
        <v>23530</v>
      </c>
      <c r="J3" s="199">
        <v>3220</v>
      </c>
      <c r="K3" s="199">
        <v>1669</v>
      </c>
      <c r="L3" s="199">
        <v>14972</v>
      </c>
      <c r="M3" s="199" t="s">
        <v>244</v>
      </c>
      <c r="N3" s="199">
        <v>1195</v>
      </c>
      <c r="O3" s="199">
        <v>1950</v>
      </c>
      <c r="P3" s="199">
        <v>192</v>
      </c>
      <c r="Q3" s="199">
        <v>1190</v>
      </c>
      <c r="R3" s="199" t="s">
        <v>276</v>
      </c>
    </row>
    <row r="4" spans="1:18">
      <c r="A4" s="218">
        <v>44742</v>
      </c>
      <c r="B4" s="199" t="s">
        <v>225</v>
      </c>
      <c r="C4" s="199" t="s">
        <v>8</v>
      </c>
      <c r="D4" s="199">
        <v>2020</v>
      </c>
      <c r="F4" s="199" t="s">
        <v>85</v>
      </c>
      <c r="G4" s="199" t="s">
        <v>243</v>
      </c>
      <c r="H4" s="199">
        <v>8</v>
      </c>
      <c r="I4" s="199">
        <v>108</v>
      </c>
      <c r="J4" s="199">
        <v>38.44</v>
      </c>
      <c r="K4" s="199">
        <v>12.8</v>
      </c>
      <c r="L4" s="199">
        <v>25.6</v>
      </c>
      <c r="M4" s="199" t="s">
        <v>244</v>
      </c>
      <c r="N4" s="199">
        <v>25</v>
      </c>
      <c r="O4" s="199">
        <v>27</v>
      </c>
      <c r="P4" s="199">
        <v>5</v>
      </c>
      <c r="Q4" s="199">
        <v>7.5</v>
      </c>
      <c r="R4" s="199" t="s">
        <v>276</v>
      </c>
    </row>
    <row r="5" spans="1:18">
      <c r="A5" s="218">
        <v>44742</v>
      </c>
      <c r="B5" s="199" t="s">
        <v>225</v>
      </c>
      <c r="C5" s="199" t="s">
        <v>8</v>
      </c>
      <c r="D5" s="199">
        <v>2020</v>
      </c>
      <c r="E5" s="199" t="s">
        <v>93</v>
      </c>
      <c r="F5" s="199" t="s">
        <v>92</v>
      </c>
      <c r="G5" s="199" t="s">
        <v>243</v>
      </c>
      <c r="H5" s="199">
        <v>4</v>
      </c>
      <c r="I5" s="199">
        <v>240</v>
      </c>
      <c r="J5" s="199">
        <v>31</v>
      </c>
      <c r="K5" s="199">
        <v>0</v>
      </c>
      <c r="L5" s="199">
        <v>169</v>
      </c>
      <c r="M5" s="199" t="s">
        <v>244</v>
      </c>
      <c r="N5" s="199">
        <v>60</v>
      </c>
      <c r="O5" s="199">
        <v>60</v>
      </c>
      <c r="P5" s="199">
        <v>40</v>
      </c>
      <c r="Q5" s="199">
        <v>43</v>
      </c>
      <c r="R5" s="199" t="s">
        <v>276</v>
      </c>
    </row>
    <row r="6" spans="1:18">
      <c r="A6" s="218">
        <v>44742</v>
      </c>
      <c r="B6" s="199" t="s">
        <v>225</v>
      </c>
      <c r="C6" s="199" t="s">
        <v>8</v>
      </c>
      <c r="D6" s="199">
        <v>2020</v>
      </c>
      <c r="E6" s="199" t="s">
        <v>86</v>
      </c>
      <c r="F6" s="199" t="s">
        <v>95</v>
      </c>
      <c r="G6" s="199" t="s">
        <v>243</v>
      </c>
      <c r="H6" s="199">
        <v>380</v>
      </c>
      <c r="I6" s="199">
        <v>8266.04000000001</v>
      </c>
      <c r="J6" s="199">
        <v>5687.4399999999596</v>
      </c>
      <c r="K6" s="199">
        <v>0</v>
      </c>
      <c r="L6" s="199">
        <v>2563.11</v>
      </c>
      <c r="M6" s="199" t="s">
        <v>244</v>
      </c>
      <c r="N6" s="199">
        <v>14.46</v>
      </c>
      <c r="O6" s="199">
        <v>70</v>
      </c>
      <c r="P6" s="199">
        <v>4.34</v>
      </c>
      <c r="Q6" s="199">
        <v>49.76</v>
      </c>
      <c r="R6" s="199" t="s">
        <v>276</v>
      </c>
    </row>
    <row r="7" spans="1:18">
      <c r="A7" s="218">
        <v>44742</v>
      </c>
      <c r="B7" s="199" t="s">
        <v>225</v>
      </c>
      <c r="C7" s="199" t="s">
        <v>8</v>
      </c>
      <c r="D7" s="199">
        <v>2020</v>
      </c>
      <c r="E7" s="199" t="s">
        <v>245</v>
      </c>
      <c r="F7" s="199" t="s">
        <v>95</v>
      </c>
      <c r="G7" s="199" t="s">
        <v>243</v>
      </c>
      <c r="H7" s="199">
        <v>51</v>
      </c>
      <c r="I7" s="199">
        <v>27530.5</v>
      </c>
      <c r="J7" s="199">
        <v>6198.48</v>
      </c>
      <c r="K7" s="199">
        <v>0</v>
      </c>
      <c r="L7" s="199">
        <v>20599.77</v>
      </c>
      <c r="M7" s="199" t="s">
        <v>244</v>
      </c>
      <c r="N7" s="199">
        <v>30</v>
      </c>
      <c r="O7" s="199">
        <v>1200</v>
      </c>
      <c r="P7" s="199">
        <v>22.47</v>
      </c>
      <c r="Q7" s="199">
        <v>774</v>
      </c>
      <c r="R7" s="199" t="s">
        <v>276</v>
      </c>
    </row>
    <row r="8" spans="1:18">
      <c r="A8" s="218">
        <v>44742</v>
      </c>
      <c r="B8" s="199" t="s">
        <v>225</v>
      </c>
      <c r="C8" s="199" t="s">
        <v>8</v>
      </c>
      <c r="D8" s="199">
        <v>2020</v>
      </c>
      <c r="E8" s="199" t="s">
        <v>246</v>
      </c>
      <c r="F8" s="199" t="s">
        <v>95</v>
      </c>
      <c r="G8" s="199" t="s">
        <v>243</v>
      </c>
      <c r="H8" s="199">
        <v>44</v>
      </c>
      <c r="I8" s="199">
        <v>6574.16</v>
      </c>
      <c r="J8" s="199">
        <v>132.24</v>
      </c>
      <c r="K8" s="199">
        <v>0</v>
      </c>
      <c r="L8" s="199">
        <v>5939.64</v>
      </c>
      <c r="M8" s="199" t="s">
        <v>244</v>
      </c>
      <c r="N8" s="199">
        <v>28.92</v>
      </c>
      <c r="O8" s="199">
        <v>600</v>
      </c>
      <c r="P8" s="199">
        <v>8.68</v>
      </c>
      <c r="Q8" s="199">
        <v>540</v>
      </c>
      <c r="R8" s="199" t="s">
        <v>276</v>
      </c>
    </row>
    <row r="9" spans="1:18">
      <c r="A9" s="218">
        <v>44742</v>
      </c>
      <c r="B9" s="199" t="s">
        <v>225</v>
      </c>
      <c r="C9" s="199" t="s">
        <v>8</v>
      </c>
      <c r="D9" s="199">
        <v>2020</v>
      </c>
      <c r="E9" s="199" t="s">
        <v>247</v>
      </c>
      <c r="F9" s="199" t="s">
        <v>95</v>
      </c>
      <c r="G9" s="199" t="s">
        <v>243</v>
      </c>
      <c r="H9" s="199">
        <v>77</v>
      </c>
      <c r="I9" s="199">
        <v>26239.98</v>
      </c>
      <c r="J9" s="199">
        <v>4724.4799999999996</v>
      </c>
      <c r="K9" s="199">
        <v>0</v>
      </c>
      <c r="L9" s="199">
        <v>21336.75</v>
      </c>
      <c r="M9" s="199" t="s">
        <v>244</v>
      </c>
      <c r="N9" s="199">
        <v>55</v>
      </c>
      <c r="O9" s="199">
        <v>1465</v>
      </c>
      <c r="P9" s="199">
        <v>39.950000000000003</v>
      </c>
      <c r="Q9" s="199">
        <v>1269.3499999999999</v>
      </c>
      <c r="R9" s="199" t="s">
        <v>276</v>
      </c>
    </row>
    <row r="10" spans="1:18">
      <c r="A10" s="218">
        <v>44742</v>
      </c>
      <c r="B10" s="199" t="s">
        <v>225</v>
      </c>
      <c r="C10" s="199" t="s">
        <v>8</v>
      </c>
      <c r="D10" s="199">
        <v>2020</v>
      </c>
      <c r="E10" s="199" t="s">
        <v>248</v>
      </c>
      <c r="F10" s="199" t="s">
        <v>95</v>
      </c>
      <c r="G10" s="199" t="s">
        <v>243</v>
      </c>
      <c r="H10" s="199">
        <v>134</v>
      </c>
      <c r="I10" s="199">
        <v>74710</v>
      </c>
      <c r="J10" s="199">
        <v>5554.85</v>
      </c>
      <c r="K10" s="199">
        <v>13025.33</v>
      </c>
      <c r="L10" s="199">
        <v>38079.199999999997</v>
      </c>
      <c r="M10" s="199" t="s">
        <v>244</v>
      </c>
      <c r="N10" s="199">
        <v>50</v>
      </c>
      <c r="O10" s="199">
        <v>2385</v>
      </c>
      <c r="P10" s="199">
        <v>37.5</v>
      </c>
      <c r="Q10" s="199">
        <v>1201.8499999999999</v>
      </c>
      <c r="R10" s="199" t="s">
        <v>276</v>
      </c>
    </row>
    <row r="11" spans="1:18">
      <c r="A11" s="218">
        <v>44742</v>
      </c>
      <c r="B11" s="199" t="s">
        <v>225</v>
      </c>
      <c r="C11" s="199" t="s">
        <v>8</v>
      </c>
      <c r="D11" s="199">
        <v>2020</v>
      </c>
      <c r="E11" s="199" t="s">
        <v>249</v>
      </c>
      <c r="F11" s="199" t="s">
        <v>95</v>
      </c>
      <c r="G11" s="199" t="s">
        <v>243</v>
      </c>
      <c r="H11" s="199">
        <v>24</v>
      </c>
      <c r="I11" s="199">
        <v>11195</v>
      </c>
      <c r="J11" s="199">
        <v>2188.38</v>
      </c>
      <c r="K11" s="199">
        <v>717.02</v>
      </c>
      <c r="L11" s="199">
        <v>7909.6</v>
      </c>
      <c r="M11" s="199" t="s">
        <v>244</v>
      </c>
      <c r="N11" s="199">
        <v>175</v>
      </c>
      <c r="O11" s="199">
        <v>1400</v>
      </c>
      <c r="P11" s="199">
        <v>85</v>
      </c>
      <c r="Q11" s="199">
        <v>924.5</v>
      </c>
      <c r="R11" s="199" t="s">
        <v>276</v>
      </c>
    </row>
    <row r="12" spans="1:18">
      <c r="A12" s="218">
        <v>44742</v>
      </c>
      <c r="B12" s="199" t="s">
        <v>225</v>
      </c>
      <c r="C12" s="199" t="s">
        <v>8</v>
      </c>
      <c r="D12" s="199">
        <v>2020</v>
      </c>
      <c r="E12" s="199" t="s">
        <v>119</v>
      </c>
      <c r="F12" s="199" t="s">
        <v>95</v>
      </c>
      <c r="G12" s="199" t="s">
        <v>243</v>
      </c>
      <c r="H12" s="199">
        <v>220</v>
      </c>
      <c r="I12" s="199">
        <v>12291.02</v>
      </c>
      <c r="J12" s="199">
        <v>7977.59</v>
      </c>
      <c r="K12" s="199">
        <v>0</v>
      </c>
      <c r="L12" s="199">
        <v>4294.43</v>
      </c>
      <c r="M12" s="199" t="s">
        <v>244</v>
      </c>
      <c r="N12" s="199">
        <v>12.76</v>
      </c>
      <c r="O12" s="199">
        <v>559</v>
      </c>
      <c r="P12" s="199">
        <v>2.5499999999999998</v>
      </c>
      <c r="Q12" s="199">
        <v>540</v>
      </c>
      <c r="R12" s="199" t="s">
        <v>276</v>
      </c>
    </row>
    <row r="13" spans="1:18">
      <c r="A13" s="218">
        <v>44742</v>
      </c>
      <c r="B13" s="199" t="s">
        <v>225</v>
      </c>
      <c r="C13" s="199" t="s">
        <v>8</v>
      </c>
      <c r="D13" s="199">
        <v>2020</v>
      </c>
      <c r="E13" s="199" t="s">
        <v>122</v>
      </c>
      <c r="F13" s="199" t="s">
        <v>120</v>
      </c>
      <c r="G13" s="199" t="s">
        <v>243</v>
      </c>
      <c r="H13" s="199">
        <v>632</v>
      </c>
      <c r="I13" s="199">
        <v>72526.399999999994</v>
      </c>
      <c r="J13" s="199">
        <v>-2262.48</v>
      </c>
      <c r="K13" s="199">
        <v>27869.64</v>
      </c>
      <c r="L13" s="199">
        <v>37914.559999999998</v>
      </c>
      <c r="M13" s="199" t="s">
        <v>244</v>
      </c>
      <c r="N13" s="199">
        <v>15</v>
      </c>
      <c r="O13" s="199">
        <v>200</v>
      </c>
      <c r="P13" s="199">
        <v>12.16</v>
      </c>
      <c r="Q13" s="199">
        <v>102.84</v>
      </c>
      <c r="R13" s="199" t="s">
        <v>276</v>
      </c>
    </row>
    <row r="14" spans="1:18">
      <c r="A14" s="218">
        <v>44742</v>
      </c>
      <c r="B14" s="199" t="s">
        <v>225</v>
      </c>
      <c r="C14" s="199" t="s">
        <v>8</v>
      </c>
      <c r="D14" s="199">
        <v>2020</v>
      </c>
      <c r="E14" s="199" t="s">
        <v>123</v>
      </c>
      <c r="F14" s="199" t="s">
        <v>120</v>
      </c>
      <c r="G14" s="199" t="s">
        <v>243</v>
      </c>
      <c r="H14" s="199">
        <v>10</v>
      </c>
      <c r="I14" s="199">
        <v>5339.71</v>
      </c>
      <c r="J14" s="199">
        <v>4271.7700000000004</v>
      </c>
      <c r="K14" s="199">
        <v>0</v>
      </c>
      <c r="L14" s="199">
        <v>1047.94</v>
      </c>
      <c r="M14" s="199" t="s">
        <v>244</v>
      </c>
      <c r="N14" s="199">
        <v>80.099999999999994</v>
      </c>
      <c r="O14" s="199">
        <v>2088</v>
      </c>
      <c r="P14" s="199">
        <v>16.02</v>
      </c>
      <c r="Q14" s="199">
        <v>417.6</v>
      </c>
      <c r="R14" s="199" t="s">
        <v>276</v>
      </c>
    </row>
    <row r="15" spans="1:18">
      <c r="A15" s="218">
        <v>44742</v>
      </c>
      <c r="B15" s="199" t="s">
        <v>225</v>
      </c>
      <c r="C15" s="199" t="s">
        <v>8</v>
      </c>
      <c r="D15" s="199">
        <v>2020</v>
      </c>
      <c r="E15" s="199" t="s">
        <v>250</v>
      </c>
      <c r="F15" s="199" t="s">
        <v>120</v>
      </c>
      <c r="G15" s="199" t="s">
        <v>243</v>
      </c>
      <c r="H15" s="199">
        <v>44</v>
      </c>
      <c r="I15" s="199">
        <v>2720.46</v>
      </c>
      <c r="J15" s="199">
        <v>1768.35</v>
      </c>
      <c r="K15" s="199">
        <v>0</v>
      </c>
      <c r="L15" s="199">
        <v>952.11</v>
      </c>
      <c r="M15" s="199" t="s">
        <v>244</v>
      </c>
      <c r="N15" s="199">
        <v>38.630000000000003</v>
      </c>
      <c r="O15" s="199">
        <v>154.11000000000001</v>
      </c>
      <c r="P15" s="199">
        <v>13.52</v>
      </c>
      <c r="Q15" s="199">
        <v>53.94</v>
      </c>
      <c r="R15" s="199" t="s">
        <v>276</v>
      </c>
    </row>
    <row r="16" spans="1:18">
      <c r="A16" s="218">
        <v>44742</v>
      </c>
      <c r="B16" s="199" t="s">
        <v>225</v>
      </c>
      <c r="C16" s="199" t="s">
        <v>8</v>
      </c>
      <c r="D16" s="199">
        <v>2020</v>
      </c>
      <c r="E16" s="199" t="s">
        <v>125</v>
      </c>
      <c r="F16" s="199" t="s">
        <v>120</v>
      </c>
      <c r="G16" s="199" t="s">
        <v>243</v>
      </c>
      <c r="H16" s="199">
        <v>522</v>
      </c>
      <c r="I16" s="199">
        <v>66132.820000000007</v>
      </c>
      <c r="J16" s="199">
        <v>44425.7</v>
      </c>
      <c r="K16" s="199">
        <v>540</v>
      </c>
      <c r="L16" s="199">
        <v>21167.119999999999</v>
      </c>
      <c r="M16" s="199" t="s">
        <v>244</v>
      </c>
      <c r="N16" s="199">
        <v>15</v>
      </c>
      <c r="O16" s="199">
        <v>2932</v>
      </c>
      <c r="P16" s="199">
        <v>15</v>
      </c>
      <c r="Q16" s="199">
        <v>586.4</v>
      </c>
      <c r="R16" s="199" t="s">
        <v>276</v>
      </c>
    </row>
    <row r="17" spans="1:18">
      <c r="A17" s="218">
        <v>44742</v>
      </c>
      <c r="B17" s="199" t="s">
        <v>225</v>
      </c>
      <c r="C17" s="199" t="s">
        <v>8</v>
      </c>
      <c r="D17" s="199">
        <v>2020</v>
      </c>
      <c r="E17" s="199" t="s">
        <v>251</v>
      </c>
      <c r="F17" s="199" t="s">
        <v>120</v>
      </c>
      <c r="G17" s="199" t="s">
        <v>243</v>
      </c>
      <c r="H17" s="199">
        <v>14</v>
      </c>
      <c r="I17" s="199">
        <v>174</v>
      </c>
      <c r="J17" s="199">
        <v>126</v>
      </c>
      <c r="K17" s="199">
        <v>0</v>
      </c>
      <c r="L17" s="199">
        <v>48</v>
      </c>
      <c r="M17" s="199" t="s">
        <v>244</v>
      </c>
      <c r="N17" s="199">
        <v>2</v>
      </c>
      <c r="O17" s="199">
        <v>30</v>
      </c>
      <c r="P17" s="199">
        <v>0.6</v>
      </c>
      <c r="Q17" s="199">
        <v>11.9</v>
      </c>
      <c r="R17" s="199" t="s">
        <v>276</v>
      </c>
    </row>
    <row r="18" spans="1:18">
      <c r="A18" s="218">
        <v>44742</v>
      </c>
      <c r="B18" s="199" t="s">
        <v>225</v>
      </c>
      <c r="C18" s="199" t="s">
        <v>8</v>
      </c>
      <c r="D18" s="199">
        <v>2020</v>
      </c>
      <c r="E18" s="199" t="s">
        <v>252</v>
      </c>
      <c r="F18" s="199" t="s">
        <v>120</v>
      </c>
      <c r="G18" s="199" t="s">
        <v>243</v>
      </c>
      <c r="H18" s="199">
        <v>8</v>
      </c>
      <c r="I18" s="199">
        <v>5484.8</v>
      </c>
      <c r="J18" s="199">
        <v>0</v>
      </c>
      <c r="K18" s="199">
        <v>0</v>
      </c>
      <c r="L18" s="199">
        <v>5484.8</v>
      </c>
      <c r="M18" s="199" t="s">
        <v>244</v>
      </c>
      <c r="N18" s="199">
        <v>685.6</v>
      </c>
      <c r="O18" s="199">
        <v>685.6</v>
      </c>
      <c r="P18" s="199">
        <v>685.6</v>
      </c>
      <c r="Q18" s="199">
        <v>685.6</v>
      </c>
      <c r="R18" s="199" t="s">
        <v>276</v>
      </c>
    </row>
    <row r="19" spans="1:18">
      <c r="A19" s="218">
        <v>44742</v>
      </c>
      <c r="B19" s="199" t="s">
        <v>225</v>
      </c>
      <c r="C19" s="199" t="s">
        <v>8</v>
      </c>
      <c r="D19" s="199">
        <v>2020</v>
      </c>
      <c r="E19" s="199" t="s">
        <v>253</v>
      </c>
      <c r="F19" s="199" t="s">
        <v>136</v>
      </c>
      <c r="G19" s="199" t="s">
        <v>243</v>
      </c>
      <c r="H19" s="199">
        <v>378</v>
      </c>
      <c r="I19" s="199">
        <v>96680.61</v>
      </c>
      <c r="J19" s="199">
        <v>64.470000000000198</v>
      </c>
      <c r="K19" s="199">
        <v>3163.49</v>
      </c>
      <c r="L19" s="199">
        <v>86173.040000000299</v>
      </c>
      <c r="M19" s="199" t="s">
        <v>244</v>
      </c>
      <c r="N19" s="199">
        <v>30</v>
      </c>
      <c r="O19" s="199">
        <v>1016</v>
      </c>
      <c r="P19" s="199">
        <v>24.6</v>
      </c>
      <c r="Q19" s="199">
        <v>789.94</v>
      </c>
      <c r="R19" s="199" t="s">
        <v>276</v>
      </c>
    </row>
    <row r="20" spans="1:18">
      <c r="A20" s="218">
        <v>44742</v>
      </c>
      <c r="B20" s="199" t="s">
        <v>225</v>
      </c>
      <c r="C20" s="199" t="s">
        <v>8</v>
      </c>
      <c r="D20" s="199">
        <v>2020</v>
      </c>
      <c r="E20" s="199" t="s">
        <v>138</v>
      </c>
      <c r="F20" s="199" t="s">
        <v>136</v>
      </c>
      <c r="G20" s="199" t="s">
        <v>243</v>
      </c>
      <c r="H20" s="199">
        <v>124</v>
      </c>
      <c r="I20" s="199">
        <v>10424.540000000001</v>
      </c>
      <c r="J20" s="199">
        <v>0</v>
      </c>
      <c r="K20" s="199">
        <v>0</v>
      </c>
      <c r="L20" s="199">
        <v>8883.6</v>
      </c>
      <c r="M20" s="199" t="s">
        <v>244</v>
      </c>
      <c r="N20" s="199">
        <v>15.75</v>
      </c>
      <c r="O20" s="199">
        <v>225</v>
      </c>
      <c r="P20" s="199">
        <v>15.75</v>
      </c>
      <c r="Q20" s="199">
        <v>205.68</v>
      </c>
      <c r="R20" s="199" t="s">
        <v>276</v>
      </c>
    </row>
    <row r="21" spans="1:18">
      <c r="A21" s="218">
        <v>44742</v>
      </c>
      <c r="B21" s="199" t="s">
        <v>225</v>
      </c>
      <c r="C21" s="199" t="s">
        <v>8</v>
      </c>
      <c r="D21" s="199">
        <v>2020</v>
      </c>
      <c r="E21" s="199" t="s">
        <v>90</v>
      </c>
      <c r="F21" s="199" t="s">
        <v>149</v>
      </c>
      <c r="G21" s="199" t="s">
        <v>243</v>
      </c>
      <c r="H21" s="199">
        <v>213</v>
      </c>
      <c r="I21" s="199">
        <v>13157</v>
      </c>
      <c r="J21" s="199">
        <v>0</v>
      </c>
      <c r="K21" s="199">
        <v>265.68</v>
      </c>
      <c r="L21" s="199">
        <v>12249.12</v>
      </c>
      <c r="M21" s="199" t="s">
        <v>244</v>
      </c>
      <c r="N21" s="199">
        <v>20</v>
      </c>
      <c r="O21" s="199">
        <v>160</v>
      </c>
      <c r="P21" s="199">
        <v>20</v>
      </c>
      <c r="Q21" s="199">
        <v>68.56</v>
      </c>
      <c r="R21" s="199" t="s">
        <v>276</v>
      </c>
    </row>
    <row r="22" spans="1:18">
      <c r="A22" s="218">
        <v>44742</v>
      </c>
      <c r="B22" s="199" t="s">
        <v>225</v>
      </c>
      <c r="C22" s="199" t="s">
        <v>8</v>
      </c>
      <c r="D22" s="199">
        <v>2020</v>
      </c>
      <c r="E22" s="199" t="s">
        <v>255</v>
      </c>
      <c r="F22" s="199" t="s">
        <v>149</v>
      </c>
      <c r="G22" s="199" t="s">
        <v>243</v>
      </c>
      <c r="H22" s="199">
        <v>1</v>
      </c>
      <c r="I22" s="199">
        <v>76</v>
      </c>
      <c r="J22" s="199">
        <v>0</v>
      </c>
      <c r="K22" s="199">
        <v>0</v>
      </c>
      <c r="L22" s="199">
        <v>68.56</v>
      </c>
      <c r="M22" s="199" t="s">
        <v>244</v>
      </c>
      <c r="N22" s="199">
        <v>76</v>
      </c>
      <c r="O22" s="199">
        <v>76</v>
      </c>
      <c r="P22" s="199">
        <v>68.56</v>
      </c>
      <c r="Q22" s="199">
        <v>68.56</v>
      </c>
      <c r="R22" s="199" t="s">
        <v>276</v>
      </c>
    </row>
    <row r="23" spans="1:18">
      <c r="A23" s="218">
        <v>44742</v>
      </c>
      <c r="B23" s="199" t="s">
        <v>225</v>
      </c>
      <c r="C23" s="199" t="s">
        <v>8</v>
      </c>
      <c r="D23" s="199">
        <v>2020</v>
      </c>
      <c r="E23" s="199" t="s">
        <v>154</v>
      </c>
      <c r="F23" s="199" t="s">
        <v>151</v>
      </c>
      <c r="G23" s="199" t="s">
        <v>243</v>
      </c>
      <c r="H23" s="199">
        <v>1267</v>
      </c>
      <c r="I23" s="199">
        <v>28333.529999999901</v>
      </c>
      <c r="J23" s="199">
        <v>17147.560000000001</v>
      </c>
      <c r="K23" s="199">
        <v>0</v>
      </c>
      <c r="L23" s="199">
        <v>11185.970000000099</v>
      </c>
      <c r="M23" s="199" t="s">
        <v>244</v>
      </c>
      <c r="N23" s="199">
        <v>1.35</v>
      </c>
      <c r="O23" s="199">
        <v>486</v>
      </c>
      <c r="P23" s="199">
        <v>0.27</v>
      </c>
      <c r="Q23" s="199">
        <v>194.4</v>
      </c>
      <c r="R23" s="199" t="s">
        <v>276</v>
      </c>
    </row>
    <row r="24" spans="1:18">
      <c r="A24" s="218">
        <v>44742</v>
      </c>
      <c r="B24" s="199" t="s">
        <v>225</v>
      </c>
      <c r="C24" s="199" t="s">
        <v>8</v>
      </c>
      <c r="D24" s="199">
        <v>2020</v>
      </c>
      <c r="E24" s="199" t="s">
        <v>155</v>
      </c>
      <c r="F24" s="199" t="s">
        <v>151</v>
      </c>
      <c r="G24" s="199" t="s">
        <v>243</v>
      </c>
      <c r="H24" s="199">
        <v>1944</v>
      </c>
      <c r="I24" s="199">
        <v>39376.499999999702</v>
      </c>
      <c r="J24" s="199">
        <v>15601.890000000099</v>
      </c>
      <c r="K24" s="199">
        <v>0</v>
      </c>
      <c r="L24" s="199">
        <v>23733.280000000101</v>
      </c>
      <c r="M24" s="199" t="s">
        <v>244</v>
      </c>
      <c r="N24" s="199">
        <v>1.35</v>
      </c>
      <c r="O24" s="199">
        <v>210</v>
      </c>
      <c r="P24" s="199">
        <v>0.27</v>
      </c>
      <c r="Q24" s="199">
        <v>128.63999999999999</v>
      </c>
      <c r="R24" s="199" t="s">
        <v>276</v>
      </c>
    </row>
    <row r="25" spans="1:18">
      <c r="A25" s="218">
        <v>44742</v>
      </c>
      <c r="B25" s="199" t="s">
        <v>225</v>
      </c>
      <c r="C25" s="199" t="s">
        <v>8</v>
      </c>
      <c r="D25" s="199">
        <v>2020</v>
      </c>
      <c r="E25" s="199" t="s">
        <v>256</v>
      </c>
      <c r="F25" s="199" t="s">
        <v>151</v>
      </c>
      <c r="G25" s="199" t="s">
        <v>243</v>
      </c>
      <c r="H25" s="199">
        <v>5371</v>
      </c>
      <c r="I25" s="199">
        <v>259927.06000000099</v>
      </c>
      <c r="J25" s="199">
        <v>101608.210000001</v>
      </c>
      <c r="K25" s="199">
        <v>94663.969999999201</v>
      </c>
      <c r="L25" s="199">
        <v>17257.950000000299</v>
      </c>
      <c r="M25" s="199" t="s">
        <v>244</v>
      </c>
      <c r="N25" s="199">
        <v>0.51</v>
      </c>
      <c r="O25" s="199">
        <v>3500</v>
      </c>
      <c r="P25" s="199">
        <v>0.3</v>
      </c>
      <c r="Q25" s="199">
        <v>927.33</v>
      </c>
      <c r="R25" s="199" t="s">
        <v>276</v>
      </c>
    </row>
    <row r="26" spans="1:18">
      <c r="A26" s="218">
        <v>44742</v>
      </c>
      <c r="B26" s="199" t="s">
        <v>225</v>
      </c>
      <c r="C26" s="199" t="s">
        <v>8</v>
      </c>
      <c r="D26" s="199">
        <v>2020</v>
      </c>
      <c r="E26" s="199" t="s">
        <v>257</v>
      </c>
      <c r="F26" s="199" t="s">
        <v>151</v>
      </c>
      <c r="G26" s="199" t="s">
        <v>243</v>
      </c>
      <c r="H26" s="199">
        <v>1073</v>
      </c>
      <c r="I26" s="199">
        <v>60157.200000000099</v>
      </c>
      <c r="J26" s="199">
        <v>25944.53</v>
      </c>
      <c r="K26" s="199">
        <v>6534.36</v>
      </c>
      <c r="L26" s="199">
        <v>24210.230000000101</v>
      </c>
      <c r="M26" s="199" t="s">
        <v>244</v>
      </c>
      <c r="N26" s="199">
        <v>0.75</v>
      </c>
      <c r="O26" s="199">
        <v>249.25</v>
      </c>
      <c r="P26" s="199">
        <v>0.02</v>
      </c>
      <c r="Q26" s="199">
        <v>130</v>
      </c>
      <c r="R26" s="199" t="s">
        <v>276</v>
      </c>
    </row>
    <row r="27" spans="1:18">
      <c r="A27" s="218">
        <v>44742</v>
      </c>
      <c r="B27" s="199" t="s">
        <v>225</v>
      </c>
      <c r="C27" s="199" t="s">
        <v>8</v>
      </c>
      <c r="D27" s="199">
        <v>2020</v>
      </c>
      <c r="E27" s="199" t="s">
        <v>148</v>
      </c>
      <c r="F27" s="199" t="s">
        <v>151</v>
      </c>
      <c r="G27" s="199" t="s">
        <v>243</v>
      </c>
      <c r="H27" s="199">
        <v>19142</v>
      </c>
      <c r="I27" s="199">
        <v>66122.329999997295</v>
      </c>
      <c r="J27" s="199">
        <v>37182.930000004897</v>
      </c>
      <c r="K27" s="199">
        <v>0</v>
      </c>
      <c r="L27" s="199">
        <v>28890.820000000502</v>
      </c>
      <c r="M27" s="199" t="s">
        <v>244</v>
      </c>
      <c r="N27" s="199">
        <v>0.1</v>
      </c>
      <c r="O27" s="199">
        <v>1080</v>
      </c>
      <c r="P27" s="199">
        <v>0.03</v>
      </c>
      <c r="Q27" s="199">
        <v>756</v>
      </c>
      <c r="R27" s="199" t="s">
        <v>276</v>
      </c>
    </row>
    <row r="28" spans="1:18">
      <c r="A28" s="218">
        <v>44742</v>
      </c>
      <c r="B28" s="199" t="s">
        <v>225</v>
      </c>
      <c r="C28" s="199" t="s">
        <v>8</v>
      </c>
      <c r="D28" s="199">
        <v>2021</v>
      </c>
      <c r="E28" s="199" t="s">
        <v>241</v>
      </c>
      <c r="F28" s="199" t="s">
        <v>242</v>
      </c>
      <c r="G28" s="199" t="s">
        <v>243</v>
      </c>
      <c r="H28" s="199">
        <v>548</v>
      </c>
      <c r="I28" s="199">
        <v>22552.74</v>
      </c>
      <c r="J28" s="199">
        <v>10875.83</v>
      </c>
      <c r="K28" s="199">
        <v>118.34</v>
      </c>
      <c r="L28" s="199">
        <v>9942.1199999999899</v>
      </c>
      <c r="M28" s="199" t="s">
        <v>244</v>
      </c>
      <c r="N28" s="199">
        <v>1.61</v>
      </c>
      <c r="O28" s="199">
        <v>700</v>
      </c>
      <c r="P28" s="199">
        <v>0.46</v>
      </c>
      <c r="Q28" s="199">
        <v>450</v>
      </c>
      <c r="R28" s="199" t="s">
        <v>276</v>
      </c>
    </row>
    <row r="29" spans="1:18">
      <c r="A29" s="218">
        <v>44742</v>
      </c>
      <c r="B29" s="199" t="s">
        <v>225</v>
      </c>
      <c r="C29" s="199" t="s">
        <v>8</v>
      </c>
      <c r="D29" s="199">
        <v>2021</v>
      </c>
      <c r="F29" s="199" t="s">
        <v>85</v>
      </c>
      <c r="G29" s="199" t="s">
        <v>243</v>
      </c>
      <c r="H29" s="199">
        <v>517</v>
      </c>
      <c r="I29" s="199">
        <v>21998.6699999999</v>
      </c>
      <c r="J29" s="199">
        <v>4702.8900000000103</v>
      </c>
      <c r="K29" s="199">
        <v>0</v>
      </c>
      <c r="L29" s="199">
        <v>15607.720000000099</v>
      </c>
      <c r="M29" s="199" t="s">
        <v>244</v>
      </c>
      <c r="N29" s="199">
        <v>1.35</v>
      </c>
      <c r="O29" s="199">
        <v>4564.0600000000004</v>
      </c>
      <c r="P29" s="199">
        <v>0.34</v>
      </c>
      <c r="Q29" s="199">
        <v>3428</v>
      </c>
      <c r="R29" s="199" t="s">
        <v>276</v>
      </c>
    </row>
    <row r="30" spans="1:18">
      <c r="A30" s="218">
        <v>44742</v>
      </c>
      <c r="B30" s="199" t="s">
        <v>225</v>
      </c>
      <c r="C30" s="199" t="s">
        <v>8</v>
      </c>
      <c r="D30" s="199">
        <v>2021</v>
      </c>
      <c r="E30" s="199" t="s">
        <v>93</v>
      </c>
      <c r="F30" s="199" t="s">
        <v>92</v>
      </c>
      <c r="G30" s="199" t="s">
        <v>243</v>
      </c>
      <c r="H30" s="199">
        <v>6</v>
      </c>
      <c r="I30" s="199">
        <v>913.17</v>
      </c>
      <c r="J30" s="199">
        <v>440.56</v>
      </c>
      <c r="K30" s="199">
        <v>0</v>
      </c>
      <c r="L30" s="199">
        <v>422.61</v>
      </c>
      <c r="M30" s="199" t="s">
        <v>244</v>
      </c>
      <c r="N30" s="199">
        <v>60</v>
      </c>
      <c r="O30" s="199">
        <v>613.16999999999996</v>
      </c>
      <c r="P30" s="199">
        <v>40</v>
      </c>
      <c r="Q30" s="199">
        <v>210.61</v>
      </c>
      <c r="R30" s="199" t="s">
        <v>276</v>
      </c>
    </row>
    <row r="31" spans="1:18">
      <c r="A31" s="218">
        <v>44742</v>
      </c>
      <c r="B31" s="199" t="s">
        <v>225</v>
      </c>
      <c r="C31" s="199" t="s">
        <v>8</v>
      </c>
      <c r="D31" s="199">
        <v>2021</v>
      </c>
      <c r="E31" s="199" t="s">
        <v>86</v>
      </c>
      <c r="F31" s="199" t="s">
        <v>95</v>
      </c>
      <c r="G31" s="199" t="s">
        <v>243</v>
      </c>
      <c r="H31" s="199">
        <v>365</v>
      </c>
      <c r="I31" s="199">
        <v>8509.3200000000106</v>
      </c>
      <c r="J31" s="199">
        <v>5562.7199999999602</v>
      </c>
      <c r="K31" s="199">
        <v>57.84</v>
      </c>
      <c r="L31" s="199">
        <v>2680.12</v>
      </c>
      <c r="M31" s="199" t="s">
        <v>244</v>
      </c>
      <c r="N31" s="199">
        <v>14.46</v>
      </c>
      <c r="O31" s="199">
        <v>180</v>
      </c>
      <c r="P31" s="199">
        <v>3.61</v>
      </c>
      <c r="Q31" s="199">
        <v>68.56</v>
      </c>
      <c r="R31" s="199" t="s">
        <v>276</v>
      </c>
    </row>
    <row r="32" spans="1:18">
      <c r="A32" s="218">
        <v>44742</v>
      </c>
      <c r="B32" s="199" t="s">
        <v>225</v>
      </c>
      <c r="C32" s="199" t="s">
        <v>8</v>
      </c>
      <c r="D32" s="199">
        <v>2021</v>
      </c>
      <c r="E32" s="199" t="s">
        <v>245</v>
      </c>
      <c r="F32" s="199" t="s">
        <v>95</v>
      </c>
      <c r="G32" s="199" t="s">
        <v>243</v>
      </c>
      <c r="H32" s="199">
        <v>50</v>
      </c>
      <c r="I32" s="199">
        <v>25373.84</v>
      </c>
      <c r="J32" s="199">
        <v>5468.57</v>
      </c>
      <c r="K32" s="199">
        <v>0</v>
      </c>
      <c r="L32" s="199">
        <v>18342.77</v>
      </c>
      <c r="M32" s="199" t="s">
        <v>244</v>
      </c>
      <c r="N32" s="199">
        <v>26.5</v>
      </c>
      <c r="O32" s="199">
        <v>1100</v>
      </c>
      <c r="P32" s="199">
        <v>12.9</v>
      </c>
      <c r="Q32" s="199">
        <v>774</v>
      </c>
      <c r="R32" s="199" t="s">
        <v>276</v>
      </c>
    </row>
    <row r="33" spans="1:18">
      <c r="A33" s="218">
        <v>44742</v>
      </c>
      <c r="B33" s="199" t="s">
        <v>225</v>
      </c>
      <c r="C33" s="199" t="s">
        <v>8</v>
      </c>
      <c r="D33" s="199">
        <v>2021</v>
      </c>
      <c r="E33" s="199" t="s">
        <v>246</v>
      </c>
      <c r="F33" s="199" t="s">
        <v>95</v>
      </c>
      <c r="G33" s="199" t="s">
        <v>243</v>
      </c>
      <c r="H33" s="199">
        <v>35</v>
      </c>
      <c r="I33" s="199">
        <v>6443.2</v>
      </c>
      <c r="J33" s="199">
        <v>255.15</v>
      </c>
      <c r="K33" s="199">
        <v>0</v>
      </c>
      <c r="L33" s="199">
        <v>5368.33</v>
      </c>
      <c r="M33" s="199" t="s">
        <v>244</v>
      </c>
      <c r="N33" s="199">
        <v>20.9</v>
      </c>
      <c r="O33" s="199">
        <v>780</v>
      </c>
      <c r="P33" s="199">
        <v>6.27</v>
      </c>
      <c r="Q33" s="199">
        <v>540</v>
      </c>
      <c r="R33" s="199" t="s">
        <v>276</v>
      </c>
    </row>
    <row r="34" spans="1:18">
      <c r="A34" s="218">
        <v>44742</v>
      </c>
      <c r="B34" s="199" t="s">
        <v>225</v>
      </c>
      <c r="C34" s="199" t="s">
        <v>8</v>
      </c>
      <c r="D34" s="199">
        <v>2021</v>
      </c>
      <c r="E34" s="199" t="s">
        <v>247</v>
      </c>
      <c r="F34" s="199" t="s">
        <v>95</v>
      </c>
      <c r="G34" s="199" t="s">
        <v>243</v>
      </c>
      <c r="H34" s="199">
        <v>57</v>
      </c>
      <c r="I34" s="199">
        <v>17888.900000000001</v>
      </c>
      <c r="J34" s="199">
        <v>3128.43</v>
      </c>
      <c r="K34" s="199">
        <v>0</v>
      </c>
      <c r="L34" s="199">
        <v>14380.47</v>
      </c>
      <c r="M34" s="199" t="s">
        <v>244</v>
      </c>
      <c r="N34" s="199">
        <v>38.700000000000003</v>
      </c>
      <c r="O34" s="199">
        <v>1100</v>
      </c>
      <c r="P34" s="199">
        <v>11.61</v>
      </c>
      <c r="Q34" s="199">
        <v>972.07</v>
      </c>
      <c r="R34" s="199" t="s">
        <v>276</v>
      </c>
    </row>
    <row r="35" spans="1:18">
      <c r="A35" s="218">
        <v>44742</v>
      </c>
      <c r="B35" s="199" t="s">
        <v>225</v>
      </c>
      <c r="C35" s="199" t="s">
        <v>8</v>
      </c>
      <c r="D35" s="199">
        <v>2021</v>
      </c>
      <c r="E35" s="199" t="s">
        <v>248</v>
      </c>
      <c r="F35" s="199" t="s">
        <v>95</v>
      </c>
      <c r="G35" s="199" t="s">
        <v>243</v>
      </c>
      <c r="H35" s="199">
        <v>129</v>
      </c>
      <c r="I35" s="199">
        <v>65890.5</v>
      </c>
      <c r="J35" s="199">
        <v>4583.5</v>
      </c>
      <c r="K35" s="199">
        <v>7005.75</v>
      </c>
      <c r="L35" s="199">
        <v>35414.5</v>
      </c>
      <c r="M35" s="199" t="s">
        <v>244</v>
      </c>
      <c r="N35" s="199">
        <v>50</v>
      </c>
      <c r="O35" s="199">
        <v>1550</v>
      </c>
      <c r="P35" s="199">
        <v>5</v>
      </c>
      <c r="Q35" s="199">
        <v>540</v>
      </c>
      <c r="R35" s="199" t="s">
        <v>276</v>
      </c>
    </row>
    <row r="36" spans="1:18">
      <c r="A36" s="218">
        <v>44742</v>
      </c>
      <c r="B36" s="199" t="s">
        <v>225</v>
      </c>
      <c r="C36" s="199" t="s">
        <v>8</v>
      </c>
      <c r="D36" s="199">
        <v>2021</v>
      </c>
      <c r="E36" s="199" t="s">
        <v>249</v>
      </c>
      <c r="F36" s="199" t="s">
        <v>95</v>
      </c>
      <c r="G36" s="199" t="s">
        <v>243</v>
      </c>
      <c r="H36" s="199">
        <v>26</v>
      </c>
      <c r="I36" s="199">
        <v>16980</v>
      </c>
      <c r="J36" s="199">
        <v>2711.88</v>
      </c>
      <c r="K36" s="199">
        <v>0</v>
      </c>
      <c r="L36" s="199">
        <v>12471.87</v>
      </c>
      <c r="M36" s="199" t="s">
        <v>244</v>
      </c>
      <c r="N36" s="199">
        <v>175</v>
      </c>
      <c r="O36" s="199">
        <v>1900</v>
      </c>
      <c r="P36" s="199">
        <v>85</v>
      </c>
      <c r="Q36" s="199">
        <v>1201.8499999999999</v>
      </c>
      <c r="R36" s="199" t="s">
        <v>276</v>
      </c>
    </row>
    <row r="37" spans="1:18">
      <c r="A37" s="218">
        <v>44742</v>
      </c>
      <c r="B37" s="199" t="s">
        <v>225</v>
      </c>
      <c r="C37" s="199" t="s">
        <v>8</v>
      </c>
      <c r="D37" s="199">
        <v>2021</v>
      </c>
      <c r="E37" s="199" t="s">
        <v>119</v>
      </c>
      <c r="F37" s="199" t="s">
        <v>95</v>
      </c>
      <c r="G37" s="199" t="s">
        <v>243</v>
      </c>
      <c r="H37" s="199">
        <v>241</v>
      </c>
      <c r="I37" s="199">
        <v>16587.650000000001</v>
      </c>
      <c r="J37" s="199">
        <v>8605.0100000000093</v>
      </c>
      <c r="K37" s="199">
        <v>0</v>
      </c>
      <c r="L37" s="199">
        <v>7293.0099999999902</v>
      </c>
      <c r="M37" s="199" t="s">
        <v>244</v>
      </c>
      <c r="N37" s="199">
        <v>17.989999999999998</v>
      </c>
      <c r="O37" s="199">
        <v>528.03</v>
      </c>
      <c r="P37" s="199">
        <v>5.4</v>
      </c>
      <c r="Q37" s="199">
        <v>500</v>
      </c>
      <c r="R37" s="199" t="s">
        <v>276</v>
      </c>
    </row>
    <row r="38" spans="1:18">
      <c r="A38" s="218">
        <v>44742</v>
      </c>
      <c r="B38" s="199" t="s">
        <v>225</v>
      </c>
      <c r="C38" s="199" t="s">
        <v>8</v>
      </c>
      <c r="D38" s="199">
        <v>2021</v>
      </c>
      <c r="E38" s="199" t="s">
        <v>122</v>
      </c>
      <c r="F38" s="199" t="s">
        <v>120</v>
      </c>
      <c r="G38" s="199" t="s">
        <v>243</v>
      </c>
      <c r="H38" s="199">
        <v>108</v>
      </c>
      <c r="I38" s="199">
        <v>9894</v>
      </c>
      <c r="J38" s="199">
        <v>0</v>
      </c>
      <c r="K38" s="199">
        <v>2091.12</v>
      </c>
      <c r="L38" s="199">
        <v>6938.08</v>
      </c>
      <c r="M38" s="199" t="s">
        <v>244</v>
      </c>
      <c r="N38" s="199">
        <v>40</v>
      </c>
      <c r="O38" s="199">
        <v>155</v>
      </c>
      <c r="P38" s="199">
        <v>17.16</v>
      </c>
      <c r="Q38" s="199">
        <v>102.84</v>
      </c>
      <c r="R38" s="199" t="s">
        <v>276</v>
      </c>
    </row>
    <row r="39" spans="1:18">
      <c r="A39" s="218">
        <v>44742</v>
      </c>
      <c r="B39" s="199" t="s">
        <v>225</v>
      </c>
      <c r="C39" s="199" t="s">
        <v>8</v>
      </c>
      <c r="D39" s="199">
        <v>2021</v>
      </c>
      <c r="E39" s="199" t="s">
        <v>123</v>
      </c>
      <c r="F39" s="199" t="s">
        <v>120</v>
      </c>
      <c r="G39" s="199" t="s">
        <v>243</v>
      </c>
      <c r="H39" s="199">
        <v>7</v>
      </c>
      <c r="I39" s="199">
        <v>5705.8</v>
      </c>
      <c r="J39" s="199">
        <v>4564.6400000000003</v>
      </c>
      <c r="K39" s="199">
        <v>0</v>
      </c>
      <c r="L39" s="199">
        <v>1141.1600000000001</v>
      </c>
      <c r="M39" s="199" t="s">
        <v>244</v>
      </c>
      <c r="N39" s="199">
        <v>59.65</v>
      </c>
      <c r="O39" s="199">
        <v>2961.4</v>
      </c>
      <c r="P39" s="199">
        <v>11.93</v>
      </c>
      <c r="Q39" s="199">
        <v>592.28</v>
      </c>
      <c r="R39" s="199" t="s">
        <v>276</v>
      </c>
    </row>
    <row r="40" spans="1:18">
      <c r="A40" s="218">
        <v>44742</v>
      </c>
      <c r="B40" s="199" t="s">
        <v>225</v>
      </c>
      <c r="C40" s="199" t="s">
        <v>8</v>
      </c>
      <c r="D40" s="199">
        <v>2021</v>
      </c>
      <c r="E40" s="199" t="s">
        <v>250</v>
      </c>
      <c r="F40" s="199" t="s">
        <v>120</v>
      </c>
      <c r="G40" s="199" t="s">
        <v>243</v>
      </c>
      <c r="H40" s="199">
        <v>5</v>
      </c>
      <c r="I40" s="199">
        <v>642.37</v>
      </c>
      <c r="J40" s="199">
        <v>417.55</v>
      </c>
      <c r="K40" s="199">
        <v>0</v>
      </c>
      <c r="L40" s="199">
        <v>224.82</v>
      </c>
      <c r="M40" s="199" t="s">
        <v>244</v>
      </c>
      <c r="N40" s="199">
        <v>47.71</v>
      </c>
      <c r="O40" s="199">
        <v>166.41</v>
      </c>
      <c r="P40" s="199">
        <v>16.7</v>
      </c>
      <c r="Q40" s="199">
        <v>58.24</v>
      </c>
      <c r="R40" s="199" t="s">
        <v>276</v>
      </c>
    </row>
    <row r="41" spans="1:18">
      <c r="A41" s="218">
        <v>44742</v>
      </c>
      <c r="B41" s="199" t="s">
        <v>225</v>
      </c>
      <c r="C41" s="199" t="s">
        <v>8</v>
      </c>
      <c r="D41" s="199">
        <v>2021</v>
      </c>
      <c r="E41" s="199" t="s">
        <v>125</v>
      </c>
      <c r="F41" s="199" t="s">
        <v>120</v>
      </c>
      <c r="G41" s="199" t="s">
        <v>243</v>
      </c>
      <c r="H41" s="199">
        <v>200</v>
      </c>
      <c r="I41" s="199">
        <v>34139.050000000003</v>
      </c>
      <c r="J41" s="199">
        <v>20610.71</v>
      </c>
      <c r="K41" s="199">
        <v>426.1</v>
      </c>
      <c r="L41" s="199">
        <v>10917.68</v>
      </c>
      <c r="M41" s="199" t="s">
        <v>244</v>
      </c>
      <c r="N41" s="199">
        <v>20</v>
      </c>
      <c r="O41" s="199">
        <v>2379</v>
      </c>
      <c r="P41" s="199">
        <v>10.63</v>
      </c>
      <c r="Q41" s="199">
        <v>800</v>
      </c>
      <c r="R41" s="199" t="s">
        <v>276</v>
      </c>
    </row>
    <row r="42" spans="1:18">
      <c r="A42" s="218">
        <v>44742</v>
      </c>
      <c r="B42" s="199" t="s">
        <v>225</v>
      </c>
      <c r="C42" s="199" t="s">
        <v>8</v>
      </c>
      <c r="D42" s="199">
        <v>2021</v>
      </c>
      <c r="E42" s="199" t="s">
        <v>251</v>
      </c>
      <c r="F42" s="199" t="s">
        <v>120</v>
      </c>
      <c r="G42" s="199" t="s">
        <v>243</v>
      </c>
      <c r="H42" s="199">
        <v>17</v>
      </c>
      <c r="I42" s="199">
        <v>376.59</v>
      </c>
      <c r="J42" s="199">
        <v>235.9</v>
      </c>
      <c r="K42" s="199">
        <v>0</v>
      </c>
      <c r="L42" s="199">
        <v>140.69</v>
      </c>
      <c r="M42" s="199" t="s">
        <v>244</v>
      </c>
      <c r="N42" s="199">
        <v>3.15</v>
      </c>
      <c r="O42" s="199">
        <v>70</v>
      </c>
      <c r="P42" s="199">
        <v>1.18</v>
      </c>
      <c r="Q42" s="199">
        <v>28</v>
      </c>
      <c r="R42" s="199" t="s">
        <v>276</v>
      </c>
    </row>
    <row r="43" spans="1:18">
      <c r="A43" s="218">
        <v>44742</v>
      </c>
      <c r="B43" s="199" t="s">
        <v>225</v>
      </c>
      <c r="C43" s="199" t="s">
        <v>8</v>
      </c>
      <c r="D43" s="199">
        <v>2021</v>
      </c>
      <c r="E43" s="199" t="s">
        <v>252</v>
      </c>
      <c r="F43" s="199" t="s">
        <v>120</v>
      </c>
      <c r="G43" s="199" t="s">
        <v>243</v>
      </c>
      <c r="H43" s="199">
        <v>2</v>
      </c>
      <c r="I43" s="199">
        <v>1371.2</v>
      </c>
      <c r="J43" s="199">
        <v>0</v>
      </c>
      <c r="K43" s="199">
        <v>0</v>
      </c>
      <c r="L43" s="199">
        <v>1371.2</v>
      </c>
      <c r="M43" s="199" t="s">
        <v>244</v>
      </c>
      <c r="N43" s="199">
        <v>685.6</v>
      </c>
      <c r="O43" s="199">
        <v>685.6</v>
      </c>
      <c r="P43" s="199">
        <v>685.6</v>
      </c>
      <c r="Q43" s="199">
        <v>685.6</v>
      </c>
      <c r="R43" s="199" t="s">
        <v>276</v>
      </c>
    </row>
    <row r="44" spans="1:18">
      <c r="A44" s="218">
        <v>44742</v>
      </c>
      <c r="B44" s="199" t="s">
        <v>225</v>
      </c>
      <c r="C44" s="199" t="s">
        <v>8</v>
      </c>
      <c r="D44" s="199">
        <v>2021</v>
      </c>
      <c r="E44" s="199" t="s">
        <v>253</v>
      </c>
      <c r="F44" s="199" t="s">
        <v>136</v>
      </c>
      <c r="G44" s="199" t="s">
        <v>243</v>
      </c>
      <c r="H44" s="199">
        <v>264</v>
      </c>
      <c r="I44" s="199">
        <v>77682.33</v>
      </c>
      <c r="J44" s="199">
        <v>17.170000000000002</v>
      </c>
      <c r="K44" s="199">
        <v>2083.17</v>
      </c>
      <c r="L44" s="199">
        <v>63195.620000000199</v>
      </c>
      <c r="M44" s="199" t="s">
        <v>244</v>
      </c>
      <c r="N44" s="199">
        <v>30</v>
      </c>
      <c r="O44" s="199">
        <v>1260</v>
      </c>
      <c r="P44" s="199">
        <v>4</v>
      </c>
      <c r="Q44" s="199">
        <v>699.9</v>
      </c>
      <c r="R44" s="199" t="s">
        <v>276</v>
      </c>
    </row>
    <row r="45" spans="1:18">
      <c r="A45" s="218">
        <v>44742</v>
      </c>
      <c r="B45" s="199" t="s">
        <v>225</v>
      </c>
      <c r="C45" s="199" t="s">
        <v>8</v>
      </c>
      <c r="D45" s="199">
        <v>2021</v>
      </c>
      <c r="E45" s="199" t="s">
        <v>254</v>
      </c>
      <c r="F45" s="199" t="s">
        <v>136</v>
      </c>
      <c r="G45" s="199" t="s">
        <v>243</v>
      </c>
      <c r="H45" s="199">
        <v>1</v>
      </c>
      <c r="I45" s="199">
        <v>1400</v>
      </c>
      <c r="J45" s="199">
        <v>0</v>
      </c>
      <c r="K45" s="199">
        <v>0</v>
      </c>
      <c r="L45" s="199">
        <v>700</v>
      </c>
      <c r="M45" s="199" t="s">
        <v>244</v>
      </c>
      <c r="N45" s="199">
        <v>1400</v>
      </c>
      <c r="O45" s="199">
        <v>1400</v>
      </c>
      <c r="P45" s="199">
        <v>700</v>
      </c>
      <c r="Q45" s="199">
        <v>700</v>
      </c>
      <c r="R45" s="199" t="s">
        <v>276</v>
      </c>
    </row>
    <row r="46" spans="1:18">
      <c r="A46" s="218">
        <v>44742</v>
      </c>
      <c r="B46" s="199" t="s">
        <v>225</v>
      </c>
      <c r="C46" s="199" t="s">
        <v>8</v>
      </c>
      <c r="D46" s="199">
        <v>2021</v>
      </c>
      <c r="E46" s="199" t="s">
        <v>138</v>
      </c>
      <c r="F46" s="199" t="s">
        <v>136</v>
      </c>
      <c r="G46" s="199" t="s">
        <v>243</v>
      </c>
      <c r="H46" s="199">
        <v>126</v>
      </c>
      <c r="I46" s="199">
        <v>10760.7</v>
      </c>
      <c r="J46" s="199">
        <v>47.38</v>
      </c>
      <c r="K46" s="199">
        <v>102.68</v>
      </c>
      <c r="L46" s="199">
        <v>9436.42</v>
      </c>
      <c r="M46" s="199" t="s">
        <v>244</v>
      </c>
      <c r="N46" s="199">
        <v>15.75</v>
      </c>
      <c r="O46" s="199">
        <v>208</v>
      </c>
      <c r="P46" s="199">
        <v>0.32</v>
      </c>
      <c r="Q46" s="199">
        <v>205.68</v>
      </c>
      <c r="R46" s="199" t="s">
        <v>276</v>
      </c>
    </row>
    <row r="47" spans="1:18">
      <c r="A47" s="218">
        <v>44742</v>
      </c>
      <c r="B47" s="199" t="s">
        <v>225</v>
      </c>
      <c r="C47" s="199" t="s">
        <v>8</v>
      </c>
      <c r="D47" s="199">
        <v>2021</v>
      </c>
      <c r="E47" s="199" t="s">
        <v>90</v>
      </c>
      <c r="F47" s="199" t="s">
        <v>149</v>
      </c>
      <c r="G47" s="199" t="s">
        <v>243</v>
      </c>
      <c r="H47" s="199">
        <v>200</v>
      </c>
      <c r="I47" s="199">
        <v>11321</v>
      </c>
      <c r="J47" s="199">
        <v>0</v>
      </c>
      <c r="K47" s="199">
        <v>40</v>
      </c>
      <c r="L47" s="199">
        <v>10853.4</v>
      </c>
      <c r="M47" s="199" t="s">
        <v>244</v>
      </c>
      <c r="N47" s="199">
        <v>20</v>
      </c>
      <c r="O47" s="199">
        <v>110</v>
      </c>
      <c r="P47" s="199">
        <v>20</v>
      </c>
      <c r="Q47" s="199">
        <v>68.56</v>
      </c>
      <c r="R47" s="199" t="s">
        <v>276</v>
      </c>
    </row>
    <row r="48" spans="1:18">
      <c r="A48" s="218">
        <v>44742</v>
      </c>
      <c r="B48" s="199" t="s">
        <v>225</v>
      </c>
      <c r="C48" s="199" t="s">
        <v>8</v>
      </c>
      <c r="D48" s="199">
        <v>2021</v>
      </c>
      <c r="E48" s="199" t="s">
        <v>255</v>
      </c>
      <c r="F48" s="199" t="s">
        <v>149</v>
      </c>
      <c r="G48" s="199" t="s">
        <v>243</v>
      </c>
      <c r="H48" s="199">
        <v>4</v>
      </c>
      <c r="I48" s="199">
        <v>209.02</v>
      </c>
      <c r="J48" s="199">
        <v>0</v>
      </c>
      <c r="K48" s="199">
        <v>0</v>
      </c>
      <c r="L48" s="199">
        <v>193.5</v>
      </c>
      <c r="M48" s="199" t="s">
        <v>244</v>
      </c>
      <c r="N48" s="199">
        <v>18.940000000000001</v>
      </c>
      <c r="O48" s="199">
        <v>84.08</v>
      </c>
      <c r="P48" s="199">
        <v>18.940000000000001</v>
      </c>
      <c r="Q48" s="199">
        <v>68.56</v>
      </c>
      <c r="R48" s="199" t="s">
        <v>276</v>
      </c>
    </row>
    <row r="49" spans="1:18">
      <c r="A49" s="218">
        <v>44742</v>
      </c>
      <c r="B49" s="199" t="s">
        <v>225</v>
      </c>
      <c r="C49" s="199" t="s">
        <v>8</v>
      </c>
      <c r="D49" s="199">
        <v>2021</v>
      </c>
      <c r="E49" s="199" t="s">
        <v>154</v>
      </c>
      <c r="F49" s="199" t="s">
        <v>151</v>
      </c>
      <c r="G49" s="199" t="s">
        <v>243</v>
      </c>
      <c r="H49" s="199">
        <v>1088</v>
      </c>
      <c r="I49" s="199">
        <v>25599.84</v>
      </c>
      <c r="J49" s="199">
        <v>15405.59</v>
      </c>
      <c r="K49" s="199">
        <v>0</v>
      </c>
      <c r="L49" s="199">
        <v>10194.25</v>
      </c>
      <c r="M49" s="199" t="s">
        <v>244</v>
      </c>
      <c r="N49" s="199">
        <v>0.54</v>
      </c>
      <c r="O49" s="199">
        <v>235.17</v>
      </c>
      <c r="P49" s="199">
        <v>0.22</v>
      </c>
      <c r="Q49" s="199">
        <v>94.07</v>
      </c>
      <c r="R49" s="199" t="s">
        <v>276</v>
      </c>
    </row>
    <row r="50" spans="1:18">
      <c r="A50" s="218">
        <v>44742</v>
      </c>
      <c r="B50" s="199" t="s">
        <v>225</v>
      </c>
      <c r="C50" s="199" t="s">
        <v>8</v>
      </c>
      <c r="D50" s="199">
        <v>2021</v>
      </c>
      <c r="E50" s="199" t="s">
        <v>155</v>
      </c>
      <c r="F50" s="199" t="s">
        <v>151</v>
      </c>
      <c r="G50" s="199" t="s">
        <v>243</v>
      </c>
      <c r="H50" s="199">
        <v>1728</v>
      </c>
      <c r="I50" s="199">
        <v>30670.2399999999</v>
      </c>
      <c r="J50" s="199">
        <v>12566.040000000099</v>
      </c>
      <c r="K50" s="199">
        <v>20</v>
      </c>
      <c r="L50" s="199">
        <v>17996.3300000001</v>
      </c>
      <c r="M50" s="199" t="s">
        <v>244</v>
      </c>
      <c r="N50" s="199">
        <v>1.35</v>
      </c>
      <c r="O50" s="199">
        <v>210</v>
      </c>
      <c r="P50" s="199">
        <v>0.54</v>
      </c>
      <c r="Q50" s="199">
        <v>128.63999999999999</v>
      </c>
      <c r="R50" s="199" t="s">
        <v>276</v>
      </c>
    </row>
    <row r="51" spans="1:18">
      <c r="A51" s="218">
        <v>44742</v>
      </c>
      <c r="B51" s="199" t="s">
        <v>225</v>
      </c>
      <c r="C51" s="199" t="s">
        <v>8</v>
      </c>
      <c r="D51" s="199">
        <v>2021</v>
      </c>
      <c r="E51" s="199" t="s">
        <v>256</v>
      </c>
      <c r="F51" s="199" t="s">
        <v>151</v>
      </c>
      <c r="G51" s="199" t="s">
        <v>243</v>
      </c>
      <c r="H51" s="199">
        <v>4149</v>
      </c>
      <c r="I51" s="199">
        <v>202844.22</v>
      </c>
      <c r="J51" s="199">
        <v>78434.330000000497</v>
      </c>
      <c r="K51" s="199">
        <v>16371.39</v>
      </c>
      <c r="L51" s="199">
        <v>75881.689999999799</v>
      </c>
      <c r="M51" s="199" t="s">
        <v>244</v>
      </c>
      <c r="N51" s="199">
        <v>2</v>
      </c>
      <c r="O51" s="199">
        <v>3730.34</v>
      </c>
      <c r="P51" s="199">
        <v>0.09</v>
      </c>
      <c r="Q51" s="199">
        <v>2191.02</v>
      </c>
      <c r="R51" s="199" t="s">
        <v>276</v>
      </c>
    </row>
    <row r="52" spans="1:18">
      <c r="A52" s="218">
        <v>44742</v>
      </c>
      <c r="B52" s="199" t="s">
        <v>225</v>
      </c>
      <c r="C52" s="199" t="s">
        <v>8</v>
      </c>
      <c r="D52" s="199">
        <v>2021</v>
      </c>
      <c r="E52" s="199" t="s">
        <v>257</v>
      </c>
      <c r="F52" s="199" t="s">
        <v>151</v>
      </c>
      <c r="G52" s="199" t="s">
        <v>243</v>
      </c>
      <c r="H52" s="199">
        <v>1009</v>
      </c>
      <c r="I52" s="199">
        <v>57169.48</v>
      </c>
      <c r="J52" s="199">
        <v>24572.400000000001</v>
      </c>
      <c r="K52" s="199">
        <v>5352.83</v>
      </c>
      <c r="L52" s="199">
        <v>22320.880000000001</v>
      </c>
      <c r="M52" s="199" t="s">
        <v>244</v>
      </c>
      <c r="N52" s="199">
        <v>0.75</v>
      </c>
      <c r="O52" s="199">
        <v>324</v>
      </c>
      <c r="P52" s="199">
        <v>0.01</v>
      </c>
      <c r="Q52" s="199">
        <v>125.95</v>
      </c>
      <c r="R52" s="199" t="s">
        <v>276</v>
      </c>
    </row>
    <row r="53" spans="1:18">
      <c r="A53" s="218">
        <v>44742</v>
      </c>
      <c r="B53" s="199" t="s">
        <v>225</v>
      </c>
      <c r="C53" s="199" t="s">
        <v>8</v>
      </c>
      <c r="D53" s="199">
        <v>2021</v>
      </c>
      <c r="E53" s="199" t="s">
        <v>148</v>
      </c>
      <c r="F53" s="199" t="s">
        <v>151</v>
      </c>
      <c r="G53" s="199" t="s">
        <v>243</v>
      </c>
      <c r="H53" s="199">
        <v>17228</v>
      </c>
      <c r="I53" s="199">
        <v>58117.389999997402</v>
      </c>
      <c r="J53" s="199">
        <v>32924.310000003403</v>
      </c>
      <c r="K53" s="199">
        <v>-108.12</v>
      </c>
      <c r="L53" s="199">
        <v>25260.530000000501</v>
      </c>
      <c r="M53" s="199" t="s">
        <v>244</v>
      </c>
      <c r="N53" s="199">
        <v>0.1</v>
      </c>
      <c r="O53" s="199">
        <v>1080</v>
      </c>
      <c r="P53" s="199">
        <v>0.03</v>
      </c>
      <c r="Q53" s="199">
        <v>756</v>
      </c>
      <c r="R53" s="199" t="s">
        <v>276</v>
      </c>
    </row>
  </sheetData>
  <autoFilter ref="A1:R53" xr:uid="{00000000-0001-0000-1700-000000000000}"/>
  <sortState xmlns:xlrd2="http://schemas.microsoft.com/office/spreadsheetml/2017/richdata2" ref="A2:Z59">
    <sortCondition ref="D1:D1048576"/>
    <sortCondition ref="F1:F1048576"/>
    <sortCondition ref="E1:E1048576"/>
  </sortState>
  <pageMargins left="0.7" right="0.7" top="0.75" bottom="0.75" header="0.3" footer="0.3"/>
  <pageSetup paperSize="9" scale="55" orientation="landscape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euil7">
    <tabColor theme="9" tint="0.79998168889431442"/>
  </sheetPr>
  <dimension ref="A1:Q1301"/>
  <sheetViews>
    <sheetView zoomScale="70" zoomScaleNormal="70" workbookViewId="0">
      <pane ySplit="1" topLeftCell="A2" activePane="bottomLeft" state="frozen"/>
      <selection pane="bottomLeft" sqref="A1:A1048576"/>
    </sheetView>
  </sheetViews>
  <sheetFormatPr baseColWidth="10" defaultColWidth="11.41015625" defaultRowHeight="14.35"/>
  <cols>
    <col min="1" max="1" width="11.5859375" style="218" bestFit="1" customWidth="1"/>
    <col min="2" max="2" width="20.1171875" style="208" bestFit="1" customWidth="1"/>
    <col min="3" max="3" width="10.1171875" style="208" bestFit="1" customWidth="1"/>
    <col min="4" max="4" width="13" style="208" bestFit="1" customWidth="1"/>
    <col min="5" max="5" width="44.87890625" style="208" bestFit="1" customWidth="1"/>
    <col min="6" max="6" width="8.703125" style="208" bestFit="1" customWidth="1"/>
    <col min="7" max="7" width="21.1171875" style="208" bestFit="1" customWidth="1"/>
    <col min="8" max="8" width="12.1171875" style="208" bestFit="1" customWidth="1"/>
    <col min="9" max="10" width="15.87890625" style="208" bestFit="1" customWidth="1"/>
    <col min="11" max="11" width="15.29296875" style="208" bestFit="1" customWidth="1"/>
    <col min="12" max="12" width="15.87890625" style="208" bestFit="1" customWidth="1"/>
    <col min="13" max="13" width="9.5859375" style="208" bestFit="1" customWidth="1"/>
    <col min="14" max="14" width="13.5859375" style="208" bestFit="1" customWidth="1"/>
    <col min="15" max="15" width="10" style="208" bestFit="1" customWidth="1"/>
    <col min="16" max="16" width="14.87890625" style="208" bestFit="1" customWidth="1"/>
    <col min="17" max="17" width="11.703125" style="208" bestFit="1" customWidth="1"/>
    <col min="18" max="18" width="10" style="208" bestFit="1" customWidth="1"/>
    <col min="19" max="19" width="14.87890625" style="208" bestFit="1" customWidth="1"/>
    <col min="20" max="20" width="11.703125" style="208" bestFit="1" customWidth="1"/>
    <col min="21" max="22" width="11.41015625" style="208" customWidth="1"/>
    <col min="23" max="23" width="33.41015625" style="208" bestFit="1" customWidth="1"/>
    <col min="24" max="30" width="11.41015625" style="208" customWidth="1"/>
    <col min="31" max="16384" width="11.41015625" style="208"/>
  </cols>
  <sheetData>
    <row r="1" spans="1:17">
      <c r="A1" s="218" t="s">
        <v>226</v>
      </c>
      <c r="B1" s="208" t="s">
        <v>221</v>
      </c>
      <c r="C1" s="208" t="s">
        <v>222</v>
      </c>
      <c r="D1" s="208" t="s">
        <v>227</v>
      </c>
      <c r="E1" s="208" t="s">
        <v>228</v>
      </c>
      <c r="F1" s="208" t="s">
        <v>229</v>
      </c>
      <c r="G1" s="208" t="s">
        <v>230</v>
      </c>
      <c r="H1" s="208" t="s">
        <v>231</v>
      </c>
      <c r="I1" s="208" t="s">
        <v>232</v>
      </c>
      <c r="J1" s="208" t="s">
        <v>233</v>
      </c>
      <c r="K1" s="208" t="s">
        <v>234</v>
      </c>
      <c r="L1" s="208" t="s">
        <v>235</v>
      </c>
      <c r="M1" s="208" t="s">
        <v>236</v>
      </c>
      <c r="N1" s="208" t="s">
        <v>237</v>
      </c>
      <c r="O1" s="208" t="s">
        <v>238</v>
      </c>
      <c r="P1" s="208" t="s">
        <v>239</v>
      </c>
      <c r="Q1" s="208" t="s">
        <v>240</v>
      </c>
    </row>
    <row r="2" spans="1:17">
      <c r="A2" s="218">
        <v>44196</v>
      </c>
      <c r="B2" s="208" t="s">
        <v>258</v>
      </c>
      <c r="C2" s="208" t="s">
        <v>8</v>
      </c>
      <c r="D2" s="208">
        <v>2020</v>
      </c>
      <c r="E2" s="208" t="s">
        <v>86</v>
      </c>
      <c r="F2" s="208" t="s">
        <v>85</v>
      </c>
      <c r="G2" s="208" t="s">
        <v>243</v>
      </c>
      <c r="H2" s="208">
        <v>518</v>
      </c>
      <c r="I2" s="208">
        <v>11506.139999999972</v>
      </c>
      <c r="J2" s="208">
        <v>8007.3299999999354</v>
      </c>
      <c r="K2" s="208">
        <v>17.36</v>
      </c>
      <c r="L2" s="208">
        <v>3473.4799999999918</v>
      </c>
      <c r="M2" s="208" t="s">
        <v>244</v>
      </c>
      <c r="N2" s="208">
        <v>-86.76</v>
      </c>
      <c r="O2" s="208">
        <v>86.76</v>
      </c>
      <c r="P2" s="208">
        <v>-26.03</v>
      </c>
      <c r="Q2" s="208">
        <v>50</v>
      </c>
    </row>
    <row r="3" spans="1:17">
      <c r="A3" s="218">
        <v>44196</v>
      </c>
      <c r="B3" s="208" t="s">
        <v>37</v>
      </c>
      <c r="C3" s="208" t="s">
        <v>8</v>
      </c>
      <c r="D3" s="208">
        <v>2019</v>
      </c>
      <c r="E3" s="208" t="s">
        <v>86</v>
      </c>
      <c r="F3" s="208" t="s">
        <v>85</v>
      </c>
      <c r="G3" s="208" t="s">
        <v>243</v>
      </c>
      <c r="H3" s="208">
        <v>189</v>
      </c>
      <c r="I3" s="208">
        <v>4387.1000000000076</v>
      </c>
      <c r="J3" s="208">
        <v>3033.2799999999875</v>
      </c>
      <c r="K3" s="208">
        <v>0</v>
      </c>
      <c r="L3" s="208">
        <v>1349.9599999999987</v>
      </c>
      <c r="M3" s="208" t="s">
        <v>244</v>
      </c>
      <c r="N3" s="208">
        <v>-90</v>
      </c>
      <c r="O3" s="208">
        <v>90</v>
      </c>
      <c r="P3" s="208">
        <v>-28.92</v>
      </c>
      <c r="Q3" s="208">
        <v>57.84</v>
      </c>
    </row>
    <row r="4" spans="1:17">
      <c r="A4" s="218">
        <v>44196</v>
      </c>
      <c r="B4" s="208" t="s">
        <v>31</v>
      </c>
      <c r="C4" s="208" t="s">
        <v>8</v>
      </c>
      <c r="D4" s="208">
        <v>2020</v>
      </c>
      <c r="E4" s="208" t="s">
        <v>86</v>
      </c>
      <c r="F4" s="208" t="s">
        <v>85</v>
      </c>
      <c r="G4" s="208" t="s">
        <v>243</v>
      </c>
      <c r="H4" s="208">
        <v>518</v>
      </c>
      <c r="I4" s="208">
        <v>11506.139999999972</v>
      </c>
      <c r="J4" s="208">
        <v>8007.3299999999354</v>
      </c>
      <c r="K4" s="208">
        <v>17.36</v>
      </c>
      <c r="L4" s="208">
        <v>3473.4799999999927</v>
      </c>
      <c r="M4" s="208" t="s">
        <v>244</v>
      </c>
      <c r="N4" s="208">
        <v>-86.76</v>
      </c>
      <c r="O4" s="208">
        <v>86.76</v>
      </c>
      <c r="P4" s="208">
        <v>-26.03</v>
      </c>
      <c r="Q4" s="208">
        <v>50</v>
      </c>
    </row>
    <row r="5" spans="1:17">
      <c r="A5" s="218">
        <v>44196</v>
      </c>
      <c r="B5" s="208" t="s">
        <v>35</v>
      </c>
      <c r="C5" s="208" t="s">
        <v>8</v>
      </c>
      <c r="D5" s="208">
        <v>2020</v>
      </c>
      <c r="E5" s="208" t="s">
        <v>86</v>
      </c>
      <c r="F5" s="208" t="s">
        <v>85</v>
      </c>
      <c r="G5" s="208" t="s">
        <v>243</v>
      </c>
      <c r="H5" s="208">
        <v>6</v>
      </c>
      <c r="I5" s="208">
        <v>130.13999999999999</v>
      </c>
      <c r="J5" s="208">
        <v>91.08</v>
      </c>
      <c r="K5" s="208">
        <v>0</v>
      </c>
      <c r="L5" s="208">
        <v>39.06</v>
      </c>
      <c r="M5" s="208" t="s">
        <v>244</v>
      </c>
      <c r="N5" s="208">
        <v>-86.76</v>
      </c>
      <c r="O5" s="208">
        <v>86.76</v>
      </c>
      <c r="P5" s="208">
        <v>-26.03</v>
      </c>
      <c r="Q5" s="208">
        <v>50</v>
      </c>
    </row>
    <row r="6" spans="1:17">
      <c r="A6" s="218">
        <v>44196</v>
      </c>
      <c r="B6" s="208" t="s">
        <v>225</v>
      </c>
      <c r="C6" s="208" t="s">
        <v>8</v>
      </c>
      <c r="D6" s="208">
        <v>2020</v>
      </c>
      <c r="E6" s="208" t="s">
        <v>86</v>
      </c>
      <c r="F6" s="208" t="s">
        <v>85</v>
      </c>
      <c r="G6" s="208" t="s">
        <v>243</v>
      </c>
      <c r="H6" s="208">
        <v>341</v>
      </c>
      <c r="I6" s="208">
        <v>7759.940000000016</v>
      </c>
      <c r="J6" s="208">
        <v>5333.2399999999643</v>
      </c>
      <c r="K6" s="208">
        <v>0</v>
      </c>
      <c r="L6" s="208">
        <v>2411.2099999999982</v>
      </c>
      <c r="M6" s="208" t="s">
        <v>244</v>
      </c>
      <c r="N6" s="208">
        <v>-86.76</v>
      </c>
      <c r="O6" s="208">
        <v>86.76</v>
      </c>
      <c r="P6" s="208">
        <v>-26.03</v>
      </c>
      <c r="Q6" s="208">
        <v>50</v>
      </c>
    </row>
    <row r="7" spans="1:17">
      <c r="A7" s="218">
        <v>44196</v>
      </c>
      <c r="B7" s="208" t="s">
        <v>258</v>
      </c>
      <c r="C7" s="208" t="s">
        <v>8</v>
      </c>
      <c r="D7" s="208">
        <v>2019</v>
      </c>
      <c r="E7" s="208" t="s">
        <v>86</v>
      </c>
      <c r="F7" s="208" t="s">
        <v>85</v>
      </c>
      <c r="G7" s="208" t="s">
        <v>243</v>
      </c>
      <c r="H7" s="208">
        <v>449</v>
      </c>
      <c r="I7" s="208">
        <v>9817.9800000000014</v>
      </c>
      <c r="J7" s="208">
        <v>6839.0199999999541</v>
      </c>
      <c r="K7" s="208">
        <v>28.08</v>
      </c>
      <c r="L7" s="208">
        <v>2911.2799999999938</v>
      </c>
      <c r="M7" s="208" t="s">
        <v>244</v>
      </c>
      <c r="N7" s="208">
        <v>-90</v>
      </c>
      <c r="O7" s="208">
        <v>90</v>
      </c>
      <c r="P7" s="208">
        <v>-28.92</v>
      </c>
      <c r="Q7" s="208">
        <v>57.84</v>
      </c>
    </row>
    <row r="8" spans="1:17">
      <c r="A8" s="218">
        <v>44196</v>
      </c>
      <c r="B8" s="208" t="s">
        <v>31</v>
      </c>
      <c r="C8" s="208" t="s">
        <v>8</v>
      </c>
      <c r="D8" s="208">
        <v>2019</v>
      </c>
      <c r="E8" s="208" t="s">
        <v>86</v>
      </c>
      <c r="F8" s="208" t="s">
        <v>85</v>
      </c>
      <c r="G8" s="208" t="s">
        <v>243</v>
      </c>
      <c r="H8" s="208">
        <v>449</v>
      </c>
      <c r="I8" s="208">
        <v>9817.9799999999977</v>
      </c>
      <c r="J8" s="208">
        <v>6839.0199999999513</v>
      </c>
      <c r="K8" s="208">
        <v>28.08</v>
      </c>
      <c r="L8" s="208">
        <v>2911.2799999999925</v>
      </c>
      <c r="M8" s="208" t="s">
        <v>244</v>
      </c>
      <c r="N8" s="208">
        <v>-90</v>
      </c>
      <c r="O8" s="208">
        <v>90</v>
      </c>
      <c r="P8" s="208">
        <v>-28.92</v>
      </c>
      <c r="Q8" s="208">
        <v>57.84</v>
      </c>
    </row>
    <row r="9" spans="1:17">
      <c r="A9" s="218">
        <v>44196</v>
      </c>
      <c r="B9" s="208" t="s">
        <v>259</v>
      </c>
      <c r="C9" s="208" t="s">
        <v>8</v>
      </c>
      <c r="D9" s="208">
        <v>2019</v>
      </c>
      <c r="E9" s="208" t="s">
        <v>86</v>
      </c>
      <c r="F9" s="208" t="s">
        <v>85</v>
      </c>
      <c r="G9" s="208" t="s">
        <v>243</v>
      </c>
      <c r="H9" s="208">
        <v>320</v>
      </c>
      <c r="I9" s="208">
        <v>6963.0400000000136</v>
      </c>
      <c r="J9" s="208">
        <v>4776.0299999999716</v>
      </c>
      <c r="K9" s="208">
        <v>0</v>
      </c>
      <c r="L9" s="208">
        <v>2119.5100000000016</v>
      </c>
      <c r="M9" s="208" t="s">
        <v>244</v>
      </c>
      <c r="N9" s="208">
        <v>-90</v>
      </c>
      <c r="O9" s="208">
        <v>90</v>
      </c>
      <c r="P9" s="208">
        <v>-28.92</v>
      </c>
      <c r="Q9" s="208">
        <v>57.84</v>
      </c>
    </row>
    <row r="10" spans="1:17">
      <c r="A10" s="218">
        <v>44196</v>
      </c>
      <c r="B10" s="208" t="s">
        <v>260</v>
      </c>
      <c r="C10" s="208" t="s">
        <v>8</v>
      </c>
      <c r="D10" s="208">
        <v>2019</v>
      </c>
      <c r="E10" s="208" t="s">
        <v>86</v>
      </c>
      <c r="F10" s="208" t="s">
        <v>85</v>
      </c>
      <c r="G10" s="208" t="s">
        <v>243</v>
      </c>
      <c r="H10" s="208">
        <v>818</v>
      </c>
      <c r="I10" s="208">
        <v>17023.049999999883</v>
      </c>
      <c r="J10" s="208">
        <v>11930.029999999979</v>
      </c>
      <c r="K10" s="208">
        <v>13.02</v>
      </c>
      <c r="L10" s="208">
        <v>5058.7600000000175</v>
      </c>
      <c r="M10" s="208" t="s">
        <v>244</v>
      </c>
      <c r="N10" s="208">
        <v>-90</v>
      </c>
      <c r="O10" s="208">
        <v>90</v>
      </c>
      <c r="P10" s="208">
        <v>-28.92</v>
      </c>
      <c r="Q10" s="208">
        <v>57.84</v>
      </c>
    </row>
    <row r="11" spans="1:17">
      <c r="A11" s="218">
        <v>44196</v>
      </c>
      <c r="B11" s="208" t="s">
        <v>261</v>
      </c>
      <c r="C11" s="208" t="s">
        <v>8</v>
      </c>
      <c r="D11" s="208">
        <v>2020</v>
      </c>
      <c r="E11" s="208" t="s">
        <v>86</v>
      </c>
      <c r="F11" s="208" t="s">
        <v>85</v>
      </c>
      <c r="G11" s="208" t="s">
        <v>243</v>
      </c>
      <c r="H11" s="208">
        <v>6</v>
      </c>
      <c r="I11" s="208">
        <v>130.14000000000001</v>
      </c>
      <c r="J11" s="208">
        <v>91.08</v>
      </c>
      <c r="K11" s="208">
        <v>0</v>
      </c>
      <c r="L11" s="208">
        <v>39.06</v>
      </c>
      <c r="M11" s="208" t="s">
        <v>244</v>
      </c>
      <c r="N11" s="208">
        <v>-86.76</v>
      </c>
      <c r="O11" s="208">
        <v>86.76</v>
      </c>
      <c r="P11" s="208">
        <v>-26.03</v>
      </c>
      <c r="Q11" s="208">
        <v>50</v>
      </c>
    </row>
    <row r="12" spans="1:17">
      <c r="A12" s="218">
        <v>44196</v>
      </c>
      <c r="B12" s="208" t="s">
        <v>37</v>
      </c>
      <c r="C12" s="208" t="s">
        <v>8</v>
      </c>
      <c r="D12" s="208">
        <v>2020</v>
      </c>
      <c r="E12" s="208" t="s">
        <v>86</v>
      </c>
      <c r="F12" s="208" t="s">
        <v>85</v>
      </c>
      <c r="G12" s="208" t="s">
        <v>243</v>
      </c>
      <c r="H12" s="208">
        <v>341</v>
      </c>
      <c r="I12" s="208">
        <v>7759.9400000000105</v>
      </c>
      <c r="J12" s="208">
        <v>5333.239999999967</v>
      </c>
      <c r="K12" s="208">
        <v>0</v>
      </c>
      <c r="L12" s="208">
        <v>2411.2099999999973</v>
      </c>
      <c r="M12" s="208" t="s">
        <v>244</v>
      </c>
      <c r="N12" s="208">
        <v>-86.76</v>
      </c>
      <c r="O12" s="208">
        <v>86.76</v>
      </c>
      <c r="P12" s="208">
        <v>-26.03</v>
      </c>
      <c r="Q12" s="208">
        <v>50</v>
      </c>
    </row>
    <row r="13" spans="1:17">
      <c r="A13" s="218">
        <v>44196</v>
      </c>
      <c r="B13" s="208" t="s">
        <v>225</v>
      </c>
      <c r="C13" s="208" t="s">
        <v>8</v>
      </c>
      <c r="D13" s="208">
        <v>2019</v>
      </c>
      <c r="E13" s="208" t="s">
        <v>86</v>
      </c>
      <c r="F13" s="208" t="s">
        <v>85</v>
      </c>
      <c r="G13" s="208" t="s">
        <v>243</v>
      </c>
      <c r="H13" s="208">
        <v>189</v>
      </c>
      <c r="I13" s="208">
        <v>4387.1000000000058</v>
      </c>
      <c r="J13" s="208">
        <v>3033.2799999999884</v>
      </c>
      <c r="K13" s="208">
        <v>0</v>
      </c>
      <c r="L13" s="208">
        <v>1349.9599999999991</v>
      </c>
      <c r="M13" s="208" t="s">
        <v>244</v>
      </c>
      <c r="N13" s="208">
        <v>-90</v>
      </c>
      <c r="O13" s="208">
        <v>90</v>
      </c>
      <c r="P13" s="208">
        <v>-28.92</v>
      </c>
      <c r="Q13" s="208">
        <v>57.84</v>
      </c>
    </row>
    <row r="14" spans="1:17">
      <c r="A14" s="218">
        <v>44196</v>
      </c>
      <c r="B14" s="208" t="s">
        <v>29</v>
      </c>
      <c r="C14" s="208" t="s">
        <v>8</v>
      </c>
      <c r="D14" s="208">
        <v>2020</v>
      </c>
      <c r="E14" s="208" t="s">
        <v>86</v>
      </c>
      <c r="F14" s="208" t="s">
        <v>85</v>
      </c>
      <c r="G14" s="208" t="s">
        <v>243</v>
      </c>
      <c r="H14" s="208">
        <v>1067</v>
      </c>
      <c r="I14" s="208">
        <v>23882.51999999948</v>
      </c>
      <c r="J14" s="208">
        <v>16635.870000000032</v>
      </c>
      <c r="K14" s="208">
        <v>45.96</v>
      </c>
      <c r="L14" s="208">
        <v>7174.8900000000822</v>
      </c>
      <c r="M14" s="208" t="s">
        <v>244</v>
      </c>
      <c r="N14" s="208">
        <v>-86.76</v>
      </c>
      <c r="O14" s="208">
        <v>86.76</v>
      </c>
      <c r="P14" s="208">
        <v>-26.03</v>
      </c>
      <c r="Q14" s="208">
        <v>50</v>
      </c>
    </row>
    <row r="15" spans="1:17">
      <c r="A15" s="218">
        <v>44196</v>
      </c>
      <c r="B15" s="208" t="s">
        <v>36</v>
      </c>
      <c r="C15" s="208" t="s">
        <v>8</v>
      </c>
      <c r="D15" s="208">
        <v>2020</v>
      </c>
      <c r="E15" s="208" t="s">
        <v>86</v>
      </c>
      <c r="F15" s="208" t="s">
        <v>85</v>
      </c>
      <c r="G15" s="208" t="s">
        <v>243</v>
      </c>
      <c r="H15" s="208">
        <v>380</v>
      </c>
      <c r="I15" s="208">
        <v>8665.2200000000157</v>
      </c>
      <c r="J15" s="208">
        <v>6071.3399999999583</v>
      </c>
      <c r="K15" s="208">
        <v>0</v>
      </c>
      <c r="L15" s="208">
        <v>2593.8799999999974</v>
      </c>
      <c r="M15" s="208" t="s">
        <v>244</v>
      </c>
      <c r="N15" s="208">
        <v>-86.76</v>
      </c>
      <c r="O15" s="208">
        <v>86.76</v>
      </c>
      <c r="P15" s="208">
        <v>-26.03</v>
      </c>
      <c r="Q15" s="208">
        <v>50</v>
      </c>
    </row>
    <row r="16" spans="1:17">
      <c r="A16" s="218">
        <v>44196</v>
      </c>
      <c r="B16" s="208" t="s">
        <v>36</v>
      </c>
      <c r="C16" s="208" t="s">
        <v>8</v>
      </c>
      <c r="D16" s="208">
        <v>2019</v>
      </c>
      <c r="E16" s="208" t="s">
        <v>86</v>
      </c>
      <c r="F16" s="208" t="s">
        <v>85</v>
      </c>
      <c r="G16" s="208" t="s">
        <v>243</v>
      </c>
      <c r="H16" s="208">
        <v>320</v>
      </c>
      <c r="I16" s="208">
        <v>6963.0400000000136</v>
      </c>
      <c r="J16" s="208">
        <v>4776.0299999999716</v>
      </c>
      <c r="K16" s="208">
        <v>0</v>
      </c>
      <c r="L16" s="208">
        <v>2119.5099999999989</v>
      </c>
      <c r="M16" s="208" t="s">
        <v>244</v>
      </c>
      <c r="N16" s="208">
        <v>-90</v>
      </c>
      <c r="O16" s="208">
        <v>90</v>
      </c>
      <c r="P16" s="208">
        <v>-28.92</v>
      </c>
      <c r="Q16" s="208">
        <v>57.84</v>
      </c>
    </row>
    <row r="17" spans="1:17">
      <c r="A17" s="218">
        <v>44196</v>
      </c>
      <c r="B17" s="208" t="s">
        <v>259</v>
      </c>
      <c r="C17" s="208" t="s">
        <v>8</v>
      </c>
      <c r="D17" s="208">
        <v>2020</v>
      </c>
      <c r="E17" s="208" t="s">
        <v>86</v>
      </c>
      <c r="F17" s="208" t="s">
        <v>85</v>
      </c>
      <c r="G17" s="208" t="s">
        <v>243</v>
      </c>
      <c r="H17" s="208">
        <v>380</v>
      </c>
      <c r="I17" s="208">
        <v>8665.2200000000103</v>
      </c>
      <c r="J17" s="208">
        <v>6071.339999999961</v>
      </c>
      <c r="K17" s="208">
        <v>0</v>
      </c>
      <c r="L17" s="208">
        <v>2593.8799999999965</v>
      </c>
      <c r="M17" s="208" t="s">
        <v>244</v>
      </c>
      <c r="N17" s="208">
        <v>-86.76</v>
      </c>
      <c r="O17" s="208">
        <v>86.76</v>
      </c>
      <c r="P17" s="208">
        <v>-26.03</v>
      </c>
      <c r="Q17" s="208">
        <v>50</v>
      </c>
    </row>
    <row r="18" spans="1:17">
      <c r="A18" s="218">
        <v>44196</v>
      </c>
      <c r="B18" s="208" t="s">
        <v>35</v>
      </c>
      <c r="C18" s="208" t="s">
        <v>8</v>
      </c>
      <c r="D18" s="208">
        <v>2019</v>
      </c>
      <c r="E18" s="208" t="s">
        <v>86</v>
      </c>
      <c r="F18" s="208" t="s">
        <v>85</v>
      </c>
      <c r="G18" s="208" t="s">
        <v>243</v>
      </c>
      <c r="H18" s="208">
        <v>2</v>
      </c>
      <c r="I18" s="208">
        <v>57.84</v>
      </c>
      <c r="J18" s="208">
        <v>40.479999999999997</v>
      </c>
      <c r="K18" s="208">
        <v>0</v>
      </c>
      <c r="L18" s="208">
        <v>17.36</v>
      </c>
      <c r="M18" s="208" t="s">
        <v>244</v>
      </c>
      <c r="N18" s="208">
        <v>-90</v>
      </c>
      <c r="O18" s="208">
        <v>90</v>
      </c>
      <c r="P18" s="208">
        <v>-28.92</v>
      </c>
      <c r="Q18" s="208">
        <v>57.84</v>
      </c>
    </row>
    <row r="19" spans="1:17">
      <c r="A19" s="218">
        <v>44196</v>
      </c>
      <c r="B19" s="208" t="s">
        <v>260</v>
      </c>
      <c r="C19" s="208" t="s">
        <v>8</v>
      </c>
      <c r="D19" s="208">
        <v>2020</v>
      </c>
      <c r="E19" s="208" t="s">
        <v>86</v>
      </c>
      <c r="F19" s="208" t="s">
        <v>85</v>
      </c>
      <c r="G19" s="208" t="s">
        <v>243</v>
      </c>
      <c r="H19" s="208">
        <v>1067</v>
      </c>
      <c r="I19" s="208">
        <v>23882.519999999477</v>
      </c>
      <c r="J19" s="208">
        <v>16635.870000000039</v>
      </c>
      <c r="K19" s="208">
        <v>45.96</v>
      </c>
      <c r="L19" s="208">
        <v>7174.8900000000876</v>
      </c>
      <c r="M19" s="208" t="s">
        <v>244</v>
      </c>
      <c r="N19" s="208">
        <v>-86.76</v>
      </c>
      <c r="O19" s="208">
        <v>86.76</v>
      </c>
      <c r="P19" s="208">
        <v>-26.03</v>
      </c>
      <c r="Q19" s="208">
        <v>50</v>
      </c>
    </row>
    <row r="20" spans="1:17">
      <c r="A20" s="218">
        <v>44196</v>
      </c>
      <c r="B20" s="208" t="s">
        <v>29</v>
      </c>
      <c r="C20" s="208" t="s">
        <v>8</v>
      </c>
      <c r="D20" s="208">
        <v>2019</v>
      </c>
      <c r="E20" s="208" t="s">
        <v>86</v>
      </c>
      <c r="F20" s="208" t="s">
        <v>85</v>
      </c>
      <c r="G20" s="208" t="s">
        <v>243</v>
      </c>
      <c r="H20" s="208">
        <v>818</v>
      </c>
      <c r="I20" s="208">
        <v>17023.04999999989</v>
      </c>
      <c r="J20" s="208">
        <v>11930.029999999968</v>
      </c>
      <c r="K20" s="208">
        <v>13.02</v>
      </c>
      <c r="L20" s="208">
        <v>5058.7600000000184</v>
      </c>
      <c r="M20" s="208" t="s">
        <v>244</v>
      </c>
      <c r="N20" s="208">
        <v>-90</v>
      </c>
      <c r="O20" s="208">
        <v>90</v>
      </c>
      <c r="P20" s="208">
        <v>-28.92</v>
      </c>
      <c r="Q20" s="208">
        <v>57.84</v>
      </c>
    </row>
    <row r="21" spans="1:17">
      <c r="A21" s="218">
        <v>44196</v>
      </c>
      <c r="B21" s="208" t="s">
        <v>261</v>
      </c>
      <c r="C21" s="208" t="s">
        <v>8</v>
      </c>
      <c r="D21" s="208">
        <v>2019</v>
      </c>
      <c r="E21" s="208" t="s">
        <v>86</v>
      </c>
      <c r="F21" s="208" t="s">
        <v>85</v>
      </c>
      <c r="G21" s="208" t="s">
        <v>243</v>
      </c>
      <c r="H21" s="208">
        <v>2</v>
      </c>
      <c r="I21" s="208">
        <v>57.84</v>
      </c>
      <c r="J21" s="208">
        <v>40.479999999999997</v>
      </c>
      <c r="K21" s="208">
        <v>0</v>
      </c>
      <c r="L21" s="208">
        <v>17.36</v>
      </c>
      <c r="M21" s="208" t="s">
        <v>244</v>
      </c>
      <c r="N21" s="208">
        <v>-90</v>
      </c>
      <c r="O21" s="208">
        <v>90</v>
      </c>
      <c r="P21" s="208">
        <v>-28.92</v>
      </c>
      <c r="Q21" s="208">
        <v>57.84</v>
      </c>
    </row>
    <row r="22" spans="1:17">
      <c r="A22" s="218">
        <v>44196</v>
      </c>
      <c r="B22" s="208" t="s">
        <v>225</v>
      </c>
      <c r="C22" s="208" t="s">
        <v>8</v>
      </c>
      <c r="D22" s="208">
        <v>2019</v>
      </c>
      <c r="E22" s="208" t="s">
        <v>172</v>
      </c>
      <c r="F22" s="208" t="s">
        <v>85</v>
      </c>
      <c r="G22" s="208" t="s">
        <v>243</v>
      </c>
      <c r="H22" s="208">
        <v>1</v>
      </c>
      <c r="I22" s="208">
        <v>50</v>
      </c>
      <c r="J22" s="208">
        <v>0</v>
      </c>
      <c r="K22" s="208">
        <v>0</v>
      </c>
      <c r="L22" s="208">
        <v>50</v>
      </c>
      <c r="M22" s="208" t="s">
        <v>244</v>
      </c>
      <c r="N22" s="208">
        <v>50</v>
      </c>
      <c r="O22" s="208">
        <v>50</v>
      </c>
      <c r="P22" s="208">
        <v>50</v>
      </c>
      <c r="Q22" s="208">
        <v>50</v>
      </c>
    </row>
    <row r="23" spans="1:17">
      <c r="A23" s="218">
        <v>44196</v>
      </c>
      <c r="B23" s="208" t="s">
        <v>37</v>
      </c>
      <c r="C23" s="208" t="s">
        <v>8</v>
      </c>
      <c r="D23" s="208">
        <v>2019</v>
      </c>
      <c r="E23" s="208" t="s">
        <v>172</v>
      </c>
      <c r="F23" s="208" t="s">
        <v>85</v>
      </c>
      <c r="G23" s="208" t="s">
        <v>243</v>
      </c>
      <c r="H23" s="208">
        <v>1</v>
      </c>
      <c r="I23" s="208">
        <v>50</v>
      </c>
      <c r="J23" s="208">
        <v>0</v>
      </c>
      <c r="K23" s="208">
        <v>0</v>
      </c>
      <c r="L23" s="208">
        <v>50</v>
      </c>
      <c r="M23" s="208" t="s">
        <v>244</v>
      </c>
      <c r="N23" s="208">
        <v>50</v>
      </c>
      <c r="O23" s="208">
        <v>50</v>
      </c>
      <c r="P23" s="208">
        <v>50</v>
      </c>
      <c r="Q23" s="208">
        <v>50</v>
      </c>
    </row>
    <row r="24" spans="1:17">
      <c r="A24" s="218">
        <v>44196</v>
      </c>
      <c r="B24" s="208" t="s">
        <v>31</v>
      </c>
      <c r="C24" s="208" t="s">
        <v>8</v>
      </c>
      <c r="D24" s="208">
        <v>2019</v>
      </c>
      <c r="E24" s="208" t="s">
        <v>87</v>
      </c>
      <c r="F24" s="208" t="s">
        <v>85</v>
      </c>
      <c r="G24" s="208" t="s">
        <v>243</v>
      </c>
      <c r="H24" s="208">
        <v>144</v>
      </c>
      <c r="I24" s="208">
        <v>12337.490000000002</v>
      </c>
      <c r="J24" s="208">
        <v>8118.5400000000009</v>
      </c>
      <c r="K24" s="208">
        <v>8853.8500000000022</v>
      </c>
      <c r="L24" s="208">
        <v>-8630.130000000001</v>
      </c>
      <c r="M24" s="208" t="s">
        <v>244</v>
      </c>
      <c r="N24" s="208">
        <v>-1025.7</v>
      </c>
      <c r="O24" s="208">
        <v>3777</v>
      </c>
      <c r="P24" s="208">
        <v>-7913.36</v>
      </c>
      <c r="Q24" s="208">
        <v>2428.37</v>
      </c>
    </row>
    <row r="25" spans="1:17">
      <c r="A25" s="218">
        <v>44196</v>
      </c>
      <c r="B25" s="208" t="s">
        <v>42</v>
      </c>
      <c r="C25" s="208" t="s">
        <v>8</v>
      </c>
      <c r="D25" s="208">
        <v>2019</v>
      </c>
      <c r="E25" s="208" t="s">
        <v>87</v>
      </c>
      <c r="F25" s="208" t="s">
        <v>85</v>
      </c>
      <c r="G25" s="208" t="s">
        <v>243</v>
      </c>
      <c r="H25" s="208">
        <v>6</v>
      </c>
      <c r="I25" s="208">
        <v>420</v>
      </c>
      <c r="J25" s="208">
        <v>0</v>
      </c>
      <c r="K25" s="208">
        <v>0</v>
      </c>
      <c r="L25" s="208">
        <v>135</v>
      </c>
      <c r="M25" s="208" t="s">
        <v>244</v>
      </c>
      <c r="N25" s="208">
        <v>-1025.7</v>
      </c>
      <c r="O25" s="208">
        <v>3777</v>
      </c>
      <c r="P25" s="208">
        <v>-7913.36</v>
      </c>
      <c r="Q25" s="208">
        <v>2428.37</v>
      </c>
    </row>
    <row r="26" spans="1:17">
      <c r="A26" s="218">
        <v>44196</v>
      </c>
      <c r="B26" s="208" t="s">
        <v>39</v>
      </c>
      <c r="C26" s="208" t="s">
        <v>8</v>
      </c>
      <c r="D26" s="208">
        <v>2019</v>
      </c>
      <c r="E26" s="208" t="s">
        <v>87</v>
      </c>
      <c r="F26" s="208" t="s">
        <v>85</v>
      </c>
      <c r="G26" s="208" t="s">
        <v>243</v>
      </c>
      <c r="H26" s="208">
        <v>2</v>
      </c>
      <c r="I26" s="208">
        <v>116</v>
      </c>
      <c r="J26" s="208">
        <v>0</v>
      </c>
      <c r="K26" s="208">
        <v>0</v>
      </c>
      <c r="L26" s="208">
        <v>40</v>
      </c>
      <c r="M26" s="208" t="s">
        <v>244</v>
      </c>
      <c r="N26" s="208">
        <v>-1025.7</v>
      </c>
      <c r="O26" s="208">
        <v>3777</v>
      </c>
      <c r="P26" s="208">
        <v>-7913.36</v>
      </c>
      <c r="Q26" s="208">
        <v>2428.37</v>
      </c>
    </row>
    <row r="27" spans="1:17">
      <c r="A27" s="218">
        <v>44196</v>
      </c>
      <c r="B27" s="208" t="s">
        <v>45</v>
      </c>
      <c r="C27" s="208" t="s">
        <v>8</v>
      </c>
      <c r="D27" s="208">
        <v>2020</v>
      </c>
      <c r="E27" s="208" t="s">
        <v>87</v>
      </c>
      <c r="F27" s="208" t="s">
        <v>85</v>
      </c>
      <c r="G27" s="208" t="s">
        <v>243</v>
      </c>
      <c r="H27" s="208">
        <v>154</v>
      </c>
      <c r="I27" s="208">
        <v>8603.1899999999987</v>
      </c>
      <c r="J27" s="208">
        <v>0</v>
      </c>
      <c r="K27" s="208">
        <v>0</v>
      </c>
      <c r="L27" s="208">
        <v>4149.7</v>
      </c>
      <c r="M27" s="208" t="s">
        <v>244</v>
      </c>
      <c r="N27" s="208">
        <v>-1371.2</v>
      </c>
      <c r="O27" s="208">
        <v>2831.83</v>
      </c>
      <c r="P27" s="208">
        <v>-12636.2</v>
      </c>
      <c r="Q27" s="208">
        <v>426.37</v>
      </c>
    </row>
    <row r="28" spans="1:17">
      <c r="A28" s="218">
        <v>44196</v>
      </c>
      <c r="B28" s="208" t="s">
        <v>29</v>
      </c>
      <c r="C28" s="208" t="s">
        <v>8</v>
      </c>
      <c r="D28" s="208">
        <v>2020</v>
      </c>
      <c r="E28" s="208" t="s">
        <v>87</v>
      </c>
      <c r="F28" s="208" t="s">
        <v>85</v>
      </c>
      <c r="G28" s="208" t="s">
        <v>243</v>
      </c>
      <c r="H28" s="208">
        <v>2644</v>
      </c>
      <c r="I28" s="208">
        <v>95861.469999999885</v>
      </c>
      <c r="J28" s="208">
        <v>42043.800000000258</v>
      </c>
      <c r="K28" s="208">
        <v>132221.8900000001</v>
      </c>
      <c r="L28" s="208">
        <v>-145508.34000000032</v>
      </c>
      <c r="M28" s="208" t="s">
        <v>244</v>
      </c>
      <c r="N28" s="208">
        <v>-1371.2</v>
      </c>
      <c r="O28" s="208">
        <v>2831.83</v>
      </c>
      <c r="P28" s="208">
        <v>-12636.2</v>
      </c>
      <c r="Q28" s="208">
        <v>426.37</v>
      </c>
    </row>
    <row r="29" spans="1:17">
      <c r="A29" s="218">
        <v>44196</v>
      </c>
      <c r="B29" s="208" t="s">
        <v>35</v>
      </c>
      <c r="C29" s="208" t="s">
        <v>8</v>
      </c>
      <c r="D29" s="208">
        <v>2020</v>
      </c>
      <c r="E29" s="208" t="s">
        <v>87</v>
      </c>
      <c r="F29" s="208" t="s">
        <v>85</v>
      </c>
      <c r="G29" s="208" t="s">
        <v>243</v>
      </c>
      <c r="H29" s="208">
        <v>7</v>
      </c>
      <c r="I29" s="208">
        <v>612.79</v>
      </c>
      <c r="J29" s="208">
        <v>52.1</v>
      </c>
      <c r="K29" s="208">
        <v>1290.46</v>
      </c>
      <c r="L29" s="208">
        <v>-861.26</v>
      </c>
      <c r="M29" s="208" t="s">
        <v>244</v>
      </c>
      <c r="N29" s="208">
        <v>-1371.2</v>
      </c>
      <c r="O29" s="208">
        <v>2831.83</v>
      </c>
      <c r="P29" s="208">
        <v>-12636.2</v>
      </c>
      <c r="Q29" s="208">
        <v>426.37</v>
      </c>
    </row>
    <row r="30" spans="1:17">
      <c r="A30" s="218">
        <v>44196</v>
      </c>
      <c r="B30" s="208" t="s">
        <v>225</v>
      </c>
      <c r="C30" s="208" t="s">
        <v>8</v>
      </c>
      <c r="D30" s="208">
        <v>2020</v>
      </c>
      <c r="E30" s="208" t="s">
        <v>87</v>
      </c>
      <c r="F30" s="208" t="s">
        <v>85</v>
      </c>
      <c r="G30" s="208" t="s">
        <v>243</v>
      </c>
      <c r="H30" s="208">
        <v>689</v>
      </c>
      <c r="I30" s="208">
        <v>33328.829999999958</v>
      </c>
      <c r="J30" s="208">
        <v>12655.040000000005</v>
      </c>
      <c r="K30" s="208">
        <v>75213.14999999998</v>
      </c>
      <c r="L30" s="208">
        <v>-66180.490000000034</v>
      </c>
      <c r="M30" s="208" t="s">
        <v>244</v>
      </c>
      <c r="N30" s="208">
        <v>-1371.2</v>
      </c>
      <c r="O30" s="208">
        <v>2831.83</v>
      </c>
      <c r="P30" s="208">
        <v>-12636.2</v>
      </c>
      <c r="Q30" s="208">
        <v>426.37</v>
      </c>
    </row>
    <row r="31" spans="1:17">
      <c r="A31" s="218">
        <v>44196</v>
      </c>
      <c r="B31" s="208" t="s">
        <v>262</v>
      </c>
      <c r="C31" s="208" t="s">
        <v>8</v>
      </c>
      <c r="D31" s="208">
        <v>2019</v>
      </c>
      <c r="E31" s="208" t="s">
        <v>87</v>
      </c>
      <c r="F31" s="208" t="s">
        <v>85</v>
      </c>
      <c r="G31" s="208" t="s">
        <v>243</v>
      </c>
      <c r="H31" s="208">
        <v>195</v>
      </c>
      <c r="I31" s="208">
        <v>10251</v>
      </c>
      <c r="J31" s="208">
        <v>0</v>
      </c>
      <c r="K31" s="208">
        <v>0</v>
      </c>
      <c r="L31" s="208">
        <v>4345</v>
      </c>
      <c r="M31" s="208" t="s">
        <v>244</v>
      </c>
      <c r="N31" s="208">
        <v>-1025.7</v>
      </c>
      <c r="O31" s="208">
        <v>3777</v>
      </c>
      <c r="P31" s="208">
        <v>-7913.36</v>
      </c>
      <c r="Q31" s="208">
        <v>2428.37</v>
      </c>
    </row>
    <row r="32" spans="1:17">
      <c r="A32" s="218">
        <v>44196</v>
      </c>
      <c r="B32" s="208" t="s">
        <v>41</v>
      </c>
      <c r="C32" s="208" t="s">
        <v>8</v>
      </c>
      <c r="D32" s="208">
        <v>2019</v>
      </c>
      <c r="E32" s="208" t="s">
        <v>87</v>
      </c>
      <c r="F32" s="208" t="s">
        <v>85</v>
      </c>
      <c r="G32" s="208" t="s">
        <v>243</v>
      </c>
      <c r="H32" s="208">
        <v>124</v>
      </c>
      <c r="I32" s="208">
        <v>7499</v>
      </c>
      <c r="J32" s="208">
        <v>0</v>
      </c>
      <c r="K32" s="208">
        <v>0</v>
      </c>
      <c r="L32" s="208">
        <v>2387</v>
      </c>
      <c r="M32" s="208" t="s">
        <v>244</v>
      </c>
      <c r="N32" s="208">
        <v>-1025.7</v>
      </c>
      <c r="O32" s="208">
        <v>3777</v>
      </c>
      <c r="P32" s="208">
        <v>-7913.36</v>
      </c>
      <c r="Q32" s="208">
        <v>2428.37</v>
      </c>
    </row>
    <row r="33" spans="1:17">
      <c r="A33" s="218">
        <v>44196</v>
      </c>
      <c r="B33" s="208" t="s">
        <v>43</v>
      </c>
      <c r="C33" s="208" t="s">
        <v>8</v>
      </c>
      <c r="D33" s="208">
        <v>2020</v>
      </c>
      <c r="E33" s="208" t="s">
        <v>87</v>
      </c>
      <c r="F33" s="208" t="s">
        <v>85</v>
      </c>
      <c r="G33" s="208" t="s">
        <v>243</v>
      </c>
      <c r="H33" s="208">
        <v>125</v>
      </c>
      <c r="I33" s="208">
        <v>6478.74</v>
      </c>
      <c r="J33" s="208">
        <v>18.829999999999998</v>
      </c>
      <c r="K33" s="208">
        <v>17.190000000000001</v>
      </c>
      <c r="L33" s="208">
        <v>2853.52</v>
      </c>
      <c r="M33" s="208" t="s">
        <v>244</v>
      </c>
      <c r="N33" s="208">
        <v>-1371.2</v>
      </c>
      <c r="O33" s="208">
        <v>2831.83</v>
      </c>
      <c r="P33" s="208">
        <v>-12636.2</v>
      </c>
      <c r="Q33" s="208">
        <v>426.37</v>
      </c>
    </row>
    <row r="34" spans="1:17">
      <c r="A34" s="218">
        <v>44196</v>
      </c>
      <c r="B34" s="208" t="s">
        <v>263</v>
      </c>
      <c r="C34" s="208" t="s">
        <v>8</v>
      </c>
      <c r="D34" s="208">
        <v>2020</v>
      </c>
      <c r="E34" s="208" t="s">
        <v>87</v>
      </c>
      <c r="F34" s="208" t="s">
        <v>85</v>
      </c>
      <c r="G34" s="208" t="s">
        <v>243</v>
      </c>
      <c r="H34" s="208">
        <v>116</v>
      </c>
      <c r="I34" s="208">
        <v>7351</v>
      </c>
      <c r="J34" s="208">
        <v>0</v>
      </c>
      <c r="K34" s="208">
        <v>0</v>
      </c>
      <c r="L34" s="208">
        <v>5458</v>
      </c>
      <c r="M34" s="208" t="s">
        <v>244</v>
      </c>
      <c r="N34" s="208">
        <v>-1371.2</v>
      </c>
      <c r="O34" s="208">
        <v>2831.83</v>
      </c>
      <c r="P34" s="208">
        <v>-12636.2</v>
      </c>
      <c r="Q34" s="208">
        <v>426.37</v>
      </c>
    </row>
    <row r="35" spans="1:17">
      <c r="A35" s="218">
        <v>44196</v>
      </c>
      <c r="B35" s="208" t="s">
        <v>262</v>
      </c>
      <c r="C35" s="208" t="s">
        <v>8</v>
      </c>
      <c r="D35" s="208">
        <v>2020</v>
      </c>
      <c r="E35" s="208" t="s">
        <v>87</v>
      </c>
      <c r="F35" s="208" t="s">
        <v>85</v>
      </c>
      <c r="G35" s="208" t="s">
        <v>243</v>
      </c>
      <c r="H35" s="208">
        <v>125</v>
      </c>
      <c r="I35" s="208">
        <v>6478.74</v>
      </c>
      <c r="J35" s="208">
        <v>18.829999999999998</v>
      </c>
      <c r="K35" s="208">
        <v>17.190000000000001</v>
      </c>
      <c r="L35" s="208">
        <v>2853.52</v>
      </c>
      <c r="M35" s="208" t="s">
        <v>244</v>
      </c>
      <c r="N35" s="208">
        <v>-1371.2</v>
      </c>
      <c r="O35" s="208">
        <v>2831.83</v>
      </c>
      <c r="P35" s="208">
        <v>-12636.2</v>
      </c>
      <c r="Q35" s="208">
        <v>426.37</v>
      </c>
    </row>
    <row r="36" spans="1:17">
      <c r="A36" s="218">
        <v>44196</v>
      </c>
      <c r="B36" s="208" t="s">
        <v>33</v>
      </c>
      <c r="C36" s="208" t="s">
        <v>8</v>
      </c>
      <c r="D36" s="208">
        <v>2019</v>
      </c>
      <c r="E36" s="208" t="s">
        <v>87</v>
      </c>
      <c r="F36" s="208" t="s">
        <v>85</v>
      </c>
      <c r="G36" s="208" t="s">
        <v>243</v>
      </c>
      <c r="H36" s="208">
        <v>112</v>
      </c>
      <c r="I36" s="208">
        <v>7419</v>
      </c>
      <c r="J36" s="208">
        <v>0</v>
      </c>
      <c r="K36" s="208">
        <v>0</v>
      </c>
      <c r="L36" s="208">
        <v>5346</v>
      </c>
      <c r="M36" s="208" t="s">
        <v>244</v>
      </c>
      <c r="N36" s="208">
        <v>-1025.7</v>
      </c>
      <c r="O36" s="208">
        <v>3777</v>
      </c>
      <c r="P36" s="208">
        <v>-7913.36</v>
      </c>
      <c r="Q36" s="208">
        <v>2428.37</v>
      </c>
    </row>
    <row r="37" spans="1:17">
      <c r="A37" s="218">
        <v>44196</v>
      </c>
      <c r="B37" s="208" t="s">
        <v>264</v>
      </c>
      <c r="C37" s="208" t="s">
        <v>8</v>
      </c>
      <c r="D37" s="208">
        <v>2020</v>
      </c>
      <c r="E37" s="208" t="s">
        <v>87</v>
      </c>
      <c r="F37" s="208" t="s">
        <v>85</v>
      </c>
      <c r="G37" s="208" t="s">
        <v>243</v>
      </c>
      <c r="H37" s="208">
        <v>142</v>
      </c>
      <c r="I37" s="208">
        <v>7590</v>
      </c>
      <c r="J37" s="208">
        <v>0</v>
      </c>
      <c r="K37" s="208">
        <v>0</v>
      </c>
      <c r="L37" s="208">
        <v>2755</v>
      </c>
      <c r="M37" s="208" t="s">
        <v>244</v>
      </c>
      <c r="N37" s="208">
        <v>-1371.2</v>
      </c>
      <c r="O37" s="208">
        <v>2831.83</v>
      </c>
      <c r="P37" s="208">
        <v>-12636.2</v>
      </c>
      <c r="Q37" s="208">
        <v>426.37</v>
      </c>
    </row>
    <row r="38" spans="1:17">
      <c r="A38" s="218">
        <v>44196</v>
      </c>
      <c r="B38" s="208" t="s">
        <v>37</v>
      </c>
      <c r="C38" s="208" t="s">
        <v>8</v>
      </c>
      <c r="D38" s="208">
        <v>2019</v>
      </c>
      <c r="E38" s="208" t="s">
        <v>87</v>
      </c>
      <c r="F38" s="208" t="s">
        <v>85</v>
      </c>
      <c r="G38" s="208" t="s">
        <v>243</v>
      </c>
      <c r="H38" s="208">
        <v>115</v>
      </c>
      <c r="I38" s="208">
        <v>17060.560000000005</v>
      </c>
      <c r="J38" s="208">
        <v>6574.8600000000024</v>
      </c>
      <c r="K38" s="208">
        <v>10616.789999999999</v>
      </c>
      <c r="L38" s="208">
        <v>-2562.5199999999986</v>
      </c>
      <c r="M38" s="208" t="s">
        <v>244</v>
      </c>
      <c r="N38" s="208">
        <v>-1025.7</v>
      </c>
      <c r="O38" s="208">
        <v>3777</v>
      </c>
      <c r="P38" s="208">
        <v>-7913.36</v>
      </c>
      <c r="Q38" s="208">
        <v>2428.37</v>
      </c>
    </row>
    <row r="39" spans="1:17">
      <c r="A39" s="218">
        <v>44196</v>
      </c>
      <c r="B39" s="208" t="s">
        <v>258</v>
      </c>
      <c r="C39" s="208" t="s">
        <v>8</v>
      </c>
      <c r="D39" s="208">
        <v>2019</v>
      </c>
      <c r="E39" s="208" t="s">
        <v>87</v>
      </c>
      <c r="F39" s="208" t="s">
        <v>85</v>
      </c>
      <c r="G39" s="208" t="s">
        <v>243</v>
      </c>
      <c r="H39" s="208">
        <v>144</v>
      </c>
      <c r="I39" s="208">
        <v>12337.490000000002</v>
      </c>
      <c r="J39" s="208">
        <v>8118.5399999999991</v>
      </c>
      <c r="K39" s="208">
        <v>8853.8500000000022</v>
      </c>
      <c r="L39" s="208">
        <v>-8630.130000000001</v>
      </c>
      <c r="M39" s="208" t="s">
        <v>244</v>
      </c>
      <c r="N39" s="208">
        <v>-1025.7</v>
      </c>
      <c r="O39" s="208">
        <v>3777</v>
      </c>
      <c r="P39" s="208">
        <v>-7913.36</v>
      </c>
      <c r="Q39" s="208">
        <v>2428.37</v>
      </c>
    </row>
    <row r="40" spans="1:17">
      <c r="A40" s="218">
        <v>44196</v>
      </c>
      <c r="B40" s="208" t="s">
        <v>265</v>
      </c>
      <c r="C40" s="208" t="s">
        <v>8</v>
      </c>
      <c r="D40" s="208">
        <v>2020</v>
      </c>
      <c r="E40" s="208" t="s">
        <v>87</v>
      </c>
      <c r="F40" s="208" t="s">
        <v>85</v>
      </c>
      <c r="G40" s="208" t="s">
        <v>243</v>
      </c>
      <c r="H40" s="208">
        <v>4</v>
      </c>
      <c r="I40" s="208">
        <v>196</v>
      </c>
      <c r="J40" s="208">
        <v>0</v>
      </c>
      <c r="K40" s="208">
        <v>0</v>
      </c>
      <c r="L40" s="208">
        <v>196</v>
      </c>
      <c r="M40" s="208" t="s">
        <v>244</v>
      </c>
      <c r="N40" s="208">
        <v>-1371.2</v>
      </c>
      <c r="O40" s="208">
        <v>2831.83</v>
      </c>
      <c r="P40" s="208">
        <v>-12636.2</v>
      </c>
      <c r="Q40" s="208">
        <v>426.37</v>
      </c>
    </row>
    <row r="41" spans="1:17">
      <c r="A41" s="218">
        <v>44196</v>
      </c>
      <c r="B41" s="208" t="s">
        <v>266</v>
      </c>
      <c r="C41" s="208" t="s">
        <v>8</v>
      </c>
      <c r="D41" s="208">
        <v>2019</v>
      </c>
      <c r="E41" s="208" t="s">
        <v>87</v>
      </c>
      <c r="F41" s="208" t="s">
        <v>85</v>
      </c>
      <c r="G41" s="208" t="s">
        <v>243</v>
      </c>
      <c r="H41" s="208">
        <v>6</v>
      </c>
      <c r="I41" s="208">
        <v>420</v>
      </c>
      <c r="J41" s="208">
        <v>0</v>
      </c>
      <c r="K41" s="208">
        <v>0</v>
      </c>
      <c r="L41" s="208">
        <v>135</v>
      </c>
      <c r="M41" s="208" t="s">
        <v>244</v>
      </c>
      <c r="N41" s="208">
        <v>-1025.7</v>
      </c>
      <c r="O41" s="208">
        <v>3777</v>
      </c>
      <c r="P41" s="208">
        <v>-7913.36</v>
      </c>
      <c r="Q41" s="208">
        <v>2428.37</v>
      </c>
    </row>
    <row r="42" spans="1:17">
      <c r="A42" s="218">
        <v>44196</v>
      </c>
      <c r="B42" s="208" t="s">
        <v>37</v>
      </c>
      <c r="C42" s="208" t="s">
        <v>8</v>
      </c>
      <c r="D42" s="208">
        <v>2020</v>
      </c>
      <c r="E42" s="208" t="s">
        <v>87</v>
      </c>
      <c r="F42" s="208" t="s">
        <v>85</v>
      </c>
      <c r="G42" s="208" t="s">
        <v>243</v>
      </c>
      <c r="H42" s="208">
        <v>689</v>
      </c>
      <c r="I42" s="208">
        <v>33328.829999999944</v>
      </c>
      <c r="J42" s="208">
        <v>12655.040000000025</v>
      </c>
      <c r="K42" s="208">
        <v>75213.149999999951</v>
      </c>
      <c r="L42" s="208">
        <v>-66180.490000000049</v>
      </c>
      <c r="M42" s="208" t="s">
        <v>244</v>
      </c>
      <c r="N42" s="208">
        <v>-1371.2</v>
      </c>
      <c r="O42" s="208">
        <v>2831.83</v>
      </c>
      <c r="P42" s="208">
        <v>-12636.2</v>
      </c>
      <c r="Q42" s="208">
        <v>426.37</v>
      </c>
    </row>
    <row r="43" spans="1:17">
      <c r="A43" s="218">
        <v>44196</v>
      </c>
      <c r="B43" s="208" t="s">
        <v>41</v>
      </c>
      <c r="C43" s="208" t="s">
        <v>8</v>
      </c>
      <c r="D43" s="208">
        <v>2020</v>
      </c>
      <c r="E43" s="208" t="s">
        <v>87</v>
      </c>
      <c r="F43" s="208" t="s">
        <v>85</v>
      </c>
      <c r="G43" s="208" t="s">
        <v>243</v>
      </c>
      <c r="H43" s="208">
        <v>142</v>
      </c>
      <c r="I43" s="208">
        <v>7590</v>
      </c>
      <c r="J43" s="208">
        <v>0</v>
      </c>
      <c r="K43" s="208">
        <v>0</v>
      </c>
      <c r="L43" s="208">
        <v>2755</v>
      </c>
      <c r="M43" s="208" t="s">
        <v>244</v>
      </c>
      <c r="N43" s="208">
        <v>-1371.2</v>
      </c>
      <c r="O43" s="208">
        <v>2831.83</v>
      </c>
      <c r="P43" s="208">
        <v>-12636.2</v>
      </c>
      <c r="Q43" s="208">
        <v>426.37</v>
      </c>
    </row>
    <row r="44" spans="1:17">
      <c r="A44" s="218">
        <v>44196</v>
      </c>
      <c r="B44" s="208" t="s">
        <v>47</v>
      </c>
      <c r="C44" s="208" t="s">
        <v>8</v>
      </c>
      <c r="D44" s="208">
        <v>2020</v>
      </c>
      <c r="E44" s="208" t="s">
        <v>87</v>
      </c>
      <c r="F44" s="208" t="s">
        <v>85</v>
      </c>
      <c r="G44" s="208" t="s">
        <v>243</v>
      </c>
      <c r="H44" s="208">
        <v>149</v>
      </c>
      <c r="I44" s="208">
        <v>9478</v>
      </c>
      <c r="J44" s="208">
        <v>0</v>
      </c>
      <c r="K44" s="208">
        <v>0</v>
      </c>
      <c r="L44" s="208">
        <v>6305</v>
      </c>
      <c r="M44" s="208" t="s">
        <v>244</v>
      </c>
      <c r="N44" s="208">
        <v>-1371.2</v>
      </c>
      <c r="O44" s="208">
        <v>2831.83</v>
      </c>
      <c r="P44" s="208">
        <v>-12636.2</v>
      </c>
      <c r="Q44" s="208">
        <v>426.37</v>
      </c>
    </row>
    <row r="45" spans="1:17">
      <c r="A45" s="218">
        <v>44196</v>
      </c>
      <c r="B45" s="208" t="s">
        <v>267</v>
      </c>
      <c r="C45" s="208" t="s">
        <v>8</v>
      </c>
      <c r="D45" s="208">
        <v>2020</v>
      </c>
      <c r="E45" s="208" t="s">
        <v>87</v>
      </c>
      <c r="F45" s="208" t="s">
        <v>85</v>
      </c>
      <c r="G45" s="208" t="s">
        <v>243</v>
      </c>
      <c r="H45" s="208">
        <v>154</v>
      </c>
      <c r="I45" s="208">
        <v>8603.1899999999987</v>
      </c>
      <c r="J45" s="208">
        <v>0</v>
      </c>
      <c r="K45" s="208">
        <v>0</v>
      </c>
      <c r="L45" s="208">
        <v>4149.7</v>
      </c>
      <c r="M45" s="208" t="s">
        <v>244</v>
      </c>
      <c r="N45" s="208">
        <v>-1371.2</v>
      </c>
      <c r="O45" s="208">
        <v>2831.83</v>
      </c>
      <c r="P45" s="208">
        <v>-12636.2</v>
      </c>
      <c r="Q45" s="208">
        <v>426.37</v>
      </c>
    </row>
    <row r="46" spans="1:17">
      <c r="A46" s="218">
        <v>44196</v>
      </c>
      <c r="B46" s="208" t="s">
        <v>39</v>
      </c>
      <c r="C46" s="208" t="s">
        <v>8</v>
      </c>
      <c r="D46" s="208">
        <v>2020</v>
      </c>
      <c r="E46" s="208" t="s">
        <v>87</v>
      </c>
      <c r="F46" s="208" t="s">
        <v>85</v>
      </c>
      <c r="G46" s="208" t="s">
        <v>243</v>
      </c>
      <c r="H46" s="208">
        <v>43</v>
      </c>
      <c r="I46" s="208">
        <v>2175</v>
      </c>
      <c r="J46" s="208">
        <v>0</v>
      </c>
      <c r="K46" s="208">
        <v>0</v>
      </c>
      <c r="L46" s="208">
        <v>995</v>
      </c>
      <c r="M46" s="208" t="s">
        <v>244</v>
      </c>
      <c r="N46" s="208">
        <v>-1371.2</v>
      </c>
      <c r="O46" s="208">
        <v>2831.83</v>
      </c>
      <c r="P46" s="208">
        <v>-12636.2</v>
      </c>
      <c r="Q46" s="208">
        <v>426.37</v>
      </c>
    </row>
    <row r="47" spans="1:17">
      <c r="A47" s="218">
        <v>44196</v>
      </c>
      <c r="B47" s="208" t="s">
        <v>259</v>
      </c>
      <c r="C47" s="208" t="s">
        <v>8</v>
      </c>
      <c r="D47" s="208">
        <v>2019</v>
      </c>
      <c r="E47" s="208" t="s">
        <v>87</v>
      </c>
      <c r="F47" s="208" t="s">
        <v>85</v>
      </c>
      <c r="G47" s="208" t="s">
        <v>243</v>
      </c>
      <c r="H47" s="208">
        <v>63</v>
      </c>
      <c r="I47" s="208">
        <v>9810.9</v>
      </c>
      <c r="J47" s="208">
        <v>5465.6800000000012</v>
      </c>
      <c r="K47" s="208">
        <v>6027.5099999999993</v>
      </c>
      <c r="L47" s="208">
        <v>-5053.8899999999994</v>
      </c>
      <c r="M47" s="208" t="s">
        <v>244</v>
      </c>
      <c r="N47" s="208">
        <v>-1025.7</v>
      </c>
      <c r="O47" s="208">
        <v>3777</v>
      </c>
      <c r="P47" s="208">
        <v>-7913.36</v>
      </c>
      <c r="Q47" s="208">
        <v>2428.37</v>
      </c>
    </row>
    <row r="48" spans="1:17">
      <c r="A48" s="218">
        <v>44196</v>
      </c>
      <c r="B48" s="208" t="s">
        <v>36</v>
      </c>
      <c r="C48" s="208" t="s">
        <v>8</v>
      </c>
      <c r="D48" s="208">
        <v>2020</v>
      </c>
      <c r="E48" s="208" t="s">
        <v>87</v>
      </c>
      <c r="F48" s="208" t="s">
        <v>85</v>
      </c>
      <c r="G48" s="208" t="s">
        <v>243</v>
      </c>
      <c r="H48" s="208">
        <v>971</v>
      </c>
      <c r="I48" s="208">
        <v>43338.63999999997</v>
      </c>
      <c r="J48" s="208">
        <v>14592.310000000029</v>
      </c>
      <c r="K48" s="208">
        <v>80897.050000000032</v>
      </c>
      <c r="L48" s="208">
        <v>-70357.190000000075</v>
      </c>
      <c r="M48" s="208" t="s">
        <v>244</v>
      </c>
      <c r="N48" s="208">
        <v>-1371.2</v>
      </c>
      <c r="O48" s="208">
        <v>2831.83</v>
      </c>
      <c r="P48" s="208">
        <v>-12636.2</v>
      </c>
      <c r="Q48" s="208">
        <v>426.37</v>
      </c>
    </row>
    <row r="49" spans="1:17">
      <c r="A49" s="218">
        <v>44196</v>
      </c>
      <c r="B49" s="208" t="s">
        <v>46</v>
      </c>
      <c r="C49" s="208" t="s">
        <v>8</v>
      </c>
      <c r="D49" s="208">
        <v>2020</v>
      </c>
      <c r="E49" s="208" t="s">
        <v>87</v>
      </c>
      <c r="F49" s="208" t="s">
        <v>85</v>
      </c>
      <c r="G49" s="208" t="s">
        <v>243</v>
      </c>
      <c r="H49" s="208">
        <v>4</v>
      </c>
      <c r="I49" s="208">
        <v>196</v>
      </c>
      <c r="J49" s="208">
        <v>0</v>
      </c>
      <c r="K49" s="208">
        <v>0</v>
      </c>
      <c r="L49" s="208">
        <v>196</v>
      </c>
      <c r="M49" s="208" t="s">
        <v>244</v>
      </c>
      <c r="N49" s="208">
        <v>-1371.2</v>
      </c>
      <c r="O49" s="208">
        <v>2831.83</v>
      </c>
      <c r="P49" s="208">
        <v>-12636.2</v>
      </c>
      <c r="Q49" s="208">
        <v>426.37</v>
      </c>
    </row>
    <row r="50" spans="1:17">
      <c r="A50" s="218">
        <v>44196</v>
      </c>
      <c r="B50" s="208" t="s">
        <v>264</v>
      </c>
      <c r="C50" s="208" t="s">
        <v>8</v>
      </c>
      <c r="D50" s="208">
        <v>2019</v>
      </c>
      <c r="E50" s="208" t="s">
        <v>87</v>
      </c>
      <c r="F50" s="208" t="s">
        <v>85</v>
      </c>
      <c r="G50" s="208" t="s">
        <v>243</v>
      </c>
      <c r="H50" s="208">
        <v>124</v>
      </c>
      <c r="I50" s="208">
        <v>7499</v>
      </c>
      <c r="J50" s="208">
        <v>0</v>
      </c>
      <c r="K50" s="208">
        <v>0</v>
      </c>
      <c r="L50" s="208">
        <v>2387</v>
      </c>
      <c r="M50" s="208" t="s">
        <v>244</v>
      </c>
      <c r="N50" s="208">
        <v>-1025.7</v>
      </c>
      <c r="O50" s="208">
        <v>3777</v>
      </c>
      <c r="P50" s="208">
        <v>-7913.36</v>
      </c>
      <c r="Q50" s="208">
        <v>2428.37</v>
      </c>
    </row>
    <row r="51" spans="1:17">
      <c r="A51" s="218">
        <v>44196</v>
      </c>
      <c r="B51" s="208" t="s">
        <v>43</v>
      </c>
      <c r="C51" s="208" t="s">
        <v>8</v>
      </c>
      <c r="D51" s="208">
        <v>2019</v>
      </c>
      <c r="E51" s="208" t="s">
        <v>87</v>
      </c>
      <c r="F51" s="208" t="s">
        <v>85</v>
      </c>
      <c r="G51" s="208" t="s">
        <v>243</v>
      </c>
      <c r="H51" s="208">
        <v>195</v>
      </c>
      <c r="I51" s="208">
        <v>10251</v>
      </c>
      <c r="J51" s="208">
        <v>0</v>
      </c>
      <c r="K51" s="208">
        <v>0</v>
      </c>
      <c r="L51" s="208">
        <v>4345</v>
      </c>
      <c r="M51" s="208" t="s">
        <v>244</v>
      </c>
      <c r="N51" s="208">
        <v>-1025.7</v>
      </c>
      <c r="O51" s="208">
        <v>3777</v>
      </c>
      <c r="P51" s="208">
        <v>-7913.36</v>
      </c>
      <c r="Q51" s="208">
        <v>2428.37</v>
      </c>
    </row>
    <row r="52" spans="1:17">
      <c r="A52" s="218">
        <v>44196</v>
      </c>
      <c r="B52" s="208" t="s">
        <v>268</v>
      </c>
      <c r="C52" s="208" t="s">
        <v>8</v>
      </c>
      <c r="D52" s="208">
        <v>2020</v>
      </c>
      <c r="E52" s="208" t="s">
        <v>87</v>
      </c>
      <c r="F52" s="208" t="s">
        <v>85</v>
      </c>
      <c r="G52" s="208" t="s">
        <v>243</v>
      </c>
      <c r="H52" s="208">
        <v>149</v>
      </c>
      <c r="I52" s="208">
        <v>9478</v>
      </c>
      <c r="J52" s="208">
        <v>0</v>
      </c>
      <c r="K52" s="208">
        <v>0</v>
      </c>
      <c r="L52" s="208">
        <v>6305</v>
      </c>
      <c r="M52" s="208" t="s">
        <v>244</v>
      </c>
      <c r="N52" s="208">
        <v>-1371.2</v>
      </c>
      <c r="O52" s="208">
        <v>2831.83</v>
      </c>
      <c r="P52" s="208">
        <v>-12636.2</v>
      </c>
      <c r="Q52" s="208">
        <v>426.37</v>
      </c>
    </row>
    <row r="53" spans="1:17">
      <c r="A53" s="218">
        <v>44196</v>
      </c>
      <c r="B53" s="208" t="s">
        <v>31</v>
      </c>
      <c r="C53" s="208" t="s">
        <v>8</v>
      </c>
      <c r="D53" s="208">
        <v>2020</v>
      </c>
      <c r="E53" s="208" t="s">
        <v>87</v>
      </c>
      <c r="F53" s="208" t="s">
        <v>85</v>
      </c>
      <c r="G53" s="208" t="s">
        <v>243</v>
      </c>
      <c r="H53" s="208">
        <v>1650</v>
      </c>
      <c r="I53" s="208">
        <v>47657.929999999884</v>
      </c>
      <c r="J53" s="208">
        <v>21127.960000000046</v>
      </c>
      <c r="K53" s="208">
        <v>41189.989999999976</v>
      </c>
      <c r="L53" s="208">
        <v>-56260.24000000002</v>
      </c>
      <c r="M53" s="208" t="s">
        <v>244</v>
      </c>
      <c r="N53" s="208">
        <v>-1371.2</v>
      </c>
      <c r="O53" s="208">
        <v>2831.83</v>
      </c>
      <c r="P53" s="208">
        <v>-12636.2</v>
      </c>
      <c r="Q53" s="208">
        <v>426.37</v>
      </c>
    </row>
    <row r="54" spans="1:17">
      <c r="A54" s="218">
        <v>44196</v>
      </c>
      <c r="B54" s="208" t="s">
        <v>267</v>
      </c>
      <c r="C54" s="208" t="s">
        <v>8</v>
      </c>
      <c r="D54" s="208">
        <v>2019</v>
      </c>
      <c r="E54" s="208" t="s">
        <v>87</v>
      </c>
      <c r="F54" s="208" t="s">
        <v>85</v>
      </c>
      <c r="G54" s="208" t="s">
        <v>243</v>
      </c>
      <c r="H54" s="208">
        <v>125</v>
      </c>
      <c r="I54" s="208">
        <v>7499</v>
      </c>
      <c r="J54" s="208">
        <v>0</v>
      </c>
      <c r="K54" s="208">
        <v>0</v>
      </c>
      <c r="L54" s="208">
        <v>3360</v>
      </c>
      <c r="M54" s="208" t="s">
        <v>244</v>
      </c>
      <c r="N54" s="208">
        <v>-1025.7</v>
      </c>
      <c r="O54" s="208">
        <v>3777</v>
      </c>
      <c r="P54" s="208">
        <v>-7913.36</v>
      </c>
      <c r="Q54" s="208">
        <v>2428.37</v>
      </c>
    </row>
    <row r="55" spans="1:17">
      <c r="A55" s="218">
        <v>44196</v>
      </c>
      <c r="B55" s="208" t="s">
        <v>259</v>
      </c>
      <c r="C55" s="208" t="s">
        <v>8</v>
      </c>
      <c r="D55" s="208">
        <v>2020</v>
      </c>
      <c r="E55" s="208" t="s">
        <v>87</v>
      </c>
      <c r="F55" s="208" t="s">
        <v>85</v>
      </c>
      <c r="G55" s="208" t="s">
        <v>243</v>
      </c>
      <c r="H55" s="208">
        <v>971</v>
      </c>
      <c r="I55" s="208">
        <v>43338.639999999948</v>
      </c>
      <c r="J55" s="208">
        <v>14592.310000000027</v>
      </c>
      <c r="K55" s="208">
        <v>80897.050000000017</v>
      </c>
      <c r="L55" s="208">
        <v>-70357.190000000148</v>
      </c>
      <c r="M55" s="208" t="s">
        <v>244</v>
      </c>
      <c r="N55" s="208">
        <v>-1371.2</v>
      </c>
      <c r="O55" s="208">
        <v>2831.83</v>
      </c>
      <c r="P55" s="208">
        <v>-12636.2</v>
      </c>
      <c r="Q55" s="208">
        <v>426.37</v>
      </c>
    </row>
    <row r="56" spans="1:17">
      <c r="A56" s="218">
        <v>44196</v>
      </c>
      <c r="B56" s="208" t="s">
        <v>263</v>
      </c>
      <c r="C56" s="208" t="s">
        <v>8</v>
      </c>
      <c r="D56" s="208">
        <v>2019</v>
      </c>
      <c r="E56" s="208" t="s">
        <v>87</v>
      </c>
      <c r="F56" s="208" t="s">
        <v>85</v>
      </c>
      <c r="G56" s="208" t="s">
        <v>243</v>
      </c>
      <c r="H56" s="208">
        <v>112</v>
      </c>
      <c r="I56" s="208">
        <v>7419</v>
      </c>
      <c r="J56" s="208">
        <v>0</v>
      </c>
      <c r="K56" s="208">
        <v>0</v>
      </c>
      <c r="L56" s="208">
        <v>5346</v>
      </c>
      <c r="M56" s="208" t="s">
        <v>244</v>
      </c>
      <c r="N56" s="208">
        <v>-1025.7</v>
      </c>
      <c r="O56" s="208">
        <v>3777</v>
      </c>
      <c r="P56" s="208">
        <v>-7913.36</v>
      </c>
      <c r="Q56" s="208">
        <v>2428.37</v>
      </c>
    </row>
    <row r="57" spans="1:17">
      <c r="A57" s="218">
        <v>44196</v>
      </c>
      <c r="B57" s="208" t="s">
        <v>258</v>
      </c>
      <c r="C57" s="208" t="s">
        <v>8</v>
      </c>
      <c r="D57" s="208">
        <v>2020</v>
      </c>
      <c r="E57" s="208" t="s">
        <v>87</v>
      </c>
      <c r="F57" s="208" t="s">
        <v>85</v>
      </c>
      <c r="G57" s="208" t="s">
        <v>243</v>
      </c>
      <c r="H57" s="208">
        <v>1650</v>
      </c>
      <c r="I57" s="208">
        <v>47657.929999999913</v>
      </c>
      <c r="J57" s="208">
        <v>21127.960000000025</v>
      </c>
      <c r="K57" s="208">
        <v>41189.990000000034</v>
      </c>
      <c r="L57" s="208">
        <v>-56260.240000000034</v>
      </c>
      <c r="M57" s="208" t="s">
        <v>244</v>
      </c>
      <c r="N57" s="208">
        <v>-1371.2</v>
      </c>
      <c r="O57" s="208">
        <v>2831.83</v>
      </c>
      <c r="P57" s="208">
        <v>-12636.2</v>
      </c>
      <c r="Q57" s="208">
        <v>426.37</v>
      </c>
    </row>
    <row r="58" spans="1:17">
      <c r="A58" s="218">
        <v>44196</v>
      </c>
      <c r="B58" s="208" t="s">
        <v>269</v>
      </c>
      <c r="C58" s="208" t="s">
        <v>8</v>
      </c>
      <c r="D58" s="208">
        <v>2019</v>
      </c>
      <c r="E58" s="208" t="s">
        <v>87</v>
      </c>
      <c r="F58" s="208" t="s">
        <v>85</v>
      </c>
      <c r="G58" s="208" t="s">
        <v>243</v>
      </c>
      <c r="H58" s="208">
        <v>2</v>
      </c>
      <c r="I58" s="208">
        <v>116</v>
      </c>
      <c r="J58" s="208">
        <v>0</v>
      </c>
      <c r="K58" s="208">
        <v>0</v>
      </c>
      <c r="L58" s="208">
        <v>40</v>
      </c>
      <c r="M58" s="208" t="s">
        <v>244</v>
      </c>
      <c r="N58" s="208">
        <v>-1025.7</v>
      </c>
      <c r="O58" s="208">
        <v>3777</v>
      </c>
      <c r="P58" s="208">
        <v>-7913.36</v>
      </c>
      <c r="Q58" s="208">
        <v>2428.37</v>
      </c>
    </row>
    <row r="59" spans="1:17">
      <c r="A59" s="218">
        <v>44196</v>
      </c>
      <c r="B59" s="208" t="s">
        <v>260</v>
      </c>
      <c r="C59" s="208" t="s">
        <v>8</v>
      </c>
      <c r="D59" s="208">
        <v>2019</v>
      </c>
      <c r="E59" s="208" t="s">
        <v>87</v>
      </c>
      <c r="F59" s="208" t="s">
        <v>85</v>
      </c>
      <c r="G59" s="208" t="s">
        <v>243</v>
      </c>
      <c r="H59" s="208">
        <v>272</v>
      </c>
      <c r="I59" s="208">
        <v>24613.359999999982</v>
      </c>
      <c r="J59" s="208">
        <v>16087.740000000007</v>
      </c>
      <c r="K59" s="208">
        <v>21004.320000000007</v>
      </c>
      <c r="L59" s="208">
        <v>-21360.80999999999</v>
      </c>
      <c r="M59" s="208" t="s">
        <v>244</v>
      </c>
      <c r="N59" s="208">
        <v>-1025.7</v>
      </c>
      <c r="O59" s="208">
        <v>3777</v>
      </c>
      <c r="P59" s="208">
        <v>-7913.36</v>
      </c>
      <c r="Q59" s="208">
        <v>2428.37</v>
      </c>
    </row>
    <row r="60" spans="1:17">
      <c r="A60" s="218">
        <v>44196</v>
      </c>
      <c r="B60" s="208" t="s">
        <v>260</v>
      </c>
      <c r="C60" s="208" t="s">
        <v>8</v>
      </c>
      <c r="D60" s="208">
        <v>2020</v>
      </c>
      <c r="E60" s="208" t="s">
        <v>87</v>
      </c>
      <c r="F60" s="208" t="s">
        <v>85</v>
      </c>
      <c r="G60" s="208" t="s">
        <v>243</v>
      </c>
      <c r="H60" s="208">
        <v>2644</v>
      </c>
      <c r="I60" s="208">
        <v>95861.46999999971</v>
      </c>
      <c r="J60" s="208">
        <v>42043.800000000156</v>
      </c>
      <c r="K60" s="208">
        <v>132221.88999999993</v>
      </c>
      <c r="L60" s="208">
        <v>-145508.33999999976</v>
      </c>
      <c r="M60" s="208" t="s">
        <v>244</v>
      </c>
      <c r="N60" s="208">
        <v>-1371.2</v>
      </c>
      <c r="O60" s="208">
        <v>2831.83</v>
      </c>
      <c r="P60" s="208">
        <v>-12636.2</v>
      </c>
      <c r="Q60" s="208">
        <v>426.37</v>
      </c>
    </row>
    <row r="61" spans="1:17">
      <c r="A61" s="218">
        <v>44196</v>
      </c>
      <c r="B61" s="208" t="s">
        <v>269</v>
      </c>
      <c r="C61" s="208" t="s">
        <v>8</v>
      </c>
      <c r="D61" s="208">
        <v>2020</v>
      </c>
      <c r="E61" s="208" t="s">
        <v>87</v>
      </c>
      <c r="F61" s="208" t="s">
        <v>85</v>
      </c>
      <c r="G61" s="208" t="s">
        <v>243</v>
      </c>
      <c r="H61" s="208">
        <v>43</v>
      </c>
      <c r="I61" s="208">
        <v>2175</v>
      </c>
      <c r="J61" s="208">
        <v>0</v>
      </c>
      <c r="K61" s="208">
        <v>0</v>
      </c>
      <c r="L61" s="208">
        <v>995</v>
      </c>
      <c r="M61" s="208" t="s">
        <v>244</v>
      </c>
      <c r="N61" s="208">
        <v>-1371.2</v>
      </c>
      <c r="O61" s="208">
        <v>2831.83</v>
      </c>
      <c r="P61" s="208">
        <v>-12636.2</v>
      </c>
      <c r="Q61" s="208">
        <v>426.37</v>
      </c>
    </row>
    <row r="62" spans="1:17">
      <c r="A62" s="218">
        <v>44196</v>
      </c>
      <c r="B62" s="208" t="s">
        <v>33</v>
      </c>
      <c r="C62" s="208" t="s">
        <v>8</v>
      </c>
      <c r="D62" s="208">
        <v>2020</v>
      </c>
      <c r="E62" s="208" t="s">
        <v>87</v>
      </c>
      <c r="F62" s="208" t="s">
        <v>85</v>
      </c>
      <c r="G62" s="208" t="s">
        <v>243</v>
      </c>
      <c r="H62" s="208">
        <v>116</v>
      </c>
      <c r="I62" s="208">
        <v>7351</v>
      </c>
      <c r="J62" s="208">
        <v>0</v>
      </c>
      <c r="K62" s="208">
        <v>0</v>
      </c>
      <c r="L62" s="208">
        <v>5458</v>
      </c>
      <c r="M62" s="208" t="s">
        <v>244</v>
      </c>
      <c r="N62" s="208">
        <v>-1371.2</v>
      </c>
      <c r="O62" s="208">
        <v>2831.83</v>
      </c>
      <c r="P62" s="208">
        <v>-12636.2</v>
      </c>
      <c r="Q62" s="208">
        <v>426.37</v>
      </c>
    </row>
    <row r="63" spans="1:17">
      <c r="A63" s="218">
        <v>44196</v>
      </c>
      <c r="B63" s="208" t="s">
        <v>225</v>
      </c>
      <c r="C63" s="208" t="s">
        <v>8</v>
      </c>
      <c r="D63" s="208">
        <v>2019</v>
      </c>
      <c r="E63" s="208" t="s">
        <v>87</v>
      </c>
      <c r="F63" s="208" t="s">
        <v>85</v>
      </c>
      <c r="G63" s="208" t="s">
        <v>243</v>
      </c>
      <c r="H63" s="208">
        <v>115</v>
      </c>
      <c r="I63" s="208">
        <v>17060.560000000001</v>
      </c>
      <c r="J63" s="208">
        <v>6574.8600000000024</v>
      </c>
      <c r="K63" s="208">
        <v>10616.79</v>
      </c>
      <c r="L63" s="208">
        <v>-2562.5200000000004</v>
      </c>
      <c r="M63" s="208" t="s">
        <v>244</v>
      </c>
      <c r="N63" s="208">
        <v>-1025.7</v>
      </c>
      <c r="O63" s="208">
        <v>3777</v>
      </c>
      <c r="P63" s="208">
        <v>-7913.36</v>
      </c>
      <c r="Q63" s="208">
        <v>2428.37</v>
      </c>
    </row>
    <row r="64" spans="1:17">
      <c r="A64" s="218">
        <v>44196</v>
      </c>
      <c r="B64" s="208" t="s">
        <v>45</v>
      </c>
      <c r="C64" s="208" t="s">
        <v>8</v>
      </c>
      <c r="D64" s="208">
        <v>2019</v>
      </c>
      <c r="E64" s="208" t="s">
        <v>87</v>
      </c>
      <c r="F64" s="208" t="s">
        <v>85</v>
      </c>
      <c r="G64" s="208" t="s">
        <v>243</v>
      </c>
      <c r="H64" s="208">
        <v>125</v>
      </c>
      <c r="I64" s="208">
        <v>7499</v>
      </c>
      <c r="J64" s="208">
        <v>0</v>
      </c>
      <c r="K64" s="208">
        <v>0</v>
      </c>
      <c r="L64" s="208">
        <v>3360</v>
      </c>
      <c r="M64" s="208" t="s">
        <v>244</v>
      </c>
      <c r="N64" s="208">
        <v>-1025.7</v>
      </c>
      <c r="O64" s="208">
        <v>3777</v>
      </c>
      <c r="P64" s="208">
        <v>-7913.36</v>
      </c>
      <c r="Q64" s="208">
        <v>2428.37</v>
      </c>
    </row>
    <row r="65" spans="1:17">
      <c r="A65" s="218">
        <v>44196</v>
      </c>
      <c r="B65" s="208" t="s">
        <v>36</v>
      </c>
      <c r="C65" s="208" t="s">
        <v>8</v>
      </c>
      <c r="D65" s="208">
        <v>2019</v>
      </c>
      <c r="E65" s="208" t="s">
        <v>87</v>
      </c>
      <c r="F65" s="208" t="s">
        <v>85</v>
      </c>
      <c r="G65" s="208" t="s">
        <v>243</v>
      </c>
      <c r="H65" s="208">
        <v>63</v>
      </c>
      <c r="I65" s="208">
        <v>9810.9</v>
      </c>
      <c r="J65" s="208">
        <v>5465.6800000000012</v>
      </c>
      <c r="K65" s="208">
        <v>6027.51</v>
      </c>
      <c r="L65" s="208">
        <v>-5053.8899999999985</v>
      </c>
      <c r="M65" s="208" t="s">
        <v>244</v>
      </c>
      <c r="N65" s="208">
        <v>-1025.7</v>
      </c>
      <c r="O65" s="208">
        <v>3777</v>
      </c>
      <c r="P65" s="208">
        <v>-7913.36</v>
      </c>
      <c r="Q65" s="208">
        <v>2428.37</v>
      </c>
    </row>
    <row r="66" spans="1:17">
      <c r="A66" s="218">
        <v>44196</v>
      </c>
      <c r="B66" s="208" t="s">
        <v>261</v>
      </c>
      <c r="C66" s="208" t="s">
        <v>8</v>
      </c>
      <c r="D66" s="208">
        <v>2020</v>
      </c>
      <c r="E66" s="208" t="s">
        <v>87</v>
      </c>
      <c r="F66" s="208" t="s">
        <v>85</v>
      </c>
      <c r="G66" s="208" t="s">
        <v>243</v>
      </c>
      <c r="H66" s="208">
        <v>7</v>
      </c>
      <c r="I66" s="208">
        <v>612.79</v>
      </c>
      <c r="J66" s="208">
        <v>52.099999999999994</v>
      </c>
      <c r="K66" s="208">
        <v>1290.46</v>
      </c>
      <c r="L66" s="208">
        <v>-861.26</v>
      </c>
      <c r="M66" s="208" t="s">
        <v>244</v>
      </c>
      <c r="N66" s="208">
        <v>-1371.2</v>
      </c>
      <c r="O66" s="208">
        <v>2831.83</v>
      </c>
      <c r="P66" s="208">
        <v>-12636.2</v>
      </c>
      <c r="Q66" s="208">
        <v>426.37</v>
      </c>
    </row>
    <row r="67" spans="1:17">
      <c r="A67" s="218">
        <v>44196</v>
      </c>
      <c r="B67" s="208" t="s">
        <v>268</v>
      </c>
      <c r="C67" s="208" t="s">
        <v>8</v>
      </c>
      <c r="D67" s="208">
        <v>2019</v>
      </c>
      <c r="E67" s="208" t="s">
        <v>87</v>
      </c>
      <c r="F67" s="208" t="s">
        <v>85</v>
      </c>
      <c r="G67" s="208" t="s">
        <v>243</v>
      </c>
      <c r="H67" s="208">
        <v>85</v>
      </c>
      <c r="I67" s="208">
        <v>4776.09</v>
      </c>
      <c r="J67" s="208">
        <v>-0.36</v>
      </c>
      <c r="K67" s="208">
        <v>0</v>
      </c>
      <c r="L67" s="208">
        <v>3950.5299999999997</v>
      </c>
      <c r="M67" s="208" t="s">
        <v>244</v>
      </c>
      <c r="N67" s="208">
        <v>-1025.7</v>
      </c>
      <c r="O67" s="208">
        <v>3777</v>
      </c>
      <c r="P67" s="208">
        <v>-7913.36</v>
      </c>
      <c r="Q67" s="208">
        <v>2428.37</v>
      </c>
    </row>
    <row r="68" spans="1:17">
      <c r="A68" s="218">
        <v>44196</v>
      </c>
      <c r="B68" s="208" t="s">
        <v>47</v>
      </c>
      <c r="C68" s="208" t="s">
        <v>8</v>
      </c>
      <c r="D68" s="208">
        <v>2019</v>
      </c>
      <c r="E68" s="208" t="s">
        <v>87</v>
      </c>
      <c r="F68" s="208" t="s">
        <v>85</v>
      </c>
      <c r="G68" s="208" t="s">
        <v>243</v>
      </c>
      <c r="H68" s="208">
        <v>85</v>
      </c>
      <c r="I68" s="208">
        <v>4776.09</v>
      </c>
      <c r="J68" s="208">
        <v>-0.36</v>
      </c>
      <c r="K68" s="208">
        <v>0</v>
      </c>
      <c r="L68" s="208">
        <v>3950.53</v>
      </c>
      <c r="M68" s="208" t="s">
        <v>244</v>
      </c>
      <c r="N68" s="208">
        <v>-1025.7</v>
      </c>
      <c r="O68" s="208">
        <v>3777</v>
      </c>
      <c r="P68" s="208">
        <v>-7913.36</v>
      </c>
      <c r="Q68" s="208">
        <v>2428.37</v>
      </c>
    </row>
    <row r="69" spans="1:17">
      <c r="A69" s="218">
        <v>44196</v>
      </c>
      <c r="B69" s="208" t="s">
        <v>29</v>
      </c>
      <c r="C69" s="208" t="s">
        <v>8</v>
      </c>
      <c r="D69" s="208">
        <v>2019</v>
      </c>
      <c r="E69" s="208" t="s">
        <v>87</v>
      </c>
      <c r="F69" s="208" t="s">
        <v>85</v>
      </c>
      <c r="G69" s="208" t="s">
        <v>243</v>
      </c>
      <c r="H69" s="208">
        <v>272</v>
      </c>
      <c r="I69" s="208">
        <v>24613.359999999975</v>
      </c>
      <c r="J69" s="208">
        <v>16087.740000000009</v>
      </c>
      <c r="K69" s="208">
        <v>21004.32</v>
      </c>
      <c r="L69" s="208">
        <v>-21360.809999999998</v>
      </c>
      <c r="M69" s="208" t="s">
        <v>244</v>
      </c>
      <c r="N69" s="208">
        <v>-1025.7</v>
      </c>
      <c r="O69" s="208">
        <v>3777</v>
      </c>
      <c r="P69" s="208">
        <v>-7913.36</v>
      </c>
      <c r="Q69" s="208">
        <v>2428.37</v>
      </c>
    </row>
    <row r="70" spans="1:17">
      <c r="A70" s="218">
        <v>44196</v>
      </c>
      <c r="B70" s="208" t="s">
        <v>29</v>
      </c>
      <c r="C70" s="208" t="s">
        <v>8</v>
      </c>
      <c r="D70" s="208">
        <v>2019</v>
      </c>
      <c r="E70" s="208" t="s">
        <v>88</v>
      </c>
      <c r="F70" s="208" t="s">
        <v>85</v>
      </c>
      <c r="G70" s="208" t="s">
        <v>243</v>
      </c>
      <c r="H70" s="208">
        <v>2380</v>
      </c>
      <c r="I70" s="208">
        <v>85276.979999999719</v>
      </c>
      <c r="J70" s="208">
        <v>41270.020000000259</v>
      </c>
      <c r="K70" s="208">
        <v>1316.6099999999992</v>
      </c>
      <c r="L70" s="208">
        <v>33088.70000000007</v>
      </c>
      <c r="M70" s="208" t="s">
        <v>244</v>
      </c>
      <c r="N70" s="208">
        <v>-304.89999999999998</v>
      </c>
      <c r="O70" s="208">
        <v>692</v>
      </c>
      <c r="P70" s="208">
        <v>-121.96</v>
      </c>
      <c r="Q70" s="208">
        <v>442</v>
      </c>
    </row>
    <row r="71" spans="1:17">
      <c r="A71" s="218">
        <v>44196</v>
      </c>
      <c r="B71" s="208" t="s">
        <v>260</v>
      </c>
      <c r="C71" s="208" t="s">
        <v>8</v>
      </c>
      <c r="D71" s="208">
        <v>2019</v>
      </c>
      <c r="E71" s="208" t="s">
        <v>88</v>
      </c>
      <c r="F71" s="208" t="s">
        <v>85</v>
      </c>
      <c r="G71" s="208" t="s">
        <v>243</v>
      </c>
      <c r="H71" s="208">
        <v>2380</v>
      </c>
      <c r="I71" s="208">
        <v>85276.97999999985</v>
      </c>
      <c r="J71" s="208">
        <v>41270.020000000084</v>
      </c>
      <c r="K71" s="208">
        <v>1316.61</v>
      </c>
      <c r="L71" s="208">
        <v>33088.700000000099</v>
      </c>
      <c r="M71" s="208" t="s">
        <v>244</v>
      </c>
      <c r="N71" s="208">
        <v>-304.89999999999998</v>
      </c>
      <c r="O71" s="208">
        <v>692</v>
      </c>
      <c r="P71" s="208">
        <v>-121.96</v>
      </c>
      <c r="Q71" s="208">
        <v>442</v>
      </c>
    </row>
    <row r="72" spans="1:17">
      <c r="A72" s="218">
        <v>44196</v>
      </c>
      <c r="B72" s="208" t="s">
        <v>261</v>
      </c>
      <c r="C72" s="208" t="s">
        <v>8</v>
      </c>
      <c r="D72" s="208">
        <v>2019</v>
      </c>
      <c r="E72" s="208" t="s">
        <v>88</v>
      </c>
      <c r="F72" s="208" t="s">
        <v>85</v>
      </c>
      <c r="G72" s="208" t="s">
        <v>243</v>
      </c>
      <c r="H72" s="208">
        <v>11</v>
      </c>
      <c r="I72" s="208">
        <v>419.99</v>
      </c>
      <c r="J72" s="208">
        <v>97.63</v>
      </c>
      <c r="K72" s="208">
        <v>0</v>
      </c>
      <c r="L72" s="208">
        <v>178.01</v>
      </c>
      <c r="M72" s="208" t="s">
        <v>244</v>
      </c>
      <c r="N72" s="208">
        <v>-304.89999999999998</v>
      </c>
      <c r="O72" s="208">
        <v>692</v>
      </c>
      <c r="P72" s="208">
        <v>-121.96</v>
      </c>
      <c r="Q72" s="208">
        <v>442</v>
      </c>
    </row>
    <row r="73" spans="1:17">
      <c r="A73" s="218">
        <v>44196</v>
      </c>
      <c r="B73" s="208" t="s">
        <v>261</v>
      </c>
      <c r="C73" s="208" t="s">
        <v>8</v>
      </c>
      <c r="D73" s="208">
        <v>2020</v>
      </c>
      <c r="E73" s="208" t="s">
        <v>88</v>
      </c>
      <c r="F73" s="208" t="s">
        <v>85</v>
      </c>
      <c r="G73" s="208" t="s">
        <v>243</v>
      </c>
      <c r="H73" s="208">
        <v>4</v>
      </c>
      <c r="I73" s="208">
        <v>146.69</v>
      </c>
      <c r="J73" s="208">
        <v>33.33</v>
      </c>
      <c r="K73" s="208">
        <v>0</v>
      </c>
      <c r="L73" s="208">
        <v>97.259999999999991</v>
      </c>
      <c r="M73" s="208" t="s">
        <v>244</v>
      </c>
      <c r="N73" s="208">
        <v>-357.2</v>
      </c>
      <c r="O73" s="208">
        <v>6500</v>
      </c>
      <c r="P73" s="208">
        <v>-142.88</v>
      </c>
      <c r="Q73" s="208">
        <v>3499.25</v>
      </c>
    </row>
    <row r="74" spans="1:17">
      <c r="A74" s="218">
        <v>44196</v>
      </c>
      <c r="B74" s="208" t="s">
        <v>36</v>
      </c>
      <c r="C74" s="208" t="s">
        <v>8</v>
      </c>
      <c r="D74" s="208">
        <v>2019</v>
      </c>
      <c r="E74" s="208" t="s">
        <v>88</v>
      </c>
      <c r="F74" s="208" t="s">
        <v>85</v>
      </c>
      <c r="G74" s="208" t="s">
        <v>243</v>
      </c>
      <c r="H74" s="208">
        <v>954</v>
      </c>
      <c r="I74" s="208">
        <v>31234.799999999999</v>
      </c>
      <c r="J74" s="208">
        <v>15189.349999999977</v>
      </c>
      <c r="K74" s="208">
        <v>160.16000000000003</v>
      </c>
      <c r="L74" s="208">
        <v>13735.160000000013</v>
      </c>
      <c r="M74" s="208" t="s">
        <v>244</v>
      </c>
      <c r="N74" s="208">
        <v>-304.89999999999998</v>
      </c>
      <c r="O74" s="208">
        <v>692</v>
      </c>
      <c r="P74" s="208">
        <v>-121.96</v>
      </c>
      <c r="Q74" s="208">
        <v>442</v>
      </c>
    </row>
    <row r="75" spans="1:17">
      <c r="A75" s="218">
        <v>44196</v>
      </c>
      <c r="B75" s="208" t="s">
        <v>258</v>
      </c>
      <c r="C75" s="208" t="s">
        <v>8</v>
      </c>
      <c r="D75" s="208">
        <v>2019</v>
      </c>
      <c r="E75" s="208" t="s">
        <v>88</v>
      </c>
      <c r="F75" s="208" t="s">
        <v>85</v>
      </c>
      <c r="G75" s="208" t="s">
        <v>243</v>
      </c>
      <c r="H75" s="208">
        <v>1413</v>
      </c>
      <c r="I75" s="208">
        <v>55172.110000000022</v>
      </c>
      <c r="J75" s="208">
        <v>25261.329999999944</v>
      </c>
      <c r="K75" s="208">
        <v>1064.2600000000009</v>
      </c>
      <c r="L75" s="208">
        <v>17614.549999999967</v>
      </c>
      <c r="M75" s="208" t="s">
        <v>244</v>
      </c>
      <c r="N75" s="208">
        <v>-304.89999999999998</v>
      </c>
      <c r="O75" s="208">
        <v>692</v>
      </c>
      <c r="P75" s="208">
        <v>-121.96</v>
      </c>
      <c r="Q75" s="208">
        <v>442</v>
      </c>
    </row>
    <row r="76" spans="1:17">
      <c r="A76" s="218">
        <v>44196</v>
      </c>
      <c r="B76" s="208" t="s">
        <v>31</v>
      </c>
      <c r="C76" s="208" t="s">
        <v>8</v>
      </c>
      <c r="D76" s="208">
        <v>2019</v>
      </c>
      <c r="E76" s="208" t="s">
        <v>88</v>
      </c>
      <c r="F76" s="208" t="s">
        <v>85</v>
      </c>
      <c r="G76" s="208" t="s">
        <v>243</v>
      </c>
      <c r="H76" s="208">
        <v>1413</v>
      </c>
      <c r="I76" s="208">
        <v>55172.10999999987</v>
      </c>
      <c r="J76" s="208">
        <v>25261.329999999958</v>
      </c>
      <c r="K76" s="208">
        <v>1064.2600000000004</v>
      </c>
      <c r="L76" s="208">
        <v>17614.549999999967</v>
      </c>
      <c r="M76" s="208" t="s">
        <v>244</v>
      </c>
      <c r="N76" s="208">
        <v>-304.89999999999998</v>
      </c>
      <c r="O76" s="208">
        <v>692</v>
      </c>
      <c r="P76" s="208">
        <v>-121.96</v>
      </c>
      <c r="Q76" s="208">
        <v>442</v>
      </c>
    </row>
    <row r="77" spans="1:17">
      <c r="A77" s="218">
        <v>44196</v>
      </c>
      <c r="B77" s="208" t="s">
        <v>225</v>
      </c>
      <c r="C77" s="208" t="s">
        <v>8</v>
      </c>
      <c r="D77" s="208">
        <v>2020</v>
      </c>
      <c r="E77" s="208" t="s">
        <v>88</v>
      </c>
      <c r="F77" s="208" t="s">
        <v>85</v>
      </c>
      <c r="G77" s="208" t="s">
        <v>243</v>
      </c>
      <c r="H77" s="208">
        <v>611</v>
      </c>
      <c r="I77" s="208">
        <v>22368.610000000015</v>
      </c>
      <c r="J77" s="208">
        <v>9757.9499999999935</v>
      </c>
      <c r="K77" s="208">
        <v>0</v>
      </c>
      <c r="L77" s="208">
        <v>10494.210000000006</v>
      </c>
      <c r="M77" s="208" t="s">
        <v>244</v>
      </c>
      <c r="N77" s="208">
        <v>-357.2</v>
      </c>
      <c r="O77" s="208">
        <v>6500</v>
      </c>
      <c r="P77" s="208">
        <v>-142.88</v>
      </c>
      <c r="Q77" s="208">
        <v>3499.25</v>
      </c>
    </row>
    <row r="78" spans="1:17">
      <c r="A78" s="218">
        <v>44196</v>
      </c>
      <c r="B78" s="208" t="s">
        <v>258</v>
      </c>
      <c r="C78" s="208" t="s">
        <v>8</v>
      </c>
      <c r="D78" s="208">
        <v>2020</v>
      </c>
      <c r="E78" s="208" t="s">
        <v>88</v>
      </c>
      <c r="F78" s="208" t="s">
        <v>85</v>
      </c>
      <c r="G78" s="208" t="s">
        <v>243</v>
      </c>
      <c r="H78" s="208">
        <v>1251</v>
      </c>
      <c r="I78" s="208">
        <v>48204.679999999949</v>
      </c>
      <c r="J78" s="208">
        <v>23133.139999999923</v>
      </c>
      <c r="K78" s="208">
        <v>770.95000000000027</v>
      </c>
      <c r="L78" s="208">
        <v>15585.049999999937</v>
      </c>
      <c r="M78" s="208" t="s">
        <v>244</v>
      </c>
      <c r="N78" s="208">
        <v>-357.2</v>
      </c>
      <c r="O78" s="208">
        <v>6500</v>
      </c>
      <c r="P78" s="208">
        <v>-142.88</v>
      </c>
      <c r="Q78" s="208">
        <v>3499.25</v>
      </c>
    </row>
    <row r="79" spans="1:17">
      <c r="A79" s="218">
        <v>44196</v>
      </c>
      <c r="B79" s="208" t="s">
        <v>35</v>
      </c>
      <c r="C79" s="208" t="s">
        <v>8</v>
      </c>
      <c r="D79" s="208">
        <v>2019</v>
      </c>
      <c r="E79" s="208" t="s">
        <v>88</v>
      </c>
      <c r="F79" s="208" t="s">
        <v>85</v>
      </c>
      <c r="G79" s="208" t="s">
        <v>243</v>
      </c>
      <c r="H79" s="208">
        <v>11</v>
      </c>
      <c r="I79" s="208">
        <v>419.99</v>
      </c>
      <c r="J79" s="208">
        <v>97.63</v>
      </c>
      <c r="K79" s="208">
        <v>0</v>
      </c>
      <c r="L79" s="208">
        <v>178.01</v>
      </c>
      <c r="M79" s="208" t="s">
        <v>244</v>
      </c>
      <c r="N79" s="208">
        <v>-304.89999999999998</v>
      </c>
      <c r="O79" s="208">
        <v>692</v>
      </c>
      <c r="P79" s="208">
        <v>-121.96</v>
      </c>
      <c r="Q79" s="208">
        <v>442</v>
      </c>
    </row>
    <row r="80" spans="1:17">
      <c r="A80" s="218">
        <v>44196</v>
      </c>
      <c r="B80" s="208" t="s">
        <v>225</v>
      </c>
      <c r="C80" s="208" t="s">
        <v>8</v>
      </c>
      <c r="D80" s="208">
        <v>2019</v>
      </c>
      <c r="E80" s="208" t="s">
        <v>88</v>
      </c>
      <c r="F80" s="208" t="s">
        <v>85</v>
      </c>
      <c r="G80" s="208" t="s">
        <v>243</v>
      </c>
      <c r="H80" s="208">
        <v>665</v>
      </c>
      <c r="I80" s="208">
        <v>21846.979999999989</v>
      </c>
      <c r="J80" s="208">
        <v>10707.299999999997</v>
      </c>
      <c r="K80" s="208">
        <v>86.58</v>
      </c>
      <c r="L80" s="208">
        <v>9714.2100000000119</v>
      </c>
      <c r="M80" s="208" t="s">
        <v>244</v>
      </c>
      <c r="N80" s="208">
        <v>-304.89999999999998</v>
      </c>
      <c r="O80" s="208">
        <v>692</v>
      </c>
      <c r="P80" s="208">
        <v>-121.96</v>
      </c>
      <c r="Q80" s="208">
        <v>442</v>
      </c>
    </row>
    <row r="81" spans="1:17">
      <c r="A81" s="218">
        <v>44196</v>
      </c>
      <c r="B81" s="208" t="s">
        <v>35</v>
      </c>
      <c r="C81" s="208" t="s">
        <v>8</v>
      </c>
      <c r="D81" s="208">
        <v>2020</v>
      </c>
      <c r="E81" s="208" t="s">
        <v>88</v>
      </c>
      <c r="F81" s="208" t="s">
        <v>85</v>
      </c>
      <c r="G81" s="208" t="s">
        <v>243</v>
      </c>
      <c r="H81" s="208">
        <v>4</v>
      </c>
      <c r="I81" s="208">
        <v>146.69</v>
      </c>
      <c r="J81" s="208">
        <v>33.33</v>
      </c>
      <c r="K81" s="208">
        <v>0</v>
      </c>
      <c r="L81" s="208">
        <v>97.26</v>
      </c>
      <c r="M81" s="208" t="s">
        <v>244</v>
      </c>
      <c r="N81" s="208">
        <v>-357.2</v>
      </c>
      <c r="O81" s="208">
        <v>6500</v>
      </c>
      <c r="P81" s="208">
        <v>-142.88</v>
      </c>
      <c r="Q81" s="208">
        <v>3499.25</v>
      </c>
    </row>
    <row r="82" spans="1:17">
      <c r="A82" s="218">
        <v>44196</v>
      </c>
      <c r="B82" s="208" t="s">
        <v>269</v>
      </c>
      <c r="C82" s="208" t="s">
        <v>8</v>
      </c>
      <c r="D82" s="208">
        <v>2019</v>
      </c>
      <c r="E82" s="208" t="s">
        <v>88</v>
      </c>
      <c r="F82" s="208" t="s">
        <v>85</v>
      </c>
      <c r="G82" s="208" t="s">
        <v>243</v>
      </c>
      <c r="H82" s="208">
        <v>4</v>
      </c>
      <c r="I82" s="208">
        <v>52.76</v>
      </c>
      <c r="J82" s="208">
        <v>26.43</v>
      </c>
      <c r="K82" s="208">
        <v>0</v>
      </c>
      <c r="L82" s="208">
        <v>17.630000000000003</v>
      </c>
      <c r="M82" s="208" t="s">
        <v>244</v>
      </c>
      <c r="N82" s="208">
        <v>-304.89999999999998</v>
      </c>
      <c r="O82" s="208">
        <v>692</v>
      </c>
      <c r="P82" s="208">
        <v>-121.96</v>
      </c>
      <c r="Q82" s="208">
        <v>442</v>
      </c>
    </row>
    <row r="83" spans="1:17">
      <c r="A83" s="218">
        <v>44196</v>
      </c>
      <c r="B83" s="208" t="s">
        <v>37</v>
      </c>
      <c r="C83" s="208" t="s">
        <v>8</v>
      </c>
      <c r="D83" s="208">
        <v>2019</v>
      </c>
      <c r="E83" s="208" t="s">
        <v>88</v>
      </c>
      <c r="F83" s="208" t="s">
        <v>85</v>
      </c>
      <c r="G83" s="208" t="s">
        <v>243</v>
      </c>
      <c r="H83" s="208">
        <v>665</v>
      </c>
      <c r="I83" s="208">
        <v>21846.98000000001</v>
      </c>
      <c r="J83" s="208">
        <v>10707.299999999997</v>
      </c>
      <c r="K83" s="208">
        <v>86.58</v>
      </c>
      <c r="L83" s="208">
        <v>9714.2100000000191</v>
      </c>
      <c r="M83" s="208" t="s">
        <v>244</v>
      </c>
      <c r="N83" s="208">
        <v>-304.89999999999998</v>
      </c>
      <c r="O83" s="208">
        <v>692</v>
      </c>
      <c r="P83" s="208">
        <v>-121.96</v>
      </c>
      <c r="Q83" s="208">
        <v>442</v>
      </c>
    </row>
    <row r="84" spans="1:17">
      <c r="A84" s="218">
        <v>44196</v>
      </c>
      <c r="B84" s="208" t="s">
        <v>36</v>
      </c>
      <c r="C84" s="208" t="s">
        <v>8</v>
      </c>
      <c r="D84" s="208">
        <v>2020</v>
      </c>
      <c r="E84" s="208" t="s">
        <v>88</v>
      </c>
      <c r="F84" s="208" t="s">
        <v>85</v>
      </c>
      <c r="G84" s="208" t="s">
        <v>243</v>
      </c>
      <c r="H84" s="208">
        <v>751</v>
      </c>
      <c r="I84" s="208">
        <v>27829.300000000017</v>
      </c>
      <c r="J84" s="208">
        <v>13129.409999999996</v>
      </c>
      <c r="K84" s="208">
        <v>115.44</v>
      </c>
      <c r="L84" s="208">
        <v>11751.539999999994</v>
      </c>
      <c r="M84" s="208" t="s">
        <v>244</v>
      </c>
      <c r="N84" s="208">
        <v>-357.2</v>
      </c>
      <c r="O84" s="208">
        <v>6500</v>
      </c>
      <c r="P84" s="208">
        <v>-142.88</v>
      </c>
      <c r="Q84" s="208">
        <v>3499.25</v>
      </c>
    </row>
    <row r="85" spans="1:17">
      <c r="A85" s="218">
        <v>44196</v>
      </c>
      <c r="B85" s="208" t="s">
        <v>31</v>
      </c>
      <c r="C85" s="208" t="s">
        <v>8</v>
      </c>
      <c r="D85" s="208">
        <v>2020</v>
      </c>
      <c r="E85" s="208" t="s">
        <v>88</v>
      </c>
      <c r="F85" s="208" t="s">
        <v>85</v>
      </c>
      <c r="G85" s="208" t="s">
        <v>243</v>
      </c>
      <c r="H85" s="208">
        <v>1251</v>
      </c>
      <c r="I85" s="208">
        <v>48204.680000000008</v>
      </c>
      <c r="J85" s="208">
        <v>23133.139999999916</v>
      </c>
      <c r="K85" s="208">
        <v>770.95000000000061</v>
      </c>
      <c r="L85" s="208">
        <v>15585.049999999932</v>
      </c>
      <c r="M85" s="208" t="s">
        <v>244</v>
      </c>
      <c r="N85" s="208">
        <v>-357.2</v>
      </c>
      <c r="O85" s="208">
        <v>6500</v>
      </c>
      <c r="P85" s="208">
        <v>-142.88</v>
      </c>
      <c r="Q85" s="208">
        <v>3499.25</v>
      </c>
    </row>
    <row r="86" spans="1:17">
      <c r="A86" s="218">
        <v>44196</v>
      </c>
      <c r="B86" s="208" t="s">
        <v>37</v>
      </c>
      <c r="C86" s="208" t="s">
        <v>8</v>
      </c>
      <c r="D86" s="208">
        <v>2020</v>
      </c>
      <c r="E86" s="208" t="s">
        <v>88</v>
      </c>
      <c r="F86" s="208" t="s">
        <v>85</v>
      </c>
      <c r="G86" s="208" t="s">
        <v>243</v>
      </c>
      <c r="H86" s="208">
        <v>611</v>
      </c>
      <c r="I86" s="208">
        <v>22368.610000000015</v>
      </c>
      <c r="J86" s="208">
        <v>9757.9499999999916</v>
      </c>
      <c r="K86" s="208">
        <v>0</v>
      </c>
      <c r="L86" s="208">
        <v>10494.209999999983</v>
      </c>
      <c r="M86" s="208" t="s">
        <v>244</v>
      </c>
      <c r="N86" s="208">
        <v>-357.2</v>
      </c>
      <c r="O86" s="208">
        <v>6500</v>
      </c>
      <c r="P86" s="208">
        <v>-142.88</v>
      </c>
      <c r="Q86" s="208">
        <v>3499.25</v>
      </c>
    </row>
    <row r="87" spans="1:17">
      <c r="A87" s="218">
        <v>44196</v>
      </c>
      <c r="B87" s="208" t="s">
        <v>43</v>
      </c>
      <c r="C87" s="208" t="s">
        <v>8</v>
      </c>
      <c r="D87" s="208">
        <v>2019</v>
      </c>
      <c r="E87" s="208" t="s">
        <v>88</v>
      </c>
      <c r="F87" s="208" t="s">
        <v>85</v>
      </c>
      <c r="G87" s="208" t="s">
        <v>243</v>
      </c>
      <c r="H87" s="208">
        <v>3</v>
      </c>
      <c r="I87" s="208">
        <v>220</v>
      </c>
      <c r="J87" s="208">
        <v>63.82</v>
      </c>
      <c r="K87" s="208">
        <v>0</v>
      </c>
      <c r="L87" s="208">
        <v>156.18</v>
      </c>
      <c r="M87" s="208" t="s">
        <v>244</v>
      </c>
      <c r="N87" s="208">
        <v>-304.89999999999998</v>
      </c>
      <c r="O87" s="208">
        <v>692</v>
      </c>
      <c r="P87" s="208">
        <v>-121.96</v>
      </c>
      <c r="Q87" s="208">
        <v>442</v>
      </c>
    </row>
    <row r="88" spans="1:17">
      <c r="A88" s="218">
        <v>44196</v>
      </c>
      <c r="B88" s="208" t="s">
        <v>259</v>
      </c>
      <c r="C88" s="208" t="s">
        <v>8</v>
      </c>
      <c r="D88" s="208">
        <v>2019</v>
      </c>
      <c r="E88" s="208" t="s">
        <v>88</v>
      </c>
      <c r="F88" s="208" t="s">
        <v>85</v>
      </c>
      <c r="G88" s="208" t="s">
        <v>243</v>
      </c>
      <c r="H88" s="208">
        <v>954</v>
      </c>
      <c r="I88" s="208">
        <v>31234.79999999997</v>
      </c>
      <c r="J88" s="208">
        <v>15189.349999999982</v>
      </c>
      <c r="K88" s="208">
        <v>160.16000000000003</v>
      </c>
      <c r="L88" s="208">
        <v>13735.160000000013</v>
      </c>
      <c r="M88" s="208" t="s">
        <v>244</v>
      </c>
      <c r="N88" s="208">
        <v>-304.89999999999998</v>
      </c>
      <c r="O88" s="208">
        <v>692</v>
      </c>
      <c r="P88" s="208">
        <v>-121.96</v>
      </c>
      <c r="Q88" s="208">
        <v>442</v>
      </c>
    </row>
    <row r="89" spans="1:17">
      <c r="A89" s="218">
        <v>44196</v>
      </c>
      <c r="B89" s="208" t="s">
        <v>39</v>
      </c>
      <c r="C89" s="208" t="s">
        <v>8</v>
      </c>
      <c r="D89" s="208">
        <v>2019</v>
      </c>
      <c r="E89" s="208" t="s">
        <v>88</v>
      </c>
      <c r="F89" s="208" t="s">
        <v>85</v>
      </c>
      <c r="G89" s="208" t="s">
        <v>243</v>
      </c>
      <c r="H89" s="208">
        <v>4</v>
      </c>
      <c r="I89" s="208">
        <v>52.760000000000005</v>
      </c>
      <c r="J89" s="208">
        <v>26.43</v>
      </c>
      <c r="K89" s="208">
        <v>0</v>
      </c>
      <c r="L89" s="208">
        <v>17.63</v>
      </c>
      <c r="M89" s="208" t="s">
        <v>244</v>
      </c>
      <c r="N89" s="208">
        <v>-304.89999999999998</v>
      </c>
      <c r="O89" s="208">
        <v>692</v>
      </c>
      <c r="P89" s="208">
        <v>-121.96</v>
      </c>
      <c r="Q89" s="208">
        <v>442</v>
      </c>
    </row>
    <row r="90" spans="1:17">
      <c r="A90" s="218">
        <v>44196</v>
      </c>
      <c r="B90" s="208" t="s">
        <v>259</v>
      </c>
      <c r="C90" s="208" t="s">
        <v>8</v>
      </c>
      <c r="D90" s="208">
        <v>2020</v>
      </c>
      <c r="E90" s="208" t="s">
        <v>88</v>
      </c>
      <c r="F90" s="208" t="s">
        <v>85</v>
      </c>
      <c r="G90" s="208" t="s">
        <v>243</v>
      </c>
      <c r="H90" s="208">
        <v>751</v>
      </c>
      <c r="I90" s="208">
        <v>27829.299999999977</v>
      </c>
      <c r="J90" s="208">
        <v>13129.409999999967</v>
      </c>
      <c r="K90" s="208">
        <v>115.44</v>
      </c>
      <c r="L90" s="208">
        <v>11751.54000000001</v>
      </c>
      <c r="M90" s="208" t="s">
        <v>244</v>
      </c>
      <c r="N90" s="208">
        <v>-357.2</v>
      </c>
      <c r="O90" s="208">
        <v>6500</v>
      </c>
      <c r="P90" s="208">
        <v>-142.88</v>
      </c>
      <c r="Q90" s="208">
        <v>3499.25</v>
      </c>
    </row>
    <row r="91" spans="1:17">
      <c r="A91" s="218">
        <v>44196</v>
      </c>
      <c r="B91" s="208" t="s">
        <v>29</v>
      </c>
      <c r="C91" s="208" t="s">
        <v>8</v>
      </c>
      <c r="D91" s="208">
        <v>2020</v>
      </c>
      <c r="E91" s="208" t="s">
        <v>88</v>
      </c>
      <c r="F91" s="208" t="s">
        <v>85</v>
      </c>
      <c r="G91" s="208" t="s">
        <v>243</v>
      </c>
      <c r="H91" s="208">
        <v>2148</v>
      </c>
      <c r="I91" s="208">
        <v>97236.759999999747</v>
      </c>
      <c r="J91" s="208">
        <v>46814.500000000182</v>
      </c>
      <c r="K91" s="208">
        <v>1602.4299999999992</v>
      </c>
      <c r="L91" s="208">
        <v>38630.410000000069</v>
      </c>
      <c r="M91" s="208" t="s">
        <v>244</v>
      </c>
      <c r="N91" s="208">
        <v>-357.2</v>
      </c>
      <c r="O91" s="208">
        <v>6500</v>
      </c>
      <c r="P91" s="208">
        <v>-142.88</v>
      </c>
      <c r="Q91" s="208">
        <v>3499.25</v>
      </c>
    </row>
    <row r="92" spans="1:17">
      <c r="A92" s="218">
        <v>44196</v>
      </c>
      <c r="B92" s="208" t="s">
        <v>262</v>
      </c>
      <c r="C92" s="208" t="s">
        <v>8</v>
      </c>
      <c r="D92" s="208">
        <v>2019</v>
      </c>
      <c r="E92" s="208" t="s">
        <v>88</v>
      </c>
      <c r="F92" s="208" t="s">
        <v>85</v>
      </c>
      <c r="G92" s="208" t="s">
        <v>243</v>
      </c>
      <c r="H92" s="208">
        <v>3</v>
      </c>
      <c r="I92" s="208">
        <v>220</v>
      </c>
      <c r="J92" s="208">
        <v>63.82</v>
      </c>
      <c r="K92" s="208">
        <v>0</v>
      </c>
      <c r="L92" s="208">
        <v>156.18</v>
      </c>
      <c r="M92" s="208" t="s">
        <v>244</v>
      </c>
      <c r="N92" s="208">
        <v>-304.89999999999998</v>
      </c>
      <c r="O92" s="208">
        <v>692</v>
      </c>
      <c r="P92" s="208">
        <v>-121.96</v>
      </c>
      <c r="Q92" s="208">
        <v>442</v>
      </c>
    </row>
    <row r="93" spans="1:17">
      <c r="A93" s="218">
        <v>44196</v>
      </c>
      <c r="B93" s="208" t="s">
        <v>260</v>
      </c>
      <c r="C93" s="208" t="s">
        <v>8</v>
      </c>
      <c r="D93" s="208">
        <v>2020</v>
      </c>
      <c r="E93" s="208" t="s">
        <v>88</v>
      </c>
      <c r="F93" s="208" t="s">
        <v>85</v>
      </c>
      <c r="G93" s="208" t="s">
        <v>243</v>
      </c>
      <c r="H93" s="208">
        <v>2148</v>
      </c>
      <c r="I93" s="208">
        <v>97236.759999999806</v>
      </c>
      <c r="J93" s="208">
        <v>46814.500000000247</v>
      </c>
      <c r="K93" s="208">
        <v>1602.4299999999992</v>
      </c>
      <c r="L93" s="208">
        <v>38630.409999999989</v>
      </c>
      <c r="M93" s="208" t="s">
        <v>244</v>
      </c>
      <c r="N93" s="208">
        <v>-357.2</v>
      </c>
      <c r="O93" s="208">
        <v>6500</v>
      </c>
      <c r="P93" s="208">
        <v>-142.88</v>
      </c>
      <c r="Q93" s="208">
        <v>3499.25</v>
      </c>
    </row>
    <row r="94" spans="1:17">
      <c r="A94" s="218">
        <v>44196</v>
      </c>
      <c r="B94" s="208" t="s">
        <v>29</v>
      </c>
      <c r="C94" s="208" t="s">
        <v>8</v>
      </c>
      <c r="D94" s="208">
        <v>2020</v>
      </c>
      <c r="E94" s="208" t="s">
        <v>89</v>
      </c>
      <c r="F94" s="208" t="s">
        <v>85</v>
      </c>
      <c r="G94" s="208" t="s">
        <v>243</v>
      </c>
      <c r="H94" s="208">
        <v>1</v>
      </c>
      <c r="I94" s="208">
        <v>180</v>
      </c>
      <c r="J94" s="208">
        <v>0</v>
      </c>
      <c r="K94" s="208">
        <v>0</v>
      </c>
      <c r="L94" s="208">
        <v>180</v>
      </c>
      <c r="M94" s="208" t="s">
        <v>244</v>
      </c>
      <c r="N94" s="208">
        <v>180</v>
      </c>
      <c r="O94" s="208">
        <v>180</v>
      </c>
      <c r="P94" s="208">
        <v>180</v>
      </c>
      <c r="Q94" s="208">
        <v>180</v>
      </c>
    </row>
    <row r="95" spans="1:17">
      <c r="A95" s="218">
        <v>44196</v>
      </c>
      <c r="B95" s="208" t="s">
        <v>31</v>
      </c>
      <c r="C95" s="208" t="s">
        <v>8</v>
      </c>
      <c r="D95" s="208">
        <v>2019</v>
      </c>
      <c r="E95" s="208" t="s">
        <v>89</v>
      </c>
      <c r="F95" s="208" t="s">
        <v>85</v>
      </c>
      <c r="G95" s="208" t="s">
        <v>243</v>
      </c>
      <c r="H95" s="208">
        <v>1</v>
      </c>
      <c r="I95" s="208">
        <v>600</v>
      </c>
      <c r="J95" s="208">
        <v>0</v>
      </c>
      <c r="K95" s="208">
        <v>0</v>
      </c>
      <c r="L95" s="208">
        <v>600</v>
      </c>
      <c r="M95" s="208" t="s">
        <v>244</v>
      </c>
      <c r="N95" s="208">
        <v>23</v>
      </c>
      <c r="O95" s="208">
        <v>600</v>
      </c>
      <c r="P95" s="208">
        <v>6.9</v>
      </c>
      <c r="Q95" s="208">
        <v>600</v>
      </c>
    </row>
    <row r="96" spans="1:17">
      <c r="A96" s="218">
        <v>44196</v>
      </c>
      <c r="B96" s="208" t="s">
        <v>29</v>
      </c>
      <c r="C96" s="208" t="s">
        <v>8</v>
      </c>
      <c r="D96" s="208">
        <v>2019</v>
      </c>
      <c r="E96" s="208" t="s">
        <v>89</v>
      </c>
      <c r="F96" s="208" t="s">
        <v>85</v>
      </c>
      <c r="G96" s="208" t="s">
        <v>243</v>
      </c>
      <c r="H96" s="208">
        <v>2</v>
      </c>
      <c r="I96" s="208">
        <v>47</v>
      </c>
      <c r="J96" s="208">
        <v>16.100000000000001</v>
      </c>
      <c r="K96" s="208">
        <v>0</v>
      </c>
      <c r="L96" s="208">
        <v>30.9</v>
      </c>
      <c r="M96" s="208" t="s">
        <v>244</v>
      </c>
      <c r="N96" s="208">
        <v>23</v>
      </c>
      <c r="O96" s="208">
        <v>600</v>
      </c>
      <c r="P96" s="208">
        <v>6.9</v>
      </c>
      <c r="Q96" s="208">
        <v>600</v>
      </c>
    </row>
    <row r="97" spans="1:17">
      <c r="A97" s="218">
        <v>44196</v>
      </c>
      <c r="B97" s="208" t="s">
        <v>260</v>
      </c>
      <c r="C97" s="208" t="s">
        <v>8</v>
      </c>
      <c r="D97" s="208">
        <v>2020</v>
      </c>
      <c r="E97" s="208" t="s">
        <v>89</v>
      </c>
      <c r="F97" s="208" t="s">
        <v>85</v>
      </c>
      <c r="G97" s="208" t="s">
        <v>243</v>
      </c>
      <c r="H97" s="208">
        <v>1</v>
      </c>
      <c r="I97" s="208">
        <v>180</v>
      </c>
      <c r="J97" s="208">
        <v>0</v>
      </c>
      <c r="K97" s="208">
        <v>0</v>
      </c>
      <c r="L97" s="208">
        <v>180</v>
      </c>
      <c r="M97" s="208" t="s">
        <v>244</v>
      </c>
      <c r="N97" s="208">
        <v>180</v>
      </c>
      <c r="O97" s="208">
        <v>180</v>
      </c>
      <c r="P97" s="208">
        <v>180</v>
      </c>
      <c r="Q97" s="208">
        <v>180</v>
      </c>
    </row>
    <row r="98" spans="1:17">
      <c r="A98" s="218">
        <v>44196</v>
      </c>
      <c r="B98" s="208" t="s">
        <v>258</v>
      </c>
      <c r="C98" s="208" t="s">
        <v>8</v>
      </c>
      <c r="D98" s="208">
        <v>2019</v>
      </c>
      <c r="E98" s="208" t="s">
        <v>89</v>
      </c>
      <c r="F98" s="208" t="s">
        <v>85</v>
      </c>
      <c r="G98" s="208" t="s">
        <v>243</v>
      </c>
      <c r="H98" s="208">
        <v>1</v>
      </c>
      <c r="I98" s="208">
        <v>600</v>
      </c>
      <c r="J98" s="208">
        <v>0</v>
      </c>
      <c r="K98" s="208">
        <v>0</v>
      </c>
      <c r="L98" s="208">
        <v>600</v>
      </c>
      <c r="M98" s="208" t="s">
        <v>244</v>
      </c>
      <c r="N98" s="208">
        <v>23</v>
      </c>
      <c r="O98" s="208">
        <v>600</v>
      </c>
      <c r="P98" s="208">
        <v>6.9</v>
      </c>
      <c r="Q98" s="208">
        <v>600</v>
      </c>
    </row>
    <row r="99" spans="1:17">
      <c r="A99" s="218">
        <v>44196</v>
      </c>
      <c r="B99" s="208" t="s">
        <v>260</v>
      </c>
      <c r="C99" s="208" t="s">
        <v>8</v>
      </c>
      <c r="D99" s="208">
        <v>2019</v>
      </c>
      <c r="E99" s="208" t="s">
        <v>89</v>
      </c>
      <c r="F99" s="208" t="s">
        <v>85</v>
      </c>
      <c r="G99" s="208" t="s">
        <v>243</v>
      </c>
      <c r="H99" s="208">
        <v>2</v>
      </c>
      <c r="I99" s="208">
        <v>47</v>
      </c>
      <c r="J99" s="208">
        <v>16.100000000000001</v>
      </c>
      <c r="K99" s="208">
        <v>0</v>
      </c>
      <c r="L99" s="208">
        <v>30.9</v>
      </c>
      <c r="M99" s="208" t="s">
        <v>244</v>
      </c>
      <c r="N99" s="208">
        <v>23</v>
      </c>
      <c r="O99" s="208">
        <v>600</v>
      </c>
      <c r="P99" s="208">
        <v>6.9</v>
      </c>
      <c r="Q99" s="208">
        <v>600</v>
      </c>
    </row>
    <row r="100" spans="1:17">
      <c r="A100" s="218">
        <v>44196</v>
      </c>
      <c r="B100" s="208" t="s">
        <v>259</v>
      </c>
      <c r="C100" s="208" t="s">
        <v>8</v>
      </c>
      <c r="D100" s="208">
        <v>2020</v>
      </c>
      <c r="E100" s="208" t="s">
        <v>90</v>
      </c>
      <c r="F100" s="208" t="s">
        <v>85</v>
      </c>
      <c r="G100" s="208" t="s">
        <v>243</v>
      </c>
      <c r="H100" s="208">
        <v>379</v>
      </c>
      <c r="I100" s="208">
        <v>20766</v>
      </c>
      <c r="J100" s="208">
        <v>0</v>
      </c>
      <c r="K100" s="208">
        <v>0</v>
      </c>
      <c r="L100" s="208">
        <v>20093</v>
      </c>
      <c r="M100" s="208" t="s">
        <v>244</v>
      </c>
      <c r="N100" s="208">
        <v>-80</v>
      </c>
      <c r="O100" s="208">
        <v>160</v>
      </c>
      <c r="P100" s="208">
        <v>-80</v>
      </c>
      <c r="Q100" s="208">
        <v>100</v>
      </c>
    </row>
    <row r="101" spans="1:17">
      <c r="A101" s="218">
        <v>44196</v>
      </c>
      <c r="B101" s="208" t="s">
        <v>225</v>
      </c>
      <c r="C101" s="208" t="s">
        <v>8</v>
      </c>
      <c r="D101" s="208">
        <v>2020</v>
      </c>
      <c r="E101" s="208" t="s">
        <v>90</v>
      </c>
      <c r="F101" s="208" t="s">
        <v>85</v>
      </c>
      <c r="G101" s="208" t="s">
        <v>243</v>
      </c>
      <c r="H101" s="208">
        <v>179</v>
      </c>
      <c r="I101" s="208">
        <v>10973</v>
      </c>
      <c r="J101" s="208">
        <v>0</v>
      </c>
      <c r="K101" s="208">
        <v>40</v>
      </c>
      <c r="L101" s="208">
        <v>10353.76</v>
      </c>
      <c r="M101" s="208" t="s">
        <v>244</v>
      </c>
      <c r="N101" s="208">
        <v>-80</v>
      </c>
      <c r="O101" s="208">
        <v>160</v>
      </c>
      <c r="P101" s="208">
        <v>-80</v>
      </c>
      <c r="Q101" s="208">
        <v>100</v>
      </c>
    </row>
    <row r="102" spans="1:17">
      <c r="A102" s="218">
        <v>44196</v>
      </c>
      <c r="B102" s="208" t="s">
        <v>261</v>
      </c>
      <c r="C102" s="208" t="s">
        <v>8</v>
      </c>
      <c r="D102" s="208">
        <v>2019</v>
      </c>
      <c r="E102" s="208" t="s">
        <v>90</v>
      </c>
      <c r="F102" s="208" t="s">
        <v>85</v>
      </c>
      <c r="G102" s="208" t="s">
        <v>243</v>
      </c>
      <c r="H102" s="208">
        <v>3</v>
      </c>
      <c r="I102" s="208">
        <v>200</v>
      </c>
      <c r="J102" s="208">
        <v>0</v>
      </c>
      <c r="K102" s="208">
        <v>0</v>
      </c>
      <c r="L102" s="208">
        <v>200</v>
      </c>
      <c r="M102" s="208" t="s">
        <v>244</v>
      </c>
      <c r="N102" s="208">
        <v>-100</v>
      </c>
      <c r="O102" s="208">
        <v>165</v>
      </c>
      <c r="P102" s="208">
        <v>-90</v>
      </c>
      <c r="Q102" s="208">
        <v>100</v>
      </c>
    </row>
    <row r="103" spans="1:17">
      <c r="A103" s="218">
        <v>44196</v>
      </c>
      <c r="B103" s="208" t="s">
        <v>29</v>
      </c>
      <c r="C103" s="208" t="s">
        <v>8</v>
      </c>
      <c r="D103" s="208">
        <v>2019</v>
      </c>
      <c r="E103" s="208" t="s">
        <v>90</v>
      </c>
      <c r="F103" s="208" t="s">
        <v>85</v>
      </c>
      <c r="G103" s="208" t="s">
        <v>243</v>
      </c>
      <c r="H103" s="208">
        <v>799</v>
      </c>
      <c r="I103" s="208">
        <v>41066.200000000004</v>
      </c>
      <c r="J103" s="208">
        <v>0</v>
      </c>
      <c r="K103" s="208">
        <v>1297</v>
      </c>
      <c r="L103" s="208">
        <v>36719.200000000004</v>
      </c>
      <c r="M103" s="208" t="s">
        <v>244</v>
      </c>
      <c r="N103" s="208">
        <v>-100</v>
      </c>
      <c r="O103" s="208">
        <v>165</v>
      </c>
      <c r="P103" s="208">
        <v>-90</v>
      </c>
      <c r="Q103" s="208">
        <v>100</v>
      </c>
    </row>
    <row r="104" spans="1:17">
      <c r="A104" s="218">
        <v>44196</v>
      </c>
      <c r="B104" s="208" t="s">
        <v>29</v>
      </c>
      <c r="C104" s="208" t="s">
        <v>8</v>
      </c>
      <c r="D104" s="208">
        <v>2020</v>
      </c>
      <c r="E104" s="208" t="s">
        <v>90</v>
      </c>
      <c r="F104" s="208" t="s">
        <v>85</v>
      </c>
      <c r="G104" s="208" t="s">
        <v>243</v>
      </c>
      <c r="H104" s="208">
        <v>608</v>
      </c>
      <c r="I104" s="208">
        <v>33411.009999999995</v>
      </c>
      <c r="J104" s="208">
        <v>0</v>
      </c>
      <c r="K104" s="208">
        <v>1098</v>
      </c>
      <c r="L104" s="208">
        <v>30332.01</v>
      </c>
      <c r="M104" s="208" t="s">
        <v>244</v>
      </c>
      <c r="N104" s="208">
        <v>-80</v>
      </c>
      <c r="O104" s="208">
        <v>160</v>
      </c>
      <c r="P104" s="208">
        <v>-80</v>
      </c>
      <c r="Q104" s="208">
        <v>100</v>
      </c>
    </row>
    <row r="105" spans="1:17">
      <c r="A105" s="218">
        <v>44196</v>
      </c>
      <c r="B105" s="208" t="s">
        <v>258</v>
      </c>
      <c r="C105" s="208" t="s">
        <v>8</v>
      </c>
      <c r="D105" s="208">
        <v>2019</v>
      </c>
      <c r="E105" s="208" t="s">
        <v>90</v>
      </c>
      <c r="F105" s="208" t="s">
        <v>85</v>
      </c>
      <c r="G105" s="208" t="s">
        <v>243</v>
      </c>
      <c r="H105" s="208">
        <v>208</v>
      </c>
      <c r="I105" s="208">
        <v>11778.56</v>
      </c>
      <c r="J105" s="208">
        <v>0</v>
      </c>
      <c r="K105" s="208">
        <v>115</v>
      </c>
      <c r="L105" s="208">
        <v>10717.56</v>
      </c>
      <c r="M105" s="208" t="s">
        <v>244</v>
      </c>
      <c r="N105" s="208">
        <v>-100</v>
      </c>
      <c r="O105" s="208">
        <v>165</v>
      </c>
      <c r="P105" s="208">
        <v>-90</v>
      </c>
      <c r="Q105" s="208">
        <v>100</v>
      </c>
    </row>
    <row r="106" spans="1:17">
      <c r="A106" s="218">
        <v>44196</v>
      </c>
      <c r="B106" s="208" t="s">
        <v>35</v>
      </c>
      <c r="C106" s="208" t="s">
        <v>8</v>
      </c>
      <c r="D106" s="208">
        <v>2020</v>
      </c>
      <c r="E106" s="208" t="s">
        <v>90</v>
      </c>
      <c r="F106" s="208" t="s">
        <v>85</v>
      </c>
      <c r="G106" s="208" t="s">
        <v>243</v>
      </c>
      <c r="H106" s="208">
        <v>9</v>
      </c>
      <c r="I106" s="208">
        <v>520</v>
      </c>
      <c r="J106" s="208">
        <v>0</v>
      </c>
      <c r="K106" s="208">
        <v>205.68</v>
      </c>
      <c r="L106" s="208">
        <v>314.32</v>
      </c>
      <c r="M106" s="208" t="s">
        <v>244</v>
      </c>
      <c r="N106" s="208">
        <v>-80</v>
      </c>
      <c r="O106" s="208">
        <v>160</v>
      </c>
      <c r="P106" s="208">
        <v>-80</v>
      </c>
      <c r="Q106" s="208">
        <v>100</v>
      </c>
    </row>
    <row r="107" spans="1:17">
      <c r="A107" s="218">
        <v>44196</v>
      </c>
      <c r="B107" s="208" t="s">
        <v>36</v>
      </c>
      <c r="C107" s="208" t="s">
        <v>8</v>
      </c>
      <c r="D107" s="208">
        <v>2019</v>
      </c>
      <c r="E107" s="208" t="s">
        <v>90</v>
      </c>
      <c r="F107" s="208" t="s">
        <v>85</v>
      </c>
      <c r="G107" s="208" t="s">
        <v>243</v>
      </c>
      <c r="H107" s="208">
        <v>410</v>
      </c>
      <c r="I107" s="208">
        <v>20989.5</v>
      </c>
      <c r="J107" s="208">
        <v>0</v>
      </c>
      <c r="K107" s="208">
        <v>0</v>
      </c>
      <c r="L107" s="208">
        <v>20293.5</v>
      </c>
      <c r="M107" s="208" t="s">
        <v>244</v>
      </c>
      <c r="N107" s="208">
        <v>-100</v>
      </c>
      <c r="O107" s="208">
        <v>165</v>
      </c>
      <c r="P107" s="208">
        <v>-90</v>
      </c>
      <c r="Q107" s="208">
        <v>100</v>
      </c>
    </row>
    <row r="108" spans="1:17">
      <c r="A108" s="218">
        <v>44196</v>
      </c>
      <c r="B108" s="208" t="s">
        <v>36</v>
      </c>
      <c r="C108" s="208" t="s">
        <v>8</v>
      </c>
      <c r="D108" s="208">
        <v>2020</v>
      </c>
      <c r="E108" s="208" t="s">
        <v>90</v>
      </c>
      <c r="F108" s="208" t="s">
        <v>85</v>
      </c>
      <c r="G108" s="208" t="s">
        <v>243</v>
      </c>
      <c r="H108" s="208">
        <v>379</v>
      </c>
      <c r="I108" s="208">
        <v>20766</v>
      </c>
      <c r="J108" s="208">
        <v>0</v>
      </c>
      <c r="K108" s="208">
        <v>0</v>
      </c>
      <c r="L108" s="208">
        <v>20093</v>
      </c>
      <c r="M108" s="208" t="s">
        <v>244</v>
      </c>
      <c r="N108" s="208">
        <v>-80</v>
      </c>
      <c r="O108" s="208">
        <v>160</v>
      </c>
      <c r="P108" s="208">
        <v>-80</v>
      </c>
      <c r="Q108" s="208">
        <v>100</v>
      </c>
    </row>
    <row r="109" spans="1:17">
      <c r="A109" s="218">
        <v>44196</v>
      </c>
      <c r="B109" s="208" t="s">
        <v>260</v>
      </c>
      <c r="C109" s="208" t="s">
        <v>8</v>
      </c>
      <c r="D109" s="208">
        <v>2019</v>
      </c>
      <c r="E109" s="208" t="s">
        <v>90</v>
      </c>
      <c r="F109" s="208" t="s">
        <v>85</v>
      </c>
      <c r="G109" s="208" t="s">
        <v>243</v>
      </c>
      <c r="H109" s="208">
        <v>799</v>
      </c>
      <c r="I109" s="208">
        <v>41066.200000000004</v>
      </c>
      <c r="J109" s="208">
        <v>0</v>
      </c>
      <c r="K109" s="208">
        <v>1297</v>
      </c>
      <c r="L109" s="208">
        <v>36719.200000000004</v>
      </c>
      <c r="M109" s="208" t="s">
        <v>244</v>
      </c>
      <c r="N109" s="208">
        <v>-100</v>
      </c>
      <c r="O109" s="208">
        <v>165</v>
      </c>
      <c r="P109" s="208">
        <v>-90</v>
      </c>
      <c r="Q109" s="208">
        <v>100</v>
      </c>
    </row>
    <row r="110" spans="1:17">
      <c r="A110" s="218">
        <v>44196</v>
      </c>
      <c r="B110" s="208" t="s">
        <v>37</v>
      </c>
      <c r="C110" s="208" t="s">
        <v>8</v>
      </c>
      <c r="D110" s="208">
        <v>2019</v>
      </c>
      <c r="E110" s="208" t="s">
        <v>90</v>
      </c>
      <c r="F110" s="208" t="s">
        <v>85</v>
      </c>
      <c r="G110" s="208" t="s">
        <v>243</v>
      </c>
      <c r="H110" s="208">
        <v>202</v>
      </c>
      <c r="I110" s="208">
        <v>12238</v>
      </c>
      <c r="J110" s="208">
        <v>0</v>
      </c>
      <c r="K110" s="208">
        <v>50</v>
      </c>
      <c r="L110" s="208">
        <v>11482.70000000001</v>
      </c>
      <c r="M110" s="208" t="s">
        <v>244</v>
      </c>
      <c r="N110" s="208">
        <v>-100</v>
      </c>
      <c r="O110" s="208">
        <v>165</v>
      </c>
      <c r="P110" s="208">
        <v>-90</v>
      </c>
      <c r="Q110" s="208">
        <v>100</v>
      </c>
    </row>
    <row r="111" spans="1:17">
      <c r="A111" s="218">
        <v>44196</v>
      </c>
      <c r="B111" s="208" t="s">
        <v>31</v>
      </c>
      <c r="C111" s="208" t="s">
        <v>8</v>
      </c>
      <c r="D111" s="208">
        <v>2020</v>
      </c>
      <c r="E111" s="208" t="s">
        <v>90</v>
      </c>
      <c r="F111" s="208" t="s">
        <v>85</v>
      </c>
      <c r="G111" s="208" t="s">
        <v>243</v>
      </c>
      <c r="H111" s="208">
        <v>199</v>
      </c>
      <c r="I111" s="208">
        <v>11119.23</v>
      </c>
      <c r="J111" s="208">
        <v>0</v>
      </c>
      <c r="K111" s="208">
        <v>40</v>
      </c>
      <c r="L111" s="208">
        <v>10130.23</v>
      </c>
      <c r="M111" s="208" t="s">
        <v>244</v>
      </c>
      <c r="N111" s="208">
        <v>-80</v>
      </c>
      <c r="O111" s="208">
        <v>160</v>
      </c>
      <c r="P111" s="208">
        <v>-80</v>
      </c>
      <c r="Q111" s="208">
        <v>100</v>
      </c>
    </row>
    <row r="112" spans="1:17">
      <c r="A112" s="218">
        <v>44196</v>
      </c>
      <c r="B112" s="208" t="s">
        <v>35</v>
      </c>
      <c r="C112" s="208" t="s">
        <v>8</v>
      </c>
      <c r="D112" s="208">
        <v>2019</v>
      </c>
      <c r="E112" s="208" t="s">
        <v>90</v>
      </c>
      <c r="F112" s="208" t="s">
        <v>85</v>
      </c>
      <c r="G112" s="208" t="s">
        <v>243</v>
      </c>
      <c r="H112" s="208">
        <v>3</v>
      </c>
      <c r="I112" s="208">
        <v>200</v>
      </c>
      <c r="J112" s="208">
        <v>0</v>
      </c>
      <c r="K112" s="208">
        <v>0</v>
      </c>
      <c r="L112" s="208">
        <v>200</v>
      </c>
      <c r="M112" s="208" t="s">
        <v>244</v>
      </c>
      <c r="N112" s="208">
        <v>-100</v>
      </c>
      <c r="O112" s="208">
        <v>165</v>
      </c>
      <c r="P112" s="208">
        <v>-90</v>
      </c>
      <c r="Q112" s="208">
        <v>100</v>
      </c>
    </row>
    <row r="113" spans="1:17">
      <c r="A113" s="218">
        <v>44196</v>
      </c>
      <c r="B113" s="208" t="s">
        <v>31</v>
      </c>
      <c r="C113" s="208" t="s">
        <v>8</v>
      </c>
      <c r="D113" s="208">
        <v>2019</v>
      </c>
      <c r="E113" s="208" t="s">
        <v>90</v>
      </c>
      <c r="F113" s="208" t="s">
        <v>85</v>
      </c>
      <c r="G113" s="208" t="s">
        <v>243</v>
      </c>
      <c r="H113" s="208">
        <v>208</v>
      </c>
      <c r="I113" s="208">
        <v>11778.560000000001</v>
      </c>
      <c r="J113" s="208">
        <v>0</v>
      </c>
      <c r="K113" s="208">
        <v>115</v>
      </c>
      <c r="L113" s="208">
        <v>10717.560000000001</v>
      </c>
      <c r="M113" s="208" t="s">
        <v>244</v>
      </c>
      <c r="N113" s="208">
        <v>-100</v>
      </c>
      <c r="O113" s="208">
        <v>165</v>
      </c>
      <c r="P113" s="208">
        <v>-90</v>
      </c>
      <c r="Q113" s="208">
        <v>100</v>
      </c>
    </row>
    <row r="114" spans="1:17">
      <c r="A114" s="218">
        <v>44196</v>
      </c>
      <c r="B114" s="208" t="s">
        <v>37</v>
      </c>
      <c r="C114" s="208" t="s">
        <v>8</v>
      </c>
      <c r="D114" s="208">
        <v>2020</v>
      </c>
      <c r="E114" s="208" t="s">
        <v>90</v>
      </c>
      <c r="F114" s="208" t="s">
        <v>85</v>
      </c>
      <c r="G114" s="208" t="s">
        <v>243</v>
      </c>
      <c r="H114" s="208">
        <v>179</v>
      </c>
      <c r="I114" s="208">
        <v>10973</v>
      </c>
      <c r="J114" s="208">
        <v>0</v>
      </c>
      <c r="K114" s="208">
        <v>40</v>
      </c>
      <c r="L114" s="208">
        <v>10353.760000000002</v>
      </c>
      <c r="M114" s="208" t="s">
        <v>244</v>
      </c>
      <c r="N114" s="208">
        <v>-80</v>
      </c>
      <c r="O114" s="208">
        <v>160</v>
      </c>
      <c r="P114" s="208">
        <v>-80</v>
      </c>
      <c r="Q114" s="208">
        <v>100</v>
      </c>
    </row>
    <row r="115" spans="1:17">
      <c r="A115" s="218">
        <v>44196</v>
      </c>
      <c r="B115" s="208" t="s">
        <v>225</v>
      </c>
      <c r="C115" s="208" t="s">
        <v>8</v>
      </c>
      <c r="D115" s="208">
        <v>2019</v>
      </c>
      <c r="E115" s="208" t="s">
        <v>90</v>
      </c>
      <c r="F115" s="208" t="s">
        <v>85</v>
      </c>
      <c r="G115" s="208" t="s">
        <v>243</v>
      </c>
      <c r="H115" s="208">
        <v>202</v>
      </c>
      <c r="I115" s="208">
        <v>12238</v>
      </c>
      <c r="J115" s="208">
        <v>0</v>
      </c>
      <c r="K115" s="208">
        <v>50</v>
      </c>
      <c r="L115" s="208">
        <v>11482.70000000001</v>
      </c>
      <c r="M115" s="208" t="s">
        <v>244</v>
      </c>
      <c r="N115" s="208">
        <v>-100</v>
      </c>
      <c r="O115" s="208">
        <v>165</v>
      </c>
      <c r="P115" s="208">
        <v>-90</v>
      </c>
      <c r="Q115" s="208">
        <v>100</v>
      </c>
    </row>
    <row r="116" spans="1:17">
      <c r="A116" s="218">
        <v>44196</v>
      </c>
      <c r="B116" s="208" t="s">
        <v>260</v>
      </c>
      <c r="C116" s="208" t="s">
        <v>8</v>
      </c>
      <c r="D116" s="208">
        <v>2020</v>
      </c>
      <c r="E116" s="208" t="s">
        <v>90</v>
      </c>
      <c r="F116" s="208" t="s">
        <v>85</v>
      </c>
      <c r="G116" s="208" t="s">
        <v>243</v>
      </c>
      <c r="H116" s="208">
        <v>608</v>
      </c>
      <c r="I116" s="208">
        <v>33411.009999999995</v>
      </c>
      <c r="J116" s="208">
        <v>0</v>
      </c>
      <c r="K116" s="208">
        <v>1098</v>
      </c>
      <c r="L116" s="208">
        <v>30332.01</v>
      </c>
      <c r="M116" s="208" t="s">
        <v>244</v>
      </c>
      <c r="N116" s="208">
        <v>-80</v>
      </c>
      <c r="O116" s="208">
        <v>160</v>
      </c>
      <c r="P116" s="208">
        <v>-80</v>
      </c>
      <c r="Q116" s="208">
        <v>100</v>
      </c>
    </row>
    <row r="117" spans="1:17">
      <c r="A117" s="218">
        <v>44196</v>
      </c>
      <c r="B117" s="208" t="s">
        <v>259</v>
      </c>
      <c r="C117" s="208" t="s">
        <v>8</v>
      </c>
      <c r="D117" s="208">
        <v>2019</v>
      </c>
      <c r="E117" s="208" t="s">
        <v>90</v>
      </c>
      <c r="F117" s="208" t="s">
        <v>85</v>
      </c>
      <c r="G117" s="208" t="s">
        <v>243</v>
      </c>
      <c r="H117" s="208">
        <v>410</v>
      </c>
      <c r="I117" s="208">
        <v>20989.5</v>
      </c>
      <c r="J117" s="208">
        <v>0</v>
      </c>
      <c r="K117" s="208">
        <v>0</v>
      </c>
      <c r="L117" s="208">
        <v>20293.5</v>
      </c>
      <c r="M117" s="208" t="s">
        <v>244</v>
      </c>
      <c r="N117" s="208">
        <v>-100</v>
      </c>
      <c r="O117" s="208">
        <v>165</v>
      </c>
      <c r="P117" s="208">
        <v>-90</v>
      </c>
      <c r="Q117" s="208">
        <v>100</v>
      </c>
    </row>
    <row r="118" spans="1:17">
      <c r="A118" s="218">
        <v>44196</v>
      </c>
      <c r="B118" s="208" t="s">
        <v>258</v>
      </c>
      <c r="C118" s="208" t="s">
        <v>8</v>
      </c>
      <c r="D118" s="208">
        <v>2020</v>
      </c>
      <c r="E118" s="208" t="s">
        <v>90</v>
      </c>
      <c r="F118" s="208" t="s">
        <v>85</v>
      </c>
      <c r="G118" s="208" t="s">
        <v>243</v>
      </c>
      <c r="H118" s="208">
        <v>199</v>
      </c>
      <c r="I118" s="208">
        <v>11119.23</v>
      </c>
      <c r="J118" s="208">
        <v>0</v>
      </c>
      <c r="K118" s="208">
        <v>40</v>
      </c>
      <c r="L118" s="208">
        <v>10130.23</v>
      </c>
      <c r="M118" s="208" t="s">
        <v>244</v>
      </c>
      <c r="N118" s="208">
        <v>-80</v>
      </c>
      <c r="O118" s="208">
        <v>160</v>
      </c>
      <c r="P118" s="208">
        <v>-80</v>
      </c>
      <c r="Q118" s="208">
        <v>100</v>
      </c>
    </row>
    <row r="119" spans="1:17">
      <c r="A119" s="218">
        <v>44196</v>
      </c>
      <c r="B119" s="208" t="s">
        <v>261</v>
      </c>
      <c r="C119" s="208" t="s">
        <v>8</v>
      </c>
      <c r="D119" s="208">
        <v>2020</v>
      </c>
      <c r="E119" s="208" t="s">
        <v>90</v>
      </c>
      <c r="F119" s="208" t="s">
        <v>85</v>
      </c>
      <c r="G119" s="208" t="s">
        <v>243</v>
      </c>
      <c r="H119" s="208">
        <v>9</v>
      </c>
      <c r="I119" s="208">
        <v>520</v>
      </c>
      <c r="J119" s="208">
        <v>0</v>
      </c>
      <c r="K119" s="208">
        <v>205.68</v>
      </c>
      <c r="L119" s="208">
        <v>314.32</v>
      </c>
      <c r="M119" s="208" t="s">
        <v>244</v>
      </c>
      <c r="N119" s="208">
        <v>-80</v>
      </c>
      <c r="O119" s="208">
        <v>160</v>
      </c>
      <c r="P119" s="208">
        <v>-80</v>
      </c>
      <c r="Q119" s="208">
        <v>100</v>
      </c>
    </row>
    <row r="120" spans="1:17">
      <c r="A120" s="218">
        <v>44196</v>
      </c>
      <c r="B120" s="208" t="s">
        <v>225</v>
      </c>
      <c r="C120" s="208" t="s">
        <v>8</v>
      </c>
      <c r="D120" s="208">
        <v>2019</v>
      </c>
      <c r="E120" s="208" t="s">
        <v>173</v>
      </c>
      <c r="F120" s="208" t="s">
        <v>85</v>
      </c>
      <c r="G120" s="208" t="s">
        <v>243</v>
      </c>
      <c r="H120" s="208">
        <v>1</v>
      </c>
      <c r="I120" s="208">
        <v>100</v>
      </c>
      <c r="J120" s="208">
        <v>0</v>
      </c>
      <c r="K120" s="208">
        <v>0</v>
      </c>
      <c r="L120" s="208">
        <v>67.540000000000006</v>
      </c>
      <c r="M120" s="208" t="s">
        <v>244</v>
      </c>
      <c r="N120" s="208">
        <v>100</v>
      </c>
      <c r="O120" s="208">
        <v>100</v>
      </c>
      <c r="P120" s="208">
        <v>67.540000000000006</v>
      </c>
      <c r="Q120" s="208">
        <v>67.540000000000006</v>
      </c>
    </row>
    <row r="121" spans="1:17">
      <c r="A121" s="218">
        <v>44196</v>
      </c>
      <c r="B121" s="208" t="s">
        <v>37</v>
      </c>
      <c r="C121" s="208" t="s">
        <v>8</v>
      </c>
      <c r="D121" s="208">
        <v>2019</v>
      </c>
      <c r="E121" s="208" t="s">
        <v>173</v>
      </c>
      <c r="F121" s="208" t="s">
        <v>85</v>
      </c>
      <c r="G121" s="208" t="s">
        <v>243</v>
      </c>
      <c r="H121" s="208">
        <v>1</v>
      </c>
      <c r="I121" s="208">
        <v>100</v>
      </c>
      <c r="J121" s="208">
        <v>0</v>
      </c>
      <c r="K121" s="208">
        <v>0</v>
      </c>
      <c r="L121" s="208">
        <v>67.540000000000006</v>
      </c>
      <c r="M121" s="208" t="s">
        <v>244</v>
      </c>
      <c r="N121" s="208">
        <v>100</v>
      </c>
      <c r="O121" s="208">
        <v>100</v>
      </c>
      <c r="P121" s="208">
        <v>67.540000000000006</v>
      </c>
      <c r="Q121" s="208">
        <v>67.540000000000006</v>
      </c>
    </row>
    <row r="122" spans="1:17">
      <c r="A122" s="218">
        <v>44196</v>
      </c>
      <c r="B122" s="208" t="s">
        <v>258</v>
      </c>
      <c r="C122" s="208" t="s">
        <v>8</v>
      </c>
      <c r="D122" s="208">
        <v>2020</v>
      </c>
      <c r="E122" s="208" t="s">
        <v>91</v>
      </c>
      <c r="F122" s="208" t="s">
        <v>85</v>
      </c>
      <c r="G122" s="208" t="s">
        <v>243</v>
      </c>
      <c r="H122" s="208">
        <v>4</v>
      </c>
      <c r="I122" s="208">
        <v>8380</v>
      </c>
      <c r="J122" s="208">
        <v>840</v>
      </c>
      <c r="K122" s="208">
        <v>350</v>
      </c>
      <c r="L122" s="208">
        <v>1400</v>
      </c>
      <c r="M122" s="208" t="s">
        <v>244</v>
      </c>
      <c r="N122" s="208">
        <v>-1395</v>
      </c>
      <c r="O122" s="208">
        <v>2095</v>
      </c>
      <c r="P122" s="208">
        <v>-700</v>
      </c>
      <c r="Q122" s="208">
        <v>1190</v>
      </c>
    </row>
    <row r="123" spans="1:17">
      <c r="A123" s="218">
        <v>44196</v>
      </c>
      <c r="B123" s="208" t="s">
        <v>29</v>
      </c>
      <c r="C123" s="208" t="s">
        <v>8</v>
      </c>
      <c r="D123" s="208">
        <v>2019</v>
      </c>
      <c r="E123" s="208" t="s">
        <v>91</v>
      </c>
      <c r="F123" s="208" t="s">
        <v>85</v>
      </c>
      <c r="G123" s="208" t="s">
        <v>243</v>
      </c>
      <c r="H123" s="208">
        <v>15</v>
      </c>
      <c r="I123" s="208">
        <v>19604.900000000001</v>
      </c>
      <c r="J123" s="208">
        <v>3840.9</v>
      </c>
      <c r="K123" s="208">
        <v>3600</v>
      </c>
      <c r="L123" s="208">
        <v>7703</v>
      </c>
      <c r="M123" s="208" t="s">
        <v>244</v>
      </c>
      <c r="N123" s="208">
        <v>39.9</v>
      </c>
      <c r="O123" s="208">
        <v>1990</v>
      </c>
      <c r="P123" s="208">
        <v>3</v>
      </c>
      <c r="Q123" s="208">
        <v>1150</v>
      </c>
    </row>
    <row r="124" spans="1:17">
      <c r="A124" s="218">
        <v>44196</v>
      </c>
      <c r="B124" s="208" t="s">
        <v>36</v>
      </c>
      <c r="C124" s="208" t="s">
        <v>8</v>
      </c>
      <c r="D124" s="208">
        <v>2020</v>
      </c>
      <c r="E124" s="208" t="s">
        <v>91</v>
      </c>
      <c r="F124" s="208" t="s">
        <v>85</v>
      </c>
      <c r="G124" s="208" t="s">
        <v>243</v>
      </c>
      <c r="H124" s="208">
        <v>2</v>
      </c>
      <c r="I124" s="208">
        <v>3200</v>
      </c>
      <c r="J124" s="208">
        <v>700</v>
      </c>
      <c r="K124" s="208">
        <v>0</v>
      </c>
      <c r="L124" s="208">
        <v>1820</v>
      </c>
      <c r="M124" s="208" t="s">
        <v>244</v>
      </c>
      <c r="N124" s="208">
        <v>-1395</v>
      </c>
      <c r="O124" s="208">
        <v>2095</v>
      </c>
      <c r="P124" s="208">
        <v>-700</v>
      </c>
      <c r="Q124" s="208">
        <v>1190</v>
      </c>
    </row>
    <row r="125" spans="1:17">
      <c r="A125" s="218">
        <v>44196</v>
      </c>
      <c r="B125" s="208" t="s">
        <v>260</v>
      </c>
      <c r="C125" s="208" t="s">
        <v>8</v>
      </c>
      <c r="D125" s="208">
        <v>2020</v>
      </c>
      <c r="E125" s="208" t="s">
        <v>91</v>
      </c>
      <c r="F125" s="208" t="s">
        <v>85</v>
      </c>
      <c r="G125" s="208" t="s">
        <v>243</v>
      </c>
      <c r="H125" s="208">
        <v>14</v>
      </c>
      <c r="I125" s="208">
        <v>9560</v>
      </c>
      <c r="J125" s="208">
        <v>1260</v>
      </c>
      <c r="K125" s="208">
        <v>1400</v>
      </c>
      <c r="L125" s="208">
        <v>3500</v>
      </c>
      <c r="M125" s="208" t="s">
        <v>244</v>
      </c>
      <c r="N125" s="208">
        <v>-1395</v>
      </c>
      <c r="O125" s="208">
        <v>2095</v>
      </c>
      <c r="P125" s="208">
        <v>-700</v>
      </c>
      <c r="Q125" s="208">
        <v>1190</v>
      </c>
    </row>
    <row r="126" spans="1:17">
      <c r="A126" s="218">
        <v>44196</v>
      </c>
      <c r="B126" s="208" t="s">
        <v>37</v>
      </c>
      <c r="C126" s="208" t="s">
        <v>8</v>
      </c>
      <c r="D126" s="208">
        <v>2020</v>
      </c>
      <c r="E126" s="208" t="s">
        <v>91</v>
      </c>
      <c r="F126" s="208" t="s">
        <v>85</v>
      </c>
      <c r="G126" s="208" t="s">
        <v>243</v>
      </c>
      <c r="H126" s="208">
        <v>10</v>
      </c>
      <c r="I126" s="208">
        <v>16890</v>
      </c>
      <c r="J126" s="208">
        <v>2380</v>
      </c>
      <c r="K126" s="208">
        <v>0</v>
      </c>
      <c r="L126" s="208">
        <v>11210</v>
      </c>
      <c r="M126" s="208" t="s">
        <v>244</v>
      </c>
      <c r="N126" s="208">
        <v>-1395</v>
      </c>
      <c r="O126" s="208">
        <v>2095</v>
      </c>
      <c r="P126" s="208">
        <v>-700</v>
      </c>
      <c r="Q126" s="208">
        <v>1190</v>
      </c>
    </row>
    <row r="127" spans="1:17">
      <c r="A127" s="218">
        <v>44196</v>
      </c>
      <c r="B127" s="208" t="s">
        <v>225</v>
      </c>
      <c r="C127" s="208" t="s">
        <v>8</v>
      </c>
      <c r="D127" s="208">
        <v>2019</v>
      </c>
      <c r="E127" s="208" t="s">
        <v>91</v>
      </c>
      <c r="F127" s="208" t="s">
        <v>85</v>
      </c>
      <c r="G127" s="208" t="s">
        <v>243</v>
      </c>
      <c r="H127" s="208">
        <v>4</v>
      </c>
      <c r="I127" s="208">
        <v>6300</v>
      </c>
      <c r="J127" s="208">
        <v>720</v>
      </c>
      <c r="K127" s="208">
        <v>0</v>
      </c>
      <c r="L127" s="208">
        <v>4080</v>
      </c>
      <c r="M127" s="208" t="s">
        <v>244</v>
      </c>
      <c r="N127" s="208">
        <v>39.9</v>
      </c>
      <c r="O127" s="208">
        <v>1990</v>
      </c>
      <c r="P127" s="208">
        <v>3</v>
      </c>
      <c r="Q127" s="208">
        <v>1150</v>
      </c>
    </row>
    <row r="128" spans="1:17">
      <c r="A128" s="218">
        <v>44196</v>
      </c>
      <c r="B128" s="208" t="s">
        <v>31</v>
      </c>
      <c r="C128" s="208" t="s">
        <v>8</v>
      </c>
      <c r="D128" s="208">
        <v>2019</v>
      </c>
      <c r="E128" s="208" t="s">
        <v>91</v>
      </c>
      <c r="F128" s="208" t="s">
        <v>85</v>
      </c>
      <c r="G128" s="208" t="s">
        <v>243</v>
      </c>
      <c r="H128" s="208">
        <v>12</v>
      </c>
      <c r="I128" s="208">
        <v>16320</v>
      </c>
      <c r="J128" s="208">
        <v>2160</v>
      </c>
      <c r="K128" s="208">
        <v>900</v>
      </c>
      <c r="L128" s="208">
        <v>3600</v>
      </c>
      <c r="M128" s="208" t="s">
        <v>244</v>
      </c>
      <c r="N128" s="208">
        <v>39.9</v>
      </c>
      <c r="O128" s="208">
        <v>1990</v>
      </c>
      <c r="P128" s="208">
        <v>3</v>
      </c>
      <c r="Q128" s="208">
        <v>1150</v>
      </c>
    </row>
    <row r="129" spans="1:17">
      <c r="A129" s="218">
        <v>44196</v>
      </c>
      <c r="B129" s="208" t="s">
        <v>29</v>
      </c>
      <c r="C129" s="208" t="s">
        <v>8</v>
      </c>
      <c r="D129" s="208">
        <v>2020</v>
      </c>
      <c r="E129" s="208" t="s">
        <v>91</v>
      </c>
      <c r="F129" s="208" t="s">
        <v>85</v>
      </c>
      <c r="G129" s="208" t="s">
        <v>243</v>
      </c>
      <c r="H129" s="208">
        <v>14</v>
      </c>
      <c r="I129" s="208">
        <v>9560</v>
      </c>
      <c r="J129" s="208">
        <v>1260</v>
      </c>
      <c r="K129" s="208">
        <v>1400</v>
      </c>
      <c r="L129" s="208">
        <v>3500</v>
      </c>
      <c r="M129" s="208" t="s">
        <v>244</v>
      </c>
      <c r="N129" s="208">
        <v>-1395</v>
      </c>
      <c r="O129" s="208">
        <v>2095</v>
      </c>
      <c r="P129" s="208">
        <v>-700</v>
      </c>
      <c r="Q129" s="208">
        <v>1190</v>
      </c>
    </row>
    <row r="130" spans="1:17">
      <c r="A130" s="218">
        <v>44196</v>
      </c>
      <c r="B130" s="208" t="s">
        <v>259</v>
      </c>
      <c r="C130" s="208" t="s">
        <v>8</v>
      </c>
      <c r="D130" s="208">
        <v>2020</v>
      </c>
      <c r="E130" s="208" t="s">
        <v>91</v>
      </c>
      <c r="F130" s="208" t="s">
        <v>85</v>
      </c>
      <c r="G130" s="208" t="s">
        <v>243</v>
      </c>
      <c r="H130" s="208">
        <v>2</v>
      </c>
      <c r="I130" s="208">
        <v>3200</v>
      </c>
      <c r="J130" s="208">
        <v>700</v>
      </c>
      <c r="K130" s="208">
        <v>0</v>
      </c>
      <c r="L130" s="208">
        <v>1820</v>
      </c>
      <c r="M130" s="208" t="s">
        <v>244</v>
      </c>
      <c r="N130" s="208">
        <v>-1395</v>
      </c>
      <c r="O130" s="208">
        <v>2095</v>
      </c>
      <c r="P130" s="208">
        <v>-700</v>
      </c>
      <c r="Q130" s="208">
        <v>1190</v>
      </c>
    </row>
    <row r="131" spans="1:17">
      <c r="A131" s="218">
        <v>44196</v>
      </c>
      <c r="B131" s="208" t="s">
        <v>37</v>
      </c>
      <c r="C131" s="208" t="s">
        <v>8</v>
      </c>
      <c r="D131" s="208">
        <v>2019</v>
      </c>
      <c r="E131" s="208" t="s">
        <v>91</v>
      </c>
      <c r="F131" s="208" t="s">
        <v>85</v>
      </c>
      <c r="G131" s="208" t="s">
        <v>243</v>
      </c>
      <c r="H131" s="208">
        <v>4</v>
      </c>
      <c r="I131" s="208">
        <v>6300</v>
      </c>
      <c r="J131" s="208">
        <v>720</v>
      </c>
      <c r="K131" s="208">
        <v>0</v>
      </c>
      <c r="L131" s="208">
        <v>4080</v>
      </c>
      <c r="M131" s="208" t="s">
        <v>244</v>
      </c>
      <c r="N131" s="208">
        <v>39.9</v>
      </c>
      <c r="O131" s="208">
        <v>1990</v>
      </c>
      <c r="P131" s="208">
        <v>3</v>
      </c>
      <c r="Q131" s="208">
        <v>1150</v>
      </c>
    </row>
    <row r="132" spans="1:17">
      <c r="A132" s="218">
        <v>44196</v>
      </c>
      <c r="B132" s="208" t="s">
        <v>260</v>
      </c>
      <c r="C132" s="208" t="s">
        <v>8</v>
      </c>
      <c r="D132" s="208">
        <v>2019</v>
      </c>
      <c r="E132" s="208" t="s">
        <v>91</v>
      </c>
      <c r="F132" s="208" t="s">
        <v>85</v>
      </c>
      <c r="G132" s="208" t="s">
        <v>243</v>
      </c>
      <c r="H132" s="208">
        <v>15</v>
      </c>
      <c r="I132" s="208">
        <v>19604.900000000001</v>
      </c>
      <c r="J132" s="208">
        <v>3840.9</v>
      </c>
      <c r="K132" s="208">
        <v>3600</v>
      </c>
      <c r="L132" s="208">
        <v>7703</v>
      </c>
      <c r="M132" s="208" t="s">
        <v>244</v>
      </c>
      <c r="N132" s="208">
        <v>39.9</v>
      </c>
      <c r="O132" s="208">
        <v>1990</v>
      </c>
      <c r="P132" s="208">
        <v>3</v>
      </c>
      <c r="Q132" s="208">
        <v>1150</v>
      </c>
    </row>
    <row r="133" spans="1:17">
      <c r="A133" s="218">
        <v>44196</v>
      </c>
      <c r="B133" s="208" t="s">
        <v>258</v>
      </c>
      <c r="C133" s="208" t="s">
        <v>8</v>
      </c>
      <c r="D133" s="208">
        <v>2019</v>
      </c>
      <c r="E133" s="208" t="s">
        <v>91</v>
      </c>
      <c r="F133" s="208" t="s">
        <v>85</v>
      </c>
      <c r="G133" s="208" t="s">
        <v>243</v>
      </c>
      <c r="H133" s="208">
        <v>12</v>
      </c>
      <c r="I133" s="208">
        <v>16320</v>
      </c>
      <c r="J133" s="208">
        <v>2160</v>
      </c>
      <c r="K133" s="208">
        <v>900</v>
      </c>
      <c r="L133" s="208">
        <v>3600</v>
      </c>
      <c r="M133" s="208" t="s">
        <v>244</v>
      </c>
      <c r="N133" s="208">
        <v>39.9</v>
      </c>
      <c r="O133" s="208">
        <v>1990</v>
      </c>
      <c r="P133" s="208">
        <v>3</v>
      </c>
      <c r="Q133" s="208">
        <v>1150</v>
      </c>
    </row>
    <row r="134" spans="1:17">
      <c r="A134" s="218">
        <v>44196</v>
      </c>
      <c r="B134" s="208" t="s">
        <v>31</v>
      </c>
      <c r="C134" s="208" t="s">
        <v>8</v>
      </c>
      <c r="D134" s="208">
        <v>2020</v>
      </c>
      <c r="E134" s="208" t="s">
        <v>91</v>
      </c>
      <c r="F134" s="208" t="s">
        <v>85</v>
      </c>
      <c r="G134" s="208" t="s">
        <v>243</v>
      </c>
      <c r="H134" s="208">
        <v>4</v>
      </c>
      <c r="I134" s="208">
        <v>8380</v>
      </c>
      <c r="J134" s="208">
        <v>840</v>
      </c>
      <c r="K134" s="208">
        <v>350</v>
      </c>
      <c r="L134" s="208">
        <v>1400</v>
      </c>
      <c r="M134" s="208" t="s">
        <v>244</v>
      </c>
      <c r="N134" s="208">
        <v>-1395</v>
      </c>
      <c r="O134" s="208">
        <v>2095</v>
      </c>
      <c r="P134" s="208">
        <v>-700</v>
      </c>
      <c r="Q134" s="208">
        <v>1190</v>
      </c>
    </row>
    <row r="135" spans="1:17">
      <c r="A135" s="218">
        <v>44196</v>
      </c>
      <c r="B135" s="208" t="s">
        <v>225</v>
      </c>
      <c r="C135" s="208" t="s">
        <v>8</v>
      </c>
      <c r="D135" s="208">
        <v>2020</v>
      </c>
      <c r="E135" s="208" t="s">
        <v>91</v>
      </c>
      <c r="F135" s="208" t="s">
        <v>85</v>
      </c>
      <c r="G135" s="208" t="s">
        <v>243</v>
      </c>
      <c r="H135" s="208">
        <v>10</v>
      </c>
      <c r="I135" s="208">
        <v>16890</v>
      </c>
      <c r="J135" s="208">
        <v>2380</v>
      </c>
      <c r="K135" s="208">
        <v>0</v>
      </c>
      <c r="L135" s="208">
        <v>11210</v>
      </c>
      <c r="M135" s="208" t="s">
        <v>244</v>
      </c>
      <c r="N135" s="208">
        <v>-1395</v>
      </c>
      <c r="O135" s="208">
        <v>2095</v>
      </c>
      <c r="P135" s="208">
        <v>-700</v>
      </c>
      <c r="Q135" s="208">
        <v>1190</v>
      </c>
    </row>
    <row r="136" spans="1:17">
      <c r="A136" s="218">
        <v>44196</v>
      </c>
      <c r="B136" s="208" t="s">
        <v>258</v>
      </c>
      <c r="C136" s="208" t="s">
        <v>8</v>
      </c>
      <c r="D136" s="208">
        <v>2019</v>
      </c>
      <c r="E136" s="208" t="s">
        <v>93</v>
      </c>
      <c r="F136" s="208" t="s">
        <v>92</v>
      </c>
      <c r="G136" s="208" t="s">
        <v>243</v>
      </c>
      <c r="H136" s="208">
        <v>3</v>
      </c>
      <c r="I136" s="208">
        <v>736.56</v>
      </c>
      <c r="J136" s="208">
        <v>431.76</v>
      </c>
      <c r="K136" s="208">
        <v>0</v>
      </c>
      <c r="L136" s="208">
        <v>243.8</v>
      </c>
      <c r="M136" s="208" t="s">
        <v>244</v>
      </c>
      <c r="N136" s="208">
        <v>-590.51</v>
      </c>
      <c r="O136" s="208">
        <v>1341.57</v>
      </c>
      <c r="P136" s="208">
        <v>-59.05</v>
      </c>
      <c r="Q136" s="208">
        <v>218.8</v>
      </c>
    </row>
    <row r="137" spans="1:17">
      <c r="A137" s="218">
        <v>44196</v>
      </c>
      <c r="B137" s="208" t="s">
        <v>225</v>
      </c>
      <c r="C137" s="208" t="s">
        <v>8</v>
      </c>
      <c r="D137" s="208">
        <v>2020</v>
      </c>
      <c r="E137" s="208" t="s">
        <v>93</v>
      </c>
      <c r="F137" s="208" t="s">
        <v>92</v>
      </c>
      <c r="G137" s="208" t="s">
        <v>243</v>
      </c>
      <c r="H137" s="208">
        <v>4</v>
      </c>
      <c r="I137" s="208">
        <v>240</v>
      </c>
      <c r="J137" s="208">
        <v>31</v>
      </c>
      <c r="K137" s="208">
        <v>0</v>
      </c>
      <c r="L137" s="208">
        <v>169</v>
      </c>
      <c r="M137" s="208" t="s">
        <v>244</v>
      </c>
      <c r="N137" s="208">
        <v>50</v>
      </c>
      <c r="O137" s="208">
        <v>60</v>
      </c>
      <c r="P137" s="208">
        <v>7.5</v>
      </c>
      <c r="Q137" s="208">
        <v>43</v>
      </c>
    </row>
    <row r="138" spans="1:17">
      <c r="A138" s="218">
        <v>44196</v>
      </c>
      <c r="B138" s="208" t="s">
        <v>37</v>
      </c>
      <c r="C138" s="208" t="s">
        <v>8</v>
      </c>
      <c r="D138" s="208">
        <v>2019</v>
      </c>
      <c r="E138" s="208" t="s">
        <v>93</v>
      </c>
      <c r="F138" s="208" t="s">
        <v>92</v>
      </c>
      <c r="G138" s="208" t="s">
        <v>243</v>
      </c>
      <c r="H138" s="208">
        <v>2</v>
      </c>
      <c r="I138" s="208">
        <v>100</v>
      </c>
      <c r="J138" s="208">
        <v>14</v>
      </c>
      <c r="K138" s="208">
        <v>0</v>
      </c>
      <c r="L138" s="208">
        <v>76</v>
      </c>
      <c r="M138" s="208" t="s">
        <v>244</v>
      </c>
      <c r="N138" s="208">
        <v>-590.51</v>
      </c>
      <c r="O138" s="208">
        <v>1341.57</v>
      </c>
      <c r="P138" s="208">
        <v>-59.05</v>
      </c>
      <c r="Q138" s="208">
        <v>218.8</v>
      </c>
    </row>
    <row r="139" spans="1:17">
      <c r="A139" s="218">
        <v>44196</v>
      </c>
      <c r="B139" s="208" t="s">
        <v>37</v>
      </c>
      <c r="C139" s="208" t="s">
        <v>8</v>
      </c>
      <c r="D139" s="208">
        <v>2020</v>
      </c>
      <c r="E139" s="208" t="s">
        <v>93</v>
      </c>
      <c r="F139" s="208" t="s">
        <v>92</v>
      </c>
      <c r="G139" s="208" t="s">
        <v>243</v>
      </c>
      <c r="H139" s="208">
        <v>4</v>
      </c>
      <c r="I139" s="208">
        <v>240</v>
      </c>
      <c r="J139" s="208">
        <v>31</v>
      </c>
      <c r="K139" s="208">
        <v>0</v>
      </c>
      <c r="L139" s="208">
        <v>169</v>
      </c>
      <c r="M139" s="208" t="s">
        <v>244</v>
      </c>
      <c r="N139" s="208">
        <v>50</v>
      </c>
      <c r="O139" s="208">
        <v>60</v>
      </c>
      <c r="P139" s="208">
        <v>7.5</v>
      </c>
      <c r="Q139" s="208">
        <v>43</v>
      </c>
    </row>
    <row r="140" spans="1:17">
      <c r="A140" s="218">
        <v>44196</v>
      </c>
      <c r="B140" s="208" t="s">
        <v>29</v>
      </c>
      <c r="C140" s="208" t="s">
        <v>8</v>
      </c>
      <c r="D140" s="208">
        <v>2019</v>
      </c>
      <c r="E140" s="208" t="s">
        <v>93</v>
      </c>
      <c r="F140" s="208" t="s">
        <v>92</v>
      </c>
      <c r="G140" s="208" t="s">
        <v>243</v>
      </c>
      <c r="H140" s="208">
        <v>17</v>
      </c>
      <c r="I140" s="208">
        <v>5461.23</v>
      </c>
      <c r="J140" s="208">
        <v>3666.1</v>
      </c>
      <c r="K140" s="208">
        <v>377.7</v>
      </c>
      <c r="L140" s="208">
        <v>1054.8300000000002</v>
      </c>
      <c r="M140" s="208" t="s">
        <v>244</v>
      </c>
      <c r="N140" s="208">
        <v>-590.51</v>
      </c>
      <c r="O140" s="208">
        <v>1341.57</v>
      </c>
      <c r="P140" s="208">
        <v>-59.05</v>
      </c>
      <c r="Q140" s="208">
        <v>218.8</v>
      </c>
    </row>
    <row r="141" spans="1:17">
      <c r="A141" s="218">
        <v>44196</v>
      </c>
      <c r="B141" s="208" t="s">
        <v>260</v>
      </c>
      <c r="C141" s="208" t="s">
        <v>8</v>
      </c>
      <c r="D141" s="208">
        <v>2020</v>
      </c>
      <c r="E141" s="208" t="s">
        <v>93</v>
      </c>
      <c r="F141" s="208" t="s">
        <v>92</v>
      </c>
      <c r="G141" s="208" t="s">
        <v>243</v>
      </c>
      <c r="H141" s="208">
        <v>24</v>
      </c>
      <c r="I141" s="208">
        <v>1320</v>
      </c>
      <c r="J141" s="208">
        <v>168</v>
      </c>
      <c r="K141" s="208">
        <v>200</v>
      </c>
      <c r="L141" s="208">
        <v>480</v>
      </c>
      <c r="M141" s="208" t="s">
        <v>244</v>
      </c>
      <c r="N141" s="208">
        <v>50</v>
      </c>
      <c r="O141" s="208">
        <v>60</v>
      </c>
      <c r="P141" s="208">
        <v>7.5</v>
      </c>
      <c r="Q141" s="208">
        <v>43</v>
      </c>
    </row>
    <row r="142" spans="1:17">
      <c r="A142" s="218">
        <v>44196</v>
      </c>
      <c r="B142" s="208" t="s">
        <v>259</v>
      </c>
      <c r="C142" s="208" t="s">
        <v>8</v>
      </c>
      <c r="D142" s="208">
        <v>2019</v>
      </c>
      <c r="E142" s="208" t="s">
        <v>93</v>
      </c>
      <c r="F142" s="208" t="s">
        <v>92</v>
      </c>
      <c r="G142" s="208" t="s">
        <v>243</v>
      </c>
      <c r="H142" s="208">
        <v>6</v>
      </c>
      <c r="I142" s="208">
        <v>360</v>
      </c>
      <c r="J142" s="208">
        <v>42</v>
      </c>
      <c r="K142" s="208">
        <v>0</v>
      </c>
      <c r="L142" s="208">
        <v>240</v>
      </c>
      <c r="M142" s="208" t="s">
        <v>244</v>
      </c>
      <c r="N142" s="208">
        <v>-590.51</v>
      </c>
      <c r="O142" s="208">
        <v>1341.57</v>
      </c>
      <c r="P142" s="208">
        <v>-59.05</v>
      </c>
      <c r="Q142" s="208">
        <v>218.8</v>
      </c>
    </row>
    <row r="143" spans="1:17">
      <c r="A143" s="218">
        <v>44196</v>
      </c>
      <c r="B143" s="208" t="s">
        <v>258</v>
      </c>
      <c r="C143" s="208" t="s">
        <v>8</v>
      </c>
      <c r="D143" s="208">
        <v>2020</v>
      </c>
      <c r="E143" s="208" t="s">
        <v>93</v>
      </c>
      <c r="F143" s="208" t="s">
        <v>92</v>
      </c>
      <c r="G143" s="208" t="s">
        <v>243</v>
      </c>
      <c r="H143" s="208">
        <v>30</v>
      </c>
      <c r="I143" s="208">
        <v>1800</v>
      </c>
      <c r="J143" s="208">
        <v>210</v>
      </c>
      <c r="K143" s="208">
        <v>112.5</v>
      </c>
      <c r="L143" s="208">
        <v>330</v>
      </c>
      <c r="M143" s="208" t="s">
        <v>244</v>
      </c>
      <c r="N143" s="208">
        <v>50</v>
      </c>
      <c r="O143" s="208">
        <v>60</v>
      </c>
      <c r="P143" s="208">
        <v>7.5</v>
      </c>
      <c r="Q143" s="208">
        <v>43</v>
      </c>
    </row>
    <row r="144" spans="1:17">
      <c r="A144" s="218">
        <v>44196</v>
      </c>
      <c r="B144" s="208" t="s">
        <v>259</v>
      </c>
      <c r="C144" s="208" t="s">
        <v>8</v>
      </c>
      <c r="D144" s="208">
        <v>2020</v>
      </c>
      <c r="E144" s="208" t="s">
        <v>93</v>
      </c>
      <c r="F144" s="208" t="s">
        <v>92</v>
      </c>
      <c r="G144" s="208" t="s">
        <v>243</v>
      </c>
      <c r="H144" s="208">
        <v>4</v>
      </c>
      <c r="I144" s="208">
        <v>238.5</v>
      </c>
      <c r="J144" s="208">
        <v>31</v>
      </c>
      <c r="K144" s="208">
        <v>0</v>
      </c>
      <c r="L144" s="208">
        <v>157</v>
      </c>
      <c r="M144" s="208" t="s">
        <v>244</v>
      </c>
      <c r="N144" s="208">
        <v>50</v>
      </c>
      <c r="O144" s="208">
        <v>60</v>
      </c>
      <c r="P144" s="208">
        <v>7.5</v>
      </c>
      <c r="Q144" s="208">
        <v>43</v>
      </c>
    </row>
    <row r="145" spans="1:17">
      <c r="A145" s="218">
        <v>44196</v>
      </c>
      <c r="B145" s="208" t="s">
        <v>31</v>
      </c>
      <c r="C145" s="208" t="s">
        <v>8</v>
      </c>
      <c r="D145" s="208">
        <v>2020</v>
      </c>
      <c r="E145" s="208" t="s">
        <v>93</v>
      </c>
      <c r="F145" s="208" t="s">
        <v>92</v>
      </c>
      <c r="G145" s="208" t="s">
        <v>243</v>
      </c>
      <c r="H145" s="208">
        <v>30</v>
      </c>
      <c r="I145" s="208">
        <v>1800</v>
      </c>
      <c r="J145" s="208">
        <v>210</v>
      </c>
      <c r="K145" s="208">
        <v>112.5</v>
      </c>
      <c r="L145" s="208">
        <v>330</v>
      </c>
      <c r="M145" s="208" t="s">
        <v>244</v>
      </c>
      <c r="N145" s="208">
        <v>50</v>
      </c>
      <c r="O145" s="208">
        <v>60</v>
      </c>
      <c r="P145" s="208">
        <v>7.5</v>
      </c>
      <c r="Q145" s="208">
        <v>43</v>
      </c>
    </row>
    <row r="146" spans="1:17">
      <c r="A146" s="218">
        <v>44196</v>
      </c>
      <c r="B146" s="208" t="s">
        <v>260</v>
      </c>
      <c r="C146" s="208" t="s">
        <v>8</v>
      </c>
      <c r="D146" s="208">
        <v>2019</v>
      </c>
      <c r="E146" s="208" t="s">
        <v>93</v>
      </c>
      <c r="F146" s="208" t="s">
        <v>92</v>
      </c>
      <c r="G146" s="208" t="s">
        <v>243</v>
      </c>
      <c r="H146" s="208">
        <v>17</v>
      </c>
      <c r="I146" s="208">
        <v>5461.23</v>
      </c>
      <c r="J146" s="208">
        <v>3666.1000000000004</v>
      </c>
      <c r="K146" s="208">
        <v>377.7</v>
      </c>
      <c r="L146" s="208">
        <v>1054.83</v>
      </c>
      <c r="M146" s="208" t="s">
        <v>244</v>
      </c>
      <c r="N146" s="208">
        <v>-590.51</v>
      </c>
      <c r="O146" s="208">
        <v>1341.57</v>
      </c>
      <c r="P146" s="208">
        <v>-59.05</v>
      </c>
      <c r="Q146" s="208">
        <v>218.8</v>
      </c>
    </row>
    <row r="147" spans="1:17">
      <c r="A147" s="218">
        <v>44196</v>
      </c>
      <c r="B147" s="208" t="s">
        <v>36</v>
      </c>
      <c r="C147" s="208" t="s">
        <v>8</v>
      </c>
      <c r="D147" s="208">
        <v>2020</v>
      </c>
      <c r="E147" s="208" t="s">
        <v>93</v>
      </c>
      <c r="F147" s="208" t="s">
        <v>92</v>
      </c>
      <c r="G147" s="208" t="s">
        <v>243</v>
      </c>
      <c r="H147" s="208">
        <v>4</v>
      </c>
      <c r="I147" s="208">
        <v>238.5</v>
      </c>
      <c r="J147" s="208">
        <v>31</v>
      </c>
      <c r="K147" s="208">
        <v>0</v>
      </c>
      <c r="L147" s="208">
        <v>157</v>
      </c>
      <c r="M147" s="208" t="s">
        <v>244</v>
      </c>
      <c r="N147" s="208">
        <v>50</v>
      </c>
      <c r="O147" s="208">
        <v>60</v>
      </c>
      <c r="P147" s="208">
        <v>7.5</v>
      </c>
      <c r="Q147" s="208">
        <v>43</v>
      </c>
    </row>
    <row r="148" spans="1:17">
      <c r="A148" s="218">
        <v>44196</v>
      </c>
      <c r="B148" s="208" t="s">
        <v>31</v>
      </c>
      <c r="C148" s="208" t="s">
        <v>8</v>
      </c>
      <c r="D148" s="208">
        <v>2019</v>
      </c>
      <c r="E148" s="208" t="s">
        <v>93</v>
      </c>
      <c r="F148" s="208" t="s">
        <v>92</v>
      </c>
      <c r="G148" s="208" t="s">
        <v>243</v>
      </c>
      <c r="H148" s="208">
        <v>3</v>
      </c>
      <c r="I148" s="208">
        <v>736.56</v>
      </c>
      <c r="J148" s="208">
        <v>431.76</v>
      </c>
      <c r="K148" s="208">
        <v>0</v>
      </c>
      <c r="L148" s="208">
        <v>243.8</v>
      </c>
      <c r="M148" s="208" t="s">
        <v>244</v>
      </c>
      <c r="N148" s="208">
        <v>-590.51</v>
      </c>
      <c r="O148" s="208">
        <v>1341.57</v>
      </c>
      <c r="P148" s="208">
        <v>-59.05</v>
      </c>
      <c r="Q148" s="208">
        <v>218.8</v>
      </c>
    </row>
    <row r="149" spans="1:17">
      <c r="A149" s="218">
        <v>44196</v>
      </c>
      <c r="B149" s="208" t="s">
        <v>36</v>
      </c>
      <c r="C149" s="208" t="s">
        <v>8</v>
      </c>
      <c r="D149" s="208">
        <v>2019</v>
      </c>
      <c r="E149" s="208" t="s">
        <v>93</v>
      </c>
      <c r="F149" s="208" t="s">
        <v>92</v>
      </c>
      <c r="G149" s="208" t="s">
        <v>243</v>
      </c>
      <c r="H149" s="208">
        <v>6</v>
      </c>
      <c r="I149" s="208">
        <v>360</v>
      </c>
      <c r="J149" s="208">
        <v>42</v>
      </c>
      <c r="K149" s="208">
        <v>0</v>
      </c>
      <c r="L149" s="208">
        <v>240</v>
      </c>
      <c r="M149" s="208" t="s">
        <v>244</v>
      </c>
      <c r="N149" s="208">
        <v>-590.51</v>
      </c>
      <c r="O149" s="208">
        <v>1341.57</v>
      </c>
      <c r="P149" s="208">
        <v>-59.05</v>
      </c>
      <c r="Q149" s="208">
        <v>218.8</v>
      </c>
    </row>
    <row r="150" spans="1:17">
      <c r="A150" s="218">
        <v>44196</v>
      </c>
      <c r="B150" s="208" t="s">
        <v>29</v>
      </c>
      <c r="C150" s="208" t="s">
        <v>8</v>
      </c>
      <c r="D150" s="208">
        <v>2020</v>
      </c>
      <c r="E150" s="208" t="s">
        <v>93</v>
      </c>
      <c r="F150" s="208" t="s">
        <v>92</v>
      </c>
      <c r="G150" s="208" t="s">
        <v>243</v>
      </c>
      <c r="H150" s="208">
        <v>24</v>
      </c>
      <c r="I150" s="208">
        <v>1320</v>
      </c>
      <c r="J150" s="208">
        <v>168</v>
      </c>
      <c r="K150" s="208">
        <v>200</v>
      </c>
      <c r="L150" s="208">
        <v>480</v>
      </c>
      <c r="M150" s="208" t="s">
        <v>244</v>
      </c>
      <c r="N150" s="208">
        <v>50</v>
      </c>
      <c r="O150" s="208">
        <v>60</v>
      </c>
      <c r="P150" s="208">
        <v>7.5</v>
      </c>
      <c r="Q150" s="208">
        <v>43</v>
      </c>
    </row>
    <row r="151" spans="1:17">
      <c r="A151" s="218">
        <v>44196</v>
      </c>
      <c r="B151" s="208" t="s">
        <v>225</v>
      </c>
      <c r="C151" s="208" t="s">
        <v>8</v>
      </c>
      <c r="D151" s="208">
        <v>2019</v>
      </c>
      <c r="E151" s="208" t="s">
        <v>93</v>
      </c>
      <c r="F151" s="208" t="s">
        <v>92</v>
      </c>
      <c r="G151" s="208" t="s">
        <v>243</v>
      </c>
      <c r="H151" s="208">
        <v>2</v>
      </c>
      <c r="I151" s="208">
        <v>100</v>
      </c>
      <c r="J151" s="208">
        <v>14</v>
      </c>
      <c r="K151" s="208">
        <v>0</v>
      </c>
      <c r="L151" s="208">
        <v>76</v>
      </c>
      <c r="M151" s="208" t="s">
        <v>244</v>
      </c>
      <c r="N151" s="208">
        <v>-590.51</v>
      </c>
      <c r="O151" s="208">
        <v>1341.57</v>
      </c>
      <c r="P151" s="208">
        <v>-59.05</v>
      </c>
      <c r="Q151" s="208">
        <v>218.8</v>
      </c>
    </row>
    <row r="152" spans="1:17">
      <c r="A152" s="218">
        <v>44196</v>
      </c>
      <c r="B152" s="208" t="s">
        <v>47</v>
      </c>
      <c r="C152" s="208" t="s">
        <v>8</v>
      </c>
      <c r="D152" s="208">
        <v>2020</v>
      </c>
      <c r="E152" s="208" t="s">
        <v>94</v>
      </c>
      <c r="F152" s="208" t="s">
        <v>92</v>
      </c>
      <c r="G152" s="208" t="s">
        <v>243</v>
      </c>
      <c r="H152" s="208">
        <v>4</v>
      </c>
      <c r="I152" s="208">
        <v>1708.72</v>
      </c>
      <c r="J152" s="208">
        <v>823.14</v>
      </c>
      <c r="K152" s="208">
        <v>0</v>
      </c>
      <c r="L152" s="208">
        <v>600</v>
      </c>
      <c r="M152" s="208" t="s">
        <v>244</v>
      </c>
      <c r="N152" s="208">
        <v>114.15</v>
      </c>
      <c r="O152" s="208">
        <v>820</v>
      </c>
      <c r="P152" s="208">
        <v>8.43</v>
      </c>
      <c r="Q152" s="208">
        <v>534.41999999999996</v>
      </c>
    </row>
    <row r="153" spans="1:17">
      <c r="A153" s="218">
        <v>44196</v>
      </c>
      <c r="B153" s="208" t="s">
        <v>268</v>
      </c>
      <c r="C153" s="208" t="s">
        <v>8</v>
      </c>
      <c r="D153" s="208">
        <v>2019</v>
      </c>
      <c r="E153" s="208" t="s">
        <v>94</v>
      </c>
      <c r="F153" s="208" t="s">
        <v>92</v>
      </c>
      <c r="G153" s="208" t="s">
        <v>243</v>
      </c>
      <c r="H153" s="208">
        <v>4</v>
      </c>
      <c r="I153" s="208">
        <v>1918.92</v>
      </c>
      <c r="J153" s="208">
        <v>823.1400000000001</v>
      </c>
      <c r="K153" s="208">
        <v>0</v>
      </c>
      <c r="L153" s="208">
        <v>600</v>
      </c>
      <c r="M153" s="208" t="s">
        <v>244</v>
      </c>
      <c r="N153" s="208">
        <v>112.27</v>
      </c>
      <c r="O153" s="208">
        <v>1044.8</v>
      </c>
      <c r="P153" s="208">
        <v>6.55</v>
      </c>
      <c r="Q153" s="208">
        <v>549.02</v>
      </c>
    </row>
    <row r="154" spans="1:17">
      <c r="A154" s="218">
        <v>44196</v>
      </c>
      <c r="B154" s="208" t="s">
        <v>268</v>
      </c>
      <c r="C154" s="208" t="s">
        <v>8</v>
      </c>
      <c r="D154" s="208">
        <v>2020</v>
      </c>
      <c r="E154" s="208" t="s">
        <v>94</v>
      </c>
      <c r="F154" s="208" t="s">
        <v>92</v>
      </c>
      <c r="G154" s="208" t="s">
        <v>243</v>
      </c>
      <c r="H154" s="208">
        <v>4</v>
      </c>
      <c r="I154" s="208">
        <v>1708.72</v>
      </c>
      <c r="J154" s="208">
        <v>823.14</v>
      </c>
      <c r="K154" s="208">
        <v>0</v>
      </c>
      <c r="L154" s="208">
        <v>600</v>
      </c>
      <c r="M154" s="208" t="s">
        <v>244</v>
      </c>
      <c r="N154" s="208">
        <v>114.15</v>
      </c>
      <c r="O154" s="208">
        <v>820</v>
      </c>
      <c r="P154" s="208">
        <v>8.43</v>
      </c>
      <c r="Q154" s="208">
        <v>534.41999999999996</v>
      </c>
    </row>
    <row r="155" spans="1:17">
      <c r="A155" s="218">
        <v>44196</v>
      </c>
      <c r="B155" s="208" t="s">
        <v>47</v>
      </c>
      <c r="C155" s="208" t="s">
        <v>8</v>
      </c>
      <c r="D155" s="208">
        <v>2019</v>
      </c>
      <c r="E155" s="208" t="s">
        <v>94</v>
      </c>
      <c r="F155" s="208" t="s">
        <v>92</v>
      </c>
      <c r="G155" s="208" t="s">
        <v>243</v>
      </c>
      <c r="H155" s="208">
        <v>4</v>
      </c>
      <c r="I155" s="208">
        <v>1918.92</v>
      </c>
      <c r="J155" s="208">
        <v>823.1400000000001</v>
      </c>
      <c r="K155" s="208">
        <v>0</v>
      </c>
      <c r="L155" s="208">
        <v>600</v>
      </c>
      <c r="M155" s="208" t="s">
        <v>244</v>
      </c>
      <c r="N155" s="208">
        <v>112.27</v>
      </c>
      <c r="O155" s="208">
        <v>1044.8</v>
      </c>
      <c r="P155" s="208">
        <v>6.55</v>
      </c>
      <c r="Q155" s="208">
        <v>549.02</v>
      </c>
    </row>
    <row r="156" spans="1:17">
      <c r="A156" s="218">
        <v>44196</v>
      </c>
      <c r="B156" s="208" t="s">
        <v>37</v>
      </c>
      <c r="C156" s="208" t="s">
        <v>8</v>
      </c>
      <c r="D156" s="208">
        <v>2019</v>
      </c>
      <c r="E156" s="208" t="s">
        <v>96</v>
      </c>
      <c r="F156" s="208" t="s">
        <v>95</v>
      </c>
      <c r="G156" s="208" t="s">
        <v>243</v>
      </c>
      <c r="H156" s="208">
        <v>35</v>
      </c>
      <c r="I156" s="208">
        <v>2467.86</v>
      </c>
      <c r="J156" s="208">
        <v>1315.8999999999996</v>
      </c>
      <c r="K156" s="208">
        <v>0</v>
      </c>
      <c r="L156" s="208">
        <v>943.20000000000039</v>
      </c>
      <c r="M156" s="208" t="s">
        <v>244</v>
      </c>
      <c r="N156" s="208">
        <v>-81.94</v>
      </c>
      <c r="O156" s="208">
        <v>1030</v>
      </c>
      <c r="P156" s="208">
        <v>-24.58</v>
      </c>
      <c r="Q156" s="208">
        <v>212.06</v>
      </c>
    </row>
    <row r="157" spans="1:17">
      <c r="A157" s="218">
        <v>44196</v>
      </c>
      <c r="B157" s="208" t="s">
        <v>29</v>
      </c>
      <c r="C157" s="208" t="s">
        <v>8</v>
      </c>
      <c r="D157" s="208">
        <v>2019</v>
      </c>
      <c r="E157" s="208" t="s">
        <v>96</v>
      </c>
      <c r="F157" s="208" t="s">
        <v>95</v>
      </c>
      <c r="G157" s="208" t="s">
        <v>243</v>
      </c>
      <c r="H157" s="208">
        <v>84</v>
      </c>
      <c r="I157" s="208">
        <v>3733.1799999999989</v>
      </c>
      <c r="J157" s="208">
        <v>2585.739999999998</v>
      </c>
      <c r="K157" s="208">
        <v>0</v>
      </c>
      <c r="L157" s="208">
        <v>1097.4400000000003</v>
      </c>
      <c r="M157" s="208" t="s">
        <v>244</v>
      </c>
      <c r="N157" s="208">
        <v>-81.94</v>
      </c>
      <c r="O157" s="208">
        <v>1030</v>
      </c>
      <c r="P157" s="208">
        <v>-24.58</v>
      </c>
      <c r="Q157" s="208">
        <v>212.06</v>
      </c>
    </row>
    <row r="158" spans="1:17">
      <c r="A158" s="218">
        <v>44196</v>
      </c>
      <c r="B158" s="208" t="s">
        <v>29</v>
      </c>
      <c r="C158" s="208" t="s">
        <v>8</v>
      </c>
      <c r="D158" s="208">
        <v>2020</v>
      </c>
      <c r="E158" s="208" t="s">
        <v>96</v>
      </c>
      <c r="F158" s="208" t="s">
        <v>95</v>
      </c>
      <c r="G158" s="208" t="s">
        <v>243</v>
      </c>
      <c r="H158" s="208">
        <v>120</v>
      </c>
      <c r="I158" s="208">
        <v>8727.0799999999872</v>
      </c>
      <c r="J158" s="208">
        <v>4775.5899999999947</v>
      </c>
      <c r="K158" s="208">
        <v>50</v>
      </c>
      <c r="L158" s="208">
        <v>2581.489999999998</v>
      </c>
      <c r="M158" s="208" t="s">
        <v>244</v>
      </c>
      <c r="N158" s="208">
        <v>-48.2</v>
      </c>
      <c r="O158" s="208">
        <v>400</v>
      </c>
      <c r="P158" s="208">
        <v>-14.46</v>
      </c>
      <c r="Q158" s="208">
        <v>110</v>
      </c>
    </row>
    <row r="159" spans="1:17">
      <c r="A159" s="218">
        <v>44196</v>
      </c>
      <c r="B159" s="208" t="s">
        <v>37</v>
      </c>
      <c r="C159" s="208" t="s">
        <v>8</v>
      </c>
      <c r="D159" s="208">
        <v>2020</v>
      </c>
      <c r="E159" s="208" t="s">
        <v>96</v>
      </c>
      <c r="F159" s="208" t="s">
        <v>95</v>
      </c>
      <c r="G159" s="208" t="s">
        <v>243</v>
      </c>
      <c r="H159" s="208">
        <v>23</v>
      </c>
      <c r="I159" s="208">
        <v>1642.5200000000007</v>
      </c>
      <c r="J159" s="208">
        <v>1149.8</v>
      </c>
      <c r="K159" s="208">
        <v>0</v>
      </c>
      <c r="L159" s="208">
        <v>492.71999999999986</v>
      </c>
      <c r="M159" s="208" t="s">
        <v>244</v>
      </c>
      <c r="N159" s="208">
        <v>-48.2</v>
      </c>
      <c r="O159" s="208">
        <v>400</v>
      </c>
      <c r="P159" s="208">
        <v>-14.46</v>
      </c>
      <c r="Q159" s="208">
        <v>110</v>
      </c>
    </row>
    <row r="160" spans="1:17">
      <c r="A160" s="218">
        <v>44196</v>
      </c>
      <c r="B160" s="208" t="s">
        <v>225</v>
      </c>
      <c r="C160" s="208" t="s">
        <v>8</v>
      </c>
      <c r="D160" s="208">
        <v>2020</v>
      </c>
      <c r="E160" s="208" t="s">
        <v>96</v>
      </c>
      <c r="F160" s="208" t="s">
        <v>95</v>
      </c>
      <c r="G160" s="208" t="s">
        <v>243</v>
      </c>
      <c r="H160" s="208">
        <v>23</v>
      </c>
      <c r="I160" s="208">
        <v>1642.5200000000007</v>
      </c>
      <c r="J160" s="208">
        <v>1149.8</v>
      </c>
      <c r="K160" s="208">
        <v>0</v>
      </c>
      <c r="L160" s="208">
        <v>492.71999999999974</v>
      </c>
      <c r="M160" s="208" t="s">
        <v>244</v>
      </c>
      <c r="N160" s="208">
        <v>-48.2</v>
      </c>
      <c r="O160" s="208">
        <v>400</v>
      </c>
      <c r="P160" s="208">
        <v>-14.46</v>
      </c>
      <c r="Q160" s="208">
        <v>110</v>
      </c>
    </row>
    <row r="161" spans="1:17">
      <c r="A161" s="218">
        <v>44196</v>
      </c>
      <c r="B161" s="208" t="s">
        <v>260</v>
      </c>
      <c r="C161" s="208" t="s">
        <v>8</v>
      </c>
      <c r="D161" s="208">
        <v>2020</v>
      </c>
      <c r="E161" s="208" t="s">
        <v>96</v>
      </c>
      <c r="F161" s="208" t="s">
        <v>95</v>
      </c>
      <c r="G161" s="208" t="s">
        <v>243</v>
      </c>
      <c r="H161" s="208">
        <v>120</v>
      </c>
      <c r="I161" s="208">
        <v>8727.0799999999872</v>
      </c>
      <c r="J161" s="208">
        <v>4775.5899999999929</v>
      </c>
      <c r="K161" s="208">
        <v>50</v>
      </c>
      <c r="L161" s="208">
        <v>2581.4899999999984</v>
      </c>
      <c r="M161" s="208" t="s">
        <v>244</v>
      </c>
      <c r="N161" s="208">
        <v>-48.2</v>
      </c>
      <c r="O161" s="208">
        <v>400</v>
      </c>
      <c r="P161" s="208">
        <v>-14.46</v>
      </c>
      <c r="Q161" s="208">
        <v>110</v>
      </c>
    </row>
    <row r="162" spans="1:17">
      <c r="A162" s="218">
        <v>44196</v>
      </c>
      <c r="B162" s="208" t="s">
        <v>258</v>
      </c>
      <c r="C162" s="208" t="s">
        <v>8</v>
      </c>
      <c r="D162" s="208">
        <v>2019</v>
      </c>
      <c r="E162" s="208" t="s">
        <v>96</v>
      </c>
      <c r="F162" s="208" t="s">
        <v>95</v>
      </c>
      <c r="G162" s="208" t="s">
        <v>243</v>
      </c>
      <c r="H162" s="208">
        <v>36</v>
      </c>
      <c r="I162" s="208">
        <v>8684.98</v>
      </c>
      <c r="J162" s="208">
        <v>1269.6000000000001</v>
      </c>
      <c r="K162" s="208">
        <v>11.790000000000001</v>
      </c>
      <c r="L162" s="208">
        <v>709.78999999999985</v>
      </c>
      <c r="M162" s="208" t="s">
        <v>244</v>
      </c>
      <c r="N162" s="208">
        <v>-81.94</v>
      </c>
      <c r="O162" s="208">
        <v>1030</v>
      </c>
      <c r="P162" s="208">
        <v>-24.58</v>
      </c>
      <c r="Q162" s="208">
        <v>212.06</v>
      </c>
    </row>
    <row r="163" spans="1:17">
      <c r="A163" s="218">
        <v>44196</v>
      </c>
      <c r="B163" s="208" t="s">
        <v>36</v>
      </c>
      <c r="C163" s="208" t="s">
        <v>8</v>
      </c>
      <c r="D163" s="208">
        <v>2019</v>
      </c>
      <c r="E163" s="208" t="s">
        <v>96</v>
      </c>
      <c r="F163" s="208" t="s">
        <v>95</v>
      </c>
      <c r="G163" s="208" t="s">
        <v>243</v>
      </c>
      <c r="H163" s="208">
        <v>35</v>
      </c>
      <c r="I163" s="208">
        <v>3118.5800000000004</v>
      </c>
      <c r="J163" s="208">
        <v>1291.8599999999997</v>
      </c>
      <c r="K163" s="208">
        <v>0</v>
      </c>
      <c r="L163" s="208">
        <v>1364.5999999999997</v>
      </c>
      <c r="M163" s="208" t="s">
        <v>244</v>
      </c>
      <c r="N163" s="208">
        <v>-81.94</v>
      </c>
      <c r="O163" s="208">
        <v>1030</v>
      </c>
      <c r="P163" s="208">
        <v>-24.58</v>
      </c>
      <c r="Q163" s="208">
        <v>212.06</v>
      </c>
    </row>
    <row r="164" spans="1:17">
      <c r="A164" s="218">
        <v>44196</v>
      </c>
      <c r="B164" s="208" t="s">
        <v>258</v>
      </c>
      <c r="C164" s="208" t="s">
        <v>8</v>
      </c>
      <c r="D164" s="208">
        <v>2020</v>
      </c>
      <c r="E164" s="208" t="s">
        <v>96</v>
      </c>
      <c r="F164" s="208" t="s">
        <v>95</v>
      </c>
      <c r="G164" s="208" t="s">
        <v>243</v>
      </c>
      <c r="H164" s="208">
        <v>86</v>
      </c>
      <c r="I164" s="208">
        <v>6078.7199999999939</v>
      </c>
      <c r="J164" s="208">
        <v>3023.2199999999993</v>
      </c>
      <c r="K164" s="208">
        <v>0</v>
      </c>
      <c r="L164" s="208">
        <v>1795.4999999999991</v>
      </c>
      <c r="M164" s="208" t="s">
        <v>244</v>
      </c>
      <c r="N164" s="208">
        <v>-48.2</v>
      </c>
      <c r="O164" s="208">
        <v>400</v>
      </c>
      <c r="P164" s="208">
        <v>-14.46</v>
      </c>
      <c r="Q164" s="208">
        <v>110</v>
      </c>
    </row>
    <row r="165" spans="1:17">
      <c r="A165" s="218">
        <v>44196</v>
      </c>
      <c r="B165" s="208" t="s">
        <v>225</v>
      </c>
      <c r="C165" s="208" t="s">
        <v>8</v>
      </c>
      <c r="D165" s="208">
        <v>2019</v>
      </c>
      <c r="E165" s="208" t="s">
        <v>96</v>
      </c>
      <c r="F165" s="208" t="s">
        <v>95</v>
      </c>
      <c r="G165" s="208" t="s">
        <v>243</v>
      </c>
      <c r="H165" s="208">
        <v>35</v>
      </c>
      <c r="I165" s="208">
        <v>2467.8600000000006</v>
      </c>
      <c r="J165" s="208">
        <v>1315.8999999999996</v>
      </c>
      <c r="K165" s="208">
        <v>0</v>
      </c>
      <c r="L165" s="208">
        <v>943.20000000000027</v>
      </c>
      <c r="M165" s="208" t="s">
        <v>244</v>
      </c>
      <c r="N165" s="208">
        <v>-81.94</v>
      </c>
      <c r="O165" s="208">
        <v>1030</v>
      </c>
      <c r="P165" s="208">
        <v>-24.58</v>
      </c>
      <c r="Q165" s="208">
        <v>212.06</v>
      </c>
    </row>
    <row r="166" spans="1:17">
      <c r="A166" s="218">
        <v>44196</v>
      </c>
      <c r="B166" s="208" t="s">
        <v>261</v>
      </c>
      <c r="C166" s="208" t="s">
        <v>8</v>
      </c>
      <c r="D166" s="208">
        <v>2019</v>
      </c>
      <c r="E166" s="208" t="s">
        <v>96</v>
      </c>
      <c r="F166" s="208" t="s">
        <v>95</v>
      </c>
      <c r="G166" s="208" t="s">
        <v>243</v>
      </c>
      <c r="H166" s="208">
        <v>1</v>
      </c>
      <c r="I166" s="208">
        <v>430</v>
      </c>
      <c r="J166" s="208">
        <v>57.36</v>
      </c>
      <c r="K166" s="208">
        <v>163.88</v>
      </c>
      <c r="L166" s="208">
        <v>106.52</v>
      </c>
      <c r="M166" s="208" t="s">
        <v>244</v>
      </c>
      <c r="N166" s="208">
        <v>-81.94</v>
      </c>
      <c r="O166" s="208">
        <v>1030</v>
      </c>
      <c r="P166" s="208">
        <v>-24.58</v>
      </c>
      <c r="Q166" s="208">
        <v>212.06</v>
      </c>
    </row>
    <row r="167" spans="1:17">
      <c r="A167" s="218">
        <v>44196</v>
      </c>
      <c r="B167" s="208" t="s">
        <v>35</v>
      </c>
      <c r="C167" s="208" t="s">
        <v>8</v>
      </c>
      <c r="D167" s="208">
        <v>2020</v>
      </c>
      <c r="E167" s="208" t="s">
        <v>96</v>
      </c>
      <c r="F167" s="208" t="s">
        <v>95</v>
      </c>
      <c r="G167" s="208" t="s">
        <v>243</v>
      </c>
      <c r="H167" s="208">
        <v>1</v>
      </c>
      <c r="I167" s="208">
        <v>81.94</v>
      </c>
      <c r="J167" s="208">
        <v>57.36</v>
      </c>
      <c r="K167" s="208">
        <v>0</v>
      </c>
      <c r="L167" s="208">
        <v>24.58</v>
      </c>
      <c r="M167" s="208" t="s">
        <v>244</v>
      </c>
      <c r="N167" s="208">
        <v>-48.2</v>
      </c>
      <c r="O167" s="208">
        <v>400</v>
      </c>
      <c r="P167" s="208">
        <v>-14.46</v>
      </c>
      <c r="Q167" s="208">
        <v>110</v>
      </c>
    </row>
    <row r="168" spans="1:17">
      <c r="A168" s="218">
        <v>44196</v>
      </c>
      <c r="B168" s="208" t="s">
        <v>261</v>
      </c>
      <c r="C168" s="208" t="s">
        <v>8</v>
      </c>
      <c r="D168" s="208">
        <v>2020</v>
      </c>
      <c r="E168" s="208" t="s">
        <v>96</v>
      </c>
      <c r="F168" s="208" t="s">
        <v>95</v>
      </c>
      <c r="G168" s="208" t="s">
        <v>243</v>
      </c>
      <c r="H168" s="208">
        <v>1</v>
      </c>
      <c r="I168" s="208">
        <v>81.94</v>
      </c>
      <c r="J168" s="208">
        <v>57.36</v>
      </c>
      <c r="K168" s="208">
        <v>0</v>
      </c>
      <c r="L168" s="208">
        <v>24.58</v>
      </c>
      <c r="M168" s="208" t="s">
        <v>244</v>
      </c>
      <c r="N168" s="208">
        <v>-48.2</v>
      </c>
      <c r="O168" s="208">
        <v>400</v>
      </c>
      <c r="P168" s="208">
        <v>-14.46</v>
      </c>
      <c r="Q168" s="208">
        <v>110</v>
      </c>
    </row>
    <row r="169" spans="1:17">
      <c r="A169" s="218">
        <v>44196</v>
      </c>
      <c r="B169" s="208" t="s">
        <v>259</v>
      </c>
      <c r="C169" s="208" t="s">
        <v>8</v>
      </c>
      <c r="D169" s="208">
        <v>2020</v>
      </c>
      <c r="E169" s="208" t="s">
        <v>96</v>
      </c>
      <c r="F169" s="208" t="s">
        <v>95</v>
      </c>
      <c r="G169" s="208" t="s">
        <v>243</v>
      </c>
      <c r="H169" s="208">
        <v>65</v>
      </c>
      <c r="I169" s="208">
        <v>4811.3999999999969</v>
      </c>
      <c r="J169" s="208">
        <v>2165.4199999999978</v>
      </c>
      <c r="K169" s="208">
        <v>0</v>
      </c>
      <c r="L169" s="208">
        <v>2095.9799999999991</v>
      </c>
      <c r="M169" s="208" t="s">
        <v>244</v>
      </c>
      <c r="N169" s="208">
        <v>-48.2</v>
      </c>
      <c r="O169" s="208">
        <v>400</v>
      </c>
      <c r="P169" s="208">
        <v>-14.46</v>
      </c>
      <c r="Q169" s="208">
        <v>110</v>
      </c>
    </row>
    <row r="170" spans="1:17">
      <c r="A170" s="218">
        <v>44196</v>
      </c>
      <c r="B170" s="208" t="s">
        <v>36</v>
      </c>
      <c r="C170" s="208" t="s">
        <v>8</v>
      </c>
      <c r="D170" s="208">
        <v>2020</v>
      </c>
      <c r="E170" s="208" t="s">
        <v>96</v>
      </c>
      <c r="F170" s="208" t="s">
        <v>95</v>
      </c>
      <c r="G170" s="208" t="s">
        <v>243</v>
      </c>
      <c r="H170" s="208">
        <v>65</v>
      </c>
      <c r="I170" s="208">
        <v>4811.3999999999969</v>
      </c>
      <c r="J170" s="208">
        <v>2165.4199999999978</v>
      </c>
      <c r="K170" s="208">
        <v>0</v>
      </c>
      <c r="L170" s="208">
        <v>2095.9799999999977</v>
      </c>
      <c r="M170" s="208" t="s">
        <v>244</v>
      </c>
      <c r="N170" s="208">
        <v>-48.2</v>
      </c>
      <c r="O170" s="208">
        <v>400</v>
      </c>
      <c r="P170" s="208">
        <v>-14.46</v>
      </c>
      <c r="Q170" s="208">
        <v>110</v>
      </c>
    </row>
    <row r="171" spans="1:17">
      <c r="A171" s="218">
        <v>44196</v>
      </c>
      <c r="B171" s="208" t="s">
        <v>31</v>
      </c>
      <c r="C171" s="208" t="s">
        <v>8</v>
      </c>
      <c r="D171" s="208">
        <v>2019</v>
      </c>
      <c r="E171" s="208" t="s">
        <v>96</v>
      </c>
      <c r="F171" s="208" t="s">
        <v>95</v>
      </c>
      <c r="G171" s="208" t="s">
        <v>243</v>
      </c>
      <c r="H171" s="208">
        <v>36</v>
      </c>
      <c r="I171" s="208">
        <v>8684.98</v>
      </c>
      <c r="J171" s="208">
        <v>1269.5999999999999</v>
      </c>
      <c r="K171" s="208">
        <v>11.790000000000001</v>
      </c>
      <c r="L171" s="208">
        <v>709.78999999999985</v>
      </c>
      <c r="M171" s="208" t="s">
        <v>244</v>
      </c>
      <c r="N171" s="208">
        <v>-81.94</v>
      </c>
      <c r="O171" s="208">
        <v>1030</v>
      </c>
      <c r="P171" s="208">
        <v>-24.58</v>
      </c>
      <c r="Q171" s="208">
        <v>212.06</v>
      </c>
    </row>
    <row r="172" spans="1:17">
      <c r="A172" s="218">
        <v>44196</v>
      </c>
      <c r="B172" s="208" t="s">
        <v>35</v>
      </c>
      <c r="C172" s="208" t="s">
        <v>8</v>
      </c>
      <c r="D172" s="208">
        <v>2019</v>
      </c>
      <c r="E172" s="208" t="s">
        <v>96</v>
      </c>
      <c r="F172" s="208" t="s">
        <v>95</v>
      </c>
      <c r="G172" s="208" t="s">
        <v>243</v>
      </c>
      <c r="H172" s="208">
        <v>1</v>
      </c>
      <c r="I172" s="208">
        <v>430</v>
      </c>
      <c r="J172" s="208">
        <v>57.36</v>
      </c>
      <c r="K172" s="208">
        <v>163.88</v>
      </c>
      <c r="L172" s="208">
        <v>106.52</v>
      </c>
      <c r="M172" s="208" t="s">
        <v>244</v>
      </c>
      <c r="N172" s="208">
        <v>-81.94</v>
      </c>
      <c r="O172" s="208">
        <v>1030</v>
      </c>
      <c r="P172" s="208">
        <v>-24.58</v>
      </c>
      <c r="Q172" s="208">
        <v>212.06</v>
      </c>
    </row>
    <row r="173" spans="1:17">
      <c r="A173" s="218">
        <v>44196</v>
      </c>
      <c r="B173" s="208" t="s">
        <v>260</v>
      </c>
      <c r="C173" s="208" t="s">
        <v>8</v>
      </c>
      <c r="D173" s="208">
        <v>2019</v>
      </c>
      <c r="E173" s="208" t="s">
        <v>96</v>
      </c>
      <c r="F173" s="208" t="s">
        <v>95</v>
      </c>
      <c r="G173" s="208" t="s">
        <v>243</v>
      </c>
      <c r="H173" s="208">
        <v>84</v>
      </c>
      <c r="I173" s="208">
        <v>3733.1799999999994</v>
      </c>
      <c r="J173" s="208">
        <v>2585.7399999999989</v>
      </c>
      <c r="K173" s="208">
        <v>0</v>
      </c>
      <c r="L173" s="208">
        <v>1097.4400000000005</v>
      </c>
      <c r="M173" s="208" t="s">
        <v>244</v>
      </c>
      <c r="N173" s="208">
        <v>-81.94</v>
      </c>
      <c r="O173" s="208">
        <v>1030</v>
      </c>
      <c r="P173" s="208">
        <v>-24.58</v>
      </c>
      <c r="Q173" s="208">
        <v>212.06</v>
      </c>
    </row>
    <row r="174" spans="1:17">
      <c r="A174" s="218">
        <v>44196</v>
      </c>
      <c r="B174" s="208" t="s">
        <v>31</v>
      </c>
      <c r="C174" s="208" t="s">
        <v>8</v>
      </c>
      <c r="D174" s="208">
        <v>2020</v>
      </c>
      <c r="E174" s="208" t="s">
        <v>96</v>
      </c>
      <c r="F174" s="208" t="s">
        <v>95</v>
      </c>
      <c r="G174" s="208" t="s">
        <v>243</v>
      </c>
      <c r="H174" s="208">
        <v>86</v>
      </c>
      <c r="I174" s="208">
        <v>6078.719999999993</v>
      </c>
      <c r="J174" s="208">
        <v>3023.2199999999975</v>
      </c>
      <c r="K174" s="208">
        <v>0</v>
      </c>
      <c r="L174" s="208">
        <v>1795.499999999998</v>
      </c>
      <c r="M174" s="208" t="s">
        <v>244</v>
      </c>
      <c r="N174" s="208">
        <v>-48.2</v>
      </c>
      <c r="O174" s="208">
        <v>400</v>
      </c>
      <c r="P174" s="208">
        <v>-14.46</v>
      </c>
      <c r="Q174" s="208">
        <v>110</v>
      </c>
    </row>
    <row r="175" spans="1:17">
      <c r="A175" s="218">
        <v>44196</v>
      </c>
      <c r="B175" s="208" t="s">
        <v>259</v>
      </c>
      <c r="C175" s="208" t="s">
        <v>8</v>
      </c>
      <c r="D175" s="208">
        <v>2019</v>
      </c>
      <c r="E175" s="208" t="s">
        <v>96</v>
      </c>
      <c r="F175" s="208" t="s">
        <v>95</v>
      </c>
      <c r="G175" s="208" t="s">
        <v>243</v>
      </c>
      <c r="H175" s="208">
        <v>35</v>
      </c>
      <c r="I175" s="208">
        <v>3118.58</v>
      </c>
      <c r="J175" s="208">
        <v>1291.8599999999999</v>
      </c>
      <c r="K175" s="208">
        <v>0</v>
      </c>
      <c r="L175" s="208">
        <v>1364.6</v>
      </c>
      <c r="M175" s="208" t="s">
        <v>244</v>
      </c>
      <c r="N175" s="208">
        <v>-81.94</v>
      </c>
      <c r="O175" s="208">
        <v>1030</v>
      </c>
      <c r="P175" s="208">
        <v>-24.58</v>
      </c>
      <c r="Q175" s="208">
        <v>212.06</v>
      </c>
    </row>
    <row r="176" spans="1:17">
      <c r="A176" s="218">
        <v>44196</v>
      </c>
      <c r="B176" s="208" t="s">
        <v>260</v>
      </c>
      <c r="C176" s="208" t="s">
        <v>8</v>
      </c>
      <c r="D176" s="208">
        <v>2019</v>
      </c>
      <c r="E176" s="208" t="s">
        <v>174</v>
      </c>
      <c r="F176" s="208" t="s">
        <v>95</v>
      </c>
      <c r="G176" s="208" t="s">
        <v>243</v>
      </c>
      <c r="H176" s="208">
        <v>1</v>
      </c>
      <c r="I176" s="208">
        <v>920</v>
      </c>
      <c r="J176" s="208">
        <v>195.65</v>
      </c>
      <c r="K176" s="208">
        <v>0</v>
      </c>
      <c r="L176" s="208">
        <v>559</v>
      </c>
      <c r="M176" s="208" t="s">
        <v>244</v>
      </c>
      <c r="N176" s="208">
        <v>920</v>
      </c>
      <c r="O176" s="208">
        <v>920</v>
      </c>
      <c r="P176" s="208">
        <v>559</v>
      </c>
      <c r="Q176" s="208">
        <v>559</v>
      </c>
    </row>
    <row r="177" spans="1:17">
      <c r="A177" s="218">
        <v>44196</v>
      </c>
      <c r="B177" s="208" t="s">
        <v>29</v>
      </c>
      <c r="C177" s="208" t="s">
        <v>8</v>
      </c>
      <c r="D177" s="208">
        <v>2019</v>
      </c>
      <c r="E177" s="208" t="s">
        <v>174</v>
      </c>
      <c r="F177" s="208" t="s">
        <v>95</v>
      </c>
      <c r="G177" s="208" t="s">
        <v>243</v>
      </c>
      <c r="H177" s="208">
        <v>1</v>
      </c>
      <c r="I177" s="208">
        <v>920</v>
      </c>
      <c r="J177" s="208">
        <v>195.65</v>
      </c>
      <c r="K177" s="208">
        <v>0</v>
      </c>
      <c r="L177" s="208">
        <v>559</v>
      </c>
      <c r="M177" s="208" t="s">
        <v>244</v>
      </c>
      <c r="N177" s="208">
        <v>920</v>
      </c>
      <c r="O177" s="208">
        <v>920</v>
      </c>
      <c r="P177" s="208">
        <v>559</v>
      </c>
      <c r="Q177" s="208">
        <v>559</v>
      </c>
    </row>
    <row r="178" spans="1:17">
      <c r="A178" s="218">
        <v>44196</v>
      </c>
      <c r="B178" s="208" t="s">
        <v>258</v>
      </c>
      <c r="C178" s="208" t="s">
        <v>8</v>
      </c>
      <c r="D178" s="208">
        <v>2019</v>
      </c>
      <c r="E178" s="208" t="s">
        <v>97</v>
      </c>
      <c r="F178" s="208" t="s">
        <v>95</v>
      </c>
      <c r="G178" s="208" t="s">
        <v>243</v>
      </c>
      <c r="H178" s="208">
        <v>8</v>
      </c>
      <c r="I178" s="208">
        <v>475</v>
      </c>
      <c r="J178" s="208">
        <v>56</v>
      </c>
      <c r="K178" s="208">
        <v>37.5</v>
      </c>
      <c r="L178" s="208">
        <v>85</v>
      </c>
      <c r="M178" s="208" t="s">
        <v>244</v>
      </c>
      <c r="N178" s="208">
        <v>-60</v>
      </c>
      <c r="O178" s="208">
        <v>60</v>
      </c>
      <c r="P178" s="208">
        <v>-20</v>
      </c>
      <c r="Q178" s="208">
        <v>43</v>
      </c>
    </row>
    <row r="179" spans="1:17">
      <c r="A179" s="218">
        <v>44196</v>
      </c>
      <c r="B179" s="208" t="s">
        <v>260</v>
      </c>
      <c r="C179" s="208" t="s">
        <v>8</v>
      </c>
      <c r="D179" s="208">
        <v>2019</v>
      </c>
      <c r="E179" s="208" t="s">
        <v>97</v>
      </c>
      <c r="F179" s="208" t="s">
        <v>95</v>
      </c>
      <c r="G179" s="208" t="s">
        <v>243</v>
      </c>
      <c r="H179" s="208">
        <v>24</v>
      </c>
      <c r="I179" s="208">
        <v>1200</v>
      </c>
      <c r="J179" s="208">
        <v>140</v>
      </c>
      <c r="K179" s="208">
        <v>291</v>
      </c>
      <c r="L179" s="208">
        <v>400</v>
      </c>
      <c r="M179" s="208" t="s">
        <v>244</v>
      </c>
      <c r="N179" s="208">
        <v>-60</v>
      </c>
      <c r="O179" s="208">
        <v>60</v>
      </c>
      <c r="P179" s="208">
        <v>-20</v>
      </c>
      <c r="Q179" s="208">
        <v>43</v>
      </c>
    </row>
    <row r="180" spans="1:17">
      <c r="A180" s="218">
        <v>44196</v>
      </c>
      <c r="B180" s="208" t="s">
        <v>260</v>
      </c>
      <c r="C180" s="208" t="s">
        <v>8</v>
      </c>
      <c r="D180" s="208">
        <v>2020</v>
      </c>
      <c r="E180" s="208" t="s">
        <v>97</v>
      </c>
      <c r="F180" s="208" t="s">
        <v>95</v>
      </c>
      <c r="G180" s="208" t="s">
        <v>243</v>
      </c>
      <c r="H180" s="208">
        <v>49</v>
      </c>
      <c r="I180" s="208">
        <v>1900</v>
      </c>
      <c r="J180" s="208">
        <v>231</v>
      </c>
      <c r="K180" s="208">
        <v>0</v>
      </c>
      <c r="L180" s="208">
        <v>1669</v>
      </c>
      <c r="M180" s="208" t="s">
        <v>244</v>
      </c>
      <c r="N180" s="208">
        <v>-60</v>
      </c>
      <c r="O180" s="208">
        <v>60</v>
      </c>
      <c r="P180" s="208">
        <v>-53</v>
      </c>
      <c r="Q180" s="208">
        <v>53</v>
      </c>
    </row>
    <row r="181" spans="1:17">
      <c r="A181" s="218">
        <v>44196</v>
      </c>
      <c r="B181" s="208" t="s">
        <v>37</v>
      </c>
      <c r="C181" s="208" t="s">
        <v>8</v>
      </c>
      <c r="D181" s="208">
        <v>2020</v>
      </c>
      <c r="E181" s="208" t="s">
        <v>97</v>
      </c>
      <c r="F181" s="208" t="s">
        <v>95</v>
      </c>
      <c r="G181" s="208" t="s">
        <v>243</v>
      </c>
      <c r="H181" s="208">
        <v>9</v>
      </c>
      <c r="I181" s="208">
        <v>540</v>
      </c>
      <c r="J181" s="208">
        <v>81</v>
      </c>
      <c r="K181" s="208">
        <v>0</v>
      </c>
      <c r="L181" s="208">
        <v>459</v>
      </c>
      <c r="M181" s="208" t="s">
        <v>244</v>
      </c>
      <c r="N181" s="208">
        <v>-60</v>
      </c>
      <c r="O181" s="208">
        <v>60</v>
      </c>
      <c r="P181" s="208">
        <v>-53</v>
      </c>
      <c r="Q181" s="208">
        <v>53</v>
      </c>
    </row>
    <row r="182" spans="1:17">
      <c r="A182" s="218">
        <v>44196</v>
      </c>
      <c r="B182" s="208" t="s">
        <v>31</v>
      </c>
      <c r="C182" s="208" t="s">
        <v>8</v>
      </c>
      <c r="D182" s="208">
        <v>2020</v>
      </c>
      <c r="E182" s="208" t="s">
        <v>97</v>
      </c>
      <c r="F182" s="208" t="s">
        <v>95</v>
      </c>
      <c r="G182" s="208" t="s">
        <v>243</v>
      </c>
      <c r="H182" s="208">
        <v>24</v>
      </c>
      <c r="I182" s="208">
        <v>1440</v>
      </c>
      <c r="J182" s="208">
        <v>168</v>
      </c>
      <c r="K182" s="208">
        <v>0</v>
      </c>
      <c r="L182" s="208">
        <v>1272</v>
      </c>
      <c r="M182" s="208" t="s">
        <v>244</v>
      </c>
      <c r="N182" s="208">
        <v>-60</v>
      </c>
      <c r="O182" s="208">
        <v>60</v>
      </c>
      <c r="P182" s="208">
        <v>-53</v>
      </c>
      <c r="Q182" s="208">
        <v>53</v>
      </c>
    </row>
    <row r="183" spans="1:17">
      <c r="A183" s="218">
        <v>44196</v>
      </c>
      <c r="B183" s="208" t="s">
        <v>29</v>
      </c>
      <c r="C183" s="208" t="s">
        <v>8</v>
      </c>
      <c r="D183" s="208">
        <v>2020</v>
      </c>
      <c r="E183" s="208" t="s">
        <v>97</v>
      </c>
      <c r="F183" s="208" t="s">
        <v>95</v>
      </c>
      <c r="G183" s="208" t="s">
        <v>243</v>
      </c>
      <c r="H183" s="208">
        <v>49</v>
      </c>
      <c r="I183" s="208">
        <v>1900</v>
      </c>
      <c r="J183" s="208">
        <v>231</v>
      </c>
      <c r="K183" s="208">
        <v>0</v>
      </c>
      <c r="L183" s="208">
        <v>1669</v>
      </c>
      <c r="M183" s="208" t="s">
        <v>244</v>
      </c>
      <c r="N183" s="208">
        <v>-60</v>
      </c>
      <c r="O183" s="208">
        <v>60</v>
      </c>
      <c r="P183" s="208">
        <v>-53</v>
      </c>
      <c r="Q183" s="208">
        <v>53</v>
      </c>
    </row>
    <row r="184" spans="1:17">
      <c r="A184" s="218">
        <v>44196</v>
      </c>
      <c r="B184" s="208" t="s">
        <v>29</v>
      </c>
      <c r="C184" s="208" t="s">
        <v>8</v>
      </c>
      <c r="D184" s="208">
        <v>2019</v>
      </c>
      <c r="E184" s="208" t="s">
        <v>97</v>
      </c>
      <c r="F184" s="208" t="s">
        <v>95</v>
      </c>
      <c r="G184" s="208" t="s">
        <v>243</v>
      </c>
      <c r="H184" s="208">
        <v>24</v>
      </c>
      <c r="I184" s="208">
        <v>1200</v>
      </c>
      <c r="J184" s="208">
        <v>140</v>
      </c>
      <c r="K184" s="208">
        <v>291</v>
      </c>
      <c r="L184" s="208">
        <v>400</v>
      </c>
      <c r="M184" s="208" t="s">
        <v>244</v>
      </c>
      <c r="N184" s="208">
        <v>-60</v>
      </c>
      <c r="O184" s="208">
        <v>60</v>
      </c>
      <c r="P184" s="208">
        <v>-20</v>
      </c>
      <c r="Q184" s="208">
        <v>43</v>
      </c>
    </row>
    <row r="185" spans="1:17">
      <c r="A185" s="218">
        <v>44196</v>
      </c>
      <c r="B185" s="208" t="s">
        <v>36</v>
      </c>
      <c r="C185" s="208" t="s">
        <v>8</v>
      </c>
      <c r="D185" s="208">
        <v>2019</v>
      </c>
      <c r="E185" s="208" t="s">
        <v>97</v>
      </c>
      <c r="F185" s="208" t="s">
        <v>95</v>
      </c>
      <c r="G185" s="208" t="s">
        <v>243</v>
      </c>
      <c r="H185" s="208">
        <v>10</v>
      </c>
      <c r="I185" s="208">
        <v>572</v>
      </c>
      <c r="J185" s="208">
        <v>70</v>
      </c>
      <c r="K185" s="208">
        <v>0</v>
      </c>
      <c r="L185" s="208">
        <v>398</v>
      </c>
      <c r="M185" s="208" t="s">
        <v>244</v>
      </c>
      <c r="N185" s="208">
        <v>-60</v>
      </c>
      <c r="O185" s="208">
        <v>60</v>
      </c>
      <c r="P185" s="208">
        <v>-20</v>
      </c>
      <c r="Q185" s="208">
        <v>43</v>
      </c>
    </row>
    <row r="186" spans="1:17">
      <c r="A186" s="218">
        <v>44196</v>
      </c>
      <c r="B186" s="208" t="s">
        <v>259</v>
      </c>
      <c r="C186" s="208" t="s">
        <v>8</v>
      </c>
      <c r="D186" s="208">
        <v>2020</v>
      </c>
      <c r="E186" s="208" t="s">
        <v>97</v>
      </c>
      <c r="F186" s="208" t="s">
        <v>95</v>
      </c>
      <c r="G186" s="208" t="s">
        <v>243</v>
      </c>
      <c r="H186" s="208">
        <v>18</v>
      </c>
      <c r="I186" s="208">
        <v>960</v>
      </c>
      <c r="J186" s="208">
        <v>115</v>
      </c>
      <c r="K186" s="208">
        <v>0</v>
      </c>
      <c r="L186" s="208">
        <v>845</v>
      </c>
      <c r="M186" s="208" t="s">
        <v>244</v>
      </c>
      <c r="N186" s="208">
        <v>-60</v>
      </c>
      <c r="O186" s="208">
        <v>60</v>
      </c>
      <c r="P186" s="208">
        <v>-53</v>
      </c>
      <c r="Q186" s="208">
        <v>53</v>
      </c>
    </row>
    <row r="187" spans="1:17">
      <c r="A187" s="218">
        <v>44196</v>
      </c>
      <c r="B187" s="208" t="s">
        <v>258</v>
      </c>
      <c r="C187" s="208" t="s">
        <v>8</v>
      </c>
      <c r="D187" s="208">
        <v>2020</v>
      </c>
      <c r="E187" s="208" t="s">
        <v>97</v>
      </c>
      <c r="F187" s="208" t="s">
        <v>95</v>
      </c>
      <c r="G187" s="208" t="s">
        <v>243</v>
      </c>
      <c r="H187" s="208">
        <v>24</v>
      </c>
      <c r="I187" s="208">
        <v>1440</v>
      </c>
      <c r="J187" s="208">
        <v>168</v>
      </c>
      <c r="K187" s="208">
        <v>0</v>
      </c>
      <c r="L187" s="208">
        <v>1272</v>
      </c>
      <c r="M187" s="208" t="s">
        <v>244</v>
      </c>
      <c r="N187" s="208">
        <v>-60</v>
      </c>
      <c r="O187" s="208">
        <v>60</v>
      </c>
      <c r="P187" s="208">
        <v>-53</v>
      </c>
      <c r="Q187" s="208">
        <v>53</v>
      </c>
    </row>
    <row r="188" spans="1:17">
      <c r="A188" s="218">
        <v>44196</v>
      </c>
      <c r="B188" s="208" t="s">
        <v>37</v>
      </c>
      <c r="C188" s="208" t="s">
        <v>8</v>
      </c>
      <c r="D188" s="208">
        <v>2019</v>
      </c>
      <c r="E188" s="208" t="s">
        <v>97</v>
      </c>
      <c r="F188" s="208" t="s">
        <v>95</v>
      </c>
      <c r="G188" s="208" t="s">
        <v>243</v>
      </c>
      <c r="H188" s="208">
        <v>10</v>
      </c>
      <c r="I188" s="208">
        <v>580</v>
      </c>
      <c r="J188" s="208">
        <v>70</v>
      </c>
      <c r="K188" s="208">
        <v>0</v>
      </c>
      <c r="L188" s="208">
        <v>420</v>
      </c>
      <c r="M188" s="208" t="s">
        <v>244</v>
      </c>
      <c r="N188" s="208">
        <v>-60</v>
      </c>
      <c r="O188" s="208">
        <v>60</v>
      </c>
      <c r="P188" s="208">
        <v>-20</v>
      </c>
      <c r="Q188" s="208">
        <v>43</v>
      </c>
    </row>
    <row r="189" spans="1:17">
      <c r="A189" s="218">
        <v>44196</v>
      </c>
      <c r="B189" s="208" t="s">
        <v>225</v>
      </c>
      <c r="C189" s="208" t="s">
        <v>8</v>
      </c>
      <c r="D189" s="208">
        <v>2020</v>
      </c>
      <c r="E189" s="208" t="s">
        <v>97</v>
      </c>
      <c r="F189" s="208" t="s">
        <v>95</v>
      </c>
      <c r="G189" s="208" t="s">
        <v>243</v>
      </c>
      <c r="H189" s="208">
        <v>9</v>
      </c>
      <c r="I189" s="208">
        <v>540</v>
      </c>
      <c r="J189" s="208">
        <v>81</v>
      </c>
      <c r="K189" s="208">
        <v>0</v>
      </c>
      <c r="L189" s="208">
        <v>459</v>
      </c>
      <c r="M189" s="208" t="s">
        <v>244</v>
      </c>
      <c r="N189" s="208">
        <v>-60</v>
      </c>
      <c r="O189" s="208">
        <v>60</v>
      </c>
      <c r="P189" s="208">
        <v>-53</v>
      </c>
      <c r="Q189" s="208">
        <v>53</v>
      </c>
    </row>
    <row r="190" spans="1:17">
      <c r="A190" s="218">
        <v>44196</v>
      </c>
      <c r="B190" s="208" t="s">
        <v>225</v>
      </c>
      <c r="C190" s="208" t="s">
        <v>8</v>
      </c>
      <c r="D190" s="208">
        <v>2019</v>
      </c>
      <c r="E190" s="208" t="s">
        <v>97</v>
      </c>
      <c r="F190" s="208" t="s">
        <v>95</v>
      </c>
      <c r="G190" s="208" t="s">
        <v>243</v>
      </c>
      <c r="H190" s="208">
        <v>10</v>
      </c>
      <c r="I190" s="208">
        <v>580</v>
      </c>
      <c r="J190" s="208">
        <v>70</v>
      </c>
      <c r="K190" s="208">
        <v>0</v>
      </c>
      <c r="L190" s="208">
        <v>420</v>
      </c>
      <c r="M190" s="208" t="s">
        <v>244</v>
      </c>
      <c r="N190" s="208">
        <v>-60</v>
      </c>
      <c r="O190" s="208">
        <v>60</v>
      </c>
      <c r="P190" s="208">
        <v>-20</v>
      </c>
      <c r="Q190" s="208">
        <v>43</v>
      </c>
    </row>
    <row r="191" spans="1:17">
      <c r="A191" s="218">
        <v>44196</v>
      </c>
      <c r="B191" s="208" t="s">
        <v>36</v>
      </c>
      <c r="C191" s="208" t="s">
        <v>8</v>
      </c>
      <c r="D191" s="208">
        <v>2020</v>
      </c>
      <c r="E191" s="208" t="s">
        <v>97</v>
      </c>
      <c r="F191" s="208" t="s">
        <v>95</v>
      </c>
      <c r="G191" s="208" t="s">
        <v>243</v>
      </c>
      <c r="H191" s="208">
        <v>18</v>
      </c>
      <c r="I191" s="208">
        <v>960</v>
      </c>
      <c r="J191" s="208">
        <v>115</v>
      </c>
      <c r="K191" s="208">
        <v>0</v>
      </c>
      <c r="L191" s="208">
        <v>845</v>
      </c>
      <c r="M191" s="208" t="s">
        <v>244</v>
      </c>
      <c r="N191" s="208">
        <v>-60</v>
      </c>
      <c r="O191" s="208">
        <v>60</v>
      </c>
      <c r="P191" s="208">
        <v>-53</v>
      </c>
      <c r="Q191" s="208">
        <v>53</v>
      </c>
    </row>
    <row r="192" spans="1:17">
      <c r="A192" s="218">
        <v>44196</v>
      </c>
      <c r="B192" s="208" t="s">
        <v>31</v>
      </c>
      <c r="C192" s="208" t="s">
        <v>8</v>
      </c>
      <c r="D192" s="208">
        <v>2019</v>
      </c>
      <c r="E192" s="208" t="s">
        <v>97</v>
      </c>
      <c r="F192" s="208" t="s">
        <v>95</v>
      </c>
      <c r="G192" s="208" t="s">
        <v>243</v>
      </c>
      <c r="H192" s="208">
        <v>8</v>
      </c>
      <c r="I192" s="208">
        <v>475</v>
      </c>
      <c r="J192" s="208">
        <v>56</v>
      </c>
      <c r="K192" s="208">
        <v>37.5</v>
      </c>
      <c r="L192" s="208">
        <v>85</v>
      </c>
      <c r="M192" s="208" t="s">
        <v>244</v>
      </c>
      <c r="N192" s="208">
        <v>-60</v>
      </c>
      <c r="O192" s="208">
        <v>60</v>
      </c>
      <c r="P192" s="208">
        <v>-20</v>
      </c>
      <c r="Q192" s="208">
        <v>43</v>
      </c>
    </row>
    <row r="193" spans="1:17">
      <c r="A193" s="218">
        <v>44196</v>
      </c>
      <c r="B193" s="208" t="s">
        <v>259</v>
      </c>
      <c r="C193" s="208" t="s">
        <v>8</v>
      </c>
      <c r="D193" s="208">
        <v>2019</v>
      </c>
      <c r="E193" s="208" t="s">
        <v>97</v>
      </c>
      <c r="F193" s="208" t="s">
        <v>95</v>
      </c>
      <c r="G193" s="208" t="s">
        <v>243</v>
      </c>
      <c r="H193" s="208">
        <v>10</v>
      </c>
      <c r="I193" s="208">
        <v>572</v>
      </c>
      <c r="J193" s="208">
        <v>70</v>
      </c>
      <c r="K193" s="208">
        <v>0</v>
      </c>
      <c r="L193" s="208">
        <v>398</v>
      </c>
      <c r="M193" s="208" t="s">
        <v>244</v>
      </c>
      <c r="N193" s="208">
        <v>-60</v>
      </c>
      <c r="O193" s="208">
        <v>60</v>
      </c>
      <c r="P193" s="208">
        <v>-20</v>
      </c>
      <c r="Q193" s="208">
        <v>43</v>
      </c>
    </row>
    <row r="194" spans="1:17">
      <c r="A194" s="218">
        <v>44196</v>
      </c>
      <c r="B194" s="208" t="s">
        <v>258</v>
      </c>
      <c r="C194" s="208" t="s">
        <v>8</v>
      </c>
      <c r="D194" s="208">
        <v>2020</v>
      </c>
      <c r="E194" s="208" t="s">
        <v>98</v>
      </c>
      <c r="F194" s="208" t="s">
        <v>95</v>
      </c>
      <c r="G194" s="208" t="s">
        <v>243</v>
      </c>
      <c r="H194" s="208">
        <v>33</v>
      </c>
      <c r="I194" s="208">
        <v>3950</v>
      </c>
      <c r="J194" s="208">
        <v>231</v>
      </c>
      <c r="K194" s="208">
        <v>187.5</v>
      </c>
      <c r="L194" s="208">
        <v>337.5</v>
      </c>
      <c r="M194" s="208" t="s">
        <v>244</v>
      </c>
      <c r="N194" s="208">
        <v>-50</v>
      </c>
      <c r="O194" s="208">
        <v>200</v>
      </c>
      <c r="P194" s="208">
        <v>-43</v>
      </c>
      <c r="Q194" s="208">
        <v>43</v>
      </c>
    </row>
    <row r="195" spans="1:17">
      <c r="A195" s="218">
        <v>44196</v>
      </c>
      <c r="B195" s="208" t="s">
        <v>259</v>
      </c>
      <c r="C195" s="208" t="s">
        <v>8</v>
      </c>
      <c r="D195" s="208">
        <v>2020</v>
      </c>
      <c r="E195" s="208" t="s">
        <v>98</v>
      </c>
      <c r="F195" s="208" t="s">
        <v>95</v>
      </c>
      <c r="G195" s="208" t="s">
        <v>243</v>
      </c>
      <c r="H195" s="208">
        <v>37</v>
      </c>
      <c r="I195" s="208">
        <v>2463</v>
      </c>
      <c r="J195" s="208">
        <v>265</v>
      </c>
      <c r="K195" s="208">
        <v>0</v>
      </c>
      <c r="L195" s="208">
        <v>1467</v>
      </c>
      <c r="M195" s="208" t="s">
        <v>244</v>
      </c>
      <c r="N195" s="208">
        <v>-50</v>
      </c>
      <c r="O195" s="208">
        <v>200</v>
      </c>
      <c r="P195" s="208">
        <v>-43</v>
      </c>
      <c r="Q195" s="208">
        <v>43</v>
      </c>
    </row>
    <row r="196" spans="1:17">
      <c r="A196" s="218">
        <v>44196</v>
      </c>
      <c r="B196" s="208" t="s">
        <v>31</v>
      </c>
      <c r="C196" s="208" t="s">
        <v>8</v>
      </c>
      <c r="D196" s="208">
        <v>2020</v>
      </c>
      <c r="E196" s="208" t="s">
        <v>98</v>
      </c>
      <c r="F196" s="208" t="s">
        <v>95</v>
      </c>
      <c r="G196" s="208" t="s">
        <v>243</v>
      </c>
      <c r="H196" s="208">
        <v>33</v>
      </c>
      <c r="I196" s="208">
        <v>3950</v>
      </c>
      <c r="J196" s="208">
        <v>231</v>
      </c>
      <c r="K196" s="208">
        <v>187.5</v>
      </c>
      <c r="L196" s="208">
        <v>337.5</v>
      </c>
      <c r="M196" s="208" t="s">
        <v>244</v>
      </c>
      <c r="N196" s="208">
        <v>-50</v>
      </c>
      <c r="O196" s="208">
        <v>200</v>
      </c>
      <c r="P196" s="208">
        <v>-43</v>
      </c>
      <c r="Q196" s="208">
        <v>43</v>
      </c>
    </row>
    <row r="197" spans="1:17">
      <c r="A197" s="218">
        <v>44196</v>
      </c>
      <c r="B197" s="208" t="s">
        <v>261</v>
      </c>
      <c r="C197" s="208" t="s">
        <v>8</v>
      </c>
      <c r="D197" s="208">
        <v>2019</v>
      </c>
      <c r="E197" s="208" t="s">
        <v>98</v>
      </c>
      <c r="F197" s="208" t="s">
        <v>95</v>
      </c>
      <c r="G197" s="208" t="s">
        <v>243</v>
      </c>
      <c r="H197" s="208">
        <v>1</v>
      </c>
      <c r="I197" s="208">
        <v>120</v>
      </c>
      <c r="J197" s="208">
        <v>7</v>
      </c>
      <c r="K197" s="208">
        <v>43</v>
      </c>
      <c r="L197" s="208">
        <v>10</v>
      </c>
      <c r="M197" s="208" t="s">
        <v>244</v>
      </c>
      <c r="N197" s="208">
        <v>-150</v>
      </c>
      <c r="O197" s="208">
        <v>200</v>
      </c>
      <c r="P197" s="208">
        <v>-40</v>
      </c>
      <c r="Q197" s="208">
        <v>43</v>
      </c>
    </row>
    <row r="198" spans="1:17">
      <c r="A198" s="218">
        <v>44196</v>
      </c>
      <c r="B198" s="208" t="s">
        <v>259</v>
      </c>
      <c r="C198" s="208" t="s">
        <v>8</v>
      </c>
      <c r="D198" s="208">
        <v>2019</v>
      </c>
      <c r="E198" s="208" t="s">
        <v>98</v>
      </c>
      <c r="F198" s="208" t="s">
        <v>95</v>
      </c>
      <c r="G198" s="208" t="s">
        <v>243</v>
      </c>
      <c r="H198" s="208">
        <v>20</v>
      </c>
      <c r="I198" s="208">
        <v>1271.02</v>
      </c>
      <c r="J198" s="208">
        <v>130</v>
      </c>
      <c r="K198" s="208">
        <v>0</v>
      </c>
      <c r="L198" s="208">
        <v>709</v>
      </c>
      <c r="M198" s="208" t="s">
        <v>244</v>
      </c>
      <c r="N198" s="208">
        <v>-150</v>
      </c>
      <c r="O198" s="208">
        <v>200</v>
      </c>
      <c r="P198" s="208">
        <v>-40</v>
      </c>
      <c r="Q198" s="208">
        <v>43</v>
      </c>
    </row>
    <row r="199" spans="1:17">
      <c r="A199" s="218">
        <v>44196</v>
      </c>
      <c r="B199" s="208" t="s">
        <v>260</v>
      </c>
      <c r="C199" s="208" t="s">
        <v>8</v>
      </c>
      <c r="D199" s="208">
        <v>2019</v>
      </c>
      <c r="E199" s="208" t="s">
        <v>98</v>
      </c>
      <c r="F199" s="208" t="s">
        <v>95</v>
      </c>
      <c r="G199" s="208" t="s">
        <v>243</v>
      </c>
      <c r="H199" s="208">
        <v>40</v>
      </c>
      <c r="I199" s="208">
        <v>2515</v>
      </c>
      <c r="J199" s="208">
        <v>246</v>
      </c>
      <c r="K199" s="208">
        <v>196</v>
      </c>
      <c r="L199" s="208">
        <v>716</v>
      </c>
      <c r="M199" s="208" t="s">
        <v>244</v>
      </c>
      <c r="N199" s="208">
        <v>-150</v>
      </c>
      <c r="O199" s="208">
        <v>200</v>
      </c>
      <c r="P199" s="208">
        <v>-40</v>
      </c>
      <c r="Q199" s="208">
        <v>43</v>
      </c>
    </row>
    <row r="200" spans="1:17">
      <c r="A200" s="218">
        <v>44196</v>
      </c>
      <c r="B200" s="208" t="s">
        <v>258</v>
      </c>
      <c r="C200" s="208" t="s">
        <v>8</v>
      </c>
      <c r="D200" s="208">
        <v>2019</v>
      </c>
      <c r="E200" s="208" t="s">
        <v>98</v>
      </c>
      <c r="F200" s="208" t="s">
        <v>95</v>
      </c>
      <c r="G200" s="208" t="s">
        <v>243</v>
      </c>
      <c r="H200" s="208">
        <v>19</v>
      </c>
      <c r="I200" s="208">
        <v>1020</v>
      </c>
      <c r="J200" s="208">
        <v>119</v>
      </c>
      <c r="K200" s="208">
        <v>75</v>
      </c>
      <c r="L200" s="208">
        <v>182.5</v>
      </c>
      <c r="M200" s="208" t="s">
        <v>244</v>
      </c>
      <c r="N200" s="208">
        <v>-150</v>
      </c>
      <c r="O200" s="208">
        <v>200</v>
      </c>
      <c r="P200" s="208">
        <v>-40</v>
      </c>
      <c r="Q200" s="208">
        <v>43</v>
      </c>
    </row>
    <row r="201" spans="1:17">
      <c r="A201" s="218">
        <v>44196</v>
      </c>
      <c r="B201" s="208" t="s">
        <v>29</v>
      </c>
      <c r="C201" s="208" t="s">
        <v>8</v>
      </c>
      <c r="D201" s="208">
        <v>2020</v>
      </c>
      <c r="E201" s="208" t="s">
        <v>98</v>
      </c>
      <c r="F201" s="208" t="s">
        <v>95</v>
      </c>
      <c r="G201" s="208" t="s">
        <v>243</v>
      </c>
      <c r="H201" s="208">
        <v>99</v>
      </c>
      <c r="I201" s="208">
        <v>5642</v>
      </c>
      <c r="J201" s="208">
        <v>693</v>
      </c>
      <c r="K201" s="208">
        <v>749</v>
      </c>
      <c r="L201" s="208">
        <v>2020</v>
      </c>
      <c r="M201" s="208" t="s">
        <v>244</v>
      </c>
      <c r="N201" s="208">
        <v>-50</v>
      </c>
      <c r="O201" s="208">
        <v>200</v>
      </c>
      <c r="P201" s="208">
        <v>-43</v>
      </c>
      <c r="Q201" s="208">
        <v>43</v>
      </c>
    </row>
    <row r="202" spans="1:17">
      <c r="A202" s="218">
        <v>44196</v>
      </c>
      <c r="B202" s="208" t="s">
        <v>35</v>
      </c>
      <c r="C202" s="208" t="s">
        <v>8</v>
      </c>
      <c r="D202" s="208">
        <v>2019</v>
      </c>
      <c r="E202" s="208" t="s">
        <v>98</v>
      </c>
      <c r="F202" s="208" t="s">
        <v>95</v>
      </c>
      <c r="G202" s="208" t="s">
        <v>243</v>
      </c>
      <c r="H202" s="208">
        <v>1</v>
      </c>
      <c r="I202" s="208">
        <v>120</v>
      </c>
      <c r="J202" s="208">
        <v>7</v>
      </c>
      <c r="K202" s="208">
        <v>43</v>
      </c>
      <c r="L202" s="208">
        <v>10</v>
      </c>
      <c r="M202" s="208" t="s">
        <v>244</v>
      </c>
      <c r="N202" s="208">
        <v>-150</v>
      </c>
      <c r="O202" s="208">
        <v>200</v>
      </c>
      <c r="P202" s="208">
        <v>-40</v>
      </c>
      <c r="Q202" s="208">
        <v>43</v>
      </c>
    </row>
    <row r="203" spans="1:17">
      <c r="A203" s="218">
        <v>44196</v>
      </c>
      <c r="B203" s="208" t="s">
        <v>36</v>
      </c>
      <c r="C203" s="208" t="s">
        <v>8</v>
      </c>
      <c r="D203" s="208">
        <v>2020</v>
      </c>
      <c r="E203" s="208" t="s">
        <v>98</v>
      </c>
      <c r="F203" s="208" t="s">
        <v>95</v>
      </c>
      <c r="G203" s="208" t="s">
        <v>243</v>
      </c>
      <c r="H203" s="208">
        <v>37</v>
      </c>
      <c r="I203" s="208">
        <v>2463</v>
      </c>
      <c r="J203" s="208">
        <v>265</v>
      </c>
      <c r="K203" s="208">
        <v>0</v>
      </c>
      <c r="L203" s="208">
        <v>1467</v>
      </c>
      <c r="M203" s="208" t="s">
        <v>244</v>
      </c>
      <c r="N203" s="208">
        <v>-50</v>
      </c>
      <c r="O203" s="208">
        <v>200</v>
      </c>
      <c r="P203" s="208">
        <v>-43</v>
      </c>
      <c r="Q203" s="208">
        <v>43</v>
      </c>
    </row>
    <row r="204" spans="1:17">
      <c r="A204" s="218">
        <v>44196</v>
      </c>
      <c r="B204" s="208" t="s">
        <v>225</v>
      </c>
      <c r="C204" s="208" t="s">
        <v>8</v>
      </c>
      <c r="D204" s="208">
        <v>2020</v>
      </c>
      <c r="E204" s="208" t="s">
        <v>98</v>
      </c>
      <c r="F204" s="208" t="s">
        <v>95</v>
      </c>
      <c r="G204" s="208" t="s">
        <v>243</v>
      </c>
      <c r="H204" s="208">
        <v>25</v>
      </c>
      <c r="I204" s="208">
        <v>1380</v>
      </c>
      <c r="J204" s="208">
        <v>147</v>
      </c>
      <c r="K204" s="208">
        <v>0</v>
      </c>
      <c r="L204" s="208">
        <v>903</v>
      </c>
      <c r="M204" s="208" t="s">
        <v>244</v>
      </c>
      <c r="N204" s="208">
        <v>-50</v>
      </c>
      <c r="O204" s="208">
        <v>200</v>
      </c>
      <c r="P204" s="208">
        <v>-43</v>
      </c>
      <c r="Q204" s="208">
        <v>43</v>
      </c>
    </row>
    <row r="205" spans="1:17">
      <c r="A205" s="218">
        <v>44196</v>
      </c>
      <c r="B205" s="208" t="s">
        <v>31</v>
      </c>
      <c r="C205" s="208" t="s">
        <v>8</v>
      </c>
      <c r="D205" s="208">
        <v>2019</v>
      </c>
      <c r="E205" s="208" t="s">
        <v>98</v>
      </c>
      <c r="F205" s="208" t="s">
        <v>95</v>
      </c>
      <c r="G205" s="208" t="s">
        <v>243</v>
      </c>
      <c r="H205" s="208">
        <v>19</v>
      </c>
      <c r="I205" s="208">
        <v>1020</v>
      </c>
      <c r="J205" s="208">
        <v>119</v>
      </c>
      <c r="K205" s="208">
        <v>75</v>
      </c>
      <c r="L205" s="208">
        <v>182.5</v>
      </c>
      <c r="M205" s="208" t="s">
        <v>244</v>
      </c>
      <c r="N205" s="208">
        <v>-150</v>
      </c>
      <c r="O205" s="208">
        <v>200</v>
      </c>
      <c r="P205" s="208">
        <v>-40</v>
      </c>
      <c r="Q205" s="208">
        <v>43</v>
      </c>
    </row>
    <row r="206" spans="1:17">
      <c r="A206" s="218">
        <v>44196</v>
      </c>
      <c r="B206" s="208" t="s">
        <v>29</v>
      </c>
      <c r="C206" s="208" t="s">
        <v>8</v>
      </c>
      <c r="D206" s="208">
        <v>2019</v>
      </c>
      <c r="E206" s="208" t="s">
        <v>98</v>
      </c>
      <c r="F206" s="208" t="s">
        <v>95</v>
      </c>
      <c r="G206" s="208" t="s">
        <v>243</v>
      </c>
      <c r="H206" s="208">
        <v>40</v>
      </c>
      <c r="I206" s="208">
        <v>2515</v>
      </c>
      <c r="J206" s="208">
        <v>246</v>
      </c>
      <c r="K206" s="208">
        <v>196</v>
      </c>
      <c r="L206" s="208">
        <v>716</v>
      </c>
      <c r="M206" s="208" t="s">
        <v>244</v>
      </c>
      <c r="N206" s="208">
        <v>-150</v>
      </c>
      <c r="O206" s="208">
        <v>200</v>
      </c>
      <c r="P206" s="208">
        <v>-40</v>
      </c>
      <c r="Q206" s="208">
        <v>43</v>
      </c>
    </row>
    <row r="207" spans="1:17">
      <c r="A207" s="218">
        <v>44196</v>
      </c>
      <c r="B207" s="208" t="s">
        <v>225</v>
      </c>
      <c r="C207" s="208" t="s">
        <v>8</v>
      </c>
      <c r="D207" s="208">
        <v>2019</v>
      </c>
      <c r="E207" s="208" t="s">
        <v>98</v>
      </c>
      <c r="F207" s="208" t="s">
        <v>95</v>
      </c>
      <c r="G207" s="208" t="s">
        <v>243</v>
      </c>
      <c r="H207" s="208">
        <v>18</v>
      </c>
      <c r="I207" s="208">
        <v>1170</v>
      </c>
      <c r="J207" s="208">
        <v>129</v>
      </c>
      <c r="K207" s="208">
        <v>0</v>
      </c>
      <c r="L207" s="208">
        <v>771</v>
      </c>
      <c r="M207" s="208" t="s">
        <v>244</v>
      </c>
      <c r="N207" s="208">
        <v>-150</v>
      </c>
      <c r="O207" s="208">
        <v>200</v>
      </c>
      <c r="P207" s="208">
        <v>-40</v>
      </c>
      <c r="Q207" s="208">
        <v>43</v>
      </c>
    </row>
    <row r="208" spans="1:17">
      <c r="A208" s="218">
        <v>44196</v>
      </c>
      <c r="B208" s="208" t="s">
        <v>36</v>
      </c>
      <c r="C208" s="208" t="s">
        <v>8</v>
      </c>
      <c r="D208" s="208">
        <v>2019</v>
      </c>
      <c r="E208" s="208" t="s">
        <v>98</v>
      </c>
      <c r="F208" s="208" t="s">
        <v>95</v>
      </c>
      <c r="G208" s="208" t="s">
        <v>243</v>
      </c>
      <c r="H208" s="208">
        <v>20</v>
      </c>
      <c r="I208" s="208">
        <v>1271.02</v>
      </c>
      <c r="J208" s="208">
        <v>130</v>
      </c>
      <c r="K208" s="208">
        <v>0</v>
      </c>
      <c r="L208" s="208">
        <v>709</v>
      </c>
      <c r="M208" s="208" t="s">
        <v>244</v>
      </c>
      <c r="N208" s="208">
        <v>-150</v>
      </c>
      <c r="O208" s="208">
        <v>200</v>
      </c>
      <c r="P208" s="208">
        <v>-40</v>
      </c>
      <c r="Q208" s="208">
        <v>43</v>
      </c>
    </row>
    <row r="209" spans="1:17">
      <c r="A209" s="218">
        <v>44196</v>
      </c>
      <c r="B209" s="208" t="s">
        <v>260</v>
      </c>
      <c r="C209" s="208" t="s">
        <v>8</v>
      </c>
      <c r="D209" s="208">
        <v>2020</v>
      </c>
      <c r="E209" s="208" t="s">
        <v>98</v>
      </c>
      <c r="F209" s="208" t="s">
        <v>95</v>
      </c>
      <c r="G209" s="208" t="s">
        <v>243</v>
      </c>
      <c r="H209" s="208">
        <v>99</v>
      </c>
      <c r="I209" s="208">
        <v>5642</v>
      </c>
      <c r="J209" s="208">
        <v>693</v>
      </c>
      <c r="K209" s="208">
        <v>749</v>
      </c>
      <c r="L209" s="208">
        <v>2020</v>
      </c>
      <c r="M209" s="208" t="s">
        <v>244</v>
      </c>
      <c r="N209" s="208">
        <v>-50</v>
      </c>
      <c r="O209" s="208">
        <v>200</v>
      </c>
      <c r="P209" s="208">
        <v>-43</v>
      </c>
      <c r="Q209" s="208">
        <v>43</v>
      </c>
    </row>
    <row r="210" spans="1:17">
      <c r="A210" s="218">
        <v>44196</v>
      </c>
      <c r="B210" s="208" t="s">
        <v>37</v>
      </c>
      <c r="C210" s="208" t="s">
        <v>8</v>
      </c>
      <c r="D210" s="208">
        <v>2019</v>
      </c>
      <c r="E210" s="208" t="s">
        <v>98</v>
      </c>
      <c r="F210" s="208" t="s">
        <v>95</v>
      </c>
      <c r="G210" s="208" t="s">
        <v>243</v>
      </c>
      <c r="H210" s="208">
        <v>18</v>
      </c>
      <c r="I210" s="208">
        <v>1170</v>
      </c>
      <c r="J210" s="208">
        <v>129</v>
      </c>
      <c r="K210" s="208">
        <v>0</v>
      </c>
      <c r="L210" s="208">
        <v>771</v>
      </c>
      <c r="M210" s="208" t="s">
        <v>244</v>
      </c>
      <c r="N210" s="208">
        <v>-150</v>
      </c>
      <c r="O210" s="208">
        <v>200</v>
      </c>
      <c r="P210" s="208">
        <v>-40</v>
      </c>
      <c r="Q210" s="208">
        <v>43</v>
      </c>
    </row>
    <row r="211" spans="1:17">
      <c r="A211" s="218">
        <v>44196</v>
      </c>
      <c r="B211" s="208" t="s">
        <v>37</v>
      </c>
      <c r="C211" s="208" t="s">
        <v>8</v>
      </c>
      <c r="D211" s="208">
        <v>2020</v>
      </c>
      <c r="E211" s="208" t="s">
        <v>98</v>
      </c>
      <c r="F211" s="208" t="s">
        <v>95</v>
      </c>
      <c r="G211" s="208" t="s">
        <v>243</v>
      </c>
      <c r="H211" s="208">
        <v>25</v>
      </c>
      <c r="I211" s="208">
        <v>1380</v>
      </c>
      <c r="J211" s="208">
        <v>147</v>
      </c>
      <c r="K211" s="208">
        <v>0</v>
      </c>
      <c r="L211" s="208">
        <v>903</v>
      </c>
      <c r="M211" s="208" t="s">
        <v>244</v>
      </c>
      <c r="N211" s="208">
        <v>-50</v>
      </c>
      <c r="O211" s="208">
        <v>200</v>
      </c>
      <c r="P211" s="208">
        <v>-43</v>
      </c>
      <c r="Q211" s="208">
        <v>43</v>
      </c>
    </row>
    <row r="212" spans="1:17">
      <c r="A212" s="218">
        <v>44196</v>
      </c>
      <c r="B212" s="208" t="s">
        <v>31</v>
      </c>
      <c r="C212" s="208" t="s">
        <v>8</v>
      </c>
      <c r="D212" s="208">
        <v>2019</v>
      </c>
      <c r="E212" s="208" t="s">
        <v>99</v>
      </c>
      <c r="F212" s="208" t="s">
        <v>95</v>
      </c>
      <c r="G212" s="208" t="s">
        <v>243</v>
      </c>
      <c r="H212" s="208">
        <v>3</v>
      </c>
      <c r="I212" s="208">
        <v>1400</v>
      </c>
      <c r="J212" s="208">
        <v>225.75</v>
      </c>
      <c r="K212" s="208">
        <v>134.38</v>
      </c>
      <c r="L212" s="208">
        <v>349.38</v>
      </c>
      <c r="M212" s="208" t="s">
        <v>244</v>
      </c>
      <c r="N212" s="208">
        <v>440</v>
      </c>
      <c r="O212" s="208">
        <v>490</v>
      </c>
      <c r="P212" s="208">
        <v>80.62</v>
      </c>
      <c r="Q212" s="208">
        <v>414.75</v>
      </c>
    </row>
    <row r="213" spans="1:17">
      <c r="A213" s="218">
        <v>44196</v>
      </c>
      <c r="B213" s="208" t="s">
        <v>36</v>
      </c>
      <c r="C213" s="208" t="s">
        <v>8</v>
      </c>
      <c r="D213" s="208">
        <v>2020</v>
      </c>
      <c r="E213" s="208" t="s">
        <v>99</v>
      </c>
      <c r="F213" s="208" t="s">
        <v>95</v>
      </c>
      <c r="G213" s="208" t="s">
        <v>243</v>
      </c>
      <c r="H213" s="208">
        <v>5</v>
      </c>
      <c r="I213" s="208">
        <v>2200</v>
      </c>
      <c r="J213" s="208">
        <v>420</v>
      </c>
      <c r="K213" s="208">
        <v>0</v>
      </c>
      <c r="L213" s="208">
        <v>1780</v>
      </c>
      <c r="M213" s="208" t="s">
        <v>244</v>
      </c>
      <c r="N213" s="208">
        <v>-440</v>
      </c>
      <c r="O213" s="208">
        <v>440</v>
      </c>
      <c r="P213" s="208">
        <v>-356</v>
      </c>
      <c r="Q213" s="208">
        <v>356</v>
      </c>
    </row>
    <row r="214" spans="1:17">
      <c r="A214" s="218">
        <v>44196</v>
      </c>
      <c r="B214" s="208" t="s">
        <v>258</v>
      </c>
      <c r="C214" s="208" t="s">
        <v>8</v>
      </c>
      <c r="D214" s="208">
        <v>2020</v>
      </c>
      <c r="E214" s="208" t="s">
        <v>99</v>
      </c>
      <c r="F214" s="208" t="s">
        <v>95</v>
      </c>
      <c r="G214" s="208" t="s">
        <v>243</v>
      </c>
      <c r="H214" s="208">
        <v>8</v>
      </c>
      <c r="I214" s="208">
        <v>3440</v>
      </c>
      <c r="J214" s="208">
        <v>672</v>
      </c>
      <c r="K214" s="208">
        <v>0</v>
      </c>
      <c r="L214" s="208">
        <v>2768</v>
      </c>
      <c r="M214" s="208" t="s">
        <v>244</v>
      </c>
      <c r="N214" s="208">
        <v>-440</v>
      </c>
      <c r="O214" s="208">
        <v>440</v>
      </c>
      <c r="P214" s="208">
        <v>-356</v>
      </c>
      <c r="Q214" s="208">
        <v>356</v>
      </c>
    </row>
    <row r="215" spans="1:17">
      <c r="A215" s="218">
        <v>44196</v>
      </c>
      <c r="B215" s="208" t="s">
        <v>258</v>
      </c>
      <c r="C215" s="208" t="s">
        <v>8</v>
      </c>
      <c r="D215" s="208">
        <v>2019</v>
      </c>
      <c r="E215" s="208" t="s">
        <v>99</v>
      </c>
      <c r="F215" s="208" t="s">
        <v>95</v>
      </c>
      <c r="G215" s="208" t="s">
        <v>243</v>
      </c>
      <c r="H215" s="208">
        <v>3</v>
      </c>
      <c r="I215" s="208">
        <v>1400</v>
      </c>
      <c r="J215" s="208">
        <v>225.75</v>
      </c>
      <c r="K215" s="208">
        <v>134.38</v>
      </c>
      <c r="L215" s="208">
        <v>349.38</v>
      </c>
      <c r="M215" s="208" t="s">
        <v>244</v>
      </c>
      <c r="N215" s="208">
        <v>440</v>
      </c>
      <c r="O215" s="208">
        <v>490</v>
      </c>
      <c r="P215" s="208">
        <v>80.62</v>
      </c>
      <c r="Q215" s="208">
        <v>414.75</v>
      </c>
    </row>
    <row r="216" spans="1:17">
      <c r="A216" s="218">
        <v>44196</v>
      </c>
      <c r="B216" s="208" t="s">
        <v>259</v>
      </c>
      <c r="C216" s="208" t="s">
        <v>8</v>
      </c>
      <c r="D216" s="208">
        <v>2020</v>
      </c>
      <c r="E216" s="208" t="s">
        <v>99</v>
      </c>
      <c r="F216" s="208" t="s">
        <v>95</v>
      </c>
      <c r="G216" s="208" t="s">
        <v>243</v>
      </c>
      <c r="H216" s="208">
        <v>5</v>
      </c>
      <c r="I216" s="208">
        <v>2200</v>
      </c>
      <c r="J216" s="208">
        <v>420</v>
      </c>
      <c r="K216" s="208">
        <v>0</v>
      </c>
      <c r="L216" s="208">
        <v>1780</v>
      </c>
      <c r="M216" s="208" t="s">
        <v>244</v>
      </c>
      <c r="N216" s="208">
        <v>-440</v>
      </c>
      <c r="O216" s="208">
        <v>440</v>
      </c>
      <c r="P216" s="208">
        <v>-356</v>
      </c>
      <c r="Q216" s="208">
        <v>356</v>
      </c>
    </row>
    <row r="217" spans="1:17">
      <c r="A217" s="218">
        <v>44196</v>
      </c>
      <c r="B217" s="208" t="s">
        <v>225</v>
      </c>
      <c r="C217" s="208" t="s">
        <v>8</v>
      </c>
      <c r="D217" s="208">
        <v>2020</v>
      </c>
      <c r="E217" s="208" t="s">
        <v>99</v>
      </c>
      <c r="F217" s="208" t="s">
        <v>95</v>
      </c>
      <c r="G217" s="208" t="s">
        <v>243</v>
      </c>
      <c r="H217" s="208">
        <v>2</v>
      </c>
      <c r="I217" s="208">
        <v>880</v>
      </c>
      <c r="J217" s="208">
        <v>240</v>
      </c>
      <c r="K217" s="208">
        <v>0</v>
      </c>
      <c r="L217" s="208">
        <v>640</v>
      </c>
      <c r="M217" s="208" t="s">
        <v>244</v>
      </c>
      <c r="N217" s="208">
        <v>-440</v>
      </c>
      <c r="O217" s="208">
        <v>440</v>
      </c>
      <c r="P217" s="208">
        <v>-356</v>
      </c>
      <c r="Q217" s="208">
        <v>356</v>
      </c>
    </row>
    <row r="218" spans="1:17">
      <c r="A218" s="218">
        <v>44196</v>
      </c>
      <c r="B218" s="208" t="s">
        <v>260</v>
      </c>
      <c r="C218" s="208" t="s">
        <v>8</v>
      </c>
      <c r="D218" s="208">
        <v>2019</v>
      </c>
      <c r="E218" s="208" t="s">
        <v>99</v>
      </c>
      <c r="F218" s="208" t="s">
        <v>95</v>
      </c>
      <c r="G218" s="208" t="s">
        <v>243</v>
      </c>
      <c r="H218" s="208">
        <v>4</v>
      </c>
      <c r="I218" s="208">
        <v>1920</v>
      </c>
      <c r="J218" s="208">
        <v>301</v>
      </c>
      <c r="K218" s="208">
        <v>215</v>
      </c>
      <c r="L218" s="208">
        <v>834.75</v>
      </c>
      <c r="M218" s="208" t="s">
        <v>244</v>
      </c>
      <c r="N218" s="208">
        <v>440</v>
      </c>
      <c r="O218" s="208">
        <v>490</v>
      </c>
      <c r="P218" s="208">
        <v>80.62</v>
      </c>
      <c r="Q218" s="208">
        <v>414.75</v>
      </c>
    </row>
    <row r="219" spans="1:17">
      <c r="A219" s="218">
        <v>44196</v>
      </c>
      <c r="B219" s="208" t="s">
        <v>37</v>
      </c>
      <c r="C219" s="208" t="s">
        <v>8</v>
      </c>
      <c r="D219" s="208">
        <v>2020</v>
      </c>
      <c r="E219" s="208" t="s">
        <v>99</v>
      </c>
      <c r="F219" s="208" t="s">
        <v>95</v>
      </c>
      <c r="G219" s="208" t="s">
        <v>243</v>
      </c>
      <c r="H219" s="208">
        <v>2</v>
      </c>
      <c r="I219" s="208">
        <v>880</v>
      </c>
      <c r="J219" s="208">
        <v>240</v>
      </c>
      <c r="K219" s="208">
        <v>0</v>
      </c>
      <c r="L219" s="208">
        <v>640</v>
      </c>
      <c r="M219" s="208" t="s">
        <v>244</v>
      </c>
      <c r="N219" s="208">
        <v>-440</v>
      </c>
      <c r="O219" s="208">
        <v>440</v>
      </c>
      <c r="P219" s="208">
        <v>-356</v>
      </c>
      <c r="Q219" s="208">
        <v>356</v>
      </c>
    </row>
    <row r="220" spans="1:17">
      <c r="A220" s="218">
        <v>44196</v>
      </c>
      <c r="B220" s="208" t="s">
        <v>260</v>
      </c>
      <c r="C220" s="208" t="s">
        <v>8</v>
      </c>
      <c r="D220" s="208">
        <v>2020</v>
      </c>
      <c r="E220" s="208" t="s">
        <v>99</v>
      </c>
      <c r="F220" s="208" t="s">
        <v>95</v>
      </c>
      <c r="G220" s="208" t="s">
        <v>243</v>
      </c>
      <c r="H220" s="208">
        <v>26</v>
      </c>
      <c r="I220" s="208">
        <v>5280</v>
      </c>
      <c r="J220" s="208">
        <v>1008</v>
      </c>
      <c r="K220" s="208">
        <v>0</v>
      </c>
      <c r="L220" s="208">
        <v>4272</v>
      </c>
      <c r="M220" s="208" t="s">
        <v>244</v>
      </c>
      <c r="N220" s="208">
        <v>-440</v>
      </c>
      <c r="O220" s="208">
        <v>440</v>
      </c>
      <c r="P220" s="208">
        <v>-356</v>
      </c>
      <c r="Q220" s="208">
        <v>356</v>
      </c>
    </row>
    <row r="221" spans="1:17">
      <c r="A221" s="218">
        <v>44196</v>
      </c>
      <c r="B221" s="208" t="s">
        <v>31</v>
      </c>
      <c r="C221" s="208" t="s">
        <v>8</v>
      </c>
      <c r="D221" s="208">
        <v>2020</v>
      </c>
      <c r="E221" s="208" t="s">
        <v>99</v>
      </c>
      <c r="F221" s="208" t="s">
        <v>95</v>
      </c>
      <c r="G221" s="208" t="s">
        <v>243</v>
      </c>
      <c r="H221" s="208">
        <v>8</v>
      </c>
      <c r="I221" s="208">
        <v>3440</v>
      </c>
      <c r="J221" s="208">
        <v>672</v>
      </c>
      <c r="K221" s="208">
        <v>0</v>
      </c>
      <c r="L221" s="208">
        <v>2768</v>
      </c>
      <c r="M221" s="208" t="s">
        <v>244</v>
      </c>
      <c r="N221" s="208">
        <v>-440</v>
      </c>
      <c r="O221" s="208">
        <v>440</v>
      </c>
      <c r="P221" s="208">
        <v>-356</v>
      </c>
      <c r="Q221" s="208">
        <v>356</v>
      </c>
    </row>
    <row r="222" spans="1:17">
      <c r="A222" s="218">
        <v>44196</v>
      </c>
      <c r="B222" s="208" t="s">
        <v>36</v>
      </c>
      <c r="C222" s="208" t="s">
        <v>8</v>
      </c>
      <c r="D222" s="208">
        <v>2019</v>
      </c>
      <c r="E222" s="208" t="s">
        <v>99</v>
      </c>
      <c r="F222" s="208" t="s">
        <v>95</v>
      </c>
      <c r="G222" s="208" t="s">
        <v>243</v>
      </c>
      <c r="H222" s="208">
        <v>4</v>
      </c>
      <c r="I222" s="208">
        <v>1930</v>
      </c>
      <c r="J222" s="208">
        <v>301</v>
      </c>
      <c r="K222" s="208">
        <v>0</v>
      </c>
      <c r="L222" s="208">
        <v>1629</v>
      </c>
      <c r="M222" s="208" t="s">
        <v>244</v>
      </c>
      <c r="N222" s="208">
        <v>440</v>
      </c>
      <c r="O222" s="208">
        <v>490</v>
      </c>
      <c r="P222" s="208">
        <v>80.62</v>
      </c>
      <c r="Q222" s="208">
        <v>414.75</v>
      </c>
    </row>
    <row r="223" spans="1:17">
      <c r="A223" s="218">
        <v>44196</v>
      </c>
      <c r="B223" s="208" t="s">
        <v>259</v>
      </c>
      <c r="C223" s="208" t="s">
        <v>8</v>
      </c>
      <c r="D223" s="208">
        <v>2019</v>
      </c>
      <c r="E223" s="208" t="s">
        <v>99</v>
      </c>
      <c r="F223" s="208" t="s">
        <v>95</v>
      </c>
      <c r="G223" s="208" t="s">
        <v>243</v>
      </c>
      <c r="H223" s="208">
        <v>4</v>
      </c>
      <c r="I223" s="208">
        <v>1930</v>
      </c>
      <c r="J223" s="208">
        <v>301</v>
      </c>
      <c r="K223" s="208">
        <v>0</v>
      </c>
      <c r="L223" s="208">
        <v>1629</v>
      </c>
      <c r="M223" s="208" t="s">
        <v>244</v>
      </c>
      <c r="N223" s="208">
        <v>440</v>
      </c>
      <c r="O223" s="208">
        <v>490</v>
      </c>
      <c r="P223" s="208">
        <v>80.62</v>
      </c>
      <c r="Q223" s="208">
        <v>414.75</v>
      </c>
    </row>
    <row r="224" spans="1:17">
      <c r="A224" s="218">
        <v>44196</v>
      </c>
      <c r="B224" s="208" t="s">
        <v>29</v>
      </c>
      <c r="C224" s="208" t="s">
        <v>8</v>
      </c>
      <c r="D224" s="208">
        <v>2019</v>
      </c>
      <c r="E224" s="208" t="s">
        <v>99</v>
      </c>
      <c r="F224" s="208" t="s">
        <v>95</v>
      </c>
      <c r="G224" s="208" t="s">
        <v>243</v>
      </c>
      <c r="H224" s="208">
        <v>4</v>
      </c>
      <c r="I224" s="208">
        <v>1920</v>
      </c>
      <c r="J224" s="208">
        <v>301</v>
      </c>
      <c r="K224" s="208">
        <v>215</v>
      </c>
      <c r="L224" s="208">
        <v>834.75</v>
      </c>
      <c r="M224" s="208" t="s">
        <v>244</v>
      </c>
      <c r="N224" s="208">
        <v>440</v>
      </c>
      <c r="O224" s="208">
        <v>490</v>
      </c>
      <c r="P224" s="208">
        <v>80.62</v>
      </c>
      <c r="Q224" s="208">
        <v>414.75</v>
      </c>
    </row>
    <row r="225" spans="1:17">
      <c r="A225" s="218">
        <v>44196</v>
      </c>
      <c r="B225" s="208" t="s">
        <v>29</v>
      </c>
      <c r="C225" s="208" t="s">
        <v>8</v>
      </c>
      <c r="D225" s="208">
        <v>2020</v>
      </c>
      <c r="E225" s="208" t="s">
        <v>99</v>
      </c>
      <c r="F225" s="208" t="s">
        <v>95</v>
      </c>
      <c r="G225" s="208" t="s">
        <v>243</v>
      </c>
      <c r="H225" s="208">
        <v>26</v>
      </c>
      <c r="I225" s="208">
        <v>5280</v>
      </c>
      <c r="J225" s="208">
        <v>1008</v>
      </c>
      <c r="K225" s="208">
        <v>0</v>
      </c>
      <c r="L225" s="208">
        <v>4272</v>
      </c>
      <c r="M225" s="208" t="s">
        <v>244</v>
      </c>
      <c r="N225" s="208">
        <v>-440</v>
      </c>
      <c r="O225" s="208">
        <v>440</v>
      </c>
      <c r="P225" s="208">
        <v>-356</v>
      </c>
      <c r="Q225" s="208">
        <v>356</v>
      </c>
    </row>
    <row r="226" spans="1:17">
      <c r="A226" s="218">
        <v>44196</v>
      </c>
      <c r="B226" s="208" t="s">
        <v>29</v>
      </c>
      <c r="C226" s="208" t="s">
        <v>8</v>
      </c>
      <c r="D226" s="208">
        <v>2019</v>
      </c>
      <c r="E226" s="208" t="s">
        <v>100</v>
      </c>
      <c r="F226" s="208" t="s">
        <v>95</v>
      </c>
      <c r="G226" s="208" t="s">
        <v>243</v>
      </c>
      <c r="H226" s="208">
        <v>4</v>
      </c>
      <c r="I226" s="208">
        <v>2040</v>
      </c>
      <c r="J226" s="208">
        <v>322.5</v>
      </c>
      <c r="K226" s="208">
        <v>215</v>
      </c>
      <c r="L226" s="208">
        <v>833.25</v>
      </c>
      <c r="M226" s="208" t="s">
        <v>244</v>
      </c>
      <c r="N226" s="208">
        <v>440</v>
      </c>
      <c r="O226" s="208">
        <v>650</v>
      </c>
      <c r="P226" s="208">
        <v>80.62</v>
      </c>
      <c r="Q226" s="208">
        <v>430</v>
      </c>
    </row>
    <row r="227" spans="1:17">
      <c r="A227" s="218">
        <v>44196</v>
      </c>
      <c r="B227" s="208" t="s">
        <v>29</v>
      </c>
      <c r="C227" s="208" t="s">
        <v>8</v>
      </c>
      <c r="D227" s="208">
        <v>2020</v>
      </c>
      <c r="E227" s="208" t="s">
        <v>100</v>
      </c>
      <c r="F227" s="208" t="s">
        <v>95</v>
      </c>
      <c r="G227" s="208" t="s">
        <v>243</v>
      </c>
      <c r="H227" s="208">
        <v>10</v>
      </c>
      <c r="I227" s="208">
        <v>4400</v>
      </c>
      <c r="J227" s="208">
        <v>840</v>
      </c>
      <c r="K227" s="208">
        <v>720</v>
      </c>
      <c r="L227" s="208">
        <v>2028</v>
      </c>
      <c r="M227" s="208" t="s">
        <v>244</v>
      </c>
      <c r="N227" s="208">
        <v>340</v>
      </c>
      <c r="O227" s="208">
        <v>440</v>
      </c>
      <c r="P227" s="208">
        <v>90</v>
      </c>
      <c r="Q227" s="208">
        <v>356</v>
      </c>
    </row>
    <row r="228" spans="1:17">
      <c r="A228" s="218">
        <v>44196</v>
      </c>
      <c r="B228" s="208" t="s">
        <v>225</v>
      </c>
      <c r="C228" s="208" t="s">
        <v>8</v>
      </c>
      <c r="D228" s="208">
        <v>2020</v>
      </c>
      <c r="E228" s="208" t="s">
        <v>100</v>
      </c>
      <c r="F228" s="208" t="s">
        <v>95</v>
      </c>
      <c r="G228" s="208" t="s">
        <v>243</v>
      </c>
      <c r="H228" s="208">
        <v>2</v>
      </c>
      <c r="I228" s="208">
        <v>880</v>
      </c>
      <c r="J228" s="208">
        <v>168</v>
      </c>
      <c r="K228" s="208">
        <v>0</v>
      </c>
      <c r="L228" s="208">
        <v>712</v>
      </c>
      <c r="M228" s="208" t="s">
        <v>244</v>
      </c>
      <c r="N228" s="208">
        <v>340</v>
      </c>
      <c r="O228" s="208">
        <v>440</v>
      </c>
      <c r="P228" s="208">
        <v>90</v>
      </c>
      <c r="Q228" s="208">
        <v>356</v>
      </c>
    </row>
    <row r="229" spans="1:17">
      <c r="A229" s="218">
        <v>44196</v>
      </c>
      <c r="B229" s="208" t="s">
        <v>258</v>
      </c>
      <c r="C229" s="208" t="s">
        <v>8</v>
      </c>
      <c r="D229" s="208">
        <v>2020</v>
      </c>
      <c r="E229" s="208" t="s">
        <v>100</v>
      </c>
      <c r="F229" s="208" t="s">
        <v>95</v>
      </c>
      <c r="G229" s="208" t="s">
        <v>243</v>
      </c>
      <c r="H229" s="208">
        <v>14</v>
      </c>
      <c r="I229" s="208">
        <v>5960</v>
      </c>
      <c r="J229" s="208">
        <v>1176</v>
      </c>
      <c r="K229" s="208">
        <v>900</v>
      </c>
      <c r="L229" s="208">
        <v>1830</v>
      </c>
      <c r="M229" s="208" t="s">
        <v>244</v>
      </c>
      <c r="N229" s="208">
        <v>340</v>
      </c>
      <c r="O229" s="208">
        <v>440</v>
      </c>
      <c r="P229" s="208">
        <v>90</v>
      </c>
      <c r="Q229" s="208">
        <v>356</v>
      </c>
    </row>
    <row r="230" spans="1:17">
      <c r="A230" s="218">
        <v>44196</v>
      </c>
      <c r="B230" s="208" t="s">
        <v>36</v>
      </c>
      <c r="C230" s="208" t="s">
        <v>8</v>
      </c>
      <c r="D230" s="208">
        <v>2019</v>
      </c>
      <c r="E230" s="208" t="s">
        <v>100</v>
      </c>
      <c r="F230" s="208" t="s">
        <v>95</v>
      </c>
      <c r="G230" s="208" t="s">
        <v>243</v>
      </c>
      <c r="H230" s="208">
        <v>2</v>
      </c>
      <c r="I230" s="208">
        <v>1050</v>
      </c>
      <c r="J230" s="208">
        <v>150.5</v>
      </c>
      <c r="K230" s="208">
        <v>0</v>
      </c>
      <c r="L230" s="208">
        <v>645</v>
      </c>
      <c r="M230" s="208" t="s">
        <v>244</v>
      </c>
      <c r="N230" s="208">
        <v>440</v>
      </c>
      <c r="O230" s="208">
        <v>650</v>
      </c>
      <c r="P230" s="208">
        <v>80.62</v>
      </c>
      <c r="Q230" s="208">
        <v>430</v>
      </c>
    </row>
    <row r="231" spans="1:17">
      <c r="A231" s="218">
        <v>44196</v>
      </c>
      <c r="B231" s="208" t="s">
        <v>37</v>
      </c>
      <c r="C231" s="208" t="s">
        <v>8</v>
      </c>
      <c r="D231" s="208">
        <v>2020</v>
      </c>
      <c r="E231" s="208" t="s">
        <v>100</v>
      </c>
      <c r="F231" s="208" t="s">
        <v>95</v>
      </c>
      <c r="G231" s="208" t="s">
        <v>243</v>
      </c>
      <c r="H231" s="208">
        <v>2</v>
      </c>
      <c r="I231" s="208">
        <v>880</v>
      </c>
      <c r="J231" s="208">
        <v>168</v>
      </c>
      <c r="K231" s="208">
        <v>0</v>
      </c>
      <c r="L231" s="208">
        <v>712</v>
      </c>
      <c r="M231" s="208" t="s">
        <v>244</v>
      </c>
      <c r="N231" s="208">
        <v>340</v>
      </c>
      <c r="O231" s="208">
        <v>440</v>
      </c>
      <c r="P231" s="208">
        <v>90</v>
      </c>
      <c r="Q231" s="208">
        <v>356</v>
      </c>
    </row>
    <row r="232" spans="1:17">
      <c r="A232" s="218">
        <v>44196</v>
      </c>
      <c r="B232" s="208" t="s">
        <v>261</v>
      </c>
      <c r="C232" s="208" t="s">
        <v>8</v>
      </c>
      <c r="D232" s="208">
        <v>2020</v>
      </c>
      <c r="E232" s="208" t="s">
        <v>100</v>
      </c>
      <c r="F232" s="208" t="s">
        <v>95</v>
      </c>
      <c r="G232" s="208" t="s">
        <v>243</v>
      </c>
      <c r="H232" s="208">
        <v>2</v>
      </c>
      <c r="I232" s="208">
        <v>880</v>
      </c>
      <c r="J232" s="208">
        <v>168</v>
      </c>
      <c r="K232" s="208">
        <v>0</v>
      </c>
      <c r="L232" s="208">
        <v>712</v>
      </c>
      <c r="M232" s="208" t="s">
        <v>244</v>
      </c>
      <c r="N232" s="208">
        <v>340</v>
      </c>
      <c r="O232" s="208">
        <v>440</v>
      </c>
      <c r="P232" s="208">
        <v>90</v>
      </c>
      <c r="Q232" s="208">
        <v>356</v>
      </c>
    </row>
    <row r="233" spans="1:17">
      <c r="A233" s="218">
        <v>44196</v>
      </c>
      <c r="B233" s="208" t="s">
        <v>260</v>
      </c>
      <c r="C233" s="208" t="s">
        <v>8</v>
      </c>
      <c r="D233" s="208">
        <v>2019</v>
      </c>
      <c r="E233" s="208" t="s">
        <v>100</v>
      </c>
      <c r="F233" s="208" t="s">
        <v>95</v>
      </c>
      <c r="G233" s="208" t="s">
        <v>243</v>
      </c>
      <c r="H233" s="208">
        <v>4</v>
      </c>
      <c r="I233" s="208">
        <v>2040</v>
      </c>
      <c r="J233" s="208">
        <v>322.5</v>
      </c>
      <c r="K233" s="208">
        <v>215</v>
      </c>
      <c r="L233" s="208">
        <v>833.25</v>
      </c>
      <c r="M233" s="208" t="s">
        <v>244</v>
      </c>
      <c r="N233" s="208">
        <v>440</v>
      </c>
      <c r="O233" s="208">
        <v>650</v>
      </c>
      <c r="P233" s="208">
        <v>80.62</v>
      </c>
      <c r="Q233" s="208">
        <v>430</v>
      </c>
    </row>
    <row r="234" spans="1:17">
      <c r="A234" s="218">
        <v>44196</v>
      </c>
      <c r="B234" s="208" t="s">
        <v>258</v>
      </c>
      <c r="C234" s="208" t="s">
        <v>8</v>
      </c>
      <c r="D234" s="208">
        <v>2019</v>
      </c>
      <c r="E234" s="208" t="s">
        <v>100</v>
      </c>
      <c r="F234" s="208" t="s">
        <v>95</v>
      </c>
      <c r="G234" s="208" t="s">
        <v>243</v>
      </c>
      <c r="H234" s="208">
        <v>12</v>
      </c>
      <c r="I234" s="208">
        <v>5880</v>
      </c>
      <c r="J234" s="208">
        <v>903</v>
      </c>
      <c r="K234" s="208">
        <v>806.28</v>
      </c>
      <c r="L234" s="208">
        <v>1290</v>
      </c>
      <c r="M234" s="208" t="s">
        <v>244</v>
      </c>
      <c r="N234" s="208">
        <v>440</v>
      </c>
      <c r="O234" s="208">
        <v>650</v>
      </c>
      <c r="P234" s="208">
        <v>80.62</v>
      </c>
      <c r="Q234" s="208">
        <v>430</v>
      </c>
    </row>
    <row r="235" spans="1:17">
      <c r="A235" s="218">
        <v>44196</v>
      </c>
      <c r="B235" s="208" t="s">
        <v>259</v>
      </c>
      <c r="C235" s="208" t="s">
        <v>8</v>
      </c>
      <c r="D235" s="208">
        <v>2019</v>
      </c>
      <c r="E235" s="208" t="s">
        <v>100</v>
      </c>
      <c r="F235" s="208" t="s">
        <v>95</v>
      </c>
      <c r="G235" s="208" t="s">
        <v>243</v>
      </c>
      <c r="H235" s="208">
        <v>2</v>
      </c>
      <c r="I235" s="208">
        <v>1050</v>
      </c>
      <c r="J235" s="208">
        <v>150.5</v>
      </c>
      <c r="K235" s="208">
        <v>0</v>
      </c>
      <c r="L235" s="208">
        <v>645</v>
      </c>
      <c r="M235" s="208" t="s">
        <v>244</v>
      </c>
      <c r="N235" s="208">
        <v>440</v>
      </c>
      <c r="O235" s="208">
        <v>650</v>
      </c>
      <c r="P235" s="208">
        <v>80.62</v>
      </c>
      <c r="Q235" s="208">
        <v>430</v>
      </c>
    </row>
    <row r="236" spans="1:17">
      <c r="A236" s="218">
        <v>44196</v>
      </c>
      <c r="B236" s="208" t="s">
        <v>31</v>
      </c>
      <c r="C236" s="208" t="s">
        <v>8</v>
      </c>
      <c r="D236" s="208">
        <v>2020</v>
      </c>
      <c r="E236" s="208" t="s">
        <v>100</v>
      </c>
      <c r="F236" s="208" t="s">
        <v>95</v>
      </c>
      <c r="G236" s="208" t="s">
        <v>243</v>
      </c>
      <c r="H236" s="208">
        <v>14</v>
      </c>
      <c r="I236" s="208">
        <v>5960</v>
      </c>
      <c r="J236" s="208">
        <v>1176</v>
      </c>
      <c r="K236" s="208">
        <v>900</v>
      </c>
      <c r="L236" s="208">
        <v>1830</v>
      </c>
      <c r="M236" s="208" t="s">
        <v>244</v>
      </c>
      <c r="N236" s="208">
        <v>340</v>
      </c>
      <c r="O236" s="208">
        <v>440</v>
      </c>
      <c r="P236" s="208">
        <v>90</v>
      </c>
      <c r="Q236" s="208">
        <v>356</v>
      </c>
    </row>
    <row r="237" spans="1:17">
      <c r="A237" s="218">
        <v>44196</v>
      </c>
      <c r="B237" s="208" t="s">
        <v>36</v>
      </c>
      <c r="C237" s="208" t="s">
        <v>8</v>
      </c>
      <c r="D237" s="208">
        <v>2020</v>
      </c>
      <c r="E237" s="208" t="s">
        <v>100</v>
      </c>
      <c r="F237" s="208" t="s">
        <v>95</v>
      </c>
      <c r="G237" s="208" t="s">
        <v>243</v>
      </c>
      <c r="H237" s="208">
        <v>2</v>
      </c>
      <c r="I237" s="208">
        <v>880</v>
      </c>
      <c r="J237" s="208">
        <v>168</v>
      </c>
      <c r="K237" s="208">
        <v>0</v>
      </c>
      <c r="L237" s="208">
        <v>712</v>
      </c>
      <c r="M237" s="208" t="s">
        <v>244</v>
      </c>
      <c r="N237" s="208">
        <v>340</v>
      </c>
      <c r="O237" s="208">
        <v>440</v>
      </c>
      <c r="P237" s="208">
        <v>90</v>
      </c>
      <c r="Q237" s="208">
        <v>356</v>
      </c>
    </row>
    <row r="238" spans="1:17">
      <c r="A238" s="218">
        <v>44196</v>
      </c>
      <c r="B238" s="208" t="s">
        <v>259</v>
      </c>
      <c r="C238" s="208" t="s">
        <v>8</v>
      </c>
      <c r="D238" s="208">
        <v>2020</v>
      </c>
      <c r="E238" s="208" t="s">
        <v>100</v>
      </c>
      <c r="F238" s="208" t="s">
        <v>95</v>
      </c>
      <c r="G238" s="208" t="s">
        <v>243</v>
      </c>
      <c r="H238" s="208">
        <v>2</v>
      </c>
      <c r="I238" s="208">
        <v>880</v>
      </c>
      <c r="J238" s="208">
        <v>168</v>
      </c>
      <c r="K238" s="208">
        <v>0</v>
      </c>
      <c r="L238" s="208">
        <v>712</v>
      </c>
      <c r="M238" s="208" t="s">
        <v>244</v>
      </c>
      <c r="N238" s="208">
        <v>340</v>
      </c>
      <c r="O238" s="208">
        <v>440</v>
      </c>
      <c r="P238" s="208">
        <v>90</v>
      </c>
      <c r="Q238" s="208">
        <v>356</v>
      </c>
    </row>
    <row r="239" spans="1:17">
      <c r="A239" s="218">
        <v>44196</v>
      </c>
      <c r="B239" s="208" t="s">
        <v>35</v>
      </c>
      <c r="C239" s="208" t="s">
        <v>8</v>
      </c>
      <c r="D239" s="208">
        <v>2020</v>
      </c>
      <c r="E239" s="208" t="s">
        <v>100</v>
      </c>
      <c r="F239" s="208" t="s">
        <v>95</v>
      </c>
      <c r="G239" s="208" t="s">
        <v>243</v>
      </c>
      <c r="H239" s="208">
        <v>2</v>
      </c>
      <c r="I239" s="208">
        <v>880</v>
      </c>
      <c r="J239" s="208">
        <v>168</v>
      </c>
      <c r="K239" s="208">
        <v>0</v>
      </c>
      <c r="L239" s="208">
        <v>712</v>
      </c>
      <c r="M239" s="208" t="s">
        <v>244</v>
      </c>
      <c r="N239" s="208">
        <v>340</v>
      </c>
      <c r="O239" s="208">
        <v>440</v>
      </c>
      <c r="P239" s="208">
        <v>90</v>
      </c>
      <c r="Q239" s="208">
        <v>356</v>
      </c>
    </row>
    <row r="240" spans="1:17">
      <c r="A240" s="218">
        <v>44196</v>
      </c>
      <c r="B240" s="208" t="s">
        <v>31</v>
      </c>
      <c r="C240" s="208" t="s">
        <v>8</v>
      </c>
      <c r="D240" s="208">
        <v>2019</v>
      </c>
      <c r="E240" s="208" t="s">
        <v>100</v>
      </c>
      <c r="F240" s="208" t="s">
        <v>95</v>
      </c>
      <c r="G240" s="208" t="s">
        <v>243</v>
      </c>
      <c r="H240" s="208">
        <v>12</v>
      </c>
      <c r="I240" s="208">
        <v>5880</v>
      </c>
      <c r="J240" s="208">
        <v>903</v>
      </c>
      <c r="K240" s="208">
        <v>806.28</v>
      </c>
      <c r="L240" s="208">
        <v>1290</v>
      </c>
      <c r="M240" s="208" t="s">
        <v>244</v>
      </c>
      <c r="N240" s="208">
        <v>440</v>
      </c>
      <c r="O240" s="208">
        <v>650</v>
      </c>
      <c r="P240" s="208">
        <v>80.62</v>
      </c>
      <c r="Q240" s="208">
        <v>430</v>
      </c>
    </row>
    <row r="241" spans="1:17">
      <c r="A241" s="218">
        <v>44196</v>
      </c>
      <c r="B241" s="208" t="s">
        <v>260</v>
      </c>
      <c r="C241" s="208" t="s">
        <v>8</v>
      </c>
      <c r="D241" s="208">
        <v>2020</v>
      </c>
      <c r="E241" s="208" t="s">
        <v>100</v>
      </c>
      <c r="F241" s="208" t="s">
        <v>95</v>
      </c>
      <c r="G241" s="208" t="s">
        <v>243</v>
      </c>
      <c r="H241" s="208">
        <v>10</v>
      </c>
      <c r="I241" s="208">
        <v>4400</v>
      </c>
      <c r="J241" s="208">
        <v>840</v>
      </c>
      <c r="K241" s="208">
        <v>720</v>
      </c>
      <c r="L241" s="208">
        <v>2028</v>
      </c>
      <c r="M241" s="208" t="s">
        <v>244</v>
      </c>
      <c r="N241" s="208">
        <v>340</v>
      </c>
      <c r="O241" s="208">
        <v>440</v>
      </c>
      <c r="P241" s="208">
        <v>90</v>
      </c>
      <c r="Q241" s="208">
        <v>356</v>
      </c>
    </row>
    <row r="242" spans="1:17">
      <c r="A242" s="218">
        <v>44196</v>
      </c>
      <c r="B242" s="208" t="s">
        <v>41</v>
      </c>
      <c r="C242" s="208" t="s">
        <v>8</v>
      </c>
      <c r="D242" s="208">
        <v>2020</v>
      </c>
      <c r="E242" s="208" t="s">
        <v>101</v>
      </c>
      <c r="F242" s="208" t="s">
        <v>95</v>
      </c>
      <c r="G242" s="208" t="s">
        <v>243</v>
      </c>
      <c r="H242" s="208">
        <v>44</v>
      </c>
      <c r="I242" s="208">
        <v>13479</v>
      </c>
      <c r="J242" s="208">
        <v>3026.75</v>
      </c>
      <c r="K242" s="208">
        <v>0</v>
      </c>
      <c r="L242" s="208">
        <v>8749.85</v>
      </c>
      <c r="M242" s="208" t="s">
        <v>244</v>
      </c>
      <c r="N242" s="208">
        <v>40</v>
      </c>
      <c r="O242" s="208">
        <v>2000</v>
      </c>
      <c r="P242" s="208">
        <v>5.5</v>
      </c>
      <c r="Q242" s="208">
        <v>1269.3499999999999</v>
      </c>
    </row>
    <row r="243" spans="1:17">
      <c r="A243" s="218">
        <v>44196</v>
      </c>
      <c r="B243" s="208" t="s">
        <v>33</v>
      </c>
      <c r="C243" s="208" t="s">
        <v>8</v>
      </c>
      <c r="D243" s="208">
        <v>2019</v>
      </c>
      <c r="E243" s="208" t="s">
        <v>101</v>
      </c>
      <c r="F243" s="208" t="s">
        <v>95</v>
      </c>
      <c r="G243" s="208" t="s">
        <v>243</v>
      </c>
      <c r="H243" s="208">
        <v>15</v>
      </c>
      <c r="I243" s="208">
        <v>9988.26</v>
      </c>
      <c r="J243" s="208">
        <v>565.25</v>
      </c>
      <c r="K243" s="208">
        <v>0</v>
      </c>
      <c r="L243" s="208">
        <v>4231.75</v>
      </c>
      <c r="M243" s="208" t="s">
        <v>244</v>
      </c>
      <c r="N243" s="208">
        <v>40</v>
      </c>
      <c r="O243" s="208">
        <v>2000</v>
      </c>
      <c r="P243" s="208">
        <v>5.5</v>
      </c>
      <c r="Q243" s="208">
        <v>774</v>
      </c>
    </row>
    <row r="244" spans="1:17">
      <c r="A244" s="218">
        <v>44196</v>
      </c>
      <c r="B244" s="208" t="s">
        <v>47</v>
      </c>
      <c r="C244" s="208" t="s">
        <v>8</v>
      </c>
      <c r="D244" s="208">
        <v>2019</v>
      </c>
      <c r="E244" s="208" t="s">
        <v>101</v>
      </c>
      <c r="F244" s="208" t="s">
        <v>95</v>
      </c>
      <c r="G244" s="208" t="s">
        <v>243</v>
      </c>
      <c r="H244" s="208">
        <v>9</v>
      </c>
      <c r="I244" s="208">
        <v>4342</v>
      </c>
      <c r="J244" s="208">
        <v>635.70000000000005</v>
      </c>
      <c r="K244" s="208">
        <v>0</v>
      </c>
      <c r="L244" s="208">
        <v>2968.75</v>
      </c>
      <c r="M244" s="208" t="s">
        <v>244</v>
      </c>
      <c r="N244" s="208">
        <v>40</v>
      </c>
      <c r="O244" s="208">
        <v>2000</v>
      </c>
      <c r="P244" s="208">
        <v>5.5</v>
      </c>
      <c r="Q244" s="208">
        <v>774</v>
      </c>
    </row>
    <row r="245" spans="1:17">
      <c r="A245" s="218">
        <v>44196</v>
      </c>
      <c r="B245" s="208" t="s">
        <v>41</v>
      </c>
      <c r="C245" s="208" t="s">
        <v>8</v>
      </c>
      <c r="D245" s="208">
        <v>2019</v>
      </c>
      <c r="E245" s="208" t="s">
        <v>101</v>
      </c>
      <c r="F245" s="208" t="s">
        <v>95</v>
      </c>
      <c r="G245" s="208" t="s">
        <v>243</v>
      </c>
      <c r="H245" s="208">
        <v>6</v>
      </c>
      <c r="I245" s="208">
        <v>4060</v>
      </c>
      <c r="J245" s="208">
        <v>513.68000000000006</v>
      </c>
      <c r="K245" s="208">
        <v>0</v>
      </c>
      <c r="L245" s="208">
        <v>951.62</v>
      </c>
      <c r="M245" s="208" t="s">
        <v>244</v>
      </c>
      <c r="N245" s="208">
        <v>40</v>
      </c>
      <c r="O245" s="208">
        <v>2000</v>
      </c>
      <c r="P245" s="208">
        <v>5.5</v>
      </c>
      <c r="Q245" s="208">
        <v>774</v>
      </c>
    </row>
    <row r="246" spans="1:17">
      <c r="A246" s="218">
        <v>44196</v>
      </c>
      <c r="B246" s="208" t="s">
        <v>260</v>
      </c>
      <c r="C246" s="208" t="s">
        <v>8</v>
      </c>
      <c r="D246" s="208">
        <v>2020</v>
      </c>
      <c r="E246" s="208" t="s">
        <v>101</v>
      </c>
      <c r="F246" s="208" t="s">
        <v>95</v>
      </c>
      <c r="G246" s="208" t="s">
        <v>243</v>
      </c>
      <c r="H246" s="208">
        <v>8</v>
      </c>
      <c r="I246" s="208">
        <v>3500</v>
      </c>
      <c r="J246" s="208">
        <v>643.65</v>
      </c>
      <c r="K246" s="208">
        <v>0</v>
      </c>
      <c r="L246" s="208">
        <v>2329.35</v>
      </c>
      <c r="M246" s="208" t="s">
        <v>244</v>
      </c>
      <c r="N246" s="208">
        <v>40</v>
      </c>
      <c r="O246" s="208">
        <v>2000</v>
      </c>
      <c r="P246" s="208">
        <v>5.5</v>
      </c>
      <c r="Q246" s="208">
        <v>1269.3499999999999</v>
      </c>
    </row>
    <row r="247" spans="1:17">
      <c r="A247" s="218">
        <v>44196</v>
      </c>
      <c r="B247" s="208" t="s">
        <v>263</v>
      </c>
      <c r="C247" s="208" t="s">
        <v>8</v>
      </c>
      <c r="D247" s="208">
        <v>2019</v>
      </c>
      <c r="E247" s="208" t="s">
        <v>101</v>
      </c>
      <c r="F247" s="208" t="s">
        <v>95</v>
      </c>
      <c r="G247" s="208" t="s">
        <v>243</v>
      </c>
      <c r="H247" s="208">
        <v>15</v>
      </c>
      <c r="I247" s="208">
        <v>9988.26</v>
      </c>
      <c r="J247" s="208">
        <v>565.25</v>
      </c>
      <c r="K247" s="208">
        <v>0</v>
      </c>
      <c r="L247" s="208">
        <v>4231.75</v>
      </c>
      <c r="M247" s="208" t="s">
        <v>244</v>
      </c>
      <c r="N247" s="208">
        <v>40</v>
      </c>
      <c r="O247" s="208">
        <v>2000</v>
      </c>
      <c r="P247" s="208">
        <v>5.5</v>
      </c>
      <c r="Q247" s="208">
        <v>774</v>
      </c>
    </row>
    <row r="248" spans="1:17">
      <c r="A248" s="218">
        <v>44196</v>
      </c>
      <c r="B248" s="208" t="s">
        <v>45</v>
      </c>
      <c r="C248" s="208" t="s">
        <v>8</v>
      </c>
      <c r="D248" s="208">
        <v>2020</v>
      </c>
      <c r="E248" s="208" t="s">
        <v>101</v>
      </c>
      <c r="F248" s="208" t="s">
        <v>95</v>
      </c>
      <c r="G248" s="208" t="s">
        <v>243</v>
      </c>
      <c r="H248" s="208">
        <v>52</v>
      </c>
      <c r="I248" s="208">
        <v>14208</v>
      </c>
      <c r="J248" s="208">
        <v>3055.51</v>
      </c>
      <c r="K248" s="208">
        <v>0</v>
      </c>
      <c r="L248" s="208">
        <v>10205.770000000002</v>
      </c>
      <c r="M248" s="208" t="s">
        <v>244</v>
      </c>
      <c r="N248" s="208">
        <v>40</v>
      </c>
      <c r="O248" s="208">
        <v>2000</v>
      </c>
      <c r="P248" s="208">
        <v>5.5</v>
      </c>
      <c r="Q248" s="208">
        <v>1269.3499999999999</v>
      </c>
    </row>
    <row r="249" spans="1:17">
      <c r="A249" s="218">
        <v>44196</v>
      </c>
      <c r="B249" s="208" t="s">
        <v>261</v>
      </c>
      <c r="C249" s="208" t="s">
        <v>8</v>
      </c>
      <c r="D249" s="208">
        <v>2020</v>
      </c>
      <c r="E249" s="208" t="s">
        <v>101</v>
      </c>
      <c r="F249" s="208" t="s">
        <v>95</v>
      </c>
      <c r="G249" s="208" t="s">
        <v>243</v>
      </c>
      <c r="H249" s="208">
        <v>2</v>
      </c>
      <c r="I249" s="208">
        <v>330</v>
      </c>
      <c r="J249" s="208">
        <v>45.16</v>
      </c>
      <c r="K249" s="208">
        <v>0</v>
      </c>
      <c r="L249" s="208">
        <v>82.23</v>
      </c>
      <c r="M249" s="208" t="s">
        <v>244</v>
      </c>
      <c r="N249" s="208">
        <v>40</v>
      </c>
      <c r="O249" s="208">
        <v>2000</v>
      </c>
      <c r="P249" s="208">
        <v>5.5</v>
      </c>
      <c r="Q249" s="208">
        <v>1269.3499999999999</v>
      </c>
    </row>
    <row r="250" spans="1:17">
      <c r="A250" s="218">
        <v>44196</v>
      </c>
      <c r="B250" s="208" t="s">
        <v>43</v>
      </c>
      <c r="C250" s="208" t="s">
        <v>8</v>
      </c>
      <c r="D250" s="208">
        <v>2020</v>
      </c>
      <c r="E250" s="208" t="s">
        <v>101</v>
      </c>
      <c r="F250" s="208" t="s">
        <v>95</v>
      </c>
      <c r="G250" s="208" t="s">
        <v>243</v>
      </c>
      <c r="H250" s="208">
        <v>29</v>
      </c>
      <c r="I250" s="208">
        <v>8796</v>
      </c>
      <c r="J250" s="208">
        <v>2064.85</v>
      </c>
      <c r="K250" s="208">
        <v>0</v>
      </c>
      <c r="L250" s="208">
        <v>5405.3999999999987</v>
      </c>
      <c r="M250" s="208" t="s">
        <v>244</v>
      </c>
      <c r="N250" s="208">
        <v>40</v>
      </c>
      <c r="O250" s="208">
        <v>2000</v>
      </c>
      <c r="P250" s="208">
        <v>5.5</v>
      </c>
      <c r="Q250" s="208">
        <v>1269.3499999999999</v>
      </c>
    </row>
    <row r="251" spans="1:17">
      <c r="A251" s="218">
        <v>44196</v>
      </c>
      <c r="B251" s="208" t="s">
        <v>267</v>
      </c>
      <c r="C251" s="208" t="s">
        <v>8</v>
      </c>
      <c r="D251" s="208">
        <v>2019</v>
      </c>
      <c r="E251" s="208" t="s">
        <v>101</v>
      </c>
      <c r="F251" s="208" t="s">
        <v>95</v>
      </c>
      <c r="G251" s="208" t="s">
        <v>243</v>
      </c>
      <c r="H251" s="208">
        <v>25</v>
      </c>
      <c r="I251" s="208">
        <v>9169.9999999999982</v>
      </c>
      <c r="J251" s="208">
        <v>1339.45</v>
      </c>
      <c r="K251" s="208">
        <v>0</v>
      </c>
      <c r="L251" s="208">
        <v>4353.4500000000007</v>
      </c>
      <c r="M251" s="208" t="s">
        <v>244</v>
      </c>
      <c r="N251" s="208">
        <v>40</v>
      </c>
      <c r="O251" s="208">
        <v>2000</v>
      </c>
      <c r="P251" s="208">
        <v>5.5</v>
      </c>
      <c r="Q251" s="208">
        <v>774</v>
      </c>
    </row>
    <row r="252" spans="1:17">
      <c r="A252" s="218">
        <v>44196</v>
      </c>
      <c r="B252" s="208" t="s">
        <v>264</v>
      </c>
      <c r="C252" s="208" t="s">
        <v>8</v>
      </c>
      <c r="D252" s="208">
        <v>2020</v>
      </c>
      <c r="E252" s="208" t="s">
        <v>101</v>
      </c>
      <c r="F252" s="208" t="s">
        <v>95</v>
      </c>
      <c r="G252" s="208" t="s">
        <v>243</v>
      </c>
      <c r="H252" s="208">
        <v>44</v>
      </c>
      <c r="I252" s="208">
        <v>13479</v>
      </c>
      <c r="J252" s="208">
        <v>3026.75</v>
      </c>
      <c r="K252" s="208">
        <v>0</v>
      </c>
      <c r="L252" s="208">
        <v>8749.85</v>
      </c>
      <c r="M252" s="208" t="s">
        <v>244</v>
      </c>
      <c r="N252" s="208">
        <v>40</v>
      </c>
      <c r="O252" s="208">
        <v>2000</v>
      </c>
      <c r="P252" s="208">
        <v>5.5</v>
      </c>
      <c r="Q252" s="208">
        <v>1269.3499999999999</v>
      </c>
    </row>
    <row r="253" spans="1:17">
      <c r="A253" s="218">
        <v>44196</v>
      </c>
      <c r="B253" s="208" t="s">
        <v>258</v>
      </c>
      <c r="C253" s="208" t="s">
        <v>8</v>
      </c>
      <c r="D253" s="208">
        <v>2020</v>
      </c>
      <c r="E253" s="208" t="s">
        <v>101</v>
      </c>
      <c r="F253" s="208" t="s">
        <v>95</v>
      </c>
      <c r="G253" s="208" t="s">
        <v>243</v>
      </c>
      <c r="H253" s="208">
        <v>13</v>
      </c>
      <c r="I253" s="208">
        <v>3750</v>
      </c>
      <c r="J253" s="208">
        <v>665</v>
      </c>
      <c r="K253" s="208">
        <v>0</v>
      </c>
      <c r="L253" s="208">
        <v>2502</v>
      </c>
      <c r="M253" s="208" t="s">
        <v>244</v>
      </c>
      <c r="N253" s="208">
        <v>40</v>
      </c>
      <c r="O253" s="208">
        <v>2000</v>
      </c>
      <c r="P253" s="208">
        <v>5.5</v>
      </c>
      <c r="Q253" s="208">
        <v>1269.3499999999999</v>
      </c>
    </row>
    <row r="254" spans="1:17">
      <c r="A254" s="218">
        <v>44196</v>
      </c>
      <c r="B254" s="208" t="s">
        <v>39</v>
      </c>
      <c r="C254" s="208" t="s">
        <v>8</v>
      </c>
      <c r="D254" s="208">
        <v>2020</v>
      </c>
      <c r="E254" s="208" t="s">
        <v>101</v>
      </c>
      <c r="F254" s="208" t="s">
        <v>95</v>
      </c>
      <c r="G254" s="208" t="s">
        <v>243</v>
      </c>
      <c r="H254" s="208">
        <v>50</v>
      </c>
      <c r="I254" s="208">
        <v>19015</v>
      </c>
      <c r="J254" s="208">
        <v>3516.3600000000006</v>
      </c>
      <c r="K254" s="208">
        <v>0</v>
      </c>
      <c r="L254" s="208">
        <v>8142.4699999999984</v>
      </c>
      <c r="M254" s="208" t="s">
        <v>244</v>
      </c>
      <c r="N254" s="208">
        <v>40</v>
      </c>
      <c r="O254" s="208">
        <v>2000</v>
      </c>
      <c r="P254" s="208">
        <v>5.5</v>
      </c>
      <c r="Q254" s="208">
        <v>1269.3499999999999</v>
      </c>
    </row>
    <row r="255" spans="1:17">
      <c r="A255" s="218">
        <v>44196</v>
      </c>
      <c r="B255" s="208" t="s">
        <v>270</v>
      </c>
      <c r="C255" s="208" t="s">
        <v>8</v>
      </c>
      <c r="D255" s="208">
        <v>2020</v>
      </c>
      <c r="E255" s="208" t="s">
        <v>101</v>
      </c>
      <c r="F255" s="208" t="s">
        <v>95</v>
      </c>
      <c r="G255" s="208" t="s">
        <v>243</v>
      </c>
      <c r="H255" s="208">
        <v>5</v>
      </c>
      <c r="I255" s="208">
        <v>1115</v>
      </c>
      <c r="J255" s="208">
        <v>245</v>
      </c>
      <c r="K255" s="208">
        <v>0</v>
      </c>
      <c r="L255" s="208">
        <v>422.5</v>
      </c>
      <c r="M255" s="208" t="s">
        <v>244</v>
      </c>
      <c r="N255" s="208">
        <v>40</v>
      </c>
      <c r="O255" s="208">
        <v>2000</v>
      </c>
      <c r="P255" s="208">
        <v>5.5</v>
      </c>
      <c r="Q255" s="208">
        <v>1269.3499999999999</v>
      </c>
    </row>
    <row r="256" spans="1:17">
      <c r="A256" s="218">
        <v>44196</v>
      </c>
      <c r="B256" s="208" t="s">
        <v>268</v>
      </c>
      <c r="C256" s="208" t="s">
        <v>8</v>
      </c>
      <c r="D256" s="208">
        <v>2020</v>
      </c>
      <c r="E256" s="208" t="s">
        <v>101</v>
      </c>
      <c r="F256" s="208" t="s">
        <v>95</v>
      </c>
      <c r="G256" s="208" t="s">
        <v>243</v>
      </c>
      <c r="H256" s="208">
        <v>51</v>
      </c>
      <c r="I256" s="208">
        <v>15062.26</v>
      </c>
      <c r="J256" s="208">
        <v>2925.3</v>
      </c>
      <c r="K256" s="208">
        <v>0</v>
      </c>
      <c r="L256" s="208">
        <v>11478.1</v>
      </c>
      <c r="M256" s="208" t="s">
        <v>244</v>
      </c>
      <c r="N256" s="208">
        <v>40</v>
      </c>
      <c r="O256" s="208">
        <v>2000</v>
      </c>
      <c r="P256" s="208">
        <v>5.5</v>
      </c>
      <c r="Q256" s="208">
        <v>1269.3499999999999</v>
      </c>
    </row>
    <row r="257" spans="1:17">
      <c r="A257" s="218">
        <v>44196</v>
      </c>
      <c r="B257" s="208" t="s">
        <v>262</v>
      </c>
      <c r="C257" s="208" t="s">
        <v>8</v>
      </c>
      <c r="D257" s="208">
        <v>2020</v>
      </c>
      <c r="E257" s="208" t="s">
        <v>101</v>
      </c>
      <c r="F257" s="208" t="s">
        <v>95</v>
      </c>
      <c r="G257" s="208" t="s">
        <v>243</v>
      </c>
      <c r="H257" s="208">
        <v>29</v>
      </c>
      <c r="I257" s="208">
        <v>8796</v>
      </c>
      <c r="J257" s="208">
        <v>2064.8500000000004</v>
      </c>
      <c r="K257" s="208">
        <v>0</v>
      </c>
      <c r="L257" s="208">
        <v>5405.3999999999987</v>
      </c>
      <c r="M257" s="208" t="s">
        <v>244</v>
      </c>
      <c r="N257" s="208">
        <v>40</v>
      </c>
      <c r="O257" s="208">
        <v>2000</v>
      </c>
      <c r="P257" s="208">
        <v>5.5</v>
      </c>
      <c r="Q257" s="208">
        <v>1269.3499999999999</v>
      </c>
    </row>
    <row r="258" spans="1:17">
      <c r="A258" s="218">
        <v>44196</v>
      </c>
      <c r="B258" s="208" t="s">
        <v>29</v>
      </c>
      <c r="C258" s="208" t="s">
        <v>8</v>
      </c>
      <c r="D258" s="208">
        <v>2020</v>
      </c>
      <c r="E258" s="208" t="s">
        <v>101</v>
      </c>
      <c r="F258" s="208" t="s">
        <v>95</v>
      </c>
      <c r="G258" s="208" t="s">
        <v>243</v>
      </c>
      <c r="H258" s="208">
        <v>8</v>
      </c>
      <c r="I258" s="208">
        <v>3500</v>
      </c>
      <c r="J258" s="208">
        <v>643.65</v>
      </c>
      <c r="K258" s="208">
        <v>0</v>
      </c>
      <c r="L258" s="208">
        <v>2329.35</v>
      </c>
      <c r="M258" s="208" t="s">
        <v>244</v>
      </c>
      <c r="N258" s="208">
        <v>40</v>
      </c>
      <c r="O258" s="208">
        <v>2000</v>
      </c>
      <c r="P258" s="208">
        <v>5.5</v>
      </c>
      <c r="Q258" s="208">
        <v>1269.3499999999999</v>
      </c>
    </row>
    <row r="259" spans="1:17">
      <c r="A259" s="218">
        <v>44196</v>
      </c>
      <c r="B259" s="208" t="s">
        <v>48</v>
      </c>
      <c r="C259" s="208" t="s">
        <v>8</v>
      </c>
      <c r="D259" s="208">
        <v>2020</v>
      </c>
      <c r="E259" s="208" t="s">
        <v>101</v>
      </c>
      <c r="F259" s="208" t="s">
        <v>95</v>
      </c>
      <c r="G259" s="208" t="s">
        <v>243</v>
      </c>
      <c r="H259" s="208">
        <v>5</v>
      </c>
      <c r="I259" s="208">
        <v>1115</v>
      </c>
      <c r="J259" s="208">
        <v>245</v>
      </c>
      <c r="K259" s="208">
        <v>0</v>
      </c>
      <c r="L259" s="208">
        <v>422.5</v>
      </c>
      <c r="M259" s="208" t="s">
        <v>244</v>
      </c>
      <c r="N259" s="208">
        <v>40</v>
      </c>
      <c r="O259" s="208">
        <v>2000</v>
      </c>
      <c r="P259" s="208">
        <v>5.5</v>
      </c>
      <c r="Q259" s="208">
        <v>1269.3499999999999</v>
      </c>
    </row>
    <row r="260" spans="1:17">
      <c r="A260" s="218">
        <v>44196</v>
      </c>
      <c r="B260" s="208" t="s">
        <v>264</v>
      </c>
      <c r="C260" s="208" t="s">
        <v>8</v>
      </c>
      <c r="D260" s="208">
        <v>2019</v>
      </c>
      <c r="E260" s="208" t="s">
        <v>101</v>
      </c>
      <c r="F260" s="208" t="s">
        <v>95</v>
      </c>
      <c r="G260" s="208" t="s">
        <v>243</v>
      </c>
      <c r="H260" s="208">
        <v>6</v>
      </c>
      <c r="I260" s="208">
        <v>4060</v>
      </c>
      <c r="J260" s="208">
        <v>513.68000000000006</v>
      </c>
      <c r="K260" s="208">
        <v>0</v>
      </c>
      <c r="L260" s="208">
        <v>951.62</v>
      </c>
      <c r="M260" s="208" t="s">
        <v>244</v>
      </c>
      <c r="N260" s="208">
        <v>40</v>
      </c>
      <c r="O260" s="208">
        <v>2000</v>
      </c>
      <c r="P260" s="208">
        <v>5.5</v>
      </c>
      <c r="Q260" s="208">
        <v>774</v>
      </c>
    </row>
    <row r="261" spans="1:17">
      <c r="A261" s="218">
        <v>44196</v>
      </c>
      <c r="B261" s="208" t="s">
        <v>43</v>
      </c>
      <c r="C261" s="208" t="s">
        <v>8</v>
      </c>
      <c r="D261" s="208">
        <v>2019</v>
      </c>
      <c r="E261" s="208" t="s">
        <v>101</v>
      </c>
      <c r="F261" s="208" t="s">
        <v>95</v>
      </c>
      <c r="G261" s="208" t="s">
        <v>243</v>
      </c>
      <c r="H261" s="208">
        <v>11</v>
      </c>
      <c r="I261" s="208">
        <v>2860</v>
      </c>
      <c r="J261" s="208">
        <v>674.8</v>
      </c>
      <c r="K261" s="208">
        <v>0</v>
      </c>
      <c r="L261" s="208">
        <v>1480.8499999999997</v>
      </c>
      <c r="M261" s="208" t="s">
        <v>244</v>
      </c>
      <c r="N261" s="208">
        <v>40</v>
      </c>
      <c r="O261" s="208">
        <v>2000</v>
      </c>
      <c r="P261" s="208">
        <v>5.5</v>
      </c>
      <c r="Q261" s="208">
        <v>774</v>
      </c>
    </row>
    <row r="262" spans="1:17">
      <c r="A262" s="218">
        <v>44196</v>
      </c>
      <c r="B262" s="208" t="s">
        <v>33</v>
      </c>
      <c r="C262" s="208" t="s">
        <v>8</v>
      </c>
      <c r="D262" s="208">
        <v>2020</v>
      </c>
      <c r="E262" s="208" t="s">
        <v>101</v>
      </c>
      <c r="F262" s="208" t="s">
        <v>95</v>
      </c>
      <c r="G262" s="208" t="s">
        <v>243</v>
      </c>
      <c r="H262" s="208">
        <v>27</v>
      </c>
      <c r="I262" s="208">
        <v>15020</v>
      </c>
      <c r="J262" s="208">
        <v>1420.41</v>
      </c>
      <c r="K262" s="208">
        <v>0</v>
      </c>
      <c r="L262" s="208">
        <v>7358.95</v>
      </c>
      <c r="M262" s="208" t="s">
        <v>244</v>
      </c>
      <c r="N262" s="208">
        <v>40</v>
      </c>
      <c r="O262" s="208">
        <v>2000</v>
      </c>
      <c r="P262" s="208">
        <v>5.5</v>
      </c>
      <c r="Q262" s="208">
        <v>1269.3499999999999</v>
      </c>
    </row>
    <row r="263" spans="1:17">
      <c r="A263" s="218">
        <v>44196</v>
      </c>
      <c r="B263" s="208" t="s">
        <v>35</v>
      </c>
      <c r="C263" s="208" t="s">
        <v>8</v>
      </c>
      <c r="D263" s="208">
        <v>2020</v>
      </c>
      <c r="E263" s="208" t="s">
        <v>101</v>
      </c>
      <c r="F263" s="208" t="s">
        <v>95</v>
      </c>
      <c r="G263" s="208" t="s">
        <v>243</v>
      </c>
      <c r="H263" s="208">
        <v>2</v>
      </c>
      <c r="I263" s="208">
        <v>330</v>
      </c>
      <c r="J263" s="208">
        <v>45.16</v>
      </c>
      <c r="K263" s="208">
        <v>0</v>
      </c>
      <c r="L263" s="208">
        <v>82.23</v>
      </c>
      <c r="M263" s="208" t="s">
        <v>244</v>
      </c>
      <c r="N263" s="208">
        <v>40</v>
      </c>
      <c r="O263" s="208">
        <v>2000</v>
      </c>
      <c r="P263" s="208">
        <v>5.5</v>
      </c>
      <c r="Q263" s="208">
        <v>1269.3499999999999</v>
      </c>
    </row>
    <row r="264" spans="1:17">
      <c r="A264" s="218">
        <v>44196</v>
      </c>
      <c r="B264" s="208" t="s">
        <v>263</v>
      </c>
      <c r="C264" s="208" t="s">
        <v>8</v>
      </c>
      <c r="D264" s="208">
        <v>2020</v>
      </c>
      <c r="E264" s="208" t="s">
        <v>101</v>
      </c>
      <c r="F264" s="208" t="s">
        <v>95</v>
      </c>
      <c r="G264" s="208" t="s">
        <v>243</v>
      </c>
      <c r="H264" s="208">
        <v>27</v>
      </c>
      <c r="I264" s="208">
        <v>15020</v>
      </c>
      <c r="J264" s="208">
        <v>1420.41</v>
      </c>
      <c r="K264" s="208">
        <v>0</v>
      </c>
      <c r="L264" s="208">
        <v>7358.95</v>
      </c>
      <c r="M264" s="208" t="s">
        <v>244</v>
      </c>
      <c r="N264" s="208">
        <v>40</v>
      </c>
      <c r="O264" s="208">
        <v>2000</v>
      </c>
      <c r="P264" s="208">
        <v>5.5</v>
      </c>
      <c r="Q264" s="208">
        <v>1269.3499999999999</v>
      </c>
    </row>
    <row r="265" spans="1:17">
      <c r="A265" s="218">
        <v>44196</v>
      </c>
      <c r="B265" s="208" t="s">
        <v>262</v>
      </c>
      <c r="C265" s="208" t="s">
        <v>8</v>
      </c>
      <c r="D265" s="208">
        <v>2019</v>
      </c>
      <c r="E265" s="208" t="s">
        <v>101</v>
      </c>
      <c r="F265" s="208" t="s">
        <v>95</v>
      </c>
      <c r="G265" s="208" t="s">
        <v>243</v>
      </c>
      <c r="H265" s="208">
        <v>11</v>
      </c>
      <c r="I265" s="208">
        <v>2860</v>
      </c>
      <c r="J265" s="208">
        <v>674.8</v>
      </c>
      <c r="K265" s="208">
        <v>0</v>
      </c>
      <c r="L265" s="208">
        <v>1480.8499999999997</v>
      </c>
      <c r="M265" s="208" t="s">
        <v>244</v>
      </c>
      <c r="N265" s="208">
        <v>40</v>
      </c>
      <c r="O265" s="208">
        <v>2000</v>
      </c>
      <c r="P265" s="208">
        <v>5.5</v>
      </c>
      <c r="Q265" s="208">
        <v>774</v>
      </c>
    </row>
    <row r="266" spans="1:17">
      <c r="A266" s="218">
        <v>44196</v>
      </c>
      <c r="B266" s="208" t="s">
        <v>269</v>
      </c>
      <c r="C266" s="208" t="s">
        <v>8</v>
      </c>
      <c r="D266" s="208">
        <v>2020</v>
      </c>
      <c r="E266" s="208" t="s">
        <v>101</v>
      </c>
      <c r="F266" s="208" t="s">
        <v>95</v>
      </c>
      <c r="G266" s="208" t="s">
        <v>243</v>
      </c>
      <c r="H266" s="208">
        <v>50</v>
      </c>
      <c r="I266" s="208">
        <v>19015</v>
      </c>
      <c r="J266" s="208">
        <v>3516.3600000000006</v>
      </c>
      <c r="K266" s="208">
        <v>0</v>
      </c>
      <c r="L266" s="208">
        <v>8142.4699999999984</v>
      </c>
      <c r="M266" s="208" t="s">
        <v>244</v>
      </c>
      <c r="N266" s="208">
        <v>40</v>
      </c>
      <c r="O266" s="208">
        <v>2000</v>
      </c>
      <c r="P266" s="208">
        <v>5.5</v>
      </c>
      <c r="Q266" s="208">
        <v>1269.3499999999999</v>
      </c>
    </row>
    <row r="267" spans="1:17">
      <c r="A267" s="218">
        <v>44196</v>
      </c>
      <c r="B267" s="208" t="s">
        <v>47</v>
      </c>
      <c r="C267" s="208" t="s">
        <v>8</v>
      </c>
      <c r="D267" s="208">
        <v>2020</v>
      </c>
      <c r="E267" s="208" t="s">
        <v>101</v>
      </c>
      <c r="F267" s="208" t="s">
        <v>95</v>
      </c>
      <c r="G267" s="208" t="s">
        <v>243</v>
      </c>
      <c r="H267" s="208">
        <v>51</v>
      </c>
      <c r="I267" s="208">
        <v>15062.26</v>
      </c>
      <c r="J267" s="208">
        <v>2925.3</v>
      </c>
      <c r="K267" s="208">
        <v>0</v>
      </c>
      <c r="L267" s="208">
        <v>11478.1</v>
      </c>
      <c r="M267" s="208" t="s">
        <v>244</v>
      </c>
      <c r="N267" s="208">
        <v>40</v>
      </c>
      <c r="O267" s="208">
        <v>2000</v>
      </c>
      <c r="P267" s="208">
        <v>5.5</v>
      </c>
      <c r="Q267" s="208">
        <v>1269.3499999999999</v>
      </c>
    </row>
    <row r="268" spans="1:17">
      <c r="A268" s="218">
        <v>44196</v>
      </c>
      <c r="B268" s="208" t="s">
        <v>268</v>
      </c>
      <c r="C268" s="208" t="s">
        <v>8</v>
      </c>
      <c r="D268" s="208">
        <v>2019</v>
      </c>
      <c r="E268" s="208" t="s">
        <v>101</v>
      </c>
      <c r="F268" s="208" t="s">
        <v>95</v>
      </c>
      <c r="G268" s="208" t="s">
        <v>243</v>
      </c>
      <c r="H268" s="208">
        <v>9</v>
      </c>
      <c r="I268" s="208">
        <v>4342</v>
      </c>
      <c r="J268" s="208">
        <v>635.70000000000005</v>
      </c>
      <c r="K268" s="208">
        <v>0</v>
      </c>
      <c r="L268" s="208">
        <v>2968.75</v>
      </c>
      <c r="M268" s="208" t="s">
        <v>244</v>
      </c>
      <c r="N268" s="208">
        <v>40</v>
      </c>
      <c r="O268" s="208">
        <v>2000</v>
      </c>
      <c r="P268" s="208">
        <v>5.5</v>
      </c>
      <c r="Q268" s="208">
        <v>774</v>
      </c>
    </row>
    <row r="269" spans="1:17">
      <c r="A269" s="218">
        <v>44196</v>
      </c>
      <c r="B269" s="208" t="s">
        <v>45</v>
      </c>
      <c r="C269" s="208" t="s">
        <v>8</v>
      </c>
      <c r="D269" s="208">
        <v>2019</v>
      </c>
      <c r="E269" s="208" t="s">
        <v>101</v>
      </c>
      <c r="F269" s="208" t="s">
        <v>95</v>
      </c>
      <c r="G269" s="208" t="s">
        <v>243</v>
      </c>
      <c r="H269" s="208">
        <v>25</v>
      </c>
      <c r="I269" s="208">
        <v>9169.9999999999982</v>
      </c>
      <c r="J269" s="208">
        <v>1339.45</v>
      </c>
      <c r="K269" s="208">
        <v>0</v>
      </c>
      <c r="L269" s="208">
        <v>4353.45</v>
      </c>
      <c r="M269" s="208" t="s">
        <v>244</v>
      </c>
      <c r="N269" s="208">
        <v>40</v>
      </c>
      <c r="O269" s="208">
        <v>2000</v>
      </c>
      <c r="P269" s="208">
        <v>5.5</v>
      </c>
      <c r="Q269" s="208">
        <v>774</v>
      </c>
    </row>
    <row r="270" spans="1:17">
      <c r="A270" s="218">
        <v>44196</v>
      </c>
      <c r="B270" s="208" t="s">
        <v>31</v>
      </c>
      <c r="C270" s="208" t="s">
        <v>8</v>
      </c>
      <c r="D270" s="208">
        <v>2020</v>
      </c>
      <c r="E270" s="208" t="s">
        <v>101</v>
      </c>
      <c r="F270" s="208" t="s">
        <v>95</v>
      </c>
      <c r="G270" s="208" t="s">
        <v>243</v>
      </c>
      <c r="H270" s="208">
        <v>13</v>
      </c>
      <c r="I270" s="208">
        <v>3750</v>
      </c>
      <c r="J270" s="208">
        <v>665</v>
      </c>
      <c r="K270" s="208">
        <v>0</v>
      </c>
      <c r="L270" s="208">
        <v>2502</v>
      </c>
      <c r="M270" s="208" t="s">
        <v>244</v>
      </c>
      <c r="N270" s="208">
        <v>40</v>
      </c>
      <c r="O270" s="208">
        <v>2000</v>
      </c>
      <c r="P270" s="208">
        <v>5.5</v>
      </c>
      <c r="Q270" s="208">
        <v>1269.3499999999999</v>
      </c>
    </row>
    <row r="271" spans="1:17">
      <c r="A271" s="218">
        <v>44196</v>
      </c>
      <c r="B271" s="208" t="s">
        <v>267</v>
      </c>
      <c r="C271" s="208" t="s">
        <v>8</v>
      </c>
      <c r="D271" s="208">
        <v>2020</v>
      </c>
      <c r="E271" s="208" t="s">
        <v>101</v>
      </c>
      <c r="F271" s="208" t="s">
        <v>95</v>
      </c>
      <c r="G271" s="208" t="s">
        <v>243</v>
      </c>
      <c r="H271" s="208">
        <v>52</v>
      </c>
      <c r="I271" s="208">
        <v>14208</v>
      </c>
      <c r="J271" s="208">
        <v>3055.51</v>
      </c>
      <c r="K271" s="208">
        <v>0</v>
      </c>
      <c r="L271" s="208">
        <v>10205.770000000002</v>
      </c>
      <c r="M271" s="208" t="s">
        <v>244</v>
      </c>
      <c r="N271" s="208">
        <v>40</v>
      </c>
      <c r="O271" s="208">
        <v>2000</v>
      </c>
      <c r="P271" s="208">
        <v>5.5</v>
      </c>
      <c r="Q271" s="208">
        <v>1269.3499999999999</v>
      </c>
    </row>
    <row r="272" spans="1:17">
      <c r="A272" s="218">
        <v>44196</v>
      </c>
      <c r="B272" s="208" t="s">
        <v>259</v>
      </c>
      <c r="C272" s="208" t="s">
        <v>8</v>
      </c>
      <c r="D272" s="208">
        <v>2019</v>
      </c>
      <c r="E272" s="208" t="s">
        <v>175</v>
      </c>
      <c r="F272" s="208" t="s">
        <v>95</v>
      </c>
      <c r="G272" s="208" t="s">
        <v>243</v>
      </c>
      <c r="H272" s="208">
        <v>24</v>
      </c>
      <c r="I272" s="208">
        <v>15320</v>
      </c>
      <c r="J272" s="208">
        <v>677.25</v>
      </c>
      <c r="K272" s="208">
        <v>0</v>
      </c>
      <c r="L272" s="208">
        <v>11194.25</v>
      </c>
      <c r="M272" s="208" t="s">
        <v>244</v>
      </c>
      <c r="N272" s="208">
        <v>-1100</v>
      </c>
      <c r="O272" s="208">
        <v>1300</v>
      </c>
      <c r="P272" s="208">
        <v>-800</v>
      </c>
      <c r="Q272" s="208">
        <v>800</v>
      </c>
    </row>
    <row r="273" spans="1:17">
      <c r="A273" s="218">
        <v>44196</v>
      </c>
      <c r="B273" s="208" t="s">
        <v>36</v>
      </c>
      <c r="C273" s="208" t="s">
        <v>8</v>
      </c>
      <c r="D273" s="208">
        <v>2019</v>
      </c>
      <c r="E273" s="208" t="s">
        <v>175</v>
      </c>
      <c r="F273" s="208" t="s">
        <v>95</v>
      </c>
      <c r="G273" s="208" t="s">
        <v>243</v>
      </c>
      <c r="H273" s="208">
        <v>24</v>
      </c>
      <c r="I273" s="208">
        <v>15320</v>
      </c>
      <c r="J273" s="208">
        <v>677.25</v>
      </c>
      <c r="K273" s="208">
        <v>0</v>
      </c>
      <c r="L273" s="208">
        <v>11194.25</v>
      </c>
      <c r="M273" s="208" t="s">
        <v>244</v>
      </c>
      <c r="N273" s="208">
        <v>-1100</v>
      </c>
      <c r="O273" s="208">
        <v>1300</v>
      </c>
      <c r="P273" s="208">
        <v>-800</v>
      </c>
      <c r="Q273" s="208">
        <v>800</v>
      </c>
    </row>
    <row r="274" spans="1:17">
      <c r="A274" s="218">
        <v>44196</v>
      </c>
      <c r="B274" s="208" t="s">
        <v>29</v>
      </c>
      <c r="C274" s="208" t="s">
        <v>8</v>
      </c>
      <c r="D274" s="208">
        <v>2019</v>
      </c>
      <c r="E274" s="208" t="s">
        <v>175</v>
      </c>
      <c r="F274" s="208" t="s">
        <v>95</v>
      </c>
      <c r="G274" s="208" t="s">
        <v>243</v>
      </c>
      <c r="H274" s="208">
        <v>75</v>
      </c>
      <c r="I274" s="208">
        <v>38087</v>
      </c>
      <c r="J274" s="208">
        <v>2483.25</v>
      </c>
      <c r="K274" s="208">
        <v>6190</v>
      </c>
      <c r="L274" s="208">
        <v>16011.75</v>
      </c>
      <c r="M274" s="208" t="s">
        <v>244</v>
      </c>
      <c r="N274" s="208">
        <v>-1100</v>
      </c>
      <c r="O274" s="208">
        <v>1300</v>
      </c>
      <c r="P274" s="208">
        <v>-800</v>
      </c>
      <c r="Q274" s="208">
        <v>800</v>
      </c>
    </row>
    <row r="275" spans="1:17">
      <c r="A275" s="218">
        <v>44196</v>
      </c>
      <c r="B275" s="208" t="s">
        <v>37</v>
      </c>
      <c r="C275" s="208" t="s">
        <v>8</v>
      </c>
      <c r="D275" s="208">
        <v>2019</v>
      </c>
      <c r="E275" s="208" t="s">
        <v>175</v>
      </c>
      <c r="F275" s="208" t="s">
        <v>95</v>
      </c>
      <c r="G275" s="208" t="s">
        <v>243</v>
      </c>
      <c r="H275" s="208">
        <v>16</v>
      </c>
      <c r="I275" s="208">
        <v>11670</v>
      </c>
      <c r="J275" s="208">
        <v>301</v>
      </c>
      <c r="K275" s="208">
        <v>300</v>
      </c>
      <c r="L275" s="208">
        <v>6129</v>
      </c>
      <c r="M275" s="208" t="s">
        <v>244</v>
      </c>
      <c r="N275" s="208">
        <v>-1100</v>
      </c>
      <c r="O275" s="208">
        <v>1300</v>
      </c>
      <c r="P275" s="208">
        <v>-800</v>
      </c>
      <c r="Q275" s="208">
        <v>800</v>
      </c>
    </row>
    <row r="276" spans="1:17">
      <c r="A276" s="218">
        <v>44196</v>
      </c>
      <c r="B276" s="208" t="s">
        <v>31</v>
      </c>
      <c r="C276" s="208" t="s">
        <v>8</v>
      </c>
      <c r="D276" s="208">
        <v>2019</v>
      </c>
      <c r="E276" s="208" t="s">
        <v>175</v>
      </c>
      <c r="F276" s="208" t="s">
        <v>95</v>
      </c>
      <c r="G276" s="208" t="s">
        <v>243</v>
      </c>
      <c r="H276" s="208">
        <v>25</v>
      </c>
      <c r="I276" s="208">
        <v>8570</v>
      </c>
      <c r="J276" s="208">
        <v>903</v>
      </c>
      <c r="K276" s="208">
        <v>806.28</v>
      </c>
      <c r="L276" s="208">
        <v>2940</v>
      </c>
      <c r="M276" s="208" t="s">
        <v>244</v>
      </c>
      <c r="N276" s="208">
        <v>-1100</v>
      </c>
      <c r="O276" s="208">
        <v>1300</v>
      </c>
      <c r="P276" s="208">
        <v>-800</v>
      </c>
      <c r="Q276" s="208">
        <v>800</v>
      </c>
    </row>
    <row r="277" spans="1:17">
      <c r="A277" s="218">
        <v>44196</v>
      </c>
      <c r="B277" s="208" t="s">
        <v>260</v>
      </c>
      <c r="C277" s="208" t="s">
        <v>8</v>
      </c>
      <c r="D277" s="208">
        <v>2019</v>
      </c>
      <c r="E277" s="208" t="s">
        <v>175</v>
      </c>
      <c r="F277" s="208" t="s">
        <v>95</v>
      </c>
      <c r="G277" s="208" t="s">
        <v>243</v>
      </c>
      <c r="H277" s="208">
        <v>75</v>
      </c>
      <c r="I277" s="208">
        <v>38087</v>
      </c>
      <c r="J277" s="208">
        <v>2483.25</v>
      </c>
      <c r="K277" s="208">
        <v>6190</v>
      </c>
      <c r="L277" s="208">
        <v>16011.75</v>
      </c>
      <c r="M277" s="208" t="s">
        <v>244</v>
      </c>
      <c r="N277" s="208">
        <v>-1100</v>
      </c>
      <c r="O277" s="208">
        <v>1300</v>
      </c>
      <c r="P277" s="208">
        <v>-800</v>
      </c>
      <c r="Q277" s="208">
        <v>800</v>
      </c>
    </row>
    <row r="278" spans="1:17">
      <c r="A278" s="218">
        <v>44196</v>
      </c>
      <c r="B278" s="208" t="s">
        <v>258</v>
      </c>
      <c r="C278" s="208" t="s">
        <v>8</v>
      </c>
      <c r="D278" s="208">
        <v>2019</v>
      </c>
      <c r="E278" s="208" t="s">
        <v>175</v>
      </c>
      <c r="F278" s="208" t="s">
        <v>95</v>
      </c>
      <c r="G278" s="208" t="s">
        <v>243</v>
      </c>
      <c r="H278" s="208">
        <v>25</v>
      </c>
      <c r="I278" s="208">
        <v>8570</v>
      </c>
      <c r="J278" s="208">
        <v>903</v>
      </c>
      <c r="K278" s="208">
        <v>806.28</v>
      </c>
      <c r="L278" s="208">
        <v>2940</v>
      </c>
      <c r="M278" s="208" t="s">
        <v>244</v>
      </c>
      <c r="N278" s="208">
        <v>-1100</v>
      </c>
      <c r="O278" s="208">
        <v>1300</v>
      </c>
      <c r="P278" s="208">
        <v>-800</v>
      </c>
      <c r="Q278" s="208">
        <v>800</v>
      </c>
    </row>
    <row r="279" spans="1:17">
      <c r="A279" s="218">
        <v>44196</v>
      </c>
      <c r="B279" s="208" t="s">
        <v>225</v>
      </c>
      <c r="C279" s="208" t="s">
        <v>8</v>
      </c>
      <c r="D279" s="208">
        <v>2019</v>
      </c>
      <c r="E279" s="208" t="s">
        <v>175</v>
      </c>
      <c r="F279" s="208" t="s">
        <v>95</v>
      </c>
      <c r="G279" s="208" t="s">
        <v>243</v>
      </c>
      <c r="H279" s="208">
        <v>16</v>
      </c>
      <c r="I279" s="208">
        <v>11670</v>
      </c>
      <c r="J279" s="208">
        <v>301</v>
      </c>
      <c r="K279" s="208">
        <v>300</v>
      </c>
      <c r="L279" s="208">
        <v>6129</v>
      </c>
      <c r="M279" s="208" t="s">
        <v>244</v>
      </c>
      <c r="N279" s="208">
        <v>-1100</v>
      </c>
      <c r="O279" s="208">
        <v>1300</v>
      </c>
      <c r="P279" s="208">
        <v>-800</v>
      </c>
      <c r="Q279" s="208">
        <v>800</v>
      </c>
    </row>
    <row r="280" spans="1:17">
      <c r="A280" s="218">
        <v>44196</v>
      </c>
      <c r="B280" s="208" t="s">
        <v>36</v>
      </c>
      <c r="C280" s="208" t="s">
        <v>8</v>
      </c>
      <c r="D280" s="208">
        <v>2019</v>
      </c>
      <c r="E280" s="208" t="s">
        <v>102</v>
      </c>
      <c r="F280" s="208" t="s">
        <v>95</v>
      </c>
      <c r="G280" s="208" t="s">
        <v>243</v>
      </c>
      <c r="H280" s="208">
        <v>27</v>
      </c>
      <c r="I280" s="208">
        <v>17045</v>
      </c>
      <c r="J280" s="208">
        <v>752.5</v>
      </c>
      <c r="K280" s="208">
        <v>0</v>
      </c>
      <c r="L280" s="208">
        <v>12179.75</v>
      </c>
      <c r="M280" s="208" t="s">
        <v>244</v>
      </c>
      <c r="N280" s="208">
        <v>-1100</v>
      </c>
      <c r="O280" s="208">
        <v>1550</v>
      </c>
      <c r="P280" s="208">
        <v>-800</v>
      </c>
      <c r="Q280" s="208">
        <v>800</v>
      </c>
    </row>
    <row r="281" spans="1:17">
      <c r="A281" s="218">
        <v>44196</v>
      </c>
      <c r="B281" s="208" t="s">
        <v>258</v>
      </c>
      <c r="C281" s="208" t="s">
        <v>8</v>
      </c>
      <c r="D281" s="208">
        <v>2019</v>
      </c>
      <c r="E281" s="208" t="s">
        <v>102</v>
      </c>
      <c r="F281" s="208" t="s">
        <v>95</v>
      </c>
      <c r="G281" s="208" t="s">
        <v>243</v>
      </c>
      <c r="H281" s="208">
        <v>33</v>
      </c>
      <c r="I281" s="208">
        <v>19587.599999999999</v>
      </c>
      <c r="J281" s="208">
        <v>1429.75</v>
      </c>
      <c r="K281" s="208">
        <v>2956.28</v>
      </c>
      <c r="L281" s="208">
        <v>6302.76</v>
      </c>
      <c r="M281" s="208" t="s">
        <v>244</v>
      </c>
      <c r="N281" s="208">
        <v>-1100</v>
      </c>
      <c r="O281" s="208">
        <v>1550</v>
      </c>
      <c r="P281" s="208">
        <v>-800</v>
      </c>
      <c r="Q281" s="208">
        <v>800</v>
      </c>
    </row>
    <row r="282" spans="1:17">
      <c r="A282" s="218">
        <v>44196</v>
      </c>
      <c r="B282" s="208" t="s">
        <v>258</v>
      </c>
      <c r="C282" s="208" t="s">
        <v>8</v>
      </c>
      <c r="D282" s="208">
        <v>2020</v>
      </c>
      <c r="E282" s="208" t="s">
        <v>102</v>
      </c>
      <c r="F282" s="208" t="s">
        <v>95</v>
      </c>
      <c r="G282" s="208" t="s">
        <v>243</v>
      </c>
      <c r="H282" s="208">
        <v>58</v>
      </c>
      <c r="I282" s="208">
        <v>34873</v>
      </c>
      <c r="J282" s="208">
        <v>2709</v>
      </c>
      <c r="K282" s="208">
        <v>2150.0800000000008</v>
      </c>
      <c r="L282" s="208">
        <v>15515.999999999998</v>
      </c>
      <c r="M282" s="208" t="s">
        <v>244</v>
      </c>
      <c r="N282" s="208">
        <v>-810</v>
      </c>
      <c r="O282" s="208">
        <v>1572</v>
      </c>
      <c r="P282" s="208">
        <v>-600</v>
      </c>
      <c r="Q282" s="208">
        <v>800</v>
      </c>
    </row>
    <row r="283" spans="1:17">
      <c r="A283" s="218">
        <v>44196</v>
      </c>
      <c r="B283" s="208" t="s">
        <v>225</v>
      </c>
      <c r="C283" s="208" t="s">
        <v>8</v>
      </c>
      <c r="D283" s="208">
        <v>2019</v>
      </c>
      <c r="E283" s="208" t="s">
        <v>102</v>
      </c>
      <c r="F283" s="208" t="s">
        <v>95</v>
      </c>
      <c r="G283" s="208" t="s">
        <v>243</v>
      </c>
      <c r="H283" s="208">
        <v>23</v>
      </c>
      <c r="I283" s="208">
        <v>15150</v>
      </c>
      <c r="J283" s="208">
        <v>483.75</v>
      </c>
      <c r="K283" s="208">
        <v>0</v>
      </c>
      <c r="L283" s="208">
        <v>8353.75</v>
      </c>
      <c r="M283" s="208" t="s">
        <v>244</v>
      </c>
      <c r="N283" s="208">
        <v>-1100</v>
      </c>
      <c r="O283" s="208">
        <v>1550</v>
      </c>
      <c r="P283" s="208">
        <v>-800</v>
      </c>
      <c r="Q283" s="208">
        <v>800</v>
      </c>
    </row>
    <row r="284" spans="1:17">
      <c r="A284" s="218">
        <v>44196</v>
      </c>
      <c r="B284" s="208" t="s">
        <v>260</v>
      </c>
      <c r="C284" s="208" t="s">
        <v>8</v>
      </c>
      <c r="D284" s="208">
        <v>2019</v>
      </c>
      <c r="E284" s="208" t="s">
        <v>102</v>
      </c>
      <c r="F284" s="208" t="s">
        <v>95</v>
      </c>
      <c r="G284" s="208" t="s">
        <v>243</v>
      </c>
      <c r="H284" s="208">
        <v>53</v>
      </c>
      <c r="I284" s="208">
        <v>38156</v>
      </c>
      <c r="J284" s="208">
        <v>1881.25</v>
      </c>
      <c r="K284" s="208">
        <v>5043</v>
      </c>
      <c r="L284" s="208">
        <v>16903</v>
      </c>
      <c r="M284" s="208" t="s">
        <v>244</v>
      </c>
      <c r="N284" s="208">
        <v>-1100</v>
      </c>
      <c r="O284" s="208">
        <v>1550</v>
      </c>
      <c r="P284" s="208">
        <v>-800</v>
      </c>
      <c r="Q284" s="208">
        <v>800</v>
      </c>
    </row>
    <row r="285" spans="1:17">
      <c r="A285" s="218">
        <v>44196</v>
      </c>
      <c r="B285" s="208" t="s">
        <v>31</v>
      </c>
      <c r="C285" s="208" t="s">
        <v>8</v>
      </c>
      <c r="D285" s="208">
        <v>2020</v>
      </c>
      <c r="E285" s="208" t="s">
        <v>102</v>
      </c>
      <c r="F285" s="208" t="s">
        <v>95</v>
      </c>
      <c r="G285" s="208" t="s">
        <v>243</v>
      </c>
      <c r="H285" s="208">
        <v>58</v>
      </c>
      <c r="I285" s="208">
        <v>34873</v>
      </c>
      <c r="J285" s="208">
        <v>2709</v>
      </c>
      <c r="K285" s="208">
        <v>2150.0800000000008</v>
      </c>
      <c r="L285" s="208">
        <v>15515.999999999998</v>
      </c>
      <c r="M285" s="208" t="s">
        <v>244</v>
      </c>
      <c r="N285" s="208">
        <v>-810</v>
      </c>
      <c r="O285" s="208">
        <v>1572</v>
      </c>
      <c r="P285" s="208">
        <v>-600</v>
      </c>
      <c r="Q285" s="208">
        <v>800</v>
      </c>
    </row>
    <row r="286" spans="1:17">
      <c r="A286" s="218">
        <v>44196</v>
      </c>
      <c r="B286" s="208" t="s">
        <v>36</v>
      </c>
      <c r="C286" s="208" t="s">
        <v>8</v>
      </c>
      <c r="D286" s="208">
        <v>2020</v>
      </c>
      <c r="E286" s="208" t="s">
        <v>102</v>
      </c>
      <c r="F286" s="208" t="s">
        <v>95</v>
      </c>
      <c r="G286" s="208" t="s">
        <v>243</v>
      </c>
      <c r="H286" s="208">
        <v>42</v>
      </c>
      <c r="I286" s="208">
        <v>34236</v>
      </c>
      <c r="J286" s="208">
        <v>1225.5</v>
      </c>
      <c r="K286" s="208">
        <v>0</v>
      </c>
      <c r="L286" s="208">
        <v>24833.25</v>
      </c>
      <c r="M286" s="208" t="s">
        <v>244</v>
      </c>
      <c r="N286" s="208">
        <v>-810</v>
      </c>
      <c r="O286" s="208">
        <v>1572</v>
      </c>
      <c r="P286" s="208">
        <v>-600</v>
      </c>
      <c r="Q286" s="208">
        <v>800</v>
      </c>
    </row>
    <row r="287" spans="1:17">
      <c r="A287" s="218">
        <v>44196</v>
      </c>
      <c r="B287" s="208" t="s">
        <v>260</v>
      </c>
      <c r="C287" s="208" t="s">
        <v>8</v>
      </c>
      <c r="D287" s="208">
        <v>2020</v>
      </c>
      <c r="E287" s="208" t="s">
        <v>102</v>
      </c>
      <c r="F287" s="208" t="s">
        <v>95</v>
      </c>
      <c r="G287" s="208" t="s">
        <v>243</v>
      </c>
      <c r="H287" s="208">
        <v>100</v>
      </c>
      <c r="I287" s="208">
        <v>76056</v>
      </c>
      <c r="J287" s="208">
        <v>4063.5</v>
      </c>
      <c r="K287" s="208">
        <v>8890</v>
      </c>
      <c r="L287" s="208">
        <v>30649</v>
      </c>
      <c r="M287" s="208" t="s">
        <v>244</v>
      </c>
      <c r="N287" s="208">
        <v>-810</v>
      </c>
      <c r="O287" s="208">
        <v>1572</v>
      </c>
      <c r="P287" s="208">
        <v>-600</v>
      </c>
      <c r="Q287" s="208">
        <v>800</v>
      </c>
    </row>
    <row r="288" spans="1:17">
      <c r="A288" s="218">
        <v>44196</v>
      </c>
      <c r="B288" s="208" t="s">
        <v>35</v>
      </c>
      <c r="C288" s="208" t="s">
        <v>8</v>
      </c>
      <c r="D288" s="208">
        <v>2020</v>
      </c>
      <c r="E288" s="208" t="s">
        <v>102</v>
      </c>
      <c r="F288" s="208" t="s">
        <v>95</v>
      </c>
      <c r="G288" s="208" t="s">
        <v>243</v>
      </c>
      <c r="H288" s="208">
        <v>15</v>
      </c>
      <c r="I288" s="208">
        <v>11005</v>
      </c>
      <c r="J288" s="208">
        <v>301</v>
      </c>
      <c r="K288" s="208">
        <v>7789</v>
      </c>
      <c r="L288" s="208">
        <v>1545</v>
      </c>
      <c r="M288" s="208" t="s">
        <v>244</v>
      </c>
      <c r="N288" s="208">
        <v>-810</v>
      </c>
      <c r="O288" s="208">
        <v>1572</v>
      </c>
      <c r="P288" s="208">
        <v>-600</v>
      </c>
      <c r="Q288" s="208">
        <v>800</v>
      </c>
    </row>
    <row r="289" spans="1:17">
      <c r="A289" s="218">
        <v>44196</v>
      </c>
      <c r="B289" s="208" t="s">
        <v>261</v>
      </c>
      <c r="C289" s="208" t="s">
        <v>8</v>
      </c>
      <c r="D289" s="208">
        <v>2020</v>
      </c>
      <c r="E289" s="208" t="s">
        <v>102</v>
      </c>
      <c r="F289" s="208" t="s">
        <v>95</v>
      </c>
      <c r="G289" s="208" t="s">
        <v>243</v>
      </c>
      <c r="H289" s="208">
        <v>15</v>
      </c>
      <c r="I289" s="208">
        <v>11005</v>
      </c>
      <c r="J289" s="208">
        <v>301</v>
      </c>
      <c r="K289" s="208">
        <v>7789</v>
      </c>
      <c r="L289" s="208">
        <v>1545</v>
      </c>
      <c r="M289" s="208" t="s">
        <v>244</v>
      </c>
      <c r="N289" s="208">
        <v>-810</v>
      </c>
      <c r="O289" s="208">
        <v>1572</v>
      </c>
      <c r="P289" s="208">
        <v>-600</v>
      </c>
      <c r="Q289" s="208">
        <v>800</v>
      </c>
    </row>
    <row r="290" spans="1:17">
      <c r="A290" s="218">
        <v>44196</v>
      </c>
      <c r="B290" s="208" t="s">
        <v>35</v>
      </c>
      <c r="C290" s="208" t="s">
        <v>8</v>
      </c>
      <c r="D290" s="208">
        <v>2019</v>
      </c>
      <c r="E290" s="208" t="s">
        <v>102</v>
      </c>
      <c r="F290" s="208" t="s">
        <v>95</v>
      </c>
      <c r="G290" s="208" t="s">
        <v>243</v>
      </c>
      <c r="H290" s="208">
        <v>2</v>
      </c>
      <c r="I290" s="208">
        <v>1350</v>
      </c>
      <c r="J290" s="208">
        <v>75.25</v>
      </c>
      <c r="K290" s="208">
        <v>0</v>
      </c>
      <c r="L290" s="208">
        <v>1224.75</v>
      </c>
      <c r="M290" s="208" t="s">
        <v>244</v>
      </c>
      <c r="N290" s="208">
        <v>-1100</v>
      </c>
      <c r="O290" s="208">
        <v>1550</v>
      </c>
      <c r="P290" s="208">
        <v>-800</v>
      </c>
      <c r="Q290" s="208">
        <v>800</v>
      </c>
    </row>
    <row r="291" spans="1:17">
      <c r="A291" s="218">
        <v>44196</v>
      </c>
      <c r="B291" s="208" t="s">
        <v>29</v>
      </c>
      <c r="C291" s="208" t="s">
        <v>8</v>
      </c>
      <c r="D291" s="208">
        <v>2019</v>
      </c>
      <c r="E291" s="208" t="s">
        <v>102</v>
      </c>
      <c r="F291" s="208" t="s">
        <v>95</v>
      </c>
      <c r="G291" s="208" t="s">
        <v>243</v>
      </c>
      <c r="H291" s="208">
        <v>53</v>
      </c>
      <c r="I291" s="208">
        <v>38156</v>
      </c>
      <c r="J291" s="208">
        <v>1881.25</v>
      </c>
      <c r="K291" s="208">
        <v>5043</v>
      </c>
      <c r="L291" s="208">
        <v>16903</v>
      </c>
      <c r="M291" s="208" t="s">
        <v>244</v>
      </c>
      <c r="N291" s="208">
        <v>-1100</v>
      </c>
      <c r="O291" s="208">
        <v>1550</v>
      </c>
      <c r="P291" s="208">
        <v>-800</v>
      </c>
      <c r="Q291" s="208">
        <v>800</v>
      </c>
    </row>
    <row r="292" spans="1:17">
      <c r="A292" s="218">
        <v>44196</v>
      </c>
      <c r="B292" s="208" t="s">
        <v>259</v>
      </c>
      <c r="C292" s="208" t="s">
        <v>8</v>
      </c>
      <c r="D292" s="208">
        <v>2020</v>
      </c>
      <c r="E292" s="208" t="s">
        <v>102</v>
      </c>
      <c r="F292" s="208" t="s">
        <v>95</v>
      </c>
      <c r="G292" s="208" t="s">
        <v>243</v>
      </c>
      <c r="H292" s="208">
        <v>42</v>
      </c>
      <c r="I292" s="208">
        <v>34236</v>
      </c>
      <c r="J292" s="208">
        <v>1225.5</v>
      </c>
      <c r="K292" s="208">
        <v>0</v>
      </c>
      <c r="L292" s="208">
        <v>24833.25</v>
      </c>
      <c r="M292" s="208" t="s">
        <v>244</v>
      </c>
      <c r="N292" s="208">
        <v>-810</v>
      </c>
      <c r="O292" s="208">
        <v>1572</v>
      </c>
      <c r="P292" s="208">
        <v>-600</v>
      </c>
      <c r="Q292" s="208">
        <v>800</v>
      </c>
    </row>
    <row r="293" spans="1:17">
      <c r="A293" s="218">
        <v>44196</v>
      </c>
      <c r="B293" s="208" t="s">
        <v>225</v>
      </c>
      <c r="C293" s="208" t="s">
        <v>8</v>
      </c>
      <c r="D293" s="208">
        <v>2020</v>
      </c>
      <c r="E293" s="208" t="s">
        <v>102</v>
      </c>
      <c r="F293" s="208" t="s">
        <v>95</v>
      </c>
      <c r="G293" s="208" t="s">
        <v>243</v>
      </c>
      <c r="H293" s="208">
        <v>26</v>
      </c>
      <c r="I293" s="208">
        <v>19765</v>
      </c>
      <c r="J293" s="208">
        <v>827.75</v>
      </c>
      <c r="K293" s="208">
        <v>59.13</v>
      </c>
      <c r="L293" s="208">
        <v>12844.75</v>
      </c>
      <c r="M293" s="208" t="s">
        <v>244</v>
      </c>
      <c r="N293" s="208">
        <v>-810</v>
      </c>
      <c r="O293" s="208">
        <v>1572</v>
      </c>
      <c r="P293" s="208">
        <v>-600</v>
      </c>
      <c r="Q293" s="208">
        <v>800</v>
      </c>
    </row>
    <row r="294" spans="1:17">
      <c r="A294" s="218">
        <v>44196</v>
      </c>
      <c r="B294" s="208" t="s">
        <v>259</v>
      </c>
      <c r="C294" s="208" t="s">
        <v>8</v>
      </c>
      <c r="D294" s="208">
        <v>2019</v>
      </c>
      <c r="E294" s="208" t="s">
        <v>102</v>
      </c>
      <c r="F294" s="208" t="s">
        <v>95</v>
      </c>
      <c r="G294" s="208" t="s">
        <v>243</v>
      </c>
      <c r="H294" s="208">
        <v>27</v>
      </c>
      <c r="I294" s="208">
        <v>17045</v>
      </c>
      <c r="J294" s="208">
        <v>752.5</v>
      </c>
      <c r="K294" s="208">
        <v>0</v>
      </c>
      <c r="L294" s="208">
        <v>12179.75</v>
      </c>
      <c r="M294" s="208" t="s">
        <v>244</v>
      </c>
      <c r="N294" s="208">
        <v>-1100</v>
      </c>
      <c r="O294" s="208">
        <v>1550</v>
      </c>
      <c r="P294" s="208">
        <v>-800</v>
      </c>
      <c r="Q294" s="208">
        <v>800</v>
      </c>
    </row>
    <row r="295" spans="1:17">
      <c r="A295" s="218">
        <v>44196</v>
      </c>
      <c r="B295" s="208" t="s">
        <v>37</v>
      </c>
      <c r="C295" s="208" t="s">
        <v>8</v>
      </c>
      <c r="D295" s="208">
        <v>2019</v>
      </c>
      <c r="E295" s="208" t="s">
        <v>102</v>
      </c>
      <c r="F295" s="208" t="s">
        <v>95</v>
      </c>
      <c r="G295" s="208" t="s">
        <v>243</v>
      </c>
      <c r="H295" s="208">
        <v>23</v>
      </c>
      <c r="I295" s="208">
        <v>15150</v>
      </c>
      <c r="J295" s="208">
        <v>483.75</v>
      </c>
      <c r="K295" s="208">
        <v>0</v>
      </c>
      <c r="L295" s="208">
        <v>8353.75</v>
      </c>
      <c r="M295" s="208" t="s">
        <v>244</v>
      </c>
      <c r="N295" s="208">
        <v>-1100</v>
      </c>
      <c r="O295" s="208">
        <v>1550</v>
      </c>
      <c r="P295" s="208">
        <v>-800</v>
      </c>
      <c r="Q295" s="208">
        <v>800</v>
      </c>
    </row>
    <row r="296" spans="1:17">
      <c r="A296" s="218">
        <v>44196</v>
      </c>
      <c r="B296" s="208" t="s">
        <v>29</v>
      </c>
      <c r="C296" s="208" t="s">
        <v>8</v>
      </c>
      <c r="D296" s="208">
        <v>2020</v>
      </c>
      <c r="E296" s="208" t="s">
        <v>102</v>
      </c>
      <c r="F296" s="208" t="s">
        <v>95</v>
      </c>
      <c r="G296" s="208" t="s">
        <v>243</v>
      </c>
      <c r="H296" s="208">
        <v>100</v>
      </c>
      <c r="I296" s="208">
        <v>76056</v>
      </c>
      <c r="J296" s="208">
        <v>4063.5</v>
      </c>
      <c r="K296" s="208">
        <v>8890</v>
      </c>
      <c r="L296" s="208">
        <v>30649</v>
      </c>
      <c r="M296" s="208" t="s">
        <v>244</v>
      </c>
      <c r="N296" s="208">
        <v>-810</v>
      </c>
      <c r="O296" s="208">
        <v>1572</v>
      </c>
      <c r="P296" s="208">
        <v>-600</v>
      </c>
      <c r="Q296" s="208">
        <v>800</v>
      </c>
    </row>
    <row r="297" spans="1:17">
      <c r="A297" s="218">
        <v>44196</v>
      </c>
      <c r="B297" s="208" t="s">
        <v>31</v>
      </c>
      <c r="C297" s="208" t="s">
        <v>8</v>
      </c>
      <c r="D297" s="208">
        <v>2019</v>
      </c>
      <c r="E297" s="208" t="s">
        <v>102</v>
      </c>
      <c r="F297" s="208" t="s">
        <v>95</v>
      </c>
      <c r="G297" s="208" t="s">
        <v>243</v>
      </c>
      <c r="H297" s="208">
        <v>33</v>
      </c>
      <c r="I297" s="208">
        <v>19587.599999999999</v>
      </c>
      <c r="J297" s="208">
        <v>1429.75</v>
      </c>
      <c r="K297" s="208">
        <v>2956.2800000000007</v>
      </c>
      <c r="L297" s="208">
        <v>6302.76</v>
      </c>
      <c r="M297" s="208" t="s">
        <v>244</v>
      </c>
      <c r="N297" s="208">
        <v>-1100</v>
      </c>
      <c r="O297" s="208">
        <v>1550</v>
      </c>
      <c r="P297" s="208">
        <v>-800</v>
      </c>
      <c r="Q297" s="208">
        <v>800</v>
      </c>
    </row>
    <row r="298" spans="1:17">
      <c r="A298" s="218">
        <v>44196</v>
      </c>
      <c r="B298" s="208" t="s">
        <v>261</v>
      </c>
      <c r="C298" s="208" t="s">
        <v>8</v>
      </c>
      <c r="D298" s="208">
        <v>2019</v>
      </c>
      <c r="E298" s="208" t="s">
        <v>102</v>
      </c>
      <c r="F298" s="208" t="s">
        <v>95</v>
      </c>
      <c r="G298" s="208" t="s">
        <v>243</v>
      </c>
      <c r="H298" s="208">
        <v>2</v>
      </c>
      <c r="I298" s="208">
        <v>1350</v>
      </c>
      <c r="J298" s="208">
        <v>75.25</v>
      </c>
      <c r="K298" s="208">
        <v>0</v>
      </c>
      <c r="L298" s="208">
        <v>1224.75</v>
      </c>
      <c r="M298" s="208" t="s">
        <v>244</v>
      </c>
      <c r="N298" s="208">
        <v>-1100</v>
      </c>
      <c r="O298" s="208">
        <v>1550</v>
      </c>
      <c r="P298" s="208">
        <v>-800</v>
      </c>
      <c r="Q298" s="208">
        <v>800</v>
      </c>
    </row>
    <row r="299" spans="1:17">
      <c r="A299" s="218">
        <v>44196</v>
      </c>
      <c r="B299" s="208" t="s">
        <v>37</v>
      </c>
      <c r="C299" s="208" t="s">
        <v>8</v>
      </c>
      <c r="D299" s="208">
        <v>2020</v>
      </c>
      <c r="E299" s="208" t="s">
        <v>102</v>
      </c>
      <c r="F299" s="208" t="s">
        <v>95</v>
      </c>
      <c r="G299" s="208" t="s">
        <v>243</v>
      </c>
      <c r="H299" s="208">
        <v>26</v>
      </c>
      <c r="I299" s="208">
        <v>19765</v>
      </c>
      <c r="J299" s="208">
        <v>827.75</v>
      </c>
      <c r="K299" s="208">
        <v>59.13</v>
      </c>
      <c r="L299" s="208">
        <v>12844.75</v>
      </c>
      <c r="M299" s="208" t="s">
        <v>244</v>
      </c>
      <c r="N299" s="208">
        <v>-810</v>
      </c>
      <c r="O299" s="208">
        <v>1572</v>
      </c>
      <c r="P299" s="208">
        <v>-600</v>
      </c>
      <c r="Q299" s="208">
        <v>800</v>
      </c>
    </row>
    <row r="300" spans="1:17">
      <c r="A300" s="218">
        <v>44196</v>
      </c>
      <c r="B300" s="208" t="s">
        <v>225</v>
      </c>
      <c r="C300" s="208" t="s">
        <v>8</v>
      </c>
      <c r="D300" s="208">
        <v>2019</v>
      </c>
      <c r="E300" s="208" t="s">
        <v>103</v>
      </c>
      <c r="F300" s="208" t="s">
        <v>95</v>
      </c>
      <c r="G300" s="208" t="s">
        <v>243</v>
      </c>
      <c r="H300" s="208">
        <v>1</v>
      </c>
      <c r="I300" s="208">
        <v>350</v>
      </c>
      <c r="J300" s="208">
        <v>63</v>
      </c>
      <c r="K300" s="208">
        <v>0</v>
      </c>
      <c r="L300" s="208">
        <v>287</v>
      </c>
      <c r="M300" s="208" t="s">
        <v>244</v>
      </c>
      <c r="N300" s="208">
        <v>-230</v>
      </c>
      <c r="O300" s="208">
        <v>350</v>
      </c>
      <c r="P300" s="208">
        <v>-112.5</v>
      </c>
      <c r="Q300" s="208">
        <v>287</v>
      </c>
    </row>
    <row r="301" spans="1:17">
      <c r="A301" s="218">
        <v>44196</v>
      </c>
      <c r="B301" s="208" t="s">
        <v>225</v>
      </c>
      <c r="C301" s="208" t="s">
        <v>8</v>
      </c>
      <c r="D301" s="208">
        <v>2020</v>
      </c>
      <c r="E301" s="208" t="s">
        <v>103</v>
      </c>
      <c r="F301" s="208" t="s">
        <v>95</v>
      </c>
      <c r="G301" s="208" t="s">
        <v>243</v>
      </c>
      <c r="H301" s="208">
        <v>6</v>
      </c>
      <c r="I301" s="208">
        <v>1105</v>
      </c>
      <c r="J301" s="208">
        <v>405</v>
      </c>
      <c r="K301" s="208">
        <v>0</v>
      </c>
      <c r="L301" s="208">
        <v>645</v>
      </c>
      <c r="M301" s="208" t="s">
        <v>244</v>
      </c>
      <c r="N301" s="208">
        <v>140</v>
      </c>
      <c r="O301" s="208">
        <v>230</v>
      </c>
      <c r="P301" s="208">
        <v>77</v>
      </c>
      <c r="Q301" s="208">
        <v>133</v>
      </c>
    </row>
    <row r="302" spans="1:17">
      <c r="A302" s="218">
        <v>44196</v>
      </c>
      <c r="B302" s="208" t="s">
        <v>29</v>
      </c>
      <c r="C302" s="208" t="s">
        <v>8</v>
      </c>
      <c r="D302" s="208">
        <v>2019</v>
      </c>
      <c r="E302" s="208" t="s">
        <v>103</v>
      </c>
      <c r="F302" s="208" t="s">
        <v>95</v>
      </c>
      <c r="G302" s="208" t="s">
        <v>243</v>
      </c>
      <c r="H302" s="208">
        <v>6</v>
      </c>
      <c r="I302" s="208">
        <v>1247</v>
      </c>
      <c r="J302" s="208">
        <v>396</v>
      </c>
      <c r="K302" s="208">
        <v>0</v>
      </c>
      <c r="L302" s="208">
        <v>851</v>
      </c>
      <c r="M302" s="208" t="s">
        <v>244</v>
      </c>
      <c r="N302" s="208">
        <v>-230</v>
      </c>
      <c r="O302" s="208">
        <v>350</v>
      </c>
      <c r="P302" s="208">
        <v>-112.5</v>
      </c>
      <c r="Q302" s="208">
        <v>287</v>
      </c>
    </row>
    <row r="303" spans="1:17">
      <c r="A303" s="218">
        <v>44196</v>
      </c>
      <c r="B303" s="208" t="s">
        <v>37</v>
      </c>
      <c r="C303" s="208" t="s">
        <v>8</v>
      </c>
      <c r="D303" s="208">
        <v>2020</v>
      </c>
      <c r="E303" s="208" t="s">
        <v>103</v>
      </c>
      <c r="F303" s="208" t="s">
        <v>95</v>
      </c>
      <c r="G303" s="208" t="s">
        <v>243</v>
      </c>
      <c r="H303" s="208">
        <v>6</v>
      </c>
      <c r="I303" s="208">
        <v>1105</v>
      </c>
      <c r="J303" s="208">
        <v>405</v>
      </c>
      <c r="K303" s="208">
        <v>0</v>
      </c>
      <c r="L303" s="208">
        <v>645</v>
      </c>
      <c r="M303" s="208" t="s">
        <v>244</v>
      </c>
      <c r="N303" s="208">
        <v>140</v>
      </c>
      <c r="O303" s="208">
        <v>230</v>
      </c>
      <c r="P303" s="208">
        <v>77</v>
      </c>
      <c r="Q303" s="208">
        <v>133</v>
      </c>
    </row>
    <row r="304" spans="1:17">
      <c r="A304" s="218">
        <v>44196</v>
      </c>
      <c r="B304" s="208" t="s">
        <v>258</v>
      </c>
      <c r="C304" s="208" t="s">
        <v>8</v>
      </c>
      <c r="D304" s="208">
        <v>2019</v>
      </c>
      <c r="E304" s="208" t="s">
        <v>103</v>
      </c>
      <c r="F304" s="208" t="s">
        <v>95</v>
      </c>
      <c r="G304" s="208" t="s">
        <v>243</v>
      </c>
      <c r="H304" s="208">
        <v>8</v>
      </c>
      <c r="I304" s="208">
        <v>920</v>
      </c>
      <c r="J304" s="208">
        <v>252</v>
      </c>
      <c r="K304" s="208">
        <v>225</v>
      </c>
      <c r="L304" s="208">
        <v>334</v>
      </c>
      <c r="M304" s="208" t="s">
        <v>244</v>
      </c>
      <c r="N304" s="208">
        <v>-230</v>
      </c>
      <c r="O304" s="208">
        <v>350</v>
      </c>
      <c r="P304" s="208">
        <v>-112.5</v>
      </c>
      <c r="Q304" s="208">
        <v>287</v>
      </c>
    </row>
    <row r="305" spans="1:17">
      <c r="A305" s="218">
        <v>44196</v>
      </c>
      <c r="B305" s="208" t="s">
        <v>258</v>
      </c>
      <c r="C305" s="208" t="s">
        <v>8</v>
      </c>
      <c r="D305" s="208">
        <v>2020</v>
      </c>
      <c r="E305" s="208" t="s">
        <v>103</v>
      </c>
      <c r="F305" s="208" t="s">
        <v>95</v>
      </c>
      <c r="G305" s="208" t="s">
        <v>243</v>
      </c>
      <c r="H305" s="208">
        <v>9</v>
      </c>
      <c r="I305" s="208">
        <v>1638</v>
      </c>
      <c r="J305" s="208">
        <v>567</v>
      </c>
      <c r="K305" s="208">
        <v>0</v>
      </c>
      <c r="L305" s="208">
        <v>1071</v>
      </c>
      <c r="M305" s="208" t="s">
        <v>244</v>
      </c>
      <c r="N305" s="208">
        <v>140</v>
      </c>
      <c r="O305" s="208">
        <v>230</v>
      </c>
      <c r="P305" s="208">
        <v>77</v>
      </c>
      <c r="Q305" s="208">
        <v>133</v>
      </c>
    </row>
    <row r="306" spans="1:17">
      <c r="A306" s="218">
        <v>44196</v>
      </c>
      <c r="B306" s="208" t="s">
        <v>36</v>
      </c>
      <c r="C306" s="208" t="s">
        <v>8</v>
      </c>
      <c r="D306" s="208">
        <v>2019</v>
      </c>
      <c r="E306" s="208" t="s">
        <v>103</v>
      </c>
      <c r="F306" s="208" t="s">
        <v>95</v>
      </c>
      <c r="G306" s="208" t="s">
        <v>243</v>
      </c>
      <c r="H306" s="208">
        <v>7</v>
      </c>
      <c r="I306" s="208">
        <v>1600</v>
      </c>
      <c r="J306" s="208">
        <v>441</v>
      </c>
      <c r="K306" s="208">
        <v>0</v>
      </c>
      <c r="L306" s="208">
        <v>1159</v>
      </c>
      <c r="M306" s="208" t="s">
        <v>244</v>
      </c>
      <c r="N306" s="208">
        <v>-230</v>
      </c>
      <c r="O306" s="208">
        <v>350</v>
      </c>
      <c r="P306" s="208">
        <v>-112.5</v>
      </c>
      <c r="Q306" s="208">
        <v>287</v>
      </c>
    </row>
    <row r="307" spans="1:17">
      <c r="A307" s="218">
        <v>44196</v>
      </c>
      <c r="B307" s="208" t="s">
        <v>260</v>
      </c>
      <c r="C307" s="208" t="s">
        <v>8</v>
      </c>
      <c r="D307" s="208">
        <v>2019</v>
      </c>
      <c r="E307" s="208" t="s">
        <v>103</v>
      </c>
      <c r="F307" s="208" t="s">
        <v>95</v>
      </c>
      <c r="G307" s="208" t="s">
        <v>243</v>
      </c>
      <c r="H307" s="208">
        <v>6</v>
      </c>
      <c r="I307" s="208">
        <v>1247</v>
      </c>
      <c r="J307" s="208">
        <v>396</v>
      </c>
      <c r="K307" s="208">
        <v>0</v>
      </c>
      <c r="L307" s="208">
        <v>851</v>
      </c>
      <c r="M307" s="208" t="s">
        <v>244</v>
      </c>
      <c r="N307" s="208">
        <v>-230</v>
      </c>
      <c r="O307" s="208">
        <v>350</v>
      </c>
      <c r="P307" s="208">
        <v>-112.5</v>
      </c>
      <c r="Q307" s="208">
        <v>287</v>
      </c>
    </row>
    <row r="308" spans="1:17">
      <c r="A308" s="218">
        <v>44196</v>
      </c>
      <c r="B308" s="208" t="s">
        <v>36</v>
      </c>
      <c r="C308" s="208" t="s">
        <v>8</v>
      </c>
      <c r="D308" s="208">
        <v>2020</v>
      </c>
      <c r="E308" s="208" t="s">
        <v>103</v>
      </c>
      <c r="F308" s="208" t="s">
        <v>95</v>
      </c>
      <c r="G308" s="208" t="s">
        <v>243</v>
      </c>
      <c r="H308" s="208">
        <v>3</v>
      </c>
      <c r="I308" s="208">
        <v>490</v>
      </c>
      <c r="J308" s="208">
        <v>216</v>
      </c>
      <c r="K308" s="208">
        <v>0</v>
      </c>
      <c r="L308" s="208">
        <v>274</v>
      </c>
      <c r="M308" s="208" t="s">
        <v>244</v>
      </c>
      <c r="N308" s="208">
        <v>140</v>
      </c>
      <c r="O308" s="208">
        <v>230</v>
      </c>
      <c r="P308" s="208">
        <v>77</v>
      </c>
      <c r="Q308" s="208">
        <v>133</v>
      </c>
    </row>
    <row r="309" spans="1:17">
      <c r="A309" s="218">
        <v>44196</v>
      </c>
      <c r="B309" s="208" t="s">
        <v>37</v>
      </c>
      <c r="C309" s="208" t="s">
        <v>8</v>
      </c>
      <c r="D309" s="208">
        <v>2019</v>
      </c>
      <c r="E309" s="208" t="s">
        <v>103</v>
      </c>
      <c r="F309" s="208" t="s">
        <v>95</v>
      </c>
      <c r="G309" s="208" t="s">
        <v>243</v>
      </c>
      <c r="H309" s="208">
        <v>1</v>
      </c>
      <c r="I309" s="208">
        <v>350</v>
      </c>
      <c r="J309" s="208">
        <v>63</v>
      </c>
      <c r="K309" s="208">
        <v>0</v>
      </c>
      <c r="L309" s="208">
        <v>287</v>
      </c>
      <c r="M309" s="208" t="s">
        <v>244</v>
      </c>
      <c r="N309" s="208">
        <v>-230</v>
      </c>
      <c r="O309" s="208">
        <v>350</v>
      </c>
      <c r="P309" s="208">
        <v>-112.5</v>
      </c>
      <c r="Q309" s="208">
        <v>287</v>
      </c>
    </row>
    <row r="310" spans="1:17">
      <c r="A310" s="218">
        <v>44196</v>
      </c>
      <c r="B310" s="208" t="s">
        <v>259</v>
      </c>
      <c r="C310" s="208" t="s">
        <v>8</v>
      </c>
      <c r="D310" s="208">
        <v>2020</v>
      </c>
      <c r="E310" s="208" t="s">
        <v>103</v>
      </c>
      <c r="F310" s="208" t="s">
        <v>95</v>
      </c>
      <c r="G310" s="208" t="s">
        <v>243</v>
      </c>
      <c r="H310" s="208">
        <v>3</v>
      </c>
      <c r="I310" s="208">
        <v>490</v>
      </c>
      <c r="J310" s="208">
        <v>216</v>
      </c>
      <c r="K310" s="208">
        <v>0</v>
      </c>
      <c r="L310" s="208">
        <v>274</v>
      </c>
      <c r="M310" s="208" t="s">
        <v>244</v>
      </c>
      <c r="N310" s="208">
        <v>140</v>
      </c>
      <c r="O310" s="208">
        <v>230</v>
      </c>
      <c r="P310" s="208">
        <v>77</v>
      </c>
      <c r="Q310" s="208">
        <v>133</v>
      </c>
    </row>
    <row r="311" spans="1:17">
      <c r="A311" s="218">
        <v>44196</v>
      </c>
      <c r="B311" s="208" t="s">
        <v>31</v>
      </c>
      <c r="C311" s="208" t="s">
        <v>8</v>
      </c>
      <c r="D311" s="208">
        <v>2019</v>
      </c>
      <c r="E311" s="208" t="s">
        <v>103</v>
      </c>
      <c r="F311" s="208" t="s">
        <v>95</v>
      </c>
      <c r="G311" s="208" t="s">
        <v>243</v>
      </c>
      <c r="H311" s="208">
        <v>8</v>
      </c>
      <c r="I311" s="208">
        <v>920</v>
      </c>
      <c r="J311" s="208">
        <v>252</v>
      </c>
      <c r="K311" s="208">
        <v>225</v>
      </c>
      <c r="L311" s="208">
        <v>334</v>
      </c>
      <c r="M311" s="208" t="s">
        <v>244</v>
      </c>
      <c r="N311" s="208">
        <v>-230</v>
      </c>
      <c r="O311" s="208">
        <v>350</v>
      </c>
      <c r="P311" s="208">
        <v>-112.5</v>
      </c>
      <c r="Q311" s="208">
        <v>287</v>
      </c>
    </row>
    <row r="312" spans="1:17">
      <c r="A312" s="218">
        <v>44196</v>
      </c>
      <c r="B312" s="208" t="s">
        <v>260</v>
      </c>
      <c r="C312" s="208" t="s">
        <v>8</v>
      </c>
      <c r="D312" s="208">
        <v>2020</v>
      </c>
      <c r="E312" s="208" t="s">
        <v>103</v>
      </c>
      <c r="F312" s="208" t="s">
        <v>95</v>
      </c>
      <c r="G312" s="208" t="s">
        <v>243</v>
      </c>
      <c r="H312" s="208">
        <v>37</v>
      </c>
      <c r="I312" s="208">
        <v>6475</v>
      </c>
      <c r="J312" s="208">
        <v>2349</v>
      </c>
      <c r="K312" s="208">
        <v>0</v>
      </c>
      <c r="L312" s="208">
        <v>4126</v>
      </c>
      <c r="M312" s="208" t="s">
        <v>244</v>
      </c>
      <c r="N312" s="208">
        <v>140</v>
      </c>
      <c r="O312" s="208">
        <v>230</v>
      </c>
      <c r="P312" s="208">
        <v>77</v>
      </c>
      <c r="Q312" s="208">
        <v>133</v>
      </c>
    </row>
    <row r="313" spans="1:17">
      <c r="A313" s="218">
        <v>44196</v>
      </c>
      <c r="B313" s="208" t="s">
        <v>259</v>
      </c>
      <c r="C313" s="208" t="s">
        <v>8</v>
      </c>
      <c r="D313" s="208">
        <v>2019</v>
      </c>
      <c r="E313" s="208" t="s">
        <v>103</v>
      </c>
      <c r="F313" s="208" t="s">
        <v>95</v>
      </c>
      <c r="G313" s="208" t="s">
        <v>243</v>
      </c>
      <c r="H313" s="208">
        <v>7</v>
      </c>
      <c r="I313" s="208">
        <v>1600</v>
      </c>
      <c r="J313" s="208">
        <v>441</v>
      </c>
      <c r="K313" s="208">
        <v>0</v>
      </c>
      <c r="L313" s="208">
        <v>1159</v>
      </c>
      <c r="M313" s="208" t="s">
        <v>244</v>
      </c>
      <c r="N313" s="208">
        <v>-230</v>
      </c>
      <c r="O313" s="208">
        <v>350</v>
      </c>
      <c r="P313" s="208">
        <v>-112.5</v>
      </c>
      <c r="Q313" s="208">
        <v>287</v>
      </c>
    </row>
    <row r="314" spans="1:17">
      <c r="A314" s="218">
        <v>44196</v>
      </c>
      <c r="B314" s="208" t="s">
        <v>31</v>
      </c>
      <c r="C314" s="208" t="s">
        <v>8</v>
      </c>
      <c r="D314" s="208">
        <v>2020</v>
      </c>
      <c r="E314" s="208" t="s">
        <v>103</v>
      </c>
      <c r="F314" s="208" t="s">
        <v>95</v>
      </c>
      <c r="G314" s="208" t="s">
        <v>243</v>
      </c>
      <c r="H314" s="208">
        <v>9</v>
      </c>
      <c r="I314" s="208">
        <v>1638</v>
      </c>
      <c r="J314" s="208">
        <v>567</v>
      </c>
      <c r="K314" s="208">
        <v>0</v>
      </c>
      <c r="L314" s="208">
        <v>1071</v>
      </c>
      <c r="M314" s="208" t="s">
        <v>244</v>
      </c>
      <c r="N314" s="208">
        <v>140</v>
      </c>
      <c r="O314" s="208">
        <v>230</v>
      </c>
      <c r="P314" s="208">
        <v>77</v>
      </c>
      <c r="Q314" s="208">
        <v>133</v>
      </c>
    </row>
    <row r="315" spans="1:17">
      <c r="A315" s="218">
        <v>44196</v>
      </c>
      <c r="B315" s="208" t="s">
        <v>29</v>
      </c>
      <c r="C315" s="208" t="s">
        <v>8</v>
      </c>
      <c r="D315" s="208">
        <v>2020</v>
      </c>
      <c r="E315" s="208" t="s">
        <v>103</v>
      </c>
      <c r="F315" s="208" t="s">
        <v>95</v>
      </c>
      <c r="G315" s="208" t="s">
        <v>243</v>
      </c>
      <c r="H315" s="208">
        <v>37</v>
      </c>
      <c r="I315" s="208">
        <v>6475</v>
      </c>
      <c r="J315" s="208">
        <v>2349</v>
      </c>
      <c r="K315" s="208">
        <v>0</v>
      </c>
      <c r="L315" s="208">
        <v>4126</v>
      </c>
      <c r="M315" s="208" t="s">
        <v>244</v>
      </c>
      <c r="N315" s="208">
        <v>140</v>
      </c>
      <c r="O315" s="208">
        <v>230</v>
      </c>
      <c r="P315" s="208">
        <v>77</v>
      </c>
      <c r="Q315" s="208">
        <v>133</v>
      </c>
    </row>
    <row r="316" spans="1:17">
      <c r="A316" s="218">
        <v>44196</v>
      </c>
      <c r="B316" s="208" t="s">
        <v>29</v>
      </c>
      <c r="C316" s="208" t="s">
        <v>8</v>
      </c>
      <c r="D316" s="208">
        <v>2020</v>
      </c>
      <c r="E316" s="208" t="s">
        <v>104</v>
      </c>
      <c r="F316" s="208" t="s">
        <v>95</v>
      </c>
      <c r="G316" s="208" t="s">
        <v>243</v>
      </c>
      <c r="H316" s="208">
        <v>49</v>
      </c>
      <c r="I316" s="208">
        <v>7875</v>
      </c>
      <c r="J316" s="208">
        <v>2835</v>
      </c>
      <c r="K316" s="208">
        <v>0</v>
      </c>
      <c r="L316" s="208">
        <v>5040</v>
      </c>
      <c r="M316" s="208" t="s">
        <v>244</v>
      </c>
      <c r="N316" s="208">
        <v>-175</v>
      </c>
      <c r="O316" s="208">
        <v>230</v>
      </c>
      <c r="P316" s="208">
        <v>-112</v>
      </c>
      <c r="Q316" s="208">
        <v>167</v>
      </c>
    </row>
    <row r="317" spans="1:17">
      <c r="A317" s="218">
        <v>44196</v>
      </c>
      <c r="B317" s="208" t="s">
        <v>29</v>
      </c>
      <c r="C317" s="208" t="s">
        <v>8</v>
      </c>
      <c r="D317" s="208">
        <v>2019</v>
      </c>
      <c r="E317" s="208" t="s">
        <v>104</v>
      </c>
      <c r="F317" s="208" t="s">
        <v>95</v>
      </c>
      <c r="G317" s="208" t="s">
        <v>243</v>
      </c>
      <c r="H317" s="208">
        <v>5</v>
      </c>
      <c r="I317" s="208">
        <v>1150</v>
      </c>
      <c r="J317" s="208">
        <v>315</v>
      </c>
      <c r="K317" s="208">
        <v>0</v>
      </c>
      <c r="L317" s="208">
        <v>835</v>
      </c>
      <c r="M317" s="208" t="s">
        <v>244</v>
      </c>
      <c r="N317" s="208">
        <v>175</v>
      </c>
      <c r="O317" s="208">
        <v>230</v>
      </c>
      <c r="P317" s="208">
        <v>5</v>
      </c>
      <c r="Q317" s="208">
        <v>167</v>
      </c>
    </row>
    <row r="318" spans="1:17">
      <c r="A318" s="218">
        <v>44196</v>
      </c>
      <c r="B318" s="208" t="s">
        <v>258</v>
      </c>
      <c r="C318" s="208" t="s">
        <v>8</v>
      </c>
      <c r="D318" s="208">
        <v>2020</v>
      </c>
      <c r="E318" s="208" t="s">
        <v>104</v>
      </c>
      <c r="F318" s="208" t="s">
        <v>95</v>
      </c>
      <c r="G318" s="208" t="s">
        <v>243</v>
      </c>
      <c r="H318" s="208">
        <v>27</v>
      </c>
      <c r="I318" s="208">
        <v>4845</v>
      </c>
      <c r="J318" s="208">
        <v>1755</v>
      </c>
      <c r="K318" s="208">
        <v>0</v>
      </c>
      <c r="L318" s="208">
        <v>3090</v>
      </c>
      <c r="M318" s="208" t="s">
        <v>244</v>
      </c>
      <c r="N318" s="208">
        <v>-175</v>
      </c>
      <c r="O318" s="208">
        <v>230</v>
      </c>
      <c r="P318" s="208">
        <v>-112</v>
      </c>
      <c r="Q318" s="208">
        <v>167</v>
      </c>
    </row>
    <row r="319" spans="1:17">
      <c r="A319" s="218">
        <v>44196</v>
      </c>
      <c r="B319" s="208" t="s">
        <v>258</v>
      </c>
      <c r="C319" s="208" t="s">
        <v>8</v>
      </c>
      <c r="D319" s="208">
        <v>2019</v>
      </c>
      <c r="E319" s="208" t="s">
        <v>104</v>
      </c>
      <c r="F319" s="208" t="s">
        <v>95</v>
      </c>
      <c r="G319" s="208" t="s">
        <v>243</v>
      </c>
      <c r="H319" s="208">
        <v>11</v>
      </c>
      <c r="I319" s="208">
        <v>2475</v>
      </c>
      <c r="J319" s="208">
        <v>693</v>
      </c>
      <c r="K319" s="208">
        <v>612</v>
      </c>
      <c r="L319" s="208">
        <v>897.5</v>
      </c>
      <c r="M319" s="208" t="s">
        <v>244</v>
      </c>
      <c r="N319" s="208">
        <v>175</v>
      </c>
      <c r="O319" s="208">
        <v>230</v>
      </c>
      <c r="P319" s="208">
        <v>5</v>
      </c>
      <c r="Q319" s="208">
        <v>167</v>
      </c>
    </row>
    <row r="320" spans="1:17">
      <c r="A320" s="218">
        <v>44196</v>
      </c>
      <c r="B320" s="208" t="s">
        <v>259</v>
      </c>
      <c r="C320" s="208" t="s">
        <v>8</v>
      </c>
      <c r="D320" s="208">
        <v>2020</v>
      </c>
      <c r="E320" s="208" t="s">
        <v>104</v>
      </c>
      <c r="F320" s="208" t="s">
        <v>95</v>
      </c>
      <c r="G320" s="208" t="s">
        <v>243</v>
      </c>
      <c r="H320" s="208">
        <v>11</v>
      </c>
      <c r="I320" s="208">
        <v>1575</v>
      </c>
      <c r="J320" s="208">
        <v>594</v>
      </c>
      <c r="K320" s="208">
        <v>0</v>
      </c>
      <c r="L320" s="208">
        <v>981</v>
      </c>
      <c r="M320" s="208" t="s">
        <v>244</v>
      </c>
      <c r="N320" s="208">
        <v>-175</v>
      </c>
      <c r="O320" s="208">
        <v>230</v>
      </c>
      <c r="P320" s="208">
        <v>-112</v>
      </c>
      <c r="Q320" s="208">
        <v>167</v>
      </c>
    </row>
    <row r="321" spans="1:17">
      <c r="A321" s="218">
        <v>44196</v>
      </c>
      <c r="B321" s="208" t="s">
        <v>31</v>
      </c>
      <c r="C321" s="208" t="s">
        <v>8</v>
      </c>
      <c r="D321" s="208">
        <v>2020</v>
      </c>
      <c r="E321" s="208" t="s">
        <v>104</v>
      </c>
      <c r="F321" s="208" t="s">
        <v>95</v>
      </c>
      <c r="G321" s="208" t="s">
        <v>243</v>
      </c>
      <c r="H321" s="208">
        <v>27</v>
      </c>
      <c r="I321" s="208">
        <v>4845</v>
      </c>
      <c r="J321" s="208">
        <v>1755</v>
      </c>
      <c r="K321" s="208">
        <v>0</v>
      </c>
      <c r="L321" s="208">
        <v>3090</v>
      </c>
      <c r="M321" s="208" t="s">
        <v>244</v>
      </c>
      <c r="N321" s="208">
        <v>-175</v>
      </c>
      <c r="O321" s="208">
        <v>230</v>
      </c>
      <c r="P321" s="208">
        <v>-112</v>
      </c>
      <c r="Q321" s="208">
        <v>167</v>
      </c>
    </row>
    <row r="322" spans="1:17">
      <c r="A322" s="218">
        <v>44196</v>
      </c>
      <c r="B322" s="208" t="s">
        <v>259</v>
      </c>
      <c r="C322" s="208" t="s">
        <v>8</v>
      </c>
      <c r="D322" s="208">
        <v>2019</v>
      </c>
      <c r="E322" s="208" t="s">
        <v>104</v>
      </c>
      <c r="F322" s="208" t="s">
        <v>95</v>
      </c>
      <c r="G322" s="208" t="s">
        <v>243</v>
      </c>
      <c r="H322" s="208">
        <v>7</v>
      </c>
      <c r="I322" s="208">
        <v>1559</v>
      </c>
      <c r="J322" s="208">
        <v>441</v>
      </c>
      <c r="K322" s="208">
        <v>0</v>
      </c>
      <c r="L322" s="208">
        <v>1118</v>
      </c>
      <c r="M322" s="208" t="s">
        <v>244</v>
      </c>
      <c r="N322" s="208">
        <v>175</v>
      </c>
      <c r="O322" s="208">
        <v>230</v>
      </c>
      <c r="P322" s="208">
        <v>5</v>
      </c>
      <c r="Q322" s="208">
        <v>167</v>
      </c>
    </row>
    <row r="323" spans="1:17">
      <c r="A323" s="218">
        <v>44196</v>
      </c>
      <c r="B323" s="208" t="s">
        <v>260</v>
      </c>
      <c r="C323" s="208" t="s">
        <v>8</v>
      </c>
      <c r="D323" s="208">
        <v>2019</v>
      </c>
      <c r="E323" s="208" t="s">
        <v>104</v>
      </c>
      <c r="F323" s="208" t="s">
        <v>95</v>
      </c>
      <c r="G323" s="208" t="s">
        <v>243</v>
      </c>
      <c r="H323" s="208">
        <v>5</v>
      </c>
      <c r="I323" s="208">
        <v>1150</v>
      </c>
      <c r="J323" s="208">
        <v>315</v>
      </c>
      <c r="K323" s="208">
        <v>0</v>
      </c>
      <c r="L323" s="208">
        <v>835</v>
      </c>
      <c r="M323" s="208" t="s">
        <v>244</v>
      </c>
      <c r="N323" s="208">
        <v>175</v>
      </c>
      <c r="O323" s="208">
        <v>230</v>
      </c>
      <c r="P323" s="208">
        <v>5</v>
      </c>
      <c r="Q323" s="208">
        <v>167</v>
      </c>
    </row>
    <row r="324" spans="1:17">
      <c r="A324" s="218">
        <v>44196</v>
      </c>
      <c r="B324" s="208" t="s">
        <v>36</v>
      </c>
      <c r="C324" s="208" t="s">
        <v>8</v>
      </c>
      <c r="D324" s="208">
        <v>2019</v>
      </c>
      <c r="E324" s="208" t="s">
        <v>104</v>
      </c>
      <c r="F324" s="208" t="s">
        <v>95</v>
      </c>
      <c r="G324" s="208" t="s">
        <v>243</v>
      </c>
      <c r="H324" s="208">
        <v>7</v>
      </c>
      <c r="I324" s="208">
        <v>1559</v>
      </c>
      <c r="J324" s="208">
        <v>441</v>
      </c>
      <c r="K324" s="208">
        <v>0</v>
      </c>
      <c r="L324" s="208">
        <v>1118</v>
      </c>
      <c r="M324" s="208" t="s">
        <v>244</v>
      </c>
      <c r="N324" s="208">
        <v>175</v>
      </c>
      <c r="O324" s="208">
        <v>230</v>
      </c>
      <c r="P324" s="208">
        <v>5</v>
      </c>
      <c r="Q324" s="208">
        <v>167</v>
      </c>
    </row>
    <row r="325" spans="1:17">
      <c r="A325" s="218">
        <v>44196</v>
      </c>
      <c r="B325" s="208" t="s">
        <v>37</v>
      </c>
      <c r="C325" s="208" t="s">
        <v>8</v>
      </c>
      <c r="D325" s="208">
        <v>2019</v>
      </c>
      <c r="E325" s="208" t="s">
        <v>104</v>
      </c>
      <c r="F325" s="208" t="s">
        <v>95</v>
      </c>
      <c r="G325" s="208" t="s">
        <v>243</v>
      </c>
      <c r="H325" s="208">
        <v>12</v>
      </c>
      <c r="I325" s="208">
        <v>2730</v>
      </c>
      <c r="J325" s="208">
        <v>810</v>
      </c>
      <c r="K325" s="208">
        <v>0</v>
      </c>
      <c r="L325" s="208">
        <v>1920</v>
      </c>
      <c r="M325" s="208" t="s">
        <v>244</v>
      </c>
      <c r="N325" s="208">
        <v>175</v>
      </c>
      <c r="O325" s="208">
        <v>230</v>
      </c>
      <c r="P325" s="208">
        <v>5</v>
      </c>
      <c r="Q325" s="208">
        <v>167</v>
      </c>
    </row>
    <row r="326" spans="1:17">
      <c r="A326" s="218">
        <v>44196</v>
      </c>
      <c r="B326" s="208" t="s">
        <v>36</v>
      </c>
      <c r="C326" s="208" t="s">
        <v>8</v>
      </c>
      <c r="D326" s="208">
        <v>2020</v>
      </c>
      <c r="E326" s="208" t="s">
        <v>104</v>
      </c>
      <c r="F326" s="208" t="s">
        <v>95</v>
      </c>
      <c r="G326" s="208" t="s">
        <v>243</v>
      </c>
      <c r="H326" s="208">
        <v>11</v>
      </c>
      <c r="I326" s="208">
        <v>1575</v>
      </c>
      <c r="J326" s="208">
        <v>594</v>
      </c>
      <c r="K326" s="208">
        <v>0</v>
      </c>
      <c r="L326" s="208">
        <v>981</v>
      </c>
      <c r="M326" s="208" t="s">
        <v>244</v>
      </c>
      <c r="N326" s="208">
        <v>-175</v>
      </c>
      <c r="O326" s="208">
        <v>230</v>
      </c>
      <c r="P326" s="208">
        <v>-112</v>
      </c>
      <c r="Q326" s="208">
        <v>167</v>
      </c>
    </row>
    <row r="327" spans="1:17">
      <c r="A327" s="218">
        <v>44196</v>
      </c>
      <c r="B327" s="208" t="s">
        <v>225</v>
      </c>
      <c r="C327" s="208" t="s">
        <v>8</v>
      </c>
      <c r="D327" s="208">
        <v>2020</v>
      </c>
      <c r="E327" s="208" t="s">
        <v>104</v>
      </c>
      <c r="F327" s="208" t="s">
        <v>95</v>
      </c>
      <c r="G327" s="208" t="s">
        <v>243</v>
      </c>
      <c r="H327" s="208">
        <v>4</v>
      </c>
      <c r="I327" s="208">
        <v>700</v>
      </c>
      <c r="J327" s="208">
        <v>333</v>
      </c>
      <c r="K327" s="208">
        <v>0</v>
      </c>
      <c r="L327" s="208">
        <v>367</v>
      </c>
      <c r="M327" s="208" t="s">
        <v>244</v>
      </c>
      <c r="N327" s="208">
        <v>-175</v>
      </c>
      <c r="O327" s="208">
        <v>230</v>
      </c>
      <c r="P327" s="208">
        <v>-112</v>
      </c>
      <c r="Q327" s="208">
        <v>167</v>
      </c>
    </row>
    <row r="328" spans="1:17">
      <c r="A328" s="218">
        <v>44196</v>
      </c>
      <c r="B328" s="208" t="s">
        <v>37</v>
      </c>
      <c r="C328" s="208" t="s">
        <v>8</v>
      </c>
      <c r="D328" s="208">
        <v>2020</v>
      </c>
      <c r="E328" s="208" t="s">
        <v>104</v>
      </c>
      <c r="F328" s="208" t="s">
        <v>95</v>
      </c>
      <c r="G328" s="208" t="s">
        <v>243</v>
      </c>
      <c r="H328" s="208">
        <v>4</v>
      </c>
      <c r="I328" s="208">
        <v>700</v>
      </c>
      <c r="J328" s="208">
        <v>333</v>
      </c>
      <c r="K328" s="208">
        <v>0</v>
      </c>
      <c r="L328" s="208">
        <v>367</v>
      </c>
      <c r="M328" s="208" t="s">
        <v>244</v>
      </c>
      <c r="N328" s="208">
        <v>-175</v>
      </c>
      <c r="O328" s="208">
        <v>230</v>
      </c>
      <c r="P328" s="208">
        <v>-112</v>
      </c>
      <c r="Q328" s="208">
        <v>167</v>
      </c>
    </row>
    <row r="329" spans="1:17">
      <c r="A329" s="218">
        <v>44196</v>
      </c>
      <c r="B329" s="208" t="s">
        <v>225</v>
      </c>
      <c r="C329" s="208" t="s">
        <v>8</v>
      </c>
      <c r="D329" s="208">
        <v>2019</v>
      </c>
      <c r="E329" s="208" t="s">
        <v>104</v>
      </c>
      <c r="F329" s="208" t="s">
        <v>95</v>
      </c>
      <c r="G329" s="208" t="s">
        <v>243</v>
      </c>
      <c r="H329" s="208">
        <v>12</v>
      </c>
      <c r="I329" s="208">
        <v>2730</v>
      </c>
      <c r="J329" s="208">
        <v>810</v>
      </c>
      <c r="K329" s="208">
        <v>0</v>
      </c>
      <c r="L329" s="208">
        <v>1920</v>
      </c>
      <c r="M329" s="208" t="s">
        <v>244</v>
      </c>
      <c r="N329" s="208">
        <v>175</v>
      </c>
      <c r="O329" s="208">
        <v>230</v>
      </c>
      <c r="P329" s="208">
        <v>5</v>
      </c>
      <c r="Q329" s="208">
        <v>167</v>
      </c>
    </row>
    <row r="330" spans="1:17">
      <c r="A330" s="218">
        <v>44196</v>
      </c>
      <c r="B330" s="208" t="s">
        <v>31</v>
      </c>
      <c r="C330" s="208" t="s">
        <v>8</v>
      </c>
      <c r="D330" s="208">
        <v>2019</v>
      </c>
      <c r="E330" s="208" t="s">
        <v>104</v>
      </c>
      <c r="F330" s="208" t="s">
        <v>95</v>
      </c>
      <c r="G330" s="208" t="s">
        <v>243</v>
      </c>
      <c r="H330" s="208">
        <v>11</v>
      </c>
      <c r="I330" s="208">
        <v>2475</v>
      </c>
      <c r="J330" s="208">
        <v>693</v>
      </c>
      <c r="K330" s="208">
        <v>612</v>
      </c>
      <c r="L330" s="208">
        <v>897.5</v>
      </c>
      <c r="M330" s="208" t="s">
        <v>244</v>
      </c>
      <c r="N330" s="208">
        <v>175</v>
      </c>
      <c r="O330" s="208">
        <v>230</v>
      </c>
      <c r="P330" s="208">
        <v>5</v>
      </c>
      <c r="Q330" s="208">
        <v>167</v>
      </c>
    </row>
    <row r="331" spans="1:17">
      <c r="A331" s="218">
        <v>44196</v>
      </c>
      <c r="B331" s="208" t="s">
        <v>260</v>
      </c>
      <c r="C331" s="208" t="s">
        <v>8</v>
      </c>
      <c r="D331" s="208">
        <v>2020</v>
      </c>
      <c r="E331" s="208" t="s">
        <v>104</v>
      </c>
      <c r="F331" s="208" t="s">
        <v>95</v>
      </c>
      <c r="G331" s="208" t="s">
        <v>243</v>
      </c>
      <c r="H331" s="208">
        <v>49</v>
      </c>
      <c r="I331" s="208">
        <v>7875</v>
      </c>
      <c r="J331" s="208">
        <v>2835</v>
      </c>
      <c r="K331" s="208">
        <v>0</v>
      </c>
      <c r="L331" s="208">
        <v>5040</v>
      </c>
      <c r="M331" s="208" t="s">
        <v>244</v>
      </c>
      <c r="N331" s="208">
        <v>-175</v>
      </c>
      <c r="O331" s="208">
        <v>230</v>
      </c>
      <c r="P331" s="208">
        <v>-112</v>
      </c>
      <c r="Q331" s="208">
        <v>167</v>
      </c>
    </row>
    <row r="332" spans="1:17">
      <c r="A332" s="218">
        <v>44196</v>
      </c>
      <c r="B332" s="208" t="s">
        <v>259</v>
      </c>
      <c r="C332" s="208" t="s">
        <v>8</v>
      </c>
      <c r="D332" s="208">
        <v>2019</v>
      </c>
      <c r="E332" s="208" t="s">
        <v>105</v>
      </c>
      <c r="F332" s="208" t="s">
        <v>95</v>
      </c>
      <c r="G332" s="208" t="s">
        <v>243</v>
      </c>
      <c r="H332" s="208">
        <v>3</v>
      </c>
      <c r="I332" s="208">
        <v>900</v>
      </c>
      <c r="J332" s="208">
        <v>210</v>
      </c>
      <c r="K332" s="208">
        <v>0</v>
      </c>
      <c r="L332" s="208">
        <v>600</v>
      </c>
      <c r="M332" s="208" t="s">
        <v>244</v>
      </c>
      <c r="N332" s="208">
        <v>130</v>
      </c>
      <c r="O332" s="208">
        <v>450</v>
      </c>
      <c r="P332" s="208">
        <v>30</v>
      </c>
      <c r="Q332" s="208">
        <v>360</v>
      </c>
    </row>
    <row r="333" spans="1:17">
      <c r="A333" s="218">
        <v>44196</v>
      </c>
      <c r="B333" s="208" t="s">
        <v>258</v>
      </c>
      <c r="C333" s="208" t="s">
        <v>8</v>
      </c>
      <c r="D333" s="208">
        <v>2019</v>
      </c>
      <c r="E333" s="208" t="s">
        <v>105</v>
      </c>
      <c r="F333" s="208" t="s">
        <v>95</v>
      </c>
      <c r="G333" s="208" t="s">
        <v>243</v>
      </c>
      <c r="H333" s="208">
        <v>6</v>
      </c>
      <c r="I333" s="208">
        <v>2360</v>
      </c>
      <c r="J333" s="208">
        <v>420</v>
      </c>
      <c r="K333" s="208">
        <v>90</v>
      </c>
      <c r="L333" s="208">
        <v>300</v>
      </c>
      <c r="M333" s="208" t="s">
        <v>244</v>
      </c>
      <c r="N333" s="208">
        <v>130</v>
      </c>
      <c r="O333" s="208">
        <v>450</v>
      </c>
      <c r="P333" s="208">
        <v>30</v>
      </c>
      <c r="Q333" s="208">
        <v>360</v>
      </c>
    </row>
    <row r="334" spans="1:17">
      <c r="A334" s="218">
        <v>44196</v>
      </c>
      <c r="B334" s="208" t="s">
        <v>29</v>
      </c>
      <c r="C334" s="208" t="s">
        <v>8</v>
      </c>
      <c r="D334" s="208">
        <v>2019</v>
      </c>
      <c r="E334" s="208" t="s">
        <v>105</v>
      </c>
      <c r="F334" s="208" t="s">
        <v>95</v>
      </c>
      <c r="G334" s="208" t="s">
        <v>243</v>
      </c>
      <c r="H334" s="208">
        <v>15</v>
      </c>
      <c r="I334" s="208">
        <v>4765</v>
      </c>
      <c r="J334" s="208">
        <v>1095.25</v>
      </c>
      <c r="K334" s="208">
        <v>560</v>
      </c>
      <c r="L334" s="208">
        <v>1434.75</v>
      </c>
      <c r="M334" s="208" t="s">
        <v>244</v>
      </c>
      <c r="N334" s="208">
        <v>130</v>
      </c>
      <c r="O334" s="208">
        <v>450</v>
      </c>
      <c r="P334" s="208">
        <v>30</v>
      </c>
      <c r="Q334" s="208">
        <v>360</v>
      </c>
    </row>
    <row r="335" spans="1:17">
      <c r="A335" s="218">
        <v>44196</v>
      </c>
      <c r="B335" s="208" t="s">
        <v>29</v>
      </c>
      <c r="C335" s="208" t="s">
        <v>8</v>
      </c>
      <c r="D335" s="208">
        <v>2020</v>
      </c>
      <c r="E335" s="208" t="s">
        <v>105</v>
      </c>
      <c r="F335" s="208" t="s">
        <v>95</v>
      </c>
      <c r="G335" s="208" t="s">
        <v>243</v>
      </c>
      <c r="H335" s="208">
        <v>13</v>
      </c>
      <c r="I335" s="208">
        <v>4926</v>
      </c>
      <c r="J335" s="208">
        <v>910</v>
      </c>
      <c r="K335" s="208">
        <v>400</v>
      </c>
      <c r="L335" s="208">
        <v>1300</v>
      </c>
      <c r="M335" s="208" t="s">
        <v>244</v>
      </c>
      <c r="N335" s="208">
        <v>100</v>
      </c>
      <c r="O335" s="208">
        <v>450</v>
      </c>
      <c r="P335" s="208">
        <v>30</v>
      </c>
      <c r="Q335" s="208">
        <v>380</v>
      </c>
    </row>
    <row r="336" spans="1:17">
      <c r="A336" s="218">
        <v>44196</v>
      </c>
      <c r="B336" s="208" t="s">
        <v>225</v>
      </c>
      <c r="C336" s="208" t="s">
        <v>8</v>
      </c>
      <c r="D336" s="208">
        <v>2020</v>
      </c>
      <c r="E336" s="208" t="s">
        <v>105</v>
      </c>
      <c r="F336" s="208" t="s">
        <v>95</v>
      </c>
      <c r="G336" s="208" t="s">
        <v>243</v>
      </c>
      <c r="H336" s="208">
        <v>5</v>
      </c>
      <c r="I336" s="208">
        <v>1780</v>
      </c>
      <c r="J336" s="208">
        <v>350</v>
      </c>
      <c r="K336" s="208">
        <v>0</v>
      </c>
      <c r="L336" s="208">
        <v>1430</v>
      </c>
      <c r="M336" s="208" t="s">
        <v>244</v>
      </c>
      <c r="N336" s="208">
        <v>100</v>
      </c>
      <c r="O336" s="208">
        <v>450</v>
      </c>
      <c r="P336" s="208">
        <v>30</v>
      </c>
      <c r="Q336" s="208">
        <v>380</v>
      </c>
    </row>
    <row r="337" spans="1:17">
      <c r="A337" s="218">
        <v>44196</v>
      </c>
      <c r="B337" s="208" t="s">
        <v>36</v>
      </c>
      <c r="C337" s="208" t="s">
        <v>8</v>
      </c>
      <c r="D337" s="208">
        <v>2020</v>
      </c>
      <c r="E337" s="208" t="s">
        <v>105</v>
      </c>
      <c r="F337" s="208" t="s">
        <v>95</v>
      </c>
      <c r="G337" s="208" t="s">
        <v>243</v>
      </c>
      <c r="H337" s="208">
        <v>2</v>
      </c>
      <c r="I337" s="208">
        <v>650</v>
      </c>
      <c r="J337" s="208">
        <v>170</v>
      </c>
      <c r="K337" s="208">
        <v>0</v>
      </c>
      <c r="L337" s="208">
        <v>370</v>
      </c>
      <c r="M337" s="208" t="s">
        <v>244</v>
      </c>
      <c r="N337" s="208">
        <v>100</v>
      </c>
      <c r="O337" s="208">
        <v>450</v>
      </c>
      <c r="P337" s="208">
        <v>30</v>
      </c>
      <c r="Q337" s="208">
        <v>380</v>
      </c>
    </row>
    <row r="338" spans="1:17">
      <c r="A338" s="218">
        <v>44196</v>
      </c>
      <c r="B338" s="208" t="s">
        <v>31</v>
      </c>
      <c r="C338" s="208" t="s">
        <v>8</v>
      </c>
      <c r="D338" s="208">
        <v>2019</v>
      </c>
      <c r="E338" s="208" t="s">
        <v>105</v>
      </c>
      <c r="F338" s="208" t="s">
        <v>95</v>
      </c>
      <c r="G338" s="208" t="s">
        <v>243</v>
      </c>
      <c r="H338" s="208">
        <v>6</v>
      </c>
      <c r="I338" s="208">
        <v>2360</v>
      </c>
      <c r="J338" s="208">
        <v>420</v>
      </c>
      <c r="K338" s="208">
        <v>90</v>
      </c>
      <c r="L338" s="208">
        <v>300</v>
      </c>
      <c r="M338" s="208" t="s">
        <v>244</v>
      </c>
      <c r="N338" s="208">
        <v>130</v>
      </c>
      <c r="O338" s="208">
        <v>450</v>
      </c>
      <c r="P338" s="208">
        <v>30</v>
      </c>
      <c r="Q338" s="208">
        <v>360</v>
      </c>
    </row>
    <row r="339" spans="1:17">
      <c r="A339" s="218">
        <v>44196</v>
      </c>
      <c r="B339" s="208" t="s">
        <v>260</v>
      </c>
      <c r="C339" s="208" t="s">
        <v>8</v>
      </c>
      <c r="D339" s="208">
        <v>2019</v>
      </c>
      <c r="E339" s="208" t="s">
        <v>105</v>
      </c>
      <c r="F339" s="208" t="s">
        <v>95</v>
      </c>
      <c r="G339" s="208" t="s">
        <v>243</v>
      </c>
      <c r="H339" s="208">
        <v>15</v>
      </c>
      <c r="I339" s="208">
        <v>4765</v>
      </c>
      <c r="J339" s="208">
        <v>1095.25</v>
      </c>
      <c r="K339" s="208">
        <v>560</v>
      </c>
      <c r="L339" s="208">
        <v>1434.75</v>
      </c>
      <c r="M339" s="208" t="s">
        <v>244</v>
      </c>
      <c r="N339" s="208">
        <v>130</v>
      </c>
      <c r="O339" s="208">
        <v>450</v>
      </c>
      <c r="P339" s="208">
        <v>30</v>
      </c>
      <c r="Q339" s="208">
        <v>360</v>
      </c>
    </row>
    <row r="340" spans="1:17">
      <c r="A340" s="218">
        <v>44196</v>
      </c>
      <c r="B340" s="208" t="s">
        <v>260</v>
      </c>
      <c r="C340" s="208" t="s">
        <v>8</v>
      </c>
      <c r="D340" s="208">
        <v>2020</v>
      </c>
      <c r="E340" s="208" t="s">
        <v>105</v>
      </c>
      <c r="F340" s="208" t="s">
        <v>95</v>
      </c>
      <c r="G340" s="208" t="s">
        <v>243</v>
      </c>
      <c r="H340" s="208">
        <v>13</v>
      </c>
      <c r="I340" s="208">
        <v>4926</v>
      </c>
      <c r="J340" s="208">
        <v>910</v>
      </c>
      <c r="K340" s="208">
        <v>400</v>
      </c>
      <c r="L340" s="208">
        <v>1300</v>
      </c>
      <c r="M340" s="208" t="s">
        <v>244</v>
      </c>
      <c r="N340" s="208">
        <v>100</v>
      </c>
      <c r="O340" s="208">
        <v>450</v>
      </c>
      <c r="P340" s="208">
        <v>30</v>
      </c>
      <c r="Q340" s="208">
        <v>380</v>
      </c>
    </row>
    <row r="341" spans="1:17">
      <c r="A341" s="218">
        <v>44196</v>
      </c>
      <c r="B341" s="208" t="s">
        <v>31</v>
      </c>
      <c r="C341" s="208" t="s">
        <v>8</v>
      </c>
      <c r="D341" s="208">
        <v>2020</v>
      </c>
      <c r="E341" s="208" t="s">
        <v>105</v>
      </c>
      <c r="F341" s="208" t="s">
        <v>95</v>
      </c>
      <c r="G341" s="208" t="s">
        <v>243</v>
      </c>
      <c r="H341" s="208">
        <v>4</v>
      </c>
      <c r="I341" s="208">
        <v>1150</v>
      </c>
      <c r="J341" s="208">
        <v>310</v>
      </c>
      <c r="K341" s="208">
        <v>30</v>
      </c>
      <c r="L341" s="208">
        <v>200</v>
      </c>
      <c r="M341" s="208" t="s">
        <v>244</v>
      </c>
      <c r="N341" s="208">
        <v>100</v>
      </c>
      <c r="O341" s="208">
        <v>450</v>
      </c>
      <c r="P341" s="208">
        <v>30</v>
      </c>
      <c r="Q341" s="208">
        <v>380</v>
      </c>
    </row>
    <row r="342" spans="1:17">
      <c r="A342" s="218">
        <v>44196</v>
      </c>
      <c r="B342" s="208" t="s">
        <v>258</v>
      </c>
      <c r="C342" s="208" t="s">
        <v>8</v>
      </c>
      <c r="D342" s="208">
        <v>2020</v>
      </c>
      <c r="E342" s="208" t="s">
        <v>105</v>
      </c>
      <c r="F342" s="208" t="s">
        <v>95</v>
      </c>
      <c r="G342" s="208" t="s">
        <v>243</v>
      </c>
      <c r="H342" s="208">
        <v>4</v>
      </c>
      <c r="I342" s="208">
        <v>1150</v>
      </c>
      <c r="J342" s="208">
        <v>310</v>
      </c>
      <c r="K342" s="208">
        <v>30</v>
      </c>
      <c r="L342" s="208">
        <v>200</v>
      </c>
      <c r="M342" s="208" t="s">
        <v>244</v>
      </c>
      <c r="N342" s="208">
        <v>100</v>
      </c>
      <c r="O342" s="208">
        <v>450</v>
      </c>
      <c r="P342" s="208">
        <v>30</v>
      </c>
      <c r="Q342" s="208">
        <v>380</v>
      </c>
    </row>
    <row r="343" spans="1:17">
      <c r="A343" s="218">
        <v>44196</v>
      </c>
      <c r="B343" s="208" t="s">
        <v>225</v>
      </c>
      <c r="C343" s="208" t="s">
        <v>8</v>
      </c>
      <c r="D343" s="208">
        <v>2019</v>
      </c>
      <c r="E343" s="208" t="s">
        <v>105</v>
      </c>
      <c r="F343" s="208" t="s">
        <v>95</v>
      </c>
      <c r="G343" s="208" t="s">
        <v>243</v>
      </c>
      <c r="H343" s="208">
        <v>13</v>
      </c>
      <c r="I343" s="208">
        <v>5430</v>
      </c>
      <c r="J343" s="208">
        <v>910</v>
      </c>
      <c r="K343" s="208">
        <v>1040</v>
      </c>
      <c r="L343" s="208">
        <v>3480</v>
      </c>
      <c r="M343" s="208" t="s">
        <v>244</v>
      </c>
      <c r="N343" s="208">
        <v>130</v>
      </c>
      <c r="O343" s="208">
        <v>450</v>
      </c>
      <c r="P343" s="208">
        <v>30</v>
      </c>
      <c r="Q343" s="208">
        <v>360</v>
      </c>
    </row>
    <row r="344" spans="1:17">
      <c r="A344" s="218">
        <v>44196</v>
      </c>
      <c r="B344" s="208" t="s">
        <v>37</v>
      </c>
      <c r="C344" s="208" t="s">
        <v>8</v>
      </c>
      <c r="D344" s="208">
        <v>2019</v>
      </c>
      <c r="E344" s="208" t="s">
        <v>105</v>
      </c>
      <c r="F344" s="208" t="s">
        <v>95</v>
      </c>
      <c r="G344" s="208" t="s">
        <v>243</v>
      </c>
      <c r="H344" s="208">
        <v>13</v>
      </c>
      <c r="I344" s="208">
        <v>5430</v>
      </c>
      <c r="J344" s="208">
        <v>910</v>
      </c>
      <c r="K344" s="208">
        <v>1040</v>
      </c>
      <c r="L344" s="208">
        <v>3480</v>
      </c>
      <c r="M344" s="208" t="s">
        <v>244</v>
      </c>
      <c r="N344" s="208">
        <v>130</v>
      </c>
      <c r="O344" s="208">
        <v>450</v>
      </c>
      <c r="P344" s="208">
        <v>30</v>
      </c>
      <c r="Q344" s="208">
        <v>360</v>
      </c>
    </row>
    <row r="345" spans="1:17">
      <c r="A345" s="218">
        <v>44196</v>
      </c>
      <c r="B345" s="208" t="s">
        <v>37</v>
      </c>
      <c r="C345" s="208" t="s">
        <v>8</v>
      </c>
      <c r="D345" s="208">
        <v>2020</v>
      </c>
      <c r="E345" s="208" t="s">
        <v>105</v>
      </c>
      <c r="F345" s="208" t="s">
        <v>95</v>
      </c>
      <c r="G345" s="208" t="s">
        <v>243</v>
      </c>
      <c r="H345" s="208">
        <v>5</v>
      </c>
      <c r="I345" s="208">
        <v>1780</v>
      </c>
      <c r="J345" s="208">
        <v>350</v>
      </c>
      <c r="K345" s="208">
        <v>0</v>
      </c>
      <c r="L345" s="208">
        <v>1430</v>
      </c>
      <c r="M345" s="208" t="s">
        <v>244</v>
      </c>
      <c r="N345" s="208">
        <v>100</v>
      </c>
      <c r="O345" s="208">
        <v>450</v>
      </c>
      <c r="P345" s="208">
        <v>30</v>
      </c>
      <c r="Q345" s="208">
        <v>380</v>
      </c>
    </row>
    <row r="346" spans="1:17">
      <c r="A346" s="218">
        <v>44196</v>
      </c>
      <c r="B346" s="208" t="s">
        <v>36</v>
      </c>
      <c r="C346" s="208" t="s">
        <v>8</v>
      </c>
      <c r="D346" s="208">
        <v>2019</v>
      </c>
      <c r="E346" s="208" t="s">
        <v>105</v>
      </c>
      <c r="F346" s="208" t="s">
        <v>95</v>
      </c>
      <c r="G346" s="208" t="s">
        <v>243</v>
      </c>
      <c r="H346" s="208">
        <v>3</v>
      </c>
      <c r="I346" s="208">
        <v>900</v>
      </c>
      <c r="J346" s="208">
        <v>210</v>
      </c>
      <c r="K346" s="208">
        <v>0</v>
      </c>
      <c r="L346" s="208">
        <v>600</v>
      </c>
      <c r="M346" s="208" t="s">
        <v>244</v>
      </c>
      <c r="N346" s="208">
        <v>130</v>
      </c>
      <c r="O346" s="208">
        <v>450</v>
      </c>
      <c r="P346" s="208">
        <v>30</v>
      </c>
      <c r="Q346" s="208">
        <v>360</v>
      </c>
    </row>
    <row r="347" spans="1:17">
      <c r="A347" s="218">
        <v>44196</v>
      </c>
      <c r="B347" s="208" t="s">
        <v>259</v>
      </c>
      <c r="C347" s="208" t="s">
        <v>8</v>
      </c>
      <c r="D347" s="208">
        <v>2020</v>
      </c>
      <c r="E347" s="208" t="s">
        <v>105</v>
      </c>
      <c r="F347" s="208" t="s">
        <v>95</v>
      </c>
      <c r="G347" s="208" t="s">
        <v>243</v>
      </c>
      <c r="H347" s="208">
        <v>2</v>
      </c>
      <c r="I347" s="208">
        <v>650</v>
      </c>
      <c r="J347" s="208">
        <v>170</v>
      </c>
      <c r="K347" s="208">
        <v>0</v>
      </c>
      <c r="L347" s="208">
        <v>370</v>
      </c>
      <c r="M347" s="208" t="s">
        <v>244</v>
      </c>
      <c r="N347" s="208">
        <v>100</v>
      </c>
      <c r="O347" s="208">
        <v>450</v>
      </c>
      <c r="P347" s="208">
        <v>30</v>
      </c>
      <c r="Q347" s="208">
        <v>380</v>
      </c>
    </row>
    <row r="348" spans="1:17">
      <c r="A348" s="218">
        <v>44196</v>
      </c>
      <c r="B348" s="208" t="s">
        <v>260</v>
      </c>
      <c r="C348" s="208" t="s">
        <v>8</v>
      </c>
      <c r="D348" s="208">
        <v>2019</v>
      </c>
      <c r="E348" s="208" t="s">
        <v>106</v>
      </c>
      <c r="F348" s="208" t="s">
        <v>95</v>
      </c>
      <c r="G348" s="208" t="s">
        <v>243</v>
      </c>
      <c r="H348" s="208">
        <v>309</v>
      </c>
      <c r="I348" s="208">
        <v>125739.4</v>
      </c>
      <c r="J348" s="208">
        <v>32602.869999999992</v>
      </c>
      <c r="K348" s="208">
        <v>15022.029999999999</v>
      </c>
      <c r="L348" s="208">
        <v>56198.5</v>
      </c>
      <c r="M348" s="208" t="s">
        <v>244</v>
      </c>
      <c r="N348" s="208">
        <v>-793.5</v>
      </c>
      <c r="O348" s="208">
        <v>2000</v>
      </c>
      <c r="P348" s="208">
        <v>-456.5</v>
      </c>
      <c r="Q348" s="208">
        <v>774</v>
      </c>
    </row>
    <row r="349" spans="1:17">
      <c r="A349" s="218">
        <v>44196</v>
      </c>
      <c r="B349" s="208" t="s">
        <v>29</v>
      </c>
      <c r="C349" s="208" t="s">
        <v>8</v>
      </c>
      <c r="D349" s="208">
        <v>2019</v>
      </c>
      <c r="E349" s="208" t="s">
        <v>106</v>
      </c>
      <c r="F349" s="208" t="s">
        <v>95</v>
      </c>
      <c r="G349" s="208" t="s">
        <v>243</v>
      </c>
      <c r="H349" s="208">
        <v>309</v>
      </c>
      <c r="I349" s="208">
        <v>125739.40000000001</v>
      </c>
      <c r="J349" s="208">
        <v>32602.869999999995</v>
      </c>
      <c r="K349" s="208">
        <v>15022.029999999997</v>
      </c>
      <c r="L349" s="208">
        <v>56198.5</v>
      </c>
      <c r="M349" s="208" t="s">
        <v>244</v>
      </c>
      <c r="N349" s="208">
        <v>-793.5</v>
      </c>
      <c r="O349" s="208">
        <v>2000</v>
      </c>
      <c r="P349" s="208">
        <v>-456.5</v>
      </c>
      <c r="Q349" s="208">
        <v>774</v>
      </c>
    </row>
    <row r="350" spans="1:17">
      <c r="A350" s="218">
        <v>44196</v>
      </c>
      <c r="B350" s="208" t="s">
        <v>37</v>
      </c>
      <c r="C350" s="208" t="s">
        <v>8</v>
      </c>
      <c r="D350" s="208">
        <v>2019</v>
      </c>
      <c r="E350" s="208" t="s">
        <v>106</v>
      </c>
      <c r="F350" s="208" t="s">
        <v>95</v>
      </c>
      <c r="G350" s="208" t="s">
        <v>243</v>
      </c>
      <c r="H350" s="208">
        <v>57</v>
      </c>
      <c r="I350" s="208">
        <v>31456.6</v>
      </c>
      <c r="J350" s="208">
        <v>6626.35</v>
      </c>
      <c r="K350" s="208">
        <v>0</v>
      </c>
      <c r="L350" s="208">
        <v>22728.999999999996</v>
      </c>
      <c r="M350" s="208" t="s">
        <v>244</v>
      </c>
      <c r="N350" s="208">
        <v>-793.5</v>
      </c>
      <c r="O350" s="208">
        <v>2000</v>
      </c>
      <c r="P350" s="208">
        <v>-456.5</v>
      </c>
      <c r="Q350" s="208">
        <v>774</v>
      </c>
    </row>
    <row r="351" spans="1:17">
      <c r="A351" s="218">
        <v>44196</v>
      </c>
      <c r="B351" s="208" t="s">
        <v>36</v>
      </c>
      <c r="C351" s="208" t="s">
        <v>8</v>
      </c>
      <c r="D351" s="208">
        <v>2020</v>
      </c>
      <c r="E351" s="208" t="s">
        <v>106</v>
      </c>
      <c r="F351" s="208" t="s">
        <v>95</v>
      </c>
      <c r="G351" s="208" t="s">
        <v>243</v>
      </c>
      <c r="H351" s="208">
        <v>109</v>
      </c>
      <c r="I351" s="208">
        <v>46591.619999999995</v>
      </c>
      <c r="J351" s="208">
        <v>11867.030000000002</v>
      </c>
      <c r="K351" s="208">
        <v>1548</v>
      </c>
      <c r="L351" s="208">
        <v>30530.590000000004</v>
      </c>
      <c r="M351" s="208" t="s">
        <v>244</v>
      </c>
      <c r="N351" s="208">
        <v>-860</v>
      </c>
      <c r="O351" s="208">
        <v>1250</v>
      </c>
      <c r="P351" s="208">
        <v>-456.5</v>
      </c>
      <c r="Q351" s="208">
        <v>774</v>
      </c>
    </row>
    <row r="352" spans="1:17">
      <c r="A352" s="218">
        <v>44196</v>
      </c>
      <c r="B352" s="208" t="s">
        <v>31</v>
      </c>
      <c r="C352" s="208" t="s">
        <v>8</v>
      </c>
      <c r="D352" s="208">
        <v>2019</v>
      </c>
      <c r="E352" s="208" t="s">
        <v>106</v>
      </c>
      <c r="F352" s="208" t="s">
        <v>95</v>
      </c>
      <c r="G352" s="208" t="s">
        <v>243</v>
      </c>
      <c r="H352" s="208">
        <v>140</v>
      </c>
      <c r="I352" s="208">
        <v>49960.75</v>
      </c>
      <c r="J352" s="208">
        <v>14176.160000000003</v>
      </c>
      <c r="K352" s="208">
        <v>7336.41</v>
      </c>
      <c r="L352" s="208">
        <v>14975.54</v>
      </c>
      <c r="M352" s="208" t="s">
        <v>244</v>
      </c>
      <c r="N352" s="208">
        <v>-793.5</v>
      </c>
      <c r="O352" s="208">
        <v>2000</v>
      </c>
      <c r="P352" s="208">
        <v>-456.5</v>
      </c>
      <c r="Q352" s="208">
        <v>774</v>
      </c>
    </row>
    <row r="353" spans="1:17">
      <c r="A353" s="218">
        <v>44196</v>
      </c>
      <c r="B353" s="208" t="s">
        <v>260</v>
      </c>
      <c r="C353" s="208" t="s">
        <v>8</v>
      </c>
      <c r="D353" s="208">
        <v>2020</v>
      </c>
      <c r="E353" s="208" t="s">
        <v>106</v>
      </c>
      <c r="F353" s="208" t="s">
        <v>95</v>
      </c>
      <c r="G353" s="208" t="s">
        <v>243</v>
      </c>
      <c r="H353" s="208">
        <v>277</v>
      </c>
      <c r="I353" s="208">
        <v>106524.80000000002</v>
      </c>
      <c r="J353" s="208">
        <v>27783.680000000011</v>
      </c>
      <c r="K353" s="208">
        <v>12835.5</v>
      </c>
      <c r="L353" s="208">
        <v>48128.409999999996</v>
      </c>
      <c r="M353" s="208" t="s">
        <v>244</v>
      </c>
      <c r="N353" s="208">
        <v>-860</v>
      </c>
      <c r="O353" s="208">
        <v>1250</v>
      </c>
      <c r="P353" s="208">
        <v>-456.5</v>
      </c>
      <c r="Q353" s="208">
        <v>774</v>
      </c>
    </row>
    <row r="354" spans="1:17">
      <c r="A354" s="218">
        <v>44196</v>
      </c>
      <c r="B354" s="208" t="s">
        <v>36</v>
      </c>
      <c r="C354" s="208" t="s">
        <v>8</v>
      </c>
      <c r="D354" s="208">
        <v>2019</v>
      </c>
      <c r="E354" s="208" t="s">
        <v>106</v>
      </c>
      <c r="F354" s="208" t="s">
        <v>95</v>
      </c>
      <c r="G354" s="208" t="s">
        <v>243</v>
      </c>
      <c r="H354" s="208">
        <v>116</v>
      </c>
      <c r="I354" s="208">
        <v>47209.069999999992</v>
      </c>
      <c r="J354" s="208">
        <v>12805.540000000006</v>
      </c>
      <c r="K354" s="208">
        <v>686.94</v>
      </c>
      <c r="L354" s="208">
        <v>31822.590000000004</v>
      </c>
      <c r="M354" s="208" t="s">
        <v>244</v>
      </c>
      <c r="N354" s="208">
        <v>-793.5</v>
      </c>
      <c r="O354" s="208">
        <v>2000</v>
      </c>
      <c r="P354" s="208">
        <v>-456.5</v>
      </c>
      <c r="Q354" s="208">
        <v>774</v>
      </c>
    </row>
    <row r="355" spans="1:17">
      <c r="A355" s="218">
        <v>44196</v>
      </c>
      <c r="B355" s="208" t="s">
        <v>258</v>
      </c>
      <c r="C355" s="208" t="s">
        <v>8</v>
      </c>
      <c r="D355" s="208">
        <v>2019</v>
      </c>
      <c r="E355" s="208" t="s">
        <v>106</v>
      </c>
      <c r="F355" s="208" t="s">
        <v>95</v>
      </c>
      <c r="G355" s="208" t="s">
        <v>243</v>
      </c>
      <c r="H355" s="208">
        <v>140</v>
      </c>
      <c r="I355" s="208">
        <v>49960.75</v>
      </c>
      <c r="J355" s="208">
        <v>14176.160000000005</v>
      </c>
      <c r="K355" s="208">
        <v>7336.4100000000008</v>
      </c>
      <c r="L355" s="208">
        <v>14975.539999999997</v>
      </c>
      <c r="M355" s="208" t="s">
        <v>244</v>
      </c>
      <c r="N355" s="208">
        <v>-793.5</v>
      </c>
      <c r="O355" s="208">
        <v>2000</v>
      </c>
      <c r="P355" s="208">
        <v>-456.5</v>
      </c>
      <c r="Q355" s="208">
        <v>774</v>
      </c>
    </row>
    <row r="356" spans="1:17">
      <c r="A356" s="218">
        <v>44196</v>
      </c>
      <c r="B356" s="208" t="s">
        <v>29</v>
      </c>
      <c r="C356" s="208" t="s">
        <v>8</v>
      </c>
      <c r="D356" s="208">
        <v>2020</v>
      </c>
      <c r="E356" s="208" t="s">
        <v>106</v>
      </c>
      <c r="F356" s="208" t="s">
        <v>95</v>
      </c>
      <c r="G356" s="208" t="s">
        <v>243</v>
      </c>
      <c r="H356" s="208">
        <v>277</v>
      </c>
      <c r="I356" s="208">
        <v>106524.80000000005</v>
      </c>
      <c r="J356" s="208">
        <v>27783.679999999993</v>
      </c>
      <c r="K356" s="208">
        <v>12835.5</v>
      </c>
      <c r="L356" s="208">
        <v>48128.409999999982</v>
      </c>
      <c r="M356" s="208" t="s">
        <v>244</v>
      </c>
      <c r="N356" s="208">
        <v>-860</v>
      </c>
      <c r="O356" s="208">
        <v>1250</v>
      </c>
      <c r="P356" s="208">
        <v>-456.5</v>
      </c>
      <c r="Q356" s="208">
        <v>774</v>
      </c>
    </row>
    <row r="357" spans="1:17">
      <c r="A357" s="218">
        <v>44196</v>
      </c>
      <c r="B357" s="208" t="s">
        <v>258</v>
      </c>
      <c r="C357" s="208" t="s">
        <v>8</v>
      </c>
      <c r="D357" s="208">
        <v>2020</v>
      </c>
      <c r="E357" s="208" t="s">
        <v>106</v>
      </c>
      <c r="F357" s="208" t="s">
        <v>95</v>
      </c>
      <c r="G357" s="208" t="s">
        <v>243</v>
      </c>
      <c r="H357" s="208">
        <v>116</v>
      </c>
      <c r="I357" s="208">
        <v>50488.639999999999</v>
      </c>
      <c r="J357" s="208">
        <v>13073.240000000003</v>
      </c>
      <c r="K357" s="208">
        <v>7391.7799999999988</v>
      </c>
      <c r="L357" s="208">
        <v>13653.949999999997</v>
      </c>
      <c r="M357" s="208" t="s">
        <v>244</v>
      </c>
      <c r="N357" s="208">
        <v>-860</v>
      </c>
      <c r="O357" s="208">
        <v>1250</v>
      </c>
      <c r="P357" s="208">
        <v>-456.5</v>
      </c>
      <c r="Q357" s="208">
        <v>774</v>
      </c>
    </row>
    <row r="358" spans="1:17">
      <c r="A358" s="218">
        <v>44196</v>
      </c>
      <c r="B358" s="208" t="s">
        <v>261</v>
      </c>
      <c r="C358" s="208" t="s">
        <v>8</v>
      </c>
      <c r="D358" s="208">
        <v>2019</v>
      </c>
      <c r="E358" s="208" t="s">
        <v>106</v>
      </c>
      <c r="F358" s="208" t="s">
        <v>95</v>
      </c>
      <c r="G358" s="208" t="s">
        <v>243</v>
      </c>
      <c r="H358" s="208">
        <v>1</v>
      </c>
      <c r="I358" s="208">
        <v>650</v>
      </c>
      <c r="J358" s="208">
        <v>193.5</v>
      </c>
      <c r="K358" s="208">
        <v>0</v>
      </c>
      <c r="L358" s="208">
        <v>456.5</v>
      </c>
      <c r="M358" s="208" t="s">
        <v>244</v>
      </c>
      <c r="N358" s="208">
        <v>-793.5</v>
      </c>
      <c r="O358" s="208">
        <v>2000</v>
      </c>
      <c r="P358" s="208">
        <v>-456.5</v>
      </c>
      <c r="Q358" s="208">
        <v>774</v>
      </c>
    </row>
    <row r="359" spans="1:17">
      <c r="A359" s="218">
        <v>44196</v>
      </c>
      <c r="B359" s="208" t="s">
        <v>31</v>
      </c>
      <c r="C359" s="208" t="s">
        <v>8</v>
      </c>
      <c r="D359" s="208">
        <v>2020</v>
      </c>
      <c r="E359" s="208" t="s">
        <v>106</v>
      </c>
      <c r="F359" s="208" t="s">
        <v>95</v>
      </c>
      <c r="G359" s="208" t="s">
        <v>243</v>
      </c>
      <c r="H359" s="208">
        <v>116</v>
      </c>
      <c r="I359" s="208">
        <v>50488.639999999999</v>
      </c>
      <c r="J359" s="208">
        <v>13073.240000000007</v>
      </c>
      <c r="K359" s="208">
        <v>7391.7799999999979</v>
      </c>
      <c r="L359" s="208">
        <v>13653.949999999995</v>
      </c>
      <c r="M359" s="208" t="s">
        <v>244</v>
      </c>
      <c r="N359" s="208">
        <v>-860</v>
      </c>
      <c r="O359" s="208">
        <v>1250</v>
      </c>
      <c r="P359" s="208">
        <v>-456.5</v>
      </c>
      <c r="Q359" s="208">
        <v>774</v>
      </c>
    </row>
    <row r="360" spans="1:17">
      <c r="A360" s="218">
        <v>44196</v>
      </c>
      <c r="B360" s="208" t="s">
        <v>225</v>
      </c>
      <c r="C360" s="208" t="s">
        <v>8</v>
      </c>
      <c r="D360" s="208">
        <v>2019</v>
      </c>
      <c r="E360" s="208" t="s">
        <v>106</v>
      </c>
      <c r="F360" s="208" t="s">
        <v>95</v>
      </c>
      <c r="G360" s="208" t="s">
        <v>243</v>
      </c>
      <c r="H360" s="208">
        <v>57</v>
      </c>
      <c r="I360" s="208">
        <v>31456.600000000002</v>
      </c>
      <c r="J360" s="208">
        <v>6626.3499999999995</v>
      </c>
      <c r="K360" s="208">
        <v>0</v>
      </c>
      <c r="L360" s="208">
        <v>22729</v>
      </c>
      <c r="M360" s="208" t="s">
        <v>244</v>
      </c>
      <c r="N360" s="208">
        <v>-793.5</v>
      </c>
      <c r="O360" s="208">
        <v>2000</v>
      </c>
      <c r="P360" s="208">
        <v>-456.5</v>
      </c>
      <c r="Q360" s="208">
        <v>774</v>
      </c>
    </row>
    <row r="361" spans="1:17">
      <c r="A361" s="218">
        <v>44196</v>
      </c>
      <c r="B361" s="208" t="s">
        <v>37</v>
      </c>
      <c r="C361" s="208" t="s">
        <v>8</v>
      </c>
      <c r="D361" s="208">
        <v>2020</v>
      </c>
      <c r="E361" s="208" t="s">
        <v>106</v>
      </c>
      <c r="F361" s="208" t="s">
        <v>95</v>
      </c>
      <c r="G361" s="208" t="s">
        <v>243</v>
      </c>
      <c r="H361" s="208">
        <v>43</v>
      </c>
      <c r="I361" s="208">
        <v>22767.5</v>
      </c>
      <c r="J361" s="208">
        <v>5037.4800000000005</v>
      </c>
      <c r="K361" s="208">
        <v>0</v>
      </c>
      <c r="L361" s="208">
        <v>16997.77</v>
      </c>
      <c r="M361" s="208" t="s">
        <v>244</v>
      </c>
      <c r="N361" s="208">
        <v>-860</v>
      </c>
      <c r="O361" s="208">
        <v>1250</v>
      </c>
      <c r="P361" s="208">
        <v>-456.5</v>
      </c>
      <c r="Q361" s="208">
        <v>774</v>
      </c>
    </row>
    <row r="362" spans="1:17">
      <c r="A362" s="218">
        <v>44196</v>
      </c>
      <c r="B362" s="208" t="s">
        <v>259</v>
      </c>
      <c r="C362" s="208" t="s">
        <v>8</v>
      </c>
      <c r="D362" s="208">
        <v>2019</v>
      </c>
      <c r="E362" s="208" t="s">
        <v>106</v>
      </c>
      <c r="F362" s="208" t="s">
        <v>95</v>
      </c>
      <c r="G362" s="208" t="s">
        <v>243</v>
      </c>
      <c r="H362" s="208">
        <v>116</v>
      </c>
      <c r="I362" s="208">
        <v>47209.07</v>
      </c>
      <c r="J362" s="208">
        <v>12805.540000000006</v>
      </c>
      <c r="K362" s="208">
        <v>686.93999999999994</v>
      </c>
      <c r="L362" s="208">
        <v>31822.589999999997</v>
      </c>
      <c r="M362" s="208" t="s">
        <v>244</v>
      </c>
      <c r="N362" s="208">
        <v>-793.5</v>
      </c>
      <c r="O362" s="208">
        <v>2000</v>
      </c>
      <c r="P362" s="208">
        <v>-456.5</v>
      </c>
      <c r="Q362" s="208">
        <v>774</v>
      </c>
    </row>
    <row r="363" spans="1:17">
      <c r="A363" s="218">
        <v>44196</v>
      </c>
      <c r="B363" s="208" t="s">
        <v>225</v>
      </c>
      <c r="C363" s="208" t="s">
        <v>8</v>
      </c>
      <c r="D363" s="208">
        <v>2020</v>
      </c>
      <c r="E363" s="208" t="s">
        <v>106</v>
      </c>
      <c r="F363" s="208" t="s">
        <v>95</v>
      </c>
      <c r="G363" s="208" t="s">
        <v>243</v>
      </c>
      <c r="H363" s="208">
        <v>43</v>
      </c>
      <c r="I363" s="208">
        <v>22767.5</v>
      </c>
      <c r="J363" s="208">
        <v>5037.4800000000005</v>
      </c>
      <c r="K363" s="208">
        <v>0</v>
      </c>
      <c r="L363" s="208">
        <v>16997.77</v>
      </c>
      <c r="M363" s="208" t="s">
        <v>244</v>
      </c>
      <c r="N363" s="208">
        <v>-860</v>
      </c>
      <c r="O363" s="208">
        <v>1250</v>
      </c>
      <c r="P363" s="208">
        <v>-456.5</v>
      </c>
      <c r="Q363" s="208">
        <v>774</v>
      </c>
    </row>
    <row r="364" spans="1:17">
      <c r="A364" s="218">
        <v>44196</v>
      </c>
      <c r="B364" s="208" t="s">
        <v>259</v>
      </c>
      <c r="C364" s="208" t="s">
        <v>8</v>
      </c>
      <c r="D364" s="208">
        <v>2020</v>
      </c>
      <c r="E364" s="208" t="s">
        <v>106</v>
      </c>
      <c r="F364" s="208" t="s">
        <v>95</v>
      </c>
      <c r="G364" s="208" t="s">
        <v>243</v>
      </c>
      <c r="H364" s="208">
        <v>109</v>
      </c>
      <c r="I364" s="208">
        <v>46591.619999999995</v>
      </c>
      <c r="J364" s="208">
        <v>11867.03</v>
      </c>
      <c r="K364" s="208">
        <v>1548</v>
      </c>
      <c r="L364" s="208">
        <v>30530.59</v>
      </c>
      <c r="M364" s="208" t="s">
        <v>244</v>
      </c>
      <c r="N364" s="208">
        <v>-860</v>
      </c>
      <c r="O364" s="208">
        <v>1250</v>
      </c>
      <c r="P364" s="208">
        <v>-456.5</v>
      </c>
      <c r="Q364" s="208">
        <v>774</v>
      </c>
    </row>
    <row r="365" spans="1:17">
      <c r="A365" s="218">
        <v>44196</v>
      </c>
      <c r="B365" s="208" t="s">
        <v>35</v>
      </c>
      <c r="C365" s="208" t="s">
        <v>8</v>
      </c>
      <c r="D365" s="208">
        <v>2019</v>
      </c>
      <c r="E365" s="208" t="s">
        <v>106</v>
      </c>
      <c r="F365" s="208" t="s">
        <v>95</v>
      </c>
      <c r="G365" s="208" t="s">
        <v>243</v>
      </c>
      <c r="H365" s="208">
        <v>1</v>
      </c>
      <c r="I365" s="208">
        <v>650</v>
      </c>
      <c r="J365" s="208">
        <v>193.5</v>
      </c>
      <c r="K365" s="208">
        <v>0</v>
      </c>
      <c r="L365" s="208">
        <v>456.5</v>
      </c>
      <c r="M365" s="208" t="s">
        <v>244</v>
      </c>
      <c r="N365" s="208">
        <v>-793.5</v>
      </c>
      <c r="O365" s="208">
        <v>2000</v>
      </c>
      <c r="P365" s="208">
        <v>-456.5</v>
      </c>
      <c r="Q365" s="208">
        <v>774</v>
      </c>
    </row>
    <row r="366" spans="1:17">
      <c r="A366" s="218">
        <v>44196</v>
      </c>
      <c r="B366" s="208" t="s">
        <v>35</v>
      </c>
      <c r="C366" s="208" t="s">
        <v>8</v>
      </c>
      <c r="D366" s="208">
        <v>2020</v>
      </c>
      <c r="E366" s="208" t="s">
        <v>106</v>
      </c>
      <c r="F366" s="208" t="s">
        <v>95</v>
      </c>
      <c r="G366" s="208" t="s">
        <v>243</v>
      </c>
      <c r="H366" s="208">
        <v>2</v>
      </c>
      <c r="I366" s="208">
        <v>1300</v>
      </c>
      <c r="J366" s="208">
        <v>387</v>
      </c>
      <c r="K366" s="208">
        <v>0</v>
      </c>
      <c r="L366" s="208">
        <v>913</v>
      </c>
      <c r="M366" s="208" t="s">
        <v>244</v>
      </c>
      <c r="N366" s="208">
        <v>-860</v>
      </c>
      <c r="O366" s="208">
        <v>1250</v>
      </c>
      <c r="P366" s="208">
        <v>-456.5</v>
      </c>
      <c r="Q366" s="208">
        <v>774</v>
      </c>
    </row>
    <row r="367" spans="1:17">
      <c r="A367" s="218">
        <v>44196</v>
      </c>
      <c r="B367" s="208" t="s">
        <v>261</v>
      </c>
      <c r="C367" s="208" t="s">
        <v>8</v>
      </c>
      <c r="D367" s="208">
        <v>2020</v>
      </c>
      <c r="E367" s="208" t="s">
        <v>106</v>
      </c>
      <c r="F367" s="208" t="s">
        <v>95</v>
      </c>
      <c r="G367" s="208" t="s">
        <v>243</v>
      </c>
      <c r="H367" s="208">
        <v>2</v>
      </c>
      <c r="I367" s="208">
        <v>1300</v>
      </c>
      <c r="J367" s="208">
        <v>387</v>
      </c>
      <c r="K367" s="208">
        <v>0</v>
      </c>
      <c r="L367" s="208">
        <v>913</v>
      </c>
      <c r="M367" s="208" t="s">
        <v>244</v>
      </c>
      <c r="N367" s="208">
        <v>-860</v>
      </c>
      <c r="O367" s="208">
        <v>1250</v>
      </c>
      <c r="P367" s="208">
        <v>-456.5</v>
      </c>
      <c r="Q367" s="208">
        <v>774</v>
      </c>
    </row>
    <row r="368" spans="1:17">
      <c r="A368" s="218">
        <v>44196</v>
      </c>
      <c r="B368" s="208" t="s">
        <v>260</v>
      </c>
      <c r="C368" s="208" t="s">
        <v>8</v>
      </c>
      <c r="D368" s="208">
        <v>2019</v>
      </c>
      <c r="E368" s="208" t="s">
        <v>107</v>
      </c>
      <c r="F368" s="208" t="s">
        <v>95</v>
      </c>
      <c r="G368" s="208" t="s">
        <v>243</v>
      </c>
      <c r="H368" s="208">
        <v>10</v>
      </c>
      <c r="I368" s="208">
        <v>4580</v>
      </c>
      <c r="J368" s="208">
        <v>0</v>
      </c>
      <c r="K368" s="208">
        <v>0</v>
      </c>
      <c r="L368" s="208">
        <v>2415</v>
      </c>
      <c r="M368" s="208" t="s">
        <v>244</v>
      </c>
      <c r="N368" s="208">
        <v>80</v>
      </c>
      <c r="O368" s="208">
        <v>2000</v>
      </c>
      <c r="P368" s="208">
        <v>80</v>
      </c>
      <c r="Q368" s="208">
        <v>385</v>
      </c>
    </row>
    <row r="369" spans="1:17">
      <c r="A369" s="218">
        <v>44196</v>
      </c>
      <c r="B369" s="208" t="s">
        <v>36</v>
      </c>
      <c r="C369" s="208" t="s">
        <v>8</v>
      </c>
      <c r="D369" s="208">
        <v>2019</v>
      </c>
      <c r="E369" s="208" t="s">
        <v>107</v>
      </c>
      <c r="F369" s="208" t="s">
        <v>95</v>
      </c>
      <c r="G369" s="208" t="s">
        <v>243</v>
      </c>
      <c r="H369" s="208">
        <v>9</v>
      </c>
      <c r="I369" s="208">
        <v>5505</v>
      </c>
      <c r="J369" s="208">
        <v>0</v>
      </c>
      <c r="K369" s="208">
        <v>0</v>
      </c>
      <c r="L369" s="208">
        <v>2690</v>
      </c>
      <c r="M369" s="208" t="s">
        <v>244</v>
      </c>
      <c r="N369" s="208">
        <v>80</v>
      </c>
      <c r="O369" s="208">
        <v>2000</v>
      </c>
      <c r="P369" s="208">
        <v>80</v>
      </c>
      <c r="Q369" s="208">
        <v>385</v>
      </c>
    </row>
    <row r="370" spans="1:17">
      <c r="A370" s="218">
        <v>44196</v>
      </c>
      <c r="B370" s="208" t="s">
        <v>259</v>
      </c>
      <c r="C370" s="208" t="s">
        <v>8</v>
      </c>
      <c r="D370" s="208">
        <v>2019</v>
      </c>
      <c r="E370" s="208" t="s">
        <v>107</v>
      </c>
      <c r="F370" s="208" t="s">
        <v>95</v>
      </c>
      <c r="G370" s="208" t="s">
        <v>243</v>
      </c>
      <c r="H370" s="208">
        <v>9</v>
      </c>
      <c r="I370" s="208">
        <v>5505</v>
      </c>
      <c r="J370" s="208">
        <v>0</v>
      </c>
      <c r="K370" s="208">
        <v>0</v>
      </c>
      <c r="L370" s="208">
        <v>2690</v>
      </c>
      <c r="M370" s="208" t="s">
        <v>244</v>
      </c>
      <c r="N370" s="208">
        <v>80</v>
      </c>
      <c r="O370" s="208">
        <v>2000</v>
      </c>
      <c r="P370" s="208">
        <v>80</v>
      </c>
      <c r="Q370" s="208">
        <v>385</v>
      </c>
    </row>
    <row r="371" spans="1:17">
      <c r="A371" s="218">
        <v>44196</v>
      </c>
      <c r="B371" s="208" t="s">
        <v>29</v>
      </c>
      <c r="C371" s="208" t="s">
        <v>8</v>
      </c>
      <c r="D371" s="208">
        <v>2019</v>
      </c>
      <c r="E371" s="208" t="s">
        <v>107</v>
      </c>
      <c r="F371" s="208" t="s">
        <v>95</v>
      </c>
      <c r="G371" s="208" t="s">
        <v>243</v>
      </c>
      <c r="H371" s="208">
        <v>10</v>
      </c>
      <c r="I371" s="208">
        <v>4580</v>
      </c>
      <c r="J371" s="208">
        <v>0</v>
      </c>
      <c r="K371" s="208">
        <v>0</v>
      </c>
      <c r="L371" s="208">
        <v>2415</v>
      </c>
      <c r="M371" s="208" t="s">
        <v>244</v>
      </c>
      <c r="N371" s="208">
        <v>80</v>
      </c>
      <c r="O371" s="208">
        <v>2000</v>
      </c>
      <c r="P371" s="208">
        <v>80</v>
      </c>
      <c r="Q371" s="208">
        <v>385</v>
      </c>
    </row>
    <row r="372" spans="1:17">
      <c r="A372" s="218">
        <v>44196</v>
      </c>
      <c r="B372" s="208" t="s">
        <v>260</v>
      </c>
      <c r="C372" s="208" t="s">
        <v>8</v>
      </c>
      <c r="D372" s="208">
        <v>2020</v>
      </c>
      <c r="E372" s="208" t="s">
        <v>107</v>
      </c>
      <c r="F372" s="208" t="s">
        <v>95</v>
      </c>
      <c r="G372" s="208" t="s">
        <v>243</v>
      </c>
      <c r="H372" s="208">
        <v>4</v>
      </c>
      <c r="I372" s="208">
        <v>3078</v>
      </c>
      <c r="J372" s="208">
        <v>0</v>
      </c>
      <c r="K372" s="208">
        <v>0</v>
      </c>
      <c r="L372" s="208">
        <v>1230</v>
      </c>
      <c r="M372" s="208" t="s">
        <v>244</v>
      </c>
      <c r="N372" s="208">
        <v>75</v>
      </c>
      <c r="O372" s="208">
        <v>1785</v>
      </c>
      <c r="P372" s="208">
        <v>75</v>
      </c>
      <c r="Q372" s="208">
        <v>385</v>
      </c>
    </row>
    <row r="373" spans="1:17">
      <c r="A373" s="218">
        <v>44196</v>
      </c>
      <c r="B373" s="208" t="s">
        <v>259</v>
      </c>
      <c r="C373" s="208" t="s">
        <v>8</v>
      </c>
      <c r="D373" s="208">
        <v>2020</v>
      </c>
      <c r="E373" s="208" t="s">
        <v>107</v>
      </c>
      <c r="F373" s="208" t="s">
        <v>95</v>
      </c>
      <c r="G373" s="208" t="s">
        <v>243</v>
      </c>
      <c r="H373" s="208">
        <v>8</v>
      </c>
      <c r="I373" s="208">
        <v>3936.25</v>
      </c>
      <c r="J373" s="208">
        <v>0</v>
      </c>
      <c r="K373" s="208">
        <v>1200</v>
      </c>
      <c r="L373" s="208">
        <v>2211.25</v>
      </c>
      <c r="M373" s="208" t="s">
        <v>244</v>
      </c>
      <c r="N373" s="208">
        <v>75</v>
      </c>
      <c r="O373" s="208">
        <v>1785</v>
      </c>
      <c r="P373" s="208">
        <v>75</v>
      </c>
      <c r="Q373" s="208">
        <v>385</v>
      </c>
    </row>
    <row r="374" spans="1:17">
      <c r="A374" s="218">
        <v>44196</v>
      </c>
      <c r="B374" s="208" t="s">
        <v>29</v>
      </c>
      <c r="C374" s="208" t="s">
        <v>8</v>
      </c>
      <c r="D374" s="208">
        <v>2020</v>
      </c>
      <c r="E374" s="208" t="s">
        <v>107</v>
      </c>
      <c r="F374" s="208" t="s">
        <v>95</v>
      </c>
      <c r="G374" s="208" t="s">
        <v>243</v>
      </c>
      <c r="H374" s="208">
        <v>4</v>
      </c>
      <c r="I374" s="208">
        <v>3078</v>
      </c>
      <c r="J374" s="208">
        <v>0</v>
      </c>
      <c r="K374" s="208">
        <v>0</v>
      </c>
      <c r="L374" s="208">
        <v>1230</v>
      </c>
      <c r="M374" s="208" t="s">
        <v>244</v>
      </c>
      <c r="N374" s="208">
        <v>75</v>
      </c>
      <c r="O374" s="208">
        <v>1785</v>
      </c>
      <c r="P374" s="208">
        <v>75</v>
      </c>
      <c r="Q374" s="208">
        <v>385</v>
      </c>
    </row>
    <row r="375" spans="1:17">
      <c r="A375" s="218">
        <v>44196</v>
      </c>
      <c r="B375" s="208" t="s">
        <v>36</v>
      </c>
      <c r="C375" s="208" t="s">
        <v>8</v>
      </c>
      <c r="D375" s="208">
        <v>2020</v>
      </c>
      <c r="E375" s="208" t="s">
        <v>107</v>
      </c>
      <c r="F375" s="208" t="s">
        <v>95</v>
      </c>
      <c r="G375" s="208" t="s">
        <v>243</v>
      </c>
      <c r="H375" s="208">
        <v>8</v>
      </c>
      <c r="I375" s="208">
        <v>3936.25</v>
      </c>
      <c r="J375" s="208">
        <v>0</v>
      </c>
      <c r="K375" s="208">
        <v>1200</v>
      </c>
      <c r="L375" s="208">
        <v>2211.25</v>
      </c>
      <c r="M375" s="208" t="s">
        <v>244</v>
      </c>
      <c r="N375" s="208">
        <v>75</v>
      </c>
      <c r="O375" s="208">
        <v>1785</v>
      </c>
      <c r="P375" s="208">
        <v>75</v>
      </c>
      <c r="Q375" s="208">
        <v>385</v>
      </c>
    </row>
    <row r="376" spans="1:17">
      <c r="A376" s="218">
        <v>44196</v>
      </c>
      <c r="B376" s="208" t="s">
        <v>259</v>
      </c>
      <c r="C376" s="208" t="s">
        <v>8</v>
      </c>
      <c r="D376" s="208">
        <v>2019</v>
      </c>
      <c r="E376" s="208" t="s">
        <v>108</v>
      </c>
      <c r="F376" s="208" t="s">
        <v>95</v>
      </c>
      <c r="G376" s="208" t="s">
        <v>243</v>
      </c>
      <c r="H376" s="208">
        <v>25</v>
      </c>
      <c r="I376" s="208">
        <v>3139.3999999999996</v>
      </c>
      <c r="J376" s="208">
        <v>179.48000000000002</v>
      </c>
      <c r="K376" s="208">
        <v>0</v>
      </c>
      <c r="L376" s="208">
        <v>1964.62</v>
      </c>
      <c r="M376" s="208" t="s">
        <v>244</v>
      </c>
      <c r="N376" s="208">
        <v>-171.08</v>
      </c>
      <c r="O376" s="208">
        <v>600</v>
      </c>
      <c r="P376" s="208">
        <v>-171.08</v>
      </c>
      <c r="Q376" s="208">
        <v>540</v>
      </c>
    </row>
    <row r="377" spans="1:17">
      <c r="A377" s="218">
        <v>44196</v>
      </c>
      <c r="B377" s="208" t="s">
        <v>36</v>
      </c>
      <c r="C377" s="208" t="s">
        <v>8</v>
      </c>
      <c r="D377" s="208">
        <v>2019</v>
      </c>
      <c r="E377" s="208" t="s">
        <v>108</v>
      </c>
      <c r="F377" s="208" t="s">
        <v>95</v>
      </c>
      <c r="G377" s="208" t="s">
        <v>243</v>
      </c>
      <c r="H377" s="208">
        <v>25</v>
      </c>
      <c r="I377" s="208">
        <v>3139.4</v>
      </c>
      <c r="J377" s="208">
        <v>179.48000000000002</v>
      </c>
      <c r="K377" s="208">
        <v>0</v>
      </c>
      <c r="L377" s="208">
        <v>1964.62</v>
      </c>
      <c r="M377" s="208" t="s">
        <v>244</v>
      </c>
      <c r="N377" s="208">
        <v>-171.08</v>
      </c>
      <c r="O377" s="208">
        <v>600</v>
      </c>
      <c r="P377" s="208">
        <v>-171.08</v>
      </c>
      <c r="Q377" s="208">
        <v>540</v>
      </c>
    </row>
    <row r="378" spans="1:17">
      <c r="A378" s="218">
        <v>44196</v>
      </c>
      <c r="B378" s="208" t="s">
        <v>259</v>
      </c>
      <c r="C378" s="208" t="s">
        <v>8</v>
      </c>
      <c r="D378" s="208">
        <v>2020</v>
      </c>
      <c r="E378" s="208" t="s">
        <v>108</v>
      </c>
      <c r="F378" s="208" t="s">
        <v>95</v>
      </c>
      <c r="G378" s="208" t="s">
        <v>243</v>
      </c>
      <c r="H378" s="208">
        <v>50</v>
      </c>
      <c r="I378" s="208">
        <v>6050.6200000000008</v>
      </c>
      <c r="J378" s="208">
        <v>313.89999999999998</v>
      </c>
      <c r="K378" s="208">
        <v>0</v>
      </c>
      <c r="L378" s="208">
        <v>3828.7199999999993</v>
      </c>
      <c r="M378" s="208" t="s">
        <v>244</v>
      </c>
      <c r="N378" s="208">
        <v>-76.62</v>
      </c>
      <c r="O378" s="208">
        <v>790</v>
      </c>
      <c r="P378" s="208">
        <v>-76.62</v>
      </c>
      <c r="Q378" s="208">
        <v>540</v>
      </c>
    </row>
    <row r="379" spans="1:17">
      <c r="A379" s="218">
        <v>44196</v>
      </c>
      <c r="B379" s="208" t="s">
        <v>36</v>
      </c>
      <c r="C379" s="208" t="s">
        <v>8</v>
      </c>
      <c r="D379" s="208">
        <v>2020</v>
      </c>
      <c r="E379" s="208" t="s">
        <v>108</v>
      </c>
      <c r="F379" s="208" t="s">
        <v>95</v>
      </c>
      <c r="G379" s="208" t="s">
        <v>243</v>
      </c>
      <c r="H379" s="208">
        <v>50</v>
      </c>
      <c r="I379" s="208">
        <v>6050.6200000000008</v>
      </c>
      <c r="J379" s="208">
        <v>313.89999999999998</v>
      </c>
      <c r="K379" s="208">
        <v>0</v>
      </c>
      <c r="L379" s="208">
        <v>3828.7199999999993</v>
      </c>
      <c r="M379" s="208" t="s">
        <v>244</v>
      </c>
      <c r="N379" s="208">
        <v>-76.62</v>
      </c>
      <c r="O379" s="208">
        <v>790</v>
      </c>
      <c r="P379" s="208">
        <v>-76.62</v>
      </c>
      <c r="Q379" s="208">
        <v>540</v>
      </c>
    </row>
    <row r="380" spans="1:17">
      <c r="A380" s="218">
        <v>44196</v>
      </c>
      <c r="B380" s="208" t="s">
        <v>258</v>
      </c>
      <c r="C380" s="208" t="s">
        <v>8</v>
      </c>
      <c r="D380" s="208">
        <v>2020</v>
      </c>
      <c r="E380" s="208" t="s">
        <v>108</v>
      </c>
      <c r="F380" s="208" t="s">
        <v>95</v>
      </c>
      <c r="G380" s="208" t="s">
        <v>243</v>
      </c>
      <c r="H380" s="208">
        <v>42</v>
      </c>
      <c r="I380" s="208">
        <v>5362.5</v>
      </c>
      <c r="J380" s="208">
        <v>430.08</v>
      </c>
      <c r="K380" s="208">
        <v>0</v>
      </c>
      <c r="L380" s="208">
        <v>1519.32</v>
      </c>
      <c r="M380" s="208" t="s">
        <v>244</v>
      </c>
      <c r="N380" s="208">
        <v>-76.62</v>
      </c>
      <c r="O380" s="208">
        <v>790</v>
      </c>
      <c r="P380" s="208">
        <v>-76.62</v>
      </c>
      <c r="Q380" s="208">
        <v>540</v>
      </c>
    </row>
    <row r="381" spans="1:17">
      <c r="A381" s="218">
        <v>44196</v>
      </c>
      <c r="B381" s="208" t="s">
        <v>37</v>
      </c>
      <c r="C381" s="208" t="s">
        <v>8</v>
      </c>
      <c r="D381" s="208">
        <v>2020</v>
      </c>
      <c r="E381" s="208" t="s">
        <v>108</v>
      </c>
      <c r="F381" s="208" t="s">
        <v>95</v>
      </c>
      <c r="G381" s="208" t="s">
        <v>243</v>
      </c>
      <c r="H381" s="208">
        <v>37</v>
      </c>
      <c r="I381" s="208">
        <v>4924.1599999999989</v>
      </c>
      <c r="J381" s="208">
        <v>132.24</v>
      </c>
      <c r="K381" s="208">
        <v>0</v>
      </c>
      <c r="L381" s="208">
        <v>4409.6399999999994</v>
      </c>
      <c r="M381" s="208" t="s">
        <v>244</v>
      </c>
      <c r="N381" s="208">
        <v>-76.62</v>
      </c>
      <c r="O381" s="208">
        <v>790</v>
      </c>
      <c r="P381" s="208">
        <v>-76.62</v>
      </c>
      <c r="Q381" s="208">
        <v>540</v>
      </c>
    </row>
    <row r="382" spans="1:17">
      <c r="A382" s="218">
        <v>44196</v>
      </c>
      <c r="B382" s="208" t="s">
        <v>31</v>
      </c>
      <c r="C382" s="208" t="s">
        <v>8</v>
      </c>
      <c r="D382" s="208">
        <v>2019</v>
      </c>
      <c r="E382" s="208" t="s">
        <v>108</v>
      </c>
      <c r="F382" s="208" t="s">
        <v>95</v>
      </c>
      <c r="G382" s="208" t="s">
        <v>243</v>
      </c>
      <c r="H382" s="208">
        <v>35</v>
      </c>
      <c r="I382" s="208">
        <v>3537.1600000000003</v>
      </c>
      <c r="J382" s="208">
        <v>435.82</v>
      </c>
      <c r="K382" s="208">
        <v>0</v>
      </c>
      <c r="L382" s="208">
        <v>1054.4000000000001</v>
      </c>
      <c r="M382" s="208" t="s">
        <v>244</v>
      </c>
      <c r="N382" s="208">
        <v>-171.08</v>
      </c>
      <c r="O382" s="208">
        <v>600</v>
      </c>
      <c r="P382" s="208">
        <v>-171.08</v>
      </c>
      <c r="Q382" s="208">
        <v>540</v>
      </c>
    </row>
    <row r="383" spans="1:17">
      <c r="A383" s="218">
        <v>44196</v>
      </c>
      <c r="B383" s="208" t="s">
        <v>258</v>
      </c>
      <c r="C383" s="208" t="s">
        <v>8</v>
      </c>
      <c r="D383" s="208">
        <v>2019</v>
      </c>
      <c r="E383" s="208" t="s">
        <v>108</v>
      </c>
      <c r="F383" s="208" t="s">
        <v>95</v>
      </c>
      <c r="G383" s="208" t="s">
        <v>243</v>
      </c>
      <c r="H383" s="208">
        <v>35</v>
      </c>
      <c r="I383" s="208">
        <v>3537.16</v>
      </c>
      <c r="J383" s="208">
        <v>435.82</v>
      </c>
      <c r="K383" s="208">
        <v>0</v>
      </c>
      <c r="L383" s="208">
        <v>1054.3999999999999</v>
      </c>
      <c r="M383" s="208" t="s">
        <v>244</v>
      </c>
      <c r="N383" s="208">
        <v>-171.08</v>
      </c>
      <c r="O383" s="208">
        <v>600</v>
      </c>
      <c r="P383" s="208">
        <v>-171.08</v>
      </c>
      <c r="Q383" s="208">
        <v>540</v>
      </c>
    </row>
    <row r="384" spans="1:17">
      <c r="A384" s="218">
        <v>44196</v>
      </c>
      <c r="B384" s="208" t="s">
        <v>31</v>
      </c>
      <c r="C384" s="208" t="s">
        <v>8</v>
      </c>
      <c r="D384" s="208">
        <v>2020</v>
      </c>
      <c r="E384" s="208" t="s">
        <v>108</v>
      </c>
      <c r="F384" s="208" t="s">
        <v>95</v>
      </c>
      <c r="G384" s="208" t="s">
        <v>243</v>
      </c>
      <c r="H384" s="208">
        <v>42</v>
      </c>
      <c r="I384" s="208">
        <v>5362.5000000000009</v>
      </c>
      <c r="J384" s="208">
        <v>430.07999999999993</v>
      </c>
      <c r="K384" s="208">
        <v>0</v>
      </c>
      <c r="L384" s="208">
        <v>1519.3199999999997</v>
      </c>
      <c r="M384" s="208" t="s">
        <v>244</v>
      </c>
      <c r="N384" s="208">
        <v>-76.62</v>
      </c>
      <c r="O384" s="208">
        <v>790</v>
      </c>
      <c r="P384" s="208">
        <v>-76.62</v>
      </c>
      <c r="Q384" s="208">
        <v>540</v>
      </c>
    </row>
    <row r="385" spans="1:17">
      <c r="A385" s="218">
        <v>44196</v>
      </c>
      <c r="B385" s="208" t="s">
        <v>260</v>
      </c>
      <c r="C385" s="208" t="s">
        <v>8</v>
      </c>
      <c r="D385" s="208">
        <v>2019</v>
      </c>
      <c r="E385" s="208" t="s">
        <v>108</v>
      </c>
      <c r="F385" s="208" t="s">
        <v>95</v>
      </c>
      <c r="G385" s="208" t="s">
        <v>243</v>
      </c>
      <c r="H385" s="208">
        <v>99</v>
      </c>
      <c r="I385" s="208">
        <v>10946.28</v>
      </c>
      <c r="J385" s="208">
        <v>547.55999999999995</v>
      </c>
      <c r="K385" s="208">
        <v>700</v>
      </c>
      <c r="L385" s="208">
        <v>3766.4799999999996</v>
      </c>
      <c r="M385" s="208" t="s">
        <v>244</v>
      </c>
      <c r="N385" s="208">
        <v>-171.08</v>
      </c>
      <c r="O385" s="208">
        <v>600</v>
      </c>
      <c r="P385" s="208">
        <v>-171.08</v>
      </c>
      <c r="Q385" s="208">
        <v>540</v>
      </c>
    </row>
    <row r="386" spans="1:17">
      <c r="A386" s="218">
        <v>44196</v>
      </c>
      <c r="B386" s="208" t="s">
        <v>260</v>
      </c>
      <c r="C386" s="208" t="s">
        <v>8</v>
      </c>
      <c r="D386" s="208">
        <v>2020</v>
      </c>
      <c r="E386" s="208" t="s">
        <v>108</v>
      </c>
      <c r="F386" s="208" t="s">
        <v>95</v>
      </c>
      <c r="G386" s="208" t="s">
        <v>243</v>
      </c>
      <c r="H386" s="208">
        <v>85</v>
      </c>
      <c r="I386" s="208">
        <v>7942.8700000000008</v>
      </c>
      <c r="J386" s="208">
        <v>567.55999999999995</v>
      </c>
      <c r="K386" s="208">
        <v>450</v>
      </c>
      <c r="L386" s="208">
        <v>3054.3200000000006</v>
      </c>
      <c r="M386" s="208" t="s">
        <v>244</v>
      </c>
      <c r="N386" s="208">
        <v>-76.62</v>
      </c>
      <c r="O386" s="208">
        <v>790</v>
      </c>
      <c r="P386" s="208">
        <v>-76.62</v>
      </c>
      <c r="Q386" s="208">
        <v>540</v>
      </c>
    </row>
    <row r="387" spans="1:17">
      <c r="A387" s="218">
        <v>44196</v>
      </c>
      <c r="B387" s="208" t="s">
        <v>225</v>
      </c>
      <c r="C387" s="208" t="s">
        <v>8</v>
      </c>
      <c r="D387" s="208">
        <v>2020</v>
      </c>
      <c r="E387" s="208" t="s">
        <v>108</v>
      </c>
      <c r="F387" s="208" t="s">
        <v>95</v>
      </c>
      <c r="G387" s="208" t="s">
        <v>243</v>
      </c>
      <c r="H387" s="208">
        <v>37</v>
      </c>
      <c r="I387" s="208">
        <v>4924.16</v>
      </c>
      <c r="J387" s="208">
        <v>132.24</v>
      </c>
      <c r="K387" s="208">
        <v>0</v>
      </c>
      <c r="L387" s="208">
        <v>4409.6399999999994</v>
      </c>
      <c r="M387" s="208" t="s">
        <v>244</v>
      </c>
      <c r="N387" s="208">
        <v>-76.62</v>
      </c>
      <c r="O387" s="208">
        <v>790</v>
      </c>
      <c r="P387" s="208">
        <v>-76.62</v>
      </c>
      <c r="Q387" s="208">
        <v>540</v>
      </c>
    </row>
    <row r="388" spans="1:17">
      <c r="A388" s="218">
        <v>44196</v>
      </c>
      <c r="B388" s="208" t="s">
        <v>37</v>
      </c>
      <c r="C388" s="208" t="s">
        <v>8</v>
      </c>
      <c r="D388" s="208">
        <v>2019</v>
      </c>
      <c r="E388" s="208" t="s">
        <v>108</v>
      </c>
      <c r="F388" s="208" t="s">
        <v>95</v>
      </c>
      <c r="G388" s="208" t="s">
        <v>243</v>
      </c>
      <c r="H388" s="208">
        <v>19</v>
      </c>
      <c r="I388" s="208">
        <v>3572.16</v>
      </c>
      <c r="J388" s="208">
        <v>28</v>
      </c>
      <c r="K388" s="208">
        <v>0</v>
      </c>
      <c r="L388" s="208">
        <v>3004.16</v>
      </c>
      <c r="M388" s="208" t="s">
        <v>244</v>
      </c>
      <c r="N388" s="208">
        <v>-171.08</v>
      </c>
      <c r="O388" s="208">
        <v>600</v>
      </c>
      <c r="P388" s="208">
        <v>-171.08</v>
      </c>
      <c r="Q388" s="208">
        <v>540</v>
      </c>
    </row>
    <row r="389" spans="1:17">
      <c r="A389" s="218">
        <v>44196</v>
      </c>
      <c r="B389" s="208" t="s">
        <v>29</v>
      </c>
      <c r="C389" s="208" t="s">
        <v>8</v>
      </c>
      <c r="D389" s="208">
        <v>2020</v>
      </c>
      <c r="E389" s="208" t="s">
        <v>108</v>
      </c>
      <c r="F389" s="208" t="s">
        <v>95</v>
      </c>
      <c r="G389" s="208" t="s">
        <v>243</v>
      </c>
      <c r="H389" s="208">
        <v>85</v>
      </c>
      <c r="I389" s="208">
        <v>7942.8700000000017</v>
      </c>
      <c r="J389" s="208">
        <v>567.55999999999995</v>
      </c>
      <c r="K389" s="208">
        <v>450</v>
      </c>
      <c r="L389" s="208">
        <v>3054.32</v>
      </c>
      <c r="M389" s="208" t="s">
        <v>244</v>
      </c>
      <c r="N389" s="208">
        <v>-76.62</v>
      </c>
      <c r="O389" s="208">
        <v>790</v>
      </c>
      <c r="P389" s="208">
        <v>-76.62</v>
      </c>
      <c r="Q389" s="208">
        <v>540</v>
      </c>
    </row>
    <row r="390" spans="1:17">
      <c r="A390" s="218">
        <v>44196</v>
      </c>
      <c r="B390" s="208" t="s">
        <v>29</v>
      </c>
      <c r="C390" s="208" t="s">
        <v>8</v>
      </c>
      <c r="D390" s="208">
        <v>2019</v>
      </c>
      <c r="E390" s="208" t="s">
        <v>108</v>
      </c>
      <c r="F390" s="208" t="s">
        <v>95</v>
      </c>
      <c r="G390" s="208" t="s">
        <v>243</v>
      </c>
      <c r="H390" s="208">
        <v>99</v>
      </c>
      <c r="I390" s="208">
        <v>10946.28</v>
      </c>
      <c r="J390" s="208">
        <v>547.55999999999995</v>
      </c>
      <c r="K390" s="208">
        <v>700</v>
      </c>
      <c r="L390" s="208">
        <v>3766.4800000000009</v>
      </c>
      <c r="M390" s="208" t="s">
        <v>244</v>
      </c>
      <c r="N390" s="208">
        <v>-171.08</v>
      </c>
      <c r="O390" s="208">
        <v>600</v>
      </c>
      <c r="P390" s="208">
        <v>-171.08</v>
      </c>
      <c r="Q390" s="208">
        <v>540</v>
      </c>
    </row>
    <row r="391" spans="1:17">
      <c r="A391" s="218">
        <v>44196</v>
      </c>
      <c r="B391" s="208" t="s">
        <v>225</v>
      </c>
      <c r="C391" s="208" t="s">
        <v>8</v>
      </c>
      <c r="D391" s="208">
        <v>2019</v>
      </c>
      <c r="E391" s="208" t="s">
        <v>108</v>
      </c>
      <c r="F391" s="208" t="s">
        <v>95</v>
      </c>
      <c r="G391" s="208" t="s">
        <v>243</v>
      </c>
      <c r="H391" s="208">
        <v>19</v>
      </c>
      <c r="I391" s="208">
        <v>3572.16</v>
      </c>
      <c r="J391" s="208">
        <v>28</v>
      </c>
      <c r="K391" s="208">
        <v>0</v>
      </c>
      <c r="L391" s="208">
        <v>3004.16</v>
      </c>
      <c r="M391" s="208" t="s">
        <v>244</v>
      </c>
      <c r="N391" s="208">
        <v>-171.08</v>
      </c>
      <c r="O391" s="208">
        <v>600</v>
      </c>
      <c r="P391" s="208">
        <v>-171.08</v>
      </c>
      <c r="Q391" s="208">
        <v>540</v>
      </c>
    </row>
    <row r="392" spans="1:17">
      <c r="A392" s="218">
        <v>44196</v>
      </c>
      <c r="B392" s="208" t="s">
        <v>260</v>
      </c>
      <c r="C392" s="208" t="s">
        <v>8</v>
      </c>
      <c r="D392" s="208">
        <v>2019</v>
      </c>
      <c r="E392" s="208" t="s">
        <v>176</v>
      </c>
      <c r="F392" s="208" t="s">
        <v>95</v>
      </c>
      <c r="G392" s="208" t="s">
        <v>243</v>
      </c>
      <c r="H392" s="208">
        <v>4</v>
      </c>
      <c r="I392" s="208">
        <v>160</v>
      </c>
      <c r="J392" s="208">
        <v>112</v>
      </c>
      <c r="K392" s="208">
        <v>0</v>
      </c>
      <c r="L392" s="208">
        <v>48</v>
      </c>
      <c r="M392" s="208" t="s">
        <v>244</v>
      </c>
      <c r="N392" s="208">
        <v>-41.8</v>
      </c>
      <c r="O392" s="208">
        <v>41.8</v>
      </c>
      <c r="P392" s="208">
        <v>-12.54</v>
      </c>
      <c r="Q392" s="208">
        <v>12.54</v>
      </c>
    </row>
    <row r="393" spans="1:17">
      <c r="A393" s="218">
        <v>44196</v>
      </c>
      <c r="B393" s="208" t="s">
        <v>225</v>
      </c>
      <c r="C393" s="208" t="s">
        <v>8</v>
      </c>
      <c r="D393" s="208">
        <v>2019</v>
      </c>
      <c r="E393" s="208" t="s">
        <v>176</v>
      </c>
      <c r="F393" s="208" t="s">
        <v>95</v>
      </c>
      <c r="G393" s="208" t="s">
        <v>243</v>
      </c>
      <c r="H393" s="208">
        <v>1</v>
      </c>
      <c r="I393" s="208">
        <v>40</v>
      </c>
      <c r="J393" s="208">
        <v>28</v>
      </c>
      <c r="K393" s="208">
        <v>0</v>
      </c>
      <c r="L393" s="208">
        <v>12</v>
      </c>
      <c r="M393" s="208" t="s">
        <v>244</v>
      </c>
      <c r="N393" s="208">
        <v>-41.8</v>
      </c>
      <c r="O393" s="208">
        <v>41.8</v>
      </c>
      <c r="P393" s="208">
        <v>-12.54</v>
      </c>
      <c r="Q393" s="208">
        <v>12.54</v>
      </c>
    </row>
    <row r="394" spans="1:17">
      <c r="A394" s="218">
        <v>44196</v>
      </c>
      <c r="B394" s="208" t="s">
        <v>37</v>
      </c>
      <c r="C394" s="208" t="s">
        <v>8</v>
      </c>
      <c r="D394" s="208">
        <v>2019</v>
      </c>
      <c r="E394" s="208" t="s">
        <v>176</v>
      </c>
      <c r="F394" s="208" t="s">
        <v>95</v>
      </c>
      <c r="G394" s="208" t="s">
        <v>243</v>
      </c>
      <c r="H394" s="208">
        <v>1</v>
      </c>
      <c r="I394" s="208">
        <v>40</v>
      </c>
      <c r="J394" s="208">
        <v>28</v>
      </c>
      <c r="K394" s="208">
        <v>0</v>
      </c>
      <c r="L394" s="208">
        <v>12</v>
      </c>
      <c r="M394" s="208" t="s">
        <v>244</v>
      </c>
      <c r="N394" s="208">
        <v>-41.8</v>
      </c>
      <c r="O394" s="208">
        <v>41.8</v>
      </c>
      <c r="P394" s="208">
        <v>-12.54</v>
      </c>
      <c r="Q394" s="208">
        <v>12.54</v>
      </c>
    </row>
    <row r="395" spans="1:17">
      <c r="A395" s="218">
        <v>44196</v>
      </c>
      <c r="B395" s="208" t="s">
        <v>36</v>
      </c>
      <c r="C395" s="208" t="s">
        <v>8</v>
      </c>
      <c r="D395" s="208">
        <v>2019</v>
      </c>
      <c r="E395" s="208" t="s">
        <v>176</v>
      </c>
      <c r="F395" s="208" t="s">
        <v>95</v>
      </c>
      <c r="G395" s="208" t="s">
        <v>243</v>
      </c>
      <c r="H395" s="208">
        <v>2</v>
      </c>
      <c r="I395" s="208">
        <v>80</v>
      </c>
      <c r="J395" s="208">
        <v>56</v>
      </c>
      <c r="K395" s="208">
        <v>0</v>
      </c>
      <c r="L395" s="208">
        <v>24</v>
      </c>
      <c r="M395" s="208" t="s">
        <v>244</v>
      </c>
      <c r="N395" s="208">
        <v>-41.8</v>
      </c>
      <c r="O395" s="208">
        <v>41.8</v>
      </c>
      <c r="P395" s="208">
        <v>-12.54</v>
      </c>
      <c r="Q395" s="208">
        <v>12.54</v>
      </c>
    </row>
    <row r="396" spans="1:17">
      <c r="A396" s="218">
        <v>44196</v>
      </c>
      <c r="B396" s="208" t="s">
        <v>259</v>
      </c>
      <c r="C396" s="208" t="s">
        <v>8</v>
      </c>
      <c r="D396" s="208">
        <v>2019</v>
      </c>
      <c r="E396" s="208" t="s">
        <v>176</v>
      </c>
      <c r="F396" s="208" t="s">
        <v>95</v>
      </c>
      <c r="G396" s="208" t="s">
        <v>243</v>
      </c>
      <c r="H396" s="208">
        <v>2</v>
      </c>
      <c r="I396" s="208">
        <v>80</v>
      </c>
      <c r="J396" s="208">
        <v>56</v>
      </c>
      <c r="K396" s="208">
        <v>0</v>
      </c>
      <c r="L396" s="208">
        <v>24</v>
      </c>
      <c r="M396" s="208" t="s">
        <v>244</v>
      </c>
      <c r="N396" s="208">
        <v>-41.8</v>
      </c>
      <c r="O396" s="208">
        <v>41.8</v>
      </c>
      <c r="P396" s="208">
        <v>-12.54</v>
      </c>
      <c r="Q396" s="208">
        <v>12.54</v>
      </c>
    </row>
    <row r="397" spans="1:17">
      <c r="A397" s="218">
        <v>44196</v>
      </c>
      <c r="B397" s="208" t="s">
        <v>258</v>
      </c>
      <c r="C397" s="208" t="s">
        <v>8</v>
      </c>
      <c r="D397" s="208">
        <v>2019</v>
      </c>
      <c r="E397" s="208" t="s">
        <v>176</v>
      </c>
      <c r="F397" s="208" t="s">
        <v>95</v>
      </c>
      <c r="G397" s="208" t="s">
        <v>243</v>
      </c>
      <c r="H397" s="208">
        <v>13</v>
      </c>
      <c r="I397" s="208">
        <v>450.8</v>
      </c>
      <c r="J397" s="208">
        <v>315.56</v>
      </c>
      <c r="K397" s="208">
        <v>0</v>
      </c>
      <c r="L397" s="208">
        <v>135.23999999999998</v>
      </c>
      <c r="M397" s="208" t="s">
        <v>244</v>
      </c>
      <c r="N397" s="208">
        <v>-41.8</v>
      </c>
      <c r="O397" s="208">
        <v>41.8</v>
      </c>
      <c r="P397" s="208">
        <v>-12.54</v>
      </c>
      <c r="Q397" s="208">
        <v>12.54</v>
      </c>
    </row>
    <row r="398" spans="1:17">
      <c r="A398" s="218">
        <v>44196</v>
      </c>
      <c r="B398" s="208" t="s">
        <v>31</v>
      </c>
      <c r="C398" s="208" t="s">
        <v>8</v>
      </c>
      <c r="D398" s="208">
        <v>2019</v>
      </c>
      <c r="E398" s="208" t="s">
        <v>176</v>
      </c>
      <c r="F398" s="208" t="s">
        <v>95</v>
      </c>
      <c r="G398" s="208" t="s">
        <v>243</v>
      </c>
      <c r="H398" s="208">
        <v>13</v>
      </c>
      <c r="I398" s="208">
        <v>450.8</v>
      </c>
      <c r="J398" s="208">
        <v>315.56</v>
      </c>
      <c r="K398" s="208">
        <v>0</v>
      </c>
      <c r="L398" s="208">
        <v>135.23999999999998</v>
      </c>
      <c r="M398" s="208" t="s">
        <v>244</v>
      </c>
      <c r="N398" s="208">
        <v>-41.8</v>
      </c>
      <c r="O398" s="208">
        <v>41.8</v>
      </c>
      <c r="P398" s="208">
        <v>-12.54</v>
      </c>
      <c r="Q398" s="208">
        <v>12.54</v>
      </c>
    </row>
    <row r="399" spans="1:17">
      <c r="A399" s="218">
        <v>44196</v>
      </c>
      <c r="B399" s="208" t="s">
        <v>29</v>
      </c>
      <c r="C399" s="208" t="s">
        <v>8</v>
      </c>
      <c r="D399" s="208">
        <v>2019</v>
      </c>
      <c r="E399" s="208" t="s">
        <v>176</v>
      </c>
      <c r="F399" s="208" t="s">
        <v>95</v>
      </c>
      <c r="G399" s="208" t="s">
        <v>243</v>
      </c>
      <c r="H399" s="208">
        <v>4</v>
      </c>
      <c r="I399" s="208">
        <v>160</v>
      </c>
      <c r="J399" s="208">
        <v>112</v>
      </c>
      <c r="K399" s="208">
        <v>0</v>
      </c>
      <c r="L399" s="208">
        <v>48</v>
      </c>
      <c r="M399" s="208" t="s">
        <v>244</v>
      </c>
      <c r="N399" s="208">
        <v>-41.8</v>
      </c>
      <c r="O399" s="208">
        <v>41.8</v>
      </c>
      <c r="P399" s="208">
        <v>-12.54</v>
      </c>
      <c r="Q399" s="208">
        <v>12.54</v>
      </c>
    </row>
    <row r="400" spans="1:17">
      <c r="A400" s="218">
        <v>44196</v>
      </c>
      <c r="B400" s="208" t="s">
        <v>260</v>
      </c>
      <c r="C400" s="208" t="s">
        <v>8</v>
      </c>
      <c r="D400" s="208">
        <v>2019</v>
      </c>
      <c r="E400" s="208" t="s">
        <v>177</v>
      </c>
      <c r="F400" s="208" t="s">
        <v>95</v>
      </c>
      <c r="G400" s="208" t="s">
        <v>243</v>
      </c>
      <c r="H400" s="208">
        <v>32</v>
      </c>
      <c r="I400" s="208">
        <v>3407.62</v>
      </c>
      <c r="J400" s="208">
        <v>0</v>
      </c>
      <c r="K400" s="208">
        <v>500</v>
      </c>
      <c r="L400" s="208">
        <v>1377.62</v>
      </c>
      <c r="M400" s="208" t="s">
        <v>244</v>
      </c>
      <c r="N400" s="208">
        <v>-350</v>
      </c>
      <c r="O400" s="208">
        <v>1200</v>
      </c>
      <c r="P400" s="208">
        <v>-60</v>
      </c>
      <c r="Q400" s="208">
        <v>540</v>
      </c>
    </row>
    <row r="401" spans="1:17">
      <c r="A401" s="218">
        <v>44196</v>
      </c>
      <c r="B401" s="208" t="s">
        <v>259</v>
      </c>
      <c r="C401" s="208" t="s">
        <v>8</v>
      </c>
      <c r="D401" s="208">
        <v>2019</v>
      </c>
      <c r="E401" s="208" t="s">
        <v>177</v>
      </c>
      <c r="F401" s="208" t="s">
        <v>95</v>
      </c>
      <c r="G401" s="208" t="s">
        <v>243</v>
      </c>
      <c r="H401" s="208">
        <v>12</v>
      </c>
      <c r="I401" s="208">
        <v>3236.62</v>
      </c>
      <c r="J401" s="208">
        <v>0</v>
      </c>
      <c r="K401" s="208">
        <v>0</v>
      </c>
      <c r="L401" s="208">
        <v>1286.6199999999999</v>
      </c>
      <c r="M401" s="208" t="s">
        <v>244</v>
      </c>
      <c r="N401" s="208">
        <v>-350</v>
      </c>
      <c r="O401" s="208">
        <v>1200</v>
      </c>
      <c r="P401" s="208">
        <v>-60</v>
      </c>
      <c r="Q401" s="208">
        <v>540</v>
      </c>
    </row>
    <row r="402" spans="1:17">
      <c r="A402" s="218">
        <v>44196</v>
      </c>
      <c r="B402" s="208" t="s">
        <v>29</v>
      </c>
      <c r="C402" s="208" t="s">
        <v>8</v>
      </c>
      <c r="D402" s="208">
        <v>2019</v>
      </c>
      <c r="E402" s="208" t="s">
        <v>177</v>
      </c>
      <c r="F402" s="208" t="s">
        <v>95</v>
      </c>
      <c r="G402" s="208" t="s">
        <v>243</v>
      </c>
      <c r="H402" s="208">
        <v>32</v>
      </c>
      <c r="I402" s="208">
        <v>3407.62</v>
      </c>
      <c r="J402" s="208">
        <v>0</v>
      </c>
      <c r="K402" s="208">
        <v>500</v>
      </c>
      <c r="L402" s="208">
        <v>1377.62</v>
      </c>
      <c r="M402" s="208" t="s">
        <v>244</v>
      </c>
      <c r="N402" s="208">
        <v>-350</v>
      </c>
      <c r="O402" s="208">
        <v>1200</v>
      </c>
      <c r="P402" s="208">
        <v>-60</v>
      </c>
      <c r="Q402" s="208">
        <v>540</v>
      </c>
    </row>
    <row r="403" spans="1:17">
      <c r="A403" s="218">
        <v>44196</v>
      </c>
      <c r="B403" s="208" t="s">
        <v>258</v>
      </c>
      <c r="C403" s="208" t="s">
        <v>8</v>
      </c>
      <c r="D403" s="208">
        <v>2019</v>
      </c>
      <c r="E403" s="208" t="s">
        <v>177</v>
      </c>
      <c r="F403" s="208" t="s">
        <v>95</v>
      </c>
      <c r="G403" s="208" t="s">
        <v>243</v>
      </c>
      <c r="H403" s="208">
        <v>11</v>
      </c>
      <c r="I403" s="208">
        <v>1392.2399999999998</v>
      </c>
      <c r="J403" s="208">
        <v>0</v>
      </c>
      <c r="K403" s="208">
        <v>0</v>
      </c>
      <c r="L403" s="208">
        <v>500.08</v>
      </c>
      <c r="M403" s="208" t="s">
        <v>244</v>
      </c>
      <c r="N403" s="208">
        <v>-350</v>
      </c>
      <c r="O403" s="208">
        <v>1200</v>
      </c>
      <c r="P403" s="208">
        <v>-60</v>
      </c>
      <c r="Q403" s="208">
        <v>540</v>
      </c>
    </row>
    <row r="404" spans="1:17">
      <c r="A404" s="218">
        <v>44196</v>
      </c>
      <c r="B404" s="208" t="s">
        <v>31</v>
      </c>
      <c r="C404" s="208" t="s">
        <v>8</v>
      </c>
      <c r="D404" s="208">
        <v>2019</v>
      </c>
      <c r="E404" s="208" t="s">
        <v>177</v>
      </c>
      <c r="F404" s="208" t="s">
        <v>95</v>
      </c>
      <c r="G404" s="208" t="s">
        <v>243</v>
      </c>
      <c r="H404" s="208">
        <v>11</v>
      </c>
      <c r="I404" s="208">
        <v>1392.2399999999998</v>
      </c>
      <c r="J404" s="208">
        <v>0</v>
      </c>
      <c r="K404" s="208">
        <v>0</v>
      </c>
      <c r="L404" s="208">
        <v>500.08</v>
      </c>
      <c r="M404" s="208" t="s">
        <v>244</v>
      </c>
      <c r="N404" s="208">
        <v>-350</v>
      </c>
      <c r="O404" s="208">
        <v>1200</v>
      </c>
      <c r="P404" s="208">
        <v>-60</v>
      </c>
      <c r="Q404" s="208">
        <v>540</v>
      </c>
    </row>
    <row r="405" spans="1:17">
      <c r="A405" s="218">
        <v>44196</v>
      </c>
      <c r="B405" s="208" t="s">
        <v>36</v>
      </c>
      <c r="C405" s="208" t="s">
        <v>8</v>
      </c>
      <c r="D405" s="208">
        <v>2019</v>
      </c>
      <c r="E405" s="208" t="s">
        <v>177</v>
      </c>
      <c r="F405" s="208" t="s">
        <v>95</v>
      </c>
      <c r="G405" s="208" t="s">
        <v>243</v>
      </c>
      <c r="H405" s="208">
        <v>12</v>
      </c>
      <c r="I405" s="208">
        <v>3236.62</v>
      </c>
      <c r="J405" s="208">
        <v>0</v>
      </c>
      <c r="K405" s="208">
        <v>0</v>
      </c>
      <c r="L405" s="208">
        <v>1286.6199999999999</v>
      </c>
      <c r="M405" s="208" t="s">
        <v>244</v>
      </c>
      <c r="N405" s="208">
        <v>-350</v>
      </c>
      <c r="O405" s="208">
        <v>1200</v>
      </c>
      <c r="P405" s="208">
        <v>-60</v>
      </c>
      <c r="Q405" s="208">
        <v>540</v>
      </c>
    </row>
    <row r="406" spans="1:17">
      <c r="A406" s="218">
        <v>44196</v>
      </c>
      <c r="B406" s="208" t="s">
        <v>225</v>
      </c>
      <c r="C406" s="208" t="s">
        <v>8</v>
      </c>
      <c r="D406" s="208">
        <v>2019</v>
      </c>
      <c r="E406" s="208" t="s">
        <v>177</v>
      </c>
      <c r="F406" s="208" t="s">
        <v>95</v>
      </c>
      <c r="G406" s="208" t="s">
        <v>243</v>
      </c>
      <c r="H406" s="208">
        <v>32</v>
      </c>
      <c r="I406" s="208">
        <v>3566</v>
      </c>
      <c r="J406" s="208">
        <v>0</v>
      </c>
      <c r="K406" s="208">
        <v>0</v>
      </c>
      <c r="L406" s="208">
        <v>3256</v>
      </c>
      <c r="M406" s="208" t="s">
        <v>244</v>
      </c>
      <c r="N406" s="208">
        <v>-350</v>
      </c>
      <c r="O406" s="208">
        <v>1200</v>
      </c>
      <c r="P406" s="208">
        <v>-60</v>
      </c>
      <c r="Q406" s="208">
        <v>540</v>
      </c>
    </row>
    <row r="407" spans="1:17">
      <c r="A407" s="218">
        <v>44196</v>
      </c>
      <c r="B407" s="208" t="s">
        <v>37</v>
      </c>
      <c r="C407" s="208" t="s">
        <v>8</v>
      </c>
      <c r="D407" s="208">
        <v>2019</v>
      </c>
      <c r="E407" s="208" t="s">
        <v>177</v>
      </c>
      <c r="F407" s="208" t="s">
        <v>95</v>
      </c>
      <c r="G407" s="208" t="s">
        <v>243</v>
      </c>
      <c r="H407" s="208">
        <v>32</v>
      </c>
      <c r="I407" s="208">
        <v>3566</v>
      </c>
      <c r="J407" s="208">
        <v>0</v>
      </c>
      <c r="K407" s="208">
        <v>0</v>
      </c>
      <c r="L407" s="208">
        <v>3256</v>
      </c>
      <c r="M407" s="208" t="s">
        <v>244</v>
      </c>
      <c r="N407" s="208">
        <v>-350</v>
      </c>
      <c r="O407" s="208">
        <v>1200</v>
      </c>
      <c r="P407" s="208">
        <v>-60</v>
      </c>
      <c r="Q407" s="208">
        <v>540</v>
      </c>
    </row>
    <row r="408" spans="1:17">
      <c r="A408" s="218">
        <v>44196</v>
      </c>
      <c r="B408" s="208" t="s">
        <v>31</v>
      </c>
      <c r="C408" s="208" t="s">
        <v>8</v>
      </c>
      <c r="D408" s="208">
        <v>2020</v>
      </c>
      <c r="E408" s="208" t="s">
        <v>109</v>
      </c>
      <c r="F408" s="208" t="s">
        <v>95</v>
      </c>
      <c r="G408" s="208" t="s">
        <v>243</v>
      </c>
      <c r="H408" s="208">
        <v>1</v>
      </c>
      <c r="I408" s="208">
        <v>350</v>
      </c>
      <c r="J408" s="208">
        <v>45.15</v>
      </c>
      <c r="K408" s="208">
        <v>0</v>
      </c>
      <c r="L408" s="208">
        <v>80.63</v>
      </c>
      <c r="M408" s="208" t="s">
        <v>244</v>
      </c>
      <c r="N408" s="208">
        <v>280</v>
      </c>
      <c r="O408" s="208">
        <v>600</v>
      </c>
      <c r="P408" s="208">
        <v>80.63</v>
      </c>
      <c r="Q408" s="208">
        <v>508.47</v>
      </c>
    </row>
    <row r="409" spans="1:17">
      <c r="A409" s="218">
        <v>44196</v>
      </c>
      <c r="B409" s="208" t="s">
        <v>36</v>
      </c>
      <c r="C409" s="208" t="s">
        <v>8</v>
      </c>
      <c r="D409" s="208">
        <v>2020</v>
      </c>
      <c r="E409" s="208" t="s">
        <v>109</v>
      </c>
      <c r="F409" s="208" t="s">
        <v>95</v>
      </c>
      <c r="G409" s="208" t="s">
        <v>243</v>
      </c>
      <c r="H409" s="208">
        <v>1</v>
      </c>
      <c r="I409" s="208">
        <v>400</v>
      </c>
      <c r="J409" s="208">
        <v>45.15</v>
      </c>
      <c r="K409" s="208">
        <v>0</v>
      </c>
      <c r="L409" s="208">
        <v>258</v>
      </c>
      <c r="M409" s="208" t="s">
        <v>244</v>
      </c>
      <c r="N409" s="208">
        <v>280</v>
      </c>
      <c r="O409" s="208">
        <v>600</v>
      </c>
      <c r="P409" s="208">
        <v>80.63</v>
      </c>
      <c r="Q409" s="208">
        <v>508.47</v>
      </c>
    </row>
    <row r="410" spans="1:17">
      <c r="A410" s="218">
        <v>44196</v>
      </c>
      <c r="B410" s="208" t="s">
        <v>258</v>
      </c>
      <c r="C410" s="208" t="s">
        <v>8</v>
      </c>
      <c r="D410" s="208">
        <v>2019</v>
      </c>
      <c r="E410" s="208" t="s">
        <v>109</v>
      </c>
      <c r="F410" s="208" t="s">
        <v>95</v>
      </c>
      <c r="G410" s="208" t="s">
        <v>243</v>
      </c>
      <c r="H410" s="208">
        <v>5</v>
      </c>
      <c r="I410" s="208">
        <v>2820</v>
      </c>
      <c r="J410" s="208">
        <v>406.37</v>
      </c>
      <c r="K410" s="208">
        <v>322.49</v>
      </c>
      <c r="L410" s="208">
        <v>645</v>
      </c>
      <c r="M410" s="208" t="s">
        <v>244</v>
      </c>
      <c r="N410" s="208">
        <v>278.5</v>
      </c>
      <c r="O410" s="208">
        <v>860</v>
      </c>
      <c r="P410" s="208">
        <v>56.44</v>
      </c>
      <c r="Q410" s="208">
        <v>365.5</v>
      </c>
    </row>
    <row r="411" spans="1:17">
      <c r="A411" s="218">
        <v>44196</v>
      </c>
      <c r="B411" s="208" t="s">
        <v>29</v>
      </c>
      <c r="C411" s="208" t="s">
        <v>8</v>
      </c>
      <c r="D411" s="208">
        <v>2020</v>
      </c>
      <c r="E411" s="208" t="s">
        <v>109</v>
      </c>
      <c r="F411" s="208" t="s">
        <v>95</v>
      </c>
      <c r="G411" s="208" t="s">
        <v>243</v>
      </c>
      <c r="H411" s="208">
        <v>5</v>
      </c>
      <c r="I411" s="208">
        <v>1755</v>
      </c>
      <c r="J411" s="208">
        <v>245.10000000000002</v>
      </c>
      <c r="K411" s="208">
        <v>258</v>
      </c>
      <c r="L411" s="208">
        <v>602.5</v>
      </c>
      <c r="M411" s="208" t="s">
        <v>244</v>
      </c>
      <c r="N411" s="208">
        <v>280</v>
      </c>
      <c r="O411" s="208">
        <v>600</v>
      </c>
      <c r="P411" s="208">
        <v>80.63</v>
      </c>
      <c r="Q411" s="208">
        <v>508.47</v>
      </c>
    </row>
    <row r="412" spans="1:17">
      <c r="A412" s="218">
        <v>44196</v>
      </c>
      <c r="B412" s="208" t="s">
        <v>29</v>
      </c>
      <c r="C412" s="208" t="s">
        <v>8</v>
      </c>
      <c r="D412" s="208">
        <v>2019</v>
      </c>
      <c r="E412" s="208" t="s">
        <v>109</v>
      </c>
      <c r="F412" s="208" t="s">
        <v>95</v>
      </c>
      <c r="G412" s="208" t="s">
        <v>243</v>
      </c>
      <c r="H412" s="208">
        <v>9</v>
      </c>
      <c r="I412" s="208">
        <v>4218.5</v>
      </c>
      <c r="J412" s="208">
        <v>617.05999999999995</v>
      </c>
      <c r="K412" s="208">
        <v>172</v>
      </c>
      <c r="L412" s="208">
        <v>1763</v>
      </c>
      <c r="M412" s="208" t="s">
        <v>244</v>
      </c>
      <c r="N412" s="208">
        <v>278.5</v>
      </c>
      <c r="O412" s="208">
        <v>860</v>
      </c>
      <c r="P412" s="208">
        <v>56.44</v>
      </c>
      <c r="Q412" s="208">
        <v>365.5</v>
      </c>
    </row>
    <row r="413" spans="1:17">
      <c r="A413" s="218">
        <v>44196</v>
      </c>
      <c r="B413" s="208" t="s">
        <v>31</v>
      </c>
      <c r="C413" s="208" t="s">
        <v>8</v>
      </c>
      <c r="D413" s="208">
        <v>2019</v>
      </c>
      <c r="E413" s="208" t="s">
        <v>109</v>
      </c>
      <c r="F413" s="208" t="s">
        <v>95</v>
      </c>
      <c r="G413" s="208" t="s">
        <v>243</v>
      </c>
      <c r="H413" s="208">
        <v>5</v>
      </c>
      <c r="I413" s="208">
        <v>2820</v>
      </c>
      <c r="J413" s="208">
        <v>406.37</v>
      </c>
      <c r="K413" s="208">
        <v>322.49</v>
      </c>
      <c r="L413" s="208">
        <v>645</v>
      </c>
      <c r="M413" s="208" t="s">
        <v>244</v>
      </c>
      <c r="N413" s="208">
        <v>278.5</v>
      </c>
      <c r="O413" s="208">
        <v>860</v>
      </c>
      <c r="P413" s="208">
        <v>56.44</v>
      </c>
      <c r="Q413" s="208">
        <v>365.5</v>
      </c>
    </row>
    <row r="414" spans="1:17">
      <c r="A414" s="218">
        <v>44196</v>
      </c>
      <c r="B414" s="208" t="s">
        <v>260</v>
      </c>
      <c r="C414" s="208" t="s">
        <v>8</v>
      </c>
      <c r="D414" s="208">
        <v>2019</v>
      </c>
      <c r="E414" s="208" t="s">
        <v>109</v>
      </c>
      <c r="F414" s="208" t="s">
        <v>95</v>
      </c>
      <c r="G414" s="208" t="s">
        <v>243</v>
      </c>
      <c r="H414" s="208">
        <v>9</v>
      </c>
      <c r="I414" s="208">
        <v>4218.5</v>
      </c>
      <c r="J414" s="208">
        <v>617.05999999999995</v>
      </c>
      <c r="K414" s="208">
        <v>172</v>
      </c>
      <c r="L414" s="208">
        <v>1763</v>
      </c>
      <c r="M414" s="208" t="s">
        <v>244</v>
      </c>
      <c r="N414" s="208">
        <v>278.5</v>
      </c>
      <c r="O414" s="208">
        <v>860</v>
      </c>
      <c r="P414" s="208">
        <v>56.44</v>
      </c>
      <c r="Q414" s="208">
        <v>365.5</v>
      </c>
    </row>
    <row r="415" spans="1:17">
      <c r="A415" s="218">
        <v>44196</v>
      </c>
      <c r="B415" s="208" t="s">
        <v>37</v>
      </c>
      <c r="C415" s="208" t="s">
        <v>8</v>
      </c>
      <c r="D415" s="208">
        <v>2020</v>
      </c>
      <c r="E415" s="208" t="s">
        <v>109</v>
      </c>
      <c r="F415" s="208" t="s">
        <v>95</v>
      </c>
      <c r="G415" s="208" t="s">
        <v>243</v>
      </c>
      <c r="H415" s="208">
        <v>4</v>
      </c>
      <c r="I415" s="208">
        <v>1700</v>
      </c>
      <c r="J415" s="208">
        <v>233.28000000000003</v>
      </c>
      <c r="K415" s="208">
        <v>0</v>
      </c>
      <c r="L415" s="208">
        <v>1387.9699999999998</v>
      </c>
      <c r="M415" s="208" t="s">
        <v>244</v>
      </c>
      <c r="N415" s="208">
        <v>280</v>
      </c>
      <c r="O415" s="208">
        <v>600</v>
      </c>
      <c r="P415" s="208">
        <v>80.63</v>
      </c>
      <c r="Q415" s="208">
        <v>508.47</v>
      </c>
    </row>
    <row r="416" spans="1:17">
      <c r="A416" s="218">
        <v>44196</v>
      </c>
      <c r="B416" s="208" t="s">
        <v>225</v>
      </c>
      <c r="C416" s="208" t="s">
        <v>8</v>
      </c>
      <c r="D416" s="208">
        <v>2019</v>
      </c>
      <c r="E416" s="208" t="s">
        <v>109</v>
      </c>
      <c r="F416" s="208" t="s">
        <v>95</v>
      </c>
      <c r="G416" s="208" t="s">
        <v>243</v>
      </c>
      <c r="H416" s="208">
        <v>4</v>
      </c>
      <c r="I416" s="208">
        <v>1350</v>
      </c>
      <c r="J416" s="208">
        <v>203.19</v>
      </c>
      <c r="K416" s="208">
        <v>0</v>
      </c>
      <c r="L416" s="208">
        <v>1146.81</v>
      </c>
      <c r="M416" s="208" t="s">
        <v>244</v>
      </c>
      <c r="N416" s="208">
        <v>278.5</v>
      </c>
      <c r="O416" s="208">
        <v>860</v>
      </c>
      <c r="P416" s="208">
        <v>56.44</v>
      </c>
      <c r="Q416" s="208">
        <v>365.5</v>
      </c>
    </row>
    <row r="417" spans="1:17">
      <c r="A417" s="218">
        <v>44196</v>
      </c>
      <c r="B417" s="208" t="s">
        <v>258</v>
      </c>
      <c r="C417" s="208" t="s">
        <v>8</v>
      </c>
      <c r="D417" s="208">
        <v>2020</v>
      </c>
      <c r="E417" s="208" t="s">
        <v>109</v>
      </c>
      <c r="F417" s="208" t="s">
        <v>95</v>
      </c>
      <c r="G417" s="208" t="s">
        <v>243</v>
      </c>
      <c r="H417" s="208">
        <v>1</v>
      </c>
      <c r="I417" s="208">
        <v>350</v>
      </c>
      <c r="J417" s="208">
        <v>45.15</v>
      </c>
      <c r="K417" s="208">
        <v>0</v>
      </c>
      <c r="L417" s="208">
        <v>80.63</v>
      </c>
      <c r="M417" s="208" t="s">
        <v>244</v>
      </c>
      <c r="N417" s="208">
        <v>280</v>
      </c>
      <c r="O417" s="208">
        <v>600</v>
      </c>
      <c r="P417" s="208">
        <v>80.63</v>
      </c>
      <c r="Q417" s="208">
        <v>508.47</v>
      </c>
    </row>
    <row r="418" spans="1:17">
      <c r="A418" s="218">
        <v>44196</v>
      </c>
      <c r="B418" s="208" t="s">
        <v>225</v>
      </c>
      <c r="C418" s="208" t="s">
        <v>8</v>
      </c>
      <c r="D418" s="208">
        <v>2020</v>
      </c>
      <c r="E418" s="208" t="s">
        <v>109</v>
      </c>
      <c r="F418" s="208" t="s">
        <v>95</v>
      </c>
      <c r="G418" s="208" t="s">
        <v>243</v>
      </c>
      <c r="H418" s="208">
        <v>4</v>
      </c>
      <c r="I418" s="208">
        <v>1700</v>
      </c>
      <c r="J418" s="208">
        <v>233.28</v>
      </c>
      <c r="K418" s="208">
        <v>0</v>
      </c>
      <c r="L418" s="208">
        <v>1387.97</v>
      </c>
      <c r="M418" s="208" t="s">
        <v>244</v>
      </c>
      <c r="N418" s="208">
        <v>280</v>
      </c>
      <c r="O418" s="208">
        <v>600</v>
      </c>
      <c r="P418" s="208">
        <v>80.63</v>
      </c>
      <c r="Q418" s="208">
        <v>508.47</v>
      </c>
    </row>
    <row r="419" spans="1:17">
      <c r="A419" s="218">
        <v>44196</v>
      </c>
      <c r="B419" s="208" t="s">
        <v>259</v>
      </c>
      <c r="C419" s="208" t="s">
        <v>8</v>
      </c>
      <c r="D419" s="208">
        <v>2020</v>
      </c>
      <c r="E419" s="208" t="s">
        <v>109</v>
      </c>
      <c r="F419" s="208" t="s">
        <v>95</v>
      </c>
      <c r="G419" s="208" t="s">
        <v>243</v>
      </c>
      <c r="H419" s="208">
        <v>1</v>
      </c>
      <c r="I419" s="208">
        <v>400</v>
      </c>
      <c r="J419" s="208">
        <v>45.15</v>
      </c>
      <c r="K419" s="208">
        <v>0</v>
      </c>
      <c r="L419" s="208">
        <v>258</v>
      </c>
      <c r="M419" s="208" t="s">
        <v>244</v>
      </c>
      <c r="N419" s="208">
        <v>280</v>
      </c>
      <c r="O419" s="208">
        <v>600</v>
      </c>
      <c r="P419" s="208">
        <v>80.63</v>
      </c>
      <c r="Q419" s="208">
        <v>508.47</v>
      </c>
    </row>
    <row r="420" spans="1:17">
      <c r="A420" s="218">
        <v>44196</v>
      </c>
      <c r="B420" s="208" t="s">
        <v>37</v>
      </c>
      <c r="C420" s="208" t="s">
        <v>8</v>
      </c>
      <c r="D420" s="208">
        <v>2019</v>
      </c>
      <c r="E420" s="208" t="s">
        <v>109</v>
      </c>
      <c r="F420" s="208" t="s">
        <v>95</v>
      </c>
      <c r="G420" s="208" t="s">
        <v>243</v>
      </c>
      <c r="H420" s="208">
        <v>4</v>
      </c>
      <c r="I420" s="208">
        <v>1350</v>
      </c>
      <c r="J420" s="208">
        <v>203.19</v>
      </c>
      <c r="K420" s="208">
        <v>0</v>
      </c>
      <c r="L420" s="208">
        <v>1146.81</v>
      </c>
      <c r="M420" s="208" t="s">
        <v>244</v>
      </c>
      <c r="N420" s="208">
        <v>278.5</v>
      </c>
      <c r="O420" s="208">
        <v>860</v>
      </c>
      <c r="P420" s="208">
        <v>56.44</v>
      </c>
      <c r="Q420" s="208">
        <v>365.5</v>
      </c>
    </row>
    <row r="421" spans="1:17">
      <c r="A421" s="218">
        <v>44196</v>
      </c>
      <c r="B421" s="208" t="s">
        <v>260</v>
      </c>
      <c r="C421" s="208" t="s">
        <v>8</v>
      </c>
      <c r="D421" s="208">
        <v>2020</v>
      </c>
      <c r="E421" s="208" t="s">
        <v>109</v>
      </c>
      <c r="F421" s="208" t="s">
        <v>95</v>
      </c>
      <c r="G421" s="208" t="s">
        <v>243</v>
      </c>
      <c r="H421" s="208">
        <v>5</v>
      </c>
      <c r="I421" s="208">
        <v>1755</v>
      </c>
      <c r="J421" s="208">
        <v>245.10000000000002</v>
      </c>
      <c r="K421" s="208">
        <v>258</v>
      </c>
      <c r="L421" s="208">
        <v>602.5</v>
      </c>
      <c r="M421" s="208" t="s">
        <v>244</v>
      </c>
      <c r="N421" s="208">
        <v>280</v>
      </c>
      <c r="O421" s="208">
        <v>600</v>
      </c>
      <c r="P421" s="208">
        <v>80.63</v>
      </c>
      <c r="Q421" s="208">
        <v>508.47</v>
      </c>
    </row>
    <row r="422" spans="1:17">
      <c r="A422" s="218">
        <v>44196</v>
      </c>
      <c r="B422" s="208" t="s">
        <v>29</v>
      </c>
      <c r="C422" s="208" t="s">
        <v>8</v>
      </c>
      <c r="D422" s="208">
        <v>2020</v>
      </c>
      <c r="E422" s="208" t="s">
        <v>110</v>
      </c>
      <c r="F422" s="208" t="s">
        <v>95</v>
      </c>
      <c r="G422" s="208" t="s">
        <v>243</v>
      </c>
      <c r="H422" s="208">
        <v>8</v>
      </c>
      <c r="I422" s="208">
        <v>3134.25</v>
      </c>
      <c r="J422" s="208">
        <v>566.54</v>
      </c>
      <c r="K422" s="208">
        <v>716.18000000000006</v>
      </c>
      <c r="L422" s="208">
        <v>1082.3199999999997</v>
      </c>
      <c r="M422" s="208" t="s">
        <v>244</v>
      </c>
      <c r="N422" s="208">
        <v>-844.75</v>
      </c>
      <c r="O422" s="208">
        <v>850</v>
      </c>
      <c r="P422" s="208">
        <v>-756.82</v>
      </c>
      <c r="Q422" s="208">
        <v>716.82</v>
      </c>
    </row>
    <row r="423" spans="1:17">
      <c r="A423" s="218">
        <v>44196</v>
      </c>
      <c r="B423" s="208" t="s">
        <v>258</v>
      </c>
      <c r="C423" s="208" t="s">
        <v>8</v>
      </c>
      <c r="D423" s="208">
        <v>2020</v>
      </c>
      <c r="E423" s="208" t="s">
        <v>110</v>
      </c>
      <c r="F423" s="208" t="s">
        <v>95</v>
      </c>
      <c r="G423" s="208" t="s">
        <v>243</v>
      </c>
      <c r="H423" s="208">
        <v>2</v>
      </c>
      <c r="I423" s="208">
        <v>1511</v>
      </c>
      <c r="J423" s="208">
        <v>311.75</v>
      </c>
      <c r="K423" s="208">
        <v>0</v>
      </c>
      <c r="L423" s="208">
        <v>529.98</v>
      </c>
      <c r="M423" s="208" t="s">
        <v>244</v>
      </c>
      <c r="N423" s="208">
        <v>-844.75</v>
      </c>
      <c r="O423" s="208">
        <v>850</v>
      </c>
      <c r="P423" s="208">
        <v>-756.82</v>
      </c>
      <c r="Q423" s="208">
        <v>716.82</v>
      </c>
    </row>
    <row r="424" spans="1:17">
      <c r="A424" s="218">
        <v>44196</v>
      </c>
      <c r="B424" s="208" t="s">
        <v>260</v>
      </c>
      <c r="C424" s="208" t="s">
        <v>8</v>
      </c>
      <c r="D424" s="208">
        <v>2020</v>
      </c>
      <c r="E424" s="208" t="s">
        <v>110</v>
      </c>
      <c r="F424" s="208" t="s">
        <v>95</v>
      </c>
      <c r="G424" s="208" t="s">
        <v>243</v>
      </c>
      <c r="H424" s="208">
        <v>8</v>
      </c>
      <c r="I424" s="208">
        <v>3134.25</v>
      </c>
      <c r="J424" s="208">
        <v>566.54</v>
      </c>
      <c r="K424" s="208">
        <v>716.18000000000006</v>
      </c>
      <c r="L424" s="208">
        <v>1082.3199999999997</v>
      </c>
      <c r="M424" s="208" t="s">
        <v>244</v>
      </c>
      <c r="N424" s="208">
        <v>-844.75</v>
      </c>
      <c r="O424" s="208">
        <v>850</v>
      </c>
      <c r="P424" s="208">
        <v>-756.82</v>
      </c>
      <c r="Q424" s="208">
        <v>716.82</v>
      </c>
    </row>
    <row r="425" spans="1:17">
      <c r="A425" s="218">
        <v>44196</v>
      </c>
      <c r="B425" s="208" t="s">
        <v>258</v>
      </c>
      <c r="C425" s="208" t="s">
        <v>8</v>
      </c>
      <c r="D425" s="208">
        <v>2019</v>
      </c>
      <c r="E425" s="208" t="s">
        <v>110</v>
      </c>
      <c r="F425" s="208" t="s">
        <v>95</v>
      </c>
      <c r="G425" s="208" t="s">
        <v>243</v>
      </c>
      <c r="H425" s="208">
        <v>2</v>
      </c>
      <c r="I425" s="208">
        <v>3000</v>
      </c>
      <c r="J425" s="208">
        <v>225.76</v>
      </c>
      <c r="K425" s="208">
        <v>201.56</v>
      </c>
      <c r="L425" s="208">
        <v>322.5</v>
      </c>
      <c r="M425" s="208" t="s">
        <v>244</v>
      </c>
      <c r="N425" s="208">
        <v>1500</v>
      </c>
      <c r="O425" s="208">
        <v>1500</v>
      </c>
      <c r="P425" s="208">
        <v>120.94</v>
      </c>
      <c r="Q425" s="208">
        <v>201.56</v>
      </c>
    </row>
    <row r="426" spans="1:17">
      <c r="A426" s="218">
        <v>44196</v>
      </c>
      <c r="B426" s="208" t="s">
        <v>31</v>
      </c>
      <c r="C426" s="208" t="s">
        <v>8</v>
      </c>
      <c r="D426" s="208">
        <v>2019</v>
      </c>
      <c r="E426" s="208" t="s">
        <v>110</v>
      </c>
      <c r="F426" s="208" t="s">
        <v>95</v>
      </c>
      <c r="G426" s="208" t="s">
        <v>243</v>
      </c>
      <c r="H426" s="208">
        <v>2</v>
      </c>
      <c r="I426" s="208">
        <v>3000</v>
      </c>
      <c r="J426" s="208">
        <v>225.76</v>
      </c>
      <c r="K426" s="208">
        <v>201.56</v>
      </c>
      <c r="L426" s="208">
        <v>322.5</v>
      </c>
      <c r="M426" s="208" t="s">
        <v>244</v>
      </c>
      <c r="N426" s="208">
        <v>1500</v>
      </c>
      <c r="O426" s="208">
        <v>1500</v>
      </c>
      <c r="P426" s="208">
        <v>120.94</v>
      </c>
      <c r="Q426" s="208">
        <v>201.56</v>
      </c>
    </row>
    <row r="427" spans="1:17">
      <c r="A427" s="218">
        <v>44196</v>
      </c>
      <c r="B427" s="208" t="s">
        <v>31</v>
      </c>
      <c r="C427" s="208" t="s">
        <v>8</v>
      </c>
      <c r="D427" s="208">
        <v>2020</v>
      </c>
      <c r="E427" s="208" t="s">
        <v>110</v>
      </c>
      <c r="F427" s="208" t="s">
        <v>95</v>
      </c>
      <c r="G427" s="208" t="s">
        <v>243</v>
      </c>
      <c r="H427" s="208">
        <v>2</v>
      </c>
      <c r="I427" s="208">
        <v>1511</v>
      </c>
      <c r="J427" s="208">
        <v>311.75</v>
      </c>
      <c r="K427" s="208">
        <v>0</v>
      </c>
      <c r="L427" s="208">
        <v>529.98</v>
      </c>
      <c r="M427" s="208" t="s">
        <v>244</v>
      </c>
      <c r="N427" s="208">
        <v>-844.75</v>
      </c>
      <c r="O427" s="208">
        <v>850</v>
      </c>
      <c r="P427" s="208">
        <v>-756.82</v>
      </c>
      <c r="Q427" s="208">
        <v>716.82</v>
      </c>
    </row>
    <row r="428" spans="1:17">
      <c r="A428" s="218">
        <v>44196</v>
      </c>
      <c r="B428" s="208" t="s">
        <v>225</v>
      </c>
      <c r="C428" s="208" t="s">
        <v>8</v>
      </c>
      <c r="D428" s="208">
        <v>2020</v>
      </c>
      <c r="E428" s="208" t="s">
        <v>111</v>
      </c>
      <c r="F428" s="208" t="s">
        <v>95</v>
      </c>
      <c r="G428" s="208" t="s">
        <v>243</v>
      </c>
      <c r="H428" s="208">
        <v>3</v>
      </c>
      <c r="I428" s="208">
        <v>3030</v>
      </c>
      <c r="J428" s="208">
        <v>473.73</v>
      </c>
      <c r="K428" s="208">
        <v>717.02</v>
      </c>
      <c r="L428" s="208">
        <v>1514.25</v>
      </c>
      <c r="M428" s="208" t="s">
        <v>244</v>
      </c>
      <c r="N428" s="208">
        <v>280</v>
      </c>
      <c r="O428" s="208">
        <v>1400</v>
      </c>
      <c r="P428" s="208">
        <v>161.25</v>
      </c>
      <c r="Q428" s="208">
        <v>924.5</v>
      </c>
    </row>
    <row r="429" spans="1:17">
      <c r="A429" s="218">
        <v>44196</v>
      </c>
      <c r="B429" s="208" t="s">
        <v>36</v>
      </c>
      <c r="C429" s="208" t="s">
        <v>8</v>
      </c>
      <c r="D429" s="208">
        <v>2020</v>
      </c>
      <c r="E429" s="208" t="s">
        <v>111</v>
      </c>
      <c r="F429" s="208" t="s">
        <v>95</v>
      </c>
      <c r="G429" s="208" t="s">
        <v>243</v>
      </c>
      <c r="H429" s="208">
        <v>2</v>
      </c>
      <c r="I429" s="208">
        <v>1890</v>
      </c>
      <c r="J429" s="208">
        <v>328.95</v>
      </c>
      <c r="K429" s="208">
        <v>0</v>
      </c>
      <c r="L429" s="208">
        <v>1551.55</v>
      </c>
      <c r="M429" s="208" t="s">
        <v>244</v>
      </c>
      <c r="N429" s="208">
        <v>280</v>
      </c>
      <c r="O429" s="208">
        <v>1400</v>
      </c>
      <c r="P429" s="208">
        <v>161.25</v>
      </c>
      <c r="Q429" s="208">
        <v>924.5</v>
      </c>
    </row>
    <row r="430" spans="1:17">
      <c r="A430" s="218">
        <v>44196</v>
      </c>
      <c r="B430" s="208" t="s">
        <v>29</v>
      </c>
      <c r="C430" s="208" t="s">
        <v>8</v>
      </c>
      <c r="D430" s="208">
        <v>2019</v>
      </c>
      <c r="E430" s="208" t="s">
        <v>111</v>
      </c>
      <c r="F430" s="208" t="s">
        <v>95</v>
      </c>
      <c r="G430" s="208" t="s">
        <v>243</v>
      </c>
      <c r="H430" s="208">
        <v>9</v>
      </c>
      <c r="I430" s="208">
        <v>8020</v>
      </c>
      <c r="J430" s="208">
        <v>1030.94</v>
      </c>
      <c r="K430" s="208">
        <v>0</v>
      </c>
      <c r="L430" s="208">
        <v>3332.5</v>
      </c>
      <c r="M430" s="208" t="s">
        <v>244</v>
      </c>
      <c r="N430" s="208">
        <v>-1090</v>
      </c>
      <c r="O430" s="208">
        <v>1600</v>
      </c>
      <c r="P430" s="208">
        <v>-824.45</v>
      </c>
      <c r="Q430" s="208">
        <v>834.45</v>
      </c>
    </row>
    <row r="431" spans="1:17">
      <c r="A431" s="218">
        <v>44196</v>
      </c>
      <c r="B431" s="208" t="s">
        <v>29</v>
      </c>
      <c r="C431" s="208" t="s">
        <v>8</v>
      </c>
      <c r="D431" s="208">
        <v>2020</v>
      </c>
      <c r="E431" s="208" t="s">
        <v>111</v>
      </c>
      <c r="F431" s="208" t="s">
        <v>95</v>
      </c>
      <c r="G431" s="208" t="s">
        <v>243</v>
      </c>
      <c r="H431" s="208">
        <v>13</v>
      </c>
      <c r="I431" s="208">
        <v>12500</v>
      </c>
      <c r="J431" s="208">
        <v>1928.58</v>
      </c>
      <c r="K431" s="208">
        <v>817</v>
      </c>
      <c r="L431" s="208">
        <v>4426.1799999999994</v>
      </c>
      <c r="M431" s="208" t="s">
        <v>244</v>
      </c>
      <c r="N431" s="208">
        <v>280</v>
      </c>
      <c r="O431" s="208">
        <v>1400</v>
      </c>
      <c r="P431" s="208">
        <v>161.25</v>
      </c>
      <c r="Q431" s="208">
        <v>924.5</v>
      </c>
    </row>
    <row r="432" spans="1:17">
      <c r="A432" s="218">
        <v>44196</v>
      </c>
      <c r="B432" s="208" t="s">
        <v>258</v>
      </c>
      <c r="C432" s="208" t="s">
        <v>8</v>
      </c>
      <c r="D432" s="208">
        <v>2020</v>
      </c>
      <c r="E432" s="208" t="s">
        <v>111</v>
      </c>
      <c r="F432" s="208" t="s">
        <v>95</v>
      </c>
      <c r="G432" s="208" t="s">
        <v>243</v>
      </c>
      <c r="H432" s="208">
        <v>5</v>
      </c>
      <c r="I432" s="208">
        <v>4212.43</v>
      </c>
      <c r="J432" s="208">
        <v>790.14</v>
      </c>
      <c r="K432" s="208">
        <v>268.75</v>
      </c>
      <c r="L432" s="208">
        <v>1642.06</v>
      </c>
      <c r="M432" s="208" t="s">
        <v>244</v>
      </c>
      <c r="N432" s="208">
        <v>280</v>
      </c>
      <c r="O432" s="208">
        <v>1400</v>
      </c>
      <c r="P432" s="208">
        <v>161.25</v>
      </c>
      <c r="Q432" s="208">
        <v>924.5</v>
      </c>
    </row>
    <row r="433" spans="1:17">
      <c r="A433" s="218">
        <v>44196</v>
      </c>
      <c r="B433" s="208" t="s">
        <v>258</v>
      </c>
      <c r="C433" s="208" t="s">
        <v>8</v>
      </c>
      <c r="D433" s="208">
        <v>2019</v>
      </c>
      <c r="E433" s="208" t="s">
        <v>111</v>
      </c>
      <c r="F433" s="208" t="s">
        <v>95</v>
      </c>
      <c r="G433" s="208" t="s">
        <v>243</v>
      </c>
      <c r="H433" s="208">
        <v>4</v>
      </c>
      <c r="I433" s="208">
        <v>4250</v>
      </c>
      <c r="J433" s="208">
        <v>602.01</v>
      </c>
      <c r="K433" s="208">
        <v>241.88</v>
      </c>
      <c r="L433" s="208">
        <v>978.24</v>
      </c>
      <c r="M433" s="208" t="s">
        <v>244</v>
      </c>
      <c r="N433" s="208">
        <v>-1090</v>
      </c>
      <c r="O433" s="208">
        <v>1600</v>
      </c>
      <c r="P433" s="208">
        <v>-824.45</v>
      </c>
      <c r="Q433" s="208">
        <v>834.45</v>
      </c>
    </row>
    <row r="434" spans="1:17">
      <c r="A434" s="218">
        <v>44196</v>
      </c>
      <c r="B434" s="208" t="s">
        <v>36</v>
      </c>
      <c r="C434" s="208" t="s">
        <v>8</v>
      </c>
      <c r="D434" s="208">
        <v>2019</v>
      </c>
      <c r="E434" s="208" t="s">
        <v>111</v>
      </c>
      <c r="F434" s="208" t="s">
        <v>95</v>
      </c>
      <c r="G434" s="208" t="s">
        <v>243</v>
      </c>
      <c r="H434" s="208">
        <v>4</v>
      </c>
      <c r="I434" s="208">
        <v>1990</v>
      </c>
      <c r="J434" s="208">
        <v>331.1</v>
      </c>
      <c r="K434" s="208">
        <v>0</v>
      </c>
      <c r="L434" s="208">
        <v>1658.9</v>
      </c>
      <c r="M434" s="208" t="s">
        <v>244</v>
      </c>
      <c r="N434" s="208">
        <v>-1090</v>
      </c>
      <c r="O434" s="208">
        <v>1600</v>
      </c>
      <c r="P434" s="208">
        <v>-824.45</v>
      </c>
      <c r="Q434" s="208">
        <v>834.45</v>
      </c>
    </row>
    <row r="435" spans="1:17">
      <c r="A435" s="218">
        <v>44196</v>
      </c>
      <c r="B435" s="208" t="s">
        <v>31</v>
      </c>
      <c r="C435" s="208" t="s">
        <v>8</v>
      </c>
      <c r="D435" s="208">
        <v>2020</v>
      </c>
      <c r="E435" s="208" t="s">
        <v>111</v>
      </c>
      <c r="F435" s="208" t="s">
        <v>95</v>
      </c>
      <c r="G435" s="208" t="s">
        <v>243</v>
      </c>
      <c r="H435" s="208">
        <v>5</v>
      </c>
      <c r="I435" s="208">
        <v>4212.43</v>
      </c>
      <c r="J435" s="208">
        <v>790.14</v>
      </c>
      <c r="K435" s="208">
        <v>268.75</v>
      </c>
      <c r="L435" s="208">
        <v>1642.06</v>
      </c>
      <c r="M435" s="208" t="s">
        <v>244</v>
      </c>
      <c r="N435" s="208">
        <v>280</v>
      </c>
      <c r="O435" s="208">
        <v>1400</v>
      </c>
      <c r="P435" s="208">
        <v>161.25</v>
      </c>
      <c r="Q435" s="208">
        <v>924.5</v>
      </c>
    </row>
    <row r="436" spans="1:17">
      <c r="A436" s="218">
        <v>44196</v>
      </c>
      <c r="B436" s="208" t="s">
        <v>260</v>
      </c>
      <c r="C436" s="208" t="s">
        <v>8</v>
      </c>
      <c r="D436" s="208">
        <v>2020</v>
      </c>
      <c r="E436" s="208" t="s">
        <v>111</v>
      </c>
      <c r="F436" s="208" t="s">
        <v>95</v>
      </c>
      <c r="G436" s="208" t="s">
        <v>243</v>
      </c>
      <c r="H436" s="208">
        <v>13</v>
      </c>
      <c r="I436" s="208">
        <v>12500</v>
      </c>
      <c r="J436" s="208">
        <v>1928.58</v>
      </c>
      <c r="K436" s="208">
        <v>817</v>
      </c>
      <c r="L436" s="208">
        <v>4426.1799999999994</v>
      </c>
      <c r="M436" s="208" t="s">
        <v>244</v>
      </c>
      <c r="N436" s="208">
        <v>280</v>
      </c>
      <c r="O436" s="208">
        <v>1400</v>
      </c>
      <c r="P436" s="208">
        <v>161.25</v>
      </c>
      <c r="Q436" s="208">
        <v>924.5</v>
      </c>
    </row>
    <row r="437" spans="1:17">
      <c r="A437" s="218">
        <v>44196</v>
      </c>
      <c r="B437" s="208" t="s">
        <v>31</v>
      </c>
      <c r="C437" s="208" t="s">
        <v>8</v>
      </c>
      <c r="D437" s="208">
        <v>2019</v>
      </c>
      <c r="E437" s="208" t="s">
        <v>111</v>
      </c>
      <c r="F437" s="208" t="s">
        <v>95</v>
      </c>
      <c r="G437" s="208" t="s">
        <v>243</v>
      </c>
      <c r="H437" s="208">
        <v>4</v>
      </c>
      <c r="I437" s="208">
        <v>4250</v>
      </c>
      <c r="J437" s="208">
        <v>602.01</v>
      </c>
      <c r="K437" s="208">
        <v>241.88</v>
      </c>
      <c r="L437" s="208">
        <v>978.24</v>
      </c>
      <c r="M437" s="208" t="s">
        <v>244</v>
      </c>
      <c r="N437" s="208">
        <v>-1090</v>
      </c>
      <c r="O437" s="208">
        <v>1600</v>
      </c>
      <c r="P437" s="208">
        <v>-824.45</v>
      </c>
      <c r="Q437" s="208">
        <v>834.45</v>
      </c>
    </row>
    <row r="438" spans="1:17">
      <c r="A438" s="218">
        <v>44196</v>
      </c>
      <c r="B438" s="208" t="s">
        <v>37</v>
      </c>
      <c r="C438" s="208" t="s">
        <v>8</v>
      </c>
      <c r="D438" s="208">
        <v>2020</v>
      </c>
      <c r="E438" s="208" t="s">
        <v>111</v>
      </c>
      <c r="F438" s="208" t="s">
        <v>95</v>
      </c>
      <c r="G438" s="208" t="s">
        <v>243</v>
      </c>
      <c r="H438" s="208">
        <v>3</v>
      </c>
      <c r="I438" s="208">
        <v>3030</v>
      </c>
      <c r="J438" s="208">
        <v>473.73</v>
      </c>
      <c r="K438" s="208">
        <v>717.02</v>
      </c>
      <c r="L438" s="208">
        <v>1514.25</v>
      </c>
      <c r="M438" s="208" t="s">
        <v>244</v>
      </c>
      <c r="N438" s="208">
        <v>280</v>
      </c>
      <c r="O438" s="208">
        <v>1400</v>
      </c>
      <c r="P438" s="208">
        <v>161.25</v>
      </c>
      <c r="Q438" s="208">
        <v>924.5</v>
      </c>
    </row>
    <row r="439" spans="1:17">
      <c r="A439" s="218">
        <v>44196</v>
      </c>
      <c r="B439" s="208" t="s">
        <v>37</v>
      </c>
      <c r="C439" s="208" t="s">
        <v>8</v>
      </c>
      <c r="D439" s="208">
        <v>2019</v>
      </c>
      <c r="E439" s="208" t="s">
        <v>111</v>
      </c>
      <c r="F439" s="208" t="s">
        <v>95</v>
      </c>
      <c r="G439" s="208" t="s">
        <v>243</v>
      </c>
      <c r="H439" s="208">
        <v>3</v>
      </c>
      <c r="I439" s="208">
        <v>3550</v>
      </c>
      <c r="J439" s="208">
        <v>443.98</v>
      </c>
      <c r="K439" s="208">
        <v>0</v>
      </c>
      <c r="L439" s="208">
        <v>2473.52</v>
      </c>
      <c r="M439" s="208" t="s">
        <v>244</v>
      </c>
      <c r="N439" s="208">
        <v>-1090</v>
      </c>
      <c r="O439" s="208">
        <v>1600</v>
      </c>
      <c r="P439" s="208">
        <v>-824.45</v>
      </c>
      <c r="Q439" s="208">
        <v>834.45</v>
      </c>
    </row>
    <row r="440" spans="1:17">
      <c r="A440" s="218">
        <v>44196</v>
      </c>
      <c r="B440" s="208" t="s">
        <v>259</v>
      </c>
      <c r="C440" s="208" t="s">
        <v>8</v>
      </c>
      <c r="D440" s="208">
        <v>2019</v>
      </c>
      <c r="E440" s="208" t="s">
        <v>111</v>
      </c>
      <c r="F440" s="208" t="s">
        <v>95</v>
      </c>
      <c r="G440" s="208" t="s">
        <v>243</v>
      </c>
      <c r="H440" s="208">
        <v>4</v>
      </c>
      <c r="I440" s="208">
        <v>1990</v>
      </c>
      <c r="J440" s="208">
        <v>331.1</v>
      </c>
      <c r="K440" s="208">
        <v>0</v>
      </c>
      <c r="L440" s="208">
        <v>1658.9</v>
      </c>
      <c r="M440" s="208" t="s">
        <v>244</v>
      </c>
      <c r="N440" s="208">
        <v>-1090</v>
      </c>
      <c r="O440" s="208">
        <v>1600</v>
      </c>
      <c r="P440" s="208">
        <v>-824.45</v>
      </c>
      <c r="Q440" s="208">
        <v>834.45</v>
      </c>
    </row>
    <row r="441" spans="1:17">
      <c r="A441" s="218">
        <v>44196</v>
      </c>
      <c r="B441" s="208" t="s">
        <v>259</v>
      </c>
      <c r="C441" s="208" t="s">
        <v>8</v>
      </c>
      <c r="D441" s="208">
        <v>2020</v>
      </c>
      <c r="E441" s="208" t="s">
        <v>111</v>
      </c>
      <c r="F441" s="208" t="s">
        <v>95</v>
      </c>
      <c r="G441" s="208" t="s">
        <v>243</v>
      </c>
      <c r="H441" s="208">
        <v>2</v>
      </c>
      <c r="I441" s="208">
        <v>1890</v>
      </c>
      <c r="J441" s="208">
        <v>328.95</v>
      </c>
      <c r="K441" s="208">
        <v>0</v>
      </c>
      <c r="L441" s="208">
        <v>1551.55</v>
      </c>
      <c r="M441" s="208" t="s">
        <v>244</v>
      </c>
      <c r="N441" s="208">
        <v>280</v>
      </c>
      <c r="O441" s="208">
        <v>1400</v>
      </c>
      <c r="P441" s="208">
        <v>161.25</v>
      </c>
      <c r="Q441" s="208">
        <v>924.5</v>
      </c>
    </row>
    <row r="442" spans="1:17">
      <c r="A442" s="218">
        <v>44196</v>
      </c>
      <c r="B442" s="208" t="s">
        <v>260</v>
      </c>
      <c r="C442" s="208" t="s">
        <v>8</v>
      </c>
      <c r="D442" s="208">
        <v>2019</v>
      </c>
      <c r="E442" s="208" t="s">
        <v>111</v>
      </c>
      <c r="F442" s="208" t="s">
        <v>95</v>
      </c>
      <c r="G442" s="208" t="s">
        <v>243</v>
      </c>
      <c r="H442" s="208">
        <v>9</v>
      </c>
      <c r="I442" s="208">
        <v>8020</v>
      </c>
      <c r="J442" s="208">
        <v>1030.94</v>
      </c>
      <c r="K442" s="208">
        <v>0</v>
      </c>
      <c r="L442" s="208">
        <v>3332.5</v>
      </c>
      <c r="M442" s="208" t="s">
        <v>244</v>
      </c>
      <c r="N442" s="208">
        <v>-1090</v>
      </c>
      <c r="O442" s="208">
        <v>1600</v>
      </c>
      <c r="P442" s="208">
        <v>-824.45</v>
      </c>
      <c r="Q442" s="208">
        <v>834.45</v>
      </c>
    </row>
    <row r="443" spans="1:17">
      <c r="A443" s="218">
        <v>44196</v>
      </c>
      <c r="B443" s="208" t="s">
        <v>225</v>
      </c>
      <c r="C443" s="208" t="s">
        <v>8</v>
      </c>
      <c r="D443" s="208">
        <v>2019</v>
      </c>
      <c r="E443" s="208" t="s">
        <v>111</v>
      </c>
      <c r="F443" s="208" t="s">
        <v>95</v>
      </c>
      <c r="G443" s="208" t="s">
        <v>243</v>
      </c>
      <c r="H443" s="208">
        <v>3</v>
      </c>
      <c r="I443" s="208">
        <v>3550</v>
      </c>
      <c r="J443" s="208">
        <v>443.97999999999996</v>
      </c>
      <c r="K443" s="208">
        <v>0</v>
      </c>
      <c r="L443" s="208">
        <v>2473.52</v>
      </c>
      <c r="M443" s="208" t="s">
        <v>244</v>
      </c>
      <c r="N443" s="208">
        <v>-1090</v>
      </c>
      <c r="O443" s="208">
        <v>1600</v>
      </c>
      <c r="P443" s="208">
        <v>-824.45</v>
      </c>
      <c r="Q443" s="208">
        <v>834.45</v>
      </c>
    </row>
    <row r="444" spans="1:17">
      <c r="A444" s="218">
        <v>44196</v>
      </c>
      <c r="B444" s="208" t="s">
        <v>259</v>
      </c>
      <c r="C444" s="208" t="s">
        <v>8</v>
      </c>
      <c r="D444" s="208">
        <v>2019</v>
      </c>
      <c r="E444" s="208" t="s">
        <v>112</v>
      </c>
      <c r="F444" s="208" t="s">
        <v>95</v>
      </c>
      <c r="G444" s="208" t="s">
        <v>243</v>
      </c>
      <c r="H444" s="208">
        <v>26</v>
      </c>
      <c r="I444" s="208">
        <v>16098</v>
      </c>
      <c r="J444" s="208">
        <v>1806</v>
      </c>
      <c r="K444" s="208">
        <v>0</v>
      </c>
      <c r="L444" s="208">
        <v>10263.75</v>
      </c>
      <c r="M444" s="208" t="s">
        <v>244</v>
      </c>
      <c r="N444" s="208">
        <v>-1590</v>
      </c>
      <c r="O444" s="208">
        <v>1710</v>
      </c>
      <c r="P444" s="208">
        <v>-1201.8499999999999</v>
      </c>
      <c r="Q444" s="208">
        <v>1201.8499999999999</v>
      </c>
    </row>
    <row r="445" spans="1:17">
      <c r="A445" s="218">
        <v>44196</v>
      </c>
      <c r="B445" s="208" t="s">
        <v>258</v>
      </c>
      <c r="C445" s="208" t="s">
        <v>8</v>
      </c>
      <c r="D445" s="208">
        <v>2019</v>
      </c>
      <c r="E445" s="208" t="s">
        <v>112</v>
      </c>
      <c r="F445" s="208" t="s">
        <v>95</v>
      </c>
      <c r="G445" s="208" t="s">
        <v>243</v>
      </c>
      <c r="H445" s="208">
        <v>39</v>
      </c>
      <c r="I445" s="208">
        <v>16334</v>
      </c>
      <c r="J445" s="208">
        <v>1881.25</v>
      </c>
      <c r="K445" s="208">
        <v>1531.92</v>
      </c>
      <c r="L445" s="208">
        <v>2768.2800000000007</v>
      </c>
      <c r="M445" s="208" t="s">
        <v>244</v>
      </c>
      <c r="N445" s="208">
        <v>-1590</v>
      </c>
      <c r="O445" s="208">
        <v>1710</v>
      </c>
      <c r="P445" s="208">
        <v>-1201.8499999999999</v>
      </c>
      <c r="Q445" s="208">
        <v>1201.8499999999999</v>
      </c>
    </row>
    <row r="446" spans="1:17">
      <c r="A446" s="218">
        <v>44196</v>
      </c>
      <c r="B446" s="208" t="s">
        <v>36</v>
      </c>
      <c r="C446" s="208" t="s">
        <v>8</v>
      </c>
      <c r="D446" s="208">
        <v>2019</v>
      </c>
      <c r="E446" s="208" t="s">
        <v>112</v>
      </c>
      <c r="F446" s="208" t="s">
        <v>95</v>
      </c>
      <c r="G446" s="208" t="s">
        <v>243</v>
      </c>
      <c r="H446" s="208">
        <v>26</v>
      </c>
      <c r="I446" s="208">
        <v>16098</v>
      </c>
      <c r="J446" s="208">
        <v>1806</v>
      </c>
      <c r="K446" s="208">
        <v>0</v>
      </c>
      <c r="L446" s="208">
        <v>10263.75</v>
      </c>
      <c r="M446" s="208" t="s">
        <v>244</v>
      </c>
      <c r="N446" s="208">
        <v>-1590</v>
      </c>
      <c r="O446" s="208">
        <v>1710</v>
      </c>
      <c r="P446" s="208">
        <v>-1201.8499999999999</v>
      </c>
      <c r="Q446" s="208">
        <v>1201.8499999999999</v>
      </c>
    </row>
    <row r="447" spans="1:17">
      <c r="A447" s="218">
        <v>44196</v>
      </c>
      <c r="B447" s="208" t="s">
        <v>29</v>
      </c>
      <c r="C447" s="208" t="s">
        <v>8</v>
      </c>
      <c r="D447" s="208">
        <v>2019</v>
      </c>
      <c r="E447" s="208" t="s">
        <v>112</v>
      </c>
      <c r="F447" s="208" t="s">
        <v>95</v>
      </c>
      <c r="G447" s="208" t="s">
        <v>243</v>
      </c>
      <c r="H447" s="208">
        <v>90</v>
      </c>
      <c r="I447" s="208">
        <v>32432</v>
      </c>
      <c r="J447" s="208">
        <v>4490.3899999999994</v>
      </c>
      <c r="K447" s="208">
        <v>3486</v>
      </c>
      <c r="L447" s="208">
        <v>12312.5</v>
      </c>
      <c r="M447" s="208" t="s">
        <v>244</v>
      </c>
      <c r="N447" s="208">
        <v>-1590</v>
      </c>
      <c r="O447" s="208">
        <v>1710</v>
      </c>
      <c r="P447" s="208">
        <v>-1201.8499999999999</v>
      </c>
      <c r="Q447" s="208">
        <v>1201.8499999999999</v>
      </c>
    </row>
    <row r="448" spans="1:17">
      <c r="A448" s="218">
        <v>44196</v>
      </c>
      <c r="B448" s="208" t="s">
        <v>29</v>
      </c>
      <c r="C448" s="208" t="s">
        <v>8</v>
      </c>
      <c r="D448" s="208">
        <v>2020</v>
      </c>
      <c r="E448" s="208" t="s">
        <v>112</v>
      </c>
      <c r="F448" s="208" t="s">
        <v>95</v>
      </c>
      <c r="G448" s="208" t="s">
        <v>243</v>
      </c>
      <c r="H448" s="208">
        <v>148</v>
      </c>
      <c r="I448" s="208">
        <v>85461.5</v>
      </c>
      <c r="J448" s="208">
        <v>11202.58</v>
      </c>
      <c r="K448" s="208">
        <v>10897.5</v>
      </c>
      <c r="L448" s="208">
        <v>31957.490000000005</v>
      </c>
      <c r="M448" s="208" t="s">
        <v>244</v>
      </c>
      <c r="N448" s="208">
        <v>-537.5</v>
      </c>
      <c r="O448" s="208">
        <v>2385</v>
      </c>
      <c r="P448" s="208">
        <v>-462.25</v>
      </c>
      <c r="Q448" s="208">
        <v>1201.8499999999999</v>
      </c>
    </row>
    <row r="449" spans="1:17">
      <c r="A449" s="218">
        <v>44196</v>
      </c>
      <c r="B449" s="208" t="s">
        <v>31</v>
      </c>
      <c r="C449" s="208" t="s">
        <v>8</v>
      </c>
      <c r="D449" s="208">
        <v>2020</v>
      </c>
      <c r="E449" s="208" t="s">
        <v>112</v>
      </c>
      <c r="F449" s="208" t="s">
        <v>95</v>
      </c>
      <c r="G449" s="208" t="s">
        <v>243</v>
      </c>
      <c r="H449" s="208">
        <v>37</v>
      </c>
      <c r="I449" s="208">
        <v>24900</v>
      </c>
      <c r="J449" s="208">
        <v>3025.05</v>
      </c>
      <c r="K449" s="208">
        <v>2499.4600000000009</v>
      </c>
      <c r="L449" s="208">
        <v>4401.8900000000003</v>
      </c>
      <c r="M449" s="208" t="s">
        <v>244</v>
      </c>
      <c r="N449" s="208">
        <v>-537.5</v>
      </c>
      <c r="O449" s="208">
        <v>2385</v>
      </c>
      <c r="P449" s="208">
        <v>-462.25</v>
      </c>
      <c r="Q449" s="208">
        <v>1201.8499999999999</v>
      </c>
    </row>
    <row r="450" spans="1:17">
      <c r="A450" s="218">
        <v>44196</v>
      </c>
      <c r="B450" s="208" t="s">
        <v>259</v>
      </c>
      <c r="C450" s="208" t="s">
        <v>8</v>
      </c>
      <c r="D450" s="208">
        <v>2020</v>
      </c>
      <c r="E450" s="208" t="s">
        <v>112</v>
      </c>
      <c r="F450" s="208" t="s">
        <v>95</v>
      </c>
      <c r="G450" s="208" t="s">
        <v>243</v>
      </c>
      <c r="H450" s="208">
        <v>51</v>
      </c>
      <c r="I450" s="208">
        <v>30872</v>
      </c>
      <c r="J450" s="208">
        <v>4151.6499999999996</v>
      </c>
      <c r="K450" s="208">
        <v>0</v>
      </c>
      <c r="L450" s="208">
        <v>22387.75</v>
      </c>
      <c r="M450" s="208" t="s">
        <v>244</v>
      </c>
      <c r="N450" s="208">
        <v>-537.5</v>
      </c>
      <c r="O450" s="208">
        <v>2385</v>
      </c>
      <c r="P450" s="208">
        <v>-462.25</v>
      </c>
      <c r="Q450" s="208">
        <v>1201.8499999999999</v>
      </c>
    </row>
    <row r="451" spans="1:17">
      <c r="A451" s="218">
        <v>44196</v>
      </c>
      <c r="B451" s="208" t="s">
        <v>225</v>
      </c>
      <c r="C451" s="208" t="s">
        <v>8</v>
      </c>
      <c r="D451" s="208">
        <v>2019</v>
      </c>
      <c r="E451" s="208" t="s">
        <v>112</v>
      </c>
      <c r="F451" s="208" t="s">
        <v>95</v>
      </c>
      <c r="G451" s="208" t="s">
        <v>243</v>
      </c>
      <c r="H451" s="208">
        <v>41</v>
      </c>
      <c r="I451" s="208">
        <v>23891</v>
      </c>
      <c r="J451" s="208">
        <v>2953.05</v>
      </c>
      <c r="K451" s="208">
        <v>268.75</v>
      </c>
      <c r="L451" s="208">
        <v>17259.2</v>
      </c>
      <c r="M451" s="208" t="s">
        <v>244</v>
      </c>
      <c r="N451" s="208">
        <v>-1590</v>
      </c>
      <c r="O451" s="208">
        <v>1710</v>
      </c>
      <c r="P451" s="208">
        <v>-1201.8499999999999</v>
      </c>
      <c r="Q451" s="208">
        <v>1201.8499999999999</v>
      </c>
    </row>
    <row r="452" spans="1:17">
      <c r="A452" s="218">
        <v>44196</v>
      </c>
      <c r="B452" s="208" t="s">
        <v>35</v>
      </c>
      <c r="C452" s="208" t="s">
        <v>8</v>
      </c>
      <c r="D452" s="208">
        <v>2019</v>
      </c>
      <c r="E452" s="208" t="s">
        <v>112</v>
      </c>
      <c r="F452" s="208" t="s">
        <v>95</v>
      </c>
      <c r="G452" s="208" t="s">
        <v>243</v>
      </c>
      <c r="H452" s="208">
        <v>2</v>
      </c>
      <c r="I452" s="208">
        <v>1290</v>
      </c>
      <c r="J452" s="208">
        <v>150.5</v>
      </c>
      <c r="K452" s="208">
        <v>924.5</v>
      </c>
      <c r="L452" s="208">
        <v>215</v>
      </c>
      <c r="M452" s="208" t="s">
        <v>244</v>
      </c>
      <c r="N452" s="208">
        <v>-1590</v>
      </c>
      <c r="O452" s="208">
        <v>1710</v>
      </c>
      <c r="P452" s="208">
        <v>-1201.8499999999999</v>
      </c>
      <c r="Q452" s="208">
        <v>1201.8499999999999</v>
      </c>
    </row>
    <row r="453" spans="1:17">
      <c r="A453" s="218">
        <v>44196</v>
      </c>
      <c r="B453" s="208" t="s">
        <v>261</v>
      </c>
      <c r="C453" s="208" t="s">
        <v>8</v>
      </c>
      <c r="D453" s="208">
        <v>2020</v>
      </c>
      <c r="E453" s="208" t="s">
        <v>112</v>
      </c>
      <c r="F453" s="208" t="s">
        <v>95</v>
      </c>
      <c r="G453" s="208" t="s">
        <v>243</v>
      </c>
      <c r="H453" s="208">
        <v>5</v>
      </c>
      <c r="I453" s="208">
        <v>6715</v>
      </c>
      <c r="J453" s="208">
        <v>617.04999999999995</v>
      </c>
      <c r="K453" s="208">
        <v>3790.45</v>
      </c>
      <c r="L453" s="208">
        <v>741.5</v>
      </c>
      <c r="M453" s="208" t="s">
        <v>244</v>
      </c>
      <c r="N453" s="208">
        <v>-537.5</v>
      </c>
      <c r="O453" s="208">
        <v>2385</v>
      </c>
      <c r="P453" s="208">
        <v>-462.25</v>
      </c>
      <c r="Q453" s="208">
        <v>1201.8499999999999</v>
      </c>
    </row>
    <row r="454" spans="1:17">
      <c r="A454" s="218">
        <v>44196</v>
      </c>
      <c r="B454" s="208" t="s">
        <v>35</v>
      </c>
      <c r="C454" s="208" t="s">
        <v>8</v>
      </c>
      <c r="D454" s="208">
        <v>2020</v>
      </c>
      <c r="E454" s="208" t="s">
        <v>112</v>
      </c>
      <c r="F454" s="208" t="s">
        <v>95</v>
      </c>
      <c r="G454" s="208" t="s">
        <v>243</v>
      </c>
      <c r="H454" s="208">
        <v>5</v>
      </c>
      <c r="I454" s="208">
        <v>6715</v>
      </c>
      <c r="J454" s="208">
        <v>617.04999999999995</v>
      </c>
      <c r="K454" s="208">
        <v>3790.45</v>
      </c>
      <c r="L454" s="208">
        <v>741.5</v>
      </c>
      <c r="M454" s="208" t="s">
        <v>244</v>
      </c>
      <c r="N454" s="208">
        <v>-537.5</v>
      </c>
      <c r="O454" s="208">
        <v>2385</v>
      </c>
      <c r="P454" s="208">
        <v>-462.25</v>
      </c>
      <c r="Q454" s="208">
        <v>1201.8499999999999</v>
      </c>
    </row>
    <row r="455" spans="1:17">
      <c r="A455" s="218">
        <v>44196</v>
      </c>
      <c r="B455" s="208" t="s">
        <v>260</v>
      </c>
      <c r="C455" s="208" t="s">
        <v>8</v>
      </c>
      <c r="D455" s="208">
        <v>2020</v>
      </c>
      <c r="E455" s="208" t="s">
        <v>112</v>
      </c>
      <c r="F455" s="208" t="s">
        <v>95</v>
      </c>
      <c r="G455" s="208" t="s">
        <v>243</v>
      </c>
      <c r="H455" s="208">
        <v>148</v>
      </c>
      <c r="I455" s="208">
        <v>85461.5</v>
      </c>
      <c r="J455" s="208">
        <v>11202.58</v>
      </c>
      <c r="K455" s="208">
        <v>10897.5</v>
      </c>
      <c r="L455" s="208">
        <v>31957.489999999998</v>
      </c>
      <c r="M455" s="208" t="s">
        <v>244</v>
      </c>
      <c r="N455" s="208">
        <v>-537.5</v>
      </c>
      <c r="O455" s="208">
        <v>2385</v>
      </c>
      <c r="P455" s="208">
        <v>-462.25</v>
      </c>
      <c r="Q455" s="208">
        <v>1201.8499999999999</v>
      </c>
    </row>
    <row r="456" spans="1:17">
      <c r="A456" s="218">
        <v>44196</v>
      </c>
      <c r="B456" s="208" t="s">
        <v>258</v>
      </c>
      <c r="C456" s="208" t="s">
        <v>8</v>
      </c>
      <c r="D456" s="208">
        <v>2020</v>
      </c>
      <c r="E456" s="208" t="s">
        <v>112</v>
      </c>
      <c r="F456" s="208" t="s">
        <v>95</v>
      </c>
      <c r="G456" s="208" t="s">
        <v>243</v>
      </c>
      <c r="H456" s="208">
        <v>37</v>
      </c>
      <c r="I456" s="208">
        <v>24900</v>
      </c>
      <c r="J456" s="208">
        <v>3025.05</v>
      </c>
      <c r="K456" s="208">
        <v>2499.4600000000009</v>
      </c>
      <c r="L456" s="208">
        <v>4401.8900000000012</v>
      </c>
      <c r="M456" s="208" t="s">
        <v>244</v>
      </c>
      <c r="N456" s="208">
        <v>-537.5</v>
      </c>
      <c r="O456" s="208">
        <v>2385</v>
      </c>
      <c r="P456" s="208">
        <v>-462.25</v>
      </c>
      <c r="Q456" s="208">
        <v>1201.8499999999999</v>
      </c>
    </row>
    <row r="457" spans="1:17">
      <c r="A457" s="218">
        <v>44196</v>
      </c>
      <c r="B457" s="208" t="s">
        <v>225</v>
      </c>
      <c r="C457" s="208" t="s">
        <v>8</v>
      </c>
      <c r="D457" s="208">
        <v>2020</v>
      </c>
      <c r="E457" s="208" t="s">
        <v>112</v>
      </c>
      <c r="F457" s="208" t="s">
        <v>95</v>
      </c>
      <c r="G457" s="208" t="s">
        <v>243</v>
      </c>
      <c r="H457" s="208">
        <v>39</v>
      </c>
      <c r="I457" s="208">
        <v>24215</v>
      </c>
      <c r="J457" s="208">
        <v>2799.3</v>
      </c>
      <c r="K457" s="208">
        <v>0</v>
      </c>
      <c r="L457" s="208">
        <v>16890.7</v>
      </c>
      <c r="M457" s="208" t="s">
        <v>244</v>
      </c>
      <c r="N457" s="208">
        <v>-537.5</v>
      </c>
      <c r="O457" s="208">
        <v>2385</v>
      </c>
      <c r="P457" s="208">
        <v>-462.25</v>
      </c>
      <c r="Q457" s="208">
        <v>1201.8499999999999</v>
      </c>
    </row>
    <row r="458" spans="1:17">
      <c r="A458" s="218">
        <v>44196</v>
      </c>
      <c r="B458" s="208" t="s">
        <v>37</v>
      </c>
      <c r="C458" s="208" t="s">
        <v>8</v>
      </c>
      <c r="D458" s="208">
        <v>2020</v>
      </c>
      <c r="E458" s="208" t="s">
        <v>112</v>
      </c>
      <c r="F458" s="208" t="s">
        <v>95</v>
      </c>
      <c r="G458" s="208" t="s">
        <v>243</v>
      </c>
      <c r="H458" s="208">
        <v>39</v>
      </c>
      <c r="I458" s="208">
        <v>24215</v>
      </c>
      <c r="J458" s="208">
        <v>2799.3</v>
      </c>
      <c r="K458" s="208">
        <v>0</v>
      </c>
      <c r="L458" s="208">
        <v>16890.7</v>
      </c>
      <c r="M458" s="208" t="s">
        <v>244</v>
      </c>
      <c r="N458" s="208">
        <v>-537.5</v>
      </c>
      <c r="O458" s="208">
        <v>2385</v>
      </c>
      <c r="P458" s="208">
        <v>-462.25</v>
      </c>
      <c r="Q458" s="208">
        <v>1201.8499999999999</v>
      </c>
    </row>
    <row r="459" spans="1:17">
      <c r="A459" s="218">
        <v>44196</v>
      </c>
      <c r="B459" s="208" t="s">
        <v>31</v>
      </c>
      <c r="C459" s="208" t="s">
        <v>8</v>
      </c>
      <c r="D459" s="208">
        <v>2019</v>
      </c>
      <c r="E459" s="208" t="s">
        <v>112</v>
      </c>
      <c r="F459" s="208" t="s">
        <v>95</v>
      </c>
      <c r="G459" s="208" t="s">
        <v>243</v>
      </c>
      <c r="H459" s="208">
        <v>39</v>
      </c>
      <c r="I459" s="208">
        <v>16334</v>
      </c>
      <c r="J459" s="208">
        <v>1881.25</v>
      </c>
      <c r="K459" s="208">
        <v>1531.92</v>
      </c>
      <c r="L459" s="208">
        <v>2768.2800000000007</v>
      </c>
      <c r="M459" s="208" t="s">
        <v>244</v>
      </c>
      <c r="N459" s="208">
        <v>-1590</v>
      </c>
      <c r="O459" s="208">
        <v>1710</v>
      </c>
      <c r="P459" s="208">
        <v>-1201.8499999999999</v>
      </c>
      <c r="Q459" s="208">
        <v>1201.8499999999999</v>
      </c>
    </row>
    <row r="460" spans="1:17">
      <c r="A460" s="218">
        <v>44196</v>
      </c>
      <c r="B460" s="208" t="s">
        <v>261</v>
      </c>
      <c r="C460" s="208" t="s">
        <v>8</v>
      </c>
      <c r="D460" s="208">
        <v>2019</v>
      </c>
      <c r="E460" s="208" t="s">
        <v>112</v>
      </c>
      <c r="F460" s="208" t="s">
        <v>95</v>
      </c>
      <c r="G460" s="208" t="s">
        <v>243</v>
      </c>
      <c r="H460" s="208">
        <v>2</v>
      </c>
      <c r="I460" s="208">
        <v>1290</v>
      </c>
      <c r="J460" s="208">
        <v>150.5</v>
      </c>
      <c r="K460" s="208">
        <v>924.5</v>
      </c>
      <c r="L460" s="208">
        <v>215</v>
      </c>
      <c r="M460" s="208" t="s">
        <v>244</v>
      </c>
      <c r="N460" s="208">
        <v>-1590</v>
      </c>
      <c r="O460" s="208">
        <v>1710</v>
      </c>
      <c r="P460" s="208">
        <v>-1201.8499999999999</v>
      </c>
      <c r="Q460" s="208">
        <v>1201.8499999999999</v>
      </c>
    </row>
    <row r="461" spans="1:17">
      <c r="A461" s="218">
        <v>44196</v>
      </c>
      <c r="B461" s="208" t="s">
        <v>37</v>
      </c>
      <c r="C461" s="208" t="s">
        <v>8</v>
      </c>
      <c r="D461" s="208">
        <v>2019</v>
      </c>
      <c r="E461" s="208" t="s">
        <v>112</v>
      </c>
      <c r="F461" s="208" t="s">
        <v>95</v>
      </c>
      <c r="G461" s="208" t="s">
        <v>243</v>
      </c>
      <c r="H461" s="208">
        <v>41</v>
      </c>
      <c r="I461" s="208">
        <v>23891</v>
      </c>
      <c r="J461" s="208">
        <v>2953.05</v>
      </c>
      <c r="K461" s="208">
        <v>268.75</v>
      </c>
      <c r="L461" s="208">
        <v>17259.2</v>
      </c>
      <c r="M461" s="208" t="s">
        <v>244</v>
      </c>
      <c r="N461" s="208">
        <v>-1590</v>
      </c>
      <c r="O461" s="208">
        <v>1710</v>
      </c>
      <c r="P461" s="208">
        <v>-1201.8499999999999</v>
      </c>
      <c r="Q461" s="208">
        <v>1201.8499999999999</v>
      </c>
    </row>
    <row r="462" spans="1:17">
      <c r="A462" s="218">
        <v>44196</v>
      </c>
      <c r="B462" s="208" t="s">
        <v>36</v>
      </c>
      <c r="C462" s="208" t="s">
        <v>8</v>
      </c>
      <c r="D462" s="208">
        <v>2020</v>
      </c>
      <c r="E462" s="208" t="s">
        <v>112</v>
      </c>
      <c r="F462" s="208" t="s">
        <v>95</v>
      </c>
      <c r="G462" s="208" t="s">
        <v>243</v>
      </c>
      <c r="H462" s="208">
        <v>51</v>
      </c>
      <c r="I462" s="208">
        <v>30872</v>
      </c>
      <c r="J462" s="208">
        <v>4151.6499999999996</v>
      </c>
      <c r="K462" s="208">
        <v>0</v>
      </c>
      <c r="L462" s="208">
        <v>22387.75</v>
      </c>
      <c r="M462" s="208" t="s">
        <v>244</v>
      </c>
      <c r="N462" s="208">
        <v>-537.5</v>
      </c>
      <c r="O462" s="208">
        <v>2385</v>
      </c>
      <c r="P462" s="208">
        <v>-462.25</v>
      </c>
      <c r="Q462" s="208">
        <v>1201.8499999999999</v>
      </c>
    </row>
    <row r="463" spans="1:17">
      <c r="A463" s="218">
        <v>44196</v>
      </c>
      <c r="B463" s="208" t="s">
        <v>260</v>
      </c>
      <c r="C463" s="208" t="s">
        <v>8</v>
      </c>
      <c r="D463" s="208">
        <v>2019</v>
      </c>
      <c r="E463" s="208" t="s">
        <v>112</v>
      </c>
      <c r="F463" s="208" t="s">
        <v>95</v>
      </c>
      <c r="G463" s="208" t="s">
        <v>243</v>
      </c>
      <c r="H463" s="208">
        <v>90</v>
      </c>
      <c r="I463" s="208">
        <v>32432</v>
      </c>
      <c r="J463" s="208">
        <v>4490.3899999999994</v>
      </c>
      <c r="K463" s="208">
        <v>3486</v>
      </c>
      <c r="L463" s="208">
        <v>12312.500000000002</v>
      </c>
      <c r="M463" s="208" t="s">
        <v>244</v>
      </c>
      <c r="N463" s="208">
        <v>-1590</v>
      </c>
      <c r="O463" s="208">
        <v>1710</v>
      </c>
      <c r="P463" s="208">
        <v>-1201.8499999999999</v>
      </c>
      <c r="Q463" s="208">
        <v>1201.8499999999999</v>
      </c>
    </row>
    <row r="464" spans="1:17">
      <c r="A464" s="218">
        <v>44196</v>
      </c>
      <c r="B464" s="208" t="s">
        <v>259</v>
      </c>
      <c r="C464" s="208" t="s">
        <v>8</v>
      </c>
      <c r="D464" s="208">
        <v>2020</v>
      </c>
      <c r="E464" s="208" t="s">
        <v>113</v>
      </c>
      <c r="F464" s="208" t="s">
        <v>95</v>
      </c>
      <c r="G464" s="208" t="s">
        <v>243</v>
      </c>
      <c r="H464" s="208">
        <v>1</v>
      </c>
      <c r="I464" s="208">
        <v>250</v>
      </c>
      <c r="J464" s="208">
        <v>84</v>
      </c>
      <c r="K464" s="208">
        <v>0</v>
      </c>
      <c r="L464" s="208">
        <v>166</v>
      </c>
      <c r="M464" s="208" t="s">
        <v>244</v>
      </c>
      <c r="N464" s="208">
        <v>250</v>
      </c>
      <c r="O464" s="208">
        <v>870</v>
      </c>
      <c r="P464" s="208">
        <v>166</v>
      </c>
      <c r="Q464" s="208">
        <v>674.35</v>
      </c>
    </row>
    <row r="465" spans="1:17">
      <c r="A465" s="218">
        <v>44196</v>
      </c>
      <c r="B465" s="208" t="s">
        <v>36</v>
      </c>
      <c r="C465" s="208" t="s">
        <v>8</v>
      </c>
      <c r="D465" s="208">
        <v>2020</v>
      </c>
      <c r="E465" s="208" t="s">
        <v>113</v>
      </c>
      <c r="F465" s="208" t="s">
        <v>95</v>
      </c>
      <c r="G465" s="208" t="s">
        <v>243</v>
      </c>
      <c r="H465" s="208">
        <v>1</v>
      </c>
      <c r="I465" s="208">
        <v>250</v>
      </c>
      <c r="J465" s="208">
        <v>84</v>
      </c>
      <c r="K465" s="208">
        <v>0</v>
      </c>
      <c r="L465" s="208">
        <v>166</v>
      </c>
      <c r="M465" s="208" t="s">
        <v>244</v>
      </c>
      <c r="N465" s="208">
        <v>250</v>
      </c>
      <c r="O465" s="208">
        <v>870</v>
      </c>
      <c r="P465" s="208">
        <v>166</v>
      </c>
      <c r="Q465" s="208">
        <v>674.35</v>
      </c>
    </row>
    <row r="466" spans="1:17">
      <c r="A466" s="218">
        <v>44196</v>
      </c>
      <c r="B466" s="208" t="s">
        <v>29</v>
      </c>
      <c r="C466" s="208" t="s">
        <v>8</v>
      </c>
      <c r="D466" s="208">
        <v>2020</v>
      </c>
      <c r="E466" s="208" t="s">
        <v>113</v>
      </c>
      <c r="F466" s="208" t="s">
        <v>95</v>
      </c>
      <c r="G466" s="208" t="s">
        <v>243</v>
      </c>
      <c r="H466" s="208">
        <v>10</v>
      </c>
      <c r="I466" s="208">
        <v>3480</v>
      </c>
      <c r="J466" s="208">
        <v>951.65</v>
      </c>
      <c r="K466" s="208">
        <v>0</v>
      </c>
      <c r="L466" s="208">
        <v>2528.35</v>
      </c>
      <c r="M466" s="208" t="s">
        <v>244</v>
      </c>
      <c r="N466" s="208">
        <v>250</v>
      </c>
      <c r="O466" s="208">
        <v>870</v>
      </c>
      <c r="P466" s="208">
        <v>166</v>
      </c>
      <c r="Q466" s="208">
        <v>674.35</v>
      </c>
    </row>
    <row r="467" spans="1:17">
      <c r="A467" s="218">
        <v>44196</v>
      </c>
      <c r="B467" s="208" t="s">
        <v>258</v>
      </c>
      <c r="C467" s="208" t="s">
        <v>8</v>
      </c>
      <c r="D467" s="208">
        <v>2020</v>
      </c>
      <c r="E467" s="208" t="s">
        <v>113</v>
      </c>
      <c r="F467" s="208" t="s">
        <v>95</v>
      </c>
      <c r="G467" s="208" t="s">
        <v>243</v>
      </c>
      <c r="H467" s="208">
        <v>12</v>
      </c>
      <c r="I467" s="208">
        <v>4060</v>
      </c>
      <c r="J467" s="208">
        <v>1191.6500000000001</v>
      </c>
      <c r="K467" s="208">
        <v>0</v>
      </c>
      <c r="L467" s="208">
        <v>2868.35</v>
      </c>
      <c r="M467" s="208" t="s">
        <v>244</v>
      </c>
      <c r="N467" s="208">
        <v>250</v>
      </c>
      <c r="O467" s="208">
        <v>870</v>
      </c>
      <c r="P467" s="208">
        <v>166</v>
      </c>
      <c r="Q467" s="208">
        <v>674.35</v>
      </c>
    </row>
    <row r="468" spans="1:17">
      <c r="A468" s="218">
        <v>44196</v>
      </c>
      <c r="B468" s="208" t="s">
        <v>37</v>
      </c>
      <c r="C468" s="208" t="s">
        <v>8</v>
      </c>
      <c r="D468" s="208">
        <v>2020</v>
      </c>
      <c r="E468" s="208" t="s">
        <v>113</v>
      </c>
      <c r="F468" s="208" t="s">
        <v>95</v>
      </c>
      <c r="G468" s="208" t="s">
        <v>243</v>
      </c>
      <c r="H468" s="208">
        <v>1</v>
      </c>
      <c r="I468" s="208">
        <v>290</v>
      </c>
      <c r="J468" s="208">
        <v>84</v>
      </c>
      <c r="K468" s="208">
        <v>0</v>
      </c>
      <c r="L468" s="208">
        <v>206</v>
      </c>
      <c r="M468" s="208" t="s">
        <v>244</v>
      </c>
      <c r="N468" s="208">
        <v>250</v>
      </c>
      <c r="O468" s="208">
        <v>870</v>
      </c>
      <c r="P468" s="208">
        <v>166</v>
      </c>
      <c r="Q468" s="208">
        <v>674.35</v>
      </c>
    </row>
    <row r="469" spans="1:17">
      <c r="A469" s="218">
        <v>44196</v>
      </c>
      <c r="B469" s="208" t="s">
        <v>258</v>
      </c>
      <c r="C469" s="208" t="s">
        <v>8</v>
      </c>
      <c r="D469" s="208">
        <v>2019</v>
      </c>
      <c r="E469" s="208" t="s">
        <v>113</v>
      </c>
      <c r="F469" s="208" t="s">
        <v>95</v>
      </c>
      <c r="G469" s="208" t="s">
        <v>243</v>
      </c>
      <c r="H469" s="208">
        <v>2</v>
      </c>
      <c r="I469" s="208">
        <v>640</v>
      </c>
      <c r="J469" s="208">
        <v>150.5</v>
      </c>
      <c r="K469" s="208">
        <v>154.25</v>
      </c>
      <c r="L469" s="208">
        <v>224.88</v>
      </c>
      <c r="M469" s="208" t="s">
        <v>244</v>
      </c>
      <c r="N469" s="208">
        <v>-264.5</v>
      </c>
      <c r="O469" s="208">
        <v>320</v>
      </c>
      <c r="P469" s="208">
        <v>-59.13</v>
      </c>
      <c r="Q469" s="208">
        <v>215</v>
      </c>
    </row>
    <row r="470" spans="1:17">
      <c r="A470" s="218">
        <v>44196</v>
      </c>
      <c r="B470" s="208" t="s">
        <v>225</v>
      </c>
      <c r="C470" s="208" t="s">
        <v>8</v>
      </c>
      <c r="D470" s="208">
        <v>2020</v>
      </c>
      <c r="E470" s="208" t="s">
        <v>113</v>
      </c>
      <c r="F470" s="208" t="s">
        <v>95</v>
      </c>
      <c r="G470" s="208" t="s">
        <v>243</v>
      </c>
      <c r="H470" s="208">
        <v>1</v>
      </c>
      <c r="I470" s="208">
        <v>290</v>
      </c>
      <c r="J470" s="208">
        <v>84</v>
      </c>
      <c r="K470" s="208">
        <v>0</v>
      </c>
      <c r="L470" s="208">
        <v>206</v>
      </c>
      <c r="M470" s="208" t="s">
        <v>244</v>
      </c>
      <c r="N470" s="208">
        <v>250</v>
      </c>
      <c r="O470" s="208">
        <v>870</v>
      </c>
      <c r="P470" s="208">
        <v>166</v>
      </c>
      <c r="Q470" s="208">
        <v>674.35</v>
      </c>
    </row>
    <row r="471" spans="1:17">
      <c r="A471" s="218">
        <v>44196</v>
      </c>
      <c r="B471" s="208" t="s">
        <v>260</v>
      </c>
      <c r="C471" s="208" t="s">
        <v>8</v>
      </c>
      <c r="D471" s="208">
        <v>2020</v>
      </c>
      <c r="E471" s="208" t="s">
        <v>113</v>
      </c>
      <c r="F471" s="208" t="s">
        <v>95</v>
      </c>
      <c r="G471" s="208" t="s">
        <v>243</v>
      </c>
      <c r="H471" s="208">
        <v>10</v>
      </c>
      <c r="I471" s="208">
        <v>3480</v>
      </c>
      <c r="J471" s="208">
        <v>951.65</v>
      </c>
      <c r="K471" s="208">
        <v>0</v>
      </c>
      <c r="L471" s="208">
        <v>2528.35</v>
      </c>
      <c r="M471" s="208" t="s">
        <v>244</v>
      </c>
      <c r="N471" s="208">
        <v>250</v>
      </c>
      <c r="O471" s="208">
        <v>870</v>
      </c>
      <c r="P471" s="208">
        <v>166</v>
      </c>
      <c r="Q471" s="208">
        <v>674.35</v>
      </c>
    </row>
    <row r="472" spans="1:17">
      <c r="A472" s="218">
        <v>44196</v>
      </c>
      <c r="B472" s="208" t="s">
        <v>260</v>
      </c>
      <c r="C472" s="208" t="s">
        <v>8</v>
      </c>
      <c r="D472" s="208">
        <v>2019</v>
      </c>
      <c r="E472" s="208" t="s">
        <v>113</v>
      </c>
      <c r="F472" s="208" t="s">
        <v>95</v>
      </c>
      <c r="G472" s="208" t="s">
        <v>243</v>
      </c>
      <c r="H472" s="208">
        <v>7</v>
      </c>
      <c r="I472" s="208">
        <v>1544.5</v>
      </c>
      <c r="J472" s="208">
        <v>376.25</v>
      </c>
      <c r="K472" s="208">
        <v>215</v>
      </c>
      <c r="L472" s="208">
        <v>864</v>
      </c>
      <c r="M472" s="208" t="s">
        <v>244</v>
      </c>
      <c r="N472" s="208">
        <v>-264.5</v>
      </c>
      <c r="O472" s="208">
        <v>320</v>
      </c>
      <c r="P472" s="208">
        <v>-59.13</v>
      </c>
      <c r="Q472" s="208">
        <v>215</v>
      </c>
    </row>
    <row r="473" spans="1:17">
      <c r="A473" s="218">
        <v>44196</v>
      </c>
      <c r="B473" s="208" t="s">
        <v>31</v>
      </c>
      <c r="C473" s="208" t="s">
        <v>8</v>
      </c>
      <c r="D473" s="208">
        <v>2019</v>
      </c>
      <c r="E473" s="208" t="s">
        <v>113</v>
      </c>
      <c r="F473" s="208" t="s">
        <v>95</v>
      </c>
      <c r="G473" s="208" t="s">
        <v>243</v>
      </c>
      <c r="H473" s="208">
        <v>2</v>
      </c>
      <c r="I473" s="208">
        <v>640</v>
      </c>
      <c r="J473" s="208">
        <v>150.5</v>
      </c>
      <c r="K473" s="208">
        <v>154.25</v>
      </c>
      <c r="L473" s="208">
        <v>224.88</v>
      </c>
      <c r="M473" s="208" t="s">
        <v>244</v>
      </c>
      <c r="N473" s="208">
        <v>-264.5</v>
      </c>
      <c r="O473" s="208">
        <v>320</v>
      </c>
      <c r="P473" s="208">
        <v>-59.13</v>
      </c>
      <c r="Q473" s="208">
        <v>215</v>
      </c>
    </row>
    <row r="474" spans="1:17">
      <c r="A474" s="218">
        <v>44196</v>
      </c>
      <c r="B474" s="208" t="s">
        <v>31</v>
      </c>
      <c r="C474" s="208" t="s">
        <v>8</v>
      </c>
      <c r="D474" s="208">
        <v>2020</v>
      </c>
      <c r="E474" s="208" t="s">
        <v>113</v>
      </c>
      <c r="F474" s="208" t="s">
        <v>95</v>
      </c>
      <c r="G474" s="208" t="s">
        <v>243</v>
      </c>
      <c r="H474" s="208">
        <v>12</v>
      </c>
      <c r="I474" s="208">
        <v>4060</v>
      </c>
      <c r="J474" s="208">
        <v>1191.6500000000001</v>
      </c>
      <c r="K474" s="208">
        <v>0</v>
      </c>
      <c r="L474" s="208">
        <v>2868.35</v>
      </c>
      <c r="M474" s="208" t="s">
        <v>244</v>
      </c>
      <c r="N474" s="208">
        <v>250</v>
      </c>
      <c r="O474" s="208">
        <v>870</v>
      </c>
      <c r="P474" s="208">
        <v>166</v>
      </c>
      <c r="Q474" s="208">
        <v>674.35</v>
      </c>
    </row>
    <row r="475" spans="1:17">
      <c r="A475" s="218">
        <v>44196</v>
      </c>
      <c r="B475" s="208" t="s">
        <v>29</v>
      </c>
      <c r="C475" s="208" t="s">
        <v>8</v>
      </c>
      <c r="D475" s="208">
        <v>2019</v>
      </c>
      <c r="E475" s="208" t="s">
        <v>113</v>
      </c>
      <c r="F475" s="208" t="s">
        <v>95</v>
      </c>
      <c r="G475" s="208" t="s">
        <v>243</v>
      </c>
      <c r="H475" s="208">
        <v>7</v>
      </c>
      <c r="I475" s="208">
        <v>1544.5</v>
      </c>
      <c r="J475" s="208">
        <v>376.25</v>
      </c>
      <c r="K475" s="208">
        <v>215</v>
      </c>
      <c r="L475" s="208">
        <v>864</v>
      </c>
      <c r="M475" s="208" t="s">
        <v>244</v>
      </c>
      <c r="N475" s="208">
        <v>-264.5</v>
      </c>
      <c r="O475" s="208">
        <v>320</v>
      </c>
      <c r="P475" s="208">
        <v>-59.13</v>
      </c>
      <c r="Q475" s="208">
        <v>215</v>
      </c>
    </row>
    <row r="476" spans="1:17">
      <c r="A476" s="218">
        <v>44196</v>
      </c>
      <c r="B476" s="208" t="s">
        <v>31</v>
      </c>
      <c r="C476" s="208" t="s">
        <v>8</v>
      </c>
      <c r="D476" s="208">
        <v>2020</v>
      </c>
      <c r="E476" s="208" t="s">
        <v>114</v>
      </c>
      <c r="F476" s="208" t="s">
        <v>95</v>
      </c>
      <c r="G476" s="208" t="s">
        <v>243</v>
      </c>
      <c r="H476" s="208">
        <v>19</v>
      </c>
      <c r="I476" s="208">
        <v>12395</v>
      </c>
      <c r="J476" s="208">
        <v>1930.95</v>
      </c>
      <c r="K476" s="208">
        <v>0</v>
      </c>
      <c r="L476" s="208">
        <v>10464.050000000001</v>
      </c>
      <c r="M476" s="208" t="s">
        <v>244</v>
      </c>
      <c r="N476" s="208">
        <v>-500</v>
      </c>
      <c r="O476" s="208">
        <v>1465</v>
      </c>
      <c r="P476" s="208">
        <v>-416</v>
      </c>
      <c r="Q476" s="208">
        <v>1269.3499999999999</v>
      </c>
    </row>
    <row r="477" spans="1:17">
      <c r="A477" s="218">
        <v>44196</v>
      </c>
      <c r="B477" s="208" t="s">
        <v>258</v>
      </c>
      <c r="C477" s="208" t="s">
        <v>8</v>
      </c>
      <c r="D477" s="208">
        <v>2020</v>
      </c>
      <c r="E477" s="208" t="s">
        <v>114</v>
      </c>
      <c r="F477" s="208" t="s">
        <v>95</v>
      </c>
      <c r="G477" s="208" t="s">
        <v>243</v>
      </c>
      <c r="H477" s="208">
        <v>19</v>
      </c>
      <c r="I477" s="208">
        <v>12395</v>
      </c>
      <c r="J477" s="208">
        <v>1930.95</v>
      </c>
      <c r="K477" s="208">
        <v>0</v>
      </c>
      <c r="L477" s="208">
        <v>10464.050000000001</v>
      </c>
      <c r="M477" s="208" t="s">
        <v>244</v>
      </c>
      <c r="N477" s="208">
        <v>-500</v>
      </c>
      <c r="O477" s="208">
        <v>1465</v>
      </c>
      <c r="P477" s="208">
        <v>-416</v>
      </c>
      <c r="Q477" s="208">
        <v>1269.3499999999999</v>
      </c>
    </row>
    <row r="478" spans="1:17">
      <c r="A478" s="218">
        <v>44196</v>
      </c>
      <c r="B478" s="208" t="s">
        <v>29</v>
      </c>
      <c r="C478" s="208" t="s">
        <v>8</v>
      </c>
      <c r="D478" s="208">
        <v>2019</v>
      </c>
      <c r="E478" s="208" t="s">
        <v>114</v>
      </c>
      <c r="F478" s="208" t="s">
        <v>95</v>
      </c>
      <c r="G478" s="208" t="s">
        <v>243</v>
      </c>
      <c r="H478" s="208">
        <v>27</v>
      </c>
      <c r="I478" s="208">
        <v>11910</v>
      </c>
      <c r="J478" s="208">
        <v>1799.5500000000002</v>
      </c>
      <c r="K478" s="208">
        <v>2687.5</v>
      </c>
      <c r="L478" s="208">
        <v>3642.26</v>
      </c>
      <c r="M478" s="208" t="s">
        <v>244</v>
      </c>
      <c r="N478" s="208">
        <v>-530</v>
      </c>
      <c r="O478" s="208">
        <v>1465</v>
      </c>
      <c r="P478" s="208">
        <v>-182.75</v>
      </c>
      <c r="Q478" s="208">
        <v>559</v>
      </c>
    </row>
    <row r="479" spans="1:17">
      <c r="A479" s="218">
        <v>44196</v>
      </c>
      <c r="B479" s="208" t="s">
        <v>225</v>
      </c>
      <c r="C479" s="208" t="s">
        <v>8</v>
      </c>
      <c r="D479" s="208">
        <v>2019</v>
      </c>
      <c r="E479" s="208" t="s">
        <v>114</v>
      </c>
      <c r="F479" s="208" t="s">
        <v>95</v>
      </c>
      <c r="G479" s="208" t="s">
        <v>243</v>
      </c>
      <c r="H479" s="208">
        <v>16</v>
      </c>
      <c r="I479" s="208">
        <v>8480</v>
      </c>
      <c r="J479" s="208">
        <v>1268.5</v>
      </c>
      <c r="K479" s="208">
        <v>0</v>
      </c>
      <c r="L479" s="208">
        <v>7211.5</v>
      </c>
      <c r="M479" s="208" t="s">
        <v>244</v>
      </c>
      <c r="N479" s="208">
        <v>-530</v>
      </c>
      <c r="O479" s="208">
        <v>1465</v>
      </c>
      <c r="P479" s="208">
        <v>-182.75</v>
      </c>
      <c r="Q479" s="208">
        <v>559</v>
      </c>
    </row>
    <row r="480" spans="1:17">
      <c r="A480" s="218">
        <v>44196</v>
      </c>
      <c r="B480" s="208" t="s">
        <v>36</v>
      </c>
      <c r="C480" s="208" t="s">
        <v>8</v>
      </c>
      <c r="D480" s="208">
        <v>2019</v>
      </c>
      <c r="E480" s="208" t="s">
        <v>114</v>
      </c>
      <c r="F480" s="208" t="s">
        <v>95</v>
      </c>
      <c r="G480" s="208" t="s">
        <v>243</v>
      </c>
      <c r="H480" s="208">
        <v>9</v>
      </c>
      <c r="I480" s="208">
        <v>4715</v>
      </c>
      <c r="J480" s="208">
        <v>677.25</v>
      </c>
      <c r="K480" s="208">
        <v>0</v>
      </c>
      <c r="L480" s="208">
        <v>3864.5</v>
      </c>
      <c r="M480" s="208" t="s">
        <v>244</v>
      </c>
      <c r="N480" s="208">
        <v>-530</v>
      </c>
      <c r="O480" s="208">
        <v>1465</v>
      </c>
      <c r="P480" s="208">
        <v>-182.75</v>
      </c>
      <c r="Q480" s="208">
        <v>559</v>
      </c>
    </row>
    <row r="481" spans="1:17">
      <c r="A481" s="218">
        <v>44196</v>
      </c>
      <c r="B481" s="208" t="s">
        <v>259</v>
      </c>
      <c r="C481" s="208" t="s">
        <v>8</v>
      </c>
      <c r="D481" s="208">
        <v>2019</v>
      </c>
      <c r="E481" s="208" t="s">
        <v>114</v>
      </c>
      <c r="F481" s="208" t="s">
        <v>95</v>
      </c>
      <c r="G481" s="208" t="s">
        <v>243</v>
      </c>
      <c r="H481" s="208">
        <v>9</v>
      </c>
      <c r="I481" s="208">
        <v>4715</v>
      </c>
      <c r="J481" s="208">
        <v>677.25</v>
      </c>
      <c r="K481" s="208">
        <v>0</v>
      </c>
      <c r="L481" s="208">
        <v>3864.5</v>
      </c>
      <c r="M481" s="208" t="s">
        <v>244</v>
      </c>
      <c r="N481" s="208">
        <v>-530</v>
      </c>
      <c r="O481" s="208">
        <v>1465</v>
      </c>
      <c r="P481" s="208">
        <v>-182.75</v>
      </c>
      <c r="Q481" s="208">
        <v>559</v>
      </c>
    </row>
    <row r="482" spans="1:17">
      <c r="A482" s="218">
        <v>44196</v>
      </c>
      <c r="B482" s="208" t="s">
        <v>259</v>
      </c>
      <c r="C482" s="208" t="s">
        <v>8</v>
      </c>
      <c r="D482" s="208">
        <v>2020</v>
      </c>
      <c r="E482" s="208" t="s">
        <v>114</v>
      </c>
      <c r="F482" s="208" t="s">
        <v>95</v>
      </c>
      <c r="G482" s="208" t="s">
        <v>243</v>
      </c>
      <c r="H482" s="208">
        <v>12</v>
      </c>
      <c r="I482" s="208">
        <v>6965</v>
      </c>
      <c r="J482" s="208">
        <v>1155.6500000000001</v>
      </c>
      <c r="K482" s="208">
        <v>0</v>
      </c>
      <c r="L482" s="208">
        <v>5809.35</v>
      </c>
      <c r="M482" s="208" t="s">
        <v>244</v>
      </c>
      <c r="N482" s="208">
        <v>-500</v>
      </c>
      <c r="O482" s="208">
        <v>1465</v>
      </c>
      <c r="P482" s="208">
        <v>-416</v>
      </c>
      <c r="Q482" s="208">
        <v>1269.3499999999999</v>
      </c>
    </row>
    <row r="483" spans="1:17">
      <c r="A483" s="218">
        <v>44196</v>
      </c>
      <c r="B483" s="208" t="s">
        <v>36</v>
      </c>
      <c r="C483" s="208" t="s">
        <v>8</v>
      </c>
      <c r="D483" s="208">
        <v>2020</v>
      </c>
      <c r="E483" s="208" t="s">
        <v>114</v>
      </c>
      <c r="F483" s="208" t="s">
        <v>95</v>
      </c>
      <c r="G483" s="208" t="s">
        <v>243</v>
      </c>
      <c r="H483" s="208">
        <v>12</v>
      </c>
      <c r="I483" s="208">
        <v>6965</v>
      </c>
      <c r="J483" s="208">
        <v>1155.6500000000001</v>
      </c>
      <c r="K483" s="208">
        <v>0</v>
      </c>
      <c r="L483" s="208">
        <v>5809.35</v>
      </c>
      <c r="M483" s="208" t="s">
        <v>244</v>
      </c>
      <c r="N483" s="208">
        <v>-500</v>
      </c>
      <c r="O483" s="208">
        <v>1465</v>
      </c>
      <c r="P483" s="208">
        <v>-416</v>
      </c>
      <c r="Q483" s="208">
        <v>1269.3499999999999</v>
      </c>
    </row>
    <row r="484" spans="1:17">
      <c r="A484" s="218">
        <v>44196</v>
      </c>
      <c r="B484" s="208" t="s">
        <v>225</v>
      </c>
      <c r="C484" s="208" t="s">
        <v>8</v>
      </c>
      <c r="D484" s="208">
        <v>2020</v>
      </c>
      <c r="E484" s="208" t="s">
        <v>114</v>
      </c>
      <c r="F484" s="208" t="s">
        <v>95</v>
      </c>
      <c r="G484" s="208" t="s">
        <v>243</v>
      </c>
      <c r="H484" s="208">
        <v>6</v>
      </c>
      <c r="I484" s="208">
        <v>4929.9799999999996</v>
      </c>
      <c r="J484" s="208">
        <v>847.15</v>
      </c>
      <c r="K484" s="208">
        <v>0</v>
      </c>
      <c r="L484" s="208">
        <v>4082.83</v>
      </c>
      <c r="M484" s="208" t="s">
        <v>244</v>
      </c>
      <c r="N484" s="208">
        <v>-500</v>
      </c>
      <c r="O484" s="208">
        <v>1465</v>
      </c>
      <c r="P484" s="208">
        <v>-416</v>
      </c>
      <c r="Q484" s="208">
        <v>1269.3499999999999</v>
      </c>
    </row>
    <row r="485" spans="1:17">
      <c r="A485" s="218">
        <v>44196</v>
      </c>
      <c r="B485" s="208" t="s">
        <v>37</v>
      </c>
      <c r="C485" s="208" t="s">
        <v>8</v>
      </c>
      <c r="D485" s="208">
        <v>2020</v>
      </c>
      <c r="E485" s="208" t="s">
        <v>114</v>
      </c>
      <c r="F485" s="208" t="s">
        <v>95</v>
      </c>
      <c r="G485" s="208" t="s">
        <v>243</v>
      </c>
      <c r="H485" s="208">
        <v>6</v>
      </c>
      <c r="I485" s="208">
        <v>4929.9799999999996</v>
      </c>
      <c r="J485" s="208">
        <v>847.15</v>
      </c>
      <c r="K485" s="208">
        <v>0</v>
      </c>
      <c r="L485" s="208">
        <v>4082.83</v>
      </c>
      <c r="M485" s="208" t="s">
        <v>244</v>
      </c>
      <c r="N485" s="208">
        <v>-500</v>
      </c>
      <c r="O485" s="208">
        <v>1465</v>
      </c>
      <c r="P485" s="208">
        <v>-416</v>
      </c>
      <c r="Q485" s="208">
        <v>1269.3499999999999</v>
      </c>
    </row>
    <row r="486" spans="1:17">
      <c r="A486" s="218">
        <v>44196</v>
      </c>
      <c r="B486" s="208" t="s">
        <v>260</v>
      </c>
      <c r="C486" s="208" t="s">
        <v>8</v>
      </c>
      <c r="D486" s="208">
        <v>2019</v>
      </c>
      <c r="E486" s="208" t="s">
        <v>114</v>
      </c>
      <c r="F486" s="208" t="s">
        <v>95</v>
      </c>
      <c r="G486" s="208" t="s">
        <v>243</v>
      </c>
      <c r="H486" s="208">
        <v>27</v>
      </c>
      <c r="I486" s="208">
        <v>11910</v>
      </c>
      <c r="J486" s="208">
        <v>1799.5500000000002</v>
      </c>
      <c r="K486" s="208">
        <v>2687.5</v>
      </c>
      <c r="L486" s="208">
        <v>3642.26</v>
      </c>
      <c r="M486" s="208" t="s">
        <v>244</v>
      </c>
      <c r="N486" s="208">
        <v>-530</v>
      </c>
      <c r="O486" s="208">
        <v>1465</v>
      </c>
      <c r="P486" s="208">
        <v>-182.75</v>
      </c>
      <c r="Q486" s="208">
        <v>559</v>
      </c>
    </row>
    <row r="487" spans="1:17">
      <c r="A487" s="218">
        <v>44196</v>
      </c>
      <c r="B487" s="208" t="s">
        <v>260</v>
      </c>
      <c r="C487" s="208" t="s">
        <v>8</v>
      </c>
      <c r="D487" s="208">
        <v>2020</v>
      </c>
      <c r="E487" s="208" t="s">
        <v>114</v>
      </c>
      <c r="F487" s="208" t="s">
        <v>95</v>
      </c>
      <c r="G487" s="208" t="s">
        <v>243</v>
      </c>
      <c r="H487" s="208">
        <v>29</v>
      </c>
      <c r="I487" s="208">
        <v>14515</v>
      </c>
      <c r="J487" s="208">
        <v>2379.65</v>
      </c>
      <c r="K487" s="208">
        <v>0</v>
      </c>
      <c r="L487" s="208">
        <v>12085.35</v>
      </c>
      <c r="M487" s="208" t="s">
        <v>244</v>
      </c>
      <c r="N487" s="208">
        <v>-500</v>
      </c>
      <c r="O487" s="208">
        <v>1465</v>
      </c>
      <c r="P487" s="208">
        <v>-416</v>
      </c>
      <c r="Q487" s="208">
        <v>1269.3499999999999</v>
      </c>
    </row>
    <row r="488" spans="1:17">
      <c r="A488" s="218">
        <v>44196</v>
      </c>
      <c r="B488" s="208" t="s">
        <v>37</v>
      </c>
      <c r="C488" s="208" t="s">
        <v>8</v>
      </c>
      <c r="D488" s="208">
        <v>2019</v>
      </c>
      <c r="E488" s="208" t="s">
        <v>114</v>
      </c>
      <c r="F488" s="208" t="s">
        <v>95</v>
      </c>
      <c r="G488" s="208" t="s">
        <v>243</v>
      </c>
      <c r="H488" s="208">
        <v>16</v>
      </c>
      <c r="I488" s="208">
        <v>8480</v>
      </c>
      <c r="J488" s="208">
        <v>1268.5</v>
      </c>
      <c r="K488" s="208">
        <v>0</v>
      </c>
      <c r="L488" s="208">
        <v>7211.5</v>
      </c>
      <c r="M488" s="208" t="s">
        <v>244</v>
      </c>
      <c r="N488" s="208">
        <v>-530</v>
      </c>
      <c r="O488" s="208">
        <v>1465</v>
      </c>
      <c r="P488" s="208">
        <v>-182.75</v>
      </c>
      <c r="Q488" s="208">
        <v>559</v>
      </c>
    </row>
    <row r="489" spans="1:17">
      <c r="A489" s="218">
        <v>44196</v>
      </c>
      <c r="B489" s="208" t="s">
        <v>258</v>
      </c>
      <c r="C489" s="208" t="s">
        <v>8</v>
      </c>
      <c r="D489" s="208">
        <v>2019</v>
      </c>
      <c r="E489" s="208" t="s">
        <v>114</v>
      </c>
      <c r="F489" s="208" t="s">
        <v>95</v>
      </c>
      <c r="G489" s="208" t="s">
        <v>243</v>
      </c>
      <c r="H489" s="208">
        <v>17</v>
      </c>
      <c r="I489" s="208">
        <v>10720</v>
      </c>
      <c r="J489" s="208">
        <v>1520.05</v>
      </c>
      <c r="K489" s="208">
        <v>1290.04</v>
      </c>
      <c r="L489" s="208">
        <v>2198.38</v>
      </c>
      <c r="M489" s="208" t="s">
        <v>244</v>
      </c>
      <c r="N489" s="208">
        <v>-530</v>
      </c>
      <c r="O489" s="208">
        <v>1465</v>
      </c>
      <c r="P489" s="208">
        <v>-182.75</v>
      </c>
      <c r="Q489" s="208">
        <v>559</v>
      </c>
    </row>
    <row r="490" spans="1:17">
      <c r="A490" s="218">
        <v>44196</v>
      </c>
      <c r="B490" s="208" t="s">
        <v>29</v>
      </c>
      <c r="C490" s="208" t="s">
        <v>8</v>
      </c>
      <c r="D490" s="208">
        <v>2020</v>
      </c>
      <c r="E490" s="208" t="s">
        <v>114</v>
      </c>
      <c r="F490" s="208" t="s">
        <v>95</v>
      </c>
      <c r="G490" s="208" t="s">
        <v>243</v>
      </c>
      <c r="H490" s="208">
        <v>29</v>
      </c>
      <c r="I490" s="208">
        <v>14515</v>
      </c>
      <c r="J490" s="208">
        <v>2379.65</v>
      </c>
      <c r="K490" s="208">
        <v>0</v>
      </c>
      <c r="L490" s="208">
        <v>12085.35</v>
      </c>
      <c r="M490" s="208" t="s">
        <v>244</v>
      </c>
      <c r="N490" s="208">
        <v>-500</v>
      </c>
      <c r="O490" s="208">
        <v>1465</v>
      </c>
      <c r="P490" s="208">
        <v>-416</v>
      </c>
      <c r="Q490" s="208">
        <v>1269.3499999999999</v>
      </c>
    </row>
    <row r="491" spans="1:17">
      <c r="A491" s="218">
        <v>44196</v>
      </c>
      <c r="B491" s="208" t="s">
        <v>31</v>
      </c>
      <c r="C491" s="208" t="s">
        <v>8</v>
      </c>
      <c r="D491" s="208">
        <v>2019</v>
      </c>
      <c r="E491" s="208" t="s">
        <v>114</v>
      </c>
      <c r="F491" s="208" t="s">
        <v>95</v>
      </c>
      <c r="G491" s="208" t="s">
        <v>243</v>
      </c>
      <c r="H491" s="208">
        <v>17</v>
      </c>
      <c r="I491" s="208">
        <v>10720</v>
      </c>
      <c r="J491" s="208">
        <v>1520.05</v>
      </c>
      <c r="K491" s="208">
        <v>1290.04</v>
      </c>
      <c r="L491" s="208">
        <v>2198.38</v>
      </c>
      <c r="M491" s="208" t="s">
        <v>244</v>
      </c>
      <c r="N491" s="208">
        <v>-530</v>
      </c>
      <c r="O491" s="208">
        <v>1465</v>
      </c>
      <c r="P491" s="208">
        <v>-182.75</v>
      </c>
      <c r="Q491" s="208">
        <v>559</v>
      </c>
    </row>
    <row r="492" spans="1:17">
      <c r="A492" s="218">
        <v>44196</v>
      </c>
      <c r="B492" s="208" t="s">
        <v>258</v>
      </c>
      <c r="C492" s="208" t="s">
        <v>8</v>
      </c>
      <c r="D492" s="208">
        <v>2019</v>
      </c>
      <c r="E492" s="208" t="s">
        <v>115</v>
      </c>
      <c r="F492" s="208" t="s">
        <v>95</v>
      </c>
      <c r="G492" s="208" t="s">
        <v>243</v>
      </c>
      <c r="H492" s="208">
        <v>1</v>
      </c>
      <c r="I492" s="208">
        <v>500</v>
      </c>
      <c r="J492" s="208">
        <v>75.25</v>
      </c>
      <c r="K492" s="208">
        <v>0</v>
      </c>
      <c r="L492" s="208">
        <v>215</v>
      </c>
      <c r="M492" s="208" t="s">
        <v>244</v>
      </c>
      <c r="N492" s="208">
        <v>290</v>
      </c>
      <c r="O492" s="208">
        <v>2040</v>
      </c>
      <c r="P492" s="208">
        <v>59.13</v>
      </c>
      <c r="Q492" s="208">
        <v>1118</v>
      </c>
    </row>
    <row r="493" spans="1:17">
      <c r="A493" s="218">
        <v>44196</v>
      </c>
      <c r="B493" s="208" t="s">
        <v>258</v>
      </c>
      <c r="C493" s="208" t="s">
        <v>8</v>
      </c>
      <c r="D493" s="208">
        <v>2020</v>
      </c>
      <c r="E493" s="208" t="s">
        <v>115</v>
      </c>
      <c r="F493" s="208" t="s">
        <v>95</v>
      </c>
      <c r="G493" s="208" t="s">
        <v>243</v>
      </c>
      <c r="H493" s="208">
        <v>22</v>
      </c>
      <c r="I493" s="208">
        <v>11130</v>
      </c>
      <c r="J493" s="208">
        <v>1848</v>
      </c>
      <c r="K493" s="208">
        <v>1500</v>
      </c>
      <c r="L493" s="208">
        <v>2790</v>
      </c>
      <c r="M493" s="208" t="s">
        <v>244</v>
      </c>
      <c r="N493" s="208">
        <v>350</v>
      </c>
      <c r="O493" s="208">
        <v>2100</v>
      </c>
      <c r="P493" s="208">
        <v>44</v>
      </c>
      <c r="Q493" s="208">
        <v>854.35</v>
      </c>
    </row>
    <row r="494" spans="1:17">
      <c r="A494" s="218">
        <v>44196</v>
      </c>
      <c r="B494" s="208" t="s">
        <v>225</v>
      </c>
      <c r="C494" s="208" t="s">
        <v>8</v>
      </c>
      <c r="D494" s="208">
        <v>2019</v>
      </c>
      <c r="E494" s="208" t="s">
        <v>115</v>
      </c>
      <c r="F494" s="208" t="s">
        <v>95</v>
      </c>
      <c r="G494" s="208" t="s">
        <v>243</v>
      </c>
      <c r="H494" s="208">
        <v>3</v>
      </c>
      <c r="I494" s="208">
        <v>1500</v>
      </c>
      <c r="J494" s="208">
        <v>225.75</v>
      </c>
      <c r="K494" s="208">
        <v>0</v>
      </c>
      <c r="L494" s="208">
        <v>1274.25</v>
      </c>
      <c r="M494" s="208" t="s">
        <v>244</v>
      </c>
      <c r="N494" s="208">
        <v>290</v>
      </c>
      <c r="O494" s="208">
        <v>2040</v>
      </c>
      <c r="P494" s="208">
        <v>59.13</v>
      </c>
      <c r="Q494" s="208">
        <v>1118</v>
      </c>
    </row>
    <row r="495" spans="1:17">
      <c r="A495" s="218">
        <v>44196</v>
      </c>
      <c r="B495" s="208" t="s">
        <v>37</v>
      </c>
      <c r="C495" s="208" t="s">
        <v>8</v>
      </c>
      <c r="D495" s="208">
        <v>2020</v>
      </c>
      <c r="E495" s="208" t="s">
        <v>115</v>
      </c>
      <c r="F495" s="208" t="s">
        <v>95</v>
      </c>
      <c r="G495" s="208" t="s">
        <v>243</v>
      </c>
      <c r="H495" s="208">
        <v>6</v>
      </c>
      <c r="I495" s="208">
        <v>3700</v>
      </c>
      <c r="J495" s="208">
        <v>651.65</v>
      </c>
      <c r="K495" s="208">
        <v>0</v>
      </c>
      <c r="L495" s="208">
        <v>3048.35</v>
      </c>
      <c r="M495" s="208" t="s">
        <v>244</v>
      </c>
      <c r="N495" s="208">
        <v>350</v>
      </c>
      <c r="O495" s="208">
        <v>2100</v>
      </c>
      <c r="P495" s="208">
        <v>44</v>
      </c>
      <c r="Q495" s="208">
        <v>854.35</v>
      </c>
    </row>
    <row r="496" spans="1:17">
      <c r="A496" s="218">
        <v>44196</v>
      </c>
      <c r="B496" s="208" t="s">
        <v>260</v>
      </c>
      <c r="C496" s="208" t="s">
        <v>8</v>
      </c>
      <c r="D496" s="208">
        <v>2019</v>
      </c>
      <c r="E496" s="208" t="s">
        <v>115</v>
      </c>
      <c r="F496" s="208" t="s">
        <v>95</v>
      </c>
      <c r="G496" s="208" t="s">
        <v>243</v>
      </c>
      <c r="H496" s="208">
        <v>13</v>
      </c>
      <c r="I496" s="208">
        <v>10940</v>
      </c>
      <c r="J496" s="208">
        <v>1339.45</v>
      </c>
      <c r="K496" s="208">
        <v>989</v>
      </c>
      <c r="L496" s="208">
        <v>3480.61</v>
      </c>
      <c r="M496" s="208" t="s">
        <v>244</v>
      </c>
      <c r="N496" s="208">
        <v>290</v>
      </c>
      <c r="O496" s="208">
        <v>2040</v>
      </c>
      <c r="P496" s="208">
        <v>59.13</v>
      </c>
      <c r="Q496" s="208">
        <v>1118</v>
      </c>
    </row>
    <row r="497" spans="1:17">
      <c r="A497" s="218">
        <v>44196</v>
      </c>
      <c r="B497" s="208" t="s">
        <v>260</v>
      </c>
      <c r="C497" s="208" t="s">
        <v>8</v>
      </c>
      <c r="D497" s="208">
        <v>2020</v>
      </c>
      <c r="E497" s="208" t="s">
        <v>115</v>
      </c>
      <c r="F497" s="208" t="s">
        <v>95</v>
      </c>
      <c r="G497" s="208" t="s">
        <v>243</v>
      </c>
      <c r="H497" s="208">
        <v>48</v>
      </c>
      <c r="I497" s="208">
        <v>45404.5</v>
      </c>
      <c r="J497" s="208">
        <v>6097.5999999999985</v>
      </c>
      <c r="K497" s="208">
        <v>5580</v>
      </c>
      <c r="L497" s="208">
        <v>16369.150000000001</v>
      </c>
      <c r="M497" s="208" t="s">
        <v>244</v>
      </c>
      <c r="N497" s="208">
        <v>350</v>
      </c>
      <c r="O497" s="208">
        <v>2100</v>
      </c>
      <c r="P497" s="208">
        <v>44</v>
      </c>
      <c r="Q497" s="208">
        <v>854.35</v>
      </c>
    </row>
    <row r="498" spans="1:17">
      <c r="A498" s="218">
        <v>44196</v>
      </c>
      <c r="B498" s="208" t="s">
        <v>37</v>
      </c>
      <c r="C498" s="208" t="s">
        <v>8</v>
      </c>
      <c r="D498" s="208">
        <v>2019</v>
      </c>
      <c r="E498" s="208" t="s">
        <v>115</v>
      </c>
      <c r="F498" s="208" t="s">
        <v>95</v>
      </c>
      <c r="G498" s="208" t="s">
        <v>243</v>
      </c>
      <c r="H498" s="208">
        <v>3</v>
      </c>
      <c r="I498" s="208">
        <v>1500</v>
      </c>
      <c r="J498" s="208">
        <v>225.75</v>
      </c>
      <c r="K498" s="208">
        <v>0</v>
      </c>
      <c r="L498" s="208">
        <v>1274.25</v>
      </c>
      <c r="M498" s="208" t="s">
        <v>244</v>
      </c>
      <c r="N498" s="208">
        <v>290</v>
      </c>
      <c r="O498" s="208">
        <v>2040</v>
      </c>
      <c r="P498" s="208">
        <v>59.13</v>
      </c>
      <c r="Q498" s="208">
        <v>1118</v>
      </c>
    </row>
    <row r="499" spans="1:17">
      <c r="A499" s="218">
        <v>44196</v>
      </c>
      <c r="B499" s="208" t="s">
        <v>31</v>
      </c>
      <c r="C499" s="208" t="s">
        <v>8</v>
      </c>
      <c r="D499" s="208">
        <v>2020</v>
      </c>
      <c r="E499" s="208" t="s">
        <v>115</v>
      </c>
      <c r="F499" s="208" t="s">
        <v>95</v>
      </c>
      <c r="G499" s="208" t="s">
        <v>243</v>
      </c>
      <c r="H499" s="208">
        <v>22</v>
      </c>
      <c r="I499" s="208">
        <v>11130</v>
      </c>
      <c r="J499" s="208">
        <v>1848</v>
      </c>
      <c r="K499" s="208">
        <v>1500</v>
      </c>
      <c r="L499" s="208">
        <v>2790</v>
      </c>
      <c r="M499" s="208" t="s">
        <v>244</v>
      </c>
      <c r="N499" s="208">
        <v>350</v>
      </c>
      <c r="O499" s="208">
        <v>2100</v>
      </c>
      <c r="P499" s="208">
        <v>44</v>
      </c>
      <c r="Q499" s="208">
        <v>854.35</v>
      </c>
    </row>
    <row r="500" spans="1:17">
      <c r="A500" s="218">
        <v>44196</v>
      </c>
      <c r="B500" s="208" t="s">
        <v>225</v>
      </c>
      <c r="C500" s="208" t="s">
        <v>8</v>
      </c>
      <c r="D500" s="208">
        <v>2020</v>
      </c>
      <c r="E500" s="208" t="s">
        <v>115</v>
      </c>
      <c r="F500" s="208" t="s">
        <v>95</v>
      </c>
      <c r="G500" s="208" t="s">
        <v>243</v>
      </c>
      <c r="H500" s="208">
        <v>6</v>
      </c>
      <c r="I500" s="208">
        <v>3700</v>
      </c>
      <c r="J500" s="208">
        <v>651.65</v>
      </c>
      <c r="K500" s="208">
        <v>0</v>
      </c>
      <c r="L500" s="208">
        <v>3048.35</v>
      </c>
      <c r="M500" s="208" t="s">
        <v>244</v>
      </c>
      <c r="N500" s="208">
        <v>350</v>
      </c>
      <c r="O500" s="208">
        <v>2100</v>
      </c>
      <c r="P500" s="208">
        <v>44</v>
      </c>
      <c r="Q500" s="208">
        <v>854.35</v>
      </c>
    </row>
    <row r="501" spans="1:17">
      <c r="A501" s="218">
        <v>44196</v>
      </c>
      <c r="B501" s="208" t="s">
        <v>31</v>
      </c>
      <c r="C501" s="208" t="s">
        <v>8</v>
      </c>
      <c r="D501" s="208">
        <v>2019</v>
      </c>
      <c r="E501" s="208" t="s">
        <v>115</v>
      </c>
      <c r="F501" s="208" t="s">
        <v>95</v>
      </c>
      <c r="G501" s="208" t="s">
        <v>243</v>
      </c>
      <c r="H501" s="208">
        <v>1</v>
      </c>
      <c r="I501" s="208">
        <v>500</v>
      </c>
      <c r="J501" s="208">
        <v>75.25</v>
      </c>
      <c r="K501" s="208">
        <v>0</v>
      </c>
      <c r="L501" s="208">
        <v>215</v>
      </c>
      <c r="M501" s="208" t="s">
        <v>244</v>
      </c>
      <c r="N501" s="208">
        <v>290</v>
      </c>
      <c r="O501" s="208">
        <v>2040</v>
      </c>
      <c r="P501" s="208">
        <v>59.13</v>
      </c>
      <c r="Q501" s="208">
        <v>1118</v>
      </c>
    </row>
    <row r="502" spans="1:17">
      <c r="A502" s="218">
        <v>44196</v>
      </c>
      <c r="B502" s="208" t="s">
        <v>29</v>
      </c>
      <c r="C502" s="208" t="s">
        <v>8</v>
      </c>
      <c r="D502" s="208">
        <v>2019</v>
      </c>
      <c r="E502" s="208" t="s">
        <v>115</v>
      </c>
      <c r="F502" s="208" t="s">
        <v>95</v>
      </c>
      <c r="G502" s="208" t="s">
        <v>243</v>
      </c>
      <c r="H502" s="208">
        <v>13</v>
      </c>
      <c r="I502" s="208">
        <v>10940</v>
      </c>
      <c r="J502" s="208">
        <v>1339.45</v>
      </c>
      <c r="K502" s="208">
        <v>989</v>
      </c>
      <c r="L502" s="208">
        <v>3480.61</v>
      </c>
      <c r="M502" s="208" t="s">
        <v>244</v>
      </c>
      <c r="N502" s="208">
        <v>290</v>
      </c>
      <c r="O502" s="208">
        <v>2040</v>
      </c>
      <c r="P502" s="208">
        <v>59.13</v>
      </c>
      <c r="Q502" s="208">
        <v>1118</v>
      </c>
    </row>
    <row r="503" spans="1:17">
      <c r="A503" s="218">
        <v>44196</v>
      </c>
      <c r="B503" s="208" t="s">
        <v>29</v>
      </c>
      <c r="C503" s="208" t="s">
        <v>8</v>
      </c>
      <c r="D503" s="208">
        <v>2020</v>
      </c>
      <c r="E503" s="208" t="s">
        <v>115</v>
      </c>
      <c r="F503" s="208" t="s">
        <v>95</v>
      </c>
      <c r="G503" s="208" t="s">
        <v>243</v>
      </c>
      <c r="H503" s="208">
        <v>48</v>
      </c>
      <c r="I503" s="208">
        <v>45404.5</v>
      </c>
      <c r="J503" s="208">
        <v>6097.5999999999995</v>
      </c>
      <c r="K503" s="208">
        <v>5580</v>
      </c>
      <c r="L503" s="208">
        <v>16369.150000000001</v>
      </c>
      <c r="M503" s="208" t="s">
        <v>244</v>
      </c>
      <c r="N503" s="208">
        <v>350</v>
      </c>
      <c r="O503" s="208">
        <v>2100</v>
      </c>
      <c r="P503" s="208">
        <v>44</v>
      </c>
      <c r="Q503" s="208">
        <v>854.35</v>
      </c>
    </row>
    <row r="504" spans="1:17">
      <c r="A504" s="218">
        <v>44196</v>
      </c>
      <c r="B504" s="208" t="s">
        <v>259</v>
      </c>
      <c r="C504" s="208" t="s">
        <v>8</v>
      </c>
      <c r="D504" s="208">
        <v>2019</v>
      </c>
      <c r="E504" s="208" t="s">
        <v>115</v>
      </c>
      <c r="F504" s="208" t="s">
        <v>95</v>
      </c>
      <c r="G504" s="208" t="s">
        <v>243</v>
      </c>
      <c r="H504" s="208">
        <v>11</v>
      </c>
      <c r="I504" s="208">
        <v>8075</v>
      </c>
      <c r="J504" s="208">
        <v>1068.55</v>
      </c>
      <c r="K504" s="208">
        <v>0</v>
      </c>
      <c r="L504" s="208">
        <v>5975.25</v>
      </c>
      <c r="M504" s="208" t="s">
        <v>244</v>
      </c>
      <c r="N504" s="208">
        <v>290</v>
      </c>
      <c r="O504" s="208">
        <v>2040</v>
      </c>
      <c r="P504" s="208">
        <v>59.13</v>
      </c>
      <c r="Q504" s="208">
        <v>1118</v>
      </c>
    </row>
    <row r="505" spans="1:17">
      <c r="A505" s="218">
        <v>44196</v>
      </c>
      <c r="B505" s="208" t="s">
        <v>36</v>
      </c>
      <c r="C505" s="208" t="s">
        <v>8</v>
      </c>
      <c r="D505" s="208">
        <v>2020</v>
      </c>
      <c r="E505" s="208" t="s">
        <v>115</v>
      </c>
      <c r="F505" s="208" t="s">
        <v>95</v>
      </c>
      <c r="G505" s="208" t="s">
        <v>243</v>
      </c>
      <c r="H505" s="208">
        <v>2</v>
      </c>
      <c r="I505" s="208">
        <v>1100</v>
      </c>
      <c r="J505" s="208">
        <v>204</v>
      </c>
      <c r="K505" s="208">
        <v>0</v>
      </c>
      <c r="L505" s="208">
        <v>896</v>
      </c>
      <c r="M505" s="208" t="s">
        <v>244</v>
      </c>
      <c r="N505" s="208">
        <v>350</v>
      </c>
      <c r="O505" s="208">
        <v>2100</v>
      </c>
      <c r="P505" s="208">
        <v>44</v>
      </c>
      <c r="Q505" s="208">
        <v>854.35</v>
      </c>
    </row>
    <row r="506" spans="1:17">
      <c r="A506" s="218">
        <v>44196</v>
      </c>
      <c r="B506" s="208" t="s">
        <v>36</v>
      </c>
      <c r="C506" s="208" t="s">
        <v>8</v>
      </c>
      <c r="D506" s="208">
        <v>2019</v>
      </c>
      <c r="E506" s="208" t="s">
        <v>115</v>
      </c>
      <c r="F506" s="208" t="s">
        <v>95</v>
      </c>
      <c r="G506" s="208" t="s">
        <v>243</v>
      </c>
      <c r="H506" s="208">
        <v>11</v>
      </c>
      <c r="I506" s="208">
        <v>8075</v>
      </c>
      <c r="J506" s="208">
        <v>1068.55</v>
      </c>
      <c r="K506" s="208">
        <v>0</v>
      </c>
      <c r="L506" s="208">
        <v>5975.25</v>
      </c>
      <c r="M506" s="208" t="s">
        <v>244</v>
      </c>
      <c r="N506" s="208">
        <v>290</v>
      </c>
      <c r="O506" s="208">
        <v>2040</v>
      </c>
      <c r="P506" s="208">
        <v>59.13</v>
      </c>
      <c r="Q506" s="208">
        <v>1118</v>
      </c>
    </row>
    <row r="507" spans="1:17">
      <c r="A507" s="218">
        <v>44196</v>
      </c>
      <c r="B507" s="208" t="s">
        <v>259</v>
      </c>
      <c r="C507" s="208" t="s">
        <v>8</v>
      </c>
      <c r="D507" s="208">
        <v>2020</v>
      </c>
      <c r="E507" s="208" t="s">
        <v>115</v>
      </c>
      <c r="F507" s="208" t="s">
        <v>95</v>
      </c>
      <c r="G507" s="208" t="s">
        <v>243</v>
      </c>
      <c r="H507" s="208">
        <v>2</v>
      </c>
      <c r="I507" s="208">
        <v>1100</v>
      </c>
      <c r="J507" s="208">
        <v>204</v>
      </c>
      <c r="K507" s="208">
        <v>0</v>
      </c>
      <c r="L507" s="208">
        <v>896</v>
      </c>
      <c r="M507" s="208" t="s">
        <v>244</v>
      </c>
      <c r="N507" s="208">
        <v>350</v>
      </c>
      <c r="O507" s="208">
        <v>2100</v>
      </c>
      <c r="P507" s="208">
        <v>44</v>
      </c>
      <c r="Q507" s="208">
        <v>854.35</v>
      </c>
    </row>
    <row r="508" spans="1:17">
      <c r="A508" s="218">
        <v>44196</v>
      </c>
      <c r="B508" s="208" t="s">
        <v>38</v>
      </c>
      <c r="C508" s="208" t="s">
        <v>8</v>
      </c>
      <c r="D508" s="208">
        <v>2020</v>
      </c>
      <c r="E508" s="208" t="s">
        <v>116</v>
      </c>
      <c r="F508" s="208" t="s">
        <v>95</v>
      </c>
      <c r="G508" s="208" t="s">
        <v>243</v>
      </c>
      <c r="H508" s="208">
        <v>4</v>
      </c>
      <c r="I508" s="208">
        <v>86.31</v>
      </c>
      <c r="J508" s="208">
        <v>60.41</v>
      </c>
      <c r="K508" s="208">
        <v>0</v>
      </c>
      <c r="L508" s="208">
        <v>25.9</v>
      </c>
      <c r="M508" s="208" t="s">
        <v>244</v>
      </c>
      <c r="N508" s="208">
        <v>-1340</v>
      </c>
      <c r="O508" s="208">
        <v>2500</v>
      </c>
      <c r="P508" s="208">
        <v>-387</v>
      </c>
      <c r="Q508" s="208">
        <v>1139</v>
      </c>
    </row>
    <row r="509" spans="1:17">
      <c r="A509" s="218">
        <v>44196</v>
      </c>
      <c r="B509" s="208" t="s">
        <v>36</v>
      </c>
      <c r="C509" s="208" t="s">
        <v>8</v>
      </c>
      <c r="D509" s="208">
        <v>2020</v>
      </c>
      <c r="E509" s="208" t="s">
        <v>116</v>
      </c>
      <c r="F509" s="208" t="s">
        <v>95</v>
      </c>
      <c r="G509" s="208" t="s">
        <v>243</v>
      </c>
      <c r="H509" s="208">
        <v>64</v>
      </c>
      <c r="I509" s="208">
        <v>15460.990000000002</v>
      </c>
      <c r="J509" s="208">
        <v>3158.7799999999997</v>
      </c>
      <c r="K509" s="208">
        <v>0</v>
      </c>
      <c r="L509" s="208">
        <v>9900.2099999999991</v>
      </c>
      <c r="M509" s="208" t="s">
        <v>244</v>
      </c>
      <c r="N509" s="208">
        <v>-1340</v>
      </c>
      <c r="O509" s="208">
        <v>2500</v>
      </c>
      <c r="P509" s="208">
        <v>-387</v>
      </c>
      <c r="Q509" s="208">
        <v>1139</v>
      </c>
    </row>
    <row r="510" spans="1:17">
      <c r="A510" s="218">
        <v>44196</v>
      </c>
      <c r="B510" s="208" t="s">
        <v>35</v>
      </c>
      <c r="C510" s="208" t="s">
        <v>8</v>
      </c>
      <c r="D510" s="208">
        <v>2020</v>
      </c>
      <c r="E510" s="208" t="s">
        <v>116</v>
      </c>
      <c r="F510" s="208" t="s">
        <v>95</v>
      </c>
      <c r="G510" s="208" t="s">
        <v>243</v>
      </c>
      <c r="H510" s="208">
        <v>28</v>
      </c>
      <c r="I510" s="208">
        <v>2662.78</v>
      </c>
      <c r="J510" s="208">
        <v>1092.4699999999998</v>
      </c>
      <c r="K510" s="208">
        <v>0</v>
      </c>
      <c r="L510" s="208">
        <v>864.26999999999987</v>
      </c>
      <c r="M510" s="208" t="s">
        <v>244</v>
      </c>
      <c r="N510" s="208">
        <v>-1340</v>
      </c>
      <c r="O510" s="208">
        <v>2500</v>
      </c>
      <c r="P510" s="208">
        <v>-387</v>
      </c>
      <c r="Q510" s="208">
        <v>1139</v>
      </c>
    </row>
    <row r="511" spans="1:17">
      <c r="A511" s="218">
        <v>44196</v>
      </c>
      <c r="B511" s="208" t="s">
        <v>269</v>
      </c>
      <c r="C511" s="208" t="s">
        <v>8</v>
      </c>
      <c r="D511" s="208">
        <v>2020</v>
      </c>
      <c r="E511" s="208" t="s">
        <v>116</v>
      </c>
      <c r="F511" s="208" t="s">
        <v>95</v>
      </c>
      <c r="G511" s="208" t="s">
        <v>243</v>
      </c>
      <c r="H511" s="208">
        <v>304</v>
      </c>
      <c r="I511" s="208">
        <v>24630.609999999931</v>
      </c>
      <c r="J511" s="208">
        <v>8405.6999999999953</v>
      </c>
      <c r="K511" s="208">
        <v>0</v>
      </c>
      <c r="L511" s="208">
        <v>7519.130000000011</v>
      </c>
      <c r="M511" s="208" t="s">
        <v>244</v>
      </c>
      <c r="N511" s="208">
        <v>-1340</v>
      </c>
      <c r="O511" s="208">
        <v>2500</v>
      </c>
      <c r="P511" s="208">
        <v>-387</v>
      </c>
      <c r="Q511" s="208">
        <v>1139</v>
      </c>
    </row>
    <row r="512" spans="1:17">
      <c r="A512" s="218">
        <v>44196</v>
      </c>
      <c r="B512" s="208" t="s">
        <v>47</v>
      </c>
      <c r="C512" s="208" t="s">
        <v>8</v>
      </c>
      <c r="D512" s="208">
        <v>2020</v>
      </c>
      <c r="E512" s="208" t="s">
        <v>116</v>
      </c>
      <c r="F512" s="208" t="s">
        <v>95</v>
      </c>
      <c r="G512" s="208" t="s">
        <v>243</v>
      </c>
      <c r="H512" s="208">
        <v>470</v>
      </c>
      <c r="I512" s="208">
        <v>60727.159999999785</v>
      </c>
      <c r="J512" s="208">
        <v>15766.240000000011</v>
      </c>
      <c r="K512" s="208">
        <v>-0.01</v>
      </c>
      <c r="L512" s="208">
        <v>40728.19</v>
      </c>
      <c r="M512" s="208" t="s">
        <v>244</v>
      </c>
      <c r="N512" s="208">
        <v>-1340</v>
      </c>
      <c r="O512" s="208">
        <v>2500</v>
      </c>
      <c r="P512" s="208">
        <v>-387</v>
      </c>
      <c r="Q512" s="208">
        <v>1139</v>
      </c>
    </row>
    <row r="513" spans="1:17">
      <c r="A513" s="218">
        <v>44196</v>
      </c>
      <c r="B513" s="208" t="s">
        <v>38</v>
      </c>
      <c r="C513" s="208" t="s">
        <v>8</v>
      </c>
      <c r="D513" s="208">
        <v>2019</v>
      </c>
      <c r="E513" s="208" t="s">
        <v>116</v>
      </c>
      <c r="F513" s="208" t="s">
        <v>95</v>
      </c>
      <c r="G513" s="208" t="s">
        <v>243</v>
      </c>
      <c r="H513" s="208">
        <v>1</v>
      </c>
      <c r="I513" s="208">
        <v>550</v>
      </c>
      <c r="J513" s="208">
        <v>63</v>
      </c>
      <c r="K513" s="208">
        <v>0</v>
      </c>
      <c r="L513" s="208">
        <v>27</v>
      </c>
      <c r="M513" s="208" t="s">
        <v>244</v>
      </c>
      <c r="N513" s="208">
        <v>-1000</v>
      </c>
      <c r="O513" s="208">
        <v>2340</v>
      </c>
      <c r="P513" s="208">
        <v>-1000</v>
      </c>
      <c r="Q513" s="208">
        <v>1201.8499999999999</v>
      </c>
    </row>
    <row r="514" spans="1:17">
      <c r="A514" s="218">
        <v>44196</v>
      </c>
      <c r="B514" s="208" t="s">
        <v>266</v>
      </c>
      <c r="C514" s="208" t="s">
        <v>8</v>
      </c>
      <c r="D514" s="208">
        <v>2020</v>
      </c>
      <c r="E514" s="208" t="s">
        <v>116</v>
      </c>
      <c r="F514" s="208" t="s">
        <v>95</v>
      </c>
      <c r="G514" s="208" t="s">
        <v>243</v>
      </c>
      <c r="H514" s="208">
        <v>13</v>
      </c>
      <c r="I514" s="208">
        <v>298.52</v>
      </c>
      <c r="J514" s="208">
        <v>268.66000000000003</v>
      </c>
      <c r="K514" s="208">
        <v>0</v>
      </c>
      <c r="L514" s="208">
        <v>29.86</v>
      </c>
      <c r="M514" s="208" t="s">
        <v>244</v>
      </c>
      <c r="N514" s="208">
        <v>-1340</v>
      </c>
      <c r="O514" s="208">
        <v>2500</v>
      </c>
      <c r="P514" s="208">
        <v>-387</v>
      </c>
      <c r="Q514" s="208">
        <v>1139</v>
      </c>
    </row>
    <row r="515" spans="1:17">
      <c r="A515" s="218">
        <v>44196</v>
      </c>
      <c r="B515" s="208" t="s">
        <v>262</v>
      </c>
      <c r="C515" s="208" t="s">
        <v>8</v>
      </c>
      <c r="D515" s="208">
        <v>2020</v>
      </c>
      <c r="E515" s="208" t="s">
        <v>116</v>
      </c>
      <c r="F515" s="208" t="s">
        <v>95</v>
      </c>
      <c r="G515" s="208" t="s">
        <v>243</v>
      </c>
      <c r="H515" s="208">
        <v>315</v>
      </c>
      <c r="I515" s="208">
        <v>22279.879999999961</v>
      </c>
      <c r="J515" s="208">
        <v>7382.0999999999931</v>
      </c>
      <c r="K515" s="208">
        <v>0</v>
      </c>
      <c r="L515" s="208">
        <v>9426.0000000000146</v>
      </c>
      <c r="M515" s="208" t="s">
        <v>244</v>
      </c>
      <c r="N515" s="208">
        <v>-1340</v>
      </c>
      <c r="O515" s="208">
        <v>2500</v>
      </c>
      <c r="P515" s="208">
        <v>-387</v>
      </c>
      <c r="Q515" s="208">
        <v>1139</v>
      </c>
    </row>
    <row r="516" spans="1:17">
      <c r="A516" s="218">
        <v>44196</v>
      </c>
      <c r="B516" s="208" t="s">
        <v>270</v>
      </c>
      <c r="C516" s="208" t="s">
        <v>8</v>
      </c>
      <c r="D516" s="208">
        <v>2020</v>
      </c>
      <c r="E516" s="208" t="s">
        <v>116</v>
      </c>
      <c r="F516" s="208" t="s">
        <v>95</v>
      </c>
      <c r="G516" s="208" t="s">
        <v>243</v>
      </c>
      <c r="H516" s="208">
        <v>17</v>
      </c>
      <c r="I516" s="208">
        <v>698.52</v>
      </c>
      <c r="J516" s="208">
        <v>488.98000000000008</v>
      </c>
      <c r="K516" s="208">
        <v>0</v>
      </c>
      <c r="L516" s="208">
        <v>209.54000000000002</v>
      </c>
      <c r="M516" s="208" t="s">
        <v>244</v>
      </c>
      <c r="N516" s="208">
        <v>-1340</v>
      </c>
      <c r="O516" s="208">
        <v>2500</v>
      </c>
      <c r="P516" s="208">
        <v>-387</v>
      </c>
      <c r="Q516" s="208">
        <v>1139</v>
      </c>
    </row>
    <row r="517" spans="1:17">
      <c r="A517" s="218">
        <v>44196</v>
      </c>
      <c r="B517" s="208" t="s">
        <v>41</v>
      </c>
      <c r="C517" s="208" t="s">
        <v>8</v>
      </c>
      <c r="D517" s="208">
        <v>2020</v>
      </c>
      <c r="E517" s="208" t="s">
        <v>116</v>
      </c>
      <c r="F517" s="208" t="s">
        <v>95</v>
      </c>
      <c r="G517" s="208" t="s">
        <v>243</v>
      </c>
      <c r="H517" s="208">
        <v>248</v>
      </c>
      <c r="I517" s="208">
        <v>20072.329999999965</v>
      </c>
      <c r="J517" s="208">
        <v>6299.4599999999946</v>
      </c>
      <c r="K517" s="208">
        <v>0</v>
      </c>
      <c r="L517" s="208">
        <v>7529.670000000011</v>
      </c>
      <c r="M517" s="208" t="s">
        <v>244</v>
      </c>
      <c r="N517" s="208">
        <v>-1340</v>
      </c>
      <c r="O517" s="208">
        <v>2500</v>
      </c>
      <c r="P517" s="208">
        <v>-387</v>
      </c>
      <c r="Q517" s="208">
        <v>1139</v>
      </c>
    </row>
    <row r="518" spans="1:17">
      <c r="A518" s="218">
        <v>44196</v>
      </c>
      <c r="B518" s="208" t="s">
        <v>260</v>
      </c>
      <c r="C518" s="208" t="s">
        <v>8</v>
      </c>
      <c r="D518" s="208">
        <v>2020</v>
      </c>
      <c r="E518" s="208" t="s">
        <v>116</v>
      </c>
      <c r="F518" s="208" t="s">
        <v>95</v>
      </c>
      <c r="G518" s="208" t="s">
        <v>243</v>
      </c>
      <c r="H518" s="208">
        <v>163</v>
      </c>
      <c r="I518" s="208">
        <v>39143.139999999963</v>
      </c>
      <c r="J518" s="208">
        <v>8033.2099999999982</v>
      </c>
      <c r="K518" s="208">
        <v>3855</v>
      </c>
      <c r="L518" s="208">
        <v>18446.400000000005</v>
      </c>
      <c r="M518" s="208" t="s">
        <v>244</v>
      </c>
      <c r="N518" s="208">
        <v>-1340</v>
      </c>
      <c r="O518" s="208">
        <v>2500</v>
      </c>
      <c r="P518" s="208">
        <v>-387</v>
      </c>
      <c r="Q518" s="208">
        <v>1139</v>
      </c>
    </row>
    <row r="519" spans="1:17">
      <c r="A519" s="218">
        <v>44196</v>
      </c>
      <c r="B519" s="208" t="s">
        <v>225</v>
      </c>
      <c r="C519" s="208" t="s">
        <v>8</v>
      </c>
      <c r="D519" s="208">
        <v>2019</v>
      </c>
      <c r="E519" s="208" t="s">
        <v>116</v>
      </c>
      <c r="F519" s="208" t="s">
        <v>95</v>
      </c>
      <c r="G519" s="208" t="s">
        <v>243</v>
      </c>
      <c r="H519" s="208">
        <v>98</v>
      </c>
      <c r="I519" s="208">
        <v>40774.57</v>
      </c>
      <c r="J519" s="208">
        <v>6305.09</v>
      </c>
      <c r="K519" s="208">
        <v>102.43</v>
      </c>
      <c r="L519" s="208">
        <v>30376.329999999994</v>
      </c>
      <c r="M519" s="208" t="s">
        <v>244</v>
      </c>
      <c r="N519" s="208">
        <v>-1000</v>
      </c>
      <c r="O519" s="208">
        <v>2340</v>
      </c>
      <c r="P519" s="208">
        <v>-1000</v>
      </c>
      <c r="Q519" s="208">
        <v>1201.8499999999999</v>
      </c>
    </row>
    <row r="520" spans="1:17">
      <c r="A520" s="218">
        <v>44196</v>
      </c>
      <c r="B520" s="208" t="s">
        <v>263</v>
      </c>
      <c r="C520" s="208" t="s">
        <v>8</v>
      </c>
      <c r="D520" s="208">
        <v>2019</v>
      </c>
      <c r="E520" s="208" t="s">
        <v>116</v>
      </c>
      <c r="F520" s="208" t="s">
        <v>95</v>
      </c>
      <c r="G520" s="208" t="s">
        <v>243</v>
      </c>
      <c r="H520" s="208">
        <v>395</v>
      </c>
      <c r="I520" s="208">
        <v>60632.94999999991</v>
      </c>
      <c r="J520" s="208">
        <v>11044.020000000008</v>
      </c>
      <c r="K520" s="208">
        <v>0</v>
      </c>
      <c r="L520" s="208">
        <v>35550.499999999985</v>
      </c>
      <c r="M520" s="208" t="s">
        <v>244</v>
      </c>
      <c r="N520" s="208">
        <v>-1000</v>
      </c>
      <c r="O520" s="208">
        <v>2340</v>
      </c>
      <c r="P520" s="208">
        <v>-1000</v>
      </c>
      <c r="Q520" s="208">
        <v>1201.8499999999999</v>
      </c>
    </row>
    <row r="521" spans="1:17">
      <c r="A521" s="218">
        <v>44196</v>
      </c>
      <c r="B521" s="208" t="s">
        <v>35</v>
      </c>
      <c r="C521" s="208" t="s">
        <v>8</v>
      </c>
      <c r="D521" s="208">
        <v>2019</v>
      </c>
      <c r="E521" s="208" t="s">
        <v>116</v>
      </c>
      <c r="F521" s="208" t="s">
        <v>95</v>
      </c>
      <c r="G521" s="208" t="s">
        <v>243</v>
      </c>
      <c r="H521" s="208">
        <v>5</v>
      </c>
      <c r="I521" s="208">
        <v>2277</v>
      </c>
      <c r="J521" s="208">
        <v>281.39999999999998</v>
      </c>
      <c r="K521" s="208">
        <v>1161</v>
      </c>
      <c r="L521" s="208">
        <v>429.6</v>
      </c>
      <c r="M521" s="208" t="s">
        <v>244</v>
      </c>
      <c r="N521" s="208">
        <v>-1000</v>
      </c>
      <c r="O521" s="208">
        <v>2340</v>
      </c>
      <c r="P521" s="208">
        <v>-1000</v>
      </c>
      <c r="Q521" s="208">
        <v>1201.8499999999999</v>
      </c>
    </row>
    <row r="522" spans="1:17">
      <c r="A522" s="218">
        <v>44196</v>
      </c>
      <c r="B522" s="208" t="s">
        <v>260</v>
      </c>
      <c r="C522" s="208" t="s">
        <v>8</v>
      </c>
      <c r="D522" s="208">
        <v>2019</v>
      </c>
      <c r="E522" s="208" t="s">
        <v>116</v>
      </c>
      <c r="F522" s="208" t="s">
        <v>95</v>
      </c>
      <c r="G522" s="208" t="s">
        <v>243</v>
      </c>
      <c r="H522" s="208">
        <v>275</v>
      </c>
      <c r="I522" s="208">
        <v>95486.64</v>
      </c>
      <c r="J522" s="208">
        <v>16821.410000000007</v>
      </c>
      <c r="K522" s="208">
        <v>9414.43</v>
      </c>
      <c r="L522" s="208">
        <v>39253.9</v>
      </c>
      <c r="M522" s="208" t="s">
        <v>244</v>
      </c>
      <c r="N522" s="208">
        <v>-1000</v>
      </c>
      <c r="O522" s="208">
        <v>2340</v>
      </c>
      <c r="P522" s="208">
        <v>-1000</v>
      </c>
      <c r="Q522" s="208">
        <v>1201.8499999999999</v>
      </c>
    </row>
    <row r="523" spans="1:17">
      <c r="A523" s="218">
        <v>44196</v>
      </c>
      <c r="B523" s="208" t="s">
        <v>261</v>
      </c>
      <c r="C523" s="208" t="s">
        <v>8</v>
      </c>
      <c r="D523" s="208">
        <v>2019</v>
      </c>
      <c r="E523" s="208" t="s">
        <v>116</v>
      </c>
      <c r="F523" s="208" t="s">
        <v>95</v>
      </c>
      <c r="G523" s="208" t="s">
        <v>243</v>
      </c>
      <c r="H523" s="208">
        <v>5</v>
      </c>
      <c r="I523" s="208">
        <v>2277</v>
      </c>
      <c r="J523" s="208">
        <v>281.39999999999998</v>
      </c>
      <c r="K523" s="208">
        <v>1161</v>
      </c>
      <c r="L523" s="208">
        <v>429.6</v>
      </c>
      <c r="M523" s="208" t="s">
        <v>244</v>
      </c>
      <c r="N523" s="208">
        <v>-1000</v>
      </c>
      <c r="O523" s="208">
        <v>2340</v>
      </c>
      <c r="P523" s="208">
        <v>-1000</v>
      </c>
      <c r="Q523" s="208">
        <v>1201.8499999999999</v>
      </c>
    </row>
    <row r="524" spans="1:17">
      <c r="A524" s="218">
        <v>44196</v>
      </c>
      <c r="B524" s="208" t="s">
        <v>42</v>
      </c>
      <c r="C524" s="208" t="s">
        <v>8</v>
      </c>
      <c r="D524" s="208">
        <v>2020</v>
      </c>
      <c r="E524" s="208" t="s">
        <v>116</v>
      </c>
      <c r="F524" s="208" t="s">
        <v>95</v>
      </c>
      <c r="G524" s="208" t="s">
        <v>243</v>
      </c>
      <c r="H524" s="208">
        <v>13</v>
      </c>
      <c r="I524" s="208">
        <v>298.52</v>
      </c>
      <c r="J524" s="208">
        <v>268.66000000000003</v>
      </c>
      <c r="K524" s="208">
        <v>0</v>
      </c>
      <c r="L524" s="208">
        <v>29.86</v>
      </c>
      <c r="M524" s="208" t="s">
        <v>244</v>
      </c>
      <c r="N524" s="208">
        <v>-1340</v>
      </c>
      <c r="O524" s="208">
        <v>2500</v>
      </c>
      <c r="P524" s="208">
        <v>-387</v>
      </c>
      <c r="Q524" s="208">
        <v>1139</v>
      </c>
    </row>
    <row r="525" spans="1:17">
      <c r="A525" s="218">
        <v>44196</v>
      </c>
      <c r="B525" s="208" t="s">
        <v>46</v>
      </c>
      <c r="C525" s="208" t="s">
        <v>8</v>
      </c>
      <c r="D525" s="208">
        <v>2020</v>
      </c>
      <c r="E525" s="208" t="s">
        <v>116</v>
      </c>
      <c r="F525" s="208" t="s">
        <v>95</v>
      </c>
      <c r="G525" s="208" t="s">
        <v>243</v>
      </c>
      <c r="H525" s="208">
        <v>6</v>
      </c>
      <c r="I525" s="208">
        <v>1484.8000000000002</v>
      </c>
      <c r="J525" s="208">
        <v>463.32000000000005</v>
      </c>
      <c r="K525" s="208">
        <v>0</v>
      </c>
      <c r="L525" s="208">
        <v>1008.48</v>
      </c>
      <c r="M525" s="208" t="s">
        <v>244</v>
      </c>
      <c r="N525" s="208">
        <v>-1340</v>
      </c>
      <c r="O525" s="208">
        <v>2500</v>
      </c>
      <c r="P525" s="208">
        <v>-387</v>
      </c>
      <c r="Q525" s="208">
        <v>1139</v>
      </c>
    </row>
    <row r="526" spans="1:17">
      <c r="A526" s="218">
        <v>44196</v>
      </c>
      <c r="B526" s="208" t="s">
        <v>31</v>
      </c>
      <c r="C526" s="208" t="s">
        <v>8</v>
      </c>
      <c r="D526" s="208">
        <v>2019</v>
      </c>
      <c r="E526" s="208" t="s">
        <v>116</v>
      </c>
      <c r="F526" s="208" t="s">
        <v>95</v>
      </c>
      <c r="G526" s="208" t="s">
        <v>243</v>
      </c>
      <c r="H526" s="208">
        <v>139</v>
      </c>
      <c r="I526" s="208">
        <v>48225.259999999987</v>
      </c>
      <c r="J526" s="208">
        <v>8509</v>
      </c>
      <c r="K526" s="208">
        <v>4790.6900000000005</v>
      </c>
      <c r="L526" s="208">
        <v>11728.340000000002</v>
      </c>
      <c r="M526" s="208" t="s">
        <v>244</v>
      </c>
      <c r="N526" s="208">
        <v>-1000</v>
      </c>
      <c r="O526" s="208">
        <v>2340</v>
      </c>
      <c r="P526" s="208">
        <v>-1000</v>
      </c>
      <c r="Q526" s="208">
        <v>1201.8499999999999</v>
      </c>
    </row>
    <row r="527" spans="1:17">
      <c r="A527" s="218">
        <v>44196</v>
      </c>
      <c r="B527" s="208" t="s">
        <v>225</v>
      </c>
      <c r="C527" s="208" t="s">
        <v>8</v>
      </c>
      <c r="D527" s="208">
        <v>2020</v>
      </c>
      <c r="E527" s="208" t="s">
        <v>116</v>
      </c>
      <c r="F527" s="208" t="s">
        <v>95</v>
      </c>
      <c r="G527" s="208" t="s">
        <v>243</v>
      </c>
      <c r="H527" s="208">
        <v>42</v>
      </c>
      <c r="I527" s="208">
        <v>15025</v>
      </c>
      <c r="J527" s="208">
        <v>2492</v>
      </c>
      <c r="K527" s="208">
        <v>0</v>
      </c>
      <c r="L527" s="208">
        <v>12533</v>
      </c>
      <c r="M527" s="208" t="s">
        <v>244</v>
      </c>
      <c r="N527" s="208">
        <v>-1340</v>
      </c>
      <c r="O527" s="208">
        <v>2500</v>
      </c>
      <c r="P527" s="208">
        <v>-387</v>
      </c>
      <c r="Q527" s="208">
        <v>1139</v>
      </c>
    </row>
    <row r="528" spans="1:17">
      <c r="A528" s="218">
        <v>44196</v>
      </c>
      <c r="B528" s="208" t="s">
        <v>36</v>
      </c>
      <c r="C528" s="208" t="s">
        <v>8</v>
      </c>
      <c r="D528" s="208">
        <v>2019</v>
      </c>
      <c r="E528" s="208" t="s">
        <v>116</v>
      </c>
      <c r="F528" s="208" t="s">
        <v>95</v>
      </c>
      <c r="G528" s="208" t="s">
        <v>243</v>
      </c>
      <c r="H528" s="208">
        <v>146</v>
      </c>
      <c r="I528" s="208">
        <v>52894.83</v>
      </c>
      <c r="J528" s="208">
        <v>8198.2199999999993</v>
      </c>
      <c r="K528" s="208">
        <v>0</v>
      </c>
      <c r="L528" s="208">
        <v>40285.55000000001</v>
      </c>
      <c r="M528" s="208" t="s">
        <v>244</v>
      </c>
      <c r="N528" s="208">
        <v>-1000</v>
      </c>
      <c r="O528" s="208">
        <v>2340</v>
      </c>
      <c r="P528" s="208">
        <v>-1000</v>
      </c>
      <c r="Q528" s="208">
        <v>1201.8499999999999</v>
      </c>
    </row>
    <row r="529" spans="1:17">
      <c r="A529" s="218">
        <v>44196</v>
      </c>
      <c r="B529" s="208" t="s">
        <v>33</v>
      </c>
      <c r="C529" s="208" t="s">
        <v>8</v>
      </c>
      <c r="D529" s="208">
        <v>2020</v>
      </c>
      <c r="E529" s="208" t="s">
        <v>116</v>
      </c>
      <c r="F529" s="208" t="s">
        <v>95</v>
      </c>
      <c r="G529" s="208" t="s">
        <v>243</v>
      </c>
      <c r="H529" s="208">
        <v>445</v>
      </c>
      <c r="I529" s="208">
        <v>81515.66999999994</v>
      </c>
      <c r="J529" s="208">
        <v>13996.840000000013</v>
      </c>
      <c r="K529" s="208">
        <v>0</v>
      </c>
      <c r="L529" s="208">
        <v>39533.139999999941</v>
      </c>
      <c r="M529" s="208" t="s">
        <v>244</v>
      </c>
      <c r="N529" s="208">
        <v>-1340</v>
      </c>
      <c r="O529" s="208">
        <v>2500</v>
      </c>
      <c r="P529" s="208">
        <v>-387</v>
      </c>
      <c r="Q529" s="208">
        <v>1139</v>
      </c>
    </row>
    <row r="530" spans="1:17">
      <c r="A530" s="218">
        <v>44196</v>
      </c>
      <c r="B530" s="208" t="s">
        <v>41</v>
      </c>
      <c r="C530" s="208" t="s">
        <v>8</v>
      </c>
      <c r="D530" s="208">
        <v>2019</v>
      </c>
      <c r="E530" s="208" t="s">
        <v>116</v>
      </c>
      <c r="F530" s="208" t="s">
        <v>95</v>
      </c>
      <c r="G530" s="208" t="s">
        <v>243</v>
      </c>
      <c r="H530" s="208">
        <v>235</v>
      </c>
      <c r="I530" s="208">
        <v>30577.329999999918</v>
      </c>
      <c r="J530" s="208">
        <v>7212.5499999999911</v>
      </c>
      <c r="K530" s="208">
        <v>0</v>
      </c>
      <c r="L530" s="208">
        <v>9919.260000000013</v>
      </c>
      <c r="M530" s="208" t="s">
        <v>244</v>
      </c>
      <c r="N530" s="208">
        <v>-1000</v>
      </c>
      <c r="O530" s="208">
        <v>2340</v>
      </c>
      <c r="P530" s="208">
        <v>-1000</v>
      </c>
      <c r="Q530" s="208">
        <v>1201.8499999999999</v>
      </c>
    </row>
    <row r="531" spans="1:17">
      <c r="A531" s="218">
        <v>44196</v>
      </c>
      <c r="B531" s="208" t="s">
        <v>29</v>
      </c>
      <c r="C531" s="208" t="s">
        <v>8</v>
      </c>
      <c r="D531" s="208">
        <v>2019</v>
      </c>
      <c r="E531" s="208" t="s">
        <v>116</v>
      </c>
      <c r="F531" s="208" t="s">
        <v>95</v>
      </c>
      <c r="G531" s="208" t="s">
        <v>243</v>
      </c>
      <c r="H531" s="208">
        <v>275</v>
      </c>
      <c r="I531" s="208">
        <v>95486.64</v>
      </c>
      <c r="J531" s="208">
        <v>16821.410000000011</v>
      </c>
      <c r="K531" s="208">
        <v>9414.43</v>
      </c>
      <c r="L531" s="208">
        <v>39253.899999999994</v>
      </c>
      <c r="M531" s="208" t="s">
        <v>244</v>
      </c>
      <c r="N531" s="208">
        <v>-1000</v>
      </c>
      <c r="O531" s="208">
        <v>2340</v>
      </c>
      <c r="P531" s="208">
        <v>-1000</v>
      </c>
      <c r="Q531" s="208">
        <v>1201.8499999999999</v>
      </c>
    </row>
    <row r="532" spans="1:17">
      <c r="A532" s="218">
        <v>44196</v>
      </c>
      <c r="B532" s="208" t="s">
        <v>259</v>
      </c>
      <c r="C532" s="208" t="s">
        <v>8</v>
      </c>
      <c r="D532" s="208">
        <v>2019</v>
      </c>
      <c r="E532" s="208" t="s">
        <v>116</v>
      </c>
      <c r="F532" s="208" t="s">
        <v>95</v>
      </c>
      <c r="G532" s="208" t="s">
        <v>243</v>
      </c>
      <c r="H532" s="208">
        <v>146</v>
      </c>
      <c r="I532" s="208">
        <v>52894.83</v>
      </c>
      <c r="J532" s="208">
        <v>8198.2199999999993</v>
      </c>
      <c r="K532" s="208">
        <v>0</v>
      </c>
      <c r="L532" s="208">
        <v>40285.549999999996</v>
      </c>
      <c r="M532" s="208" t="s">
        <v>244</v>
      </c>
      <c r="N532" s="208">
        <v>-1000</v>
      </c>
      <c r="O532" s="208">
        <v>2340</v>
      </c>
      <c r="P532" s="208">
        <v>-1000</v>
      </c>
      <c r="Q532" s="208">
        <v>1201.8499999999999</v>
      </c>
    </row>
    <row r="533" spans="1:17">
      <c r="A533" s="218">
        <v>44196</v>
      </c>
      <c r="B533" s="208" t="s">
        <v>268</v>
      </c>
      <c r="C533" s="208" t="s">
        <v>8</v>
      </c>
      <c r="D533" s="208">
        <v>2020</v>
      </c>
      <c r="E533" s="208" t="s">
        <v>116</v>
      </c>
      <c r="F533" s="208" t="s">
        <v>95</v>
      </c>
      <c r="G533" s="208" t="s">
        <v>243</v>
      </c>
      <c r="H533" s="208">
        <v>470</v>
      </c>
      <c r="I533" s="208">
        <v>60727.159999999756</v>
      </c>
      <c r="J533" s="208">
        <v>15766.240000000009</v>
      </c>
      <c r="K533" s="208">
        <v>-0.01</v>
      </c>
      <c r="L533" s="208">
        <v>40728.189999999944</v>
      </c>
      <c r="M533" s="208" t="s">
        <v>244</v>
      </c>
      <c r="N533" s="208">
        <v>-1340</v>
      </c>
      <c r="O533" s="208">
        <v>2500</v>
      </c>
      <c r="P533" s="208">
        <v>-387</v>
      </c>
      <c r="Q533" s="208">
        <v>1139</v>
      </c>
    </row>
    <row r="534" spans="1:17">
      <c r="A534" s="218">
        <v>44196</v>
      </c>
      <c r="B534" s="208" t="s">
        <v>261</v>
      </c>
      <c r="C534" s="208" t="s">
        <v>8</v>
      </c>
      <c r="D534" s="208">
        <v>2020</v>
      </c>
      <c r="E534" s="208" t="s">
        <v>116</v>
      </c>
      <c r="F534" s="208" t="s">
        <v>95</v>
      </c>
      <c r="G534" s="208" t="s">
        <v>243</v>
      </c>
      <c r="H534" s="208">
        <v>28</v>
      </c>
      <c r="I534" s="208">
        <v>2662.7800000000007</v>
      </c>
      <c r="J534" s="208">
        <v>1092.4699999999996</v>
      </c>
      <c r="K534" s="208">
        <v>0</v>
      </c>
      <c r="L534" s="208">
        <v>864.26999999999964</v>
      </c>
      <c r="M534" s="208" t="s">
        <v>244</v>
      </c>
      <c r="N534" s="208">
        <v>-1340</v>
      </c>
      <c r="O534" s="208">
        <v>2500</v>
      </c>
      <c r="P534" s="208">
        <v>-387</v>
      </c>
      <c r="Q534" s="208">
        <v>1139</v>
      </c>
    </row>
    <row r="535" spans="1:17">
      <c r="A535" s="218">
        <v>44196</v>
      </c>
      <c r="B535" s="208" t="s">
        <v>31</v>
      </c>
      <c r="C535" s="208" t="s">
        <v>8</v>
      </c>
      <c r="D535" s="208">
        <v>2020</v>
      </c>
      <c r="E535" s="208" t="s">
        <v>116</v>
      </c>
      <c r="F535" s="208" t="s">
        <v>95</v>
      </c>
      <c r="G535" s="208" t="s">
        <v>243</v>
      </c>
      <c r="H535" s="208">
        <v>148</v>
      </c>
      <c r="I535" s="208">
        <v>20703.26999999999</v>
      </c>
      <c r="J535" s="208">
        <v>5303.6599999999989</v>
      </c>
      <c r="K535" s="208">
        <v>1605</v>
      </c>
      <c r="L535" s="208">
        <v>6830.5300000000016</v>
      </c>
      <c r="M535" s="208" t="s">
        <v>244</v>
      </c>
      <c r="N535" s="208">
        <v>-1340</v>
      </c>
      <c r="O535" s="208">
        <v>2500</v>
      </c>
      <c r="P535" s="208">
        <v>-387</v>
      </c>
      <c r="Q535" s="208">
        <v>1139</v>
      </c>
    </row>
    <row r="536" spans="1:17">
      <c r="A536" s="218">
        <v>44196</v>
      </c>
      <c r="B536" s="208" t="s">
        <v>271</v>
      </c>
      <c r="C536" s="208" t="s">
        <v>8</v>
      </c>
      <c r="D536" s="208">
        <v>2019</v>
      </c>
      <c r="E536" s="208" t="s">
        <v>116</v>
      </c>
      <c r="F536" s="208" t="s">
        <v>95</v>
      </c>
      <c r="G536" s="208" t="s">
        <v>243</v>
      </c>
      <c r="H536" s="208">
        <v>1</v>
      </c>
      <c r="I536" s="208">
        <v>550</v>
      </c>
      <c r="J536" s="208">
        <v>63</v>
      </c>
      <c r="K536" s="208">
        <v>0</v>
      </c>
      <c r="L536" s="208">
        <v>27</v>
      </c>
      <c r="M536" s="208" t="s">
        <v>244</v>
      </c>
      <c r="N536" s="208">
        <v>-1000</v>
      </c>
      <c r="O536" s="208">
        <v>2340</v>
      </c>
      <c r="P536" s="208">
        <v>-1000</v>
      </c>
      <c r="Q536" s="208">
        <v>1201.8499999999999</v>
      </c>
    </row>
    <row r="537" spans="1:17">
      <c r="A537" s="218">
        <v>44196</v>
      </c>
      <c r="B537" s="208" t="s">
        <v>265</v>
      </c>
      <c r="C537" s="208" t="s">
        <v>8</v>
      </c>
      <c r="D537" s="208">
        <v>2019</v>
      </c>
      <c r="E537" s="208" t="s">
        <v>116</v>
      </c>
      <c r="F537" s="208" t="s">
        <v>95</v>
      </c>
      <c r="G537" s="208" t="s">
        <v>243</v>
      </c>
      <c r="H537" s="208">
        <v>6</v>
      </c>
      <c r="I537" s="208">
        <v>271.42</v>
      </c>
      <c r="J537" s="208">
        <v>215.05999999999997</v>
      </c>
      <c r="K537" s="208">
        <v>0</v>
      </c>
      <c r="L537" s="208">
        <v>56.36</v>
      </c>
      <c r="M537" s="208" t="s">
        <v>244</v>
      </c>
      <c r="N537" s="208">
        <v>-1000</v>
      </c>
      <c r="O537" s="208">
        <v>2340</v>
      </c>
      <c r="P537" s="208">
        <v>-1000</v>
      </c>
      <c r="Q537" s="208">
        <v>1201.8499999999999</v>
      </c>
    </row>
    <row r="538" spans="1:17">
      <c r="A538" s="218">
        <v>44196</v>
      </c>
      <c r="B538" s="208" t="s">
        <v>29</v>
      </c>
      <c r="C538" s="208" t="s">
        <v>8</v>
      </c>
      <c r="D538" s="208">
        <v>2020</v>
      </c>
      <c r="E538" s="208" t="s">
        <v>116</v>
      </c>
      <c r="F538" s="208" t="s">
        <v>95</v>
      </c>
      <c r="G538" s="208" t="s">
        <v>243</v>
      </c>
      <c r="H538" s="208">
        <v>163</v>
      </c>
      <c r="I538" s="208">
        <v>39143.139999999985</v>
      </c>
      <c r="J538" s="208">
        <v>8033.2099999999991</v>
      </c>
      <c r="K538" s="208">
        <v>3855</v>
      </c>
      <c r="L538" s="208">
        <v>18446.400000000009</v>
      </c>
      <c r="M538" s="208" t="s">
        <v>244</v>
      </c>
      <c r="N538" s="208">
        <v>-1340</v>
      </c>
      <c r="O538" s="208">
        <v>2500</v>
      </c>
      <c r="P538" s="208">
        <v>-387</v>
      </c>
      <c r="Q538" s="208">
        <v>1139</v>
      </c>
    </row>
    <row r="539" spans="1:17">
      <c r="A539" s="218">
        <v>44196</v>
      </c>
      <c r="B539" s="208" t="s">
        <v>265</v>
      </c>
      <c r="C539" s="208" t="s">
        <v>8</v>
      </c>
      <c r="D539" s="208">
        <v>2020</v>
      </c>
      <c r="E539" s="208" t="s">
        <v>116</v>
      </c>
      <c r="F539" s="208" t="s">
        <v>95</v>
      </c>
      <c r="G539" s="208" t="s">
        <v>243</v>
      </c>
      <c r="H539" s="208">
        <v>6</v>
      </c>
      <c r="I539" s="208">
        <v>1484.8000000000002</v>
      </c>
      <c r="J539" s="208">
        <v>463.32000000000005</v>
      </c>
      <c r="K539" s="208">
        <v>0</v>
      </c>
      <c r="L539" s="208">
        <v>1008.48</v>
      </c>
      <c r="M539" s="208" t="s">
        <v>244</v>
      </c>
      <c r="N539" s="208">
        <v>-1340</v>
      </c>
      <c r="O539" s="208">
        <v>2500</v>
      </c>
      <c r="P539" s="208">
        <v>-387</v>
      </c>
      <c r="Q539" s="208">
        <v>1139</v>
      </c>
    </row>
    <row r="540" spans="1:17">
      <c r="A540" s="218">
        <v>44196</v>
      </c>
      <c r="B540" s="208" t="s">
        <v>259</v>
      </c>
      <c r="C540" s="208" t="s">
        <v>8</v>
      </c>
      <c r="D540" s="208">
        <v>2020</v>
      </c>
      <c r="E540" s="208" t="s">
        <v>116</v>
      </c>
      <c r="F540" s="208" t="s">
        <v>95</v>
      </c>
      <c r="G540" s="208" t="s">
        <v>243</v>
      </c>
      <c r="H540" s="208">
        <v>64</v>
      </c>
      <c r="I540" s="208">
        <v>15460.990000000002</v>
      </c>
      <c r="J540" s="208">
        <v>3158.7799999999997</v>
      </c>
      <c r="K540" s="208">
        <v>0</v>
      </c>
      <c r="L540" s="208">
        <v>9900.2100000000028</v>
      </c>
      <c r="M540" s="208" t="s">
        <v>244</v>
      </c>
      <c r="N540" s="208">
        <v>-1340</v>
      </c>
      <c r="O540" s="208">
        <v>2500</v>
      </c>
      <c r="P540" s="208">
        <v>-387</v>
      </c>
      <c r="Q540" s="208">
        <v>1139</v>
      </c>
    </row>
    <row r="541" spans="1:17">
      <c r="A541" s="218">
        <v>44196</v>
      </c>
      <c r="B541" s="208" t="s">
        <v>37</v>
      </c>
      <c r="C541" s="208" t="s">
        <v>8</v>
      </c>
      <c r="D541" s="208">
        <v>2020</v>
      </c>
      <c r="E541" s="208" t="s">
        <v>116</v>
      </c>
      <c r="F541" s="208" t="s">
        <v>95</v>
      </c>
      <c r="G541" s="208" t="s">
        <v>243</v>
      </c>
      <c r="H541" s="208">
        <v>42</v>
      </c>
      <c r="I541" s="208">
        <v>15025</v>
      </c>
      <c r="J541" s="208">
        <v>2492</v>
      </c>
      <c r="K541" s="208">
        <v>0</v>
      </c>
      <c r="L541" s="208">
        <v>12533</v>
      </c>
      <c r="M541" s="208" t="s">
        <v>244</v>
      </c>
      <c r="N541" s="208">
        <v>-1340</v>
      </c>
      <c r="O541" s="208">
        <v>2500</v>
      </c>
      <c r="P541" s="208">
        <v>-387</v>
      </c>
      <c r="Q541" s="208">
        <v>1139</v>
      </c>
    </row>
    <row r="542" spans="1:17">
      <c r="A542" s="218">
        <v>44196</v>
      </c>
      <c r="B542" s="208" t="s">
        <v>268</v>
      </c>
      <c r="C542" s="208" t="s">
        <v>8</v>
      </c>
      <c r="D542" s="208">
        <v>2019</v>
      </c>
      <c r="E542" s="208" t="s">
        <v>116</v>
      </c>
      <c r="F542" s="208" t="s">
        <v>95</v>
      </c>
      <c r="G542" s="208" t="s">
        <v>243</v>
      </c>
      <c r="H542" s="208">
        <v>309</v>
      </c>
      <c r="I542" s="208">
        <v>48876.409999999887</v>
      </c>
      <c r="J542" s="208">
        <v>9575.8799999999919</v>
      </c>
      <c r="K542" s="208">
        <v>0</v>
      </c>
      <c r="L542" s="208">
        <v>34556.490000000013</v>
      </c>
      <c r="M542" s="208" t="s">
        <v>244</v>
      </c>
      <c r="N542" s="208">
        <v>-1000</v>
      </c>
      <c r="O542" s="208">
        <v>2340</v>
      </c>
      <c r="P542" s="208">
        <v>-1000</v>
      </c>
      <c r="Q542" s="208">
        <v>1201.8499999999999</v>
      </c>
    </row>
    <row r="543" spans="1:17">
      <c r="A543" s="218">
        <v>44196</v>
      </c>
      <c r="B543" s="208" t="s">
        <v>46</v>
      </c>
      <c r="C543" s="208" t="s">
        <v>8</v>
      </c>
      <c r="D543" s="208">
        <v>2019</v>
      </c>
      <c r="E543" s="208" t="s">
        <v>116</v>
      </c>
      <c r="F543" s="208" t="s">
        <v>95</v>
      </c>
      <c r="G543" s="208" t="s">
        <v>243</v>
      </c>
      <c r="H543" s="208">
        <v>6</v>
      </c>
      <c r="I543" s="208">
        <v>271.42</v>
      </c>
      <c r="J543" s="208">
        <v>215.05999999999997</v>
      </c>
      <c r="K543" s="208">
        <v>0</v>
      </c>
      <c r="L543" s="208">
        <v>56.36</v>
      </c>
      <c r="M543" s="208" t="s">
        <v>244</v>
      </c>
      <c r="N543" s="208">
        <v>-1000</v>
      </c>
      <c r="O543" s="208">
        <v>2340</v>
      </c>
      <c r="P543" s="208">
        <v>-1000</v>
      </c>
      <c r="Q543" s="208">
        <v>1201.8499999999999</v>
      </c>
    </row>
    <row r="544" spans="1:17">
      <c r="A544" s="218">
        <v>44196</v>
      </c>
      <c r="B544" s="208" t="s">
        <v>271</v>
      </c>
      <c r="C544" s="208" t="s">
        <v>8</v>
      </c>
      <c r="D544" s="208">
        <v>2020</v>
      </c>
      <c r="E544" s="208" t="s">
        <v>116</v>
      </c>
      <c r="F544" s="208" t="s">
        <v>95</v>
      </c>
      <c r="G544" s="208" t="s">
        <v>243</v>
      </c>
      <c r="H544" s="208">
        <v>4</v>
      </c>
      <c r="I544" s="208">
        <v>86.31</v>
      </c>
      <c r="J544" s="208">
        <v>60.41</v>
      </c>
      <c r="K544" s="208">
        <v>0</v>
      </c>
      <c r="L544" s="208">
        <v>25.9</v>
      </c>
      <c r="M544" s="208" t="s">
        <v>244</v>
      </c>
      <c r="N544" s="208">
        <v>-1340</v>
      </c>
      <c r="O544" s="208">
        <v>2500</v>
      </c>
      <c r="P544" s="208">
        <v>-387</v>
      </c>
      <c r="Q544" s="208">
        <v>1139</v>
      </c>
    </row>
    <row r="545" spans="1:17">
      <c r="A545" s="218">
        <v>44196</v>
      </c>
      <c r="B545" s="208" t="s">
        <v>45</v>
      </c>
      <c r="C545" s="208" t="s">
        <v>8</v>
      </c>
      <c r="D545" s="208">
        <v>2020</v>
      </c>
      <c r="E545" s="208" t="s">
        <v>116</v>
      </c>
      <c r="F545" s="208" t="s">
        <v>95</v>
      </c>
      <c r="G545" s="208" t="s">
        <v>243</v>
      </c>
      <c r="H545" s="208">
        <v>442</v>
      </c>
      <c r="I545" s="208">
        <v>51023.79999999993</v>
      </c>
      <c r="J545" s="208">
        <v>12219.470000000008</v>
      </c>
      <c r="K545" s="208">
        <v>0</v>
      </c>
      <c r="L545" s="208">
        <v>24310.440000000013</v>
      </c>
      <c r="M545" s="208" t="s">
        <v>244</v>
      </c>
      <c r="N545" s="208">
        <v>-1340</v>
      </c>
      <c r="O545" s="208">
        <v>2500</v>
      </c>
      <c r="P545" s="208">
        <v>-387</v>
      </c>
      <c r="Q545" s="208">
        <v>1139</v>
      </c>
    </row>
    <row r="546" spans="1:17">
      <c r="A546" s="218">
        <v>44196</v>
      </c>
      <c r="B546" s="208" t="s">
        <v>33</v>
      </c>
      <c r="C546" s="208" t="s">
        <v>8</v>
      </c>
      <c r="D546" s="208">
        <v>2019</v>
      </c>
      <c r="E546" s="208" t="s">
        <v>116</v>
      </c>
      <c r="F546" s="208" t="s">
        <v>95</v>
      </c>
      <c r="G546" s="208" t="s">
        <v>243</v>
      </c>
      <c r="H546" s="208">
        <v>395</v>
      </c>
      <c r="I546" s="208">
        <v>60632.949999999939</v>
      </c>
      <c r="J546" s="208">
        <v>11044.020000000008</v>
      </c>
      <c r="K546" s="208">
        <v>0</v>
      </c>
      <c r="L546" s="208">
        <v>35550.500000000007</v>
      </c>
      <c r="M546" s="208" t="s">
        <v>244</v>
      </c>
      <c r="N546" s="208">
        <v>-1000</v>
      </c>
      <c r="O546" s="208">
        <v>2340</v>
      </c>
      <c r="P546" s="208">
        <v>-1000</v>
      </c>
      <c r="Q546" s="208">
        <v>1201.8499999999999</v>
      </c>
    </row>
    <row r="547" spans="1:17">
      <c r="A547" s="218">
        <v>44196</v>
      </c>
      <c r="B547" s="208" t="s">
        <v>258</v>
      </c>
      <c r="C547" s="208" t="s">
        <v>8</v>
      </c>
      <c r="D547" s="208">
        <v>2019</v>
      </c>
      <c r="E547" s="208" t="s">
        <v>116</v>
      </c>
      <c r="F547" s="208" t="s">
        <v>95</v>
      </c>
      <c r="G547" s="208" t="s">
        <v>243</v>
      </c>
      <c r="H547" s="208">
        <v>139</v>
      </c>
      <c r="I547" s="208">
        <v>48225.259999999995</v>
      </c>
      <c r="J547" s="208">
        <v>8509.0000000000018</v>
      </c>
      <c r="K547" s="208">
        <v>4790.6900000000014</v>
      </c>
      <c r="L547" s="208">
        <v>11728.340000000002</v>
      </c>
      <c r="M547" s="208" t="s">
        <v>244</v>
      </c>
      <c r="N547" s="208">
        <v>-1000</v>
      </c>
      <c r="O547" s="208">
        <v>2340</v>
      </c>
      <c r="P547" s="208">
        <v>-1000</v>
      </c>
      <c r="Q547" s="208">
        <v>1201.8499999999999</v>
      </c>
    </row>
    <row r="548" spans="1:17">
      <c r="A548" s="218">
        <v>44196</v>
      </c>
      <c r="B548" s="208" t="s">
        <v>45</v>
      </c>
      <c r="C548" s="208" t="s">
        <v>8</v>
      </c>
      <c r="D548" s="208">
        <v>2019</v>
      </c>
      <c r="E548" s="208" t="s">
        <v>116</v>
      </c>
      <c r="F548" s="208" t="s">
        <v>95</v>
      </c>
      <c r="G548" s="208" t="s">
        <v>243</v>
      </c>
      <c r="H548" s="208">
        <v>401</v>
      </c>
      <c r="I548" s="208">
        <v>48666.969999999899</v>
      </c>
      <c r="J548" s="208">
        <v>11974.320000000012</v>
      </c>
      <c r="K548" s="208">
        <v>0</v>
      </c>
      <c r="L548" s="208">
        <v>24328.890000000032</v>
      </c>
      <c r="M548" s="208" t="s">
        <v>244</v>
      </c>
      <c r="N548" s="208">
        <v>-1000</v>
      </c>
      <c r="O548" s="208">
        <v>2340</v>
      </c>
      <c r="P548" s="208">
        <v>-1000</v>
      </c>
      <c r="Q548" s="208">
        <v>1201.8499999999999</v>
      </c>
    </row>
    <row r="549" spans="1:17">
      <c r="A549" s="218">
        <v>44196</v>
      </c>
      <c r="B549" s="208" t="s">
        <v>264</v>
      </c>
      <c r="C549" s="208" t="s">
        <v>8</v>
      </c>
      <c r="D549" s="208">
        <v>2020</v>
      </c>
      <c r="E549" s="208" t="s">
        <v>116</v>
      </c>
      <c r="F549" s="208" t="s">
        <v>95</v>
      </c>
      <c r="G549" s="208" t="s">
        <v>243</v>
      </c>
      <c r="H549" s="208">
        <v>248</v>
      </c>
      <c r="I549" s="208">
        <v>20072.329999999933</v>
      </c>
      <c r="J549" s="208">
        <v>6299.4599999999928</v>
      </c>
      <c r="K549" s="208">
        <v>0</v>
      </c>
      <c r="L549" s="208">
        <v>7529.6700000000146</v>
      </c>
      <c r="M549" s="208" t="s">
        <v>244</v>
      </c>
      <c r="N549" s="208">
        <v>-1340</v>
      </c>
      <c r="O549" s="208">
        <v>2500</v>
      </c>
      <c r="P549" s="208">
        <v>-387</v>
      </c>
      <c r="Q549" s="208">
        <v>1139</v>
      </c>
    </row>
    <row r="550" spans="1:17">
      <c r="A550" s="218">
        <v>44196</v>
      </c>
      <c r="B550" s="208" t="s">
        <v>263</v>
      </c>
      <c r="C550" s="208" t="s">
        <v>8</v>
      </c>
      <c r="D550" s="208">
        <v>2020</v>
      </c>
      <c r="E550" s="208" t="s">
        <v>116</v>
      </c>
      <c r="F550" s="208" t="s">
        <v>95</v>
      </c>
      <c r="G550" s="208" t="s">
        <v>243</v>
      </c>
      <c r="H550" s="208">
        <v>445</v>
      </c>
      <c r="I550" s="208">
        <v>81515.669999999969</v>
      </c>
      <c r="J550" s="208">
        <v>13996.840000000015</v>
      </c>
      <c r="K550" s="208">
        <v>0</v>
      </c>
      <c r="L550" s="208">
        <v>39533.139999999963</v>
      </c>
      <c r="M550" s="208" t="s">
        <v>244</v>
      </c>
      <c r="N550" s="208">
        <v>-1340</v>
      </c>
      <c r="O550" s="208">
        <v>2500</v>
      </c>
      <c r="P550" s="208">
        <v>-387</v>
      </c>
      <c r="Q550" s="208">
        <v>1139</v>
      </c>
    </row>
    <row r="551" spans="1:17">
      <c r="A551" s="218">
        <v>44196</v>
      </c>
      <c r="B551" s="208" t="s">
        <v>269</v>
      </c>
      <c r="C551" s="208" t="s">
        <v>8</v>
      </c>
      <c r="D551" s="208">
        <v>2019</v>
      </c>
      <c r="E551" s="208" t="s">
        <v>116</v>
      </c>
      <c r="F551" s="208" t="s">
        <v>95</v>
      </c>
      <c r="G551" s="208" t="s">
        <v>243</v>
      </c>
      <c r="H551" s="208">
        <v>39</v>
      </c>
      <c r="I551" s="208">
        <v>1092.3899999999994</v>
      </c>
      <c r="J551" s="208">
        <v>764.63000000000011</v>
      </c>
      <c r="K551" s="208">
        <v>0</v>
      </c>
      <c r="L551" s="208">
        <v>327.76000000000005</v>
      </c>
      <c r="M551" s="208" t="s">
        <v>244</v>
      </c>
      <c r="N551" s="208">
        <v>-1000</v>
      </c>
      <c r="O551" s="208">
        <v>2340</v>
      </c>
      <c r="P551" s="208">
        <v>-1000</v>
      </c>
      <c r="Q551" s="208">
        <v>1201.8499999999999</v>
      </c>
    </row>
    <row r="552" spans="1:17">
      <c r="A552" s="218">
        <v>44196</v>
      </c>
      <c r="B552" s="208" t="s">
        <v>258</v>
      </c>
      <c r="C552" s="208" t="s">
        <v>8</v>
      </c>
      <c r="D552" s="208">
        <v>2020</v>
      </c>
      <c r="E552" s="208" t="s">
        <v>116</v>
      </c>
      <c r="F552" s="208" t="s">
        <v>95</v>
      </c>
      <c r="G552" s="208" t="s">
        <v>243</v>
      </c>
      <c r="H552" s="208">
        <v>148</v>
      </c>
      <c r="I552" s="208">
        <v>20703.269999999986</v>
      </c>
      <c r="J552" s="208">
        <v>5303.6599999999989</v>
      </c>
      <c r="K552" s="208">
        <v>1605</v>
      </c>
      <c r="L552" s="208">
        <v>6830.5300000000025</v>
      </c>
      <c r="M552" s="208" t="s">
        <v>244</v>
      </c>
      <c r="N552" s="208">
        <v>-1340</v>
      </c>
      <c r="O552" s="208">
        <v>2500</v>
      </c>
      <c r="P552" s="208">
        <v>-387</v>
      </c>
      <c r="Q552" s="208">
        <v>1139</v>
      </c>
    </row>
    <row r="553" spans="1:17">
      <c r="A553" s="218">
        <v>44196</v>
      </c>
      <c r="B553" s="208" t="s">
        <v>267</v>
      </c>
      <c r="C553" s="208" t="s">
        <v>8</v>
      </c>
      <c r="D553" s="208">
        <v>2020</v>
      </c>
      <c r="E553" s="208" t="s">
        <v>116</v>
      </c>
      <c r="F553" s="208" t="s">
        <v>95</v>
      </c>
      <c r="G553" s="208" t="s">
        <v>243</v>
      </c>
      <c r="H553" s="208">
        <v>442</v>
      </c>
      <c r="I553" s="208">
        <v>51023.799999999879</v>
      </c>
      <c r="J553" s="208">
        <v>12219.469999999996</v>
      </c>
      <c r="K553" s="208">
        <v>0</v>
      </c>
      <c r="L553" s="208">
        <v>24310.440000000031</v>
      </c>
      <c r="M553" s="208" t="s">
        <v>244</v>
      </c>
      <c r="N553" s="208">
        <v>-1340</v>
      </c>
      <c r="O553" s="208">
        <v>2500</v>
      </c>
      <c r="P553" s="208">
        <v>-387</v>
      </c>
      <c r="Q553" s="208">
        <v>1139</v>
      </c>
    </row>
    <row r="554" spans="1:17">
      <c r="A554" s="218">
        <v>44196</v>
      </c>
      <c r="B554" s="208" t="s">
        <v>47</v>
      </c>
      <c r="C554" s="208" t="s">
        <v>8</v>
      </c>
      <c r="D554" s="208">
        <v>2019</v>
      </c>
      <c r="E554" s="208" t="s">
        <v>116</v>
      </c>
      <c r="F554" s="208" t="s">
        <v>95</v>
      </c>
      <c r="G554" s="208" t="s">
        <v>243</v>
      </c>
      <c r="H554" s="208">
        <v>309</v>
      </c>
      <c r="I554" s="208">
        <v>48876.409999999967</v>
      </c>
      <c r="J554" s="208">
        <v>9575.8799999999992</v>
      </c>
      <c r="K554" s="208">
        <v>0</v>
      </c>
      <c r="L554" s="208">
        <v>34556.490000000042</v>
      </c>
      <c r="M554" s="208" t="s">
        <v>244</v>
      </c>
      <c r="N554" s="208">
        <v>-1000</v>
      </c>
      <c r="O554" s="208">
        <v>2340</v>
      </c>
      <c r="P554" s="208">
        <v>-1000</v>
      </c>
      <c r="Q554" s="208">
        <v>1201.8499999999999</v>
      </c>
    </row>
    <row r="555" spans="1:17">
      <c r="A555" s="218">
        <v>44196</v>
      </c>
      <c r="B555" s="208" t="s">
        <v>264</v>
      </c>
      <c r="C555" s="208" t="s">
        <v>8</v>
      </c>
      <c r="D555" s="208">
        <v>2019</v>
      </c>
      <c r="E555" s="208" t="s">
        <v>116</v>
      </c>
      <c r="F555" s="208" t="s">
        <v>95</v>
      </c>
      <c r="G555" s="208" t="s">
        <v>243</v>
      </c>
      <c r="H555" s="208">
        <v>235</v>
      </c>
      <c r="I555" s="208">
        <v>30577.329999999925</v>
      </c>
      <c r="J555" s="208">
        <v>7212.5499999999911</v>
      </c>
      <c r="K555" s="208">
        <v>0</v>
      </c>
      <c r="L555" s="208">
        <v>9919.2600000000202</v>
      </c>
      <c r="M555" s="208" t="s">
        <v>244</v>
      </c>
      <c r="N555" s="208">
        <v>-1000</v>
      </c>
      <c r="O555" s="208">
        <v>2340</v>
      </c>
      <c r="P555" s="208">
        <v>-1000</v>
      </c>
      <c r="Q555" s="208">
        <v>1201.8499999999999</v>
      </c>
    </row>
    <row r="556" spans="1:17">
      <c r="A556" s="218">
        <v>44196</v>
      </c>
      <c r="B556" s="208" t="s">
        <v>267</v>
      </c>
      <c r="C556" s="208" t="s">
        <v>8</v>
      </c>
      <c r="D556" s="208">
        <v>2019</v>
      </c>
      <c r="E556" s="208" t="s">
        <v>116</v>
      </c>
      <c r="F556" s="208" t="s">
        <v>95</v>
      </c>
      <c r="G556" s="208" t="s">
        <v>243</v>
      </c>
      <c r="H556" s="208">
        <v>401</v>
      </c>
      <c r="I556" s="208">
        <v>48666.96999999995</v>
      </c>
      <c r="J556" s="208">
        <v>11974.319999999994</v>
      </c>
      <c r="K556" s="208">
        <v>0</v>
      </c>
      <c r="L556" s="208">
        <v>24328.890000000032</v>
      </c>
      <c r="M556" s="208" t="s">
        <v>244</v>
      </c>
      <c r="N556" s="208">
        <v>-1000</v>
      </c>
      <c r="O556" s="208">
        <v>2340</v>
      </c>
      <c r="P556" s="208">
        <v>-1000</v>
      </c>
      <c r="Q556" s="208">
        <v>1201.8499999999999</v>
      </c>
    </row>
    <row r="557" spans="1:17">
      <c r="A557" s="218">
        <v>44196</v>
      </c>
      <c r="B557" s="208" t="s">
        <v>43</v>
      </c>
      <c r="C557" s="208" t="s">
        <v>8</v>
      </c>
      <c r="D557" s="208">
        <v>2019</v>
      </c>
      <c r="E557" s="208" t="s">
        <v>116</v>
      </c>
      <c r="F557" s="208" t="s">
        <v>95</v>
      </c>
      <c r="G557" s="208" t="s">
        <v>243</v>
      </c>
      <c r="H557" s="208">
        <v>401</v>
      </c>
      <c r="I557" s="208">
        <v>61851.379999999896</v>
      </c>
      <c r="J557" s="208">
        <v>12872.810000000018</v>
      </c>
      <c r="K557" s="208">
        <v>0</v>
      </c>
      <c r="L557" s="208">
        <v>25231.400000000027</v>
      </c>
      <c r="M557" s="208" t="s">
        <v>244</v>
      </c>
      <c r="N557" s="208">
        <v>-1000</v>
      </c>
      <c r="O557" s="208">
        <v>2340</v>
      </c>
      <c r="P557" s="208">
        <v>-1000</v>
      </c>
      <c r="Q557" s="208">
        <v>1201.8499999999999</v>
      </c>
    </row>
    <row r="558" spans="1:17">
      <c r="A558" s="218">
        <v>44196</v>
      </c>
      <c r="B558" s="208" t="s">
        <v>37</v>
      </c>
      <c r="C558" s="208" t="s">
        <v>8</v>
      </c>
      <c r="D558" s="208">
        <v>2019</v>
      </c>
      <c r="E558" s="208" t="s">
        <v>116</v>
      </c>
      <c r="F558" s="208" t="s">
        <v>95</v>
      </c>
      <c r="G558" s="208" t="s">
        <v>243</v>
      </c>
      <c r="H558" s="208">
        <v>98</v>
      </c>
      <c r="I558" s="208">
        <v>40774.57</v>
      </c>
      <c r="J558" s="208">
        <v>6305.09</v>
      </c>
      <c r="K558" s="208">
        <v>102.43</v>
      </c>
      <c r="L558" s="208">
        <v>30376.329999999991</v>
      </c>
      <c r="M558" s="208" t="s">
        <v>244</v>
      </c>
      <c r="N558" s="208">
        <v>-1000</v>
      </c>
      <c r="O558" s="208">
        <v>2340</v>
      </c>
      <c r="P558" s="208">
        <v>-1000</v>
      </c>
      <c r="Q558" s="208">
        <v>1201.8499999999999</v>
      </c>
    </row>
    <row r="559" spans="1:17">
      <c r="A559" s="218">
        <v>44196</v>
      </c>
      <c r="B559" s="208" t="s">
        <v>39</v>
      </c>
      <c r="C559" s="208" t="s">
        <v>8</v>
      </c>
      <c r="D559" s="208">
        <v>2019</v>
      </c>
      <c r="E559" s="208" t="s">
        <v>116</v>
      </c>
      <c r="F559" s="208" t="s">
        <v>95</v>
      </c>
      <c r="G559" s="208" t="s">
        <v>243</v>
      </c>
      <c r="H559" s="208">
        <v>39</v>
      </c>
      <c r="I559" s="208">
        <v>1092.3899999999999</v>
      </c>
      <c r="J559" s="208">
        <v>764.63000000000022</v>
      </c>
      <c r="K559" s="208">
        <v>0</v>
      </c>
      <c r="L559" s="208">
        <v>327.76000000000005</v>
      </c>
      <c r="M559" s="208" t="s">
        <v>244</v>
      </c>
      <c r="N559" s="208">
        <v>-1000</v>
      </c>
      <c r="O559" s="208">
        <v>2340</v>
      </c>
      <c r="P559" s="208">
        <v>-1000</v>
      </c>
      <c r="Q559" s="208">
        <v>1201.8499999999999</v>
      </c>
    </row>
    <row r="560" spans="1:17">
      <c r="A560" s="218">
        <v>44196</v>
      </c>
      <c r="B560" s="208" t="s">
        <v>262</v>
      </c>
      <c r="C560" s="208" t="s">
        <v>8</v>
      </c>
      <c r="D560" s="208">
        <v>2019</v>
      </c>
      <c r="E560" s="208" t="s">
        <v>116</v>
      </c>
      <c r="F560" s="208" t="s">
        <v>95</v>
      </c>
      <c r="G560" s="208" t="s">
        <v>243</v>
      </c>
      <c r="H560" s="208">
        <v>401</v>
      </c>
      <c r="I560" s="208">
        <v>61851.379999999896</v>
      </c>
      <c r="J560" s="208">
        <v>12872.810000000018</v>
      </c>
      <c r="K560" s="208">
        <v>0</v>
      </c>
      <c r="L560" s="208">
        <v>25231.400000000038</v>
      </c>
      <c r="M560" s="208" t="s">
        <v>244</v>
      </c>
      <c r="N560" s="208">
        <v>-1000</v>
      </c>
      <c r="O560" s="208">
        <v>2340</v>
      </c>
      <c r="P560" s="208">
        <v>-1000</v>
      </c>
      <c r="Q560" s="208">
        <v>1201.8499999999999</v>
      </c>
    </row>
    <row r="561" spans="1:17">
      <c r="A561" s="218">
        <v>44196</v>
      </c>
      <c r="B561" s="208" t="s">
        <v>43</v>
      </c>
      <c r="C561" s="208" t="s">
        <v>8</v>
      </c>
      <c r="D561" s="208">
        <v>2020</v>
      </c>
      <c r="E561" s="208" t="s">
        <v>116</v>
      </c>
      <c r="F561" s="208" t="s">
        <v>95</v>
      </c>
      <c r="G561" s="208" t="s">
        <v>243</v>
      </c>
      <c r="H561" s="208">
        <v>315</v>
      </c>
      <c r="I561" s="208">
        <v>22279.879999999961</v>
      </c>
      <c r="J561" s="208">
        <v>7382.099999999994</v>
      </c>
      <c r="K561" s="208">
        <v>0</v>
      </c>
      <c r="L561" s="208">
        <v>9426.0000000000127</v>
      </c>
      <c r="M561" s="208" t="s">
        <v>244</v>
      </c>
      <c r="N561" s="208">
        <v>-1340</v>
      </c>
      <c r="O561" s="208">
        <v>2500</v>
      </c>
      <c r="P561" s="208">
        <v>-387</v>
      </c>
      <c r="Q561" s="208">
        <v>1139</v>
      </c>
    </row>
    <row r="562" spans="1:17">
      <c r="A562" s="218">
        <v>44196</v>
      </c>
      <c r="B562" s="208" t="s">
        <v>39</v>
      </c>
      <c r="C562" s="208" t="s">
        <v>8</v>
      </c>
      <c r="D562" s="208">
        <v>2020</v>
      </c>
      <c r="E562" s="208" t="s">
        <v>116</v>
      </c>
      <c r="F562" s="208" t="s">
        <v>95</v>
      </c>
      <c r="G562" s="208" t="s">
        <v>243</v>
      </c>
      <c r="H562" s="208">
        <v>304</v>
      </c>
      <c r="I562" s="208">
        <v>24630.609999999939</v>
      </c>
      <c r="J562" s="208">
        <v>8405.6999999999971</v>
      </c>
      <c r="K562" s="208">
        <v>0</v>
      </c>
      <c r="L562" s="208">
        <v>7519.1300000000074</v>
      </c>
      <c r="M562" s="208" t="s">
        <v>244</v>
      </c>
      <c r="N562" s="208">
        <v>-1340</v>
      </c>
      <c r="O562" s="208">
        <v>2500</v>
      </c>
      <c r="P562" s="208">
        <v>-387</v>
      </c>
      <c r="Q562" s="208">
        <v>1139</v>
      </c>
    </row>
    <row r="563" spans="1:17">
      <c r="A563" s="218">
        <v>44196</v>
      </c>
      <c r="B563" s="208" t="s">
        <v>48</v>
      </c>
      <c r="C563" s="208" t="s">
        <v>8</v>
      </c>
      <c r="D563" s="208">
        <v>2020</v>
      </c>
      <c r="E563" s="208" t="s">
        <v>116</v>
      </c>
      <c r="F563" s="208" t="s">
        <v>95</v>
      </c>
      <c r="G563" s="208" t="s">
        <v>243</v>
      </c>
      <c r="H563" s="208">
        <v>17</v>
      </c>
      <c r="I563" s="208">
        <v>698.51999999999987</v>
      </c>
      <c r="J563" s="208">
        <v>488.98</v>
      </c>
      <c r="K563" s="208">
        <v>0</v>
      </c>
      <c r="L563" s="208">
        <v>209.54000000000002</v>
      </c>
      <c r="M563" s="208" t="s">
        <v>244</v>
      </c>
      <c r="N563" s="208">
        <v>-1340</v>
      </c>
      <c r="O563" s="208">
        <v>2500</v>
      </c>
      <c r="P563" s="208">
        <v>-387</v>
      </c>
      <c r="Q563" s="208">
        <v>1139</v>
      </c>
    </row>
    <row r="564" spans="1:17">
      <c r="A564" s="218">
        <v>44196</v>
      </c>
      <c r="B564" s="208" t="s">
        <v>258</v>
      </c>
      <c r="C564" s="208" t="s">
        <v>8</v>
      </c>
      <c r="D564" s="208">
        <v>2019</v>
      </c>
      <c r="E564" s="208" t="s">
        <v>178</v>
      </c>
      <c r="F564" s="208" t="s">
        <v>95</v>
      </c>
      <c r="G564" s="208" t="s">
        <v>243</v>
      </c>
      <c r="H564" s="208">
        <v>1</v>
      </c>
      <c r="I564" s="208">
        <v>50</v>
      </c>
      <c r="J564" s="208">
        <v>0</v>
      </c>
      <c r="K564" s="208">
        <v>0</v>
      </c>
      <c r="L564" s="208">
        <v>50</v>
      </c>
      <c r="M564" s="208" t="s">
        <v>244</v>
      </c>
      <c r="N564" s="208">
        <v>50</v>
      </c>
      <c r="O564" s="208">
        <v>110</v>
      </c>
      <c r="P564" s="208">
        <v>20</v>
      </c>
      <c r="Q564" s="208">
        <v>60</v>
      </c>
    </row>
    <row r="565" spans="1:17">
      <c r="A565" s="218">
        <v>44196</v>
      </c>
      <c r="B565" s="208" t="s">
        <v>29</v>
      </c>
      <c r="C565" s="208" t="s">
        <v>8</v>
      </c>
      <c r="D565" s="208">
        <v>2019</v>
      </c>
      <c r="E565" s="208" t="s">
        <v>178</v>
      </c>
      <c r="F565" s="208" t="s">
        <v>95</v>
      </c>
      <c r="G565" s="208" t="s">
        <v>243</v>
      </c>
      <c r="H565" s="208">
        <v>8</v>
      </c>
      <c r="I565" s="208">
        <v>730</v>
      </c>
      <c r="J565" s="208">
        <v>0</v>
      </c>
      <c r="K565" s="208">
        <v>150</v>
      </c>
      <c r="L565" s="208">
        <v>390</v>
      </c>
      <c r="M565" s="208" t="s">
        <v>244</v>
      </c>
      <c r="N565" s="208">
        <v>50</v>
      </c>
      <c r="O565" s="208">
        <v>110</v>
      </c>
      <c r="P565" s="208">
        <v>20</v>
      </c>
      <c r="Q565" s="208">
        <v>60</v>
      </c>
    </row>
    <row r="566" spans="1:17">
      <c r="A566" s="218">
        <v>44196</v>
      </c>
      <c r="B566" s="208" t="s">
        <v>31</v>
      </c>
      <c r="C566" s="208" t="s">
        <v>8</v>
      </c>
      <c r="D566" s="208">
        <v>2019</v>
      </c>
      <c r="E566" s="208" t="s">
        <v>178</v>
      </c>
      <c r="F566" s="208" t="s">
        <v>95</v>
      </c>
      <c r="G566" s="208" t="s">
        <v>243</v>
      </c>
      <c r="H566" s="208">
        <v>1</v>
      </c>
      <c r="I566" s="208">
        <v>50</v>
      </c>
      <c r="J566" s="208">
        <v>0</v>
      </c>
      <c r="K566" s="208">
        <v>0</v>
      </c>
      <c r="L566" s="208">
        <v>50</v>
      </c>
      <c r="M566" s="208" t="s">
        <v>244</v>
      </c>
      <c r="N566" s="208">
        <v>50</v>
      </c>
      <c r="O566" s="208">
        <v>110</v>
      </c>
      <c r="P566" s="208">
        <v>20</v>
      </c>
      <c r="Q566" s="208">
        <v>60</v>
      </c>
    </row>
    <row r="567" spans="1:17">
      <c r="A567" s="218">
        <v>44196</v>
      </c>
      <c r="B567" s="208" t="s">
        <v>260</v>
      </c>
      <c r="C567" s="208" t="s">
        <v>8</v>
      </c>
      <c r="D567" s="208">
        <v>2019</v>
      </c>
      <c r="E567" s="208" t="s">
        <v>178</v>
      </c>
      <c r="F567" s="208" t="s">
        <v>95</v>
      </c>
      <c r="G567" s="208" t="s">
        <v>243</v>
      </c>
      <c r="H567" s="208">
        <v>8</v>
      </c>
      <c r="I567" s="208">
        <v>730</v>
      </c>
      <c r="J567" s="208">
        <v>0</v>
      </c>
      <c r="K567" s="208">
        <v>150</v>
      </c>
      <c r="L567" s="208">
        <v>390</v>
      </c>
      <c r="M567" s="208" t="s">
        <v>244</v>
      </c>
      <c r="N567" s="208">
        <v>50</v>
      </c>
      <c r="O567" s="208">
        <v>110</v>
      </c>
      <c r="P567" s="208">
        <v>20</v>
      </c>
      <c r="Q567" s="208">
        <v>60</v>
      </c>
    </row>
    <row r="568" spans="1:17">
      <c r="A568" s="218">
        <v>44196</v>
      </c>
      <c r="B568" s="208" t="s">
        <v>31</v>
      </c>
      <c r="C568" s="208" t="s">
        <v>8</v>
      </c>
      <c r="D568" s="208">
        <v>2019</v>
      </c>
      <c r="E568" s="208" t="s">
        <v>117</v>
      </c>
      <c r="F568" s="208" t="s">
        <v>95</v>
      </c>
      <c r="G568" s="208" t="s">
        <v>243</v>
      </c>
      <c r="H568" s="208">
        <v>2</v>
      </c>
      <c r="I568" s="208">
        <v>146.36000000000001</v>
      </c>
      <c r="J568" s="208">
        <v>30.1</v>
      </c>
      <c r="K568" s="208">
        <v>26.88</v>
      </c>
      <c r="L568" s="208">
        <v>43</v>
      </c>
      <c r="M568" s="208" t="s">
        <v>244</v>
      </c>
      <c r="N568" s="208">
        <v>21.5</v>
      </c>
      <c r="O568" s="208">
        <v>73.180000000000007</v>
      </c>
      <c r="P568" s="208">
        <v>6.45</v>
      </c>
      <c r="Q568" s="208">
        <v>26.88</v>
      </c>
    </row>
    <row r="569" spans="1:17">
      <c r="A569" s="218">
        <v>44196</v>
      </c>
      <c r="B569" s="208" t="s">
        <v>258</v>
      </c>
      <c r="C569" s="208" t="s">
        <v>8</v>
      </c>
      <c r="D569" s="208">
        <v>2020</v>
      </c>
      <c r="E569" s="208" t="s">
        <v>117</v>
      </c>
      <c r="F569" s="208" t="s">
        <v>95</v>
      </c>
      <c r="G569" s="208" t="s">
        <v>243</v>
      </c>
      <c r="H569" s="208">
        <v>4</v>
      </c>
      <c r="I569" s="208">
        <v>292</v>
      </c>
      <c r="J569" s="208">
        <v>60.2</v>
      </c>
      <c r="K569" s="208">
        <v>53.76</v>
      </c>
      <c r="L569" s="208">
        <v>82.95</v>
      </c>
      <c r="M569" s="208" t="s">
        <v>244</v>
      </c>
      <c r="N569" s="208">
        <v>55</v>
      </c>
      <c r="O569" s="208">
        <v>91</v>
      </c>
      <c r="P569" s="208">
        <v>13.07</v>
      </c>
      <c r="Q569" s="208">
        <v>39.950000000000003</v>
      </c>
    </row>
    <row r="570" spans="1:17">
      <c r="A570" s="218">
        <v>44196</v>
      </c>
      <c r="B570" s="208" t="s">
        <v>29</v>
      </c>
      <c r="C570" s="208" t="s">
        <v>8</v>
      </c>
      <c r="D570" s="208">
        <v>2019</v>
      </c>
      <c r="E570" s="208" t="s">
        <v>117</v>
      </c>
      <c r="F570" s="208" t="s">
        <v>95</v>
      </c>
      <c r="G570" s="208" t="s">
        <v>243</v>
      </c>
      <c r="H570" s="208">
        <v>1</v>
      </c>
      <c r="I570" s="208">
        <v>21.5</v>
      </c>
      <c r="J570" s="208">
        <v>15.05</v>
      </c>
      <c r="K570" s="208">
        <v>0</v>
      </c>
      <c r="L570" s="208">
        <v>6.45</v>
      </c>
      <c r="M570" s="208" t="s">
        <v>244</v>
      </c>
      <c r="N570" s="208">
        <v>21.5</v>
      </c>
      <c r="O570" s="208">
        <v>73.180000000000007</v>
      </c>
      <c r="P570" s="208">
        <v>6.45</v>
      </c>
      <c r="Q570" s="208">
        <v>26.88</v>
      </c>
    </row>
    <row r="571" spans="1:17">
      <c r="A571" s="218">
        <v>44196</v>
      </c>
      <c r="B571" s="208" t="s">
        <v>31</v>
      </c>
      <c r="C571" s="208" t="s">
        <v>8</v>
      </c>
      <c r="D571" s="208">
        <v>2020</v>
      </c>
      <c r="E571" s="208" t="s">
        <v>117</v>
      </c>
      <c r="F571" s="208" t="s">
        <v>95</v>
      </c>
      <c r="G571" s="208" t="s">
        <v>243</v>
      </c>
      <c r="H571" s="208">
        <v>4</v>
      </c>
      <c r="I571" s="208">
        <v>292</v>
      </c>
      <c r="J571" s="208">
        <v>60.2</v>
      </c>
      <c r="K571" s="208">
        <v>53.76</v>
      </c>
      <c r="L571" s="208">
        <v>82.95</v>
      </c>
      <c r="M571" s="208" t="s">
        <v>244</v>
      </c>
      <c r="N571" s="208">
        <v>55</v>
      </c>
      <c r="O571" s="208">
        <v>91</v>
      </c>
      <c r="P571" s="208">
        <v>13.07</v>
      </c>
      <c r="Q571" s="208">
        <v>39.950000000000003</v>
      </c>
    </row>
    <row r="572" spans="1:17">
      <c r="A572" s="218">
        <v>44196</v>
      </c>
      <c r="B572" s="208" t="s">
        <v>37</v>
      </c>
      <c r="C572" s="208" t="s">
        <v>8</v>
      </c>
      <c r="D572" s="208">
        <v>2020</v>
      </c>
      <c r="E572" s="208" t="s">
        <v>117</v>
      </c>
      <c r="F572" s="208" t="s">
        <v>95</v>
      </c>
      <c r="G572" s="208" t="s">
        <v>243</v>
      </c>
      <c r="H572" s="208">
        <v>1</v>
      </c>
      <c r="I572" s="208">
        <v>55</v>
      </c>
      <c r="J572" s="208">
        <v>15.05</v>
      </c>
      <c r="K572" s="208">
        <v>0</v>
      </c>
      <c r="L572" s="208">
        <v>39.950000000000003</v>
      </c>
      <c r="M572" s="208" t="s">
        <v>244</v>
      </c>
      <c r="N572" s="208">
        <v>55</v>
      </c>
      <c r="O572" s="208">
        <v>91</v>
      </c>
      <c r="P572" s="208">
        <v>13.07</v>
      </c>
      <c r="Q572" s="208">
        <v>39.950000000000003</v>
      </c>
    </row>
    <row r="573" spans="1:17">
      <c r="A573" s="218">
        <v>44196</v>
      </c>
      <c r="B573" s="208" t="s">
        <v>260</v>
      </c>
      <c r="C573" s="208" t="s">
        <v>8</v>
      </c>
      <c r="D573" s="208">
        <v>2019</v>
      </c>
      <c r="E573" s="208" t="s">
        <v>117</v>
      </c>
      <c r="F573" s="208" t="s">
        <v>95</v>
      </c>
      <c r="G573" s="208" t="s">
        <v>243</v>
      </c>
      <c r="H573" s="208">
        <v>1</v>
      </c>
      <c r="I573" s="208">
        <v>21.5</v>
      </c>
      <c r="J573" s="208">
        <v>15.05</v>
      </c>
      <c r="K573" s="208">
        <v>0</v>
      </c>
      <c r="L573" s="208">
        <v>6.45</v>
      </c>
      <c r="M573" s="208" t="s">
        <v>244</v>
      </c>
      <c r="N573" s="208">
        <v>21.5</v>
      </c>
      <c r="O573" s="208">
        <v>73.180000000000007</v>
      </c>
      <c r="P573" s="208">
        <v>6.45</v>
      </c>
      <c r="Q573" s="208">
        <v>26.88</v>
      </c>
    </row>
    <row r="574" spans="1:17">
      <c r="A574" s="218">
        <v>44196</v>
      </c>
      <c r="B574" s="208" t="s">
        <v>258</v>
      </c>
      <c r="C574" s="208" t="s">
        <v>8</v>
      </c>
      <c r="D574" s="208">
        <v>2019</v>
      </c>
      <c r="E574" s="208" t="s">
        <v>117</v>
      </c>
      <c r="F574" s="208" t="s">
        <v>95</v>
      </c>
      <c r="G574" s="208" t="s">
        <v>243</v>
      </c>
      <c r="H574" s="208">
        <v>2</v>
      </c>
      <c r="I574" s="208">
        <v>146.36000000000001</v>
      </c>
      <c r="J574" s="208">
        <v>30.1</v>
      </c>
      <c r="K574" s="208">
        <v>26.88</v>
      </c>
      <c r="L574" s="208">
        <v>43</v>
      </c>
      <c r="M574" s="208" t="s">
        <v>244</v>
      </c>
      <c r="N574" s="208">
        <v>21.5</v>
      </c>
      <c r="O574" s="208">
        <v>73.180000000000007</v>
      </c>
      <c r="P574" s="208">
        <v>6.45</v>
      </c>
      <c r="Q574" s="208">
        <v>26.88</v>
      </c>
    </row>
    <row r="575" spans="1:17">
      <c r="A575" s="218">
        <v>44196</v>
      </c>
      <c r="B575" s="208" t="s">
        <v>225</v>
      </c>
      <c r="C575" s="208" t="s">
        <v>8</v>
      </c>
      <c r="D575" s="208">
        <v>2020</v>
      </c>
      <c r="E575" s="208" t="s">
        <v>117</v>
      </c>
      <c r="F575" s="208" t="s">
        <v>95</v>
      </c>
      <c r="G575" s="208" t="s">
        <v>243</v>
      </c>
      <c r="H575" s="208">
        <v>1</v>
      </c>
      <c r="I575" s="208">
        <v>55</v>
      </c>
      <c r="J575" s="208">
        <v>15.05</v>
      </c>
      <c r="K575" s="208">
        <v>0</v>
      </c>
      <c r="L575" s="208">
        <v>39.950000000000003</v>
      </c>
      <c r="M575" s="208" t="s">
        <v>244</v>
      </c>
      <c r="N575" s="208">
        <v>55</v>
      </c>
      <c r="O575" s="208">
        <v>91</v>
      </c>
      <c r="P575" s="208">
        <v>13.07</v>
      </c>
      <c r="Q575" s="208">
        <v>39.950000000000003</v>
      </c>
    </row>
    <row r="576" spans="1:17">
      <c r="A576" s="218">
        <v>44196</v>
      </c>
      <c r="B576" s="208" t="s">
        <v>258</v>
      </c>
      <c r="C576" s="208" t="s">
        <v>8</v>
      </c>
      <c r="D576" s="208">
        <v>2019</v>
      </c>
      <c r="E576" s="208" t="s">
        <v>118</v>
      </c>
      <c r="F576" s="208" t="s">
        <v>95</v>
      </c>
      <c r="G576" s="208" t="s">
        <v>243</v>
      </c>
      <c r="H576" s="208">
        <v>4</v>
      </c>
      <c r="I576" s="208">
        <v>680</v>
      </c>
      <c r="J576" s="208">
        <v>114.38000000000001</v>
      </c>
      <c r="K576" s="208">
        <v>102.13</v>
      </c>
      <c r="L576" s="208">
        <v>163.4</v>
      </c>
      <c r="M576" s="208" t="s">
        <v>244</v>
      </c>
      <c r="N576" s="208">
        <v>83</v>
      </c>
      <c r="O576" s="208">
        <v>195</v>
      </c>
      <c r="P576" s="208">
        <v>29.02</v>
      </c>
      <c r="Q576" s="208">
        <v>53.75</v>
      </c>
    </row>
    <row r="577" spans="1:17">
      <c r="A577" s="218">
        <v>44196</v>
      </c>
      <c r="B577" s="208" t="s">
        <v>31</v>
      </c>
      <c r="C577" s="208" t="s">
        <v>8</v>
      </c>
      <c r="D577" s="208">
        <v>2019</v>
      </c>
      <c r="E577" s="208" t="s">
        <v>118</v>
      </c>
      <c r="F577" s="208" t="s">
        <v>95</v>
      </c>
      <c r="G577" s="208" t="s">
        <v>243</v>
      </c>
      <c r="H577" s="208">
        <v>4</v>
      </c>
      <c r="I577" s="208">
        <v>680</v>
      </c>
      <c r="J577" s="208">
        <v>114.38</v>
      </c>
      <c r="K577" s="208">
        <v>102.13</v>
      </c>
      <c r="L577" s="208">
        <v>163.4</v>
      </c>
      <c r="M577" s="208" t="s">
        <v>244</v>
      </c>
      <c r="N577" s="208">
        <v>83</v>
      </c>
      <c r="O577" s="208">
        <v>195</v>
      </c>
      <c r="P577" s="208">
        <v>29.02</v>
      </c>
      <c r="Q577" s="208">
        <v>53.75</v>
      </c>
    </row>
    <row r="578" spans="1:17">
      <c r="A578" s="218">
        <v>44196</v>
      </c>
      <c r="B578" s="208" t="s">
        <v>29</v>
      </c>
      <c r="C578" s="208" t="s">
        <v>8</v>
      </c>
      <c r="D578" s="208">
        <v>2020</v>
      </c>
      <c r="E578" s="208" t="s">
        <v>118</v>
      </c>
      <c r="F578" s="208" t="s">
        <v>95</v>
      </c>
      <c r="G578" s="208" t="s">
        <v>243</v>
      </c>
      <c r="H578" s="208">
        <v>3</v>
      </c>
      <c r="I578" s="208">
        <v>265</v>
      </c>
      <c r="J578" s="208">
        <v>103.19999999999999</v>
      </c>
      <c r="K578" s="208">
        <v>0</v>
      </c>
      <c r="L578" s="208">
        <v>161.80000000000001</v>
      </c>
      <c r="M578" s="208" t="s">
        <v>244</v>
      </c>
      <c r="N578" s="208">
        <v>65</v>
      </c>
      <c r="O578" s="208">
        <v>215</v>
      </c>
      <c r="P578" s="208">
        <v>22</v>
      </c>
      <c r="Q578" s="208">
        <v>124.7</v>
      </c>
    </row>
    <row r="579" spans="1:17">
      <c r="A579" s="218">
        <v>44196</v>
      </c>
      <c r="B579" s="208" t="s">
        <v>36</v>
      </c>
      <c r="C579" s="208" t="s">
        <v>8</v>
      </c>
      <c r="D579" s="208">
        <v>2019</v>
      </c>
      <c r="E579" s="208" t="s">
        <v>118</v>
      </c>
      <c r="F579" s="208" t="s">
        <v>95</v>
      </c>
      <c r="G579" s="208" t="s">
        <v>243</v>
      </c>
      <c r="H579" s="208">
        <v>1</v>
      </c>
      <c r="I579" s="208">
        <v>83</v>
      </c>
      <c r="J579" s="208">
        <v>43</v>
      </c>
      <c r="K579" s="208">
        <v>0</v>
      </c>
      <c r="L579" s="208">
        <v>40</v>
      </c>
      <c r="M579" s="208" t="s">
        <v>244</v>
      </c>
      <c r="N579" s="208">
        <v>83</v>
      </c>
      <c r="O579" s="208">
        <v>195</v>
      </c>
      <c r="P579" s="208">
        <v>29.02</v>
      </c>
      <c r="Q579" s="208">
        <v>53.75</v>
      </c>
    </row>
    <row r="580" spans="1:17">
      <c r="A580" s="218">
        <v>44196</v>
      </c>
      <c r="B580" s="208" t="s">
        <v>36</v>
      </c>
      <c r="C580" s="208" t="s">
        <v>8</v>
      </c>
      <c r="D580" s="208">
        <v>2020</v>
      </c>
      <c r="E580" s="208" t="s">
        <v>118</v>
      </c>
      <c r="F580" s="208" t="s">
        <v>95</v>
      </c>
      <c r="G580" s="208" t="s">
        <v>243</v>
      </c>
      <c r="H580" s="208">
        <v>2</v>
      </c>
      <c r="I580" s="208">
        <v>395</v>
      </c>
      <c r="J580" s="208">
        <v>150.5</v>
      </c>
      <c r="K580" s="208">
        <v>0</v>
      </c>
      <c r="L580" s="208">
        <v>244.5</v>
      </c>
      <c r="M580" s="208" t="s">
        <v>244</v>
      </c>
      <c r="N580" s="208">
        <v>65</v>
      </c>
      <c r="O580" s="208">
        <v>215</v>
      </c>
      <c r="P580" s="208">
        <v>22</v>
      </c>
      <c r="Q580" s="208">
        <v>124.7</v>
      </c>
    </row>
    <row r="581" spans="1:17">
      <c r="A581" s="218">
        <v>44196</v>
      </c>
      <c r="B581" s="208" t="s">
        <v>260</v>
      </c>
      <c r="C581" s="208" t="s">
        <v>8</v>
      </c>
      <c r="D581" s="208">
        <v>2020</v>
      </c>
      <c r="E581" s="208" t="s">
        <v>118</v>
      </c>
      <c r="F581" s="208" t="s">
        <v>95</v>
      </c>
      <c r="G581" s="208" t="s">
        <v>243</v>
      </c>
      <c r="H581" s="208">
        <v>3</v>
      </c>
      <c r="I581" s="208">
        <v>265</v>
      </c>
      <c r="J581" s="208">
        <v>103.19999999999999</v>
      </c>
      <c r="K581" s="208">
        <v>0</v>
      </c>
      <c r="L581" s="208">
        <v>161.80000000000001</v>
      </c>
      <c r="M581" s="208" t="s">
        <v>244</v>
      </c>
      <c r="N581" s="208">
        <v>65</v>
      </c>
      <c r="O581" s="208">
        <v>215</v>
      </c>
      <c r="P581" s="208">
        <v>22</v>
      </c>
      <c r="Q581" s="208">
        <v>124.7</v>
      </c>
    </row>
    <row r="582" spans="1:17">
      <c r="A582" s="218">
        <v>44196</v>
      </c>
      <c r="B582" s="208" t="s">
        <v>259</v>
      </c>
      <c r="C582" s="208" t="s">
        <v>8</v>
      </c>
      <c r="D582" s="208">
        <v>2019</v>
      </c>
      <c r="E582" s="208" t="s">
        <v>118</v>
      </c>
      <c r="F582" s="208" t="s">
        <v>95</v>
      </c>
      <c r="G582" s="208" t="s">
        <v>243</v>
      </c>
      <c r="H582" s="208">
        <v>1</v>
      </c>
      <c r="I582" s="208">
        <v>83</v>
      </c>
      <c r="J582" s="208">
        <v>43</v>
      </c>
      <c r="K582" s="208">
        <v>0</v>
      </c>
      <c r="L582" s="208">
        <v>40</v>
      </c>
      <c r="M582" s="208" t="s">
        <v>244</v>
      </c>
      <c r="N582" s="208">
        <v>83</v>
      </c>
      <c r="O582" s="208">
        <v>195</v>
      </c>
      <c r="P582" s="208">
        <v>29.02</v>
      </c>
      <c r="Q582" s="208">
        <v>53.75</v>
      </c>
    </row>
    <row r="583" spans="1:17">
      <c r="A583" s="218">
        <v>44196</v>
      </c>
      <c r="B583" s="208" t="s">
        <v>258</v>
      </c>
      <c r="C583" s="208" t="s">
        <v>8</v>
      </c>
      <c r="D583" s="208">
        <v>2020</v>
      </c>
      <c r="E583" s="208" t="s">
        <v>118</v>
      </c>
      <c r="F583" s="208" t="s">
        <v>95</v>
      </c>
      <c r="G583" s="208" t="s">
        <v>243</v>
      </c>
      <c r="H583" s="208">
        <v>1</v>
      </c>
      <c r="I583" s="208">
        <v>140</v>
      </c>
      <c r="J583" s="208">
        <v>60.2</v>
      </c>
      <c r="K583" s="208">
        <v>0</v>
      </c>
      <c r="L583" s="208">
        <v>79.8</v>
      </c>
      <c r="M583" s="208" t="s">
        <v>244</v>
      </c>
      <c r="N583" s="208">
        <v>65</v>
      </c>
      <c r="O583" s="208">
        <v>215</v>
      </c>
      <c r="P583" s="208">
        <v>22</v>
      </c>
      <c r="Q583" s="208">
        <v>124.7</v>
      </c>
    </row>
    <row r="584" spans="1:17">
      <c r="A584" s="218">
        <v>44196</v>
      </c>
      <c r="B584" s="208" t="s">
        <v>31</v>
      </c>
      <c r="C584" s="208" t="s">
        <v>8</v>
      </c>
      <c r="D584" s="208">
        <v>2020</v>
      </c>
      <c r="E584" s="208" t="s">
        <v>118</v>
      </c>
      <c r="F584" s="208" t="s">
        <v>95</v>
      </c>
      <c r="G584" s="208" t="s">
        <v>243</v>
      </c>
      <c r="H584" s="208">
        <v>1</v>
      </c>
      <c r="I584" s="208">
        <v>140</v>
      </c>
      <c r="J584" s="208">
        <v>60.2</v>
      </c>
      <c r="K584" s="208">
        <v>0</v>
      </c>
      <c r="L584" s="208">
        <v>79.8</v>
      </c>
      <c r="M584" s="208" t="s">
        <v>244</v>
      </c>
      <c r="N584" s="208">
        <v>65</v>
      </c>
      <c r="O584" s="208">
        <v>215</v>
      </c>
      <c r="P584" s="208">
        <v>22</v>
      </c>
      <c r="Q584" s="208">
        <v>124.7</v>
      </c>
    </row>
    <row r="585" spans="1:17">
      <c r="A585" s="218">
        <v>44196</v>
      </c>
      <c r="B585" s="208" t="s">
        <v>259</v>
      </c>
      <c r="C585" s="208" t="s">
        <v>8</v>
      </c>
      <c r="D585" s="208">
        <v>2020</v>
      </c>
      <c r="E585" s="208" t="s">
        <v>118</v>
      </c>
      <c r="F585" s="208" t="s">
        <v>95</v>
      </c>
      <c r="G585" s="208" t="s">
        <v>243</v>
      </c>
      <c r="H585" s="208">
        <v>2</v>
      </c>
      <c r="I585" s="208">
        <v>395</v>
      </c>
      <c r="J585" s="208">
        <v>150.5</v>
      </c>
      <c r="K585" s="208">
        <v>0</v>
      </c>
      <c r="L585" s="208">
        <v>244.5</v>
      </c>
      <c r="M585" s="208" t="s">
        <v>244</v>
      </c>
      <c r="N585" s="208">
        <v>65</v>
      </c>
      <c r="O585" s="208">
        <v>215</v>
      </c>
      <c r="P585" s="208">
        <v>22</v>
      </c>
      <c r="Q585" s="208">
        <v>124.7</v>
      </c>
    </row>
    <row r="586" spans="1:17">
      <c r="A586" s="218">
        <v>44196</v>
      </c>
      <c r="B586" s="208" t="s">
        <v>37</v>
      </c>
      <c r="C586" s="208" t="s">
        <v>8</v>
      </c>
      <c r="D586" s="208">
        <v>2020</v>
      </c>
      <c r="E586" s="208" t="s">
        <v>119</v>
      </c>
      <c r="F586" s="208" t="s">
        <v>95</v>
      </c>
      <c r="G586" s="208" t="s">
        <v>243</v>
      </c>
      <c r="H586" s="208">
        <v>128</v>
      </c>
      <c r="I586" s="208">
        <v>7309.0199999999968</v>
      </c>
      <c r="J586" s="208">
        <v>5116.2900000000045</v>
      </c>
      <c r="K586" s="208">
        <v>0</v>
      </c>
      <c r="L586" s="208">
        <v>2192.73</v>
      </c>
      <c r="M586" s="208" t="s">
        <v>244</v>
      </c>
      <c r="N586" s="208">
        <v>-98</v>
      </c>
      <c r="O586" s="208">
        <v>600</v>
      </c>
      <c r="P586" s="208">
        <v>-29.4</v>
      </c>
      <c r="Q586" s="208">
        <v>600</v>
      </c>
    </row>
    <row r="587" spans="1:17">
      <c r="A587" s="218">
        <v>44196</v>
      </c>
      <c r="B587" s="208" t="s">
        <v>258</v>
      </c>
      <c r="C587" s="208" t="s">
        <v>8</v>
      </c>
      <c r="D587" s="208">
        <v>2020</v>
      </c>
      <c r="E587" s="208" t="s">
        <v>119</v>
      </c>
      <c r="F587" s="208" t="s">
        <v>95</v>
      </c>
      <c r="G587" s="208" t="s">
        <v>243</v>
      </c>
      <c r="H587" s="208">
        <v>316</v>
      </c>
      <c r="I587" s="208">
        <v>15873.350000000002</v>
      </c>
      <c r="J587" s="208">
        <v>11106.000000000022</v>
      </c>
      <c r="K587" s="208">
        <v>0</v>
      </c>
      <c r="L587" s="208">
        <v>4758.2600000000057</v>
      </c>
      <c r="M587" s="208" t="s">
        <v>244</v>
      </c>
      <c r="N587" s="208">
        <v>-98</v>
      </c>
      <c r="O587" s="208">
        <v>600</v>
      </c>
      <c r="P587" s="208">
        <v>-29.4</v>
      </c>
      <c r="Q587" s="208">
        <v>600</v>
      </c>
    </row>
    <row r="588" spans="1:17">
      <c r="A588" s="218">
        <v>44196</v>
      </c>
      <c r="B588" s="208" t="s">
        <v>258</v>
      </c>
      <c r="C588" s="208" t="s">
        <v>8</v>
      </c>
      <c r="D588" s="208">
        <v>2019</v>
      </c>
      <c r="E588" s="208" t="s">
        <v>119</v>
      </c>
      <c r="F588" s="208" t="s">
        <v>95</v>
      </c>
      <c r="G588" s="208" t="s">
        <v>243</v>
      </c>
      <c r="H588" s="208">
        <v>803</v>
      </c>
      <c r="I588" s="208">
        <v>30631.54000000003</v>
      </c>
      <c r="J588" s="208">
        <v>20387.4900000001</v>
      </c>
      <c r="K588" s="208">
        <v>55.78</v>
      </c>
      <c r="L588" s="208">
        <v>8873.8100000000268</v>
      </c>
      <c r="M588" s="208" t="s">
        <v>244</v>
      </c>
      <c r="N588" s="208">
        <v>-86</v>
      </c>
      <c r="O588" s="208">
        <v>550</v>
      </c>
      <c r="P588" s="208">
        <v>-54.76</v>
      </c>
      <c r="Q588" s="208">
        <v>327.2</v>
      </c>
    </row>
    <row r="589" spans="1:17">
      <c r="A589" s="218">
        <v>44196</v>
      </c>
      <c r="B589" s="208" t="s">
        <v>261</v>
      </c>
      <c r="C589" s="208" t="s">
        <v>8</v>
      </c>
      <c r="D589" s="208">
        <v>2019</v>
      </c>
      <c r="E589" s="208" t="s">
        <v>119</v>
      </c>
      <c r="F589" s="208" t="s">
        <v>95</v>
      </c>
      <c r="G589" s="208" t="s">
        <v>243</v>
      </c>
      <c r="H589" s="208">
        <v>1</v>
      </c>
      <c r="I589" s="208">
        <v>53</v>
      </c>
      <c r="J589" s="208">
        <v>37.1</v>
      </c>
      <c r="K589" s="208">
        <v>0</v>
      </c>
      <c r="L589" s="208">
        <v>15.9</v>
      </c>
      <c r="M589" s="208" t="s">
        <v>244</v>
      </c>
      <c r="N589" s="208">
        <v>-86</v>
      </c>
      <c r="O589" s="208">
        <v>550</v>
      </c>
      <c r="P589" s="208">
        <v>-54.76</v>
      </c>
      <c r="Q589" s="208">
        <v>327.2</v>
      </c>
    </row>
    <row r="590" spans="1:17">
      <c r="A590" s="218">
        <v>44196</v>
      </c>
      <c r="B590" s="208" t="s">
        <v>259</v>
      </c>
      <c r="C590" s="208" t="s">
        <v>8</v>
      </c>
      <c r="D590" s="208">
        <v>2020</v>
      </c>
      <c r="E590" s="208" t="s">
        <v>119</v>
      </c>
      <c r="F590" s="208" t="s">
        <v>95</v>
      </c>
      <c r="G590" s="208" t="s">
        <v>243</v>
      </c>
      <c r="H590" s="208">
        <v>194</v>
      </c>
      <c r="I590" s="208">
        <v>9759.340000000002</v>
      </c>
      <c r="J590" s="208">
        <v>6880.0500000000193</v>
      </c>
      <c r="K590" s="208">
        <v>0</v>
      </c>
      <c r="L590" s="208">
        <v>2879.2900000000018</v>
      </c>
      <c r="M590" s="208" t="s">
        <v>244</v>
      </c>
      <c r="N590" s="208">
        <v>-98</v>
      </c>
      <c r="O590" s="208">
        <v>600</v>
      </c>
      <c r="P590" s="208">
        <v>-29.4</v>
      </c>
      <c r="Q590" s="208">
        <v>600</v>
      </c>
    </row>
    <row r="591" spans="1:17">
      <c r="A591" s="218">
        <v>44196</v>
      </c>
      <c r="B591" s="208" t="s">
        <v>29</v>
      </c>
      <c r="C591" s="208" t="s">
        <v>8</v>
      </c>
      <c r="D591" s="208">
        <v>2020</v>
      </c>
      <c r="E591" s="208" t="s">
        <v>119</v>
      </c>
      <c r="F591" s="208" t="s">
        <v>95</v>
      </c>
      <c r="G591" s="208" t="s">
        <v>243</v>
      </c>
      <c r="H591" s="208">
        <v>590</v>
      </c>
      <c r="I591" s="208">
        <v>28803.640000000189</v>
      </c>
      <c r="J591" s="208">
        <v>19802.370000000039</v>
      </c>
      <c r="K591" s="208">
        <v>0</v>
      </c>
      <c r="L591" s="208">
        <v>8973.419999999991</v>
      </c>
      <c r="M591" s="208" t="s">
        <v>244</v>
      </c>
      <c r="N591" s="208">
        <v>-98</v>
      </c>
      <c r="O591" s="208">
        <v>600</v>
      </c>
      <c r="P591" s="208">
        <v>-29.4</v>
      </c>
      <c r="Q591" s="208">
        <v>600</v>
      </c>
    </row>
    <row r="592" spans="1:17">
      <c r="A592" s="218">
        <v>44196</v>
      </c>
      <c r="B592" s="208" t="s">
        <v>225</v>
      </c>
      <c r="C592" s="208" t="s">
        <v>8</v>
      </c>
      <c r="D592" s="208">
        <v>2019</v>
      </c>
      <c r="E592" s="208" t="s">
        <v>119</v>
      </c>
      <c r="F592" s="208" t="s">
        <v>95</v>
      </c>
      <c r="G592" s="208" t="s">
        <v>243</v>
      </c>
      <c r="H592" s="208">
        <v>301</v>
      </c>
      <c r="I592" s="208">
        <v>11190.659999999991</v>
      </c>
      <c r="J592" s="208">
        <v>7054.2499999999891</v>
      </c>
      <c r="K592" s="208">
        <v>0</v>
      </c>
      <c r="L592" s="208">
        <v>4107.4699999999984</v>
      </c>
      <c r="M592" s="208" t="s">
        <v>244</v>
      </c>
      <c r="N592" s="208">
        <v>-86</v>
      </c>
      <c r="O592" s="208">
        <v>550</v>
      </c>
      <c r="P592" s="208">
        <v>-54.76</v>
      </c>
      <c r="Q592" s="208">
        <v>327.2</v>
      </c>
    </row>
    <row r="593" spans="1:17">
      <c r="A593" s="218">
        <v>44196</v>
      </c>
      <c r="B593" s="208" t="s">
        <v>225</v>
      </c>
      <c r="C593" s="208" t="s">
        <v>8</v>
      </c>
      <c r="D593" s="208">
        <v>2020</v>
      </c>
      <c r="E593" s="208" t="s">
        <v>119</v>
      </c>
      <c r="F593" s="208" t="s">
        <v>95</v>
      </c>
      <c r="G593" s="208" t="s">
        <v>243</v>
      </c>
      <c r="H593" s="208">
        <v>128</v>
      </c>
      <c r="I593" s="208">
        <v>7309.0199999999941</v>
      </c>
      <c r="J593" s="208">
        <v>5116.2900000000072</v>
      </c>
      <c r="K593" s="208">
        <v>0</v>
      </c>
      <c r="L593" s="208">
        <v>2192.7299999999991</v>
      </c>
      <c r="M593" s="208" t="s">
        <v>244</v>
      </c>
      <c r="N593" s="208">
        <v>-98</v>
      </c>
      <c r="O593" s="208">
        <v>600</v>
      </c>
      <c r="P593" s="208">
        <v>-29.4</v>
      </c>
      <c r="Q593" s="208">
        <v>600</v>
      </c>
    </row>
    <row r="594" spans="1:17">
      <c r="A594" s="218">
        <v>44196</v>
      </c>
      <c r="B594" s="208" t="s">
        <v>35</v>
      </c>
      <c r="C594" s="208" t="s">
        <v>8</v>
      </c>
      <c r="D594" s="208">
        <v>2019</v>
      </c>
      <c r="E594" s="208" t="s">
        <v>119</v>
      </c>
      <c r="F594" s="208" t="s">
        <v>95</v>
      </c>
      <c r="G594" s="208" t="s">
        <v>243</v>
      </c>
      <c r="H594" s="208">
        <v>1</v>
      </c>
      <c r="I594" s="208">
        <v>53</v>
      </c>
      <c r="J594" s="208">
        <v>37.1</v>
      </c>
      <c r="K594" s="208">
        <v>0</v>
      </c>
      <c r="L594" s="208">
        <v>15.9</v>
      </c>
      <c r="M594" s="208" t="s">
        <v>244</v>
      </c>
      <c r="N594" s="208">
        <v>-86</v>
      </c>
      <c r="O594" s="208">
        <v>550</v>
      </c>
      <c r="P594" s="208">
        <v>-54.76</v>
      </c>
      <c r="Q594" s="208">
        <v>327.2</v>
      </c>
    </row>
    <row r="595" spans="1:17">
      <c r="A595" s="218">
        <v>44196</v>
      </c>
      <c r="B595" s="208" t="s">
        <v>36</v>
      </c>
      <c r="C595" s="208" t="s">
        <v>8</v>
      </c>
      <c r="D595" s="208">
        <v>2019</v>
      </c>
      <c r="E595" s="208" t="s">
        <v>119</v>
      </c>
      <c r="F595" s="208" t="s">
        <v>95</v>
      </c>
      <c r="G595" s="208" t="s">
        <v>243</v>
      </c>
      <c r="H595" s="208">
        <v>451</v>
      </c>
      <c r="I595" s="208">
        <v>15517.959999999979</v>
      </c>
      <c r="J595" s="208">
        <v>10412.859999999993</v>
      </c>
      <c r="K595" s="208">
        <v>0</v>
      </c>
      <c r="L595" s="208">
        <v>5025.1000000000085</v>
      </c>
      <c r="M595" s="208" t="s">
        <v>244</v>
      </c>
      <c r="N595" s="208">
        <v>-86</v>
      </c>
      <c r="O595" s="208">
        <v>550</v>
      </c>
      <c r="P595" s="208">
        <v>-54.76</v>
      </c>
      <c r="Q595" s="208">
        <v>327.2</v>
      </c>
    </row>
    <row r="596" spans="1:17">
      <c r="A596" s="218">
        <v>44196</v>
      </c>
      <c r="B596" s="208" t="s">
        <v>37</v>
      </c>
      <c r="C596" s="208" t="s">
        <v>8</v>
      </c>
      <c r="D596" s="208">
        <v>2019</v>
      </c>
      <c r="E596" s="208" t="s">
        <v>119</v>
      </c>
      <c r="F596" s="208" t="s">
        <v>95</v>
      </c>
      <c r="G596" s="208" t="s">
        <v>243</v>
      </c>
      <c r="H596" s="208">
        <v>301</v>
      </c>
      <c r="I596" s="208">
        <v>11190.66</v>
      </c>
      <c r="J596" s="208">
        <v>7054.2499999999845</v>
      </c>
      <c r="K596" s="208">
        <v>0</v>
      </c>
      <c r="L596" s="208">
        <v>4107.4699999999975</v>
      </c>
      <c r="M596" s="208" t="s">
        <v>244</v>
      </c>
      <c r="N596" s="208">
        <v>-86</v>
      </c>
      <c r="O596" s="208">
        <v>550</v>
      </c>
      <c r="P596" s="208">
        <v>-54.76</v>
      </c>
      <c r="Q596" s="208">
        <v>327.2</v>
      </c>
    </row>
    <row r="597" spans="1:17">
      <c r="A597" s="218">
        <v>44196</v>
      </c>
      <c r="B597" s="208" t="s">
        <v>260</v>
      </c>
      <c r="C597" s="208" t="s">
        <v>8</v>
      </c>
      <c r="D597" s="208">
        <v>2019</v>
      </c>
      <c r="E597" s="208" t="s">
        <v>119</v>
      </c>
      <c r="F597" s="208" t="s">
        <v>95</v>
      </c>
      <c r="G597" s="208" t="s">
        <v>243</v>
      </c>
      <c r="H597" s="208">
        <v>1383</v>
      </c>
      <c r="I597" s="208">
        <v>49318.44999999967</v>
      </c>
      <c r="J597" s="208">
        <v>33297.230000000149</v>
      </c>
      <c r="K597" s="208">
        <v>180.12</v>
      </c>
      <c r="L597" s="208">
        <v>14461.000000000058</v>
      </c>
      <c r="M597" s="208" t="s">
        <v>244</v>
      </c>
      <c r="N597" s="208">
        <v>-86</v>
      </c>
      <c r="O597" s="208">
        <v>550</v>
      </c>
      <c r="P597" s="208">
        <v>-54.76</v>
      </c>
      <c r="Q597" s="208">
        <v>327.2</v>
      </c>
    </row>
    <row r="598" spans="1:17">
      <c r="A598" s="218">
        <v>44196</v>
      </c>
      <c r="B598" s="208" t="s">
        <v>35</v>
      </c>
      <c r="C598" s="208" t="s">
        <v>8</v>
      </c>
      <c r="D598" s="208">
        <v>2020</v>
      </c>
      <c r="E598" s="208" t="s">
        <v>119</v>
      </c>
      <c r="F598" s="208" t="s">
        <v>95</v>
      </c>
      <c r="G598" s="208" t="s">
        <v>243</v>
      </c>
      <c r="H598" s="208">
        <v>2</v>
      </c>
      <c r="I598" s="208">
        <v>143.38</v>
      </c>
      <c r="J598" s="208">
        <v>100.36999999999999</v>
      </c>
      <c r="K598" s="208">
        <v>0</v>
      </c>
      <c r="L598" s="208">
        <v>43.01</v>
      </c>
      <c r="M598" s="208" t="s">
        <v>244</v>
      </c>
      <c r="N598" s="208">
        <v>-98</v>
      </c>
      <c r="O598" s="208">
        <v>600</v>
      </c>
      <c r="P598" s="208">
        <v>-29.4</v>
      </c>
      <c r="Q598" s="208">
        <v>600</v>
      </c>
    </row>
    <row r="599" spans="1:17">
      <c r="A599" s="218">
        <v>44196</v>
      </c>
      <c r="B599" s="208" t="s">
        <v>36</v>
      </c>
      <c r="C599" s="208" t="s">
        <v>8</v>
      </c>
      <c r="D599" s="208">
        <v>2020</v>
      </c>
      <c r="E599" s="208" t="s">
        <v>119</v>
      </c>
      <c r="F599" s="208" t="s">
        <v>95</v>
      </c>
      <c r="G599" s="208" t="s">
        <v>243</v>
      </c>
      <c r="H599" s="208">
        <v>194</v>
      </c>
      <c r="I599" s="208">
        <v>9759.3400000000092</v>
      </c>
      <c r="J599" s="208">
        <v>6880.0500000000184</v>
      </c>
      <c r="K599" s="208">
        <v>0</v>
      </c>
      <c r="L599" s="208">
        <v>2879.2900000000018</v>
      </c>
      <c r="M599" s="208" t="s">
        <v>244</v>
      </c>
      <c r="N599" s="208">
        <v>-98</v>
      </c>
      <c r="O599" s="208">
        <v>600</v>
      </c>
      <c r="P599" s="208">
        <v>-29.4</v>
      </c>
      <c r="Q599" s="208">
        <v>600</v>
      </c>
    </row>
    <row r="600" spans="1:17">
      <c r="A600" s="218">
        <v>44196</v>
      </c>
      <c r="B600" s="208" t="s">
        <v>29</v>
      </c>
      <c r="C600" s="208" t="s">
        <v>8</v>
      </c>
      <c r="D600" s="208">
        <v>2019</v>
      </c>
      <c r="E600" s="208" t="s">
        <v>119</v>
      </c>
      <c r="F600" s="208" t="s">
        <v>95</v>
      </c>
      <c r="G600" s="208" t="s">
        <v>243</v>
      </c>
      <c r="H600" s="208">
        <v>1383</v>
      </c>
      <c r="I600" s="208">
        <v>49318.44999999959</v>
      </c>
      <c r="J600" s="208">
        <v>33297.230000000265</v>
      </c>
      <c r="K600" s="208">
        <v>180.12</v>
      </c>
      <c r="L600" s="208">
        <v>14461.000000000118</v>
      </c>
      <c r="M600" s="208" t="s">
        <v>244</v>
      </c>
      <c r="N600" s="208">
        <v>-86</v>
      </c>
      <c r="O600" s="208">
        <v>550</v>
      </c>
      <c r="P600" s="208">
        <v>-54.76</v>
      </c>
      <c r="Q600" s="208">
        <v>327.2</v>
      </c>
    </row>
    <row r="601" spans="1:17">
      <c r="A601" s="218">
        <v>44196</v>
      </c>
      <c r="B601" s="208" t="s">
        <v>31</v>
      </c>
      <c r="C601" s="208" t="s">
        <v>8</v>
      </c>
      <c r="D601" s="208">
        <v>2020</v>
      </c>
      <c r="E601" s="208" t="s">
        <v>119</v>
      </c>
      <c r="F601" s="208" t="s">
        <v>95</v>
      </c>
      <c r="G601" s="208" t="s">
        <v>243</v>
      </c>
      <c r="H601" s="208">
        <v>316</v>
      </c>
      <c r="I601" s="208">
        <v>15873.349999999988</v>
      </c>
      <c r="J601" s="208">
        <v>11106.000000000011</v>
      </c>
      <c r="K601" s="208">
        <v>0</v>
      </c>
      <c r="L601" s="208">
        <v>4758.2600000000075</v>
      </c>
      <c r="M601" s="208" t="s">
        <v>244</v>
      </c>
      <c r="N601" s="208">
        <v>-98</v>
      </c>
      <c r="O601" s="208">
        <v>600</v>
      </c>
      <c r="P601" s="208">
        <v>-29.4</v>
      </c>
      <c r="Q601" s="208">
        <v>600</v>
      </c>
    </row>
    <row r="602" spans="1:17">
      <c r="A602" s="218">
        <v>44196</v>
      </c>
      <c r="B602" s="208" t="s">
        <v>261</v>
      </c>
      <c r="C602" s="208" t="s">
        <v>8</v>
      </c>
      <c r="D602" s="208">
        <v>2020</v>
      </c>
      <c r="E602" s="208" t="s">
        <v>119</v>
      </c>
      <c r="F602" s="208" t="s">
        <v>95</v>
      </c>
      <c r="G602" s="208" t="s">
        <v>243</v>
      </c>
      <c r="H602" s="208">
        <v>2</v>
      </c>
      <c r="I602" s="208">
        <v>143.38</v>
      </c>
      <c r="J602" s="208">
        <v>100.36999999999999</v>
      </c>
      <c r="K602" s="208">
        <v>0</v>
      </c>
      <c r="L602" s="208">
        <v>43.01</v>
      </c>
      <c r="M602" s="208" t="s">
        <v>244</v>
      </c>
      <c r="N602" s="208">
        <v>-98</v>
      </c>
      <c r="O602" s="208">
        <v>600</v>
      </c>
      <c r="P602" s="208">
        <v>-29.4</v>
      </c>
      <c r="Q602" s="208">
        <v>600</v>
      </c>
    </row>
    <row r="603" spans="1:17">
      <c r="A603" s="218">
        <v>44196</v>
      </c>
      <c r="B603" s="208" t="s">
        <v>259</v>
      </c>
      <c r="C603" s="208" t="s">
        <v>8</v>
      </c>
      <c r="D603" s="208">
        <v>2019</v>
      </c>
      <c r="E603" s="208" t="s">
        <v>119</v>
      </c>
      <c r="F603" s="208" t="s">
        <v>95</v>
      </c>
      <c r="G603" s="208" t="s">
        <v>243</v>
      </c>
      <c r="H603" s="208">
        <v>451</v>
      </c>
      <c r="I603" s="208">
        <v>15517.959999999979</v>
      </c>
      <c r="J603" s="208">
        <v>10412.859999999993</v>
      </c>
      <c r="K603" s="208">
        <v>0</v>
      </c>
      <c r="L603" s="208">
        <v>5025.100000000004</v>
      </c>
      <c r="M603" s="208" t="s">
        <v>244</v>
      </c>
      <c r="N603" s="208">
        <v>-86</v>
      </c>
      <c r="O603" s="208">
        <v>550</v>
      </c>
      <c r="P603" s="208">
        <v>-54.76</v>
      </c>
      <c r="Q603" s="208">
        <v>327.2</v>
      </c>
    </row>
    <row r="604" spans="1:17">
      <c r="A604" s="218">
        <v>44196</v>
      </c>
      <c r="B604" s="208" t="s">
        <v>31</v>
      </c>
      <c r="C604" s="208" t="s">
        <v>8</v>
      </c>
      <c r="D604" s="208">
        <v>2019</v>
      </c>
      <c r="E604" s="208" t="s">
        <v>119</v>
      </c>
      <c r="F604" s="208" t="s">
        <v>95</v>
      </c>
      <c r="G604" s="208" t="s">
        <v>243</v>
      </c>
      <c r="H604" s="208">
        <v>803</v>
      </c>
      <c r="I604" s="208">
        <v>30631.539999999921</v>
      </c>
      <c r="J604" s="208">
        <v>20387.490000000089</v>
      </c>
      <c r="K604" s="208">
        <v>55.78</v>
      </c>
      <c r="L604" s="208">
        <v>8873.8100000000431</v>
      </c>
      <c r="M604" s="208" t="s">
        <v>244</v>
      </c>
      <c r="N604" s="208">
        <v>-86</v>
      </c>
      <c r="O604" s="208">
        <v>550</v>
      </c>
      <c r="P604" s="208">
        <v>-54.76</v>
      </c>
      <c r="Q604" s="208">
        <v>327.2</v>
      </c>
    </row>
    <row r="605" spans="1:17">
      <c r="A605" s="218">
        <v>44196</v>
      </c>
      <c r="B605" s="208" t="s">
        <v>260</v>
      </c>
      <c r="C605" s="208" t="s">
        <v>8</v>
      </c>
      <c r="D605" s="208">
        <v>2020</v>
      </c>
      <c r="E605" s="208" t="s">
        <v>119</v>
      </c>
      <c r="F605" s="208" t="s">
        <v>95</v>
      </c>
      <c r="G605" s="208" t="s">
        <v>243</v>
      </c>
      <c r="H605" s="208">
        <v>590</v>
      </c>
      <c r="I605" s="208">
        <v>28803.640000000149</v>
      </c>
      <c r="J605" s="208">
        <v>19802.370000000028</v>
      </c>
      <c r="K605" s="208">
        <v>0</v>
      </c>
      <c r="L605" s="208">
        <v>8973.4199999999746</v>
      </c>
      <c r="M605" s="208" t="s">
        <v>244</v>
      </c>
      <c r="N605" s="208">
        <v>-98</v>
      </c>
      <c r="O605" s="208">
        <v>600</v>
      </c>
      <c r="P605" s="208">
        <v>-29.4</v>
      </c>
      <c r="Q605" s="208">
        <v>600</v>
      </c>
    </row>
    <row r="606" spans="1:17">
      <c r="A606" s="218">
        <v>44196</v>
      </c>
      <c r="B606" s="208" t="s">
        <v>259</v>
      </c>
      <c r="C606" s="208" t="s">
        <v>8</v>
      </c>
      <c r="D606" s="208">
        <v>2019</v>
      </c>
      <c r="E606" s="208" t="s">
        <v>179</v>
      </c>
      <c r="F606" s="208" t="s">
        <v>95</v>
      </c>
      <c r="G606" s="208" t="s">
        <v>243</v>
      </c>
      <c r="H606" s="208">
        <v>1</v>
      </c>
      <c r="I606" s="208">
        <v>200</v>
      </c>
      <c r="J606" s="208">
        <v>45.15</v>
      </c>
      <c r="K606" s="208">
        <v>0</v>
      </c>
      <c r="L606" s="208">
        <v>154.85</v>
      </c>
      <c r="M606" s="208" t="s">
        <v>244</v>
      </c>
      <c r="N606" s="208">
        <v>200</v>
      </c>
      <c r="O606" s="208">
        <v>200</v>
      </c>
      <c r="P606" s="208">
        <v>154.85</v>
      </c>
      <c r="Q606" s="208">
        <v>154.85</v>
      </c>
    </row>
    <row r="607" spans="1:17">
      <c r="A607" s="218">
        <v>44196</v>
      </c>
      <c r="B607" s="208" t="s">
        <v>36</v>
      </c>
      <c r="C607" s="208" t="s">
        <v>8</v>
      </c>
      <c r="D607" s="208">
        <v>2019</v>
      </c>
      <c r="E607" s="208" t="s">
        <v>179</v>
      </c>
      <c r="F607" s="208" t="s">
        <v>95</v>
      </c>
      <c r="G607" s="208" t="s">
        <v>243</v>
      </c>
      <c r="H607" s="208">
        <v>1</v>
      </c>
      <c r="I607" s="208">
        <v>200</v>
      </c>
      <c r="J607" s="208">
        <v>45.15</v>
      </c>
      <c r="K607" s="208">
        <v>0</v>
      </c>
      <c r="L607" s="208">
        <v>154.85</v>
      </c>
      <c r="M607" s="208" t="s">
        <v>244</v>
      </c>
      <c r="N607" s="208">
        <v>200</v>
      </c>
      <c r="O607" s="208">
        <v>200</v>
      </c>
      <c r="P607" s="208">
        <v>154.85</v>
      </c>
      <c r="Q607" s="208">
        <v>154.85</v>
      </c>
    </row>
    <row r="608" spans="1:17">
      <c r="A608" s="218">
        <v>44196</v>
      </c>
      <c r="B608" s="208" t="s">
        <v>29</v>
      </c>
      <c r="C608" s="208" t="s">
        <v>8</v>
      </c>
      <c r="D608" s="208">
        <v>2020</v>
      </c>
      <c r="E608" s="208" t="s">
        <v>121</v>
      </c>
      <c r="F608" s="208" t="s">
        <v>120</v>
      </c>
      <c r="G608" s="208" t="s">
        <v>243</v>
      </c>
      <c r="H608" s="208">
        <v>6</v>
      </c>
      <c r="I608" s="208">
        <v>0</v>
      </c>
      <c r="J608" s="208">
        <v>1.4210854715202004E-14</v>
      </c>
      <c r="K608" s="208">
        <v>0</v>
      </c>
      <c r="L608" s="208">
        <v>0</v>
      </c>
      <c r="M608" s="208" t="s">
        <v>244</v>
      </c>
      <c r="N608" s="208">
        <v>-145.01</v>
      </c>
      <c r="O608" s="208">
        <v>145.01</v>
      </c>
      <c r="P608" s="208">
        <v>-29</v>
      </c>
      <c r="Q608" s="208">
        <v>29</v>
      </c>
    </row>
    <row r="609" spans="1:17">
      <c r="A609" s="218">
        <v>44196</v>
      </c>
      <c r="B609" s="208" t="s">
        <v>260</v>
      </c>
      <c r="C609" s="208" t="s">
        <v>8</v>
      </c>
      <c r="D609" s="208">
        <v>2020</v>
      </c>
      <c r="E609" s="208" t="s">
        <v>121</v>
      </c>
      <c r="F609" s="208" t="s">
        <v>120</v>
      </c>
      <c r="G609" s="208" t="s">
        <v>243</v>
      </c>
      <c r="H609" s="208">
        <v>6</v>
      </c>
      <c r="I609" s="208">
        <v>0</v>
      </c>
      <c r="J609" s="208">
        <v>0</v>
      </c>
      <c r="K609" s="208">
        <v>0</v>
      </c>
      <c r="L609" s="208">
        <v>0</v>
      </c>
      <c r="M609" s="208" t="s">
        <v>244</v>
      </c>
      <c r="N609" s="208">
        <v>-145.01</v>
      </c>
      <c r="O609" s="208">
        <v>145.01</v>
      </c>
      <c r="P609" s="208">
        <v>-29</v>
      </c>
      <c r="Q609" s="208">
        <v>29</v>
      </c>
    </row>
    <row r="610" spans="1:17">
      <c r="A610" s="218">
        <v>44196</v>
      </c>
      <c r="B610" s="208" t="s">
        <v>260</v>
      </c>
      <c r="C610" s="208" t="s">
        <v>8</v>
      </c>
      <c r="D610" s="208">
        <v>2019</v>
      </c>
      <c r="E610" s="208" t="s">
        <v>121</v>
      </c>
      <c r="F610" s="208" t="s">
        <v>120</v>
      </c>
      <c r="G610" s="208" t="s">
        <v>243</v>
      </c>
      <c r="H610" s="208">
        <v>2</v>
      </c>
      <c r="I610" s="208">
        <v>0</v>
      </c>
      <c r="J610" s="208">
        <v>0</v>
      </c>
      <c r="K610" s="208">
        <v>0</v>
      </c>
      <c r="L610" s="208">
        <v>0</v>
      </c>
      <c r="M610" s="208" t="s">
        <v>244</v>
      </c>
      <c r="N610" s="208">
        <v>-33.44</v>
      </c>
      <c r="O610" s="208">
        <v>33.44</v>
      </c>
      <c r="P610" s="208">
        <v>-10.029999999999999</v>
      </c>
      <c r="Q610" s="208">
        <v>10.029999999999999</v>
      </c>
    </row>
    <row r="611" spans="1:17">
      <c r="A611" s="218">
        <v>44196</v>
      </c>
      <c r="B611" s="208" t="s">
        <v>29</v>
      </c>
      <c r="C611" s="208" t="s">
        <v>8</v>
      </c>
      <c r="D611" s="208">
        <v>2019</v>
      </c>
      <c r="E611" s="208" t="s">
        <v>121</v>
      </c>
      <c r="F611" s="208" t="s">
        <v>120</v>
      </c>
      <c r="G611" s="208" t="s">
        <v>243</v>
      </c>
      <c r="H611" s="208">
        <v>2</v>
      </c>
      <c r="I611" s="208">
        <v>0</v>
      </c>
      <c r="J611" s="208">
        <v>0</v>
      </c>
      <c r="K611" s="208">
        <v>0</v>
      </c>
      <c r="L611" s="208">
        <v>0</v>
      </c>
      <c r="M611" s="208" t="s">
        <v>244</v>
      </c>
      <c r="N611" s="208">
        <v>-33.44</v>
      </c>
      <c r="O611" s="208">
        <v>33.44</v>
      </c>
      <c r="P611" s="208">
        <v>-10.029999999999999</v>
      </c>
      <c r="Q611" s="208">
        <v>10.029999999999999</v>
      </c>
    </row>
    <row r="612" spans="1:17">
      <c r="A612" s="218">
        <v>44196</v>
      </c>
      <c r="B612" s="208" t="s">
        <v>29</v>
      </c>
      <c r="C612" s="208" t="s">
        <v>8</v>
      </c>
      <c r="D612" s="208">
        <v>2019</v>
      </c>
      <c r="E612" s="208" t="s">
        <v>122</v>
      </c>
      <c r="F612" s="208" t="s">
        <v>120</v>
      </c>
      <c r="G612" s="208" t="s">
        <v>243</v>
      </c>
      <c r="H612" s="208">
        <v>938</v>
      </c>
      <c r="I612" s="208">
        <v>60289.560000000019</v>
      </c>
      <c r="J612" s="208">
        <v>0</v>
      </c>
      <c r="K612" s="208">
        <v>5200.579999999999</v>
      </c>
      <c r="L612" s="208">
        <v>45918.240000000034</v>
      </c>
      <c r="M612" s="208" t="s">
        <v>244</v>
      </c>
      <c r="N612" s="208">
        <v>-1215.72</v>
      </c>
      <c r="O612" s="208">
        <v>400</v>
      </c>
      <c r="P612" s="208">
        <v>-1215.72</v>
      </c>
      <c r="Q612" s="208">
        <v>135.08000000000001</v>
      </c>
    </row>
    <row r="613" spans="1:17">
      <c r="A613" s="218">
        <v>44196</v>
      </c>
      <c r="B613" s="208" t="s">
        <v>31</v>
      </c>
      <c r="C613" s="208" t="s">
        <v>8</v>
      </c>
      <c r="D613" s="208">
        <v>2020</v>
      </c>
      <c r="E613" s="208" t="s">
        <v>122</v>
      </c>
      <c r="F613" s="208" t="s">
        <v>120</v>
      </c>
      <c r="G613" s="208" t="s">
        <v>243</v>
      </c>
      <c r="H613" s="208">
        <v>232</v>
      </c>
      <c r="I613" s="208">
        <v>15142.92</v>
      </c>
      <c r="J613" s="208">
        <v>0</v>
      </c>
      <c r="K613" s="208">
        <v>0</v>
      </c>
      <c r="L613" s="208">
        <v>14495.439999999997</v>
      </c>
      <c r="M613" s="208" t="s">
        <v>244</v>
      </c>
      <c r="N613" s="208">
        <v>-149</v>
      </c>
      <c r="O613" s="208">
        <v>220</v>
      </c>
      <c r="P613" s="208">
        <v>-72</v>
      </c>
      <c r="Q613" s="208">
        <v>137.12</v>
      </c>
    </row>
    <row r="614" spans="1:17">
      <c r="A614" s="218">
        <v>44196</v>
      </c>
      <c r="B614" s="208" t="s">
        <v>29</v>
      </c>
      <c r="C614" s="208" t="s">
        <v>8</v>
      </c>
      <c r="D614" s="208">
        <v>2020</v>
      </c>
      <c r="E614" s="208" t="s">
        <v>122</v>
      </c>
      <c r="F614" s="208" t="s">
        <v>120</v>
      </c>
      <c r="G614" s="208" t="s">
        <v>243</v>
      </c>
      <c r="H614" s="208">
        <v>412</v>
      </c>
      <c r="I614" s="208">
        <v>27347.66</v>
      </c>
      <c r="J614" s="208">
        <v>0</v>
      </c>
      <c r="K614" s="208">
        <v>1165.52</v>
      </c>
      <c r="L614" s="208">
        <v>23798.98</v>
      </c>
      <c r="M614" s="208" t="s">
        <v>244</v>
      </c>
      <c r="N614" s="208">
        <v>-149</v>
      </c>
      <c r="O614" s="208">
        <v>220</v>
      </c>
      <c r="P614" s="208">
        <v>-72</v>
      </c>
      <c r="Q614" s="208">
        <v>137.12</v>
      </c>
    </row>
    <row r="615" spans="1:17">
      <c r="A615" s="218">
        <v>44196</v>
      </c>
      <c r="B615" s="208" t="s">
        <v>36</v>
      </c>
      <c r="C615" s="208" t="s">
        <v>8</v>
      </c>
      <c r="D615" s="208">
        <v>2020</v>
      </c>
      <c r="E615" s="208" t="s">
        <v>122</v>
      </c>
      <c r="F615" s="208" t="s">
        <v>120</v>
      </c>
      <c r="G615" s="208" t="s">
        <v>243</v>
      </c>
      <c r="H615" s="208">
        <v>111</v>
      </c>
      <c r="I615" s="208">
        <v>11125.2</v>
      </c>
      <c r="J615" s="208">
        <v>0</v>
      </c>
      <c r="K615" s="208">
        <v>0</v>
      </c>
      <c r="L615" s="208">
        <v>11125.2</v>
      </c>
      <c r="M615" s="208" t="s">
        <v>244</v>
      </c>
      <c r="N615" s="208">
        <v>-149</v>
      </c>
      <c r="O615" s="208">
        <v>220</v>
      </c>
      <c r="P615" s="208">
        <v>-72</v>
      </c>
      <c r="Q615" s="208">
        <v>137.12</v>
      </c>
    </row>
    <row r="616" spans="1:17">
      <c r="A616" s="218">
        <v>44196</v>
      </c>
      <c r="B616" s="208" t="s">
        <v>260</v>
      </c>
      <c r="C616" s="208" t="s">
        <v>8</v>
      </c>
      <c r="D616" s="208">
        <v>2019</v>
      </c>
      <c r="E616" s="208" t="s">
        <v>122</v>
      </c>
      <c r="F616" s="208" t="s">
        <v>120</v>
      </c>
      <c r="G616" s="208" t="s">
        <v>243</v>
      </c>
      <c r="H616" s="208">
        <v>938</v>
      </c>
      <c r="I616" s="208">
        <v>60289.560000000019</v>
      </c>
      <c r="J616" s="208">
        <v>0</v>
      </c>
      <c r="K616" s="208">
        <v>5200.579999999999</v>
      </c>
      <c r="L616" s="208">
        <v>45918.240000000034</v>
      </c>
      <c r="M616" s="208" t="s">
        <v>244</v>
      </c>
      <c r="N616" s="208">
        <v>-1215.72</v>
      </c>
      <c r="O616" s="208">
        <v>400</v>
      </c>
      <c r="P616" s="208">
        <v>-1215.72</v>
      </c>
      <c r="Q616" s="208">
        <v>135.08000000000001</v>
      </c>
    </row>
    <row r="617" spans="1:17">
      <c r="A617" s="218">
        <v>44196</v>
      </c>
      <c r="B617" s="208" t="s">
        <v>258</v>
      </c>
      <c r="C617" s="208" t="s">
        <v>8</v>
      </c>
      <c r="D617" s="208">
        <v>2020</v>
      </c>
      <c r="E617" s="208" t="s">
        <v>122</v>
      </c>
      <c r="F617" s="208" t="s">
        <v>120</v>
      </c>
      <c r="G617" s="208" t="s">
        <v>243</v>
      </c>
      <c r="H617" s="208">
        <v>232</v>
      </c>
      <c r="I617" s="208">
        <v>15142.92</v>
      </c>
      <c r="J617" s="208">
        <v>0</v>
      </c>
      <c r="K617" s="208">
        <v>0</v>
      </c>
      <c r="L617" s="208">
        <v>14495.44</v>
      </c>
      <c r="M617" s="208" t="s">
        <v>244</v>
      </c>
      <c r="N617" s="208">
        <v>-149</v>
      </c>
      <c r="O617" s="208">
        <v>220</v>
      </c>
      <c r="P617" s="208">
        <v>-72</v>
      </c>
      <c r="Q617" s="208">
        <v>137.12</v>
      </c>
    </row>
    <row r="618" spans="1:17">
      <c r="A618" s="218">
        <v>44196</v>
      </c>
      <c r="B618" s="208" t="s">
        <v>37</v>
      </c>
      <c r="C618" s="208" t="s">
        <v>8</v>
      </c>
      <c r="D618" s="208">
        <v>2019</v>
      </c>
      <c r="E618" s="208" t="s">
        <v>122</v>
      </c>
      <c r="F618" s="208" t="s">
        <v>120</v>
      </c>
      <c r="G618" s="208" t="s">
        <v>243</v>
      </c>
      <c r="H618" s="208">
        <v>220</v>
      </c>
      <c r="I618" s="208">
        <v>27440.16</v>
      </c>
      <c r="J618" s="208">
        <v>0</v>
      </c>
      <c r="K618" s="208">
        <v>8040.87</v>
      </c>
      <c r="L618" s="208">
        <v>12596.680000000004</v>
      </c>
      <c r="M618" s="208" t="s">
        <v>244</v>
      </c>
      <c r="N618" s="208">
        <v>-1215.72</v>
      </c>
      <c r="O618" s="208">
        <v>400</v>
      </c>
      <c r="P618" s="208">
        <v>-1215.72</v>
      </c>
      <c r="Q618" s="208">
        <v>135.08000000000001</v>
      </c>
    </row>
    <row r="619" spans="1:17">
      <c r="A619" s="218">
        <v>44196</v>
      </c>
      <c r="B619" s="208" t="s">
        <v>261</v>
      </c>
      <c r="C619" s="208" t="s">
        <v>8</v>
      </c>
      <c r="D619" s="208">
        <v>2020</v>
      </c>
      <c r="E619" s="208" t="s">
        <v>122</v>
      </c>
      <c r="F619" s="208" t="s">
        <v>120</v>
      </c>
      <c r="G619" s="208" t="s">
        <v>243</v>
      </c>
      <c r="H619" s="208">
        <v>19</v>
      </c>
      <c r="I619" s="208">
        <v>2251</v>
      </c>
      <c r="J619" s="208">
        <v>0</v>
      </c>
      <c r="K619" s="208">
        <v>0</v>
      </c>
      <c r="L619" s="208">
        <v>2251</v>
      </c>
      <c r="M619" s="208" t="s">
        <v>244</v>
      </c>
      <c r="N619" s="208">
        <v>-149</v>
      </c>
      <c r="O619" s="208">
        <v>220</v>
      </c>
      <c r="P619" s="208">
        <v>-72</v>
      </c>
      <c r="Q619" s="208">
        <v>137.12</v>
      </c>
    </row>
    <row r="620" spans="1:17">
      <c r="A620" s="218">
        <v>44196</v>
      </c>
      <c r="B620" s="208" t="s">
        <v>258</v>
      </c>
      <c r="C620" s="208" t="s">
        <v>8</v>
      </c>
      <c r="D620" s="208">
        <v>2019</v>
      </c>
      <c r="E620" s="208" t="s">
        <v>122</v>
      </c>
      <c r="F620" s="208" t="s">
        <v>120</v>
      </c>
      <c r="G620" s="208" t="s">
        <v>243</v>
      </c>
      <c r="H620" s="208">
        <v>289</v>
      </c>
      <c r="I620" s="208">
        <v>19432.919999999998</v>
      </c>
      <c r="J620" s="208">
        <v>0</v>
      </c>
      <c r="K620" s="208">
        <v>0</v>
      </c>
      <c r="L620" s="208">
        <v>17223.380000000005</v>
      </c>
      <c r="M620" s="208" t="s">
        <v>244</v>
      </c>
      <c r="N620" s="208">
        <v>-1215.72</v>
      </c>
      <c r="O620" s="208">
        <v>400</v>
      </c>
      <c r="P620" s="208">
        <v>-1215.72</v>
      </c>
      <c r="Q620" s="208">
        <v>135.08000000000001</v>
      </c>
    </row>
    <row r="621" spans="1:17">
      <c r="A621" s="218">
        <v>44196</v>
      </c>
      <c r="B621" s="208" t="s">
        <v>225</v>
      </c>
      <c r="C621" s="208" t="s">
        <v>8</v>
      </c>
      <c r="D621" s="208">
        <v>2020</v>
      </c>
      <c r="E621" s="208" t="s">
        <v>122</v>
      </c>
      <c r="F621" s="208" t="s">
        <v>120</v>
      </c>
      <c r="G621" s="208" t="s">
        <v>243</v>
      </c>
      <c r="H621" s="208">
        <v>502</v>
      </c>
      <c r="I621" s="208">
        <v>64090.159999999996</v>
      </c>
      <c r="J621" s="208">
        <v>0</v>
      </c>
      <c r="K621" s="208">
        <v>22830.480000000003</v>
      </c>
      <c r="L621" s="208">
        <v>33326.960000000006</v>
      </c>
      <c r="M621" s="208" t="s">
        <v>244</v>
      </c>
      <c r="N621" s="208">
        <v>-149</v>
      </c>
      <c r="O621" s="208">
        <v>220</v>
      </c>
      <c r="P621" s="208">
        <v>-72</v>
      </c>
      <c r="Q621" s="208">
        <v>137.12</v>
      </c>
    </row>
    <row r="622" spans="1:17">
      <c r="A622" s="218">
        <v>44196</v>
      </c>
      <c r="B622" s="208" t="s">
        <v>31</v>
      </c>
      <c r="C622" s="208" t="s">
        <v>8</v>
      </c>
      <c r="D622" s="208">
        <v>2019</v>
      </c>
      <c r="E622" s="208" t="s">
        <v>122</v>
      </c>
      <c r="F622" s="208" t="s">
        <v>120</v>
      </c>
      <c r="G622" s="208" t="s">
        <v>243</v>
      </c>
      <c r="H622" s="208">
        <v>289</v>
      </c>
      <c r="I622" s="208">
        <v>19432.919999999998</v>
      </c>
      <c r="J622" s="208">
        <v>0</v>
      </c>
      <c r="K622" s="208">
        <v>0</v>
      </c>
      <c r="L622" s="208">
        <v>17223.380000000005</v>
      </c>
      <c r="M622" s="208" t="s">
        <v>244</v>
      </c>
      <c r="N622" s="208">
        <v>-1215.72</v>
      </c>
      <c r="O622" s="208">
        <v>400</v>
      </c>
      <c r="P622" s="208">
        <v>-1215.72</v>
      </c>
      <c r="Q622" s="208">
        <v>135.08000000000001</v>
      </c>
    </row>
    <row r="623" spans="1:17">
      <c r="A623" s="218">
        <v>44196</v>
      </c>
      <c r="B623" s="208" t="s">
        <v>260</v>
      </c>
      <c r="C623" s="208" t="s">
        <v>8</v>
      </c>
      <c r="D623" s="208">
        <v>2020</v>
      </c>
      <c r="E623" s="208" t="s">
        <v>122</v>
      </c>
      <c r="F623" s="208" t="s">
        <v>120</v>
      </c>
      <c r="G623" s="208" t="s">
        <v>243</v>
      </c>
      <c r="H623" s="208">
        <v>412</v>
      </c>
      <c r="I623" s="208">
        <v>27347.66</v>
      </c>
      <c r="J623" s="208">
        <v>0</v>
      </c>
      <c r="K623" s="208">
        <v>1165.5200000000002</v>
      </c>
      <c r="L623" s="208">
        <v>23798.979999999996</v>
      </c>
      <c r="M623" s="208" t="s">
        <v>244</v>
      </c>
      <c r="N623" s="208">
        <v>-149</v>
      </c>
      <c r="O623" s="208">
        <v>220</v>
      </c>
      <c r="P623" s="208">
        <v>-72</v>
      </c>
      <c r="Q623" s="208">
        <v>137.12</v>
      </c>
    </row>
    <row r="624" spans="1:17">
      <c r="A624" s="218">
        <v>44196</v>
      </c>
      <c r="B624" s="208" t="s">
        <v>259</v>
      </c>
      <c r="C624" s="208" t="s">
        <v>8</v>
      </c>
      <c r="D624" s="208">
        <v>2019</v>
      </c>
      <c r="E624" s="208" t="s">
        <v>122</v>
      </c>
      <c r="F624" s="208" t="s">
        <v>120</v>
      </c>
      <c r="G624" s="208" t="s">
        <v>243</v>
      </c>
      <c r="H624" s="208">
        <v>186</v>
      </c>
      <c r="I624" s="208">
        <v>13459.76</v>
      </c>
      <c r="J624" s="208">
        <v>0</v>
      </c>
      <c r="K624" s="208">
        <v>0</v>
      </c>
      <c r="L624" s="208">
        <v>13336.08</v>
      </c>
      <c r="M624" s="208" t="s">
        <v>244</v>
      </c>
      <c r="N624" s="208">
        <v>-1215.72</v>
      </c>
      <c r="O624" s="208">
        <v>400</v>
      </c>
      <c r="P624" s="208">
        <v>-1215.72</v>
      </c>
      <c r="Q624" s="208">
        <v>135.08000000000001</v>
      </c>
    </row>
    <row r="625" spans="1:17">
      <c r="A625" s="218">
        <v>44196</v>
      </c>
      <c r="B625" s="208" t="s">
        <v>225</v>
      </c>
      <c r="C625" s="208" t="s">
        <v>8</v>
      </c>
      <c r="D625" s="208">
        <v>2019</v>
      </c>
      <c r="E625" s="208" t="s">
        <v>122</v>
      </c>
      <c r="F625" s="208" t="s">
        <v>120</v>
      </c>
      <c r="G625" s="208" t="s">
        <v>243</v>
      </c>
      <c r="H625" s="208">
        <v>220</v>
      </c>
      <c r="I625" s="208">
        <v>27440.16</v>
      </c>
      <c r="J625" s="208">
        <v>0</v>
      </c>
      <c r="K625" s="208">
        <v>8040.87</v>
      </c>
      <c r="L625" s="208">
        <v>12596.68</v>
      </c>
      <c r="M625" s="208" t="s">
        <v>244</v>
      </c>
      <c r="N625" s="208">
        <v>-1215.72</v>
      </c>
      <c r="O625" s="208">
        <v>400</v>
      </c>
      <c r="P625" s="208">
        <v>-1215.72</v>
      </c>
      <c r="Q625" s="208">
        <v>135.08000000000001</v>
      </c>
    </row>
    <row r="626" spans="1:17">
      <c r="A626" s="218">
        <v>44196</v>
      </c>
      <c r="B626" s="208" t="s">
        <v>35</v>
      </c>
      <c r="C626" s="208" t="s">
        <v>8</v>
      </c>
      <c r="D626" s="208">
        <v>2020</v>
      </c>
      <c r="E626" s="208" t="s">
        <v>122</v>
      </c>
      <c r="F626" s="208" t="s">
        <v>120</v>
      </c>
      <c r="G626" s="208" t="s">
        <v>243</v>
      </c>
      <c r="H626" s="208">
        <v>19</v>
      </c>
      <c r="I626" s="208">
        <v>2251</v>
      </c>
      <c r="J626" s="208">
        <v>0</v>
      </c>
      <c r="K626" s="208">
        <v>0</v>
      </c>
      <c r="L626" s="208">
        <v>2251</v>
      </c>
      <c r="M626" s="208" t="s">
        <v>244</v>
      </c>
      <c r="N626" s="208">
        <v>-149</v>
      </c>
      <c r="O626" s="208">
        <v>220</v>
      </c>
      <c r="P626" s="208">
        <v>-72</v>
      </c>
      <c r="Q626" s="208">
        <v>137.12</v>
      </c>
    </row>
    <row r="627" spans="1:17">
      <c r="A627" s="218">
        <v>44196</v>
      </c>
      <c r="B627" s="208" t="s">
        <v>259</v>
      </c>
      <c r="C627" s="208" t="s">
        <v>8</v>
      </c>
      <c r="D627" s="208">
        <v>2020</v>
      </c>
      <c r="E627" s="208" t="s">
        <v>122</v>
      </c>
      <c r="F627" s="208" t="s">
        <v>120</v>
      </c>
      <c r="G627" s="208" t="s">
        <v>243</v>
      </c>
      <c r="H627" s="208">
        <v>111</v>
      </c>
      <c r="I627" s="208">
        <v>11125.199999999999</v>
      </c>
      <c r="J627" s="208">
        <v>0</v>
      </c>
      <c r="K627" s="208">
        <v>0</v>
      </c>
      <c r="L627" s="208">
        <v>11125.199999999999</v>
      </c>
      <c r="M627" s="208" t="s">
        <v>244</v>
      </c>
      <c r="N627" s="208">
        <v>-149</v>
      </c>
      <c r="O627" s="208">
        <v>220</v>
      </c>
      <c r="P627" s="208">
        <v>-72</v>
      </c>
      <c r="Q627" s="208">
        <v>137.12</v>
      </c>
    </row>
    <row r="628" spans="1:17">
      <c r="A628" s="218">
        <v>44196</v>
      </c>
      <c r="B628" s="208" t="s">
        <v>37</v>
      </c>
      <c r="C628" s="208" t="s">
        <v>8</v>
      </c>
      <c r="D628" s="208">
        <v>2020</v>
      </c>
      <c r="E628" s="208" t="s">
        <v>122</v>
      </c>
      <c r="F628" s="208" t="s">
        <v>120</v>
      </c>
      <c r="G628" s="208" t="s">
        <v>243</v>
      </c>
      <c r="H628" s="208">
        <v>502</v>
      </c>
      <c r="I628" s="208">
        <v>64090.159999999996</v>
      </c>
      <c r="J628" s="208">
        <v>0</v>
      </c>
      <c r="K628" s="208">
        <v>22830.480000000003</v>
      </c>
      <c r="L628" s="208">
        <v>33326.960000000006</v>
      </c>
      <c r="M628" s="208" t="s">
        <v>244</v>
      </c>
      <c r="N628" s="208">
        <v>-149</v>
      </c>
      <c r="O628" s="208">
        <v>220</v>
      </c>
      <c r="P628" s="208">
        <v>-72</v>
      </c>
      <c r="Q628" s="208">
        <v>137.12</v>
      </c>
    </row>
    <row r="629" spans="1:17">
      <c r="A629" s="218">
        <v>44196</v>
      </c>
      <c r="B629" s="208" t="s">
        <v>36</v>
      </c>
      <c r="C629" s="208" t="s">
        <v>8</v>
      </c>
      <c r="D629" s="208">
        <v>2019</v>
      </c>
      <c r="E629" s="208" t="s">
        <v>122</v>
      </c>
      <c r="F629" s="208" t="s">
        <v>120</v>
      </c>
      <c r="G629" s="208" t="s">
        <v>243</v>
      </c>
      <c r="H629" s="208">
        <v>186</v>
      </c>
      <c r="I629" s="208">
        <v>13459.76</v>
      </c>
      <c r="J629" s="208">
        <v>0</v>
      </c>
      <c r="K629" s="208">
        <v>0</v>
      </c>
      <c r="L629" s="208">
        <v>13336.079999999998</v>
      </c>
      <c r="M629" s="208" t="s">
        <v>244</v>
      </c>
      <c r="N629" s="208">
        <v>-1215.72</v>
      </c>
      <c r="O629" s="208">
        <v>400</v>
      </c>
      <c r="P629" s="208">
        <v>-1215.72</v>
      </c>
      <c r="Q629" s="208">
        <v>135.08000000000001</v>
      </c>
    </row>
    <row r="630" spans="1:17">
      <c r="A630" s="218">
        <v>44196</v>
      </c>
      <c r="B630" s="208" t="s">
        <v>37</v>
      </c>
      <c r="C630" s="208" t="s">
        <v>8</v>
      </c>
      <c r="D630" s="208">
        <v>2020</v>
      </c>
      <c r="E630" s="208" t="s">
        <v>123</v>
      </c>
      <c r="F630" s="208" t="s">
        <v>120</v>
      </c>
      <c r="G630" s="208" t="s">
        <v>243</v>
      </c>
      <c r="H630" s="208">
        <v>1</v>
      </c>
      <c r="I630" s="208">
        <v>885</v>
      </c>
      <c r="J630" s="208">
        <v>708</v>
      </c>
      <c r="K630" s="208">
        <v>0</v>
      </c>
      <c r="L630" s="208">
        <v>177</v>
      </c>
      <c r="M630" s="208" t="s">
        <v>244</v>
      </c>
      <c r="N630" s="208">
        <v>40.619999999999997</v>
      </c>
      <c r="O630" s="208">
        <v>885</v>
      </c>
      <c r="P630" s="208">
        <v>8.1199999999999992</v>
      </c>
      <c r="Q630" s="208">
        <v>177</v>
      </c>
    </row>
    <row r="631" spans="1:17">
      <c r="A631" s="218">
        <v>44196</v>
      </c>
      <c r="B631" s="208" t="s">
        <v>36</v>
      </c>
      <c r="C631" s="208" t="s">
        <v>8</v>
      </c>
      <c r="D631" s="208">
        <v>2019</v>
      </c>
      <c r="E631" s="208" t="s">
        <v>123</v>
      </c>
      <c r="F631" s="208" t="s">
        <v>120</v>
      </c>
      <c r="G631" s="208" t="s">
        <v>243</v>
      </c>
      <c r="H631" s="208">
        <v>1</v>
      </c>
      <c r="I631" s="208">
        <v>264.64</v>
      </c>
      <c r="J631" s="208">
        <v>211.71</v>
      </c>
      <c r="K631" s="208">
        <v>0</v>
      </c>
      <c r="L631" s="208">
        <v>52.93</v>
      </c>
      <c r="M631" s="208" t="s">
        <v>244</v>
      </c>
      <c r="N631" s="208">
        <v>39.549999999999997</v>
      </c>
      <c r="O631" s="208">
        <v>264.64</v>
      </c>
      <c r="P631" s="208">
        <v>7.91</v>
      </c>
      <c r="Q631" s="208">
        <v>52.93</v>
      </c>
    </row>
    <row r="632" spans="1:17">
      <c r="A632" s="218">
        <v>44196</v>
      </c>
      <c r="B632" s="208" t="s">
        <v>225</v>
      </c>
      <c r="C632" s="208" t="s">
        <v>8</v>
      </c>
      <c r="D632" s="208">
        <v>2020</v>
      </c>
      <c r="E632" s="208" t="s">
        <v>123</v>
      </c>
      <c r="F632" s="208" t="s">
        <v>120</v>
      </c>
      <c r="G632" s="208" t="s">
        <v>243</v>
      </c>
      <c r="H632" s="208">
        <v>1</v>
      </c>
      <c r="I632" s="208">
        <v>885</v>
      </c>
      <c r="J632" s="208">
        <v>708</v>
      </c>
      <c r="K632" s="208">
        <v>0</v>
      </c>
      <c r="L632" s="208">
        <v>177</v>
      </c>
      <c r="M632" s="208" t="s">
        <v>244</v>
      </c>
      <c r="N632" s="208">
        <v>40.619999999999997</v>
      </c>
      <c r="O632" s="208">
        <v>885</v>
      </c>
      <c r="P632" s="208">
        <v>8.1199999999999992</v>
      </c>
      <c r="Q632" s="208">
        <v>177</v>
      </c>
    </row>
    <row r="633" spans="1:17">
      <c r="A633" s="218">
        <v>44196</v>
      </c>
      <c r="B633" s="208" t="s">
        <v>31</v>
      </c>
      <c r="C633" s="208" t="s">
        <v>8</v>
      </c>
      <c r="D633" s="208">
        <v>2019</v>
      </c>
      <c r="E633" s="208" t="s">
        <v>123</v>
      </c>
      <c r="F633" s="208" t="s">
        <v>120</v>
      </c>
      <c r="G633" s="208" t="s">
        <v>243</v>
      </c>
      <c r="H633" s="208">
        <v>2</v>
      </c>
      <c r="I633" s="208">
        <v>290.06</v>
      </c>
      <c r="J633" s="208">
        <v>232.05</v>
      </c>
      <c r="K633" s="208">
        <v>0</v>
      </c>
      <c r="L633" s="208">
        <v>58.010000000000005</v>
      </c>
      <c r="M633" s="208" t="s">
        <v>244</v>
      </c>
      <c r="N633" s="208">
        <v>39.549999999999997</v>
      </c>
      <c r="O633" s="208">
        <v>264.64</v>
      </c>
      <c r="P633" s="208">
        <v>7.91</v>
      </c>
      <c r="Q633" s="208">
        <v>52.93</v>
      </c>
    </row>
    <row r="634" spans="1:17">
      <c r="A634" s="218">
        <v>44196</v>
      </c>
      <c r="B634" s="208" t="s">
        <v>29</v>
      </c>
      <c r="C634" s="208" t="s">
        <v>8</v>
      </c>
      <c r="D634" s="208">
        <v>2019</v>
      </c>
      <c r="E634" s="208" t="s">
        <v>123</v>
      </c>
      <c r="F634" s="208" t="s">
        <v>120</v>
      </c>
      <c r="G634" s="208" t="s">
        <v>243</v>
      </c>
      <c r="H634" s="208">
        <v>2</v>
      </c>
      <c r="I634" s="208">
        <v>100.36</v>
      </c>
      <c r="J634" s="208">
        <v>80.289999999999992</v>
      </c>
      <c r="K634" s="208">
        <v>0</v>
      </c>
      <c r="L634" s="208">
        <v>20.07</v>
      </c>
      <c r="M634" s="208" t="s">
        <v>244</v>
      </c>
      <c r="N634" s="208">
        <v>39.549999999999997</v>
      </c>
      <c r="O634" s="208">
        <v>264.64</v>
      </c>
      <c r="P634" s="208">
        <v>7.91</v>
      </c>
      <c r="Q634" s="208">
        <v>52.93</v>
      </c>
    </row>
    <row r="635" spans="1:17">
      <c r="A635" s="218">
        <v>44196</v>
      </c>
      <c r="B635" s="208" t="s">
        <v>31</v>
      </c>
      <c r="C635" s="208" t="s">
        <v>8</v>
      </c>
      <c r="D635" s="208">
        <v>2020</v>
      </c>
      <c r="E635" s="208" t="s">
        <v>123</v>
      </c>
      <c r="F635" s="208" t="s">
        <v>120</v>
      </c>
      <c r="G635" s="208" t="s">
        <v>243</v>
      </c>
      <c r="H635" s="208">
        <v>1</v>
      </c>
      <c r="I635" s="208">
        <v>40.619999999999997</v>
      </c>
      <c r="J635" s="208">
        <v>32.5</v>
      </c>
      <c r="K635" s="208">
        <v>0</v>
      </c>
      <c r="L635" s="208">
        <v>8.1199999999999992</v>
      </c>
      <c r="M635" s="208" t="s">
        <v>244</v>
      </c>
      <c r="N635" s="208">
        <v>40.619999999999997</v>
      </c>
      <c r="O635" s="208">
        <v>885</v>
      </c>
      <c r="P635" s="208">
        <v>8.1199999999999992</v>
      </c>
      <c r="Q635" s="208">
        <v>177</v>
      </c>
    </row>
    <row r="636" spans="1:17">
      <c r="A636" s="218">
        <v>44196</v>
      </c>
      <c r="B636" s="208" t="s">
        <v>259</v>
      </c>
      <c r="C636" s="208" t="s">
        <v>8</v>
      </c>
      <c r="D636" s="208">
        <v>2019</v>
      </c>
      <c r="E636" s="208" t="s">
        <v>123</v>
      </c>
      <c r="F636" s="208" t="s">
        <v>120</v>
      </c>
      <c r="G636" s="208" t="s">
        <v>243</v>
      </c>
      <c r="H636" s="208">
        <v>1</v>
      </c>
      <c r="I636" s="208">
        <v>264.64</v>
      </c>
      <c r="J636" s="208">
        <v>211.71</v>
      </c>
      <c r="K636" s="208">
        <v>0</v>
      </c>
      <c r="L636" s="208">
        <v>52.93</v>
      </c>
      <c r="M636" s="208" t="s">
        <v>244</v>
      </c>
      <c r="N636" s="208">
        <v>39.549999999999997</v>
      </c>
      <c r="O636" s="208">
        <v>264.64</v>
      </c>
      <c r="P636" s="208">
        <v>7.91</v>
      </c>
      <c r="Q636" s="208">
        <v>52.93</v>
      </c>
    </row>
    <row r="637" spans="1:17">
      <c r="A637" s="218">
        <v>44196</v>
      </c>
      <c r="B637" s="208" t="s">
        <v>258</v>
      </c>
      <c r="C637" s="208" t="s">
        <v>8</v>
      </c>
      <c r="D637" s="208">
        <v>2019</v>
      </c>
      <c r="E637" s="208" t="s">
        <v>123</v>
      </c>
      <c r="F637" s="208" t="s">
        <v>120</v>
      </c>
      <c r="G637" s="208" t="s">
        <v>243</v>
      </c>
      <c r="H637" s="208">
        <v>2</v>
      </c>
      <c r="I637" s="208">
        <v>290.06</v>
      </c>
      <c r="J637" s="208">
        <v>232.05</v>
      </c>
      <c r="K637" s="208">
        <v>0</v>
      </c>
      <c r="L637" s="208">
        <v>58.010000000000005</v>
      </c>
      <c r="M637" s="208" t="s">
        <v>244</v>
      </c>
      <c r="N637" s="208">
        <v>39.549999999999997</v>
      </c>
      <c r="O637" s="208">
        <v>264.64</v>
      </c>
      <c r="P637" s="208">
        <v>7.91</v>
      </c>
      <c r="Q637" s="208">
        <v>52.93</v>
      </c>
    </row>
    <row r="638" spans="1:17">
      <c r="A638" s="218">
        <v>44196</v>
      </c>
      <c r="B638" s="208" t="s">
        <v>260</v>
      </c>
      <c r="C638" s="208" t="s">
        <v>8</v>
      </c>
      <c r="D638" s="208">
        <v>2019</v>
      </c>
      <c r="E638" s="208" t="s">
        <v>123</v>
      </c>
      <c r="F638" s="208" t="s">
        <v>120</v>
      </c>
      <c r="G638" s="208" t="s">
        <v>243</v>
      </c>
      <c r="H638" s="208">
        <v>2</v>
      </c>
      <c r="I638" s="208">
        <v>100.36</v>
      </c>
      <c r="J638" s="208">
        <v>80.289999999999992</v>
      </c>
      <c r="K638" s="208">
        <v>0</v>
      </c>
      <c r="L638" s="208">
        <v>20.07</v>
      </c>
      <c r="M638" s="208" t="s">
        <v>244</v>
      </c>
      <c r="N638" s="208">
        <v>39.549999999999997</v>
      </c>
      <c r="O638" s="208">
        <v>264.64</v>
      </c>
      <c r="P638" s="208">
        <v>7.91</v>
      </c>
      <c r="Q638" s="208">
        <v>52.93</v>
      </c>
    </row>
    <row r="639" spans="1:17">
      <c r="A639" s="218">
        <v>44196</v>
      </c>
      <c r="B639" s="208" t="s">
        <v>258</v>
      </c>
      <c r="C639" s="208" t="s">
        <v>8</v>
      </c>
      <c r="D639" s="208">
        <v>2020</v>
      </c>
      <c r="E639" s="208" t="s">
        <v>123</v>
      </c>
      <c r="F639" s="208" t="s">
        <v>120</v>
      </c>
      <c r="G639" s="208" t="s">
        <v>243</v>
      </c>
      <c r="H639" s="208">
        <v>1</v>
      </c>
      <c r="I639" s="208">
        <v>40.619999999999997</v>
      </c>
      <c r="J639" s="208">
        <v>32.5</v>
      </c>
      <c r="K639" s="208">
        <v>0</v>
      </c>
      <c r="L639" s="208">
        <v>8.1199999999999992</v>
      </c>
      <c r="M639" s="208" t="s">
        <v>244</v>
      </c>
      <c r="N639" s="208">
        <v>40.619999999999997</v>
      </c>
      <c r="O639" s="208">
        <v>885</v>
      </c>
      <c r="P639" s="208">
        <v>8.1199999999999992</v>
      </c>
      <c r="Q639" s="208">
        <v>177</v>
      </c>
    </row>
    <row r="640" spans="1:17">
      <c r="A640" s="218">
        <v>44196</v>
      </c>
      <c r="B640" s="208" t="s">
        <v>259</v>
      </c>
      <c r="C640" s="208" t="s">
        <v>8</v>
      </c>
      <c r="D640" s="208">
        <v>2019</v>
      </c>
      <c r="E640" s="208" t="s">
        <v>124</v>
      </c>
      <c r="F640" s="208" t="s">
        <v>120</v>
      </c>
      <c r="G640" s="208" t="s">
        <v>243</v>
      </c>
      <c r="H640" s="208">
        <v>1</v>
      </c>
      <c r="I640" s="208">
        <v>30</v>
      </c>
      <c r="J640" s="208">
        <v>0</v>
      </c>
      <c r="K640" s="208">
        <v>0</v>
      </c>
      <c r="L640" s="208">
        <v>30</v>
      </c>
      <c r="M640" s="208" t="s">
        <v>244</v>
      </c>
      <c r="N640" s="208">
        <v>-50</v>
      </c>
      <c r="O640" s="208">
        <v>60</v>
      </c>
      <c r="P640" s="208">
        <v>-50</v>
      </c>
      <c r="Q640" s="208">
        <v>60</v>
      </c>
    </row>
    <row r="641" spans="1:17">
      <c r="A641" s="218">
        <v>44196</v>
      </c>
      <c r="B641" s="208" t="s">
        <v>258</v>
      </c>
      <c r="C641" s="208" t="s">
        <v>8</v>
      </c>
      <c r="D641" s="208">
        <v>2019</v>
      </c>
      <c r="E641" s="208" t="s">
        <v>124</v>
      </c>
      <c r="F641" s="208" t="s">
        <v>120</v>
      </c>
      <c r="G641" s="208" t="s">
        <v>243</v>
      </c>
      <c r="H641" s="208">
        <v>14</v>
      </c>
      <c r="I641" s="208">
        <v>248.5</v>
      </c>
      <c r="J641" s="208">
        <v>0</v>
      </c>
      <c r="K641" s="208">
        <v>0</v>
      </c>
      <c r="L641" s="208">
        <v>248.5</v>
      </c>
      <c r="M641" s="208" t="s">
        <v>244</v>
      </c>
      <c r="N641" s="208">
        <v>-50</v>
      </c>
      <c r="O641" s="208">
        <v>60</v>
      </c>
      <c r="P641" s="208">
        <v>-50</v>
      </c>
      <c r="Q641" s="208">
        <v>60</v>
      </c>
    </row>
    <row r="642" spans="1:17">
      <c r="A642" s="218">
        <v>44196</v>
      </c>
      <c r="B642" s="208" t="s">
        <v>36</v>
      </c>
      <c r="C642" s="208" t="s">
        <v>8</v>
      </c>
      <c r="D642" s="208">
        <v>2019</v>
      </c>
      <c r="E642" s="208" t="s">
        <v>124</v>
      </c>
      <c r="F642" s="208" t="s">
        <v>120</v>
      </c>
      <c r="G642" s="208" t="s">
        <v>243</v>
      </c>
      <c r="H642" s="208">
        <v>1</v>
      </c>
      <c r="I642" s="208">
        <v>30</v>
      </c>
      <c r="J642" s="208">
        <v>0</v>
      </c>
      <c r="K642" s="208">
        <v>0</v>
      </c>
      <c r="L642" s="208">
        <v>30</v>
      </c>
      <c r="M642" s="208" t="s">
        <v>244</v>
      </c>
      <c r="N642" s="208">
        <v>-50</v>
      </c>
      <c r="O642" s="208">
        <v>60</v>
      </c>
      <c r="P642" s="208">
        <v>-50</v>
      </c>
      <c r="Q642" s="208">
        <v>60</v>
      </c>
    </row>
    <row r="643" spans="1:17">
      <c r="A643" s="218">
        <v>44196</v>
      </c>
      <c r="B643" s="208" t="s">
        <v>31</v>
      </c>
      <c r="C643" s="208" t="s">
        <v>8</v>
      </c>
      <c r="D643" s="208">
        <v>2019</v>
      </c>
      <c r="E643" s="208" t="s">
        <v>124</v>
      </c>
      <c r="F643" s="208" t="s">
        <v>120</v>
      </c>
      <c r="G643" s="208" t="s">
        <v>243</v>
      </c>
      <c r="H643" s="208">
        <v>14</v>
      </c>
      <c r="I643" s="208">
        <v>248.5</v>
      </c>
      <c r="J643" s="208">
        <v>0</v>
      </c>
      <c r="K643" s="208">
        <v>0</v>
      </c>
      <c r="L643" s="208">
        <v>248.5</v>
      </c>
      <c r="M643" s="208" t="s">
        <v>244</v>
      </c>
      <c r="N643" s="208">
        <v>-50</v>
      </c>
      <c r="O643" s="208">
        <v>60</v>
      </c>
      <c r="P643" s="208">
        <v>-50</v>
      </c>
      <c r="Q643" s="208">
        <v>60</v>
      </c>
    </row>
    <row r="644" spans="1:17">
      <c r="A644" s="218">
        <v>44196</v>
      </c>
      <c r="B644" s="208" t="s">
        <v>29</v>
      </c>
      <c r="C644" s="208" t="s">
        <v>8</v>
      </c>
      <c r="D644" s="208">
        <v>2019</v>
      </c>
      <c r="E644" s="208" t="s">
        <v>124</v>
      </c>
      <c r="F644" s="208" t="s">
        <v>120</v>
      </c>
      <c r="G644" s="208" t="s">
        <v>243</v>
      </c>
      <c r="H644" s="208">
        <v>12</v>
      </c>
      <c r="I644" s="208">
        <v>167</v>
      </c>
      <c r="J644" s="208">
        <v>0</v>
      </c>
      <c r="K644" s="208">
        <v>0</v>
      </c>
      <c r="L644" s="208">
        <v>167</v>
      </c>
      <c r="M644" s="208" t="s">
        <v>244</v>
      </c>
      <c r="N644" s="208">
        <v>-50</v>
      </c>
      <c r="O644" s="208">
        <v>60</v>
      </c>
      <c r="P644" s="208">
        <v>-50</v>
      </c>
      <c r="Q644" s="208">
        <v>60</v>
      </c>
    </row>
    <row r="645" spans="1:17">
      <c r="A645" s="218">
        <v>44196</v>
      </c>
      <c r="B645" s="208" t="s">
        <v>225</v>
      </c>
      <c r="C645" s="208" t="s">
        <v>8</v>
      </c>
      <c r="D645" s="208">
        <v>2019</v>
      </c>
      <c r="E645" s="208" t="s">
        <v>124</v>
      </c>
      <c r="F645" s="208" t="s">
        <v>120</v>
      </c>
      <c r="G645" s="208" t="s">
        <v>243</v>
      </c>
      <c r="H645" s="208">
        <v>1</v>
      </c>
      <c r="I645" s="208">
        <v>60</v>
      </c>
      <c r="J645" s="208">
        <v>0</v>
      </c>
      <c r="K645" s="208">
        <v>0</v>
      </c>
      <c r="L645" s="208">
        <v>60</v>
      </c>
      <c r="M645" s="208" t="s">
        <v>244</v>
      </c>
      <c r="N645" s="208">
        <v>-50</v>
      </c>
      <c r="O645" s="208">
        <v>60</v>
      </c>
      <c r="P645" s="208">
        <v>-50</v>
      </c>
      <c r="Q645" s="208">
        <v>60</v>
      </c>
    </row>
    <row r="646" spans="1:17">
      <c r="A646" s="218">
        <v>44196</v>
      </c>
      <c r="B646" s="208" t="s">
        <v>37</v>
      </c>
      <c r="C646" s="208" t="s">
        <v>8</v>
      </c>
      <c r="D646" s="208">
        <v>2019</v>
      </c>
      <c r="E646" s="208" t="s">
        <v>124</v>
      </c>
      <c r="F646" s="208" t="s">
        <v>120</v>
      </c>
      <c r="G646" s="208" t="s">
        <v>243</v>
      </c>
      <c r="H646" s="208">
        <v>1</v>
      </c>
      <c r="I646" s="208">
        <v>60</v>
      </c>
      <c r="J646" s="208">
        <v>0</v>
      </c>
      <c r="K646" s="208">
        <v>0</v>
      </c>
      <c r="L646" s="208">
        <v>60</v>
      </c>
      <c r="M646" s="208" t="s">
        <v>244</v>
      </c>
      <c r="N646" s="208">
        <v>-50</v>
      </c>
      <c r="O646" s="208">
        <v>60</v>
      </c>
      <c r="P646" s="208">
        <v>-50</v>
      </c>
      <c r="Q646" s="208">
        <v>60</v>
      </c>
    </row>
    <row r="647" spans="1:17">
      <c r="A647" s="218">
        <v>44196</v>
      </c>
      <c r="B647" s="208" t="s">
        <v>260</v>
      </c>
      <c r="C647" s="208" t="s">
        <v>8</v>
      </c>
      <c r="D647" s="208">
        <v>2020</v>
      </c>
      <c r="E647" s="208" t="s">
        <v>124</v>
      </c>
      <c r="F647" s="208" t="s">
        <v>120</v>
      </c>
      <c r="G647" s="208" t="s">
        <v>243</v>
      </c>
      <c r="H647" s="208">
        <v>2</v>
      </c>
      <c r="I647" s="208">
        <v>50</v>
      </c>
      <c r="J647" s="208">
        <v>0</v>
      </c>
      <c r="K647" s="208">
        <v>0</v>
      </c>
      <c r="L647" s="208">
        <v>50</v>
      </c>
      <c r="M647" s="208" t="s">
        <v>244</v>
      </c>
      <c r="N647" s="208">
        <v>25</v>
      </c>
      <c r="O647" s="208">
        <v>25</v>
      </c>
      <c r="P647" s="208">
        <v>25</v>
      </c>
      <c r="Q647" s="208">
        <v>25</v>
      </c>
    </row>
    <row r="648" spans="1:17">
      <c r="A648" s="218">
        <v>44196</v>
      </c>
      <c r="B648" s="208" t="s">
        <v>29</v>
      </c>
      <c r="C648" s="208" t="s">
        <v>8</v>
      </c>
      <c r="D648" s="208">
        <v>2020</v>
      </c>
      <c r="E648" s="208" t="s">
        <v>124</v>
      </c>
      <c r="F648" s="208" t="s">
        <v>120</v>
      </c>
      <c r="G648" s="208" t="s">
        <v>243</v>
      </c>
      <c r="H648" s="208">
        <v>2</v>
      </c>
      <c r="I648" s="208">
        <v>50</v>
      </c>
      <c r="J648" s="208">
        <v>0</v>
      </c>
      <c r="K648" s="208">
        <v>0</v>
      </c>
      <c r="L648" s="208">
        <v>50</v>
      </c>
      <c r="M648" s="208" t="s">
        <v>244</v>
      </c>
      <c r="N648" s="208">
        <v>25</v>
      </c>
      <c r="O648" s="208">
        <v>25</v>
      </c>
      <c r="P648" s="208">
        <v>25</v>
      </c>
      <c r="Q648" s="208">
        <v>25</v>
      </c>
    </row>
    <row r="649" spans="1:17">
      <c r="A649" s="218">
        <v>44196</v>
      </c>
      <c r="B649" s="208" t="s">
        <v>260</v>
      </c>
      <c r="C649" s="208" t="s">
        <v>8</v>
      </c>
      <c r="D649" s="208">
        <v>2019</v>
      </c>
      <c r="E649" s="208" t="s">
        <v>124</v>
      </c>
      <c r="F649" s="208" t="s">
        <v>120</v>
      </c>
      <c r="G649" s="208" t="s">
        <v>243</v>
      </c>
      <c r="H649" s="208">
        <v>12</v>
      </c>
      <c r="I649" s="208">
        <v>167</v>
      </c>
      <c r="J649" s="208">
        <v>0</v>
      </c>
      <c r="K649" s="208">
        <v>0</v>
      </c>
      <c r="L649" s="208">
        <v>167</v>
      </c>
      <c r="M649" s="208" t="s">
        <v>244</v>
      </c>
      <c r="N649" s="208">
        <v>-50</v>
      </c>
      <c r="O649" s="208">
        <v>60</v>
      </c>
      <c r="P649" s="208">
        <v>-50</v>
      </c>
      <c r="Q649" s="208">
        <v>60</v>
      </c>
    </row>
    <row r="650" spans="1:17">
      <c r="A650" s="218">
        <v>44196</v>
      </c>
      <c r="B650" s="208" t="s">
        <v>36</v>
      </c>
      <c r="C650" s="208" t="s">
        <v>8</v>
      </c>
      <c r="D650" s="208">
        <v>2020</v>
      </c>
      <c r="E650" s="208" t="s">
        <v>125</v>
      </c>
      <c r="F650" s="208" t="s">
        <v>120</v>
      </c>
      <c r="G650" s="208" t="s">
        <v>243</v>
      </c>
      <c r="H650" s="208">
        <v>562</v>
      </c>
      <c r="I650" s="208">
        <v>67302.370000000054</v>
      </c>
      <c r="J650" s="208">
        <v>42938.700000000033</v>
      </c>
      <c r="K650" s="208">
        <v>275.8</v>
      </c>
      <c r="L650" s="208">
        <v>20961.870000000006</v>
      </c>
      <c r="M650" s="208" t="s">
        <v>244</v>
      </c>
      <c r="N650" s="208">
        <v>-24804.3</v>
      </c>
      <c r="O650" s="208">
        <v>8876.7999999999993</v>
      </c>
      <c r="P650" s="208">
        <v>-4960.8599999999997</v>
      </c>
      <c r="Q650" s="208">
        <v>5563.01</v>
      </c>
    </row>
    <row r="651" spans="1:17">
      <c r="A651" s="218">
        <v>44196</v>
      </c>
      <c r="B651" s="208" t="s">
        <v>225</v>
      </c>
      <c r="C651" s="208" t="s">
        <v>8</v>
      </c>
      <c r="D651" s="208">
        <v>2020</v>
      </c>
      <c r="E651" s="208" t="s">
        <v>125</v>
      </c>
      <c r="F651" s="208" t="s">
        <v>120</v>
      </c>
      <c r="G651" s="208" t="s">
        <v>243</v>
      </c>
      <c r="H651" s="208">
        <v>444</v>
      </c>
      <c r="I651" s="208">
        <v>24938.519999999993</v>
      </c>
      <c r="J651" s="208">
        <v>13312.519999999999</v>
      </c>
      <c r="K651" s="208">
        <v>0</v>
      </c>
      <c r="L651" s="208">
        <v>11626.000000000002</v>
      </c>
      <c r="M651" s="208" t="s">
        <v>244</v>
      </c>
      <c r="N651" s="208">
        <v>-24804.3</v>
      </c>
      <c r="O651" s="208">
        <v>8876.7999999999993</v>
      </c>
      <c r="P651" s="208">
        <v>-4960.8599999999997</v>
      </c>
      <c r="Q651" s="208">
        <v>5563.01</v>
      </c>
    </row>
    <row r="652" spans="1:17">
      <c r="A652" s="218">
        <v>44196</v>
      </c>
      <c r="B652" s="208" t="s">
        <v>260</v>
      </c>
      <c r="C652" s="208" t="s">
        <v>8</v>
      </c>
      <c r="D652" s="208">
        <v>2020</v>
      </c>
      <c r="E652" s="208" t="s">
        <v>125</v>
      </c>
      <c r="F652" s="208" t="s">
        <v>120</v>
      </c>
      <c r="G652" s="208" t="s">
        <v>243</v>
      </c>
      <c r="H652" s="208">
        <v>1716</v>
      </c>
      <c r="I652" s="208">
        <v>289414.41000000061</v>
      </c>
      <c r="J652" s="208">
        <v>175619.48000000013</v>
      </c>
      <c r="K652" s="208">
        <v>1315.79</v>
      </c>
      <c r="L652" s="208">
        <v>88407.759999999747</v>
      </c>
      <c r="M652" s="208" t="s">
        <v>244</v>
      </c>
      <c r="N652" s="208">
        <v>-24804.3</v>
      </c>
      <c r="O652" s="208">
        <v>8876.7999999999993</v>
      </c>
      <c r="P652" s="208">
        <v>-4960.8599999999997</v>
      </c>
      <c r="Q652" s="208">
        <v>5563.01</v>
      </c>
    </row>
    <row r="653" spans="1:17">
      <c r="A653" s="218">
        <v>44196</v>
      </c>
      <c r="B653" s="208" t="s">
        <v>35</v>
      </c>
      <c r="C653" s="208" t="s">
        <v>8</v>
      </c>
      <c r="D653" s="208">
        <v>2019</v>
      </c>
      <c r="E653" s="208" t="s">
        <v>125</v>
      </c>
      <c r="F653" s="208" t="s">
        <v>120</v>
      </c>
      <c r="G653" s="208" t="s">
        <v>243</v>
      </c>
      <c r="H653" s="208">
        <v>3</v>
      </c>
      <c r="I653" s="208">
        <v>64</v>
      </c>
      <c r="J653" s="208">
        <v>0</v>
      </c>
      <c r="K653" s="208">
        <v>0</v>
      </c>
      <c r="L653" s="208">
        <v>64</v>
      </c>
      <c r="M653" s="208" t="s">
        <v>244</v>
      </c>
      <c r="N653" s="208">
        <v>-44460</v>
      </c>
      <c r="O653" s="208">
        <v>44460</v>
      </c>
      <c r="P653" s="208">
        <v>-8892</v>
      </c>
      <c r="Q653" s="208">
        <v>8892</v>
      </c>
    </row>
    <row r="654" spans="1:17">
      <c r="A654" s="218">
        <v>44196</v>
      </c>
      <c r="B654" s="208" t="s">
        <v>37</v>
      </c>
      <c r="C654" s="208" t="s">
        <v>8</v>
      </c>
      <c r="D654" s="208">
        <v>2020</v>
      </c>
      <c r="E654" s="208" t="s">
        <v>125</v>
      </c>
      <c r="F654" s="208" t="s">
        <v>120</v>
      </c>
      <c r="G654" s="208" t="s">
        <v>243</v>
      </c>
      <c r="H654" s="208">
        <v>444</v>
      </c>
      <c r="I654" s="208">
        <v>24938.519999999979</v>
      </c>
      <c r="J654" s="208">
        <v>13312.519999999999</v>
      </c>
      <c r="K654" s="208">
        <v>0</v>
      </c>
      <c r="L654" s="208">
        <v>11626.000000000007</v>
      </c>
      <c r="M654" s="208" t="s">
        <v>244</v>
      </c>
      <c r="N654" s="208">
        <v>-24804.3</v>
      </c>
      <c r="O654" s="208">
        <v>8876.7999999999993</v>
      </c>
      <c r="P654" s="208">
        <v>-4960.8599999999997</v>
      </c>
      <c r="Q654" s="208">
        <v>5563.01</v>
      </c>
    </row>
    <row r="655" spans="1:17">
      <c r="A655" s="218">
        <v>44196</v>
      </c>
      <c r="B655" s="208" t="s">
        <v>43</v>
      </c>
      <c r="C655" s="208" t="s">
        <v>8</v>
      </c>
      <c r="D655" s="208">
        <v>2020</v>
      </c>
      <c r="E655" s="208" t="s">
        <v>125</v>
      </c>
      <c r="F655" s="208" t="s">
        <v>120</v>
      </c>
      <c r="G655" s="208" t="s">
        <v>243</v>
      </c>
      <c r="H655" s="208">
        <v>103</v>
      </c>
      <c r="I655" s="208">
        <v>26804.789999999979</v>
      </c>
      <c r="J655" s="208">
        <v>17430.440000000002</v>
      </c>
      <c r="K655" s="208">
        <v>0</v>
      </c>
      <c r="L655" s="208">
        <v>8554.5499999999993</v>
      </c>
      <c r="M655" s="208" t="s">
        <v>244</v>
      </c>
      <c r="N655" s="208">
        <v>-24804.3</v>
      </c>
      <c r="O655" s="208">
        <v>8876.7999999999993</v>
      </c>
      <c r="P655" s="208">
        <v>-4960.8599999999997</v>
      </c>
      <c r="Q655" s="208">
        <v>5563.01</v>
      </c>
    </row>
    <row r="656" spans="1:17">
      <c r="A656" s="218">
        <v>44196</v>
      </c>
      <c r="B656" s="208" t="s">
        <v>264</v>
      </c>
      <c r="C656" s="208" t="s">
        <v>8</v>
      </c>
      <c r="D656" s="208">
        <v>2019</v>
      </c>
      <c r="E656" s="208" t="s">
        <v>125</v>
      </c>
      <c r="F656" s="208" t="s">
        <v>120</v>
      </c>
      <c r="G656" s="208" t="s">
        <v>243</v>
      </c>
      <c r="H656" s="208">
        <v>115</v>
      </c>
      <c r="I656" s="208">
        <v>35550.450000000004</v>
      </c>
      <c r="J656" s="208">
        <v>17595.440000000002</v>
      </c>
      <c r="K656" s="208">
        <v>0</v>
      </c>
      <c r="L656" s="208">
        <v>9237.8399999999983</v>
      </c>
      <c r="M656" s="208" t="s">
        <v>244</v>
      </c>
      <c r="N656" s="208">
        <v>-44460</v>
      </c>
      <c r="O656" s="208">
        <v>44460</v>
      </c>
      <c r="P656" s="208">
        <v>-8892</v>
      </c>
      <c r="Q656" s="208">
        <v>8892</v>
      </c>
    </row>
    <row r="657" spans="1:17">
      <c r="A657" s="218">
        <v>44196</v>
      </c>
      <c r="B657" s="208" t="s">
        <v>269</v>
      </c>
      <c r="C657" s="208" t="s">
        <v>8</v>
      </c>
      <c r="D657" s="208">
        <v>2019</v>
      </c>
      <c r="E657" s="208" t="s">
        <v>125</v>
      </c>
      <c r="F657" s="208" t="s">
        <v>120</v>
      </c>
      <c r="G657" s="208" t="s">
        <v>243</v>
      </c>
      <c r="H657" s="208">
        <v>2</v>
      </c>
      <c r="I657" s="208">
        <v>49.45</v>
      </c>
      <c r="J657" s="208">
        <v>39.56</v>
      </c>
      <c r="K657" s="208">
        <v>0</v>
      </c>
      <c r="L657" s="208">
        <v>9.89</v>
      </c>
      <c r="M657" s="208" t="s">
        <v>244</v>
      </c>
      <c r="N657" s="208">
        <v>-44460</v>
      </c>
      <c r="O657" s="208">
        <v>44460</v>
      </c>
      <c r="P657" s="208">
        <v>-8892</v>
      </c>
      <c r="Q657" s="208">
        <v>8892</v>
      </c>
    </row>
    <row r="658" spans="1:17">
      <c r="A658" s="218">
        <v>44196</v>
      </c>
      <c r="B658" s="208" t="s">
        <v>262</v>
      </c>
      <c r="C658" s="208" t="s">
        <v>8</v>
      </c>
      <c r="D658" s="208">
        <v>2020</v>
      </c>
      <c r="E658" s="208" t="s">
        <v>125</v>
      </c>
      <c r="F658" s="208" t="s">
        <v>120</v>
      </c>
      <c r="G658" s="208" t="s">
        <v>243</v>
      </c>
      <c r="H658" s="208">
        <v>103</v>
      </c>
      <c r="I658" s="208">
        <v>26804.789999999983</v>
      </c>
      <c r="J658" s="208">
        <v>17430.439999999999</v>
      </c>
      <c r="K658" s="208">
        <v>0</v>
      </c>
      <c r="L658" s="208">
        <v>8554.5499999999993</v>
      </c>
      <c r="M658" s="208" t="s">
        <v>244</v>
      </c>
      <c r="N658" s="208">
        <v>-24804.3</v>
      </c>
      <c r="O658" s="208">
        <v>8876.7999999999993</v>
      </c>
      <c r="P658" s="208">
        <v>-4960.8599999999997</v>
      </c>
      <c r="Q658" s="208">
        <v>5563.01</v>
      </c>
    </row>
    <row r="659" spans="1:17">
      <c r="A659" s="218">
        <v>44196</v>
      </c>
      <c r="B659" s="208" t="s">
        <v>48</v>
      </c>
      <c r="C659" s="208" t="s">
        <v>8</v>
      </c>
      <c r="D659" s="208">
        <v>2020</v>
      </c>
      <c r="E659" s="208" t="s">
        <v>125</v>
      </c>
      <c r="F659" s="208" t="s">
        <v>120</v>
      </c>
      <c r="G659" s="208" t="s">
        <v>243</v>
      </c>
      <c r="H659" s="208">
        <v>13</v>
      </c>
      <c r="I659" s="208">
        <v>2128.5699999999997</v>
      </c>
      <c r="J659" s="208">
        <v>1233.8499999999999</v>
      </c>
      <c r="K659" s="208">
        <v>0</v>
      </c>
      <c r="L659" s="208">
        <v>874.72</v>
      </c>
      <c r="M659" s="208" t="s">
        <v>244</v>
      </c>
      <c r="N659" s="208">
        <v>-24804.3</v>
      </c>
      <c r="O659" s="208">
        <v>8876.7999999999993</v>
      </c>
      <c r="P659" s="208">
        <v>-4960.8599999999997</v>
      </c>
      <c r="Q659" s="208">
        <v>5563.01</v>
      </c>
    </row>
    <row r="660" spans="1:17">
      <c r="A660" s="218">
        <v>44196</v>
      </c>
      <c r="B660" s="208" t="s">
        <v>35</v>
      </c>
      <c r="C660" s="208" t="s">
        <v>8</v>
      </c>
      <c r="D660" s="208">
        <v>2020</v>
      </c>
      <c r="E660" s="208" t="s">
        <v>125</v>
      </c>
      <c r="F660" s="208" t="s">
        <v>120</v>
      </c>
      <c r="G660" s="208" t="s">
        <v>243</v>
      </c>
      <c r="H660" s="208">
        <v>29</v>
      </c>
      <c r="I660" s="208">
        <v>1858.1</v>
      </c>
      <c r="J660" s="208">
        <v>885.53</v>
      </c>
      <c r="K660" s="208">
        <v>0</v>
      </c>
      <c r="L660" s="208">
        <v>867.63</v>
      </c>
      <c r="M660" s="208" t="s">
        <v>244</v>
      </c>
      <c r="N660" s="208">
        <v>-24804.3</v>
      </c>
      <c r="O660" s="208">
        <v>8876.7999999999993</v>
      </c>
      <c r="P660" s="208">
        <v>-4960.8599999999997</v>
      </c>
      <c r="Q660" s="208">
        <v>5563.01</v>
      </c>
    </row>
    <row r="661" spans="1:17">
      <c r="A661" s="218">
        <v>44196</v>
      </c>
      <c r="B661" s="208" t="s">
        <v>29</v>
      </c>
      <c r="C661" s="208" t="s">
        <v>8</v>
      </c>
      <c r="D661" s="208">
        <v>2019</v>
      </c>
      <c r="E661" s="208" t="s">
        <v>125</v>
      </c>
      <c r="F661" s="208" t="s">
        <v>120</v>
      </c>
      <c r="G661" s="208" t="s">
        <v>243</v>
      </c>
      <c r="H661" s="208">
        <v>2855</v>
      </c>
      <c r="I661" s="208">
        <v>336203.7500000007</v>
      </c>
      <c r="J661" s="208">
        <v>191499.49000000034</v>
      </c>
      <c r="K661" s="208">
        <v>1198.2</v>
      </c>
      <c r="L661" s="208">
        <v>108871.73999999993</v>
      </c>
      <c r="M661" s="208" t="s">
        <v>244</v>
      </c>
      <c r="N661" s="208">
        <v>-44460</v>
      </c>
      <c r="O661" s="208">
        <v>44460</v>
      </c>
      <c r="P661" s="208">
        <v>-8892</v>
      </c>
      <c r="Q661" s="208">
        <v>8892</v>
      </c>
    </row>
    <row r="662" spans="1:17">
      <c r="A662" s="218">
        <v>44196</v>
      </c>
      <c r="B662" s="208" t="s">
        <v>258</v>
      </c>
      <c r="C662" s="208" t="s">
        <v>8</v>
      </c>
      <c r="D662" s="208">
        <v>2020</v>
      </c>
      <c r="E662" s="208" t="s">
        <v>125</v>
      </c>
      <c r="F662" s="208" t="s">
        <v>120</v>
      </c>
      <c r="G662" s="208" t="s">
        <v>243</v>
      </c>
      <c r="H662" s="208">
        <v>827</v>
      </c>
      <c r="I662" s="208">
        <v>156805.43000000008</v>
      </c>
      <c r="J662" s="208">
        <v>98210.690000000031</v>
      </c>
      <c r="K662" s="208">
        <v>1268.6600000000003</v>
      </c>
      <c r="L662" s="208">
        <v>37678.300000000039</v>
      </c>
      <c r="M662" s="208" t="s">
        <v>244</v>
      </c>
      <c r="N662" s="208">
        <v>-24804.3</v>
      </c>
      <c r="O662" s="208">
        <v>8876.7999999999993</v>
      </c>
      <c r="P662" s="208">
        <v>-4960.8599999999997</v>
      </c>
      <c r="Q662" s="208">
        <v>5563.01</v>
      </c>
    </row>
    <row r="663" spans="1:17">
      <c r="A663" s="218">
        <v>44196</v>
      </c>
      <c r="B663" s="208" t="s">
        <v>261</v>
      </c>
      <c r="C663" s="208" t="s">
        <v>8</v>
      </c>
      <c r="D663" s="208">
        <v>2020</v>
      </c>
      <c r="E663" s="208" t="s">
        <v>125</v>
      </c>
      <c r="F663" s="208" t="s">
        <v>120</v>
      </c>
      <c r="G663" s="208" t="s">
        <v>243</v>
      </c>
      <c r="H663" s="208">
        <v>29</v>
      </c>
      <c r="I663" s="208">
        <v>1858.1</v>
      </c>
      <c r="J663" s="208">
        <v>885.53</v>
      </c>
      <c r="K663" s="208">
        <v>0</v>
      </c>
      <c r="L663" s="208">
        <v>867.63</v>
      </c>
      <c r="M663" s="208" t="s">
        <v>244</v>
      </c>
      <c r="N663" s="208">
        <v>-24804.3</v>
      </c>
      <c r="O663" s="208">
        <v>8876.7999999999993</v>
      </c>
      <c r="P663" s="208">
        <v>-4960.8599999999997</v>
      </c>
      <c r="Q663" s="208">
        <v>5563.01</v>
      </c>
    </row>
    <row r="664" spans="1:17">
      <c r="A664" s="218">
        <v>44196</v>
      </c>
      <c r="B664" s="208" t="s">
        <v>41</v>
      </c>
      <c r="C664" s="208" t="s">
        <v>8</v>
      </c>
      <c r="D664" s="208">
        <v>2019</v>
      </c>
      <c r="E664" s="208" t="s">
        <v>125</v>
      </c>
      <c r="F664" s="208" t="s">
        <v>120</v>
      </c>
      <c r="G664" s="208" t="s">
        <v>243</v>
      </c>
      <c r="H664" s="208">
        <v>115</v>
      </c>
      <c r="I664" s="208">
        <v>35550.450000000004</v>
      </c>
      <c r="J664" s="208">
        <v>17595.440000000002</v>
      </c>
      <c r="K664" s="208">
        <v>0</v>
      </c>
      <c r="L664" s="208">
        <v>9237.8399999999965</v>
      </c>
      <c r="M664" s="208" t="s">
        <v>244</v>
      </c>
      <c r="N664" s="208">
        <v>-44460</v>
      </c>
      <c r="O664" s="208">
        <v>44460</v>
      </c>
      <c r="P664" s="208">
        <v>-8892</v>
      </c>
      <c r="Q664" s="208">
        <v>8892</v>
      </c>
    </row>
    <row r="665" spans="1:17">
      <c r="A665" s="218">
        <v>44196</v>
      </c>
      <c r="B665" s="208" t="s">
        <v>225</v>
      </c>
      <c r="C665" s="208" t="s">
        <v>8</v>
      </c>
      <c r="D665" s="208">
        <v>2019</v>
      </c>
      <c r="E665" s="208" t="s">
        <v>125</v>
      </c>
      <c r="F665" s="208" t="s">
        <v>120</v>
      </c>
      <c r="G665" s="208" t="s">
        <v>243</v>
      </c>
      <c r="H665" s="208">
        <v>301</v>
      </c>
      <c r="I665" s="208">
        <v>19512.230000000003</v>
      </c>
      <c r="J665" s="208">
        <v>8967.5699999999961</v>
      </c>
      <c r="K665" s="208">
        <v>0</v>
      </c>
      <c r="L665" s="208">
        <v>9284.7200000000012</v>
      </c>
      <c r="M665" s="208" t="s">
        <v>244</v>
      </c>
      <c r="N665" s="208">
        <v>-44460</v>
      </c>
      <c r="O665" s="208">
        <v>44460</v>
      </c>
      <c r="P665" s="208">
        <v>-8892</v>
      </c>
      <c r="Q665" s="208">
        <v>8892</v>
      </c>
    </row>
    <row r="666" spans="1:17">
      <c r="A666" s="218">
        <v>44196</v>
      </c>
      <c r="B666" s="208" t="s">
        <v>259</v>
      </c>
      <c r="C666" s="208" t="s">
        <v>8</v>
      </c>
      <c r="D666" s="208">
        <v>2020</v>
      </c>
      <c r="E666" s="208" t="s">
        <v>125</v>
      </c>
      <c r="F666" s="208" t="s">
        <v>120</v>
      </c>
      <c r="G666" s="208" t="s">
        <v>243</v>
      </c>
      <c r="H666" s="208">
        <v>562</v>
      </c>
      <c r="I666" s="208">
        <v>67302.370000000068</v>
      </c>
      <c r="J666" s="208">
        <v>42938.700000000026</v>
      </c>
      <c r="K666" s="208">
        <v>275.8</v>
      </c>
      <c r="L666" s="208">
        <v>20961.87000000001</v>
      </c>
      <c r="M666" s="208" t="s">
        <v>244</v>
      </c>
      <c r="N666" s="208">
        <v>-24804.3</v>
      </c>
      <c r="O666" s="208">
        <v>8876.7999999999993</v>
      </c>
      <c r="P666" s="208">
        <v>-4960.8599999999997</v>
      </c>
      <c r="Q666" s="208">
        <v>5563.01</v>
      </c>
    </row>
    <row r="667" spans="1:17">
      <c r="A667" s="218">
        <v>44196</v>
      </c>
      <c r="B667" s="208" t="s">
        <v>268</v>
      </c>
      <c r="C667" s="208" t="s">
        <v>8</v>
      </c>
      <c r="D667" s="208">
        <v>2020</v>
      </c>
      <c r="E667" s="208" t="s">
        <v>125</v>
      </c>
      <c r="F667" s="208" t="s">
        <v>120</v>
      </c>
      <c r="G667" s="208" t="s">
        <v>243</v>
      </c>
      <c r="H667" s="208">
        <v>130</v>
      </c>
      <c r="I667" s="208">
        <v>27015.399999999998</v>
      </c>
      <c r="J667" s="208">
        <v>11901.83</v>
      </c>
      <c r="K667" s="208">
        <v>0</v>
      </c>
      <c r="L667" s="208">
        <v>10939.890000000001</v>
      </c>
      <c r="M667" s="208" t="s">
        <v>244</v>
      </c>
      <c r="N667" s="208">
        <v>-24804.3</v>
      </c>
      <c r="O667" s="208">
        <v>8876.7999999999993</v>
      </c>
      <c r="P667" s="208">
        <v>-4960.8599999999997</v>
      </c>
      <c r="Q667" s="208">
        <v>5563.01</v>
      </c>
    </row>
    <row r="668" spans="1:17">
      <c r="A668" s="218">
        <v>44196</v>
      </c>
      <c r="B668" s="208" t="s">
        <v>39</v>
      </c>
      <c r="C668" s="208" t="s">
        <v>8</v>
      </c>
      <c r="D668" s="208">
        <v>2019</v>
      </c>
      <c r="E668" s="208" t="s">
        <v>125</v>
      </c>
      <c r="F668" s="208" t="s">
        <v>120</v>
      </c>
      <c r="G668" s="208" t="s">
        <v>243</v>
      </c>
      <c r="H668" s="208">
        <v>2</v>
      </c>
      <c r="I668" s="208">
        <v>49.45</v>
      </c>
      <c r="J668" s="208">
        <v>39.56</v>
      </c>
      <c r="K668" s="208">
        <v>0</v>
      </c>
      <c r="L668" s="208">
        <v>9.89</v>
      </c>
      <c r="M668" s="208" t="s">
        <v>244</v>
      </c>
      <c r="N668" s="208">
        <v>-44460</v>
      </c>
      <c r="O668" s="208">
        <v>44460</v>
      </c>
      <c r="P668" s="208">
        <v>-8892</v>
      </c>
      <c r="Q668" s="208">
        <v>8892</v>
      </c>
    </row>
    <row r="669" spans="1:17">
      <c r="A669" s="218">
        <v>44196</v>
      </c>
      <c r="B669" s="208" t="s">
        <v>270</v>
      </c>
      <c r="C669" s="208" t="s">
        <v>8</v>
      </c>
      <c r="D669" s="208">
        <v>2020</v>
      </c>
      <c r="E669" s="208" t="s">
        <v>125</v>
      </c>
      <c r="F669" s="208" t="s">
        <v>120</v>
      </c>
      <c r="G669" s="208" t="s">
        <v>243</v>
      </c>
      <c r="H669" s="208">
        <v>13</v>
      </c>
      <c r="I669" s="208">
        <v>2128.5699999999997</v>
      </c>
      <c r="J669" s="208">
        <v>1233.8499999999999</v>
      </c>
      <c r="K669" s="208">
        <v>0</v>
      </c>
      <c r="L669" s="208">
        <v>874.72</v>
      </c>
      <c r="M669" s="208" t="s">
        <v>244</v>
      </c>
      <c r="N669" s="208">
        <v>-24804.3</v>
      </c>
      <c r="O669" s="208">
        <v>8876.7999999999993</v>
      </c>
      <c r="P669" s="208">
        <v>-4960.8599999999997</v>
      </c>
      <c r="Q669" s="208">
        <v>5563.01</v>
      </c>
    </row>
    <row r="670" spans="1:17">
      <c r="A670" s="218">
        <v>44196</v>
      </c>
      <c r="B670" s="208" t="s">
        <v>267</v>
      </c>
      <c r="C670" s="208" t="s">
        <v>8</v>
      </c>
      <c r="D670" s="208">
        <v>2020</v>
      </c>
      <c r="E670" s="208" t="s">
        <v>125</v>
      </c>
      <c r="F670" s="208" t="s">
        <v>120</v>
      </c>
      <c r="G670" s="208" t="s">
        <v>243</v>
      </c>
      <c r="H670" s="208">
        <v>100</v>
      </c>
      <c r="I670" s="208">
        <v>14771.590000000002</v>
      </c>
      <c r="J670" s="208">
        <v>5687.3599999999988</v>
      </c>
      <c r="K670" s="208">
        <v>0</v>
      </c>
      <c r="L670" s="208">
        <v>6412.9899999999989</v>
      </c>
      <c r="M670" s="208" t="s">
        <v>244</v>
      </c>
      <c r="N670" s="208">
        <v>-24804.3</v>
      </c>
      <c r="O670" s="208">
        <v>8876.7999999999993</v>
      </c>
      <c r="P670" s="208">
        <v>-4960.8599999999997</v>
      </c>
      <c r="Q670" s="208">
        <v>5563.01</v>
      </c>
    </row>
    <row r="671" spans="1:17">
      <c r="A671" s="218">
        <v>44196</v>
      </c>
      <c r="B671" s="208" t="s">
        <v>41</v>
      </c>
      <c r="C671" s="208" t="s">
        <v>8</v>
      </c>
      <c r="D671" s="208">
        <v>2020</v>
      </c>
      <c r="E671" s="208" t="s">
        <v>125</v>
      </c>
      <c r="F671" s="208" t="s">
        <v>120</v>
      </c>
      <c r="G671" s="208" t="s">
        <v>243</v>
      </c>
      <c r="H671" s="208">
        <v>96</v>
      </c>
      <c r="I671" s="208">
        <v>28853.639999999992</v>
      </c>
      <c r="J671" s="208">
        <v>20203.849999999995</v>
      </c>
      <c r="K671" s="208">
        <v>0</v>
      </c>
      <c r="L671" s="208">
        <v>7940.0700000000006</v>
      </c>
      <c r="M671" s="208" t="s">
        <v>244</v>
      </c>
      <c r="N671" s="208">
        <v>-24804.3</v>
      </c>
      <c r="O671" s="208">
        <v>8876.7999999999993</v>
      </c>
      <c r="P671" s="208">
        <v>-4960.8599999999997</v>
      </c>
      <c r="Q671" s="208">
        <v>5563.01</v>
      </c>
    </row>
    <row r="672" spans="1:17">
      <c r="A672" s="218">
        <v>44196</v>
      </c>
      <c r="B672" s="208" t="s">
        <v>264</v>
      </c>
      <c r="C672" s="208" t="s">
        <v>8</v>
      </c>
      <c r="D672" s="208">
        <v>2020</v>
      </c>
      <c r="E672" s="208" t="s">
        <v>125</v>
      </c>
      <c r="F672" s="208" t="s">
        <v>120</v>
      </c>
      <c r="G672" s="208" t="s">
        <v>243</v>
      </c>
      <c r="H672" s="208">
        <v>96</v>
      </c>
      <c r="I672" s="208">
        <v>28853.639999999996</v>
      </c>
      <c r="J672" s="208">
        <v>20203.849999999999</v>
      </c>
      <c r="K672" s="208">
        <v>0</v>
      </c>
      <c r="L672" s="208">
        <v>7940.0699999999988</v>
      </c>
      <c r="M672" s="208" t="s">
        <v>244</v>
      </c>
      <c r="N672" s="208">
        <v>-24804.3</v>
      </c>
      <c r="O672" s="208">
        <v>8876.7999999999993</v>
      </c>
      <c r="P672" s="208">
        <v>-4960.8599999999997</v>
      </c>
      <c r="Q672" s="208">
        <v>5563.01</v>
      </c>
    </row>
    <row r="673" spans="1:17">
      <c r="A673" s="218">
        <v>44196</v>
      </c>
      <c r="B673" s="208" t="s">
        <v>261</v>
      </c>
      <c r="C673" s="208" t="s">
        <v>8</v>
      </c>
      <c r="D673" s="208">
        <v>2019</v>
      </c>
      <c r="E673" s="208" t="s">
        <v>125</v>
      </c>
      <c r="F673" s="208" t="s">
        <v>120</v>
      </c>
      <c r="G673" s="208" t="s">
        <v>243</v>
      </c>
      <c r="H673" s="208">
        <v>3</v>
      </c>
      <c r="I673" s="208">
        <v>64</v>
      </c>
      <c r="J673" s="208">
        <v>0</v>
      </c>
      <c r="K673" s="208">
        <v>0</v>
      </c>
      <c r="L673" s="208">
        <v>64</v>
      </c>
      <c r="M673" s="208" t="s">
        <v>244</v>
      </c>
      <c r="N673" s="208">
        <v>-44460</v>
      </c>
      <c r="O673" s="208">
        <v>44460</v>
      </c>
      <c r="P673" s="208">
        <v>-8892</v>
      </c>
      <c r="Q673" s="208">
        <v>8892</v>
      </c>
    </row>
    <row r="674" spans="1:17">
      <c r="A674" s="218">
        <v>44196</v>
      </c>
      <c r="B674" s="208" t="s">
        <v>47</v>
      </c>
      <c r="C674" s="208" t="s">
        <v>8</v>
      </c>
      <c r="D674" s="208">
        <v>2020</v>
      </c>
      <c r="E674" s="208" t="s">
        <v>125</v>
      </c>
      <c r="F674" s="208" t="s">
        <v>120</v>
      </c>
      <c r="G674" s="208" t="s">
        <v>243</v>
      </c>
      <c r="H674" s="208">
        <v>130</v>
      </c>
      <c r="I674" s="208">
        <v>27015.399999999998</v>
      </c>
      <c r="J674" s="208">
        <v>11901.829999999998</v>
      </c>
      <c r="K674" s="208">
        <v>0</v>
      </c>
      <c r="L674" s="208">
        <v>10939.889999999998</v>
      </c>
      <c r="M674" s="208" t="s">
        <v>244</v>
      </c>
      <c r="N674" s="208">
        <v>-24804.3</v>
      </c>
      <c r="O674" s="208">
        <v>8876.7999999999993</v>
      </c>
      <c r="P674" s="208">
        <v>-4960.8599999999997</v>
      </c>
      <c r="Q674" s="208">
        <v>5563.01</v>
      </c>
    </row>
    <row r="675" spans="1:17">
      <c r="A675" s="218">
        <v>44196</v>
      </c>
      <c r="B675" s="208" t="s">
        <v>31</v>
      </c>
      <c r="C675" s="208" t="s">
        <v>8</v>
      </c>
      <c r="D675" s="208">
        <v>2019</v>
      </c>
      <c r="E675" s="208" t="s">
        <v>125</v>
      </c>
      <c r="F675" s="208" t="s">
        <v>120</v>
      </c>
      <c r="G675" s="208" t="s">
        <v>243</v>
      </c>
      <c r="H675" s="208">
        <v>1572</v>
      </c>
      <c r="I675" s="208">
        <v>184883.94999999998</v>
      </c>
      <c r="J675" s="208">
        <v>111120.37000000008</v>
      </c>
      <c r="K675" s="208">
        <v>3848.3700000000003</v>
      </c>
      <c r="L675" s="208">
        <v>52883.65999999996</v>
      </c>
      <c r="M675" s="208" t="s">
        <v>244</v>
      </c>
      <c r="N675" s="208">
        <v>-44460</v>
      </c>
      <c r="O675" s="208">
        <v>44460</v>
      </c>
      <c r="P675" s="208">
        <v>-8892</v>
      </c>
      <c r="Q675" s="208">
        <v>8892</v>
      </c>
    </row>
    <row r="676" spans="1:17">
      <c r="A676" s="218">
        <v>44196</v>
      </c>
      <c r="B676" s="208" t="s">
        <v>267</v>
      </c>
      <c r="C676" s="208" t="s">
        <v>8</v>
      </c>
      <c r="D676" s="208">
        <v>2019</v>
      </c>
      <c r="E676" s="208" t="s">
        <v>125</v>
      </c>
      <c r="F676" s="208" t="s">
        <v>120</v>
      </c>
      <c r="G676" s="208" t="s">
        <v>243</v>
      </c>
      <c r="H676" s="208">
        <v>184</v>
      </c>
      <c r="I676" s="208">
        <v>28026.960000000003</v>
      </c>
      <c r="J676" s="208">
        <v>13760.619999999999</v>
      </c>
      <c r="K676" s="208">
        <v>-0.01</v>
      </c>
      <c r="L676" s="208">
        <v>12918.390000000001</v>
      </c>
      <c r="M676" s="208" t="s">
        <v>244</v>
      </c>
      <c r="N676" s="208">
        <v>-44460</v>
      </c>
      <c r="O676" s="208">
        <v>44460</v>
      </c>
      <c r="P676" s="208">
        <v>-8892</v>
      </c>
      <c r="Q676" s="208">
        <v>8892</v>
      </c>
    </row>
    <row r="677" spans="1:17">
      <c r="A677" s="218">
        <v>44196</v>
      </c>
      <c r="B677" s="208" t="s">
        <v>45</v>
      </c>
      <c r="C677" s="208" t="s">
        <v>8</v>
      </c>
      <c r="D677" s="208">
        <v>2020</v>
      </c>
      <c r="E677" s="208" t="s">
        <v>125</v>
      </c>
      <c r="F677" s="208" t="s">
        <v>120</v>
      </c>
      <c r="G677" s="208" t="s">
        <v>243</v>
      </c>
      <c r="H677" s="208">
        <v>100</v>
      </c>
      <c r="I677" s="208">
        <v>14771.59</v>
      </c>
      <c r="J677" s="208">
        <v>5687.3599999999988</v>
      </c>
      <c r="K677" s="208">
        <v>0</v>
      </c>
      <c r="L677" s="208">
        <v>6412.99</v>
      </c>
      <c r="M677" s="208" t="s">
        <v>244</v>
      </c>
      <c r="N677" s="208">
        <v>-24804.3</v>
      </c>
      <c r="O677" s="208">
        <v>8876.7999999999993</v>
      </c>
      <c r="P677" s="208">
        <v>-4960.8599999999997</v>
      </c>
      <c r="Q677" s="208">
        <v>5563.01</v>
      </c>
    </row>
    <row r="678" spans="1:17">
      <c r="A678" s="218">
        <v>44196</v>
      </c>
      <c r="B678" s="208" t="s">
        <v>263</v>
      </c>
      <c r="C678" s="208" t="s">
        <v>8</v>
      </c>
      <c r="D678" s="208">
        <v>2020</v>
      </c>
      <c r="E678" s="208" t="s">
        <v>125</v>
      </c>
      <c r="F678" s="208" t="s">
        <v>120</v>
      </c>
      <c r="G678" s="208" t="s">
        <v>243</v>
      </c>
      <c r="H678" s="208">
        <v>141</v>
      </c>
      <c r="I678" s="208">
        <v>42515.44</v>
      </c>
      <c r="J678" s="208">
        <v>13413.030000000017</v>
      </c>
      <c r="K678" s="208">
        <v>0</v>
      </c>
      <c r="L678" s="208">
        <v>16736.81000000003</v>
      </c>
      <c r="M678" s="208" t="s">
        <v>244</v>
      </c>
      <c r="N678" s="208">
        <v>-24804.3</v>
      </c>
      <c r="O678" s="208">
        <v>8876.7999999999993</v>
      </c>
      <c r="P678" s="208">
        <v>-4960.8599999999997</v>
      </c>
      <c r="Q678" s="208">
        <v>5563.01</v>
      </c>
    </row>
    <row r="679" spans="1:17">
      <c r="A679" s="218">
        <v>44196</v>
      </c>
      <c r="B679" s="208" t="s">
        <v>33</v>
      </c>
      <c r="C679" s="208" t="s">
        <v>8</v>
      </c>
      <c r="D679" s="208">
        <v>2020</v>
      </c>
      <c r="E679" s="208" t="s">
        <v>125</v>
      </c>
      <c r="F679" s="208" t="s">
        <v>120</v>
      </c>
      <c r="G679" s="208" t="s">
        <v>243</v>
      </c>
      <c r="H679" s="208">
        <v>141</v>
      </c>
      <c r="I679" s="208">
        <v>42515.44</v>
      </c>
      <c r="J679" s="208">
        <v>13413.030000000017</v>
      </c>
      <c r="K679" s="208">
        <v>0</v>
      </c>
      <c r="L679" s="208">
        <v>16736.810000000034</v>
      </c>
      <c r="M679" s="208" t="s">
        <v>244</v>
      </c>
      <c r="N679" s="208">
        <v>-24804.3</v>
      </c>
      <c r="O679" s="208">
        <v>8876.7999999999993</v>
      </c>
      <c r="P679" s="208">
        <v>-4960.8599999999997</v>
      </c>
      <c r="Q679" s="208">
        <v>5563.01</v>
      </c>
    </row>
    <row r="680" spans="1:17">
      <c r="A680" s="218">
        <v>44196</v>
      </c>
      <c r="B680" s="208" t="s">
        <v>29</v>
      </c>
      <c r="C680" s="208" t="s">
        <v>8</v>
      </c>
      <c r="D680" s="208">
        <v>2020</v>
      </c>
      <c r="E680" s="208" t="s">
        <v>125</v>
      </c>
      <c r="F680" s="208" t="s">
        <v>120</v>
      </c>
      <c r="G680" s="208" t="s">
        <v>243</v>
      </c>
      <c r="H680" s="208">
        <v>1716</v>
      </c>
      <c r="I680" s="208">
        <v>289414.41000000061</v>
      </c>
      <c r="J680" s="208">
        <v>175619.47999999981</v>
      </c>
      <c r="K680" s="208">
        <v>1315.79</v>
      </c>
      <c r="L680" s="208">
        <v>88407.759999999806</v>
      </c>
      <c r="M680" s="208" t="s">
        <v>244</v>
      </c>
      <c r="N680" s="208">
        <v>-24804.3</v>
      </c>
      <c r="O680" s="208">
        <v>8876.7999999999993</v>
      </c>
      <c r="P680" s="208">
        <v>-4960.8599999999997</v>
      </c>
      <c r="Q680" s="208">
        <v>5563.01</v>
      </c>
    </row>
    <row r="681" spans="1:17">
      <c r="A681" s="218">
        <v>44196</v>
      </c>
      <c r="B681" s="208" t="s">
        <v>36</v>
      </c>
      <c r="C681" s="208" t="s">
        <v>8</v>
      </c>
      <c r="D681" s="208">
        <v>2019</v>
      </c>
      <c r="E681" s="208" t="s">
        <v>125</v>
      </c>
      <c r="F681" s="208" t="s">
        <v>120</v>
      </c>
      <c r="G681" s="208" t="s">
        <v>243</v>
      </c>
      <c r="H681" s="208">
        <v>818</v>
      </c>
      <c r="I681" s="208">
        <v>163827.12000000008</v>
      </c>
      <c r="J681" s="208">
        <v>109714.32000000012</v>
      </c>
      <c r="K681" s="208">
        <v>23.04</v>
      </c>
      <c r="L681" s="208">
        <v>51855.929999999971</v>
      </c>
      <c r="M681" s="208" t="s">
        <v>244</v>
      </c>
      <c r="N681" s="208">
        <v>-44460</v>
      </c>
      <c r="O681" s="208">
        <v>44460</v>
      </c>
      <c r="P681" s="208">
        <v>-8892</v>
      </c>
      <c r="Q681" s="208">
        <v>8892</v>
      </c>
    </row>
    <row r="682" spans="1:17">
      <c r="A682" s="218">
        <v>44196</v>
      </c>
      <c r="B682" s="208" t="s">
        <v>43</v>
      </c>
      <c r="C682" s="208" t="s">
        <v>8</v>
      </c>
      <c r="D682" s="208">
        <v>2019</v>
      </c>
      <c r="E682" s="208" t="s">
        <v>125</v>
      </c>
      <c r="F682" s="208" t="s">
        <v>120</v>
      </c>
      <c r="G682" s="208" t="s">
        <v>243</v>
      </c>
      <c r="H682" s="208">
        <v>158</v>
      </c>
      <c r="I682" s="208">
        <v>50167.790000000015</v>
      </c>
      <c r="J682" s="208">
        <v>31191.410000000003</v>
      </c>
      <c r="K682" s="208">
        <v>0</v>
      </c>
      <c r="L682" s="208">
        <v>17681.26999999999</v>
      </c>
      <c r="M682" s="208" t="s">
        <v>244</v>
      </c>
      <c r="N682" s="208">
        <v>-44460</v>
      </c>
      <c r="O682" s="208">
        <v>44460</v>
      </c>
      <c r="P682" s="208">
        <v>-8892</v>
      </c>
      <c r="Q682" s="208">
        <v>8892</v>
      </c>
    </row>
    <row r="683" spans="1:17">
      <c r="A683" s="218">
        <v>44196</v>
      </c>
      <c r="B683" s="208" t="s">
        <v>37</v>
      </c>
      <c r="C683" s="208" t="s">
        <v>8</v>
      </c>
      <c r="D683" s="208">
        <v>2019</v>
      </c>
      <c r="E683" s="208" t="s">
        <v>125</v>
      </c>
      <c r="F683" s="208" t="s">
        <v>120</v>
      </c>
      <c r="G683" s="208" t="s">
        <v>243</v>
      </c>
      <c r="H683" s="208">
        <v>301</v>
      </c>
      <c r="I683" s="208">
        <v>19512.229999999996</v>
      </c>
      <c r="J683" s="208">
        <v>8967.5699999999961</v>
      </c>
      <c r="K683" s="208">
        <v>0</v>
      </c>
      <c r="L683" s="208">
        <v>9284.720000000003</v>
      </c>
      <c r="M683" s="208" t="s">
        <v>244</v>
      </c>
      <c r="N683" s="208">
        <v>-44460</v>
      </c>
      <c r="O683" s="208">
        <v>44460</v>
      </c>
      <c r="P683" s="208">
        <v>-8892</v>
      </c>
      <c r="Q683" s="208">
        <v>8892</v>
      </c>
    </row>
    <row r="684" spans="1:17">
      <c r="A684" s="218">
        <v>44196</v>
      </c>
      <c r="B684" s="208" t="s">
        <v>259</v>
      </c>
      <c r="C684" s="208" t="s">
        <v>8</v>
      </c>
      <c r="D684" s="208">
        <v>2019</v>
      </c>
      <c r="E684" s="208" t="s">
        <v>125</v>
      </c>
      <c r="F684" s="208" t="s">
        <v>120</v>
      </c>
      <c r="G684" s="208" t="s">
        <v>243</v>
      </c>
      <c r="H684" s="208">
        <v>818</v>
      </c>
      <c r="I684" s="208">
        <v>163827.11999999994</v>
      </c>
      <c r="J684" s="208">
        <v>109714.32000000004</v>
      </c>
      <c r="K684" s="208">
        <v>23.04</v>
      </c>
      <c r="L684" s="208">
        <v>51855.929999999957</v>
      </c>
      <c r="M684" s="208" t="s">
        <v>244</v>
      </c>
      <c r="N684" s="208">
        <v>-44460</v>
      </c>
      <c r="O684" s="208">
        <v>44460</v>
      </c>
      <c r="P684" s="208">
        <v>-8892</v>
      </c>
      <c r="Q684" s="208">
        <v>8892</v>
      </c>
    </row>
    <row r="685" spans="1:17">
      <c r="A685" s="218">
        <v>44196</v>
      </c>
      <c r="B685" s="208" t="s">
        <v>268</v>
      </c>
      <c r="C685" s="208" t="s">
        <v>8</v>
      </c>
      <c r="D685" s="208">
        <v>2019</v>
      </c>
      <c r="E685" s="208" t="s">
        <v>125</v>
      </c>
      <c r="F685" s="208" t="s">
        <v>120</v>
      </c>
      <c r="G685" s="208" t="s">
        <v>243</v>
      </c>
      <c r="H685" s="208">
        <v>100</v>
      </c>
      <c r="I685" s="208">
        <v>21100.12000000001</v>
      </c>
      <c r="J685" s="208">
        <v>9925.4499999999971</v>
      </c>
      <c r="K685" s="208">
        <v>0</v>
      </c>
      <c r="L685" s="208">
        <v>8936.489999999998</v>
      </c>
      <c r="M685" s="208" t="s">
        <v>244</v>
      </c>
      <c r="N685" s="208">
        <v>-44460</v>
      </c>
      <c r="O685" s="208">
        <v>44460</v>
      </c>
      <c r="P685" s="208">
        <v>-8892</v>
      </c>
      <c r="Q685" s="208">
        <v>8892</v>
      </c>
    </row>
    <row r="686" spans="1:17">
      <c r="A686" s="218">
        <v>44196</v>
      </c>
      <c r="B686" s="208" t="s">
        <v>260</v>
      </c>
      <c r="C686" s="208" t="s">
        <v>8</v>
      </c>
      <c r="D686" s="208">
        <v>2019</v>
      </c>
      <c r="E686" s="208" t="s">
        <v>125</v>
      </c>
      <c r="F686" s="208" t="s">
        <v>120</v>
      </c>
      <c r="G686" s="208" t="s">
        <v>243</v>
      </c>
      <c r="H686" s="208">
        <v>2855</v>
      </c>
      <c r="I686" s="208">
        <v>336203.75000000052</v>
      </c>
      <c r="J686" s="208">
        <v>191499.48999999976</v>
      </c>
      <c r="K686" s="208">
        <v>1198.1999999999998</v>
      </c>
      <c r="L686" s="208">
        <v>108871.74</v>
      </c>
      <c r="M686" s="208" t="s">
        <v>244</v>
      </c>
      <c r="N686" s="208">
        <v>-44460</v>
      </c>
      <c r="O686" s="208">
        <v>44460</v>
      </c>
      <c r="P686" s="208">
        <v>-8892</v>
      </c>
      <c r="Q686" s="208">
        <v>8892</v>
      </c>
    </row>
    <row r="687" spans="1:17">
      <c r="A687" s="218">
        <v>44196</v>
      </c>
      <c r="B687" s="208" t="s">
        <v>263</v>
      </c>
      <c r="C687" s="208" t="s">
        <v>8</v>
      </c>
      <c r="D687" s="208">
        <v>2019</v>
      </c>
      <c r="E687" s="208" t="s">
        <v>125</v>
      </c>
      <c r="F687" s="208" t="s">
        <v>120</v>
      </c>
      <c r="G687" s="208" t="s">
        <v>243</v>
      </c>
      <c r="H687" s="208">
        <v>83</v>
      </c>
      <c r="I687" s="208">
        <v>56172.37</v>
      </c>
      <c r="J687" s="208">
        <v>30566.619999999995</v>
      </c>
      <c r="K687" s="208">
        <v>0</v>
      </c>
      <c r="L687" s="208">
        <v>18923.690000000002</v>
      </c>
      <c r="M687" s="208" t="s">
        <v>244</v>
      </c>
      <c r="N687" s="208">
        <v>-44460</v>
      </c>
      <c r="O687" s="208">
        <v>44460</v>
      </c>
      <c r="P687" s="208">
        <v>-8892</v>
      </c>
      <c r="Q687" s="208">
        <v>8892</v>
      </c>
    </row>
    <row r="688" spans="1:17">
      <c r="A688" s="218">
        <v>44196</v>
      </c>
      <c r="B688" s="208" t="s">
        <v>269</v>
      </c>
      <c r="C688" s="208" t="s">
        <v>8</v>
      </c>
      <c r="D688" s="208">
        <v>2020</v>
      </c>
      <c r="E688" s="208" t="s">
        <v>125</v>
      </c>
      <c r="F688" s="208" t="s">
        <v>120</v>
      </c>
      <c r="G688" s="208" t="s">
        <v>243</v>
      </c>
      <c r="H688" s="208">
        <v>98</v>
      </c>
      <c r="I688" s="208">
        <v>7045.21</v>
      </c>
      <c r="J688" s="208">
        <v>3088.1499999999996</v>
      </c>
      <c r="K688" s="208">
        <v>0</v>
      </c>
      <c r="L688" s="208">
        <v>3610.7</v>
      </c>
      <c r="M688" s="208" t="s">
        <v>244</v>
      </c>
      <c r="N688" s="208">
        <v>-24804.3</v>
      </c>
      <c r="O688" s="208">
        <v>8876.7999999999993</v>
      </c>
      <c r="P688" s="208">
        <v>-4960.8599999999997</v>
      </c>
      <c r="Q688" s="208">
        <v>5563.01</v>
      </c>
    </row>
    <row r="689" spans="1:17">
      <c r="A689" s="218">
        <v>44196</v>
      </c>
      <c r="B689" s="208" t="s">
        <v>258</v>
      </c>
      <c r="C689" s="208" t="s">
        <v>8</v>
      </c>
      <c r="D689" s="208">
        <v>2019</v>
      </c>
      <c r="E689" s="208" t="s">
        <v>125</v>
      </c>
      <c r="F689" s="208" t="s">
        <v>120</v>
      </c>
      <c r="G689" s="208" t="s">
        <v>243</v>
      </c>
      <c r="H689" s="208">
        <v>1572</v>
      </c>
      <c r="I689" s="208">
        <v>184883.94999999998</v>
      </c>
      <c r="J689" s="208">
        <v>111120.37000000016</v>
      </c>
      <c r="K689" s="208">
        <v>3848.3700000000003</v>
      </c>
      <c r="L689" s="208">
        <v>52883.659999999945</v>
      </c>
      <c r="M689" s="208" t="s">
        <v>244</v>
      </c>
      <c r="N689" s="208">
        <v>-44460</v>
      </c>
      <c r="O689" s="208">
        <v>44460</v>
      </c>
      <c r="P689" s="208">
        <v>-8892</v>
      </c>
      <c r="Q689" s="208">
        <v>8892</v>
      </c>
    </row>
    <row r="690" spans="1:17">
      <c r="A690" s="218">
        <v>44196</v>
      </c>
      <c r="B690" s="208" t="s">
        <v>31</v>
      </c>
      <c r="C690" s="208" t="s">
        <v>8</v>
      </c>
      <c r="D690" s="208">
        <v>2020</v>
      </c>
      <c r="E690" s="208" t="s">
        <v>125</v>
      </c>
      <c r="F690" s="208" t="s">
        <v>120</v>
      </c>
      <c r="G690" s="208" t="s">
        <v>243</v>
      </c>
      <c r="H690" s="208">
        <v>827</v>
      </c>
      <c r="I690" s="208">
        <v>156805.43000000011</v>
      </c>
      <c r="J690" s="208">
        <v>98210.690000000046</v>
      </c>
      <c r="K690" s="208">
        <v>1268.6599999999999</v>
      </c>
      <c r="L690" s="208">
        <v>37678.300000000003</v>
      </c>
      <c r="M690" s="208" t="s">
        <v>244</v>
      </c>
      <c r="N690" s="208">
        <v>-24804.3</v>
      </c>
      <c r="O690" s="208">
        <v>8876.7999999999993</v>
      </c>
      <c r="P690" s="208">
        <v>-4960.8599999999997</v>
      </c>
      <c r="Q690" s="208">
        <v>5563.01</v>
      </c>
    </row>
    <row r="691" spans="1:17">
      <c r="A691" s="218">
        <v>44196</v>
      </c>
      <c r="B691" s="208" t="s">
        <v>45</v>
      </c>
      <c r="C691" s="208" t="s">
        <v>8</v>
      </c>
      <c r="D691" s="208">
        <v>2019</v>
      </c>
      <c r="E691" s="208" t="s">
        <v>125</v>
      </c>
      <c r="F691" s="208" t="s">
        <v>120</v>
      </c>
      <c r="G691" s="208" t="s">
        <v>243</v>
      </c>
      <c r="H691" s="208">
        <v>184</v>
      </c>
      <c r="I691" s="208">
        <v>28026.960000000028</v>
      </c>
      <c r="J691" s="208">
        <v>13760.619999999992</v>
      </c>
      <c r="K691" s="208">
        <v>-0.01</v>
      </c>
      <c r="L691" s="208">
        <v>12918.390000000001</v>
      </c>
      <c r="M691" s="208" t="s">
        <v>244</v>
      </c>
      <c r="N691" s="208">
        <v>-44460</v>
      </c>
      <c r="O691" s="208">
        <v>44460</v>
      </c>
      <c r="P691" s="208">
        <v>-8892</v>
      </c>
      <c r="Q691" s="208">
        <v>8892</v>
      </c>
    </row>
    <row r="692" spans="1:17">
      <c r="A692" s="218">
        <v>44196</v>
      </c>
      <c r="B692" s="208" t="s">
        <v>33</v>
      </c>
      <c r="C692" s="208" t="s">
        <v>8</v>
      </c>
      <c r="D692" s="208">
        <v>2019</v>
      </c>
      <c r="E692" s="208" t="s">
        <v>125</v>
      </c>
      <c r="F692" s="208" t="s">
        <v>120</v>
      </c>
      <c r="G692" s="208" t="s">
        <v>243</v>
      </c>
      <c r="H692" s="208">
        <v>83</v>
      </c>
      <c r="I692" s="208">
        <v>56172.369999999981</v>
      </c>
      <c r="J692" s="208">
        <v>30566.619999999995</v>
      </c>
      <c r="K692" s="208">
        <v>0</v>
      </c>
      <c r="L692" s="208">
        <v>18923.690000000002</v>
      </c>
      <c r="M692" s="208" t="s">
        <v>244</v>
      </c>
      <c r="N692" s="208">
        <v>-44460</v>
      </c>
      <c r="O692" s="208">
        <v>44460</v>
      </c>
      <c r="P692" s="208">
        <v>-8892</v>
      </c>
      <c r="Q692" s="208">
        <v>8892</v>
      </c>
    </row>
    <row r="693" spans="1:17">
      <c r="A693" s="218">
        <v>44196</v>
      </c>
      <c r="B693" s="208" t="s">
        <v>39</v>
      </c>
      <c r="C693" s="208" t="s">
        <v>8</v>
      </c>
      <c r="D693" s="208">
        <v>2020</v>
      </c>
      <c r="E693" s="208" t="s">
        <v>125</v>
      </c>
      <c r="F693" s="208" t="s">
        <v>120</v>
      </c>
      <c r="G693" s="208" t="s">
        <v>243</v>
      </c>
      <c r="H693" s="208">
        <v>98</v>
      </c>
      <c r="I693" s="208">
        <v>7045.21</v>
      </c>
      <c r="J693" s="208">
        <v>3088.1499999999992</v>
      </c>
      <c r="K693" s="208">
        <v>0</v>
      </c>
      <c r="L693" s="208">
        <v>3610.7</v>
      </c>
      <c r="M693" s="208" t="s">
        <v>244</v>
      </c>
      <c r="N693" s="208">
        <v>-24804.3</v>
      </c>
      <c r="O693" s="208">
        <v>8876.7999999999993</v>
      </c>
      <c r="P693" s="208">
        <v>-4960.8599999999997</v>
      </c>
      <c r="Q693" s="208">
        <v>5563.01</v>
      </c>
    </row>
    <row r="694" spans="1:17">
      <c r="A694" s="218">
        <v>44196</v>
      </c>
      <c r="B694" s="208" t="s">
        <v>47</v>
      </c>
      <c r="C694" s="208" t="s">
        <v>8</v>
      </c>
      <c r="D694" s="208">
        <v>2019</v>
      </c>
      <c r="E694" s="208" t="s">
        <v>125</v>
      </c>
      <c r="F694" s="208" t="s">
        <v>120</v>
      </c>
      <c r="G694" s="208" t="s">
        <v>243</v>
      </c>
      <c r="H694" s="208">
        <v>100</v>
      </c>
      <c r="I694" s="208">
        <v>21100.12</v>
      </c>
      <c r="J694" s="208">
        <v>9925.4500000000044</v>
      </c>
      <c r="K694" s="208">
        <v>0</v>
      </c>
      <c r="L694" s="208">
        <v>8936.489999999998</v>
      </c>
      <c r="M694" s="208" t="s">
        <v>244</v>
      </c>
      <c r="N694" s="208">
        <v>-44460</v>
      </c>
      <c r="O694" s="208">
        <v>44460</v>
      </c>
      <c r="P694" s="208">
        <v>-8892</v>
      </c>
      <c r="Q694" s="208">
        <v>8892</v>
      </c>
    </row>
    <row r="695" spans="1:17">
      <c r="A695" s="218">
        <v>44196</v>
      </c>
      <c r="B695" s="208" t="s">
        <v>262</v>
      </c>
      <c r="C695" s="208" t="s">
        <v>8</v>
      </c>
      <c r="D695" s="208">
        <v>2019</v>
      </c>
      <c r="E695" s="208" t="s">
        <v>125</v>
      </c>
      <c r="F695" s="208" t="s">
        <v>120</v>
      </c>
      <c r="G695" s="208" t="s">
        <v>243</v>
      </c>
      <c r="H695" s="208">
        <v>158</v>
      </c>
      <c r="I695" s="208">
        <v>50167.79</v>
      </c>
      <c r="J695" s="208">
        <v>31191.410000000022</v>
      </c>
      <c r="K695" s="208">
        <v>0</v>
      </c>
      <c r="L695" s="208">
        <v>17681.26999999999</v>
      </c>
      <c r="M695" s="208" t="s">
        <v>244</v>
      </c>
      <c r="N695" s="208">
        <v>-44460</v>
      </c>
      <c r="O695" s="208">
        <v>44460</v>
      </c>
      <c r="P695" s="208">
        <v>-8892</v>
      </c>
      <c r="Q695" s="208">
        <v>8892</v>
      </c>
    </row>
    <row r="696" spans="1:17">
      <c r="A696" s="218">
        <v>44196</v>
      </c>
      <c r="B696" s="208" t="s">
        <v>33</v>
      </c>
      <c r="C696" s="208" t="s">
        <v>8</v>
      </c>
      <c r="D696" s="208">
        <v>2020</v>
      </c>
      <c r="E696" s="208" t="s">
        <v>126</v>
      </c>
      <c r="F696" s="208" t="s">
        <v>120</v>
      </c>
      <c r="G696" s="208" t="s">
        <v>243</v>
      </c>
      <c r="H696" s="208">
        <v>16</v>
      </c>
      <c r="I696" s="208">
        <v>12560</v>
      </c>
      <c r="J696" s="208">
        <v>0</v>
      </c>
      <c r="K696" s="208">
        <v>0</v>
      </c>
      <c r="L696" s="208">
        <v>4180</v>
      </c>
      <c r="M696" s="208" t="s">
        <v>244</v>
      </c>
      <c r="N696" s="208">
        <v>-2700</v>
      </c>
      <c r="O696" s="208">
        <v>2700</v>
      </c>
      <c r="P696" s="208">
        <v>-1350</v>
      </c>
      <c r="Q696" s="208">
        <v>1350</v>
      </c>
    </row>
    <row r="697" spans="1:17">
      <c r="A697" s="218">
        <v>44196</v>
      </c>
      <c r="B697" s="208" t="s">
        <v>267</v>
      </c>
      <c r="C697" s="208" t="s">
        <v>8</v>
      </c>
      <c r="D697" s="208">
        <v>2019</v>
      </c>
      <c r="E697" s="208" t="s">
        <v>126</v>
      </c>
      <c r="F697" s="208" t="s">
        <v>120</v>
      </c>
      <c r="G697" s="208" t="s">
        <v>243</v>
      </c>
      <c r="H697" s="208">
        <v>13</v>
      </c>
      <c r="I697" s="208">
        <v>14240.400000000001</v>
      </c>
      <c r="J697" s="208">
        <v>0</v>
      </c>
      <c r="K697" s="208">
        <v>0</v>
      </c>
      <c r="L697" s="208">
        <v>7140.2000000000007</v>
      </c>
      <c r="M697" s="208" t="s">
        <v>244</v>
      </c>
      <c r="N697" s="208">
        <v>-15</v>
      </c>
      <c r="O697" s="208">
        <v>2247</v>
      </c>
      <c r="P697" s="208">
        <v>-15</v>
      </c>
      <c r="Q697" s="208">
        <v>1519.65</v>
      </c>
    </row>
    <row r="698" spans="1:17">
      <c r="A698" s="218">
        <v>44196</v>
      </c>
      <c r="B698" s="208" t="s">
        <v>47</v>
      </c>
      <c r="C698" s="208" t="s">
        <v>8</v>
      </c>
      <c r="D698" s="208">
        <v>2019</v>
      </c>
      <c r="E698" s="208" t="s">
        <v>126</v>
      </c>
      <c r="F698" s="208" t="s">
        <v>120</v>
      </c>
      <c r="G698" s="208" t="s">
        <v>243</v>
      </c>
      <c r="H698" s="208">
        <v>2</v>
      </c>
      <c r="I698" s="208">
        <v>0</v>
      </c>
      <c r="J698" s="208">
        <v>0</v>
      </c>
      <c r="K698" s="208">
        <v>0</v>
      </c>
      <c r="L698" s="208">
        <v>0</v>
      </c>
      <c r="M698" s="208" t="s">
        <v>244</v>
      </c>
      <c r="N698" s="208">
        <v>-15</v>
      </c>
      <c r="O698" s="208">
        <v>2247</v>
      </c>
      <c r="P698" s="208">
        <v>-15</v>
      </c>
      <c r="Q698" s="208">
        <v>1519.65</v>
      </c>
    </row>
    <row r="699" spans="1:17">
      <c r="A699" s="218">
        <v>44196</v>
      </c>
      <c r="B699" s="208" t="s">
        <v>263</v>
      </c>
      <c r="C699" s="208" t="s">
        <v>8</v>
      </c>
      <c r="D699" s="208">
        <v>2020</v>
      </c>
      <c r="E699" s="208" t="s">
        <v>126</v>
      </c>
      <c r="F699" s="208" t="s">
        <v>120</v>
      </c>
      <c r="G699" s="208" t="s">
        <v>243</v>
      </c>
      <c r="H699" s="208">
        <v>16</v>
      </c>
      <c r="I699" s="208">
        <v>12560</v>
      </c>
      <c r="J699" s="208">
        <v>0</v>
      </c>
      <c r="K699" s="208">
        <v>0</v>
      </c>
      <c r="L699" s="208">
        <v>4180</v>
      </c>
      <c r="M699" s="208" t="s">
        <v>244</v>
      </c>
      <c r="N699" s="208">
        <v>-2700</v>
      </c>
      <c r="O699" s="208">
        <v>2700</v>
      </c>
      <c r="P699" s="208">
        <v>-1350</v>
      </c>
      <c r="Q699" s="208">
        <v>1350</v>
      </c>
    </row>
    <row r="700" spans="1:17">
      <c r="A700" s="218">
        <v>44196</v>
      </c>
      <c r="B700" s="208" t="s">
        <v>268</v>
      </c>
      <c r="C700" s="208" t="s">
        <v>8</v>
      </c>
      <c r="D700" s="208">
        <v>2020</v>
      </c>
      <c r="E700" s="208" t="s">
        <v>126</v>
      </c>
      <c r="F700" s="208" t="s">
        <v>120</v>
      </c>
      <c r="G700" s="208" t="s">
        <v>243</v>
      </c>
      <c r="H700" s="208">
        <v>4</v>
      </c>
      <c r="I700" s="208">
        <v>985.6</v>
      </c>
      <c r="J700" s="208">
        <v>0</v>
      </c>
      <c r="K700" s="208">
        <v>0</v>
      </c>
      <c r="L700" s="208">
        <v>392.8</v>
      </c>
      <c r="M700" s="208" t="s">
        <v>244</v>
      </c>
      <c r="N700" s="208">
        <v>-2700</v>
      </c>
      <c r="O700" s="208">
        <v>2700</v>
      </c>
      <c r="P700" s="208">
        <v>-1350</v>
      </c>
      <c r="Q700" s="208">
        <v>1350</v>
      </c>
    </row>
    <row r="701" spans="1:17">
      <c r="A701" s="218">
        <v>44196</v>
      </c>
      <c r="B701" s="208" t="s">
        <v>262</v>
      </c>
      <c r="C701" s="208" t="s">
        <v>8</v>
      </c>
      <c r="D701" s="208">
        <v>2020</v>
      </c>
      <c r="E701" s="208" t="s">
        <v>126</v>
      </c>
      <c r="F701" s="208" t="s">
        <v>120</v>
      </c>
      <c r="G701" s="208" t="s">
        <v>243</v>
      </c>
      <c r="H701" s="208">
        <v>2</v>
      </c>
      <c r="I701" s="208">
        <v>30.6</v>
      </c>
      <c r="J701" s="208">
        <v>0</v>
      </c>
      <c r="K701" s="208">
        <v>0</v>
      </c>
      <c r="L701" s="208">
        <v>30.6</v>
      </c>
      <c r="M701" s="208" t="s">
        <v>244</v>
      </c>
      <c r="N701" s="208">
        <v>-2700</v>
      </c>
      <c r="O701" s="208">
        <v>2700</v>
      </c>
      <c r="P701" s="208">
        <v>-1350</v>
      </c>
      <c r="Q701" s="208">
        <v>1350</v>
      </c>
    </row>
    <row r="702" spans="1:17">
      <c r="A702" s="218">
        <v>44196</v>
      </c>
      <c r="B702" s="208" t="s">
        <v>39</v>
      </c>
      <c r="C702" s="208" t="s">
        <v>8</v>
      </c>
      <c r="D702" s="208">
        <v>2020</v>
      </c>
      <c r="E702" s="208" t="s">
        <v>126</v>
      </c>
      <c r="F702" s="208" t="s">
        <v>120</v>
      </c>
      <c r="G702" s="208" t="s">
        <v>243</v>
      </c>
      <c r="H702" s="208">
        <v>2</v>
      </c>
      <c r="I702" s="208">
        <v>625</v>
      </c>
      <c r="J702" s="208">
        <v>0</v>
      </c>
      <c r="K702" s="208">
        <v>0</v>
      </c>
      <c r="L702" s="208">
        <v>250</v>
      </c>
      <c r="M702" s="208" t="s">
        <v>244</v>
      </c>
      <c r="N702" s="208">
        <v>-2700</v>
      </c>
      <c r="O702" s="208">
        <v>2700</v>
      </c>
      <c r="P702" s="208">
        <v>-1350</v>
      </c>
      <c r="Q702" s="208">
        <v>1350</v>
      </c>
    </row>
    <row r="703" spans="1:17">
      <c r="A703" s="218">
        <v>44196</v>
      </c>
      <c r="B703" s="208" t="s">
        <v>268</v>
      </c>
      <c r="C703" s="208" t="s">
        <v>8</v>
      </c>
      <c r="D703" s="208">
        <v>2019</v>
      </c>
      <c r="E703" s="208" t="s">
        <v>126</v>
      </c>
      <c r="F703" s="208" t="s">
        <v>120</v>
      </c>
      <c r="G703" s="208" t="s">
        <v>243</v>
      </c>
      <c r="H703" s="208">
        <v>2</v>
      </c>
      <c r="I703" s="208">
        <v>0</v>
      </c>
      <c r="J703" s="208">
        <v>0</v>
      </c>
      <c r="K703" s="208">
        <v>0</v>
      </c>
      <c r="L703" s="208">
        <v>0</v>
      </c>
      <c r="M703" s="208" t="s">
        <v>244</v>
      </c>
      <c r="N703" s="208">
        <v>-15</v>
      </c>
      <c r="O703" s="208">
        <v>2247</v>
      </c>
      <c r="P703" s="208">
        <v>-15</v>
      </c>
      <c r="Q703" s="208">
        <v>1519.65</v>
      </c>
    </row>
    <row r="704" spans="1:17">
      <c r="A704" s="218">
        <v>44196</v>
      </c>
      <c r="B704" s="208" t="s">
        <v>45</v>
      </c>
      <c r="C704" s="208" t="s">
        <v>8</v>
      </c>
      <c r="D704" s="208">
        <v>2019</v>
      </c>
      <c r="E704" s="208" t="s">
        <v>126</v>
      </c>
      <c r="F704" s="208" t="s">
        <v>120</v>
      </c>
      <c r="G704" s="208" t="s">
        <v>243</v>
      </c>
      <c r="H704" s="208">
        <v>13</v>
      </c>
      <c r="I704" s="208">
        <v>14240.400000000001</v>
      </c>
      <c r="J704" s="208">
        <v>0</v>
      </c>
      <c r="K704" s="208">
        <v>0</v>
      </c>
      <c r="L704" s="208">
        <v>7140.2</v>
      </c>
      <c r="M704" s="208" t="s">
        <v>244</v>
      </c>
      <c r="N704" s="208">
        <v>-15</v>
      </c>
      <c r="O704" s="208">
        <v>2247</v>
      </c>
      <c r="P704" s="208">
        <v>-15</v>
      </c>
      <c r="Q704" s="208">
        <v>1519.65</v>
      </c>
    </row>
    <row r="705" spans="1:17">
      <c r="A705" s="218">
        <v>44196</v>
      </c>
      <c r="B705" s="208" t="s">
        <v>47</v>
      </c>
      <c r="C705" s="208" t="s">
        <v>8</v>
      </c>
      <c r="D705" s="208">
        <v>2020</v>
      </c>
      <c r="E705" s="208" t="s">
        <v>126</v>
      </c>
      <c r="F705" s="208" t="s">
        <v>120</v>
      </c>
      <c r="G705" s="208" t="s">
        <v>243</v>
      </c>
      <c r="H705" s="208">
        <v>4</v>
      </c>
      <c r="I705" s="208">
        <v>985.6</v>
      </c>
      <c r="J705" s="208">
        <v>0</v>
      </c>
      <c r="K705" s="208">
        <v>0</v>
      </c>
      <c r="L705" s="208">
        <v>392.8</v>
      </c>
      <c r="M705" s="208" t="s">
        <v>244</v>
      </c>
      <c r="N705" s="208">
        <v>-2700</v>
      </c>
      <c r="O705" s="208">
        <v>2700</v>
      </c>
      <c r="P705" s="208">
        <v>-1350</v>
      </c>
      <c r="Q705" s="208">
        <v>1350</v>
      </c>
    </row>
    <row r="706" spans="1:17">
      <c r="A706" s="218">
        <v>44196</v>
      </c>
      <c r="B706" s="208" t="s">
        <v>43</v>
      </c>
      <c r="C706" s="208" t="s">
        <v>8</v>
      </c>
      <c r="D706" s="208">
        <v>2020</v>
      </c>
      <c r="E706" s="208" t="s">
        <v>126</v>
      </c>
      <c r="F706" s="208" t="s">
        <v>120</v>
      </c>
      <c r="G706" s="208" t="s">
        <v>243</v>
      </c>
      <c r="H706" s="208">
        <v>2</v>
      </c>
      <c r="I706" s="208">
        <v>30.6</v>
      </c>
      <c r="J706" s="208">
        <v>0</v>
      </c>
      <c r="K706" s="208">
        <v>0</v>
      </c>
      <c r="L706" s="208">
        <v>30.6</v>
      </c>
      <c r="M706" s="208" t="s">
        <v>244</v>
      </c>
      <c r="N706" s="208">
        <v>-2700</v>
      </c>
      <c r="O706" s="208">
        <v>2700</v>
      </c>
      <c r="P706" s="208">
        <v>-1350</v>
      </c>
      <c r="Q706" s="208">
        <v>1350</v>
      </c>
    </row>
    <row r="707" spans="1:17">
      <c r="A707" s="218">
        <v>44196</v>
      </c>
      <c r="B707" s="208" t="s">
        <v>269</v>
      </c>
      <c r="C707" s="208" t="s">
        <v>8</v>
      </c>
      <c r="D707" s="208">
        <v>2020</v>
      </c>
      <c r="E707" s="208" t="s">
        <v>126</v>
      </c>
      <c r="F707" s="208" t="s">
        <v>120</v>
      </c>
      <c r="G707" s="208" t="s">
        <v>243</v>
      </c>
      <c r="H707" s="208">
        <v>2</v>
      </c>
      <c r="I707" s="208">
        <v>625</v>
      </c>
      <c r="J707" s="208">
        <v>0</v>
      </c>
      <c r="K707" s="208">
        <v>0</v>
      </c>
      <c r="L707" s="208">
        <v>250</v>
      </c>
      <c r="M707" s="208" t="s">
        <v>244</v>
      </c>
      <c r="N707" s="208">
        <v>-2700</v>
      </c>
      <c r="O707" s="208">
        <v>2700</v>
      </c>
      <c r="P707" s="208">
        <v>-1350</v>
      </c>
      <c r="Q707" s="208">
        <v>1350</v>
      </c>
    </row>
    <row r="708" spans="1:17">
      <c r="A708" s="218">
        <v>44196</v>
      </c>
      <c r="B708" s="208" t="s">
        <v>268</v>
      </c>
      <c r="C708" s="208" t="s">
        <v>8</v>
      </c>
      <c r="D708" s="208">
        <v>2020</v>
      </c>
      <c r="E708" s="208" t="s">
        <v>127</v>
      </c>
      <c r="F708" s="208" t="s">
        <v>120</v>
      </c>
      <c r="G708" s="208" t="s">
        <v>243</v>
      </c>
      <c r="H708" s="208">
        <v>4</v>
      </c>
      <c r="I708" s="208">
        <v>775.87</v>
      </c>
      <c r="J708" s="208">
        <v>504.32</v>
      </c>
      <c r="K708" s="208">
        <v>0</v>
      </c>
      <c r="L708" s="208">
        <v>271.54999999999995</v>
      </c>
      <c r="M708" s="208" t="s">
        <v>244</v>
      </c>
      <c r="N708" s="208">
        <v>-79.97</v>
      </c>
      <c r="O708" s="208">
        <v>504.64</v>
      </c>
      <c r="P708" s="208">
        <v>-27.99</v>
      </c>
      <c r="Q708" s="208">
        <v>176.62</v>
      </c>
    </row>
    <row r="709" spans="1:17">
      <c r="A709" s="218">
        <v>44196</v>
      </c>
      <c r="B709" s="208" t="s">
        <v>41</v>
      </c>
      <c r="C709" s="208" t="s">
        <v>8</v>
      </c>
      <c r="D709" s="208">
        <v>2019</v>
      </c>
      <c r="E709" s="208" t="s">
        <v>127</v>
      </c>
      <c r="F709" s="208" t="s">
        <v>120</v>
      </c>
      <c r="G709" s="208" t="s">
        <v>243</v>
      </c>
      <c r="H709" s="208">
        <v>4</v>
      </c>
      <c r="I709" s="208">
        <v>196.67000000000002</v>
      </c>
      <c r="J709" s="208">
        <v>127.83000000000001</v>
      </c>
      <c r="K709" s="208">
        <v>0</v>
      </c>
      <c r="L709" s="208">
        <v>68.84</v>
      </c>
      <c r="M709" s="208" t="s">
        <v>244</v>
      </c>
      <c r="N709" s="208">
        <v>-149.62</v>
      </c>
      <c r="O709" s="208">
        <v>2460</v>
      </c>
      <c r="P709" s="208">
        <v>-52.37</v>
      </c>
      <c r="Q709" s="208">
        <v>861</v>
      </c>
    </row>
    <row r="710" spans="1:17">
      <c r="A710" s="218">
        <v>44196</v>
      </c>
      <c r="B710" s="208" t="s">
        <v>225</v>
      </c>
      <c r="C710" s="208" t="s">
        <v>8</v>
      </c>
      <c r="D710" s="208">
        <v>2019</v>
      </c>
      <c r="E710" s="208" t="s">
        <v>127</v>
      </c>
      <c r="F710" s="208" t="s">
        <v>120</v>
      </c>
      <c r="G710" s="208" t="s">
        <v>243</v>
      </c>
      <c r="H710" s="208">
        <v>23</v>
      </c>
      <c r="I710" s="208">
        <v>1500.03</v>
      </c>
      <c r="J710" s="208">
        <v>975.02</v>
      </c>
      <c r="K710" s="208">
        <v>0</v>
      </c>
      <c r="L710" s="208">
        <v>525.00999999999988</v>
      </c>
      <c r="M710" s="208" t="s">
        <v>244</v>
      </c>
      <c r="N710" s="208">
        <v>-149.62</v>
      </c>
      <c r="O710" s="208">
        <v>2460</v>
      </c>
      <c r="P710" s="208">
        <v>-52.37</v>
      </c>
      <c r="Q710" s="208">
        <v>861</v>
      </c>
    </row>
    <row r="711" spans="1:17">
      <c r="A711" s="218">
        <v>44196</v>
      </c>
      <c r="B711" s="208" t="s">
        <v>36</v>
      </c>
      <c r="C711" s="208" t="s">
        <v>8</v>
      </c>
      <c r="D711" s="208">
        <v>2019</v>
      </c>
      <c r="E711" s="208" t="s">
        <v>127</v>
      </c>
      <c r="F711" s="208" t="s">
        <v>120</v>
      </c>
      <c r="G711" s="208" t="s">
        <v>243</v>
      </c>
      <c r="H711" s="208">
        <v>67</v>
      </c>
      <c r="I711" s="208">
        <v>5947.4500000000007</v>
      </c>
      <c r="J711" s="208">
        <v>3849.7699999999991</v>
      </c>
      <c r="K711" s="208">
        <v>0</v>
      </c>
      <c r="L711" s="208">
        <v>2078.96</v>
      </c>
      <c r="M711" s="208" t="s">
        <v>244</v>
      </c>
      <c r="N711" s="208">
        <v>-149.62</v>
      </c>
      <c r="O711" s="208">
        <v>2460</v>
      </c>
      <c r="P711" s="208">
        <v>-52.37</v>
      </c>
      <c r="Q711" s="208">
        <v>861</v>
      </c>
    </row>
    <row r="712" spans="1:17">
      <c r="A712" s="218">
        <v>44196</v>
      </c>
      <c r="B712" s="208" t="s">
        <v>259</v>
      </c>
      <c r="C712" s="208" t="s">
        <v>8</v>
      </c>
      <c r="D712" s="208">
        <v>2020</v>
      </c>
      <c r="E712" s="208" t="s">
        <v>127</v>
      </c>
      <c r="F712" s="208" t="s">
        <v>120</v>
      </c>
      <c r="G712" s="208" t="s">
        <v>243</v>
      </c>
      <c r="H712" s="208">
        <v>24</v>
      </c>
      <c r="I712" s="208">
        <v>1554.0000000000002</v>
      </c>
      <c r="J712" s="208">
        <v>1010.0899999999998</v>
      </c>
      <c r="K712" s="208">
        <v>0</v>
      </c>
      <c r="L712" s="208">
        <v>543.9</v>
      </c>
      <c r="M712" s="208" t="s">
        <v>244</v>
      </c>
      <c r="N712" s="208">
        <v>-79.97</v>
      </c>
      <c r="O712" s="208">
        <v>504.64</v>
      </c>
      <c r="P712" s="208">
        <v>-27.99</v>
      </c>
      <c r="Q712" s="208">
        <v>176.62</v>
      </c>
    </row>
    <row r="713" spans="1:17">
      <c r="A713" s="218">
        <v>44196</v>
      </c>
      <c r="B713" s="208" t="s">
        <v>264</v>
      </c>
      <c r="C713" s="208" t="s">
        <v>8</v>
      </c>
      <c r="D713" s="208">
        <v>2019</v>
      </c>
      <c r="E713" s="208" t="s">
        <v>127</v>
      </c>
      <c r="F713" s="208" t="s">
        <v>120</v>
      </c>
      <c r="G713" s="208" t="s">
        <v>243</v>
      </c>
      <c r="H713" s="208">
        <v>4</v>
      </c>
      <c r="I713" s="208">
        <v>196.67000000000002</v>
      </c>
      <c r="J713" s="208">
        <v>127.83000000000001</v>
      </c>
      <c r="K713" s="208">
        <v>0</v>
      </c>
      <c r="L713" s="208">
        <v>68.84</v>
      </c>
      <c r="M713" s="208" t="s">
        <v>244</v>
      </c>
      <c r="N713" s="208">
        <v>-149.62</v>
      </c>
      <c r="O713" s="208">
        <v>2460</v>
      </c>
      <c r="P713" s="208">
        <v>-52.37</v>
      </c>
      <c r="Q713" s="208">
        <v>861</v>
      </c>
    </row>
    <row r="714" spans="1:17">
      <c r="A714" s="218">
        <v>44196</v>
      </c>
      <c r="B714" s="208" t="s">
        <v>268</v>
      </c>
      <c r="C714" s="208" t="s">
        <v>8</v>
      </c>
      <c r="D714" s="208">
        <v>2019</v>
      </c>
      <c r="E714" s="208" t="s">
        <v>127</v>
      </c>
      <c r="F714" s="208" t="s">
        <v>120</v>
      </c>
      <c r="G714" s="208" t="s">
        <v>243</v>
      </c>
      <c r="H714" s="208">
        <v>4</v>
      </c>
      <c r="I714" s="208">
        <v>269.95999999999998</v>
      </c>
      <c r="J714" s="208">
        <v>175.47</v>
      </c>
      <c r="K714" s="208">
        <v>0</v>
      </c>
      <c r="L714" s="208">
        <v>94.490000000000009</v>
      </c>
      <c r="M714" s="208" t="s">
        <v>244</v>
      </c>
      <c r="N714" s="208">
        <v>-149.62</v>
      </c>
      <c r="O714" s="208">
        <v>2460</v>
      </c>
      <c r="P714" s="208">
        <v>-52.37</v>
      </c>
      <c r="Q714" s="208">
        <v>861</v>
      </c>
    </row>
    <row r="715" spans="1:17">
      <c r="A715" s="218">
        <v>44196</v>
      </c>
      <c r="B715" s="208" t="s">
        <v>263</v>
      </c>
      <c r="C715" s="208" t="s">
        <v>8</v>
      </c>
      <c r="D715" s="208">
        <v>2019</v>
      </c>
      <c r="E715" s="208" t="s">
        <v>127</v>
      </c>
      <c r="F715" s="208" t="s">
        <v>120</v>
      </c>
      <c r="G715" s="208" t="s">
        <v>243</v>
      </c>
      <c r="H715" s="208">
        <v>13</v>
      </c>
      <c r="I715" s="208">
        <v>792.69999999999982</v>
      </c>
      <c r="J715" s="208">
        <v>515.25</v>
      </c>
      <c r="K715" s="208">
        <v>0</v>
      </c>
      <c r="L715" s="208">
        <v>277.45000000000005</v>
      </c>
      <c r="M715" s="208" t="s">
        <v>244</v>
      </c>
      <c r="N715" s="208">
        <v>-149.62</v>
      </c>
      <c r="O715" s="208">
        <v>2460</v>
      </c>
      <c r="P715" s="208">
        <v>-52.37</v>
      </c>
      <c r="Q715" s="208">
        <v>861</v>
      </c>
    </row>
    <row r="716" spans="1:17">
      <c r="A716" s="218">
        <v>44196</v>
      </c>
      <c r="B716" s="208" t="s">
        <v>259</v>
      </c>
      <c r="C716" s="208" t="s">
        <v>8</v>
      </c>
      <c r="D716" s="208">
        <v>2019</v>
      </c>
      <c r="E716" s="208" t="s">
        <v>127</v>
      </c>
      <c r="F716" s="208" t="s">
        <v>120</v>
      </c>
      <c r="G716" s="208" t="s">
        <v>243</v>
      </c>
      <c r="H716" s="208">
        <v>67</v>
      </c>
      <c r="I716" s="208">
        <v>5947.4500000000016</v>
      </c>
      <c r="J716" s="208">
        <v>3849.7699999999991</v>
      </c>
      <c r="K716" s="208">
        <v>0</v>
      </c>
      <c r="L716" s="208">
        <v>2078.96</v>
      </c>
      <c r="M716" s="208" t="s">
        <v>244</v>
      </c>
      <c r="N716" s="208">
        <v>-149.62</v>
      </c>
      <c r="O716" s="208">
        <v>2460</v>
      </c>
      <c r="P716" s="208">
        <v>-52.37</v>
      </c>
      <c r="Q716" s="208">
        <v>861</v>
      </c>
    </row>
    <row r="717" spans="1:17">
      <c r="A717" s="218">
        <v>44196</v>
      </c>
      <c r="B717" s="208" t="s">
        <v>258</v>
      </c>
      <c r="C717" s="208" t="s">
        <v>8</v>
      </c>
      <c r="D717" s="208">
        <v>2020</v>
      </c>
      <c r="E717" s="208" t="s">
        <v>127</v>
      </c>
      <c r="F717" s="208" t="s">
        <v>120</v>
      </c>
      <c r="G717" s="208" t="s">
        <v>243</v>
      </c>
      <c r="H717" s="208">
        <v>15</v>
      </c>
      <c r="I717" s="208">
        <v>1294.7700000000002</v>
      </c>
      <c r="J717" s="208">
        <v>841.59</v>
      </c>
      <c r="K717" s="208">
        <v>0</v>
      </c>
      <c r="L717" s="208">
        <v>453.17999999999995</v>
      </c>
      <c r="M717" s="208" t="s">
        <v>244</v>
      </c>
      <c r="N717" s="208">
        <v>-79.97</v>
      </c>
      <c r="O717" s="208">
        <v>504.64</v>
      </c>
      <c r="P717" s="208">
        <v>-27.99</v>
      </c>
      <c r="Q717" s="208">
        <v>176.62</v>
      </c>
    </row>
    <row r="718" spans="1:17">
      <c r="A718" s="218">
        <v>44196</v>
      </c>
      <c r="B718" s="208" t="s">
        <v>36</v>
      </c>
      <c r="C718" s="208" t="s">
        <v>8</v>
      </c>
      <c r="D718" s="208">
        <v>2020</v>
      </c>
      <c r="E718" s="208" t="s">
        <v>127</v>
      </c>
      <c r="F718" s="208" t="s">
        <v>120</v>
      </c>
      <c r="G718" s="208" t="s">
        <v>243</v>
      </c>
      <c r="H718" s="208">
        <v>24</v>
      </c>
      <c r="I718" s="208">
        <v>1554</v>
      </c>
      <c r="J718" s="208">
        <v>1010.09</v>
      </c>
      <c r="K718" s="208">
        <v>0</v>
      </c>
      <c r="L718" s="208">
        <v>543.9</v>
      </c>
      <c r="M718" s="208" t="s">
        <v>244</v>
      </c>
      <c r="N718" s="208">
        <v>-79.97</v>
      </c>
      <c r="O718" s="208">
        <v>504.64</v>
      </c>
      <c r="P718" s="208">
        <v>-27.99</v>
      </c>
      <c r="Q718" s="208">
        <v>176.62</v>
      </c>
    </row>
    <row r="719" spans="1:17">
      <c r="A719" s="218">
        <v>44196</v>
      </c>
      <c r="B719" s="208" t="s">
        <v>267</v>
      </c>
      <c r="C719" s="208" t="s">
        <v>8</v>
      </c>
      <c r="D719" s="208">
        <v>2020</v>
      </c>
      <c r="E719" s="208" t="s">
        <v>127</v>
      </c>
      <c r="F719" s="208" t="s">
        <v>120</v>
      </c>
      <c r="G719" s="208" t="s">
        <v>243</v>
      </c>
      <c r="H719" s="208">
        <v>2</v>
      </c>
      <c r="I719" s="208">
        <v>227.13</v>
      </c>
      <c r="J719" s="208">
        <v>147.63</v>
      </c>
      <c r="K719" s="208">
        <v>0</v>
      </c>
      <c r="L719" s="208">
        <v>79.5</v>
      </c>
      <c r="M719" s="208" t="s">
        <v>244</v>
      </c>
      <c r="N719" s="208">
        <v>-79.97</v>
      </c>
      <c r="O719" s="208">
        <v>504.64</v>
      </c>
      <c r="P719" s="208">
        <v>-27.99</v>
      </c>
      <c r="Q719" s="208">
        <v>176.62</v>
      </c>
    </row>
    <row r="720" spans="1:17">
      <c r="A720" s="218">
        <v>44196</v>
      </c>
      <c r="B720" s="208" t="s">
        <v>43</v>
      </c>
      <c r="C720" s="208" t="s">
        <v>8</v>
      </c>
      <c r="D720" s="208">
        <v>2019</v>
      </c>
      <c r="E720" s="208" t="s">
        <v>127</v>
      </c>
      <c r="F720" s="208" t="s">
        <v>120</v>
      </c>
      <c r="G720" s="208" t="s">
        <v>243</v>
      </c>
      <c r="H720" s="208">
        <v>8</v>
      </c>
      <c r="I720" s="208">
        <v>830.17</v>
      </c>
      <c r="J720" s="208">
        <v>539.62</v>
      </c>
      <c r="K720" s="208">
        <v>0</v>
      </c>
      <c r="L720" s="208">
        <v>290.55</v>
      </c>
      <c r="M720" s="208" t="s">
        <v>244</v>
      </c>
      <c r="N720" s="208">
        <v>-149.62</v>
      </c>
      <c r="O720" s="208">
        <v>2460</v>
      </c>
      <c r="P720" s="208">
        <v>-52.37</v>
      </c>
      <c r="Q720" s="208">
        <v>861</v>
      </c>
    </row>
    <row r="721" spans="1:17">
      <c r="A721" s="218">
        <v>44196</v>
      </c>
      <c r="B721" s="208" t="s">
        <v>39</v>
      </c>
      <c r="C721" s="208" t="s">
        <v>8</v>
      </c>
      <c r="D721" s="208">
        <v>2020</v>
      </c>
      <c r="E721" s="208" t="s">
        <v>127</v>
      </c>
      <c r="F721" s="208" t="s">
        <v>120</v>
      </c>
      <c r="G721" s="208" t="s">
        <v>243</v>
      </c>
      <c r="H721" s="208">
        <v>4</v>
      </c>
      <c r="I721" s="208">
        <v>374.15000000000003</v>
      </c>
      <c r="J721" s="208">
        <v>243.19</v>
      </c>
      <c r="K721" s="208">
        <v>0</v>
      </c>
      <c r="L721" s="208">
        <v>130.96</v>
      </c>
      <c r="M721" s="208" t="s">
        <v>244</v>
      </c>
      <c r="N721" s="208">
        <v>-79.97</v>
      </c>
      <c r="O721" s="208">
        <v>504.64</v>
      </c>
      <c r="P721" s="208">
        <v>-27.99</v>
      </c>
      <c r="Q721" s="208">
        <v>176.62</v>
      </c>
    </row>
    <row r="722" spans="1:17">
      <c r="A722" s="218">
        <v>44196</v>
      </c>
      <c r="B722" s="208" t="s">
        <v>37</v>
      </c>
      <c r="C722" s="208" t="s">
        <v>8</v>
      </c>
      <c r="D722" s="208">
        <v>2019</v>
      </c>
      <c r="E722" s="208" t="s">
        <v>127</v>
      </c>
      <c r="F722" s="208" t="s">
        <v>120</v>
      </c>
      <c r="G722" s="208" t="s">
        <v>243</v>
      </c>
      <c r="H722" s="208">
        <v>23</v>
      </c>
      <c r="I722" s="208">
        <v>1500.03</v>
      </c>
      <c r="J722" s="208">
        <v>975.01999999999987</v>
      </c>
      <c r="K722" s="208">
        <v>0</v>
      </c>
      <c r="L722" s="208">
        <v>525.01</v>
      </c>
      <c r="M722" s="208" t="s">
        <v>244</v>
      </c>
      <c r="N722" s="208">
        <v>-149.62</v>
      </c>
      <c r="O722" s="208">
        <v>2460</v>
      </c>
      <c r="P722" s="208">
        <v>-52.37</v>
      </c>
      <c r="Q722" s="208">
        <v>861</v>
      </c>
    </row>
    <row r="723" spans="1:17">
      <c r="A723" s="218">
        <v>44196</v>
      </c>
      <c r="B723" s="208" t="s">
        <v>31</v>
      </c>
      <c r="C723" s="208" t="s">
        <v>8</v>
      </c>
      <c r="D723" s="208">
        <v>2019</v>
      </c>
      <c r="E723" s="208" t="s">
        <v>127</v>
      </c>
      <c r="F723" s="208" t="s">
        <v>120</v>
      </c>
      <c r="G723" s="208" t="s">
        <v>243</v>
      </c>
      <c r="H723" s="208">
        <v>70</v>
      </c>
      <c r="I723" s="208">
        <v>4868.6399999999985</v>
      </c>
      <c r="J723" s="208">
        <v>3164.6299999999983</v>
      </c>
      <c r="K723" s="208">
        <v>0</v>
      </c>
      <c r="L723" s="208">
        <v>1704.0100000000004</v>
      </c>
      <c r="M723" s="208" t="s">
        <v>244</v>
      </c>
      <c r="N723" s="208">
        <v>-149.62</v>
      </c>
      <c r="O723" s="208">
        <v>2460</v>
      </c>
      <c r="P723" s="208">
        <v>-52.37</v>
      </c>
      <c r="Q723" s="208">
        <v>861</v>
      </c>
    </row>
    <row r="724" spans="1:17">
      <c r="A724" s="218">
        <v>44196</v>
      </c>
      <c r="B724" s="208" t="s">
        <v>47</v>
      </c>
      <c r="C724" s="208" t="s">
        <v>8</v>
      </c>
      <c r="D724" s="208">
        <v>2020</v>
      </c>
      <c r="E724" s="208" t="s">
        <v>127</v>
      </c>
      <c r="F724" s="208" t="s">
        <v>120</v>
      </c>
      <c r="G724" s="208" t="s">
        <v>243</v>
      </c>
      <c r="H724" s="208">
        <v>4</v>
      </c>
      <c r="I724" s="208">
        <v>775.87</v>
      </c>
      <c r="J724" s="208">
        <v>504.32</v>
      </c>
      <c r="K724" s="208">
        <v>0</v>
      </c>
      <c r="L724" s="208">
        <v>271.54999999999995</v>
      </c>
      <c r="M724" s="208" t="s">
        <v>244</v>
      </c>
      <c r="N724" s="208">
        <v>-79.97</v>
      </c>
      <c r="O724" s="208">
        <v>504.64</v>
      </c>
      <c r="P724" s="208">
        <v>-27.99</v>
      </c>
      <c r="Q724" s="208">
        <v>176.62</v>
      </c>
    </row>
    <row r="725" spans="1:17">
      <c r="A725" s="218">
        <v>44196</v>
      </c>
      <c r="B725" s="208" t="s">
        <v>29</v>
      </c>
      <c r="C725" s="208" t="s">
        <v>8</v>
      </c>
      <c r="D725" s="208">
        <v>2019</v>
      </c>
      <c r="E725" s="208" t="s">
        <v>127</v>
      </c>
      <c r="F725" s="208" t="s">
        <v>120</v>
      </c>
      <c r="G725" s="208" t="s">
        <v>243</v>
      </c>
      <c r="H725" s="208">
        <v>185</v>
      </c>
      <c r="I725" s="208">
        <v>9480.8000000000047</v>
      </c>
      <c r="J725" s="208">
        <v>6162.5499999999984</v>
      </c>
      <c r="K725" s="208">
        <v>0</v>
      </c>
      <c r="L725" s="208">
        <v>3318.25</v>
      </c>
      <c r="M725" s="208" t="s">
        <v>244</v>
      </c>
      <c r="N725" s="208">
        <v>-149.62</v>
      </c>
      <c r="O725" s="208">
        <v>2460</v>
      </c>
      <c r="P725" s="208">
        <v>-52.37</v>
      </c>
      <c r="Q725" s="208">
        <v>861</v>
      </c>
    </row>
    <row r="726" spans="1:17">
      <c r="A726" s="218">
        <v>44196</v>
      </c>
      <c r="B726" s="208" t="s">
        <v>260</v>
      </c>
      <c r="C726" s="208" t="s">
        <v>8</v>
      </c>
      <c r="D726" s="208">
        <v>2020</v>
      </c>
      <c r="E726" s="208" t="s">
        <v>127</v>
      </c>
      <c r="F726" s="208" t="s">
        <v>120</v>
      </c>
      <c r="G726" s="208" t="s">
        <v>243</v>
      </c>
      <c r="H726" s="208">
        <v>204</v>
      </c>
      <c r="I726" s="208">
        <v>13959.42</v>
      </c>
      <c r="J726" s="208">
        <v>9073.6600000000035</v>
      </c>
      <c r="K726" s="208">
        <v>0</v>
      </c>
      <c r="L726" s="208">
        <v>4885.7500000000018</v>
      </c>
      <c r="M726" s="208" t="s">
        <v>244</v>
      </c>
      <c r="N726" s="208">
        <v>-79.97</v>
      </c>
      <c r="O726" s="208">
        <v>504.64</v>
      </c>
      <c r="P726" s="208">
        <v>-27.99</v>
      </c>
      <c r="Q726" s="208">
        <v>176.62</v>
      </c>
    </row>
    <row r="727" spans="1:17">
      <c r="A727" s="218">
        <v>44196</v>
      </c>
      <c r="B727" s="208" t="s">
        <v>33</v>
      </c>
      <c r="C727" s="208" t="s">
        <v>8</v>
      </c>
      <c r="D727" s="208">
        <v>2020</v>
      </c>
      <c r="E727" s="208" t="s">
        <v>127</v>
      </c>
      <c r="F727" s="208" t="s">
        <v>120</v>
      </c>
      <c r="G727" s="208" t="s">
        <v>243</v>
      </c>
      <c r="H727" s="208">
        <v>14</v>
      </c>
      <c r="I727" s="208">
        <v>1154.4899999999998</v>
      </c>
      <c r="J727" s="208">
        <v>750.49</v>
      </c>
      <c r="K727" s="208">
        <v>0</v>
      </c>
      <c r="L727" s="208">
        <v>404</v>
      </c>
      <c r="M727" s="208" t="s">
        <v>244</v>
      </c>
      <c r="N727" s="208">
        <v>-79.97</v>
      </c>
      <c r="O727" s="208">
        <v>504.64</v>
      </c>
      <c r="P727" s="208">
        <v>-27.99</v>
      </c>
      <c r="Q727" s="208">
        <v>176.62</v>
      </c>
    </row>
    <row r="728" spans="1:17">
      <c r="A728" s="218">
        <v>44196</v>
      </c>
      <c r="B728" s="208" t="s">
        <v>31</v>
      </c>
      <c r="C728" s="208" t="s">
        <v>8</v>
      </c>
      <c r="D728" s="208">
        <v>2020</v>
      </c>
      <c r="E728" s="208" t="s">
        <v>127</v>
      </c>
      <c r="F728" s="208" t="s">
        <v>120</v>
      </c>
      <c r="G728" s="208" t="s">
        <v>243</v>
      </c>
      <c r="H728" s="208">
        <v>15</v>
      </c>
      <c r="I728" s="208">
        <v>1294.7700000000002</v>
      </c>
      <c r="J728" s="208">
        <v>841.58999999999992</v>
      </c>
      <c r="K728" s="208">
        <v>0</v>
      </c>
      <c r="L728" s="208">
        <v>453.17999999999995</v>
      </c>
      <c r="M728" s="208" t="s">
        <v>244</v>
      </c>
      <c r="N728" s="208">
        <v>-79.97</v>
      </c>
      <c r="O728" s="208">
        <v>504.64</v>
      </c>
      <c r="P728" s="208">
        <v>-27.99</v>
      </c>
      <c r="Q728" s="208">
        <v>176.62</v>
      </c>
    </row>
    <row r="729" spans="1:17">
      <c r="A729" s="218">
        <v>44196</v>
      </c>
      <c r="B729" s="208" t="s">
        <v>225</v>
      </c>
      <c r="C729" s="208" t="s">
        <v>8</v>
      </c>
      <c r="D729" s="208">
        <v>2020</v>
      </c>
      <c r="E729" s="208" t="s">
        <v>127</v>
      </c>
      <c r="F729" s="208" t="s">
        <v>120</v>
      </c>
      <c r="G729" s="208" t="s">
        <v>243</v>
      </c>
      <c r="H729" s="208">
        <v>43</v>
      </c>
      <c r="I729" s="208">
        <v>2566.3500000000008</v>
      </c>
      <c r="J729" s="208">
        <v>1668.1799999999996</v>
      </c>
      <c r="K729" s="208">
        <v>0</v>
      </c>
      <c r="L729" s="208">
        <v>898.17000000000019</v>
      </c>
      <c r="M729" s="208" t="s">
        <v>244</v>
      </c>
      <c r="N729" s="208">
        <v>-79.97</v>
      </c>
      <c r="O729" s="208">
        <v>504.64</v>
      </c>
      <c r="P729" s="208">
        <v>-27.99</v>
      </c>
      <c r="Q729" s="208">
        <v>176.62</v>
      </c>
    </row>
    <row r="730" spans="1:17">
      <c r="A730" s="218">
        <v>44196</v>
      </c>
      <c r="B730" s="208" t="s">
        <v>43</v>
      </c>
      <c r="C730" s="208" t="s">
        <v>8</v>
      </c>
      <c r="D730" s="208">
        <v>2020</v>
      </c>
      <c r="E730" s="208" t="s">
        <v>127</v>
      </c>
      <c r="F730" s="208" t="s">
        <v>120</v>
      </c>
      <c r="G730" s="208" t="s">
        <v>243</v>
      </c>
      <c r="H730" s="208">
        <v>21</v>
      </c>
      <c r="I730" s="208">
        <v>5969.2300000000005</v>
      </c>
      <c r="J730" s="208">
        <v>3880.0099999999998</v>
      </c>
      <c r="K730" s="208">
        <v>0</v>
      </c>
      <c r="L730" s="208">
        <v>2089.2200000000003</v>
      </c>
      <c r="M730" s="208" t="s">
        <v>244</v>
      </c>
      <c r="N730" s="208">
        <v>-79.97</v>
      </c>
      <c r="O730" s="208">
        <v>504.64</v>
      </c>
      <c r="P730" s="208">
        <v>-27.99</v>
      </c>
      <c r="Q730" s="208">
        <v>176.62</v>
      </c>
    </row>
    <row r="731" spans="1:17">
      <c r="A731" s="218">
        <v>44196</v>
      </c>
      <c r="B731" s="208" t="s">
        <v>262</v>
      </c>
      <c r="C731" s="208" t="s">
        <v>8</v>
      </c>
      <c r="D731" s="208">
        <v>2019</v>
      </c>
      <c r="E731" s="208" t="s">
        <v>127</v>
      </c>
      <c r="F731" s="208" t="s">
        <v>120</v>
      </c>
      <c r="G731" s="208" t="s">
        <v>243</v>
      </c>
      <c r="H731" s="208">
        <v>8</v>
      </c>
      <c r="I731" s="208">
        <v>830.17</v>
      </c>
      <c r="J731" s="208">
        <v>539.62</v>
      </c>
      <c r="K731" s="208">
        <v>0</v>
      </c>
      <c r="L731" s="208">
        <v>290.55</v>
      </c>
      <c r="M731" s="208" t="s">
        <v>244</v>
      </c>
      <c r="N731" s="208">
        <v>-149.62</v>
      </c>
      <c r="O731" s="208">
        <v>2460</v>
      </c>
      <c r="P731" s="208">
        <v>-52.37</v>
      </c>
      <c r="Q731" s="208">
        <v>861</v>
      </c>
    </row>
    <row r="732" spans="1:17">
      <c r="A732" s="218">
        <v>44196</v>
      </c>
      <c r="B732" s="208" t="s">
        <v>260</v>
      </c>
      <c r="C732" s="208" t="s">
        <v>8</v>
      </c>
      <c r="D732" s="208">
        <v>2019</v>
      </c>
      <c r="E732" s="208" t="s">
        <v>127</v>
      </c>
      <c r="F732" s="208" t="s">
        <v>120</v>
      </c>
      <c r="G732" s="208" t="s">
        <v>243</v>
      </c>
      <c r="H732" s="208">
        <v>185</v>
      </c>
      <c r="I732" s="208">
        <v>9480.8000000000011</v>
      </c>
      <c r="J732" s="208">
        <v>6162.55</v>
      </c>
      <c r="K732" s="208">
        <v>0</v>
      </c>
      <c r="L732" s="208">
        <v>3318.2500000000005</v>
      </c>
      <c r="M732" s="208" t="s">
        <v>244</v>
      </c>
      <c r="N732" s="208">
        <v>-149.62</v>
      </c>
      <c r="O732" s="208">
        <v>2460</v>
      </c>
      <c r="P732" s="208">
        <v>-52.37</v>
      </c>
      <c r="Q732" s="208">
        <v>861</v>
      </c>
    </row>
    <row r="733" spans="1:17">
      <c r="A733" s="218">
        <v>44196</v>
      </c>
      <c r="B733" s="208" t="s">
        <v>41</v>
      </c>
      <c r="C733" s="208" t="s">
        <v>8</v>
      </c>
      <c r="D733" s="208">
        <v>2020</v>
      </c>
      <c r="E733" s="208" t="s">
        <v>127</v>
      </c>
      <c r="F733" s="208" t="s">
        <v>120</v>
      </c>
      <c r="G733" s="208" t="s">
        <v>243</v>
      </c>
      <c r="H733" s="208">
        <v>3</v>
      </c>
      <c r="I733" s="208">
        <v>374.93</v>
      </c>
      <c r="J733" s="208">
        <v>243.71</v>
      </c>
      <c r="K733" s="208">
        <v>0</v>
      </c>
      <c r="L733" s="208">
        <v>131.22</v>
      </c>
      <c r="M733" s="208" t="s">
        <v>244</v>
      </c>
      <c r="N733" s="208">
        <v>-79.97</v>
      </c>
      <c r="O733" s="208">
        <v>504.64</v>
      </c>
      <c r="P733" s="208">
        <v>-27.99</v>
      </c>
      <c r="Q733" s="208">
        <v>176.62</v>
      </c>
    </row>
    <row r="734" spans="1:17">
      <c r="A734" s="218">
        <v>44196</v>
      </c>
      <c r="B734" s="208" t="s">
        <v>37</v>
      </c>
      <c r="C734" s="208" t="s">
        <v>8</v>
      </c>
      <c r="D734" s="208">
        <v>2020</v>
      </c>
      <c r="E734" s="208" t="s">
        <v>127</v>
      </c>
      <c r="F734" s="208" t="s">
        <v>120</v>
      </c>
      <c r="G734" s="208" t="s">
        <v>243</v>
      </c>
      <c r="H734" s="208">
        <v>43</v>
      </c>
      <c r="I734" s="208">
        <v>2566.3500000000004</v>
      </c>
      <c r="J734" s="208">
        <v>1668.18</v>
      </c>
      <c r="K734" s="208">
        <v>0</v>
      </c>
      <c r="L734" s="208">
        <v>898.17000000000019</v>
      </c>
      <c r="M734" s="208" t="s">
        <v>244</v>
      </c>
      <c r="N734" s="208">
        <v>-79.97</v>
      </c>
      <c r="O734" s="208">
        <v>504.64</v>
      </c>
      <c r="P734" s="208">
        <v>-27.99</v>
      </c>
      <c r="Q734" s="208">
        <v>176.62</v>
      </c>
    </row>
    <row r="735" spans="1:17">
      <c r="A735" s="218">
        <v>44196</v>
      </c>
      <c r="B735" s="208" t="s">
        <v>45</v>
      </c>
      <c r="C735" s="208" t="s">
        <v>8</v>
      </c>
      <c r="D735" s="208">
        <v>2019</v>
      </c>
      <c r="E735" s="208" t="s">
        <v>127</v>
      </c>
      <c r="F735" s="208" t="s">
        <v>120</v>
      </c>
      <c r="G735" s="208" t="s">
        <v>243</v>
      </c>
      <c r="H735" s="208">
        <v>1</v>
      </c>
      <c r="I735" s="208">
        <v>161.77000000000001</v>
      </c>
      <c r="J735" s="208">
        <v>105.15</v>
      </c>
      <c r="K735" s="208">
        <v>0</v>
      </c>
      <c r="L735" s="208">
        <v>56.62</v>
      </c>
      <c r="M735" s="208" t="s">
        <v>244</v>
      </c>
      <c r="N735" s="208">
        <v>-149.62</v>
      </c>
      <c r="O735" s="208">
        <v>2460</v>
      </c>
      <c r="P735" s="208">
        <v>-52.37</v>
      </c>
      <c r="Q735" s="208">
        <v>861</v>
      </c>
    </row>
    <row r="736" spans="1:17">
      <c r="A736" s="218">
        <v>44196</v>
      </c>
      <c r="B736" s="208" t="s">
        <v>45</v>
      </c>
      <c r="C736" s="208" t="s">
        <v>8</v>
      </c>
      <c r="D736" s="208">
        <v>2020</v>
      </c>
      <c r="E736" s="208" t="s">
        <v>127</v>
      </c>
      <c r="F736" s="208" t="s">
        <v>120</v>
      </c>
      <c r="G736" s="208" t="s">
        <v>243</v>
      </c>
      <c r="H736" s="208">
        <v>2</v>
      </c>
      <c r="I736" s="208">
        <v>227.13</v>
      </c>
      <c r="J736" s="208">
        <v>147.63</v>
      </c>
      <c r="K736" s="208">
        <v>0</v>
      </c>
      <c r="L736" s="208">
        <v>79.5</v>
      </c>
      <c r="M736" s="208" t="s">
        <v>244</v>
      </c>
      <c r="N736" s="208">
        <v>-79.97</v>
      </c>
      <c r="O736" s="208">
        <v>504.64</v>
      </c>
      <c r="P736" s="208">
        <v>-27.99</v>
      </c>
      <c r="Q736" s="208">
        <v>176.62</v>
      </c>
    </row>
    <row r="737" spans="1:17">
      <c r="A737" s="218">
        <v>44196</v>
      </c>
      <c r="B737" s="208" t="s">
        <v>47</v>
      </c>
      <c r="C737" s="208" t="s">
        <v>8</v>
      </c>
      <c r="D737" s="208">
        <v>2019</v>
      </c>
      <c r="E737" s="208" t="s">
        <v>127</v>
      </c>
      <c r="F737" s="208" t="s">
        <v>120</v>
      </c>
      <c r="G737" s="208" t="s">
        <v>243</v>
      </c>
      <c r="H737" s="208">
        <v>4</v>
      </c>
      <c r="I737" s="208">
        <v>269.96000000000004</v>
      </c>
      <c r="J737" s="208">
        <v>175.47000000000003</v>
      </c>
      <c r="K737" s="208">
        <v>0</v>
      </c>
      <c r="L737" s="208">
        <v>94.49</v>
      </c>
      <c r="M737" s="208" t="s">
        <v>244</v>
      </c>
      <c r="N737" s="208">
        <v>-149.62</v>
      </c>
      <c r="O737" s="208">
        <v>2460</v>
      </c>
      <c r="P737" s="208">
        <v>-52.37</v>
      </c>
      <c r="Q737" s="208">
        <v>861</v>
      </c>
    </row>
    <row r="738" spans="1:17">
      <c r="A738" s="218">
        <v>44196</v>
      </c>
      <c r="B738" s="208" t="s">
        <v>29</v>
      </c>
      <c r="C738" s="208" t="s">
        <v>8</v>
      </c>
      <c r="D738" s="208">
        <v>2020</v>
      </c>
      <c r="E738" s="208" t="s">
        <v>127</v>
      </c>
      <c r="F738" s="208" t="s">
        <v>120</v>
      </c>
      <c r="G738" s="208" t="s">
        <v>243</v>
      </c>
      <c r="H738" s="208">
        <v>204</v>
      </c>
      <c r="I738" s="208">
        <v>13959.419999999996</v>
      </c>
      <c r="J738" s="208">
        <v>9073.6600000000035</v>
      </c>
      <c r="K738" s="208">
        <v>0</v>
      </c>
      <c r="L738" s="208">
        <v>4885.7500000000027</v>
      </c>
      <c r="M738" s="208" t="s">
        <v>244</v>
      </c>
      <c r="N738" s="208">
        <v>-79.97</v>
      </c>
      <c r="O738" s="208">
        <v>504.64</v>
      </c>
      <c r="P738" s="208">
        <v>-27.99</v>
      </c>
      <c r="Q738" s="208">
        <v>176.62</v>
      </c>
    </row>
    <row r="739" spans="1:17">
      <c r="A739" s="218">
        <v>44196</v>
      </c>
      <c r="B739" s="208" t="s">
        <v>258</v>
      </c>
      <c r="C739" s="208" t="s">
        <v>8</v>
      </c>
      <c r="D739" s="208">
        <v>2019</v>
      </c>
      <c r="E739" s="208" t="s">
        <v>127</v>
      </c>
      <c r="F739" s="208" t="s">
        <v>120</v>
      </c>
      <c r="G739" s="208" t="s">
        <v>243</v>
      </c>
      <c r="H739" s="208">
        <v>70</v>
      </c>
      <c r="I739" s="208">
        <v>4868.6399999999994</v>
      </c>
      <c r="J739" s="208">
        <v>3164.63</v>
      </c>
      <c r="K739" s="208">
        <v>0</v>
      </c>
      <c r="L739" s="208">
        <v>1704.0099999999998</v>
      </c>
      <c r="M739" s="208" t="s">
        <v>244</v>
      </c>
      <c r="N739" s="208">
        <v>-149.62</v>
      </c>
      <c r="O739" s="208">
        <v>2460</v>
      </c>
      <c r="P739" s="208">
        <v>-52.37</v>
      </c>
      <c r="Q739" s="208">
        <v>861</v>
      </c>
    </row>
    <row r="740" spans="1:17">
      <c r="A740" s="218">
        <v>44196</v>
      </c>
      <c r="B740" s="208" t="s">
        <v>33</v>
      </c>
      <c r="C740" s="208" t="s">
        <v>8</v>
      </c>
      <c r="D740" s="208">
        <v>2019</v>
      </c>
      <c r="E740" s="208" t="s">
        <v>127</v>
      </c>
      <c r="F740" s="208" t="s">
        <v>120</v>
      </c>
      <c r="G740" s="208" t="s">
        <v>243</v>
      </c>
      <c r="H740" s="208">
        <v>13</v>
      </c>
      <c r="I740" s="208">
        <v>792.7</v>
      </c>
      <c r="J740" s="208">
        <v>515.25000000000011</v>
      </c>
      <c r="K740" s="208">
        <v>0</v>
      </c>
      <c r="L740" s="208">
        <v>277.45000000000005</v>
      </c>
      <c r="M740" s="208" t="s">
        <v>244</v>
      </c>
      <c r="N740" s="208">
        <v>-149.62</v>
      </c>
      <c r="O740" s="208">
        <v>2460</v>
      </c>
      <c r="P740" s="208">
        <v>-52.37</v>
      </c>
      <c r="Q740" s="208">
        <v>861</v>
      </c>
    </row>
    <row r="741" spans="1:17">
      <c r="A741" s="218">
        <v>44196</v>
      </c>
      <c r="B741" s="208" t="s">
        <v>264</v>
      </c>
      <c r="C741" s="208" t="s">
        <v>8</v>
      </c>
      <c r="D741" s="208">
        <v>2020</v>
      </c>
      <c r="E741" s="208" t="s">
        <v>127</v>
      </c>
      <c r="F741" s="208" t="s">
        <v>120</v>
      </c>
      <c r="G741" s="208" t="s">
        <v>243</v>
      </c>
      <c r="H741" s="208">
        <v>3</v>
      </c>
      <c r="I741" s="208">
        <v>374.93</v>
      </c>
      <c r="J741" s="208">
        <v>243.71</v>
      </c>
      <c r="K741" s="208">
        <v>0</v>
      </c>
      <c r="L741" s="208">
        <v>131.22</v>
      </c>
      <c r="M741" s="208" t="s">
        <v>244</v>
      </c>
      <c r="N741" s="208">
        <v>-79.97</v>
      </c>
      <c r="O741" s="208">
        <v>504.64</v>
      </c>
      <c r="P741" s="208">
        <v>-27.99</v>
      </c>
      <c r="Q741" s="208">
        <v>176.62</v>
      </c>
    </row>
    <row r="742" spans="1:17">
      <c r="A742" s="218">
        <v>44196</v>
      </c>
      <c r="B742" s="208" t="s">
        <v>263</v>
      </c>
      <c r="C742" s="208" t="s">
        <v>8</v>
      </c>
      <c r="D742" s="208">
        <v>2020</v>
      </c>
      <c r="E742" s="208" t="s">
        <v>127</v>
      </c>
      <c r="F742" s="208" t="s">
        <v>120</v>
      </c>
      <c r="G742" s="208" t="s">
        <v>243</v>
      </c>
      <c r="H742" s="208">
        <v>14</v>
      </c>
      <c r="I742" s="208">
        <v>1154.4899999999998</v>
      </c>
      <c r="J742" s="208">
        <v>750.49</v>
      </c>
      <c r="K742" s="208">
        <v>0</v>
      </c>
      <c r="L742" s="208">
        <v>404</v>
      </c>
      <c r="M742" s="208" t="s">
        <v>244</v>
      </c>
      <c r="N742" s="208">
        <v>-79.97</v>
      </c>
      <c r="O742" s="208">
        <v>504.64</v>
      </c>
      <c r="P742" s="208">
        <v>-27.99</v>
      </c>
      <c r="Q742" s="208">
        <v>176.62</v>
      </c>
    </row>
    <row r="743" spans="1:17">
      <c r="A743" s="218">
        <v>44196</v>
      </c>
      <c r="B743" s="208" t="s">
        <v>267</v>
      </c>
      <c r="C743" s="208" t="s">
        <v>8</v>
      </c>
      <c r="D743" s="208">
        <v>2019</v>
      </c>
      <c r="E743" s="208" t="s">
        <v>127</v>
      </c>
      <c r="F743" s="208" t="s">
        <v>120</v>
      </c>
      <c r="G743" s="208" t="s">
        <v>243</v>
      </c>
      <c r="H743" s="208">
        <v>1</v>
      </c>
      <c r="I743" s="208">
        <v>161.77000000000001</v>
      </c>
      <c r="J743" s="208">
        <v>105.15</v>
      </c>
      <c r="K743" s="208">
        <v>0</v>
      </c>
      <c r="L743" s="208">
        <v>56.62</v>
      </c>
      <c r="M743" s="208" t="s">
        <v>244</v>
      </c>
      <c r="N743" s="208">
        <v>-149.62</v>
      </c>
      <c r="O743" s="208">
        <v>2460</v>
      </c>
      <c r="P743" s="208">
        <v>-52.37</v>
      </c>
      <c r="Q743" s="208">
        <v>861</v>
      </c>
    </row>
    <row r="744" spans="1:17">
      <c r="A744" s="218">
        <v>44196</v>
      </c>
      <c r="B744" s="208" t="s">
        <v>269</v>
      </c>
      <c r="C744" s="208" t="s">
        <v>8</v>
      </c>
      <c r="D744" s="208">
        <v>2020</v>
      </c>
      <c r="E744" s="208" t="s">
        <v>127</v>
      </c>
      <c r="F744" s="208" t="s">
        <v>120</v>
      </c>
      <c r="G744" s="208" t="s">
        <v>243</v>
      </c>
      <c r="H744" s="208">
        <v>4</v>
      </c>
      <c r="I744" s="208">
        <v>374.15000000000003</v>
      </c>
      <c r="J744" s="208">
        <v>243.19</v>
      </c>
      <c r="K744" s="208">
        <v>0</v>
      </c>
      <c r="L744" s="208">
        <v>130.96</v>
      </c>
      <c r="M744" s="208" t="s">
        <v>244</v>
      </c>
      <c r="N744" s="208">
        <v>-79.97</v>
      </c>
      <c r="O744" s="208">
        <v>504.64</v>
      </c>
      <c r="P744" s="208">
        <v>-27.99</v>
      </c>
      <c r="Q744" s="208">
        <v>176.62</v>
      </c>
    </row>
    <row r="745" spans="1:17">
      <c r="A745" s="218">
        <v>44196</v>
      </c>
      <c r="B745" s="208" t="s">
        <v>262</v>
      </c>
      <c r="C745" s="208" t="s">
        <v>8</v>
      </c>
      <c r="D745" s="208">
        <v>2020</v>
      </c>
      <c r="E745" s="208" t="s">
        <v>127</v>
      </c>
      <c r="F745" s="208" t="s">
        <v>120</v>
      </c>
      <c r="G745" s="208" t="s">
        <v>243</v>
      </c>
      <c r="H745" s="208">
        <v>21</v>
      </c>
      <c r="I745" s="208">
        <v>5969.2300000000005</v>
      </c>
      <c r="J745" s="208">
        <v>3880.0099999999998</v>
      </c>
      <c r="K745" s="208">
        <v>0</v>
      </c>
      <c r="L745" s="208">
        <v>2089.2200000000003</v>
      </c>
      <c r="M745" s="208" t="s">
        <v>244</v>
      </c>
      <c r="N745" s="208">
        <v>-79.97</v>
      </c>
      <c r="O745" s="208">
        <v>504.64</v>
      </c>
      <c r="P745" s="208">
        <v>-27.99</v>
      </c>
      <c r="Q745" s="208">
        <v>176.62</v>
      </c>
    </row>
    <row r="746" spans="1:17">
      <c r="A746" s="218">
        <v>44196</v>
      </c>
      <c r="B746" s="208" t="s">
        <v>36</v>
      </c>
      <c r="C746" s="208" t="s">
        <v>8</v>
      </c>
      <c r="D746" s="208">
        <v>2020</v>
      </c>
      <c r="E746" s="208" t="s">
        <v>129</v>
      </c>
      <c r="F746" s="208" t="s">
        <v>128</v>
      </c>
      <c r="G746" s="208" t="s">
        <v>243</v>
      </c>
      <c r="H746" s="208">
        <v>66</v>
      </c>
      <c r="I746" s="208">
        <v>8021.7700000000013</v>
      </c>
      <c r="J746" s="208">
        <v>1286.5900000000001</v>
      </c>
      <c r="K746" s="208">
        <v>0</v>
      </c>
      <c r="L746" s="208">
        <v>6723.9000000000033</v>
      </c>
      <c r="M746" s="208" t="s">
        <v>244</v>
      </c>
      <c r="N746" s="208">
        <v>-275</v>
      </c>
      <c r="O746" s="208">
        <v>1292.48</v>
      </c>
      <c r="P746" s="208">
        <v>-275</v>
      </c>
      <c r="Q746" s="208">
        <v>706.46</v>
      </c>
    </row>
    <row r="747" spans="1:17">
      <c r="A747" s="218">
        <v>44196</v>
      </c>
      <c r="B747" s="208" t="s">
        <v>48</v>
      </c>
      <c r="C747" s="208" t="s">
        <v>8</v>
      </c>
      <c r="D747" s="208">
        <v>2020</v>
      </c>
      <c r="E747" s="208" t="s">
        <v>129</v>
      </c>
      <c r="F747" s="208" t="s">
        <v>128</v>
      </c>
      <c r="G747" s="208" t="s">
        <v>243</v>
      </c>
      <c r="H747" s="208">
        <v>1</v>
      </c>
      <c r="I747" s="208">
        <v>200</v>
      </c>
      <c r="J747" s="208">
        <v>0</v>
      </c>
      <c r="K747" s="208">
        <v>0</v>
      </c>
      <c r="L747" s="208">
        <v>200</v>
      </c>
      <c r="M747" s="208" t="s">
        <v>244</v>
      </c>
      <c r="N747" s="208">
        <v>-275</v>
      </c>
      <c r="O747" s="208">
        <v>1292.48</v>
      </c>
      <c r="P747" s="208">
        <v>-275</v>
      </c>
      <c r="Q747" s="208">
        <v>706.46</v>
      </c>
    </row>
    <row r="748" spans="1:17">
      <c r="A748" s="218">
        <v>44196</v>
      </c>
      <c r="B748" s="208" t="s">
        <v>263</v>
      </c>
      <c r="C748" s="208" t="s">
        <v>8</v>
      </c>
      <c r="D748" s="208">
        <v>2019</v>
      </c>
      <c r="E748" s="208" t="s">
        <v>129</v>
      </c>
      <c r="F748" s="208" t="s">
        <v>128</v>
      </c>
      <c r="G748" s="208" t="s">
        <v>243</v>
      </c>
      <c r="H748" s="208">
        <v>7</v>
      </c>
      <c r="I748" s="208">
        <v>3596.5099999999998</v>
      </c>
      <c r="J748" s="208">
        <v>647.74</v>
      </c>
      <c r="K748" s="208">
        <v>0</v>
      </c>
      <c r="L748" s="208">
        <v>2898.77</v>
      </c>
      <c r="M748" s="208" t="s">
        <v>244</v>
      </c>
      <c r="N748" s="208">
        <v>-675.4</v>
      </c>
      <c r="O748" s="208">
        <v>1241.2</v>
      </c>
      <c r="P748" s="208">
        <v>-675.4</v>
      </c>
      <c r="Q748" s="208">
        <v>865</v>
      </c>
    </row>
    <row r="749" spans="1:17">
      <c r="A749" s="218">
        <v>44196</v>
      </c>
      <c r="B749" s="208" t="s">
        <v>36</v>
      </c>
      <c r="C749" s="208" t="s">
        <v>8</v>
      </c>
      <c r="D749" s="208">
        <v>2019</v>
      </c>
      <c r="E749" s="208" t="s">
        <v>129</v>
      </c>
      <c r="F749" s="208" t="s">
        <v>128</v>
      </c>
      <c r="G749" s="208" t="s">
        <v>243</v>
      </c>
      <c r="H749" s="208">
        <v>85</v>
      </c>
      <c r="I749" s="208">
        <v>9411.8600000000024</v>
      </c>
      <c r="J749" s="208">
        <v>1000.35</v>
      </c>
      <c r="K749" s="208">
        <v>0</v>
      </c>
      <c r="L749" s="208">
        <v>8411.5099999999984</v>
      </c>
      <c r="M749" s="208" t="s">
        <v>244</v>
      </c>
      <c r="N749" s="208">
        <v>-675.4</v>
      </c>
      <c r="O749" s="208">
        <v>1241.2</v>
      </c>
      <c r="P749" s="208">
        <v>-675.4</v>
      </c>
      <c r="Q749" s="208">
        <v>865</v>
      </c>
    </row>
    <row r="750" spans="1:17">
      <c r="A750" s="218">
        <v>44196</v>
      </c>
      <c r="B750" s="208" t="s">
        <v>262</v>
      </c>
      <c r="C750" s="208" t="s">
        <v>8</v>
      </c>
      <c r="D750" s="208">
        <v>2020</v>
      </c>
      <c r="E750" s="208" t="s">
        <v>129</v>
      </c>
      <c r="F750" s="208" t="s">
        <v>128</v>
      </c>
      <c r="G750" s="208" t="s">
        <v>243</v>
      </c>
      <c r="H750" s="208">
        <v>9</v>
      </c>
      <c r="I750" s="208">
        <v>2492.6</v>
      </c>
      <c r="J750" s="208">
        <v>376.2</v>
      </c>
      <c r="K750" s="208">
        <v>0</v>
      </c>
      <c r="L750" s="208">
        <v>2092.1200000000003</v>
      </c>
      <c r="M750" s="208" t="s">
        <v>244</v>
      </c>
      <c r="N750" s="208">
        <v>-275</v>
      </c>
      <c r="O750" s="208">
        <v>1292.48</v>
      </c>
      <c r="P750" s="208">
        <v>-275</v>
      </c>
      <c r="Q750" s="208">
        <v>706.46</v>
      </c>
    </row>
    <row r="751" spans="1:17">
      <c r="A751" s="218">
        <v>44196</v>
      </c>
      <c r="B751" s="208" t="s">
        <v>270</v>
      </c>
      <c r="C751" s="208" t="s">
        <v>8</v>
      </c>
      <c r="D751" s="208">
        <v>2020</v>
      </c>
      <c r="E751" s="208" t="s">
        <v>129</v>
      </c>
      <c r="F751" s="208" t="s">
        <v>128</v>
      </c>
      <c r="G751" s="208" t="s">
        <v>243</v>
      </c>
      <c r="H751" s="208">
        <v>1</v>
      </c>
      <c r="I751" s="208">
        <v>200</v>
      </c>
      <c r="J751" s="208">
        <v>0</v>
      </c>
      <c r="K751" s="208">
        <v>0</v>
      </c>
      <c r="L751" s="208">
        <v>200</v>
      </c>
      <c r="M751" s="208" t="s">
        <v>244</v>
      </c>
      <c r="N751" s="208">
        <v>-275</v>
      </c>
      <c r="O751" s="208">
        <v>1292.48</v>
      </c>
      <c r="P751" s="208">
        <v>-275</v>
      </c>
      <c r="Q751" s="208">
        <v>706.46</v>
      </c>
    </row>
    <row r="752" spans="1:17">
      <c r="A752" s="218">
        <v>44196</v>
      </c>
      <c r="B752" s="208" t="s">
        <v>259</v>
      </c>
      <c r="C752" s="208" t="s">
        <v>8</v>
      </c>
      <c r="D752" s="208">
        <v>2019</v>
      </c>
      <c r="E752" s="208" t="s">
        <v>129</v>
      </c>
      <c r="F752" s="208" t="s">
        <v>128</v>
      </c>
      <c r="G752" s="208" t="s">
        <v>243</v>
      </c>
      <c r="H752" s="208">
        <v>85</v>
      </c>
      <c r="I752" s="208">
        <v>9411.86</v>
      </c>
      <c r="J752" s="208">
        <v>1000.3499999999999</v>
      </c>
      <c r="K752" s="208">
        <v>0</v>
      </c>
      <c r="L752" s="208">
        <v>8411.5099999999984</v>
      </c>
      <c r="M752" s="208" t="s">
        <v>244</v>
      </c>
      <c r="N752" s="208">
        <v>-675.4</v>
      </c>
      <c r="O752" s="208">
        <v>1241.2</v>
      </c>
      <c r="P752" s="208">
        <v>-675.4</v>
      </c>
      <c r="Q752" s="208">
        <v>865</v>
      </c>
    </row>
    <row r="753" spans="1:17">
      <c r="A753" s="218">
        <v>44196</v>
      </c>
      <c r="B753" s="208" t="s">
        <v>45</v>
      </c>
      <c r="C753" s="208" t="s">
        <v>8</v>
      </c>
      <c r="D753" s="208">
        <v>2020</v>
      </c>
      <c r="E753" s="208" t="s">
        <v>129</v>
      </c>
      <c r="F753" s="208" t="s">
        <v>128</v>
      </c>
      <c r="G753" s="208" t="s">
        <v>243</v>
      </c>
      <c r="H753" s="208">
        <v>4</v>
      </c>
      <c r="I753" s="208">
        <v>2192.96</v>
      </c>
      <c r="J753" s="208">
        <v>392.48</v>
      </c>
      <c r="K753" s="208">
        <v>0</v>
      </c>
      <c r="L753" s="208">
        <v>1606.94</v>
      </c>
      <c r="M753" s="208" t="s">
        <v>244</v>
      </c>
      <c r="N753" s="208">
        <v>-275</v>
      </c>
      <c r="O753" s="208">
        <v>1292.48</v>
      </c>
      <c r="P753" s="208">
        <v>-275</v>
      </c>
      <c r="Q753" s="208">
        <v>706.46</v>
      </c>
    </row>
    <row r="754" spans="1:17">
      <c r="A754" s="218">
        <v>44196</v>
      </c>
      <c r="B754" s="208" t="s">
        <v>268</v>
      </c>
      <c r="C754" s="208" t="s">
        <v>8</v>
      </c>
      <c r="D754" s="208">
        <v>2019</v>
      </c>
      <c r="E754" s="208" t="s">
        <v>129</v>
      </c>
      <c r="F754" s="208" t="s">
        <v>128</v>
      </c>
      <c r="G754" s="208" t="s">
        <v>243</v>
      </c>
      <c r="H754" s="208">
        <v>3</v>
      </c>
      <c r="I754" s="208">
        <v>1519.65</v>
      </c>
      <c r="J754" s="208">
        <v>0</v>
      </c>
      <c r="K754" s="208">
        <v>0</v>
      </c>
      <c r="L754" s="208">
        <v>1519.65</v>
      </c>
      <c r="M754" s="208" t="s">
        <v>244</v>
      </c>
      <c r="N754" s="208">
        <v>-675.4</v>
      </c>
      <c r="O754" s="208">
        <v>1241.2</v>
      </c>
      <c r="P754" s="208">
        <v>-675.4</v>
      </c>
      <c r="Q754" s="208">
        <v>865</v>
      </c>
    </row>
    <row r="755" spans="1:17">
      <c r="A755" s="218">
        <v>44196</v>
      </c>
      <c r="B755" s="208" t="s">
        <v>260</v>
      </c>
      <c r="C755" s="208" t="s">
        <v>8</v>
      </c>
      <c r="D755" s="208">
        <v>2020</v>
      </c>
      <c r="E755" s="208" t="s">
        <v>129</v>
      </c>
      <c r="F755" s="208" t="s">
        <v>128</v>
      </c>
      <c r="G755" s="208" t="s">
        <v>243</v>
      </c>
      <c r="H755" s="208">
        <v>170</v>
      </c>
      <c r="I755" s="208">
        <v>16199.479999999989</v>
      </c>
      <c r="J755" s="208">
        <v>680.38</v>
      </c>
      <c r="K755" s="208">
        <v>2468.1600000000003</v>
      </c>
      <c r="L755" s="208">
        <v>12251.659999999993</v>
      </c>
      <c r="M755" s="208" t="s">
        <v>244</v>
      </c>
      <c r="N755" s="208">
        <v>-275</v>
      </c>
      <c r="O755" s="208">
        <v>1292.48</v>
      </c>
      <c r="P755" s="208">
        <v>-275</v>
      </c>
      <c r="Q755" s="208">
        <v>706.46</v>
      </c>
    </row>
    <row r="756" spans="1:17">
      <c r="A756" s="218">
        <v>44196</v>
      </c>
      <c r="B756" s="208" t="s">
        <v>267</v>
      </c>
      <c r="C756" s="208" t="s">
        <v>8</v>
      </c>
      <c r="D756" s="208">
        <v>2020</v>
      </c>
      <c r="E756" s="208" t="s">
        <v>129</v>
      </c>
      <c r="F756" s="208" t="s">
        <v>128</v>
      </c>
      <c r="G756" s="208" t="s">
        <v>243</v>
      </c>
      <c r="H756" s="208">
        <v>4</v>
      </c>
      <c r="I756" s="208">
        <v>2192.96</v>
      </c>
      <c r="J756" s="208">
        <v>392.48</v>
      </c>
      <c r="K756" s="208">
        <v>0</v>
      </c>
      <c r="L756" s="208">
        <v>1606.94</v>
      </c>
      <c r="M756" s="208" t="s">
        <v>244</v>
      </c>
      <c r="N756" s="208">
        <v>-275</v>
      </c>
      <c r="O756" s="208">
        <v>1292.48</v>
      </c>
      <c r="P756" s="208">
        <v>-275</v>
      </c>
      <c r="Q756" s="208">
        <v>706.46</v>
      </c>
    </row>
    <row r="757" spans="1:17">
      <c r="A757" s="218">
        <v>44196</v>
      </c>
      <c r="B757" s="208" t="s">
        <v>29</v>
      </c>
      <c r="C757" s="208" t="s">
        <v>8</v>
      </c>
      <c r="D757" s="208">
        <v>2020</v>
      </c>
      <c r="E757" s="208" t="s">
        <v>129</v>
      </c>
      <c r="F757" s="208" t="s">
        <v>128</v>
      </c>
      <c r="G757" s="208" t="s">
        <v>243</v>
      </c>
      <c r="H757" s="208">
        <v>170</v>
      </c>
      <c r="I757" s="208">
        <v>16199.47999999999</v>
      </c>
      <c r="J757" s="208">
        <v>680.37999999999977</v>
      </c>
      <c r="K757" s="208">
        <v>2468.1600000000003</v>
      </c>
      <c r="L757" s="208">
        <v>12251.659999999994</v>
      </c>
      <c r="M757" s="208" t="s">
        <v>244</v>
      </c>
      <c r="N757" s="208">
        <v>-275</v>
      </c>
      <c r="O757" s="208">
        <v>1292.48</v>
      </c>
      <c r="P757" s="208">
        <v>-275</v>
      </c>
      <c r="Q757" s="208">
        <v>706.46</v>
      </c>
    </row>
    <row r="758" spans="1:17">
      <c r="A758" s="218">
        <v>44196</v>
      </c>
      <c r="B758" s="208" t="s">
        <v>258</v>
      </c>
      <c r="C758" s="208" t="s">
        <v>8</v>
      </c>
      <c r="D758" s="208">
        <v>2020</v>
      </c>
      <c r="E758" s="208" t="s">
        <v>129</v>
      </c>
      <c r="F758" s="208" t="s">
        <v>128</v>
      </c>
      <c r="G758" s="208" t="s">
        <v>243</v>
      </c>
      <c r="H758" s="208">
        <v>31</v>
      </c>
      <c r="I758" s="208">
        <v>4605.6899999999996</v>
      </c>
      <c r="J758" s="208">
        <v>684.15</v>
      </c>
      <c r="K758" s="208">
        <v>31.35</v>
      </c>
      <c r="L758" s="208">
        <v>3037.1400000000003</v>
      </c>
      <c r="M758" s="208" t="s">
        <v>244</v>
      </c>
      <c r="N758" s="208">
        <v>-275</v>
      </c>
      <c r="O758" s="208">
        <v>1292.48</v>
      </c>
      <c r="P758" s="208">
        <v>-275</v>
      </c>
      <c r="Q758" s="208">
        <v>706.46</v>
      </c>
    </row>
    <row r="759" spans="1:17">
      <c r="A759" s="218">
        <v>44196</v>
      </c>
      <c r="B759" s="208" t="s">
        <v>259</v>
      </c>
      <c r="C759" s="208" t="s">
        <v>8</v>
      </c>
      <c r="D759" s="208">
        <v>2020</v>
      </c>
      <c r="E759" s="208" t="s">
        <v>129</v>
      </c>
      <c r="F759" s="208" t="s">
        <v>128</v>
      </c>
      <c r="G759" s="208" t="s">
        <v>243</v>
      </c>
      <c r="H759" s="208">
        <v>66</v>
      </c>
      <c r="I759" s="208">
        <v>8021.77</v>
      </c>
      <c r="J759" s="208">
        <v>1286.5900000000006</v>
      </c>
      <c r="K759" s="208">
        <v>0</v>
      </c>
      <c r="L759" s="208">
        <v>6723.9000000000033</v>
      </c>
      <c r="M759" s="208" t="s">
        <v>244</v>
      </c>
      <c r="N759" s="208">
        <v>-275</v>
      </c>
      <c r="O759" s="208">
        <v>1292.48</v>
      </c>
      <c r="P759" s="208">
        <v>-275</v>
      </c>
      <c r="Q759" s="208">
        <v>706.46</v>
      </c>
    </row>
    <row r="760" spans="1:17">
      <c r="A760" s="218">
        <v>44196</v>
      </c>
      <c r="B760" s="208" t="s">
        <v>33</v>
      </c>
      <c r="C760" s="208" t="s">
        <v>8</v>
      </c>
      <c r="D760" s="208">
        <v>2020</v>
      </c>
      <c r="E760" s="208" t="s">
        <v>129</v>
      </c>
      <c r="F760" s="208" t="s">
        <v>128</v>
      </c>
      <c r="G760" s="208" t="s">
        <v>243</v>
      </c>
      <c r="H760" s="208">
        <v>1</v>
      </c>
      <c r="I760" s="208">
        <v>500</v>
      </c>
      <c r="J760" s="208">
        <v>0</v>
      </c>
      <c r="K760" s="208">
        <v>0</v>
      </c>
      <c r="L760" s="208">
        <v>500</v>
      </c>
      <c r="M760" s="208" t="s">
        <v>244</v>
      </c>
      <c r="N760" s="208">
        <v>-275</v>
      </c>
      <c r="O760" s="208">
        <v>1292.48</v>
      </c>
      <c r="P760" s="208">
        <v>-275</v>
      </c>
      <c r="Q760" s="208">
        <v>706.46</v>
      </c>
    </row>
    <row r="761" spans="1:17">
      <c r="A761" s="218">
        <v>44196</v>
      </c>
      <c r="B761" s="208" t="s">
        <v>260</v>
      </c>
      <c r="C761" s="208" t="s">
        <v>8</v>
      </c>
      <c r="D761" s="208">
        <v>2019</v>
      </c>
      <c r="E761" s="208" t="s">
        <v>129</v>
      </c>
      <c r="F761" s="208" t="s">
        <v>128</v>
      </c>
      <c r="G761" s="208" t="s">
        <v>243</v>
      </c>
      <c r="H761" s="208">
        <v>309</v>
      </c>
      <c r="I761" s="208">
        <v>24896.37999999999</v>
      </c>
      <c r="J761" s="208">
        <v>3554.3099999999963</v>
      </c>
      <c r="K761" s="208">
        <v>1915.5200000000002</v>
      </c>
      <c r="L761" s="208">
        <v>16691.109999999997</v>
      </c>
      <c r="M761" s="208" t="s">
        <v>244</v>
      </c>
      <c r="N761" s="208">
        <v>-675.4</v>
      </c>
      <c r="O761" s="208">
        <v>1241.2</v>
      </c>
      <c r="P761" s="208">
        <v>-675.4</v>
      </c>
      <c r="Q761" s="208">
        <v>865</v>
      </c>
    </row>
    <row r="762" spans="1:17">
      <c r="A762" s="218">
        <v>44196</v>
      </c>
      <c r="B762" s="208" t="s">
        <v>268</v>
      </c>
      <c r="C762" s="208" t="s">
        <v>8</v>
      </c>
      <c r="D762" s="208">
        <v>2020</v>
      </c>
      <c r="E762" s="208" t="s">
        <v>129</v>
      </c>
      <c r="F762" s="208" t="s">
        <v>128</v>
      </c>
      <c r="G762" s="208" t="s">
        <v>243</v>
      </c>
      <c r="H762" s="208">
        <v>10</v>
      </c>
      <c r="I762" s="208">
        <v>3926</v>
      </c>
      <c r="J762" s="208">
        <v>731.2</v>
      </c>
      <c r="K762" s="208">
        <v>0</v>
      </c>
      <c r="L762" s="208">
        <v>3194.8</v>
      </c>
      <c r="M762" s="208" t="s">
        <v>244</v>
      </c>
      <c r="N762" s="208">
        <v>-275</v>
      </c>
      <c r="O762" s="208">
        <v>1292.48</v>
      </c>
      <c r="P762" s="208">
        <v>-275</v>
      </c>
      <c r="Q762" s="208">
        <v>706.46</v>
      </c>
    </row>
    <row r="763" spans="1:17">
      <c r="A763" s="218">
        <v>44196</v>
      </c>
      <c r="B763" s="208" t="s">
        <v>264</v>
      </c>
      <c r="C763" s="208" t="s">
        <v>8</v>
      </c>
      <c r="D763" s="208">
        <v>2019</v>
      </c>
      <c r="E763" s="208" t="s">
        <v>129</v>
      </c>
      <c r="F763" s="208" t="s">
        <v>128</v>
      </c>
      <c r="G763" s="208" t="s">
        <v>243</v>
      </c>
      <c r="H763" s="208">
        <v>6</v>
      </c>
      <c r="I763" s="208">
        <v>2290.12</v>
      </c>
      <c r="J763" s="208">
        <v>535.04</v>
      </c>
      <c r="K763" s="208">
        <v>0</v>
      </c>
      <c r="L763" s="208">
        <v>933.57999999999993</v>
      </c>
      <c r="M763" s="208" t="s">
        <v>244</v>
      </c>
      <c r="N763" s="208">
        <v>-675.4</v>
      </c>
      <c r="O763" s="208">
        <v>1241.2</v>
      </c>
      <c r="P763" s="208">
        <v>-675.4</v>
      </c>
      <c r="Q763" s="208">
        <v>865</v>
      </c>
    </row>
    <row r="764" spans="1:17">
      <c r="A764" s="218">
        <v>44196</v>
      </c>
      <c r="B764" s="208" t="s">
        <v>267</v>
      </c>
      <c r="C764" s="208" t="s">
        <v>8</v>
      </c>
      <c r="D764" s="208">
        <v>2019</v>
      </c>
      <c r="E764" s="208" t="s">
        <v>129</v>
      </c>
      <c r="F764" s="208" t="s">
        <v>128</v>
      </c>
      <c r="G764" s="208" t="s">
        <v>243</v>
      </c>
      <c r="H764" s="208">
        <v>2</v>
      </c>
      <c r="I764" s="208">
        <v>450.16</v>
      </c>
      <c r="J764" s="208">
        <v>0</v>
      </c>
      <c r="K764" s="208">
        <v>0</v>
      </c>
      <c r="L764" s="208">
        <v>450.16</v>
      </c>
      <c r="M764" s="208" t="s">
        <v>244</v>
      </c>
      <c r="N764" s="208">
        <v>-675.4</v>
      </c>
      <c r="O764" s="208">
        <v>1241.2</v>
      </c>
      <c r="P764" s="208">
        <v>-675.4</v>
      </c>
      <c r="Q764" s="208">
        <v>865</v>
      </c>
    </row>
    <row r="765" spans="1:17">
      <c r="A765" s="218">
        <v>44196</v>
      </c>
      <c r="B765" s="208" t="s">
        <v>266</v>
      </c>
      <c r="C765" s="208" t="s">
        <v>8</v>
      </c>
      <c r="D765" s="208">
        <v>2020</v>
      </c>
      <c r="E765" s="208" t="s">
        <v>129</v>
      </c>
      <c r="F765" s="208" t="s">
        <v>128</v>
      </c>
      <c r="G765" s="208" t="s">
        <v>243</v>
      </c>
      <c r="H765" s="208">
        <v>1</v>
      </c>
      <c r="I765" s="208">
        <v>205.68</v>
      </c>
      <c r="J765" s="208">
        <v>0</v>
      </c>
      <c r="K765" s="208">
        <v>0</v>
      </c>
      <c r="L765" s="208">
        <v>205.68</v>
      </c>
      <c r="M765" s="208" t="s">
        <v>244</v>
      </c>
      <c r="N765" s="208">
        <v>-275</v>
      </c>
      <c r="O765" s="208">
        <v>1292.48</v>
      </c>
      <c r="P765" s="208">
        <v>-275</v>
      </c>
      <c r="Q765" s="208">
        <v>706.46</v>
      </c>
    </row>
    <row r="766" spans="1:17">
      <c r="A766" s="218">
        <v>44196</v>
      </c>
      <c r="B766" s="208" t="s">
        <v>47</v>
      </c>
      <c r="C766" s="208" t="s">
        <v>8</v>
      </c>
      <c r="D766" s="208">
        <v>2020</v>
      </c>
      <c r="E766" s="208" t="s">
        <v>129</v>
      </c>
      <c r="F766" s="208" t="s">
        <v>128</v>
      </c>
      <c r="G766" s="208" t="s">
        <v>243</v>
      </c>
      <c r="H766" s="208">
        <v>10</v>
      </c>
      <c r="I766" s="208">
        <v>3926</v>
      </c>
      <c r="J766" s="208">
        <v>731.2</v>
      </c>
      <c r="K766" s="208">
        <v>0</v>
      </c>
      <c r="L766" s="208">
        <v>3194.8</v>
      </c>
      <c r="M766" s="208" t="s">
        <v>244</v>
      </c>
      <c r="N766" s="208">
        <v>-275</v>
      </c>
      <c r="O766" s="208">
        <v>1292.48</v>
      </c>
      <c r="P766" s="208">
        <v>-275</v>
      </c>
      <c r="Q766" s="208">
        <v>706.46</v>
      </c>
    </row>
    <row r="767" spans="1:17">
      <c r="A767" s="218">
        <v>44196</v>
      </c>
      <c r="B767" s="208" t="s">
        <v>29</v>
      </c>
      <c r="C767" s="208" t="s">
        <v>8</v>
      </c>
      <c r="D767" s="208">
        <v>2019</v>
      </c>
      <c r="E767" s="208" t="s">
        <v>129</v>
      </c>
      <c r="F767" s="208" t="s">
        <v>128</v>
      </c>
      <c r="G767" s="208" t="s">
        <v>243</v>
      </c>
      <c r="H767" s="208">
        <v>309</v>
      </c>
      <c r="I767" s="208">
        <v>24896.379999999997</v>
      </c>
      <c r="J767" s="208">
        <v>3554.3099999999995</v>
      </c>
      <c r="K767" s="208">
        <v>1915.52</v>
      </c>
      <c r="L767" s="208">
        <v>16691.110000000004</v>
      </c>
      <c r="M767" s="208" t="s">
        <v>244</v>
      </c>
      <c r="N767" s="208">
        <v>-675.4</v>
      </c>
      <c r="O767" s="208">
        <v>1241.2</v>
      </c>
      <c r="P767" s="208">
        <v>-675.4</v>
      </c>
      <c r="Q767" s="208">
        <v>865</v>
      </c>
    </row>
    <row r="768" spans="1:17">
      <c r="A768" s="218">
        <v>44196</v>
      </c>
      <c r="B768" s="208" t="s">
        <v>41</v>
      </c>
      <c r="C768" s="208" t="s">
        <v>8</v>
      </c>
      <c r="D768" s="208">
        <v>2019</v>
      </c>
      <c r="E768" s="208" t="s">
        <v>129</v>
      </c>
      <c r="F768" s="208" t="s">
        <v>128</v>
      </c>
      <c r="G768" s="208" t="s">
        <v>243</v>
      </c>
      <c r="H768" s="208">
        <v>6</v>
      </c>
      <c r="I768" s="208">
        <v>2290.12</v>
      </c>
      <c r="J768" s="208">
        <v>535.04</v>
      </c>
      <c r="K768" s="208">
        <v>0</v>
      </c>
      <c r="L768" s="208">
        <v>933.57999999999993</v>
      </c>
      <c r="M768" s="208" t="s">
        <v>244</v>
      </c>
      <c r="N768" s="208">
        <v>-675.4</v>
      </c>
      <c r="O768" s="208">
        <v>1241.2</v>
      </c>
      <c r="P768" s="208">
        <v>-675.4</v>
      </c>
      <c r="Q768" s="208">
        <v>865</v>
      </c>
    </row>
    <row r="769" spans="1:17">
      <c r="A769" s="218">
        <v>44196</v>
      </c>
      <c r="B769" s="208" t="s">
        <v>225</v>
      </c>
      <c r="C769" s="208" t="s">
        <v>8</v>
      </c>
      <c r="D769" s="208">
        <v>2019</v>
      </c>
      <c r="E769" s="208" t="s">
        <v>129</v>
      </c>
      <c r="F769" s="208" t="s">
        <v>128</v>
      </c>
      <c r="G769" s="208" t="s">
        <v>243</v>
      </c>
      <c r="H769" s="208">
        <v>317</v>
      </c>
      <c r="I769" s="208">
        <v>26037.860000000022</v>
      </c>
      <c r="J769" s="208">
        <v>10841.63999999999</v>
      </c>
      <c r="K769" s="208">
        <v>1743.6800000000003</v>
      </c>
      <c r="L769" s="208">
        <v>12558.329999999998</v>
      </c>
      <c r="M769" s="208" t="s">
        <v>244</v>
      </c>
      <c r="N769" s="208">
        <v>-675.4</v>
      </c>
      <c r="O769" s="208">
        <v>1241.2</v>
      </c>
      <c r="P769" s="208">
        <v>-675.4</v>
      </c>
      <c r="Q769" s="208">
        <v>865</v>
      </c>
    </row>
    <row r="770" spans="1:17">
      <c r="A770" s="218">
        <v>44196</v>
      </c>
      <c r="B770" s="208" t="s">
        <v>33</v>
      </c>
      <c r="C770" s="208" t="s">
        <v>8</v>
      </c>
      <c r="D770" s="208">
        <v>2019</v>
      </c>
      <c r="E770" s="208" t="s">
        <v>129</v>
      </c>
      <c r="F770" s="208" t="s">
        <v>128</v>
      </c>
      <c r="G770" s="208" t="s">
        <v>243</v>
      </c>
      <c r="H770" s="208">
        <v>7</v>
      </c>
      <c r="I770" s="208">
        <v>3596.5099999999998</v>
      </c>
      <c r="J770" s="208">
        <v>647.74</v>
      </c>
      <c r="K770" s="208">
        <v>0</v>
      </c>
      <c r="L770" s="208">
        <v>2898.77</v>
      </c>
      <c r="M770" s="208" t="s">
        <v>244</v>
      </c>
      <c r="N770" s="208">
        <v>-675.4</v>
      </c>
      <c r="O770" s="208">
        <v>1241.2</v>
      </c>
      <c r="P770" s="208">
        <v>-675.4</v>
      </c>
      <c r="Q770" s="208">
        <v>865</v>
      </c>
    </row>
    <row r="771" spans="1:17">
      <c r="A771" s="218">
        <v>44196</v>
      </c>
      <c r="B771" s="208" t="s">
        <v>264</v>
      </c>
      <c r="C771" s="208" t="s">
        <v>8</v>
      </c>
      <c r="D771" s="208">
        <v>2020</v>
      </c>
      <c r="E771" s="208" t="s">
        <v>129</v>
      </c>
      <c r="F771" s="208" t="s">
        <v>128</v>
      </c>
      <c r="G771" s="208" t="s">
        <v>243</v>
      </c>
      <c r="H771" s="208">
        <v>1</v>
      </c>
      <c r="I771" s="208">
        <v>137.12</v>
      </c>
      <c r="J771" s="208">
        <v>0</v>
      </c>
      <c r="K771" s="208">
        <v>0</v>
      </c>
      <c r="L771" s="208">
        <v>137.12</v>
      </c>
      <c r="M771" s="208" t="s">
        <v>244</v>
      </c>
      <c r="N771" s="208">
        <v>-275</v>
      </c>
      <c r="O771" s="208">
        <v>1292.48</v>
      </c>
      <c r="P771" s="208">
        <v>-275</v>
      </c>
      <c r="Q771" s="208">
        <v>706.46</v>
      </c>
    </row>
    <row r="772" spans="1:17">
      <c r="A772" s="218">
        <v>44196</v>
      </c>
      <c r="B772" s="208" t="s">
        <v>31</v>
      </c>
      <c r="C772" s="208" t="s">
        <v>8</v>
      </c>
      <c r="D772" s="208">
        <v>2020</v>
      </c>
      <c r="E772" s="208" t="s">
        <v>129</v>
      </c>
      <c r="F772" s="208" t="s">
        <v>128</v>
      </c>
      <c r="G772" s="208" t="s">
        <v>243</v>
      </c>
      <c r="H772" s="208">
        <v>31</v>
      </c>
      <c r="I772" s="208">
        <v>4605.6899999999996</v>
      </c>
      <c r="J772" s="208">
        <v>684.15</v>
      </c>
      <c r="K772" s="208">
        <v>31.35</v>
      </c>
      <c r="L772" s="208">
        <v>3037.1400000000003</v>
      </c>
      <c r="M772" s="208" t="s">
        <v>244</v>
      </c>
      <c r="N772" s="208">
        <v>-275</v>
      </c>
      <c r="O772" s="208">
        <v>1292.48</v>
      </c>
      <c r="P772" s="208">
        <v>-275</v>
      </c>
      <c r="Q772" s="208">
        <v>706.46</v>
      </c>
    </row>
    <row r="773" spans="1:17">
      <c r="A773" s="218">
        <v>44196</v>
      </c>
      <c r="B773" s="208" t="s">
        <v>258</v>
      </c>
      <c r="C773" s="208" t="s">
        <v>8</v>
      </c>
      <c r="D773" s="208">
        <v>2019</v>
      </c>
      <c r="E773" s="208" t="s">
        <v>129</v>
      </c>
      <c r="F773" s="208" t="s">
        <v>128</v>
      </c>
      <c r="G773" s="208" t="s">
        <v>243</v>
      </c>
      <c r="H773" s="208">
        <v>61</v>
      </c>
      <c r="I773" s="208">
        <v>5253.0499999999993</v>
      </c>
      <c r="J773" s="208">
        <v>1292.7000000000003</v>
      </c>
      <c r="K773" s="208">
        <v>112.86</v>
      </c>
      <c r="L773" s="208">
        <v>3074.3199999999997</v>
      </c>
      <c r="M773" s="208" t="s">
        <v>244</v>
      </c>
      <c r="N773" s="208">
        <v>-675.4</v>
      </c>
      <c r="O773" s="208">
        <v>1241.2</v>
      </c>
      <c r="P773" s="208">
        <v>-675.4</v>
      </c>
      <c r="Q773" s="208">
        <v>865</v>
      </c>
    </row>
    <row r="774" spans="1:17">
      <c r="A774" s="218">
        <v>44196</v>
      </c>
      <c r="B774" s="208" t="s">
        <v>35</v>
      </c>
      <c r="C774" s="208" t="s">
        <v>8</v>
      </c>
      <c r="D774" s="208">
        <v>2020</v>
      </c>
      <c r="E774" s="208" t="s">
        <v>129</v>
      </c>
      <c r="F774" s="208" t="s">
        <v>128</v>
      </c>
      <c r="G774" s="208" t="s">
        <v>243</v>
      </c>
      <c r="H774" s="208">
        <v>4</v>
      </c>
      <c r="I774" s="208">
        <v>390</v>
      </c>
      <c r="J774" s="208">
        <v>97.92</v>
      </c>
      <c r="K774" s="208">
        <v>181.84</v>
      </c>
      <c r="L774" s="208">
        <v>110.24</v>
      </c>
      <c r="M774" s="208" t="s">
        <v>244</v>
      </c>
      <c r="N774" s="208">
        <v>-275</v>
      </c>
      <c r="O774" s="208">
        <v>1292.48</v>
      </c>
      <c r="P774" s="208">
        <v>-275</v>
      </c>
      <c r="Q774" s="208">
        <v>706.46</v>
      </c>
    </row>
    <row r="775" spans="1:17">
      <c r="A775" s="218">
        <v>44196</v>
      </c>
      <c r="B775" s="208" t="s">
        <v>42</v>
      </c>
      <c r="C775" s="208" t="s">
        <v>8</v>
      </c>
      <c r="D775" s="208">
        <v>2020</v>
      </c>
      <c r="E775" s="208" t="s">
        <v>129</v>
      </c>
      <c r="F775" s="208" t="s">
        <v>128</v>
      </c>
      <c r="G775" s="208" t="s">
        <v>243</v>
      </c>
      <c r="H775" s="208">
        <v>1</v>
      </c>
      <c r="I775" s="208">
        <v>205.68</v>
      </c>
      <c r="J775" s="208">
        <v>0</v>
      </c>
      <c r="K775" s="208">
        <v>0</v>
      </c>
      <c r="L775" s="208">
        <v>205.68</v>
      </c>
      <c r="M775" s="208" t="s">
        <v>244</v>
      </c>
      <c r="N775" s="208">
        <v>-275</v>
      </c>
      <c r="O775" s="208">
        <v>1292.48</v>
      </c>
      <c r="P775" s="208">
        <v>-275</v>
      </c>
      <c r="Q775" s="208">
        <v>706.46</v>
      </c>
    </row>
    <row r="776" spans="1:17">
      <c r="A776" s="218">
        <v>44196</v>
      </c>
      <c r="B776" s="208" t="s">
        <v>263</v>
      </c>
      <c r="C776" s="208" t="s">
        <v>8</v>
      </c>
      <c r="D776" s="208">
        <v>2020</v>
      </c>
      <c r="E776" s="208" t="s">
        <v>129</v>
      </c>
      <c r="F776" s="208" t="s">
        <v>128</v>
      </c>
      <c r="G776" s="208" t="s">
        <v>243</v>
      </c>
      <c r="H776" s="208">
        <v>1</v>
      </c>
      <c r="I776" s="208">
        <v>500</v>
      </c>
      <c r="J776" s="208">
        <v>0</v>
      </c>
      <c r="K776" s="208">
        <v>0</v>
      </c>
      <c r="L776" s="208">
        <v>500</v>
      </c>
      <c r="M776" s="208" t="s">
        <v>244</v>
      </c>
      <c r="N776" s="208">
        <v>-275</v>
      </c>
      <c r="O776" s="208">
        <v>1292.48</v>
      </c>
      <c r="P776" s="208">
        <v>-275</v>
      </c>
      <c r="Q776" s="208">
        <v>706.46</v>
      </c>
    </row>
    <row r="777" spans="1:17">
      <c r="A777" s="218">
        <v>44196</v>
      </c>
      <c r="B777" s="208" t="s">
        <v>31</v>
      </c>
      <c r="C777" s="208" t="s">
        <v>8</v>
      </c>
      <c r="D777" s="208">
        <v>2019</v>
      </c>
      <c r="E777" s="208" t="s">
        <v>129</v>
      </c>
      <c r="F777" s="208" t="s">
        <v>128</v>
      </c>
      <c r="G777" s="208" t="s">
        <v>243</v>
      </c>
      <c r="H777" s="208">
        <v>61</v>
      </c>
      <c r="I777" s="208">
        <v>5253.0500000000029</v>
      </c>
      <c r="J777" s="208">
        <v>1292.7000000000003</v>
      </c>
      <c r="K777" s="208">
        <v>112.86</v>
      </c>
      <c r="L777" s="208">
        <v>3074.3199999999997</v>
      </c>
      <c r="M777" s="208" t="s">
        <v>244</v>
      </c>
      <c r="N777" s="208">
        <v>-675.4</v>
      </c>
      <c r="O777" s="208">
        <v>1241.2</v>
      </c>
      <c r="P777" s="208">
        <v>-675.4</v>
      </c>
      <c r="Q777" s="208">
        <v>865</v>
      </c>
    </row>
    <row r="778" spans="1:17">
      <c r="A778" s="218">
        <v>44196</v>
      </c>
      <c r="B778" s="208" t="s">
        <v>43</v>
      </c>
      <c r="C778" s="208" t="s">
        <v>8</v>
      </c>
      <c r="D778" s="208">
        <v>2019</v>
      </c>
      <c r="E778" s="208" t="s">
        <v>129</v>
      </c>
      <c r="F778" s="208" t="s">
        <v>128</v>
      </c>
      <c r="G778" s="208" t="s">
        <v>243</v>
      </c>
      <c r="H778" s="208">
        <v>2</v>
      </c>
      <c r="I778" s="208">
        <v>1330</v>
      </c>
      <c r="J778" s="208">
        <v>0</v>
      </c>
      <c r="K778" s="208">
        <v>0</v>
      </c>
      <c r="L778" s="208">
        <v>665</v>
      </c>
      <c r="M778" s="208" t="s">
        <v>244</v>
      </c>
      <c r="N778" s="208">
        <v>-675.4</v>
      </c>
      <c r="O778" s="208">
        <v>1241.2</v>
      </c>
      <c r="P778" s="208">
        <v>-675.4</v>
      </c>
      <c r="Q778" s="208">
        <v>865</v>
      </c>
    </row>
    <row r="779" spans="1:17">
      <c r="A779" s="218">
        <v>44196</v>
      </c>
      <c r="B779" s="208" t="s">
        <v>47</v>
      </c>
      <c r="C779" s="208" t="s">
        <v>8</v>
      </c>
      <c r="D779" s="208">
        <v>2019</v>
      </c>
      <c r="E779" s="208" t="s">
        <v>129</v>
      </c>
      <c r="F779" s="208" t="s">
        <v>128</v>
      </c>
      <c r="G779" s="208" t="s">
        <v>243</v>
      </c>
      <c r="H779" s="208">
        <v>3</v>
      </c>
      <c r="I779" s="208">
        <v>1519.65</v>
      </c>
      <c r="J779" s="208">
        <v>0</v>
      </c>
      <c r="K779" s="208">
        <v>0</v>
      </c>
      <c r="L779" s="208">
        <v>1519.65</v>
      </c>
      <c r="M779" s="208" t="s">
        <v>244</v>
      </c>
      <c r="N779" s="208">
        <v>-675.4</v>
      </c>
      <c r="O779" s="208">
        <v>1241.2</v>
      </c>
      <c r="P779" s="208">
        <v>-675.4</v>
      </c>
      <c r="Q779" s="208">
        <v>865</v>
      </c>
    </row>
    <row r="780" spans="1:17">
      <c r="A780" s="218">
        <v>44196</v>
      </c>
      <c r="B780" s="208" t="s">
        <v>37</v>
      </c>
      <c r="C780" s="208" t="s">
        <v>8</v>
      </c>
      <c r="D780" s="208">
        <v>2019</v>
      </c>
      <c r="E780" s="208" t="s">
        <v>129</v>
      </c>
      <c r="F780" s="208" t="s">
        <v>128</v>
      </c>
      <c r="G780" s="208" t="s">
        <v>243</v>
      </c>
      <c r="H780" s="208">
        <v>317</v>
      </c>
      <c r="I780" s="208">
        <v>26037.860000000041</v>
      </c>
      <c r="J780" s="208">
        <v>10841.639999999987</v>
      </c>
      <c r="K780" s="208">
        <v>1743.6800000000005</v>
      </c>
      <c r="L780" s="208">
        <v>12558.329999999993</v>
      </c>
      <c r="M780" s="208" t="s">
        <v>244</v>
      </c>
      <c r="N780" s="208">
        <v>-675.4</v>
      </c>
      <c r="O780" s="208">
        <v>1241.2</v>
      </c>
      <c r="P780" s="208">
        <v>-675.4</v>
      </c>
      <c r="Q780" s="208">
        <v>865</v>
      </c>
    </row>
    <row r="781" spans="1:17">
      <c r="A781" s="218">
        <v>44196</v>
      </c>
      <c r="B781" s="208" t="s">
        <v>43</v>
      </c>
      <c r="C781" s="208" t="s">
        <v>8</v>
      </c>
      <c r="D781" s="208">
        <v>2020</v>
      </c>
      <c r="E781" s="208" t="s">
        <v>129</v>
      </c>
      <c r="F781" s="208" t="s">
        <v>128</v>
      </c>
      <c r="G781" s="208" t="s">
        <v>243</v>
      </c>
      <c r="H781" s="208">
        <v>9</v>
      </c>
      <c r="I781" s="208">
        <v>2492.6</v>
      </c>
      <c r="J781" s="208">
        <v>376.2</v>
      </c>
      <c r="K781" s="208">
        <v>0</v>
      </c>
      <c r="L781" s="208">
        <v>2092.12</v>
      </c>
      <c r="M781" s="208" t="s">
        <v>244</v>
      </c>
      <c r="N781" s="208">
        <v>-275</v>
      </c>
      <c r="O781" s="208">
        <v>1292.48</v>
      </c>
      <c r="P781" s="208">
        <v>-275</v>
      </c>
      <c r="Q781" s="208">
        <v>706.46</v>
      </c>
    </row>
    <row r="782" spans="1:17">
      <c r="A782" s="218">
        <v>44196</v>
      </c>
      <c r="B782" s="208" t="s">
        <v>37</v>
      </c>
      <c r="C782" s="208" t="s">
        <v>8</v>
      </c>
      <c r="D782" s="208">
        <v>2020</v>
      </c>
      <c r="E782" s="208" t="s">
        <v>129</v>
      </c>
      <c r="F782" s="208" t="s">
        <v>128</v>
      </c>
      <c r="G782" s="208" t="s">
        <v>243</v>
      </c>
      <c r="H782" s="208">
        <v>306</v>
      </c>
      <c r="I782" s="208">
        <v>29576.610000000008</v>
      </c>
      <c r="J782" s="208">
        <v>10366.179999999973</v>
      </c>
      <c r="K782" s="208">
        <v>2794.4400000000014</v>
      </c>
      <c r="L782" s="208">
        <v>14826.560000000016</v>
      </c>
      <c r="M782" s="208" t="s">
        <v>244</v>
      </c>
      <c r="N782" s="208">
        <v>-275</v>
      </c>
      <c r="O782" s="208">
        <v>1292.48</v>
      </c>
      <c r="P782" s="208">
        <v>-275</v>
      </c>
      <c r="Q782" s="208">
        <v>706.46</v>
      </c>
    </row>
    <row r="783" spans="1:17">
      <c r="A783" s="218">
        <v>44196</v>
      </c>
      <c r="B783" s="208" t="s">
        <v>41</v>
      </c>
      <c r="C783" s="208" t="s">
        <v>8</v>
      </c>
      <c r="D783" s="208">
        <v>2020</v>
      </c>
      <c r="E783" s="208" t="s">
        <v>129</v>
      </c>
      <c r="F783" s="208" t="s">
        <v>128</v>
      </c>
      <c r="G783" s="208" t="s">
        <v>243</v>
      </c>
      <c r="H783" s="208">
        <v>1</v>
      </c>
      <c r="I783" s="208">
        <v>137.12</v>
      </c>
      <c r="J783" s="208">
        <v>0</v>
      </c>
      <c r="K783" s="208">
        <v>0</v>
      </c>
      <c r="L783" s="208">
        <v>137.12</v>
      </c>
      <c r="M783" s="208" t="s">
        <v>244</v>
      </c>
      <c r="N783" s="208">
        <v>-275</v>
      </c>
      <c r="O783" s="208">
        <v>1292.48</v>
      </c>
      <c r="P783" s="208">
        <v>-275</v>
      </c>
      <c r="Q783" s="208">
        <v>706.46</v>
      </c>
    </row>
    <row r="784" spans="1:17">
      <c r="A784" s="218">
        <v>44196</v>
      </c>
      <c r="B784" s="208" t="s">
        <v>45</v>
      </c>
      <c r="C784" s="208" t="s">
        <v>8</v>
      </c>
      <c r="D784" s="208">
        <v>2019</v>
      </c>
      <c r="E784" s="208" t="s">
        <v>129</v>
      </c>
      <c r="F784" s="208" t="s">
        <v>128</v>
      </c>
      <c r="G784" s="208" t="s">
        <v>243</v>
      </c>
      <c r="H784" s="208">
        <v>2</v>
      </c>
      <c r="I784" s="208">
        <v>450.16</v>
      </c>
      <c r="J784" s="208">
        <v>0</v>
      </c>
      <c r="K784" s="208">
        <v>0</v>
      </c>
      <c r="L784" s="208">
        <v>450.16</v>
      </c>
      <c r="M784" s="208" t="s">
        <v>244</v>
      </c>
      <c r="N784" s="208">
        <v>-675.4</v>
      </c>
      <c r="O784" s="208">
        <v>1241.2</v>
      </c>
      <c r="P784" s="208">
        <v>-675.4</v>
      </c>
      <c r="Q784" s="208">
        <v>865</v>
      </c>
    </row>
    <row r="785" spans="1:17">
      <c r="A785" s="218">
        <v>44196</v>
      </c>
      <c r="B785" s="208" t="s">
        <v>261</v>
      </c>
      <c r="C785" s="208" t="s">
        <v>8</v>
      </c>
      <c r="D785" s="208">
        <v>2020</v>
      </c>
      <c r="E785" s="208" t="s">
        <v>129</v>
      </c>
      <c r="F785" s="208" t="s">
        <v>128</v>
      </c>
      <c r="G785" s="208" t="s">
        <v>243</v>
      </c>
      <c r="H785" s="208">
        <v>4</v>
      </c>
      <c r="I785" s="208">
        <v>390</v>
      </c>
      <c r="J785" s="208">
        <v>97.92</v>
      </c>
      <c r="K785" s="208">
        <v>181.84</v>
      </c>
      <c r="L785" s="208">
        <v>110.24</v>
      </c>
      <c r="M785" s="208" t="s">
        <v>244</v>
      </c>
      <c r="N785" s="208">
        <v>-275</v>
      </c>
      <c r="O785" s="208">
        <v>1292.48</v>
      </c>
      <c r="P785" s="208">
        <v>-275</v>
      </c>
      <c r="Q785" s="208">
        <v>706.46</v>
      </c>
    </row>
    <row r="786" spans="1:17">
      <c r="A786" s="218">
        <v>44196</v>
      </c>
      <c r="B786" s="208" t="s">
        <v>225</v>
      </c>
      <c r="C786" s="208" t="s">
        <v>8</v>
      </c>
      <c r="D786" s="208">
        <v>2020</v>
      </c>
      <c r="E786" s="208" t="s">
        <v>129</v>
      </c>
      <c r="F786" s="208" t="s">
        <v>128</v>
      </c>
      <c r="G786" s="208" t="s">
        <v>243</v>
      </c>
      <c r="H786" s="208">
        <v>306</v>
      </c>
      <c r="I786" s="208">
        <v>29576.610000000008</v>
      </c>
      <c r="J786" s="208">
        <v>10366.179999999982</v>
      </c>
      <c r="K786" s="208">
        <v>2794.4399999999996</v>
      </c>
      <c r="L786" s="208">
        <v>14826.560000000014</v>
      </c>
      <c r="M786" s="208" t="s">
        <v>244</v>
      </c>
      <c r="N786" s="208">
        <v>-275</v>
      </c>
      <c r="O786" s="208">
        <v>1292.48</v>
      </c>
      <c r="P786" s="208">
        <v>-275</v>
      </c>
      <c r="Q786" s="208">
        <v>706.46</v>
      </c>
    </row>
    <row r="787" spans="1:17">
      <c r="A787" s="218">
        <v>44196</v>
      </c>
      <c r="B787" s="208" t="s">
        <v>262</v>
      </c>
      <c r="C787" s="208" t="s">
        <v>8</v>
      </c>
      <c r="D787" s="208">
        <v>2019</v>
      </c>
      <c r="E787" s="208" t="s">
        <v>129</v>
      </c>
      <c r="F787" s="208" t="s">
        <v>128</v>
      </c>
      <c r="G787" s="208" t="s">
        <v>243</v>
      </c>
      <c r="H787" s="208">
        <v>2</v>
      </c>
      <c r="I787" s="208">
        <v>1330</v>
      </c>
      <c r="J787" s="208">
        <v>0</v>
      </c>
      <c r="K787" s="208">
        <v>0</v>
      </c>
      <c r="L787" s="208">
        <v>665</v>
      </c>
      <c r="M787" s="208" t="s">
        <v>244</v>
      </c>
      <c r="N787" s="208">
        <v>-675.4</v>
      </c>
      <c r="O787" s="208">
        <v>1241.2</v>
      </c>
      <c r="P787" s="208">
        <v>-675.4</v>
      </c>
      <c r="Q787" s="208">
        <v>865</v>
      </c>
    </row>
    <row r="788" spans="1:17">
      <c r="A788" s="218">
        <v>44196</v>
      </c>
      <c r="B788" s="208" t="s">
        <v>29</v>
      </c>
      <c r="C788" s="208" t="s">
        <v>8</v>
      </c>
      <c r="D788" s="208">
        <v>2019</v>
      </c>
      <c r="E788" s="208" t="s">
        <v>180</v>
      </c>
      <c r="F788" s="208" t="s">
        <v>130</v>
      </c>
      <c r="G788" s="208" t="s">
        <v>243</v>
      </c>
      <c r="H788" s="208">
        <v>2</v>
      </c>
      <c r="I788" s="208">
        <v>9.1999999999999993</v>
      </c>
      <c r="J788" s="208">
        <v>0</v>
      </c>
      <c r="K788" s="208">
        <v>0</v>
      </c>
      <c r="L788" s="208">
        <v>9.1999999999999993</v>
      </c>
      <c r="M788" s="208" t="s">
        <v>244</v>
      </c>
      <c r="N788" s="208">
        <v>4.5999999999999996</v>
      </c>
      <c r="O788" s="208">
        <v>4.5999999999999996</v>
      </c>
      <c r="P788" s="208">
        <v>4.5999999999999996</v>
      </c>
      <c r="Q788" s="208">
        <v>4.5999999999999996</v>
      </c>
    </row>
    <row r="789" spans="1:17">
      <c r="A789" s="218">
        <v>44196</v>
      </c>
      <c r="B789" s="208" t="s">
        <v>260</v>
      </c>
      <c r="C789" s="208" t="s">
        <v>8</v>
      </c>
      <c r="D789" s="208">
        <v>2019</v>
      </c>
      <c r="E789" s="208" t="s">
        <v>180</v>
      </c>
      <c r="F789" s="208" t="s">
        <v>130</v>
      </c>
      <c r="G789" s="208" t="s">
        <v>243</v>
      </c>
      <c r="H789" s="208">
        <v>2</v>
      </c>
      <c r="I789" s="208">
        <v>9.1999999999999993</v>
      </c>
      <c r="J789" s="208">
        <v>0</v>
      </c>
      <c r="K789" s="208">
        <v>0</v>
      </c>
      <c r="L789" s="208">
        <v>9.1999999999999993</v>
      </c>
      <c r="M789" s="208" t="s">
        <v>244</v>
      </c>
      <c r="N789" s="208">
        <v>4.5999999999999996</v>
      </c>
      <c r="O789" s="208">
        <v>4.5999999999999996</v>
      </c>
      <c r="P789" s="208">
        <v>4.5999999999999996</v>
      </c>
      <c r="Q789" s="208">
        <v>4.5999999999999996</v>
      </c>
    </row>
    <row r="790" spans="1:17">
      <c r="A790" s="218">
        <v>44196</v>
      </c>
      <c r="B790" s="208" t="s">
        <v>33</v>
      </c>
      <c r="C790" s="208" t="s">
        <v>8</v>
      </c>
      <c r="D790" s="208">
        <v>2019</v>
      </c>
      <c r="E790" s="208" t="s">
        <v>131</v>
      </c>
      <c r="F790" s="208" t="s">
        <v>130</v>
      </c>
      <c r="G790" s="208" t="s">
        <v>243</v>
      </c>
      <c r="H790" s="208">
        <v>1</v>
      </c>
      <c r="I790" s="208">
        <v>3986.5</v>
      </c>
      <c r="J790" s="208">
        <v>0</v>
      </c>
      <c r="K790" s="208">
        <v>0</v>
      </c>
      <c r="L790" s="208">
        <v>3377</v>
      </c>
      <c r="M790" s="208" t="s">
        <v>244</v>
      </c>
      <c r="N790" s="208">
        <v>3986.5</v>
      </c>
      <c r="O790" s="208">
        <v>3986.5</v>
      </c>
      <c r="P790" s="208">
        <v>3377</v>
      </c>
      <c r="Q790" s="208">
        <v>3377</v>
      </c>
    </row>
    <row r="791" spans="1:17">
      <c r="A791" s="218">
        <v>44196</v>
      </c>
      <c r="B791" s="208" t="s">
        <v>47</v>
      </c>
      <c r="C791" s="208" t="s">
        <v>8</v>
      </c>
      <c r="D791" s="208">
        <v>2020</v>
      </c>
      <c r="E791" s="208" t="s">
        <v>131</v>
      </c>
      <c r="F791" s="208" t="s">
        <v>130</v>
      </c>
      <c r="G791" s="208" t="s">
        <v>243</v>
      </c>
      <c r="H791" s="208">
        <v>1</v>
      </c>
      <c r="I791" s="208">
        <v>3342</v>
      </c>
      <c r="J791" s="208">
        <v>0</v>
      </c>
      <c r="K791" s="208">
        <v>0</v>
      </c>
      <c r="L791" s="208">
        <v>3342</v>
      </c>
      <c r="M791" s="208" t="s">
        <v>244</v>
      </c>
      <c r="N791" s="208">
        <v>3342</v>
      </c>
      <c r="O791" s="208">
        <v>3342</v>
      </c>
      <c r="P791" s="208">
        <v>3342</v>
      </c>
      <c r="Q791" s="208">
        <v>3342</v>
      </c>
    </row>
    <row r="792" spans="1:17">
      <c r="A792" s="218">
        <v>44196</v>
      </c>
      <c r="B792" s="208" t="s">
        <v>263</v>
      </c>
      <c r="C792" s="208" t="s">
        <v>8</v>
      </c>
      <c r="D792" s="208">
        <v>2019</v>
      </c>
      <c r="E792" s="208" t="s">
        <v>131</v>
      </c>
      <c r="F792" s="208" t="s">
        <v>130</v>
      </c>
      <c r="G792" s="208" t="s">
        <v>243</v>
      </c>
      <c r="H792" s="208">
        <v>1</v>
      </c>
      <c r="I792" s="208">
        <v>3986.5</v>
      </c>
      <c r="J792" s="208">
        <v>0</v>
      </c>
      <c r="K792" s="208">
        <v>0</v>
      </c>
      <c r="L792" s="208">
        <v>3377</v>
      </c>
      <c r="M792" s="208" t="s">
        <v>244</v>
      </c>
      <c r="N792" s="208">
        <v>3986.5</v>
      </c>
      <c r="O792" s="208">
        <v>3986.5</v>
      </c>
      <c r="P792" s="208">
        <v>3377</v>
      </c>
      <c r="Q792" s="208">
        <v>3377</v>
      </c>
    </row>
    <row r="793" spans="1:17">
      <c r="A793" s="218">
        <v>44196</v>
      </c>
      <c r="B793" s="208" t="s">
        <v>268</v>
      </c>
      <c r="C793" s="208" t="s">
        <v>8</v>
      </c>
      <c r="D793" s="208">
        <v>2020</v>
      </c>
      <c r="E793" s="208" t="s">
        <v>131</v>
      </c>
      <c r="F793" s="208" t="s">
        <v>130</v>
      </c>
      <c r="G793" s="208" t="s">
        <v>243</v>
      </c>
      <c r="H793" s="208">
        <v>1</v>
      </c>
      <c r="I793" s="208">
        <v>3342</v>
      </c>
      <c r="J793" s="208">
        <v>0</v>
      </c>
      <c r="K793" s="208">
        <v>0</v>
      </c>
      <c r="L793" s="208">
        <v>3342</v>
      </c>
      <c r="M793" s="208" t="s">
        <v>244</v>
      </c>
      <c r="N793" s="208">
        <v>3342</v>
      </c>
      <c r="O793" s="208">
        <v>3342</v>
      </c>
      <c r="P793" s="208">
        <v>3342</v>
      </c>
      <c r="Q793" s="208">
        <v>3342</v>
      </c>
    </row>
    <row r="794" spans="1:17">
      <c r="A794" s="218">
        <v>44196</v>
      </c>
      <c r="B794" s="208" t="s">
        <v>43</v>
      </c>
      <c r="C794" s="208" t="s">
        <v>8</v>
      </c>
      <c r="D794" s="208">
        <v>2020</v>
      </c>
      <c r="E794" s="208" t="s">
        <v>132</v>
      </c>
      <c r="F794" s="208" t="s">
        <v>130</v>
      </c>
      <c r="G794" s="208" t="s">
        <v>243</v>
      </c>
      <c r="H794" s="208">
        <v>1</v>
      </c>
      <c r="I794" s="208">
        <v>61</v>
      </c>
      <c r="J794" s="208">
        <v>0</v>
      </c>
      <c r="K794" s="208">
        <v>0</v>
      </c>
      <c r="L794" s="208">
        <v>50</v>
      </c>
      <c r="M794" s="208" t="s">
        <v>244</v>
      </c>
      <c r="N794" s="208">
        <v>39.96</v>
      </c>
      <c r="O794" s="208">
        <v>75</v>
      </c>
      <c r="P794" s="208">
        <v>35</v>
      </c>
      <c r="Q794" s="208">
        <v>50</v>
      </c>
    </row>
    <row r="795" spans="1:17">
      <c r="A795" s="218">
        <v>44196</v>
      </c>
      <c r="B795" s="208" t="s">
        <v>41</v>
      </c>
      <c r="C795" s="208" t="s">
        <v>8</v>
      </c>
      <c r="D795" s="208">
        <v>2020</v>
      </c>
      <c r="E795" s="208" t="s">
        <v>132</v>
      </c>
      <c r="F795" s="208" t="s">
        <v>130</v>
      </c>
      <c r="G795" s="208" t="s">
        <v>243</v>
      </c>
      <c r="H795" s="208">
        <v>1</v>
      </c>
      <c r="I795" s="208">
        <v>75</v>
      </c>
      <c r="J795" s="208">
        <v>0</v>
      </c>
      <c r="K795" s="208">
        <v>0</v>
      </c>
      <c r="L795" s="208">
        <v>35</v>
      </c>
      <c r="M795" s="208" t="s">
        <v>244</v>
      </c>
      <c r="N795" s="208">
        <v>39.96</v>
      </c>
      <c r="O795" s="208">
        <v>75</v>
      </c>
      <c r="P795" s="208">
        <v>35</v>
      </c>
      <c r="Q795" s="208">
        <v>50</v>
      </c>
    </row>
    <row r="796" spans="1:17">
      <c r="A796" s="218">
        <v>44196</v>
      </c>
      <c r="B796" s="208" t="s">
        <v>261</v>
      </c>
      <c r="C796" s="208" t="s">
        <v>8</v>
      </c>
      <c r="D796" s="208">
        <v>2020</v>
      </c>
      <c r="E796" s="208" t="s">
        <v>132</v>
      </c>
      <c r="F796" s="208" t="s">
        <v>130</v>
      </c>
      <c r="G796" s="208" t="s">
        <v>243</v>
      </c>
      <c r="H796" s="208">
        <v>1</v>
      </c>
      <c r="I796" s="208">
        <v>40</v>
      </c>
      <c r="J796" s="208">
        <v>0</v>
      </c>
      <c r="K796" s="208">
        <v>0</v>
      </c>
      <c r="L796" s="208">
        <v>35</v>
      </c>
      <c r="M796" s="208" t="s">
        <v>244</v>
      </c>
      <c r="N796" s="208">
        <v>39.96</v>
      </c>
      <c r="O796" s="208">
        <v>75</v>
      </c>
      <c r="P796" s="208">
        <v>35</v>
      </c>
      <c r="Q796" s="208">
        <v>50</v>
      </c>
    </row>
    <row r="797" spans="1:17">
      <c r="A797" s="218">
        <v>44196</v>
      </c>
      <c r="B797" s="208" t="s">
        <v>29</v>
      </c>
      <c r="C797" s="208" t="s">
        <v>8</v>
      </c>
      <c r="D797" s="208">
        <v>2020</v>
      </c>
      <c r="E797" s="208" t="s">
        <v>132</v>
      </c>
      <c r="F797" s="208" t="s">
        <v>130</v>
      </c>
      <c r="G797" s="208" t="s">
        <v>243</v>
      </c>
      <c r="H797" s="208">
        <v>1</v>
      </c>
      <c r="I797" s="208">
        <v>39.96</v>
      </c>
      <c r="J797" s="208">
        <v>0</v>
      </c>
      <c r="K797" s="208">
        <v>0</v>
      </c>
      <c r="L797" s="208">
        <v>39.96</v>
      </c>
      <c r="M797" s="208" t="s">
        <v>244</v>
      </c>
      <c r="N797" s="208">
        <v>39.96</v>
      </c>
      <c r="O797" s="208">
        <v>75</v>
      </c>
      <c r="P797" s="208">
        <v>35</v>
      </c>
      <c r="Q797" s="208">
        <v>50</v>
      </c>
    </row>
    <row r="798" spans="1:17">
      <c r="A798" s="218">
        <v>44196</v>
      </c>
      <c r="B798" s="208" t="s">
        <v>262</v>
      </c>
      <c r="C798" s="208" t="s">
        <v>8</v>
      </c>
      <c r="D798" s="208">
        <v>2020</v>
      </c>
      <c r="E798" s="208" t="s">
        <v>132</v>
      </c>
      <c r="F798" s="208" t="s">
        <v>130</v>
      </c>
      <c r="G798" s="208" t="s">
        <v>243</v>
      </c>
      <c r="H798" s="208">
        <v>1</v>
      </c>
      <c r="I798" s="208">
        <v>61</v>
      </c>
      <c r="J798" s="208">
        <v>0</v>
      </c>
      <c r="K798" s="208">
        <v>0</v>
      </c>
      <c r="L798" s="208">
        <v>50</v>
      </c>
      <c r="M798" s="208" t="s">
        <v>244</v>
      </c>
      <c r="N798" s="208">
        <v>39.96</v>
      </c>
      <c r="O798" s="208">
        <v>75</v>
      </c>
      <c r="P798" s="208">
        <v>35</v>
      </c>
      <c r="Q798" s="208">
        <v>50</v>
      </c>
    </row>
    <row r="799" spans="1:17">
      <c r="A799" s="218">
        <v>44196</v>
      </c>
      <c r="B799" s="208" t="s">
        <v>264</v>
      </c>
      <c r="C799" s="208" t="s">
        <v>8</v>
      </c>
      <c r="D799" s="208">
        <v>2020</v>
      </c>
      <c r="E799" s="208" t="s">
        <v>132</v>
      </c>
      <c r="F799" s="208" t="s">
        <v>130</v>
      </c>
      <c r="G799" s="208" t="s">
        <v>243</v>
      </c>
      <c r="H799" s="208">
        <v>1</v>
      </c>
      <c r="I799" s="208">
        <v>75</v>
      </c>
      <c r="J799" s="208">
        <v>0</v>
      </c>
      <c r="K799" s="208">
        <v>0</v>
      </c>
      <c r="L799" s="208">
        <v>35</v>
      </c>
      <c r="M799" s="208" t="s">
        <v>244</v>
      </c>
      <c r="N799" s="208">
        <v>39.96</v>
      </c>
      <c r="O799" s="208">
        <v>75</v>
      </c>
      <c r="P799" s="208">
        <v>35</v>
      </c>
      <c r="Q799" s="208">
        <v>50</v>
      </c>
    </row>
    <row r="800" spans="1:17">
      <c r="A800" s="218">
        <v>44196</v>
      </c>
      <c r="B800" s="208" t="s">
        <v>260</v>
      </c>
      <c r="C800" s="208" t="s">
        <v>8</v>
      </c>
      <c r="D800" s="208">
        <v>2020</v>
      </c>
      <c r="E800" s="208" t="s">
        <v>132</v>
      </c>
      <c r="F800" s="208" t="s">
        <v>130</v>
      </c>
      <c r="G800" s="208" t="s">
        <v>243</v>
      </c>
      <c r="H800" s="208">
        <v>1</v>
      </c>
      <c r="I800" s="208">
        <v>39.96</v>
      </c>
      <c r="J800" s="208">
        <v>0</v>
      </c>
      <c r="K800" s="208">
        <v>0</v>
      </c>
      <c r="L800" s="208">
        <v>39.96</v>
      </c>
      <c r="M800" s="208" t="s">
        <v>244</v>
      </c>
      <c r="N800" s="208">
        <v>39.96</v>
      </c>
      <c r="O800" s="208">
        <v>75</v>
      </c>
      <c r="P800" s="208">
        <v>35</v>
      </c>
      <c r="Q800" s="208">
        <v>50</v>
      </c>
    </row>
    <row r="801" spans="1:17">
      <c r="A801" s="218">
        <v>44196</v>
      </c>
      <c r="B801" s="208" t="s">
        <v>35</v>
      </c>
      <c r="C801" s="208" t="s">
        <v>8</v>
      </c>
      <c r="D801" s="208">
        <v>2020</v>
      </c>
      <c r="E801" s="208" t="s">
        <v>132</v>
      </c>
      <c r="F801" s="208" t="s">
        <v>130</v>
      </c>
      <c r="G801" s="208" t="s">
        <v>243</v>
      </c>
      <c r="H801" s="208">
        <v>1</v>
      </c>
      <c r="I801" s="208">
        <v>40</v>
      </c>
      <c r="J801" s="208">
        <v>0</v>
      </c>
      <c r="K801" s="208">
        <v>0</v>
      </c>
      <c r="L801" s="208">
        <v>35</v>
      </c>
      <c r="M801" s="208" t="s">
        <v>244</v>
      </c>
      <c r="N801" s="208">
        <v>39.96</v>
      </c>
      <c r="O801" s="208">
        <v>75</v>
      </c>
      <c r="P801" s="208">
        <v>35</v>
      </c>
      <c r="Q801" s="208">
        <v>50</v>
      </c>
    </row>
    <row r="802" spans="1:17">
      <c r="A802" s="218">
        <v>44196</v>
      </c>
      <c r="B802" s="208" t="s">
        <v>260</v>
      </c>
      <c r="C802" s="208" t="s">
        <v>8</v>
      </c>
      <c r="D802" s="208">
        <v>2019</v>
      </c>
      <c r="E802" s="208" t="s">
        <v>272</v>
      </c>
      <c r="F802" s="208" t="s">
        <v>130</v>
      </c>
      <c r="G802" s="208" t="s">
        <v>243</v>
      </c>
      <c r="H802" s="208">
        <v>2</v>
      </c>
      <c r="I802" s="208">
        <v>0</v>
      </c>
      <c r="J802" s="208">
        <v>0</v>
      </c>
      <c r="K802" s="208">
        <v>0</v>
      </c>
      <c r="L802" s="208">
        <v>0</v>
      </c>
      <c r="M802" s="208" t="s">
        <v>244</v>
      </c>
      <c r="N802" s="208">
        <v>-19.059999999999999</v>
      </c>
      <c r="O802" s="208">
        <v>19.059999999999999</v>
      </c>
      <c r="P802" s="208">
        <v>-5.72</v>
      </c>
      <c r="Q802" s="208">
        <v>5.72</v>
      </c>
    </row>
    <row r="803" spans="1:17">
      <c r="A803" s="218">
        <v>44196</v>
      </c>
      <c r="B803" s="208" t="s">
        <v>29</v>
      </c>
      <c r="C803" s="208" t="s">
        <v>8</v>
      </c>
      <c r="D803" s="208">
        <v>2019</v>
      </c>
      <c r="E803" s="208" t="s">
        <v>272</v>
      </c>
      <c r="F803" s="208" t="s">
        <v>130</v>
      </c>
      <c r="G803" s="208" t="s">
        <v>243</v>
      </c>
      <c r="H803" s="208">
        <v>2</v>
      </c>
      <c r="I803" s="208">
        <v>0</v>
      </c>
      <c r="J803" s="208">
        <v>0</v>
      </c>
      <c r="K803" s="208">
        <v>0</v>
      </c>
      <c r="L803" s="208">
        <v>0</v>
      </c>
      <c r="M803" s="208" t="s">
        <v>244</v>
      </c>
      <c r="N803" s="208">
        <v>-19.059999999999999</v>
      </c>
      <c r="O803" s="208">
        <v>19.059999999999999</v>
      </c>
      <c r="P803" s="208">
        <v>-5.72</v>
      </c>
      <c r="Q803" s="208">
        <v>5.72</v>
      </c>
    </row>
    <row r="804" spans="1:17">
      <c r="A804" s="218">
        <v>44196</v>
      </c>
      <c r="B804" s="208" t="s">
        <v>260</v>
      </c>
      <c r="C804" s="208" t="s">
        <v>8</v>
      </c>
      <c r="D804" s="208">
        <v>2020</v>
      </c>
      <c r="E804" s="208" t="s">
        <v>133</v>
      </c>
      <c r="F804" s="208" t="s">
        <v>130</v>
      </c>
      <c r="G804" s="208" t="s">
        <v>243</v>
      </c>
      <c r="H804" s="208">
        <v>3</v>
      </c>
      <c r="I804" s="208">
        <v>72</v>
      </c>
      <c r="J804" s="208">
        <v>0</v>
      </c>
      <c r="K804" s="208">
        <v>0</v>
      </c>
      <c r="L804" s="208">
        <v>72</v>
      </c>
      <c r="M804" s="208" t="s">
        <v>244</v>
      </c>
      <c r="N804" s="208">
        <v>24</v>
      </c>
      <c r="O804" s="208">
        <v>24</v>
      </c>
      <c r="P804" s="208">
        <v>24</v>
      </c>
      <c r="Q804" s="208">
        <v>24</v>
      </c>
    </row>
    <row r="805" spans="1:17">
      <c r="A805" s="218">
        <v>44196</v>
      </c>
      <c r="B805" s="208" t="s">
        <v>259</v>
      </c>
      <c r="C805" s="208" t="s">
        <v>8</v>
      </c>
      <c r="D805" s="208">
        <v>2020</v>
      </c>
      <c r="E805" s="208" t="s">
        <v>133</v>
      </c>
      <c r="F805" s="208" t="s">
        <v>130</v>
      </c>
      <c r="G805" s="208" t="s">
        <v>243</v>
      </c>
      <c r="H805" s="208">
        <v>1</v>
      </c>
      <c r="I805" s="208">
        <v>24</v>
      </c>
      <c r="J805" s="208">
        <v>0</v>
      </c>
      <c r="K805" s="208">
        <v>0</v>
      </c>
      <c r="L805" s="208">
        <v>24</v>
      </c>
      <c r="M805" s="208" t="s">
        <v>244</v>
      </c>
      <c r="N805" s="208">
        <v>24</v>
      </c>
      <c r="O805" s="208">
        <v>24</v>
      </c>
      <c r="P805" s="208">
        <v>24</v>
      </c>
      <c r="Q805" s="208">
        <v>24</v>
      </c>
    </row>
    <row r="806" spans="1:17">
      <c r="A806" s="218">
        <v>44196</v>
      </c>
      <c r="B806" s="208" t="s">
        <v>29</v>
      </c>
      <c r="C806" s="208" t="s">
        <v>8</v>
      </c>
      <c r="D806" s="208">
        <v>2020</v>
      </c>
      <c r="E806" s="208" t="s">
        <v>133</v>
      </c>
      <c r="F806" s="208" t="s">
        <v>130</v>
      </c>
      <c r="G806" s="208" t="s">
        <v>243</v>
      </c>
      <c r="H806" s="208">
        <v>3</v>
      </c>
      <c r="I806" s="208">
        <v>72</v>
      </c>
      <c r="J806" s="208">
        <v>0</v>
      </c>
      <c r="K806" s="208">
        <v>0</v>
      </c>
      <c r="L806" s="208">
        <v>72</v>
      </c>
      <c r="M806" s="208" t="s">
        <v>244</v>
      </c>
      <c r="N806" s="208">
        <v>24</v>
      </c>
      <c r="O806" s="208">
        <v>24</v>
      </c>
      <c r="P806" s="208">
        <v>24</v>
      </c>
      <c r="Q806" s="208">
        <v>24</v>
      </c>
    </row>
    <row r="807" spans="1:17">
      <c r="A807" s="218">
        <v>44196</v>
      </c>
      <c r="B807" s="208" t="s">
        <v>36</v>
      </c>
      <c r="C807" s="208" t="s">
        <v>8</v>
      </c>
      <c r="D807" s="208">
        <v>2020</v>
      </c>
      <c r="E807" s="208" t="s">
        <v>133</v>
      </c>
      <c r="F807" s="208" t="s">
        <v>130</v>
      </c>
      <c r="G807" s="208" t="s">
        <v>243</v>
      </c>
      <c r="H807" s="208">
        <v>1</v>
      </c>
      <c r="I807" s="208">
        <v>24</v>
      </c>
      <c r="J807" s="208">
        <v>0</v>
      </c>
      <c r="K807" s="208">
        <v>0</v>
      </c>
      <c r="L807" s="208">
        <v>24</v>
      </c>
      <c r="M807" s="208" t="s">
        <v>244</v>
      </c>
      <c r="N807" s="208">
        <v>24</v>
      </c>
      <c r="O807" s="208">
        <v>24</v>
      </c>
      <c r="P807" s="208">
        <v>24</v>
      </c>
      <c r="Q807" s="208">
        <v>24</v>
      </c>
    </row>
    <row r="808" spans="1:17">
      <c r="A808" s="218">
        <v>44196</v>
      </c>
      <c r="B808" s="208" t="s">
        <v>259</v>
      </c>
      <c r="C808" s="208" t="s">
        <v>8</v>
      </c>
      <c r="D808" s="208">
        <v>2019</v>
      </c>
      <c r="E808" s="208" t="s">
        <v>134</v>
      </c>
      <c r="F808" s="208" t="s">
        <v>130</v>
      </c>
      <c r="G808" s="208" t="s">
        <v>243</v>
      </c>
      <c r="H808" s="208">
        <v>21</v>
      </c>
      <c r="I808" s="208">
        <v>3.7800000000000007</v>
      </c>
      <c r="J808" s="208">
        <v>1.890000000000001</v>
      </c>
      <c r="K808" s="208">
        <v>0</v>
      </c>
      <c r="L808" s="208">
        <v>1.8900000000000006</v>
      </c>
      <c r="M808" s="208" t="s">
        <v>244</v>
      </c>
      <c r="N808" s="208">
        <v>-5.76</v>
      </c>
      <c r="O808" s="208">
        <v>5.76</v>
      </c>
      <c r="P808" s="208">
        <v>-2.2999999999999998</v>
      </c>
      <c r="Q808" s="208">
        <v>2.2999999999999998</v>
      </c>
    </row>
    <row r="809" spans="1:17">
      <c r="A809" s="218">
        <v>44196</v>
      </c>
      <c r="B809" s="208" t="s">
        <v>258</v>
      </c>
      <c r="C809" s="208" t="s">
        <v>8</v>
      </c>
      <c r="D809" s="208">
        <v>2020</v>
      </c>
      <c r="E809" s="208" t="s">
        <v>134</v>
      </c>
      <c r="F809" s="208" t="s">
        <v>130</v>
      </c>
      <c r="G809" s="208" t="s">
        <v>243</v>
      </c>
      <c r="H809" s="208">
        <v>26</v>
      </c>
      <c r="I809" s="208">
        <v>0</v>
      </c>
      <c r="J809" s="208">
        <v>1.3322676295501878E-15</v>
      </c>
      <c r="K809" s="208">
        <v>0</v>
      </c>
      <c r="L809" s="208">
        <v>0</v>
      </c>
      <c r="M809" s="208" t="s">
        <v>244</v>
      </c>
      <c r="N809" s="208">
        <v>-5.76</v>
      </c>
      <c r="O809" s="208">
        <v>5.76</v>
      </c>
      <c r="P809" s="208">
        <v>-2.2999999999999998</v>
      </c>
      <c r="Q809" s="208">
        <v>2.2999999999999998</v>
      </c>
    </row>
    <row r="810" spans="1:17">
      <c r="A810" s="218">
        <v>44196</v>
      </c>
      <c r="B810" s="208" t="s">
        <v>261</v>
      </c>
      <c r="C810" s="208" t="s">
        <v>8</v>
      </c>
      <c r="D810" s="208">
        <v>2019</v>
      </c>
      <c r="E810" s="208" t="s">
        <v>134</v>
      </c>
      <c r="F810" s="208" t="s">
        <v>130</v>
      </c>
      <c r="G810" s="208" t="s">
        <v>243</v>
      </c>
      <c r="H810" s="208">
        <v>1</v>
      </c>
      <c r="I810" s="208">
        <v>3.78</v>
      </c>
      <c r="J810" s="208">
        <v>2.65</v>
      </c>
      <c r="K810" s="208">
        <v>0</v>
      </c>
      <c r="L810" s="208">
        <v>1.1299999999999999</v>
      </c>
      <c r="M810" s="208" t="s">
        <v>244</v>
      </c>
      <c r="N810" s="208">
        <v>-5.76</v>
      </c>
      <c r="O810" s="208">
        <v>5.76</v>
      </c>
      <c r="P810" s="208">
        <v>-2.2999999999999998</v>
      </c>
      <c r="Q810" s="208">
        <v>2.2999999999999998</v>
      </c>
    </row>
    <row r="811" spans="1:17">
      <c r="A811" s="218">
        <v>44196</v>
      </c>
      <c r="B811" s="208" t="s">
        <v>259</v>
      </c>
      <c r="C811" s="208" t="s">
        <v>8</v>
      </c>
      <c r="D811" s="208">
        <v>2020</v>
      </c>
      <c r="E811" s="208" t="s">
        <v>134</v>
      </c>
      <c r="F811" s="208" t="s">
        <v>130</v>
      </c>
      <c r="G811" s="208" t="s">
        <v>243</v>
      </c>
      <c r="H811" s="208">
        <v>8</v>
      </c>
      <c r="I811" s="208">
        <v>0</v>
      </c>
      <c r="J811" s="208">
        <v>0</v>
      </c>
      <c r="K811" s="208">
        <v>0</v>
      </c>
      <c r="L811" s="208">
        <v>0</v>
      </c>
      <c r="M811" s="208" t="s">
        <v>244</v>
      </c>
      <c r="N811" s="208">
        <v>-5.76</v>
      </c>
      <c r="O811" s="208">
        <v>5.76</v>
      </c>
      <c r="P811" s="208">
        <v>-2.2999999999999998</v>
      </c>
      <c r="Q811" s="208">
        <v>2.2999999999999998</v>
      </c>
    </row>
    <row r="812" spans="1:17">
      <c r="A812" s="218">
        <v>44196</v>
      </c>
      <c r="B812" s="208" t="s">
        <v>258</v>
      </c>
      <c r="C812" s="208" t="s">
        <v>8</v>
      </c>
      <c r="D812" s="208">
        <v>2019</v>
      </c>
      <c r="E812" s="208" t="s">
        <v>134</v>
      </c>
      <c r="F812" s="208" t="s">
        <v>130</v>
      </c>
      <c r="G812" s="208" t="s">
        <v>243</v>
      </c>
      <c r="H812" s="208">
        <v>33</v>
      </c>
      <c r="I812" s="208">
        <v>-11.34</v>
      </c>
      <c r="J812" s="208">
        <v>-6.8100000000000005</v>
      </c>
      <c r="K812" s="208">
        <v>0</v>
      </c>
      <c r="L812" s="208">
        <v>-4.53</v>
      </c>
      <c r="M812" s="208" t="s">
        <v>244</v>
      </c>
      <c r="N812" s="208">
        <v>-5.76</v>
      </c>
      <c r="O812" s="208">
        <v>5.76</v>
      </c>
      <c r="P812" s="208">
        <v>-2.2999999999999998</v>
      </c>
      <c r="Q812" s="208">
        <v>2.2999999999999998</v>
      </c>
    </row>
    <row r="813" spans="1:17">
      <c r="A813" s="218">
        <v>44196</v>
      </c>
      <c r="B813" s="208" t="s">
        <v>36</v>
      </c>
      <c r="C813" s="208" t="s">
        <v>8</v>
      </c>
      <c r="D813" s="208">
        <v>2019</v>
      </c>
      <c r="E813" s="208" t="s">
        <v>134</v>
      </c>
      <c r="F813" s="208" t="s">
        <v>130</v>
      </c>
      <c r="G813" s="208" t="s">
        <v>243</v>
      </c>
      <c r="H813" s="208">
        <v>21</v>
      </c>
      <c r="I813" s="208">
        <v>3.7799999999999989</v>
      </c>
      <c r="J813" s="208">
        <v>1.8899999999999983</v>
      </c>
      <c r="K813" s="208">
        <v>0</v>
      </c>
      <c r="L813" s="208">
        <v>1.8899999999999995</v>
      </c>
      <c r="M813" s="208" t="s">
        <v>244</v>
      </c>
      <c r="N813" s="208">
        <v>-5.76</v>
      </c>
      <c r="O813" s="208">
        <v>5.76</v>
      </c>
      <c r="P813" s="208">
        <v>-2.2999999999999998</v>
      </c>
      <c r="Q813" s="208">
        <v>2.2999999999999998</v>
      </c>
    </row>
    <row r="814" spans="1:17">
      <c r="A814" s="218">
        <v>44196</v>
      </c>
      <c r="B814" s="208" t="s">
        <v>29</v>
      </c>
      <c r="C814" s="208" t="s">
        <v>8</v>
      </c>
      <c r="D814" s="208">
        <v>2020</v>
      </c>
      <c r="E814" s="208" t="s">
        <v>134</v>
      </c>
      <c r="F814" s="208" t="s">
        <v>130</v>
      </c>
      <c r="G814" s="208" t="s">
        <v>243</v>
      </c>
      <c r="H814" s="208">
        <v>28</v>
      </c>
      <c r="I814" s="208">
        <v>-8.8817841970012523E-16</v>
      </c>
      <c r="J814" s="208">
        <v>8.8817841970012523E-16</v>
      </c>
      <c r="K814" s="208">
        <v>0</v>
      </c>
      <c r="L814" s="208">
        <v>4.4408920985006262E-16</v>
      </c>
      <c r="M814" s="208" t="s">
        <v>244</v>
      </c>
      <c r="N814" s="208">
        <v>-5.76</v>
      </c>
      <c r="O814" s="208">
        <v>5.76</v>
      </c>
      <c r="P814" s="208">
        <v>-2.2999999999999998</v>
      </c>
      <c r="Q814" s="208">
        <v>2.2999999999999998</v>
      </c>
    </row>
    <row r="815" spans="1:17">
      <c r="A815" s="218">
        <v>44196</v>
      </c>
      <c r="B815" s="208" t="s">
        <v>37</v>
      </c>
      <c r="C815" s="208" t="s">
        <v>8</v>
      </c>
      <c r="D815" s="208">
        <v>2020</v>
      </c>
      <c r="E815" s="208" t="s">
        <v>134</v>
      </c>
      <c r="F815" s="208" t="s">
        <v>130</v>
      </c>
      <c r="G815" s="208" t="s">
        <v>243</v>
      </c>
      <c r="H815" s="208">
        <v>2</v>
      </c>
      <c r="I815" s="208">
        <v>0</v>
      </c>
      <c r="J815" s="208">
        <v>0</v>
      </c>
      <c r="K815" s="208">
        <v>0</v>
      </c>
      <c r="L815" s="208">
        <v>0</v>
      </c>
      <c r="M815" s="208" t="s">
        <v>244</v>
      </c>
      <c r="N815" s="208">
        <v>-5.76</v>
      </c>
      <c r="O815" s="208">
        <v>5.76</v>
      </c>
      <c r="P815" s="208">
        <v>-2.2999999999999998</v>
      </c>
      <c r="Q815" s="208">
        <v>2.2999999999999998</v>
      </c>
    </row>
    <row r="816" spans="1:17">
      <c r="A816" s="218">
        <v>44196</v>
      </c>
      <c r="B816" s="208" t="s">
        <v>31</v>
      </c>
      <c r="C816" s="208" t="s">
        <v>8</v>
      </c>
      <c r="D816" s="208">
        <v>2020</v>
      </c>
      <c r="E816" s="208" t="s">
        <v>134</v>
      </c>
      <c r="F816" s="208" t="s">
        <v>130</v>
      </c>
      <c r="G816" s="208" t="s">
        <v>243</v>
      </c>
      <c r="H816" s="208">
        <v>26</v>
      </c>
      <c r="I816" s="208">
        <v>-1.7763568394002505E-15</v>
      </c>
      <c r="J816" s="208">
        <v>-4.4408920985006262E-16</v>
      </c>
      <c r="K816" s="208">
        <v>0</v>
      </c>
      <c r="L816" s="208">
        <v>0</v>
      </c>
      <c r="M816" s="208" t="s">
        <v>244</v>
      </c>
      <c r="N816" s="208">
        <v>-5.76</v>
      </c>
      <c r="O816" s="208">
        <v>5.76</v>
      </c>
      <c r="P816" s="208">
        <v>-2.2999999999999998</v>
      </c>
      <c r="Q816" s="208">
        <v>2.2999999999999998</v>
      </c>
    </row>
    <row r="817" spans="1:17">
      <c r="A817" s="218">
        <v>44196</v>
      </c>
      <c r="B817" s="208" t="s">
        <v>36</v>
      </c>
      <c r="C817" s="208" t="s">
        <v>8</v>
      </c>
      <c r="D817" s="208">
        <v>2020</v>
      </c>
      <c r="E817" s="208" t="s">
        <v>134</v>
      </c>
      <c r="F817" s="208" t="s">
        <v>130</v>
      </c>
      <c r="G817" s="208" t="s">
        <v>243</v>
      </c>
      <c r="H817" s="208">
        <v>8</v>
      </c>
      <c r="I817" s="208">
        <v>0</v>
      </c>
      <c r="J817" s="208">
        <v>0</v>
      </c>
      <c r="K817" s="208">
        <v>0</v>
      </c>
      <c r="L817" s="208">
        <v>0</v>
      </c>
      <c r="M817" s="208" t="s">
        <v>244</v>
      </c>
      <c r="N817" s="208">
        <v>-5.76</v>
      </c>
      <c r="O817" s="208">
        <v>5.76</v>
      </c>
      <c r="P817" s="208">
        <v>-2.2999999999999998</v>
      </c>
      <c r="Q817" s="208">
        <v>2.2999999999999998</v>
      </c>
    </row>
    <row r="818" spans="1:17">
      <c r="A818" s="218">
        <v>44196</v>
      </c>
      <c r="B818" s="208" t="s">
        <v>29</v>
      </c>
      <c r="C818" s="208" t="s">
        <v>8</v>
      </c>
      <c r="D818" s="208">
        <v>2019</v>
      </c>
      <c r="E818" s="208" t="s">
        <v>134</v>
      </c>
      <c r="F818" s="208" t="s">
        <v>130</v>
      </c>
      <c r="G818" s="208" t="s">
        <v>243</v>
      </c>
      <c r="H818" s="208">
        <v>45</v>
      </c>
      <c r="I818" s="208">
        <v>3.7800000000000011</v>
      </c>
      <c r="J818" s="208">
        <v>2.2699999999999969</v>
      </c>
      <c r="K818" s="208">
        <v>0</v>
      </c>
      <c r="L818" s="208">
        <v>1.5100000000000007</v>
      </c>
      <c r="M818" s="208" t="s">
        <v>244</v>
      </c>
      <c r="N818" s="208">
        <v>-5.76</v>
      </c>
      <c r="O818" s="208">
        <v>5.76</v>
      </c>
      <c r="P818" s="208">
        <v>-2.2999999999999998</v>
      </c>
      <c r="Q818" s="208">
        <v>2.2999999999999998</v>
      </c>
    </row>
    <row r="819" spans="1:17">
      <c r="A819" s="218">
        <v>44196</v>
      </c>
      <c r="B819" s="208" t="s">
        <v>225</v>
      </c>
      <c r="C819" s="208" t="s">
        <v>8</v>
      </c>
      <c r="D819" s="208">
        <v>2020</v>
      </c>
      <c r="E819" s="208" t="s">
        <v>134</v>
      </c>
      <c r="F819" s="208" t="s">
        <v>130</v>
      </c>
      <c r="G819" s="208" t="s">
        <v>243</v>
      </c>
      <c r="H819" s="208">
        <v>2</v>
      </c>
      <c r="I819" s="208">
        <v>0</v>
      </c>
      <c r="J819" s="208">
        <v>0</v>
      </c>
      <c r="K819" s="208">
        <v>0</v>
      </c>
      <c r="L819" s="208">
        <v>0</v>
      </c>
      <c r="M819" s="208" t="s">
        <v>244</v>
      </c>
      <c r="N819" s="208">
        <v>-5.76</v>
      </c>
      <c r="O819" s="208">
        <v>5.76</v>
      </c>
      <c r="P819" s="208">
        <v>-2.2999999999999998</v>
      </c>
      <c r="Q819" s="208">
        <v>2.2999999999999998</v>
      </c>
    </row>
    <row r="820" spans="1:17">
      <c r="A820" s="218">
        <v>44196</v>
      </c>
      <c r="B820" s="208" t="s">
        <v>260</v>
      </c>
      <c r="C820" s="208" t="s">
        <v>8</v>
      </c>
      <c r="D820" s="208">
        <v>2019</v>
      </c>
      <c r="E820" s="208" t="s">
        <v>134</v>
      </c>
      <c r="F820" s="208" t="s">
        <v>130</v>
      </c>
      <c r="G820" s="208" t="s">
        <v>243</v>
      </c>
      <c r="H820" s="208">
        <v>45</v>
      </c>
      <c r="I820" s="208">
        <v>3.7800000000000007</v>
      </c>
      <c r="J820" s="208">
        <v>2.2700000000000018</v>
      </c>
      <c r="K820" s="208">
        <v>0</v>
      </c>
      <c r="L820" s="208">
        <v>1.5100000000000016</v>
      </c>
      <c r="M820" s="208" t="s">
        <v>244</v>
      </c>
      <c r="N820" s="208">
        <v>-5.76</v>
      </c>
      <c r="O820" s="208">
        <v>5.76</v>
      </c>
      <c r="P820" s="208">
        <v>-2.2999999999999998</v>
      </c>
      <c r="Q820" s="208">
        <v>2.2999999999999998</v>
      </c>
    </row>
    <row r="821" spans="1:17">
      <c r="A821" s="218">
        <v>44196</v>
      </c>
      <c r="B821" s="208" t="s">
        <v>31</v>
      </c>
      <c r="C821" s="208" t="s">
        <v>8</v>
      </c>
      <c r="D821" s="208">
        <v>2019</v>
      </c>
      <c r="E821" s="208" t="s">
        <v>134</v>
      </c>
      <c r="F821" s="208" t="s">
        <v>130</v>
      </c>
      <c r="G821" s="208" t="s">
        <v>243</v>
      </c>
      <c r="H821" s="208">
        <v>33</v>
      </c>
      <c r="I821" s="208">
        <v>-11.34</v>
      </c>
      <c r="J821" s="208">
        <v>-6.8100000000000005</v>
      </c>
      <c r="K821" s="208">
        <v>0</v>
      </c>
      <c r="L821" s="208">
        <v>-4.53</v>
      </c>
      <c r="M821" s="208" t="s">
        <v>244</v>
      </c>
      <c r="N821" s="208">
        <v>-5.76</v>
      </c>
      <c r="O821" s="208">
        <v>5.76</v>
      </c>
      <c r="P821" s="208">
        <v>-2.2999999999999998</v>
      </c>
      <c r="Q821" s="208">
        <v>2.2999999999999998</v>
      </c>
    </row>
    <row r="822" spans="1:17">
      <c r="A822" s="218">
        <v>44196</v>
      </c>
      <c r="B822" s="208" t="s">
        <v>35</v>
      </c>
      <c r="C822" s="208" t="s">
        <v>8</v>
      </c>
      <c r="D822" s="208">
        <v>2019</v>
      </c>
      <c r="E822" s="208" t="s">
        <v>134</v>
      </c>
      <c r="F822" s="208" t="s">
        <v>130</v>
      </c>
      <c r="G822" s="208" t="s">
        <v>243</v>
      </c>
      <c r="H822" s="208">
        <v>1</v>
      </c>
      <c r="I822" s="208">
        <v>3.78</v>
      </c>
      <c r="J822" s="208">
        <v>2.65</v>
      </c>
      <c r="K822" s="208">
        <v>0</v>
      </c>
      <c r="L822" s="208">
        <v>1.1299999999999999</v>
      </c>
      <c r="M822" s="208" t="s">
        <v>244</v>
      </c>
      <c r="N822" s="208">
        <v>-5.76</v>
      </c>
      <c r="O822" s="208">
        <v>5.76</v>
      </c>
      <c r="P822" s="208">
        <v>-2.2999999999999998</v>
      </c>
      <c r="Q822" s="208">
        <v>2.2999999999999998</v>
      </c>
    </row>
    <row r="823" spans="1:17">
      <c r="A823" s="218">
        <v>44196</v>
      </c>
      <c r="B823" s="208" t="s">
        <v>260</v>
      </c>
      <c r="C823" s="208" t="s">
        <v>8</v>
      </c>
      <c r="D823" s="208">
        <v>2020</v>
      </c>
      <c r="E823" s="208" t="s">
        <v>134</v>
      </c>
      <c r="F823" s="208" t="s">
        <v>130</v>
      </c>
      <c r="G823" s="208" t="s">
        <v>243</v>
      </c>
      <c r="H823" s="208">
        <v>28</v>
      </c>
      <c r="I823" s="208">
        <v>-8.8817841970012523E-16</v>
      </c>
      <c r="J823" s="208">
        <v>-8.8817841970012523E-16</v>
      </c>
      <c r="K823" s="208">
        <v>0</v>
      </c>
      <c r="L823" s="208">
        <v>-2.2204460492503131E-16</v>
      </c>
      <c r="M823" s="208" t="s">
        <v>244</v>
      </c>
      <c r="N823" s="208">
        <v>-5.76</v>
      </c>
      <c r="O823" s="208">
        <v>5.76</v>
      </c>
      <c r="P823" s="208">
        <v>-2.2999999999999998</v>
      </c>
      <c r="Q823" s="208">
        <v>2.2999999999999998</v>
      </c>
    </row>
    <row r="824" spans="1:17">
      <c r="A824" s="218">
        <v>44196</v>
      </c>
      <c r="B824" s="208" t="s">
        <v>259</v>
      </c>
      <c r="C824" s="208" t="s">
        <v>8</v>
      </c>
      <c r="D824" s="208">
        <v>2020</v>
      </c>
      <c r="E824" s="208" t="s">
        <v>135</v>
      </c>
      <c r="F824" s="208" t="s">
        <v>130</v>
      </c>
      <c r="G824" s="208" t="s">
        <v>243</v>
      </c>
      <c r="H824" s="208">
        <v>1</v>
      </c>
      <c r="I824" s="208">
        <v>160</v>
      </c>
      <c r="J824" s="208">
        <v>22.58</v>
      </c>
      <c r="K824" s="208">
        <v>0</v>
      </c>
      <c r="L824" s="208">
        <v>129</v>
      </c>
      <c r="M824" s="208" t="s">
        <v>244</v>
      </c>
      <c r="N824" s="208">
        <v>58</v>
      </c>
      <c r="O824" s="208">
        <v>160</v>
      </c>
      <c r="P824" s="208">
        <v>6.95</v>
      </c>
      <c r="Q824" s="208">
        <v>129</v>
      </c>
    </row>
    <row r="825" spans="1:17">
      <c r="A825" s="218">
        <v>44196</v>
      </c>
      <c r="B825" s="208" t="s">
        <v>31</v>
      </c>
      <c r="C825" s="208" t="s">
        <v>8</v>
      </c>
      <c r="D825" s="208">
        <v>2020</v>
      </c>
      <c r="E825" s="208" t="s">
        <v>135</v>
      </c>
      <c r="F825" s="208" t="s">
        <v>130</v>
      </c>
      <c r="G825" s="208" t="s">
        <v>243</v>
      </c>
      <c r="H825" s="208">
        <v>3</v>
      </c>
      <c r="I825" s="208">
        <v>298</v>
      </c>
      <c r="J825" s="208">
        <v>45.150000000000006</v>
      </c>
      <c r="K825" s="208">
        <v>0</v>
      </c>
      <c r="L825" s="208">
        <v>80.64</v>
      </c>
      <c r="M825" s="208" t="s">
        <v>244</v>
      </c>
      <c r="N825" s="208">
        <v>58</v>
      </c>
      <c r="O825" s="208">
        <v>160</v>
      </c>
      <c r="P825" s="208">
        <v>6.95</v>
      </c>
      <c r="Q825" s="208">
        <v>129</v>
      </c>
    </row>
    <row r="826" spans="1:17">
      <c r="A826" s="218">
        <v>44196</v>
      </c>
      <c r="B826" s="208" t="s">
        <v>36</v>
      </c>
      <c r="C826" s="208" t="s">
        <v>8</v>
      </c>
      <c r="D826" s="208">
        <v>2020</v>
      </c>
      <c r="E826" s="208" t="s">
        <v>135</v>
      </c>
      <c r="F826" s="208" t="s">
        <v>130</v>
      </c>
      <c r="G826" s="208" t="s">
        <v>243</v>
      </c>
      <c r="H826" s="208">
        <v>1</v>
      </c>
      <c r="I826" s="208">
        <v>160</v>
      </c>
      <c r="J826" s="208">
        <v>22.58</v>
      </c>
      <c r="K826" s="208">
        <v>0</v>
      </c>
      <c r="L826" s="208">
        <v>129</v>
      </c>
      <c r="M826" s="208" t="s">
        <v>244</v>
      </c>
      <c r="N826" s="208">
        <v>58</v>
      </c>
      <c r="O826" s="208">
        <v>160</v>
      </c>
      <c r="P826" s="208">
        <v>6.95</v>
      </c>
      <c r="Q826" s="208">
        <v>129</v>
      </c>
    </row>
    <row r="827" spans="1:17">
      <c r="A827" s="218">
        <v>44196</v>
      </c>
      <c r="B827" s="208" t="s">
        <v>260</v>
      </c>
      <c r="C827" s="208" t="s">
        <v>8</v>
      </c>
      <c r="D827" s="208">
        <v>2019</v>
      </c>
      <c r="E827" s="208" t="s">
        <v>135</v>
      </c>
      <c r="F827" s="208" t="s">
        <v>130</v>
      </c>
      <c r="G827" s="208" t="s">
        <v>243</v>
      </c>
      <c r="H827" s="208">
        <v>2</v>
      </c>
      <c r="I827" s="208">
        <v>225</v>
      </c>
      <c r="J827" s="208">
        <v>52.68</v>
      </c>
      <c r="K827" s="208">
        <v>0</v>
      </c>
      <c r="L827" s="208">
        <v>172.32</v>
      </c>
      <c r="M827" s="208" t="s">
        <v>244</v>
      </c>
      <c r="N827" s="208">
        <v>65</v>
      </c>
      <c r="O827" s="208">
        <v>205</v>
      </c>
      <c r="P827" s="208">
        <v>16.12</v>
      </c>
      <c r="Q827" s="208">
        <v>172</v>
      </c>
    </row>
    <row r="828" spans="1:17">
      <c r="A828" s="218">
        <v>44196</v>
      </c>
      <c r="B828" s="208" t="s">
        <v>258</v>
      </c>
      <c r="C828" s="208" t="s">
        <v>8</v>
      </c>
      <c r="D828" s="208">
        <v>2019</v>
      </c>
      <c r="E828" s="208" t="s">
        <v>135</v>
      </c>
      <c r="F828" s="208" t="s">
        <v>130</v>
      </c>
      <c r="G828" s="208" t="s">
        <v>243</v>
      </c>
      <c r="H828" s="208">
        <v>4</v>
      </c>
      <c r="I828" s="208">
        <v>500</v>
      </c>
      <c r="J828" s="208">
        <v>60.2</v>
      </c>
      <c r="K828" s="208">
        <v>53.76</v>
      </c>
      <c r="L828" s="208">
        <v>86</v>
      </c>
      <c r="M828" s="208" t="s">
        <v>244</v>
      </c>
      <c r="N828" s="208">
        <v>65</v>
      </c>
      <c r="O828" s="208">
        <v>205</v>
      </c>
      <c r="P828" s="208">
        <v>16.12</v>
      </c>
      <c r="Q828" s="208">
        <v>172</v>
      </c>
    </row>
    <row r="829" spans="1:17">
      <c r="A829" s="218">
        <v>44196</v>
      </c>
      <c r="B829" s="208" t="s">
        <v>36</v>
      </c>
      <c r="C829" s="208" t="s">
        <v>8</v>
      </c>
      <c r="D829" s="208">
        <v>2019</v>
      </c>
      <c r="E829" s="208" t="s">
        <v>135</v>
      </c>
      <c r="F829" s="208" t="s">
        <v>130</v>
      </c>
      <c r="G829" s="208" t="s">
        <v>243</v>
      </c>
      <c r="H829" s="208">
        <v>1</v>
      </c>
      <c r="I829" s="208">
        <v>205</v>
      </c>
      <c r="J829" s="208">
        <v>30.1</v>
      </c>
      <c r="K829" s="208">
        <v>0</v>
      </c>
      <c r="L829" s="208">
        <v>172</v>
      </c>
      <c r="M829" s="208" t="s">
        <v>244</v>
      </c>
      <c r="N829" s="208">
        <v>65</v>
      </c>
      <c r="O829" s="208">
        <v>205</v>
      </c>
      <c r="P829" s="208">
        <v>16.12</v>
      </c>
      <c r="Q829" s="208">
        <v>172</v>
      </c>
    </row>
    <row r="830" spans="1:17">
      <c r="A830" s="218">
        <v>44196</v>
      </c>
      <c r="B830" s="208" t="s">
        <v>31</v>
      </c>
      <c r="C830" s="208" t="s">
        <v>8</v>
      </c>
      <c r="D830" s="208">
        <v>2019</v>
      </c>
      <c r="E830" s="208" t="s">
        <v>135</v>
      </c>
      <c r="F830" s="208" t="s">
        <v>130</v>
      </c>
      <c r="G830" s="208" t="s">
        <v>243</v>
      </c>
      <c r="H830" s="208">
        <v>4</v>
      </c>
      <c r="I830" s="208">
        <v>500</v>
      </c>
      <c r="J830" s="208">
        <v>60.2</v>
      </c>
      <c r="K830" s="208">
        <v>53.76</v>
      </c>
      <c r="L830" s="208">
        <v>86</v>
      </c>
      <c r="M830" s="208" t="s">
        <v>244</v>
      </c>
      <c r="N830" s="208">
        <v>65</v>
      </c>
      <c r="O830" s="208">
        <v>205</v>
      </c>
      <c r="P830" s="208">
        <v>16.12</v>
      </c>
      <c r="Q830" s="208">
        <v>172</v>
      </c>
    </row>
    <row r="831" spans="1:17">
      <c r="A831" s="218">
        <v>44196</v>
      </c>
      <c r="B831" s="208" t="s">
        <v>258</v>
      </c>
      <c r="C831" s="208" t="s">
        <v>8</v>
      </c>
      <c r="D831" s="208">
        <v>2020</v>
      </c>
      <c r="E831" s="208" t="s">
        <v>135</v>
      </c>
      <c r="F831" s="208" t="s">
        <v>130</v>
      </c>
      <c r="G831" s="208" t="s">
        <v>243</v>
      </c>
      <c r="H831" s="208">
        <v>3</v>
      </c>
      <c r="I831" s="208">
        <v>298</v>
      </c>
      <c r="J831" s="208">
        <v>45.150000000000006</v>
      </c>
      <c r="K831" s="208">
        <v>0</v>
      </c>
      <c r="L831" s="208">
        <v>80.64</v>
      </c>
      <c r="M831" s="208" t="s">
        <v>244</v>
      </c>
      <c r="N831" s="208">
        <v>58</v>
      </c>
      <c r="O831" s="208">
        <v>160</v>
      </c>
      <c r="P831" s="208">
        <v>6.95</v>
      </c>
      <c r="Q831" s="208">
        <v>129</v>
      </c>
    </row>
    <row r="832" spans="1:17">
      <c r="A832" s="218">
        <v>44196</v>
      </c>
      <c r="B832" s="208" t="s">
        <v>260</v>
      </c>
      <c r="C832" s="208" t="s">
        <v>8</v>
      </c>
      <c r="D832" s="208">
        <v>2020</v>
      </c>
      <c r="E832" s="208" t="s">
        <v>135</v>
      </c>
      <c r="F832" s="208" t="s">
        <v>130</v>
      </c>
      <c r="G832" s="208" t="s">
        <v>243</v>
      </c>
      <c r="H832" s="208">
        <v>10</v>
      </c>
      <c r="I832" s="208">
        <v>1016.5</v>
      </c>
      <c r="J832" s="208">
        <v>207.49</v>
      </c>
      <c r="K832" s="208">
        <v>168.78</v>
      </c>
      <c r="L832" s="208">
        <v>498.41</v>
      </c>
      <c r="M832" s="208" t="s">
        <v>244</v>
      </c>
      <c r="N832" s="208">
        <v>58</v>
      </c>
      <c r="O832" s="208">
        <v>160</v>
      </c>
      <c r="P832" s="208">
        <v>6.95</v>
      </c>
      <c r="Q832" s="208">
        <v>129</v>
      </c>
    </row>
    <row r="833" spans="1:17">
      <c r="A833" s="218">
        <v>44196</v>
      </c>
      <c r="B833" s="208" t="s">
        <v>29</v>
      </c>
      <c r="C833" s="208" t="s">
        <v>8</v>
      </c>
      <c r="D833" s="208">
        <v>2020</v>
      </c>
      <c r="E833" s="208" t="s">
        <v>135</v>
      </c>
      <c r="F833" s="208" t="s">
        <v>130</v>
      </c>
      <c r="G833" s="208" t="s">
        <v>243</v>
      </c>
      <c r="H833" s="208">
        <v>10</v>
      </c>
      <c r="I833" s="208">
        <v>1016.5</v>
      </c>
      <c r="J833" s="208">
        <v>207.49</v>
      </c>
      <c r="K833" s="208">
        <v>168.78</v>
      </c>
      <c r="L833" s="208">
        <v>498.41</v>
      </c>
      <c r="M833" s="208" t="s">
        <v>244</v>
      </c>
      <c r="N833" s="208">
        <v>58</v>
      </c>
      <c r="O833" s="208">
        <v>160</v>
      </c>
      <c r="P833" s="208">
        <v>6.95</v>
      </c>
      <c r="Q833" s="208">
        <v>129</v>
      </c>
    </row>
    <row r="834" spans="1:17">
      <c r="A834" s="218">
        <v>44196</v>
      </c>
      <c r="B834" s="208" t="s">
        <v>259</v>
      </c>
      <c r="C834" s="208" t="s">
        <v>8</v>
      </c>
      <c r="D834" s="208">
        <v>2019</v>
      </c>
      <c r="E834" s="208" t="s">
        <v>135</v>
      </c>
      <c r="F834" s="208" t="s">
        <v>130</v>
      </c>
      <c r="G834" s="208" t="s">
        <v>243</v>
      </c>
      <c r="H834" s="208">
        <v>1</v>
      </c>
      <c r="I834" s="208">
        <v>205</v>
      </c>
      <c r="J834" s="208">
        <v>30.1</v>
      </c>
      <c r="K834" s="208">
        <v>0</v>
      </c>
      <c r="L834" s="208">
        <v>172</v>
      </c>
      <c r="M834" s="208" t="s">
        <v>244</v>
      </c>
      <c r="N834" s="208">
        <v>65</v>
      </c>
      <c r="O834" s="208">
        <v>205</v>
      </c>
      <c r="P834" s="208">
        <v>16.12</v>
      </c>
      <c r="Q834" s="208">
        <v>172</v>
      </c>
    </row>
    <row r="835" spans="1:17">
      <c r="A835" s="218">
        <v>44196</v>
      </c>
      <c r="B835" s="208" t="s">
        <v>29</v>
      </c>
      <c r="C835" s="208" t="s">
        <v>8</v>
      </c>
      <c r="D835" s="208">
        <v>2019</v>
      </c>
      <c r="E835" s="208" t="s">
        <v>135</v>
      </c>
      <c r="F835" s="208" t="s">
        <v>130</v>
      </c>
      <c r="G835" s="208" t="s">
        <v>243</v>
      </c>
      <c r="H835" s="208">
        <v>2</v>
      </c>
      <c r="I835" s="208">
        <v>225</v>
      </c>
      <c r="J835" s="208">
        <v>52.68</v>
      </c>
      <c r="K835" s="208">
        <v>0</v>
      </c>
      <c r="L835" s="208">
        <v>172.32</v>
      </c>
      <c r="M835" s="208" t="s">
        <v>244</v>
      </c>
      <c r="N835" s="208">
        <v>65</v>
      </c>
      <c r="O835" s="208">
        <v>205</v>
      </c>
      <c r="P835" s="208">
        <v>16.12</v>
      </c>
      <c r="Q835" s="208">
        <v>172</v>
      </c>
    </row>
    <row r="836" spans="1:17">
      <c r="A836" s="218">
        <v>44196</v>
      </c>
      <c r="B836" s="208" t="s">
        <v>258</v>
      </c>
      <c r="C836" s="208" t="s">
        <v>8</v>
      </c>
      <c r="D836" s="208">
        <v>2020</v>
      </c>
      <c r="E836" s="208" t="s">
        <v>137</v>
      </c>
      <c r="F836" s="208" t="s">
        <v>136</v>
      </c>
      <c r="G836" s="208" t="s">
        <v>243</v>
      </c>
      <c r="H836" s="208">
        <v>4</v>
      </c>
      <c r="I836" s="208">
        <v>5900</v>
      </c>
      <c r="J836" s="208">
        <v>0</v>
      </c>
      <c r="K836" s="208">
        <v>0</v>
      </c>
      <c r="L836" s="208">
        <v>2056.8000000000002</v>
      </c>
      <c r="M836" s="208" t="s">
        <v>244</v>
      </c>
      <c r="N836" s="208">
        <v>575</v>
      </c>
      <c r="O836" s="208">
        <v>1500</v>
      </c>
      <c r="P836" s="208">
        <v>60.8</v>
      </c>
      <c r="Q836" s="208">
        <v>514.20000000000005</v>
      </c>
    </row>
    <row r="837" spans="1:17">
      <c r="A837" s="218">
        <v>44196</v>
      </c>
      <c r="B837" s="208" t="s">
        <v>260</v>
      </c>
      <c r="C837" s="208" t="s">
        <v>8</v>
      </c>
      <c r="D837" s="208">
        <v>2020</v>
      </c>
      <c r="E837" s="208" t="s">
        <v>137</v>
      </c>
      <c r="F837" s="208" t="s">
        <v>136</v>
      </c>
      <c r="G837" s="208" t="s">
        <v>243</v>
      </c>
      <c r="H837" s="208">
        <v>6</v>
      </c>
      <c r="I837" s="208">
        <v>4600</v>
      </c>
      <c r="J837" s="208">
        <v>0</v>
      </c>
      <c r="K837" s="208">
        <v>1028.4000000000001</v>
      </c>
      <c r="L837" s="208">
        <v>2178.4000000000005</v>
      </c>
      <c r="M837" s="208" t="s">
        <v>244</v>
      </c>
      <c r="N837" s="208">
        <v>575</v>
      </c>
      <c r="O837" s="208">
        <v>1500</v>
      </c>
      <c r="P837" s="208">
        <v>60.8</v>
      </c>
      <c r="Q837" s="208">
        <v>514.20000000000005</v>
      </c>
    </row>
    <row r="838" spans="1:17">
      <c r="A838" s="218">
        <v>44196</v>
      </c>
      <c r="B838" s="208" t="s">
        <v>29</v>
      </c>
      <c r="C838" s="208" t="s">
        <v>8</v>
      </c>
      <c r="D838" s="208">
        <v>2020</v>
      </c>
      <c r="E838" s="208" t="s">
        <v>137</v>
      </c>
      <c r="F838" s="208" t="s">
        <v>136</v>
      </c>
      <c r="G838" s="208" t="s">
        <v>243</v>
      </c>
      <c r="H838" s="208">
        <v>6</v>
      </c>
      <c r="I838" s="208">
        <v>4600</v>
      </c>
      <c r="J838" s="208">
        <v>0</v>
      </c>
      <c r="K838" s="208">
        <v>1028.4000000000001</v>
      </c>
      <c r="L838" s="208">
        <v>2178.4000000000005</v>
      </c>
      <c r="M838" s="208" t="s">
        <v>244</v>
      </c>
      <c r="N838" s="208">
        <v>575</v>
      </c>
      <c r="O838" s="208">
        <v>1500</v>
      </c>
      <c r="P838" s="208">
        <v>60.8</v>
      </c>
      <c r="Q838" s="208">
        <v>514.20000000000005</v>
      </c>
    </row>
    <row r="839" spans="1:17">
      <c r="A839" s="218">
        <v>44196</v>
      </c>
      <c r="B839" s="208" t="s">
        <v>259</v>
      </c>
      <c r="C839" s="208" t="s">
        <v>8</v>
      </c>
      <c r="D839" s="208">
        <v>2019</v>
      </c>
      <c r="E839" s="208" t="s">
        <v>137</v>
      </c>
      <c r="F839" s="208" t="s">
        <v>136</v>
      </c>
      <c r="G839" s="208" t="s">
        <v>243</v>
      </c>
      <c r="H839" s="208">
        <v>2</v>
      </c>
      <c r="I839" s="208">
        <v>3200</v>
      </c>
      <c r="J839" s="208">
        <v>0</v>
      </c>
      <c r="K839" s="208">
        <v>0</v>
      </c>
      <c r="L839" s="208">
        <v>1688.5</v>
      </c>
      <c r="M839" s="208" t="s">
        <v>244</v>
      </c>
      <c r="N839" s="208">
        <v>1000</v>
      </c>
      <c r="O839" s="208">
        <v>1600</v>
      </c>
      <c r="P839" s="208">
        <v>337.7</v>
      </c>
      <c r="Q839" s="208">
        <v>844.25</v>
      </c>
    </row>
    <row r="840" spans="1:17">
      <c r="A840" s="218">
        <v>44196</v>
      </c>
      <c r="B840" s="208" t="s">
        <v>260</v>
      </c>
      <c r="C840" s="208" t="s">
        <v>8</v>
      </c>
      <c r="D840" s="208">
        <v>2019</v>
      </c>
      <c r="E840" s="208" t="s">
        <v>137</v>
      </c>
      <c r="F840" s="208" t="s">
        <v>136</v>
      </c>
      <c r="G840" s="208" t="s">
        <v>243</v>
      </c>
      <c r="H840" s="208">
        <v>4</v>
      </c>
      <c r="I840" s="208">
        <v>4800</v>
      </c>
      <c r="J840" s="208">
        <v>0</v>
      </c>
      <c r="K840" s="208">
        <v>1013.1</v>
      </c>
      <c r="L840" s="208">
        <v>1688.5</v>
      </c>
      <c r="M840" s="208" t="s">
        <v>244</v>
      </c>
      <c r="N840" s="208">
        <v>1000</v>
      </c>
      <c r="O840" s="208">
        <v>1600</v>
      </c>
      <c r="P840" s="208">
        <v>337.7</v>
      </c>
      <c r="Q840" s="208">
        <v>844.25</v>
      </c>
    </row>
    <row r="841" spans="1:17">
      <c r="A841" s="218">
        <v>44196</v>
      </c>
      <c r="B841" s="208" t="s">
        <v>225</v>
      </c>
      <c r="C841" s="208" t="s">
        <v>8</v>
      </c>
      <c r="D841" s="208">
        <v>2019</v>
      </c>
      <c r="E841" s="208" t="s">
        <v>137</v>
      </c>
      <c r="F841" s="208" t="s">
        <v>136</v>
      </c>
      <c r="G841" s="208" t="s">
        <v>243</v>
      </c>
      <c r="H841" s="208">
        <v>5</v>
      </c>
      <c r="I841" s="208">
        <v>6150</v>
      </c>
      <c r="J841" s="208">
        <v>0</v>
      </c>
      <c r="K841" s="208">
        <v>0</v>
      </c>
      <c r="L841" s="208">
        <v>3500</v>
      </c>
      <c r="M841" s="208" t="s">
        <v>244</v>
      </c>
      <c r="N841" s="208">
        <v>1000</v>
      </c>
      <c r="O841" s="208">
        <v>1600</v>
      </c>
      <c r="P841" s="208">
        <v>337.7</v>
      </c>
      <c r="Q841" s="208">
        <v>844.25</v>
      </c>
    </row>
    <row r="842" spans="1:17">
      <c r="A842" s="218">
        <v>44196</v>
      </c>
      <c r="B842" s="208" t="s">
        <v>29</v>
      </c>
      <c r="C842" s="208" t="s">
        <v>8</v>
      </c>
      <c r="D842" s="208">
        <v>2019</v>
      </c>
      <c r="E842" s="208" t="s">
        <v>137</v>
      </c>
      <c r="F842" s="208" t="s">
        <v>136</v>
      </c>
      <c r="G842" s="208" t="s">
        <v>243</v>
      </c>
      <c r="H842" s="208">
        <v>4</v>
      </c>
      <c r="I842" s="208">
        <v>4800</v>
      </c>
      <c r="J842" s="208">
        <v>0</v>
      </c>
      <c r="K842" s="208">
        <v>1013.1</v>
      </c>
      <c r="L842" s="208">
        <v>1688.5</v>
      </c>
      <c r="M842" s="208" t="s">
        <v>244</v>
      </c>
      <c r="N842" s="208">
        <v>1000</v>
      </c>
      <c r="O842" s="208">
        <v>1600</v>
      </c>
      <c r="P842" s="208">
        <v>337.7</v>
      </c>
      <c r="Q842" s="208">
        <v>844.25</v>
      </c>
    </row>
    <row r="843" spans="1:17">
      <c r="A843" s="218">
        <v>44196</v>
      </c>
      <c r="B843" s="208" t="s">
        <v>36</v>
      </c>
      <c r="C843" s="208" t="s">
        <v>8</v>
      </c>
      <c r="D843" s="208">
        <v>2019</v>
      </c>
      <c r="E843" s="208" t="s">
        <v>137</v>
      </c>
      <c r="F843" s="208" t="s">
        <v>136</v>
      </c>
      <c r="G843" s="208" t="s">
        <v>243</v>
      </c>
      <c r="H843" s="208">
        <v>2</v>
      </c>
      <c r="I843" s="208">
        <v>3200</v>
      </c>
      <c r="J843" s="208">
        <v>0</v>
      </c>
      <c r="K843" s="208">
        <v>0</v>
      </c>
      <c r="L843" s="208">
        <v>1688.5</v>
      </c>
      <c r="M843" s="208" t="s">
        <v>244</v>
      </c>
      <c r="N843" s="208">
        <v>1000</v>
      </c>
      <c r="O843" s="208">
        <v>1600</v>
      </c>
      <c r="P843" s="208">
        <v>337.7</v>
      </c>
      <c r="Q843" s="208">
        <v>844.25</v>
      </c>
    </row>
    <row r="844" spans="1:17">
      <c r="A844" s="218">
        <v>44196</v>
      </c>
      <c r="B844" s="208" t="s">
        <v>37</v>
      </c>
      <c r="C844" s="208" t="s">
        <v>8</v>
      </c>
      <c r="D844" s="208">
        <v>2019</v>
      </c>
      <c r="E844" s="208" t="s">
        <v>137</v>
      </c>
      <c r="F844" s="208" t="s">
        <v>136</v>
      </c>
      <c r="G844" s="208" t="s">
        <v>243</v>
      </c>
      <c r="H844" s="208">
        <v>5</v>
      </c>
      <c r="I844" s="208">
        <v>6150</v>
      </c>
      <c r="J844" s="208">
        <v>0</v>
      </c>
      <c r="K844" s="208">
        <v>0</v>
      </c>
      <c r="L844" s="208">
        <v>3500</v>
      </c>
      <c r="M844" s="208" t="s">
        <v>244</v>
      </c>
      <c r="N844" s="208">
        <v>1000</v>
      </c>
      <c r="O844" s="208">
        <v>1600</v>
      </c>
      <c r="P844" s="208">
        <v>337.7</v>
      </c>
      <c r="Q844" s="208">
        <v>844.25</v>
      </c>
    </row>
    <row r="845" spans="1:17">
      <c r="A845" s="218">
        <v>44196</v>
      </c>
      <c r="B845" s="208" t="s">
        <v>31</v>
      </c>
      <c r="C845" s="208" t="s">
        <v>8</v>
      </c>
      <c r="D845" s="208">
        <v>2020</v>
      </c>
      <c r="E845" s="208" t="s">
        <v>137</v>
      </c>
      <c r="F845" s="208" t="s">
        <v>136</v>
      </c>
      <c r="G845" s="208" t="s">
        <v>243</v>
      </c>
      <c r="H845" s="208">
        <v>4</v>
      </c>
      <c r="I845" s="208">
        <v>5900</v>
      </c>
      <c r="J845" s="208">
        <v>0</v>
      </c>
      <c r="K845" s="208">
        <v>0</v>
      </c>
      <c r="L845" s="208">
        <v>2056.8000000000002</v>
      </c>
      <c r="M845" s="208" t="s">
        <v>244</v>
      </c>
      <c r="N845" s="208">
        <v>575</v>
      </c>
      <c r="O845" s="208">
        <v>1500</v>
      </c>
      <c r="P845" s="208">
        <v>60.8</v>
      </c>
      <c r="Q845" s="208">
        <v>514.20000000000005</v>
      </c>
    </row>
    <row r="846" spans="1:17">
      <c r="A846" s="218">
        <v>44196</v>
      </c>
      <c r="B846" s="208" t="s">
        <v>261</v>
      </c>
      <c r="C846" s="208" t="s">
        <v>8</v>
      </c>
      <c r="D846" s="208">
        <v>2019</v>
      </c>
      <c r="E846" s="208" t="s">
        <v>138</v>
      </c>
      <c r="F846" s="208" t="s">
        <v>136</v>
      </c>
      <c r="G846" s="208" t="s">
        <v>243</v>
      </c>
      <c r="H846" s="208">
        <v>2</v>
      </c>
      <c r="I846" s="208">
        <v>208</v>
      </c>
      <c r="J846" s="208">
        <v>0</v>
      </c>
      <c r="K846" s="208">
        <v>0</v>
      </c>
      <c r="L846" s="208">
        <v>202.62</v>
      </c>
      <c r="M846" s="208" t="s">
        <v>244</v>
      </c>
      <c r="N846" s="208">
        <v>-150</v>
      </c>
      <c r="O846" s="208">
        <v>490</v>
      </c>
      <c r="P846" s="208">
        <v>-135.08000000000001</v>
      </c>
      <c r="Q846" s="208">
        <v>337.7</v>
      </c>
    </row>
    <row r="847" spans="1:17">
      <c r="A847" s="218">
        <v>44196</v>
      </c>
      <c r="B847" s="208" t="s">
        <v>36</v>
      </c>
      <c r="C847" s="208" t="s">
        <v>8</v>
      </c>
      <c r="D847" s="208">
        <v>2020</v>
      </c>
      <c r="E847" s="208" t="s">
        <v>138</v>
      </c>
      <c r="F847" s="208" t="s">
        <v>136</v>
      </c>
      <c r="G847" s="208" t="s">
        <v>243</v>
      </c>
      <c r="H847" s="208">
        <v>128</v>
      </c>
      <c r="I847" s="208">
        <v>8321.6999999999971</v>
      </c>
      <c r="J847" s="208">
        <v>169.14</v>
      </c>
      <c r="K847" s="208">
        <v>0</v>
      </c>
      <c r="L847" s="208">
        <v>7802.4999999999973</v>
      </c>
      <c r="M847" s="208" t="s">
        <v>244</v>
      </c>
      <c r="N847" s="208">
        <v>-120</v>
      </c>
      <c r="O847" s="208">
        <v>408</v>
      </c>
      <c r="P847" s="208">
        <v>-120</v>
      </c>
      <c r="Q847" s="208">
        <v>205.68</v>
      </c>
    </row>
    <row r="848" spans="1:17">
      <c r="A848" s="218">
        <v>44196</v>
      </c>
      <c r="B848" s="208" t="s">
        <v>29</v>
      </c>
      <c r="C848" s="208" t="s">
        <v>8</v>
      </c>
      <c r="D848" s="208">
        <v>2019</v>
      </c>
      <c r="E848" s="208" t="s">
        <v>138</v>
      </c>
      <c r="F848" s="208" t="s">
        <v>136</v>
      </c>
      <c r="G848" s="208" t="s">
        <v>243</v>
      </c>
      <c r="H848" s="208">
        <v>472</v>
      </c>
      <c r="I848" s="208">
        <v>31110.84</v>
      </c>
      <c r="J848" s="208">
        <v>284.28000000000003</v>
      </c>
      <c r="K848" s="208">
        <v>2180.86</v>
      </c>
      <c r="L848" s="208">
        <v>23751.360000000033</v>
      </c>
      <c r="M848" s="208" t="s">
        <v>244</v>
      </c>
      <c r="N848" s="208">
        <v>-150</v>
      </c>
      <c r="O848" s="208">
        <v>490</v>
      </c>
      <c r="P848" s="208">
        <v>-135.08000000000001</v>
      </c>
      <c r="Q848" s="208">
        <v>337.7</v>
      </c>
    </row>
    <row r="849" spans="1:17">
      <c r="A849" s="218">
        <v>44196</v>
      </c>
      <c r="B849" s="208" t="s">
        <v>31</v>
      </c>
      <c r="C849" s="208" t="s">
        <v>8</v>
      </c>
      <c r="D849" s="208">
        <v>2019</v>
      </c>
      <c r="E849" s="208" t="s">
        <v>138</v>
      </c>
      <c r="F849" s="208" t="s">
        <v>136</v>
      </c>
      <c r="G849" s="208" t="s">
        <v>243</v>
      </c>
      <c r="H849" s="208">
        <v>327</v>
      </c>
      <c r="I849" s="208">
        <v>18013.63</v>
      </c>
      <c r="J849" s="208">
        <v>165.83</v>
      </c>
      <c r="K849" s="208">
        <v>2109.6599999999989</v>
      </c>
      <c r="L849" s="208">
        <v>12105.110000000004</v>
      </c>
      <c r="M849" s="208" t="s">
        <v>244</v>
      </c>
      <c r="N849" s="208">
        <v>-150</v>
      </c>
      <c r="O849" s="208">
        <v>490</v>
      </c>
      <c r="P849" s="208">
        <v>-135.08000000000001</v>
      </c>
      <c r="Q849" s="208">
        <v>337.7</v>
      </c>
    </row>
    <row r="850" spans="1:17">
      <c r="A850" s="218">
        <v>44196</v>
      </c>
      <c r="B850" s="208" t="s">
        <v>36</v>
      </c>
      <c r="C850" s="208" t="s">
        <v>8</v>
      </c>
      <c r="D850" s="208">
        <v>2019</v>
      </c>
      <c r="E850" s="208" t="s">
        <v>138</v>
      </c>
      <c r="F850" s="208" t="s">
        <v>136</v>
      </c>
      <c r="G850" s="208" t="s">
        <v>243</v>
      </c>
      <c r="H850" s="208">
        <v>174</v>
      </c>
      <c r="I850" s="208">
        <v>10917.549999999996</v>
      </c>
      <c r="J850" s="208">
        <v>118.45</v>
      </c>
      <c r="K850" s="208">
        <v>50</v>
      </c>
      <c r="L850" s="208">
        <v>10310.569999999996</v>
      </c>
      <c r="M850" s="208" t="s">
        <v>244</v>
      </c>
      <c r="N850" s="208">
        <v>-150</v>
      </c>
      <c r="O850" s="208">
        <v>490</v>
      </c>
      <c r="P850" s="208">
        <v>-135.08000000000001</v>
      </c>
      <c r="Q850" s="208">
        <v>337.7</v>
      </c>
    </row>
    <row r="851" spans="1:17">
      <c r="A851" s="218">
        <v>44196</v>
      </c>
      <c r="B851" s="208" t="s">
        <v>259</v>
      </c>
      <c r="C851" s="208" t="s">
        <v>8</v>
      </c>
      <c r="D851" s="208">
        <v>2020</v>
      </c>
      <c r="E851" s="208" t="s">
        <v>138</v>
      </c>
      <c r="F851" s="208" t="s">
        <v>136</v>
      </c>
      <c r="G851" s="208" t="s">
        <v>243</v>
      </c>
      <c r="H851" s="208">
        <v>128</v>
      </c>
      <c r="I851" s="208">
        <v>8321.7000000000007</v>
      </c>
      <c r="J851" s="208">
        <v>169.14000000000001</v>
      </c>
      <c r="K851" s="208">
        <v>0</v>
      </c>
      <c r="L851" s="208">
        <v>7802.5000000000018</v>
      </c>
      <c r="M851" s="208" t="s">
        <v>244</v>
      </c>
      <c r="N851" s="208">
        <v>-120</v>
      </c>
      <c r="O851" s="208">
        <v>408</v>
      </c>
      <c r="P851" s="208">
        <v>-120</v>
      </c>
      <c r="Q851" s="208">
        <v>205.68</v>
      </c>
    </row>
    <row r="852" spans="1:17">
      <c r="A852" s="218">
        <v>44196</v>
      </c>
      <c r="B852" s="208" t="s">
        <v>258</v>
      </c>
      <c r="C852" s="208" t="s">
        <v>8</v>
      </c>
      <c r="D852" s="208">
        <v>2020</v>
      </c>
      <c r="E852" s="208" t="s">
        <v>138</v>
      </c>
      <c r="F852" s="208" t="s">
        <v>136</v>
      </c>
      <c r="G852" s="208" t="s">
        <v>243</v>
      </c>
      <c r="H852" s="208">
        <v>247</v>
      </c>
      <c r="I852" s="208">
        <v>14711.039999999994</v>
      </c>
      <c r="J852" s="208">
        <v>427.2600000000001</v>
      </c>
      <c r="K852" s="208">
        <v>1610.9700000000007</v>
      </c>
      <c r="L852" s="208">
        <v>9603.0700000000015</v>
      </c>
      <c r="M852" s="208" t="s">
        <v>244</v>
      </c>
      <c r="N852" s="208">
        <v>-120</v>
      </c>
      <c r="O852" s="208">
        <v>408</v>
      </c>
      <c r="P852" s="208">
        <v>-120</v>
      </c>
      <c r="Q852" s="208">
        <v>205.68</v>
      </c>
    </row>
    <row r="853" spans="1:17">
      <c r="A853" s="218">
        <v>44196</v>
      </c>
      <c r="B853" s="208" t="s">
        <v>37</v>
      </c>
      <c r="C853" s="208" t="s">
        <v>8</v>
      </c>
      <c r="D853" s="208">
        <v>2019</v>
      </c>
      <c r="E853" s="208" t="s">
        <v>138</v>
      </c>
      <c r="F853" s="208" t="s">
        <v>136</v>
      </c>
      <c r="G853" s="208" t="s">
        <v>243</v>
      </c>
      <c r="H853" s="208">
        <v>113</v>
      </c>
      <c r="I853" s="208">
        <v>11454.419999999993</v>
      </c>
      <c r="J853" s="208">
        <v>189.52</v>
      </c>
      <c r="K853" s="208">
        <v>0</v>
      </c>
      <c r="L853" s="208">
        <v>9330.5099999999984</v>
      </c>
      <c r="M853" s="208" t="s">
        <v>244</v>
      </c>
      <c r="N853" s="208">
        <v>-150</v>
      </c>
      <c r="O853" s="208">
        <v>490</v>
      </c>
      <c r="P853" s="208">
        <v>-135.08000000000001</v>
      </c>
      <c r="Q853" s="208">
        <v>337.7</v>
      </c>
    </row>
    <row r="854" spans="1:17">
      <c r="A854" s="218">
        <v>44196</v>
      </c>
      <c r="B854" s="208" t="s">
        <v>35</v>
      </c>
      <c r="C854" s="208" t="s">
        <v>8</v>
      </c>
      <c r="D854" s="208">
        <v>2019</v>
      </c>
      <c r="E854" s="208" t="s">
        <v>138</v>
      </c>
      <c r="F854" s="208" t="s">
        <v>136</v>
      </c>
      <c r="G854" s="208" t="s">
        <v>243</v>
      </c>
      <c r="H854" s="208">
        <v>2</v>
      </c>
      <c r="I854" s="208">
        <v>208</v>
      </c>
      <c r="J854" s="208">
        <v>0</v>
      </c>
      <c r="K854" s="208">
        <v>0</v>
      </c>
      <c r="L854" s="208">
        <v>202.62</v>
      </c>
      <c r="M854" s="208" t="s">
        <v>244</v>
      </c>
      <c r="N854" s="208">
        <v>-150</v>
      </c>
      <c r="O854" s="208">
        <v>490</v>
      </c>
      <c r="P854" s="208">
        <v>-135.08000000000001</v>
      </c>
      <c r="Q854" s="208">
        <v>337.7</v>
      </c>
    </row>
    <row r="855" spans="1:17">
      <c r="A855" s="218">
        <v>44196</v>
      </c>
      <c r="B855" s="208" t="s">
        <v>31</v>
      </c>
      <c r="C855" s="208" t="s">
        <v>8</v>
      </c>
      <c r="D855" s="208">
        <v>2020</v>
      </c>
      <c r="E855" s="208" t="s">
        <v>138</v>
      </c>
      <c r="F855" s="208" t="s">
        <v>136</v>
      </c>
      <c r="G855" s="208" t="s">
        <v>243</v>
      </c>
      <c r="H855" s="208">
        <v>247</v>
      </c>
      <c r="I855" s="208">
        <v>14711.040000000005</v>
      </c>
      <c r="J855" s="208">
        <v>427.26000000000005</v>
      </c>
      <c r="K855" s="208">
        <v>1610.9700000000014</v>
      </c>
      <c r="L855" s="208">
        <v>9603.07</v>
      </c>
      <c r="M855" s="208" t="s">
        <v>244</v>
      </c>
      <c r="N855" s="208">
        <v>-120</v>
      </c>
      <c r="O855" s="208">
        <v>408</v>
      </c>
      <c r="P855" s="208">
        <v>-120</v>
      </c>
      <c r="Q855" s="208">
        <v>205.68</v>
      </c>
    </row>
    <row r="856" spans="1:17">
      <c r="A856" s="218">
        <v>44196</v>
      </c>
      <c r="B856" s="208" t="s">
        <v>260</v>
      </c>
      <c r="C856" s="208" t="s">
        <v>8</v>
      </c>
      <c r="D856" s="208">
        <v>2020</v>
      </c>
      <c r="E856" s="208" t="s">
        <v>138</v>
      </c>
      <c r="F856" s="208" t="s">
        <v>136</v>
      </c>
      <c r="G856" s="208" t="s">
        <v>243</v>
      </c>
      <c r="H856" s="208">
        <v>365</v>
      </c>
      <c r="I856" s="208">
        <v>24659.719999999976</v>
      </c>
      <c r="J856" s="208">
        <v>189.52</v>
      </c>
      <c r="K856" s="208">
        <v>1032.33</v>
      </c>
      <c r="L856" s="208">
        <v>19737.379999999986</v>
      </c>
      <c r="M856" s="208" t="s">
        <v>244</v>
      </c>
      <c r="N856" s="208">
        <v>-120</v>
      </c>
      <c r="O856" s="208">
        <v>408</v>
      </c>
      <c r="P856" s="208">
        <v>-120</v>
      </c>
      <c r="Q856" s="208">
        <v>205.68</v>
      </c>
    </row>
    <row r="857" spans="1:17">
      <c r="A857" s="218">
        <v>44196</v>
      </c>
      <c r="B857" s="208" t="s">
        <v>225</v>
      </c>
      <c r="C857" s="208" t="s">
        <v>8</v>
      </c>
      <c r="D857" s="208">
        <v>2019</v>
      </c>
      <c r="E857" s="208" t="s">
        <v>138</v>
      </c>
      <c r="F857" s="208" t="s">
        <v>136</v>
      </c>
      <c r="G857" s="208" t="s">
        <v>243</v>
      </c>
      <c r="H857" s="208">
        <v>113</v>
      </c>
      <c r="I857" s="208">
        <v>11454.419999999998</v>
      </c>
      <c r="J857" s="208">
        <v>189.52</v>
      </c>
      <c r="K857" s="208">
        <v>0</v>
      </c>
      <c r="L857" s="208">
        <v>9330.5099999999984</v>
      </c>
      <c r="M857" s="208" t="s">
        <v>244</v>
      </c>
      <c r="N857" s="208">
        <v>-150</v>
      </c>
      <c r="O857" s="208">
        <v>490</v>
      </c>
      <c r="P857" s="208">
        <v>-135.08000000000001</v>
      </c>
      <c r="Q857" s="208">
        <v>337.7</v>
      </c>
    </row>
    <row r="858" spans="1:17">
      <c r="A858" s="218">
        <v>44196</v>
      </c>
      <c r="B858" s="208" t="s">
        <v>37</v>
      </c>
      <c r="C858" s="208" t="s">
        <v>8</v>
      </c>
      <c r="D858" s="208">
        <v>2020</v>
      </c>
      <c r="E858" s="208" t="s">
        <v>138</v>
      </c>
      <c r="F858" s="208" t="s">
        <v>136</v>
      </c>
      <c r="G858" s="208" t="s">
        <v>243</v>
      </c>
      <c r="H858" s="208">
        <v>110</v>
      </c>
      <c r="I858" s="208">
        <v>8987.5399999999972</v>
      </c>
      <c r="J858" s="208">
        <v>0</v>
      </c>
      <c r="K858" s="208">
        <v>0</v>
      </c>
      <c r="L858" s="208">
        <v>7613.88</v>
      </c>
      <c r="M858" s="208" t="s">
        <v>244</v>
      </c>
      <c r="N858" s="208">
        <v>-120</v>
      </c>
      <c r="O858" s="208">
        <v>408</v>
      </c>
      <c r="P858" s="208">
        <v>-120</v>
      </c>
      <c r="Q858" s="208">
        <v>205.68</v>
      </c>
    </row>
    <row r="859" spans="1:17">
      <c r="A859" s="218">
        <v>44196</v>
      </c>
      <c r="B859" s="208" t="s">
        <v>225</v>
      </c>
      <c r="C859" s="208" t="s">
        <v>8</v>
      </c>
      <c r="D859" s="208">
        <v>2020</v>
      </c>
      <c r="E859" s="208" t="s">
        <v>138</v>
      </c>
      <c r="F859" s="208" t="s">
        <v>136</v>
      </c>
      <c r="G859" s="208" t="s">
        <v>243</v>
      </c>
      <c r="H859" s="208">
        <v>110</v>
      </c>
      <c r="I859" s="208">
        <v>8987.5399999999972</v>
      </c>
      <c r="J859" s="208">
        <v>0</v>
      </c>
      <c r="K859" s="208">
        <v>0</v>
      </c>
      <c r="L859" s="208">
        <v>7613.880000000001</v>
      </c>
      <c r="M859" s="208" t="s">
        <v>244</v>
      </c>
      <c r="N859" s="208">
        <v>-120</v>
      </c>
      <c r="O859" s="208">
        <v>408</v>
      </c>
      <c r="P859" s="208">
        <v>-120</v>
      </c>
      <c r="Q859" s="208">
        <v>205.68</v>
      </c>
    </row>
    <row r="860" spans="1:17">
      <c r="A860" s="218">
        <v>44196</v>
      </c>
      <c r="B860" s="208" t="s">
        <v>259</v>
      </c>
      <c r="C860" s="208" t="s">
        <v>8</v>
      </c>
      <c r="D860" s="208">
        <v>2019</v>
      </c>
      <c r="E860" s="208" t="s">
        <v>138</v>
      </c>
      <c r="F860" s="208" t="s">
        <v>136</v>
      </c>
      <c r="G860" s="208" t="s">
        <v>243</v>
      </c>
      <c r="H860" s="208">
        <v>174</v>
      </c>
      <c r="I860" s="208">
        <v>10917.550000000001</v>
      </c>
      <c r="J860" s="208">
        <v>118.45</v>
      </c>
      <c r="K860" s="208">
        <v>50</v>
      </c>
      <c r="L860" s="208">
        <v>10310.570000000003</v>
      </c>
      <c r="M860" s="208" t="s">
        <v>244</v>
      </c>
      <c r="N860" s="208">
        <v>-150</v>
      </c>
      <c r="O860" s="208">
        <v>490</v>
      </c>
      <c r="P860" s="208">
        <v>-135.08000000000001</v>
      </c>
      <c r="Q860" s="208">
        <v>337.7</v>
      </c>
    </row>
    <row r="861" spans="1:17">
      <c r="A861" s="218">
        <v>44196</v>
      </c>
      <c r="B861" s="208" t="s">
        <v>260</v>
      </c>
      <c r="C861" s="208" t="s">
        <v>8</v>
      </c>
      <c r="D861" s="208">
        <v>2019</v>
      </c>
      <c r="E861" s="208" t="s">
        <v>138</v>
      </c>
      <c r="F861" s="208" t="s">
        <v>136</v>
      </c>
      <c r="G861" s="208" t="s">
        <v>243</v>
      </c>
      <c r="H861" s="208">
        <v>472</v>
      </c>
      <c r="I861" s="208">
        <v>31110.839999999986</v>
      </c>
      <c r="J861" s="208">
        <v>284.28000000000003</v>
      </c>
      <c r="K861" s="208">
        <v>2180.86</v>
      </c>
      <c r="L861" s="208">
        <v>23751.360000000026</v>
      </c>
      <c r="M861" s="208" t="s">
        <v>244</v>
      </c>
      <c r="N861" s="208">
        <v>-150</v>
      </c>
      <c r="O861" s="208">
        <v>490</v>
      </c>
      <c r="P861" s="208">
        <v>-135.08000000000001</v>
      </c>
      <c r="Q861" s="208">
        <v>337.7</v>
      </c>
    </row>
    <row r="862" spans="1:17">
      <c r="A862" s="218">
        <v>44196</v>
      </c>
      <c r="B862" s="208" t="s">
        <v>258</v>
      </c>
      <c r="C862" s="208" t="s">
        <v>8</v>
      </c>
      <c r="D862" s="208">
        <v>2019</v>
      </c>
      <c r="E862" s="208" t="s">
        <v>138</v>
      </c>
      <c r="F862" s="208" t="s">
        <v>136</v>
      </c>
      <c r="G862" s="208" t="s">
        <v>243</v>
      </c>
      <c r="H862" s="208">
        <v>327</v>
      </c>
      <c r="I862" s="208">
        <v>18013.63</v>
      </c>
      <c r="J862" s="208">
        <v>165.83</v>
      </c>
      <c r="K862" s="208">
        <v>2109.6599999999989</v>
      </c>
      <c r="L862" s="208">
        <v>12105.109999999997</v>
      </c>
      <c r="M862" s="208" t="s">
        <v>244</v>
      </c>
      <c r="N862" s="208">
        <v>-150</v>
      </c>
      <c r="O862" s="208">
        <v>490</v>
      </c>
      <c r="P862" s="208">
        <v>-135.08000000000001</v>
      </c>
      <c r="Q862" s="208">
        <v>337.7</v>
      </c>
    </row>
    <row r="863" spans="1:17">
      <c r="A863" s="218">
        <v>44196</v>
      </c>
      <c r="B863" s="208" t="s">
        <v>29</v>
      </c>
      <c r="C863" s="208" t="s">
        <v>8</v>
      </c>
      <c r="D863" s="208">
        <v>2020</v>
      </c>
      <c r="E863" s="208" t="s">
        <v>138</v>
      </c>
      <c r="F863" s="208" t="s">
        <v>136</v>
      </c>
      <c r="G863" s="208" t="s">
        <v>243</v>
      </c>
      <c r="H863" s="208">
        <v>365</v>
      </c>
      <c r="I863" s="208">
        <v>24659.719999999972</v>
      </c>
      <c r="J863" s="208">
        <v>189.52</v>
      </c>
      <c r="K863" s="208">
        <v>1032.33</v>
      </c>
      <c r="L863" s="208">
        <v>19737.38</v>
      </c>
      <c r="M863" s="208" t="s">
        <v>244</v>
      </c>
      <c r="N863" s="208">
        <v>-120</v>
      </c>
      <c r="O863" s="208">
        <v>408</v>
      </c>
      <c r="P863" s="208">
        <v>-120</v>
      </c>
      <c r="Q863" s="208">
        <v>205.68</v>
      </c>
    </row>
    <row r="864" spans="1:17">
      <c r="A864" s="218">
        <v>44196</v>
      </c>
      <c r="B864" s="208" t="s">
        <v>260</v>
      </c>
      <c r="C864" s="208" t="s">
        <v>8</v>
      </c>
      <c r="D864" s="208">
        <v>2020</v>
      </c>
      <c r="E864" s="208" t="s">
        <v>139</v>
      </c>
      <c r="F864" s="208" t="s">
        <v>136</v>
      </c>
      <c r="G864" s="208" t="s">
        <v>243</v>
      </c>
      <c r="H864" s="208">
        <v>3</v>
      </c>
      <c r="I864" s="208">
        <v>740</v>
      </c>
      <c r="J864" s="208">
        <v>0.09</v>
      </c>
      <c r="K864" s="208">
        <v>0</v>
      </c>
      <c r="L864" s="208">
        <v>514.20000000000005</v>
      </c>
      <c r="M864" s="208" t="s">
        <v>244</v>
      </c>
      <c r="N864" s="208">
        <v>170</v>
      </c>
      <c r="O864" s="208">
        <v>400</v>
      </c>
      <c r="P864" s="208">
        <v>169.97</v>
      </c>
      <c r="Q864" s="208">
        <v>174.26</v>
      </c>
    </row>
    <row r="865" spans="1:17">
      <c r="A865" s="218">
        <v>44196</v>
      </c>
      <c r="B865" s="208" t="s">
        <v>29</v>
      </c>
      <c r="C865" s="208" t="s">
        <v>8</v>
      </c>
      <c r="D865" s="208">
        <v>2020</v>
      </c>
      <c r="E865" s="208" t="s">
        <v>139</v>
      </c>
      <c r="F865" s="208" t="s">
        <v>136</v>
      </c>
      <c r="G865" s="208" t="s">
        <v>243</v>
      </c>
      <c r="H865" s="208">
        <v>3</v>
      </c>
      <c r="I865" s="208">
        <v>740</v>
      </c>
      <c r="J865" s="208">
        <v>0.09</v>
      </c>
      <c r="K865" s="208">
        <v>0</v>
      </c>
      <c r="L865" s="208">
        <v>514.20000000000005</v>
      </c>
      <c r="M865" s="208" t="s">
        <v>244</v>
      </c>
      <c r="N865" s="208">
        <v>170</v>
      </c>
      <c r="O865" s="208">
        <v>400</v>
      </c>
      <c r="P865" s="208">
        <v>169.97</v>
      </c>
      <c r="Q865" s="208">
        <v>174.26</v>
      </c>
    </row>
    <row r="866" spans="1:17">
      <c r="A866" s="218">
        <v>44196</v>
      </c>
      <c r="B866" s="208" t="s">
        <v>261</v>
      </c>
      <c r="C866" s="208" t="s">
        <v>8</v>
      </c>
      <c r="D866" s="208">
        <v>2019</v>
      </c>
      <c r="E866" s="208" t="s">
        <v>140</v>
      </c>
      <c r="F866" s="208" t="s">
        <v>136</v>
      </c>
      <c r="G866" s="208" t="s">
        <v>243</v>
      </c>
      <c r="H866" s="208">
        <v>1</v>
      </c>
      <c r="I866" s="208">
        <v>250</v>
      </c>
      <c r="J866" s="208">
        <v>1.7</v>
      </c>
      <c r="K866" s="208">
        <v>150</v>
      </c>
      <c r="L866" s="208">
        <v>50</v>
      </c>
      <c r="M866" s="208" t="s">
        <v>244</v>
      </c>
      <c r="N866" s="208">
        <v>-336</v>
      </c>
      <c r="O866" s="208">
        <v>370</v>
      </c>
      <c r="P866" s="208">
        <v>-150</v>
      </c>
      <c r="Q866" s="208">
        <v>150</v>
      </c>
    </row>
    <row r="867" spans="1:17">
      <c r="A867" s="218">
        <v>44196</v>
      </c>
      <c r="B867" s="208" t="s">
        <v>29</v>
      </c>
      <c r="C867" s="208" t="s">
        <v>8</v>
      </c>
      <c r="D867" s="208">
        <v>2019</v>
      </c>
      <c r="E867" s="208" t="s">
        <v>140</v>
      </c>
      <c r="F867" s="208" t="s">
        <v>136</v>
      </c>
      <c r="G867" s="208" t="s">
        <v>243</v>
      </c>
      <c r="H867" s="208">
        <v>3</v>
      </c>
      <c r="I867" s="208">
        <v>90</v>
      </c>
      <c r="J867" s="208">
        <v>5.2700000000000005</v>
      </c>
      <c r="K867" s="208">
        <v>0</v>
      </c>
      <c r="L867" s="208">
        <v>22.5</v>
      </c>
      <c r="M867" s="208" t="s">
        <v>244</v>
      </c>
      <c r="N867" s="208">
        <v>-336</v>
      </c>
      <c r="O867" s="208">
        <v>370</v>
      </c>
      <c r="P867" s="208">
        <v>-150</v>
      </c>
      <c r="Q867" s="208">
        <v>150</v>
      </c>
    </row>
    <row r="868" spans="1:17">
      <c r="A868" s="218">
        <v>44196</v>
      </c>
      <c r="B868" s="208" t="s">
        <v>225</v>
      </c>
      <c r="C868" s="208" t="s">
        <v>8</v>
      </c>
      <c r="D868" s="208">
        <v>2020</v>
      </c>
      <c r="E868" s="208" t="s">
        <v>140</v>
      </c>
      <c r="F868" s="208" t="s">
        <v>136</v>
      </c>
      <c r="G868" s="208" t="s">
        <v>243</v>
      </c>
      <c r="H868" s="208">
        <v>139</v>
      </c>
      <c r="I868" s="208">
        <v>20690.079999999998</v>
      </c>
      <c r="J868" s="208">
        <v>9.4999999999999698</v>
      </c>
      <c r="K868" s="208">
        <v>449.97</v>
      </c>
      <c r="L868" s="208">
        <v>13513.26999999997</v>
      </c>
      <c r="M868" s="208" t="s">
        <v>244</v>
      </c>
      <c r="N868" s="208">
        <v>-100</v>
      </c>
      <c r="O868" s="208">
        <v>360</v>
      </c>
      <c r="P868" s="208">
        <v>-99.97</v>
      </c>
      <c r="Q868" s="208">
        <v>103.54</v>
      </c>
    </row>
    <row r="869" spans="1:17">
      <c r="A869" s="218">
        <v>44196</v>
      </c>
      <c r="B869" s="208" t="s">
        <v>29</v>
      </c>
      <c r="C869" s="208" t="s">
        <v>8</v>
      </c>
      <c r="D869" s="208">
        <v>2020</v>
      </c>
      <c r="E869" s="208" t="s">
        <v>140</v>
      </c>
      <c r="F869" s="208" t="s">
        <v>136</v>
      </c>
      <c r="G869" s="208" t="s">
        <v>243</v>
      </c>
      <c r="H869" s="208">
        <v>7</v>
      </c>
      <c r="I869" s="208">
        <v>219</v>
      </c>
      <c r="J869" s="208">
        <v>16.260000000000002</v>
      </c>
      <c r="K869" s="208">
        <v>0</v>
      </c>
      <c r="L869" s="208">
        <v>172.73999999999998</v>
      </c>
      <c r="M869" s="208" t="s">
        <v>244</v>
      </c>
      <c r="N869" s="208">
        <v>-100</v>
      </c>
      <c r="O869" s="208">
        <v>360</v>
      </c>
      <c r="P869" s="208">
        <v>-99.97</v>
      </c>
      <c r="Q869" s="208">
        <v>103.54</v>
      </c>
    </row>
    <row r="870" spans="1:17">
      <c r="A870" s="218">
        <v>44196</v>
      </c>
      <c r="B870" s="208" t="s">
        <v>258</v>
      </c>
      <c r="C870" s="208" t="s">
        <v>8</v>
      </c>
      <c r="D870" s="208">
        <v>2019</v>
      </c>
      <c r="E870" s="208" t="s">
        <v>140</v>
      </c>
      <c r="F870" s="208" t="s">
        <v>136</v>
      </c>
      <c r="G870" s="208" t="s">
        <v>243</v>
      </c>
      <c r="H870" s="208">
        <v>3</v>
      </c>
      <c r="I870" s="208">
        <v>899</v>
      </c>
      <c r="J870" s="208">
        <v>14.14</v>
      </c>
      <c r="K870" s="208">
        <v>0</v>
      </c>
      <c r="L870" s="208">
        <v>22.5</v>
      </c>
      <c r="M870" s="208" t="s">
        <v>244</v>
      </c>
      <c r="N870" s="208">
        <v>-336</v>
      </c>
      <c r="O870" s="208">
        <v>370</v>
      </c>
      <c r="P870" s="208">
        <v>-150</v>
      </c>
      <c r="Q870" s="208">
        <v>150</v>
      </c>
    </row>
    <row r="871" spans="1:17">
      <c r="A871" s="218">
        <v>44196</v>
      </c>
      <c r="B871" s="208" t="s">
        <v>225</v>
      </c>
      <c r="C871" s="208" t="s">
        <v>8</v>
      </c>
      <c r="D871" s="208">
        <v>2019</v>
      </c>
      <c r="E871" s="208" t="s">
        <v>140</v>
      </c>
      <c r="F871" s="208" t="s">
        <v>136</v>
      </c>
      <c r="G871" s="208" t="s">
        <v>243</v>
      </c>
      <c r="H871" s="208">
        <v>176</v>
      </c>
      <c r="I871" s="208">
        <v>28988.040000000008</v>
      </c>
      <c r="J871" s="208">
        <v>757.39000000000158</v>
      </c>
      <c r="K871" s="208">
        <v>572.36</v>
      </c>
      <c r="L871" s="208">
        <v>22630.689999999991</v>
      </c>
      <c r="M871" s="208" t="s">
        <v>244</v>
      </c>
      <c r="N871" s="208">
        <v>-336</v>
      </c>
      <c r="O871" s="208">
        <v>370</v>
      </c>
      <c r="P871" s="208">
        <v>-150</v>
      </c>
      <c r="Q871" s="208">
        <v>150</v>
      </c>
    </row>
    <row r="872" spans="1:17">
      <c r="A872" s="218">
        <v>44196</v>
      </c>
      <c r="B872" s="208" t="s">
        <v>37</v>
      </c>
      <c r="C872" s="208" t="s">
        <v>8</v>
      </c>
      <c r="D872" s="208">
        <v>2019</v>
      </c>
      <c r="E872" s="208" t="s">
        <v>140</v>
      </c>
      <c r="F872" s="208" t="s">
        <v>136</v>
      </c>
      <c r="G872" s="208" t="s">
        <v>243</v>
      </c>
      <c r="H872" s="208">
        <v>176</v>
      </c>
      <c r="I872" s="208">
        <v>28988.040000000015</v>
      </c>
      <c r="J872" s="208">
        <v>757.39000000000192</v>
      </c>
      <c r="K872" s="208">
        <v>572.36</v>
      </c>
      <c r="L872" s="208">
        <v>22630.689999999995</v>
      </c>
      <c r="M872" s="208" t="s">
        <v>244</v>
      </c>
      <c r="N872" s="208">
        <v>-336</v>
      </c>
      <c r="O872" s="208">
        <v>370</v>
      </c>
      <c r="P872" s="208">
        <v>-150</v>
      </c>
      <c r="Q872" s="208">
        <v>150</v>
      </c>
    </row>
    <row r="873" spans="1:17">
      <c r="A873" s="218">
        <v>44196</v>
      </c>
      <c r="B873" s="208" t="s">
        <v>37</v>
      </c>
      <c r="C873" s="208" t="s">
        <v>8</v>
      </c>
      <c r="D873" s="208">
        <v>2020</v>
      </c>
      <c r="E873" s="208" t="s">
        <v>140</v>
      </c>
      <c r="F873" s="208" t="s">
        <v>136</v>
      </c>
      <c r="G873" s="208" t="s">
        <v>243</v>
      </c>
      <c r="H873" s="208">
        <v>139</v>
      </c>
      <c r="I873" s="208">
        <v>20690.080000000002</v>
      </c>
      <c r="J873" s="208">
        <v>9.4999999999999698</v>
      </c>
      <c r="K873" s="208">
        <v>449.97</v>
      </c>
      <c r="L873" s="208">
        <v>13513.26999999998</v>
      </c>
      <c r="M873" s="208" t="s">
        <v>244</v>
      </c>
      <c r="N873" s="208">
        <v>-100</v>
      </c>
      <c r="O873" s="208">
        <v>360</v>
      </c>
      <c r="P873" s="208">
        <v>-99.97</v>
      </c>
      <c r="Q873" s="208">
        <v>103.54</v>
      </c>
    </row>
    <row r="874" spans="1:17">
      <c r="A874" s="218">
        <v>44196</v>
      </c>
      <c r="B874" s="208" t="s">
        <v>35</v>
      </c>
      <c r="C874" s="208" t="s">
        <v>8</v>
      </c>
      <c r="D874" s="208">
        <v>2020</v>
      </c>
      <c r="E874" s="208" t="s">
        <v>140</v>
      </c>
      <c r="F874" s="208" t="s">
        <v>136</v>
      </c>
      <c r="G874" s="208" t="s">
        <v>243</v>
      </c>
      <c r="H874" s="208">
        <v>8</v>
      </c>
      <c r="I874" s="208">
        <v>1347.01</v>
      </c>
      <c r="J874" s="208">
        <v>0.24</v>
      </c>
      <c r="K874" s="208">
        <v>799.70000000000016</v>
      </c>
      <c r="L874" s="208">
        <v>383.96000000000004</v>
      </c>
      <c r="M874" s="208" t="s">
        <v>244</v>
      </c>
      <c r="N874" s="208">
        <v>-100</v>
      </c>
      <c r="O874" s="208">
        <v>360</v>
      </c>
      <c r="P874" s="208">
        <v>-99.97</v>
      </c>
      <c r="Q874" s="208">
        <v>103.54</v>
      </c>
    </row>
    <row r="875" spans="1:17">
      <c r="A875" s="218">
        <v>44196</v>
      </c>
      <c r="B875" s="208" t="s">
        <v>258</v>
      </c>
      <c r="C875" s="208" t="s">
        <v>8</v>
      </c>
      <c r="D875" s="208">
        <v>2020</v>
      </c>
      <c r="E875" s="208" t="s">
        <v>140</v>
      </c>
      <c r="F875" s="208" t="s">
        <v>136</v>
      </c>
      <c r="G875" s="208" t="s">
        <v>243</v>
      </c>
      <c r="H875" s="208">
        <v>5</v>
      </c>
      <c r="I875" s="208">
        <v>229</v>
      </c>
      <c r="J875" s="208">
        <v>27.060000000000002</v>
      </c>
      <c r="K875" s="208">
        <v>0</v>
      </c>
      <c r="L875" s="208">
        <v>201.94</v>
      </c>
      <c r="M875" s="208" t="s">
        <v>244</v>
      </c>
      <c r="N875" s="208">
        <v>-100</v>
      </c>
      <c r="O875" s="208">
        <v>360</v>
      </c>
      <c r="P875" s="208">
        <v>-99.97</v>
      </c>
      <c r="Q875" s="208">
        <v>103.54</v>
      </c>
    </row>
    <row r="876" spans="1:17">
      <c r="A876" s="218">
        <v>44196</v>
      </c>
      <c r="B876" s="208" t="s">
        <v>260</v>
      </c>
      <c r="C876" s="208" t="s">
        <v>8</v>
      </c>
      <c r="D876" s="208">
        <v>2020</v>
      </c>
      <c r="E876" s="208" t="s">
        <v>140</v>
      </c>
      <c r="F876" s="208" t="s">
        <v>136</v>
      </c>
      <c r="G876" s="208" t="s">
        <v>243</v>
      </c>
      <c r="H876" s="208">
        <v>7</v>
      </c>
      <c r="I876" s="208">
        <v>219</v>
      </c>
      <c r="J876" s="208">
        <v>16.260000000000002</v>
      </c>
      <c r="K876" s="208">
        <v>0</v>
      </c>
      <c r="L876" s="208">
        <v>172.73999999999998</v>
      </c>
      <c r="M876" s="208" t="s">
        <v>244</v>
      </c>
      <c r="N876" s="208">
        <v>-100</v>
      </c>
      <c r="O876" s="208">
        <v>360</v>
      </c>
      <c r="P876" s="208">
        <v>-99.97</v>
      </c>
      <c r="Q876" s="208">
        <v>103.54</v>
      </c>
    </row>
    <row r="877" spans="1:17">
      <c r="A877" s="218">
        <v>44196</v>
      </c>
      <c r="B877" s="208" t="s">
        <v>260</v>
      </c>
      <c r="C877" s="208" t="s">
        <v>8</v>
      </c>
      <c r="D877" s="208">
        <v>2019</v>
      </c>
      <c r="E877" s="208" t="s">
        <v>140</v>
      </c>
      <c r="F877" s="208" t="s">
        <v>136</v>
      </c>
      <c r="G877" s="208" t="s">
        <v>243</v>
      </c>
      <c r="H877" s="208">
        <v>3</v>
      </c>
      <c r="I877" s="208">
        <v>90</v>
      </c>
      <c r="J877" s="208">
        <v>5.2700000000000005</v>
      </c>
      <c r="K877" s="208">
        <v>0</v>
      </c>
      <c r="L877" s="208">
        <v>22.5</v>
      </c>
      <c r="M877" s="208" t="s">
        <v>244</v>
      </c>
      <c r="N877" s="208">
        <v>-336</v>
      </c>
      <c r="O877" s="208">
        <v>370</v>
      </c>
      <c r="P877" s="208">
        <v>-150</v>
      </c>
      <c r="Q877" s="208">
        <v>150</v>
      </c>
    </row>
    <row r="878" spans="1:17">
      <c r="A878" s="218">
        <v>44196</v>
      </c>
      <c r="B878" s="208" t="s">
        <v>31</v>
      </c>
      <c r="C878" s="208" t="s">
        <v>8</v>
      </c>
      <c r="D878" s="208">
        <v>2019</v>
      </c>
      <c r="E878" s="208" t="s">
        <v>140</v>
      </c>
      <c r="F878" s="208" t="s">
        <v>136</v>
      </c>
      <c r="G878" s="208" t="s">
        <v>243</v>
      </c>
      <c r="H878" s="208">
        <v>3</v>
      </c>
      <c r="I878" s="208">
        <v>899</v>
      </c>
      <c r="J878" s="208">
        <v>14.14</v>
      </c>
      <c r="K878" s="208">
        <v>0</v>
      </c>
      <c r="L878" s="208">
        <v>22.5</v>
      </c>
      <c r="M878" s="208" t="s">
        <v>244</v>
      </c>
      <c r="N878" s="208">
        <v>-336</v>
      </c>
      <c r="O878" s="208">
        <v>370</v>
      </c>
      <c r="P878" s="208">
        <v>-150</v>
      </c>
      <c r="Q878" s="208">
        <v>150</v>
      </c>
    </row>
    <row r="879" spans="1:17">
      <c r="A879" s="218">
        <v>44196</v>
      </c>
      <c r="B879" s="208" t="s">
        <v>261</v>
      </c>
      <c r="C879" s="208" t="s">
        <v>8</v>
      </c>
      <c r="D879" s="208">
        <v>2020</v>
      </c>
      <c r="E879" s="208" t="s">
        <v>140</v>
      </c>
      <c r="F879" s="208" t="s">
        <v>136</v>
      </c>
      <c r="G879" s="208" t="s">
        <v>243</v>
      </c>
      <c r="H879" s="208">
        <v>8</v>
      </c>
      <c r="I879" s="208">
        <v>1347.01</v>
      </c>
      <c r="J879" s="208">
        <v>0.24</v>
      </c>
      <c r="K879" s="208">
        <v>799.70000000000016</v>
      </c>
      <c r="L879" s="208">
        <v>383.96000000000004</v>
      </c>
      <c r="M879" s="208" t="s">
        <v>244</v>
      </c>
      <c r="N879" s="208">
        <v>-100</v>
      </c>
      <c r="O879" s="208">
        <v>360</v>
      </c>
      <c r="P879" s="208">
        <v>-99.97</v>
      </c>
      <c r="Q879" s="208">
        <v>103.54</v>
      </c>
    </row>
    <row r="880" spans="1:17">
      <c r="A880" s="218">
        <v>44196</v>
      </c>
      <c r="B880" s="208" t="s">
        <v>35</v>
      </c>
      <c r="C880" s="208" t="s">
        <v>8</v>
      </c>
      <c r="D880" s="208">
        <v>2019</v>
      </c>
      <c r="E880" s="208" t="s">
        <v>140</v>
      </c>
      <c r="F880" s="208" t="s">
        <v>136</v>
      </c>
      <c r="G880" s="208" t="s">
        <v>243</v>
      </c>
      <c r="H880" s="208">
        <v>1</v>
      </c>
      <c r="I880" s="208">
        <v>250</v>
      </c>
      <c r="J880" s="208">
        <v>1.7</v>
      </c>
      <c r="K880" s="208">
        <v>150</v>
      </c>
      <c r="L880" s="208">
        <v>50</v>
      </c>
      <c r="M880" s="208" t="s">
        <v>244</v>
      </c>
      <c r="N880" s="208">
        <v>-336</v>
      </c>
      <c r="O880" s="208">
        <v>370</v>
      </c>
      <c r="P880" s="208">
        <v>-150</v>
      </c>
      <c r="Q880" s="208">
        <v>150</v>
      </c>
    </row>
    <row r="881" spans="1:17">
      <c r="A881" s="218">
        <v>44196</v>
      </c>
      <c r="B881" s="208" t="s">
        <v>31</v>
      </c>
      <c r="C881" s="208" t="s">
        <v>8</v>
      </c>
      <c r="D881" s="208">
        <v>2020</v>
      </c>
      <c r="E881" s="208" t="s">
        <v>140</v>
      </c>
      <c r="F881" s="208" t="s">
        <v>136</v>
      </c>
      <c r="G881" s="208" t="s">
        <v>243</v>
      </c>
      <c r="H881" s="208">
        <v>5</v>
      </c>
      <c r="I881" s="208">
        <v>229</v>
      </c>
      <c r="J881" s="208">
        <v>27.059999999999995</v>
      </c>
      <c r="K881" s="208">
        <v>0</v>
      </c>
      <c r="L881" s="208">
        <v>201.94</v>
      </c>
      <c r="M881" s="208" t="s">
        <v>244</v>
      </c>
      <c r="N881" s="208">
        <v>-100</v>
      </c>
      <c r="O881" s="208">
        <v>360</v>
      </c>
      <c r="P881" s="208">
        <v>-99.97</v>
      </c>
      <c r="Q881" s="208">
        <v>103.54</v>
      </c>
    </row>
    <row r="882" spans="1:17">
      <c r="A882" s="218">
        <v>44196</v>
      </c>
      <c r="B882" s="208" t="s">
        <v>29</v>
      </c>
      <c r="C882" s="208" t="s">
        <v>8</v>
      </c>
      <c r="D882" s="208">
        <v>2019</v>
      </c>
      <c r="E882" s="208" t="s">
        <v>141</v>
      </c>
      <c r="F882" s="208" t="s">
        <v>136</v>
      </c>
      <c r="G882" s="208" t="s">
        <v>243</v>
      </c>
      <c r="H882" s="208">
        <v>669</v>
      </c>
      <c r="I882" s="208">
        <v>317853.92000000027</v>
      </c>
      <c r="J882" s="208">
        <v>6020.1600000000244</v>
      </c>
      <c r="K882" s="208">
        <v>52499.510000000089</v>
      </c>
      <c r="L882" s="208">
        <v>189502.64999999991</v>
      </c>
      <c r="M882" s="208" t="s">
        <v>244</v>
      </c>
      <c r="N882" s="208">
        <v>-1098</v>
      </c>
      <c r="O882" s="208">
        <v>1533</v>
      </c>
      <c r="P882" s="208">
        <v>-607.86</v>
      </c>
      <c r="Q882" s="208">
        <v>607.86</v>
      </c>
    </row>
    <row r="883" spans="1:17">
      <c r="A883" s="218">
        <v>44196</v>
      </c>
      <c r="B883" s="208" t="s">
        <v>43</v>
      </c>
      <c r="C883" s="208" t="s">
        <v>8</v>
      </c>
      <c r="D883" s="208">
        <v>2019</v>
      </c>
      <c r="E883" s="208" t="s">
        <v>141</v>
      </c>
      <c r="F883" s="208" t="s">
        <v>136</v>
      </c>
      <c r="G883" s="208" t="s">
        <v>243</v>
      </c>
      <c r="H883" s="208">
        <v>2</v>
      </c>
      <c r="I883" s="208">
        <v>1290.26</v>
      </c>
      <c r="J883" s="208">
        <v>28.28</v>
      </c>
      <c r="K883" s="208">
        <v>506.55</v>
      </c>
      <c r="L883" s="208">
        <v>607.86</v>
      </c>
      <c r="M883" s="208" t="s">
        <v>244</v>
      </c>
      <c r="N883" s="208">
        <v>-1098</v>
      </c>
      <c r="O883" s="208">
        <v>1533</v>
      </c>
      <c r="P883" s="208">
        <v>-607.86</v>
      </c>
      <c r="Q883" s="208">
        <v>607.86</v>
      </c>
    </row>
    <row r="884" spans="1:17">
      <c r="A884" s="218">
        <v>44196</v>
      </c>
      <c r="B884" s="208" t="s">
        <v>261</v>
      </c>
      <c r="C884" s="208" t="s">
        <v>8</v>
      </c>
      <c r="D884" s="208">
        <v>2019</v>
      </c>
      <c r="E884" s="208" t="s">
        <v>141</v>
      </c>
      <c r="F884" s="208" t="s">
        <v>136</v>
      </c>
      <c r="G884" s="208" t="s">
        <v>243</v>
      </c>
      <c r="H884" s="208">
        <v>1</v>
      </c>
      <c r="I884" s="208">
        <v>342</v>
      </c>
      <c r="J884" s="208">
        <v>6.1</v>
      </c>
      <c r="K884" s="208">
        <v>0</v>
      </c>
      <c r="L884" s="208">
        <v>335.9</v>
      </c>
      <c r="M884" s="208" t="s">
        <v>244</v>
      </c>
      <c r="N884" s="208">
        <v>-1098</v>
      </c>
      <c r="O884" s="208">
        <v>1533</v>
      </c>
      <c r="P884" s="208">
        <v>-607.86</v>
      </c>
      <c r="Q884" s="208">
        <v>607.86</v>
      </c>
    </row>
    <row r="885" spans="1:17">
      <c r="A885" s="218">
        <v>44196</v>
      </c>
      <c r="B885" s="208" t="s">
        <v>35</v>
      </c>
      <c r="C885" s="208" t="s">
        <v>8</v>
      </c>
      <c r="D885" s="208">
        <v>2019</v>
      </c>
      <c r="E885" s="208" t="s">
        <v>141</v>
      </c>
      <c r="F885" s="208" t="s">
        <v>136</v>
      </c>
      <c r="G885" s="208" t="s">
        <v>243</v>
      </c>
      <c r="H885" s="208">
        <v>1</v>
      </c>
      <c r="I885" s="208">
        <v>342</v>
      </c>
      <c r="J885" s="208">
        <v>6.1</v>
      </c>
      <c r="K885" s="208">
        <v>0</v>
      </c>
      <c r="L885" s="208">
        <v>335.9</v>
      </c>
      <c r="M885" s="208" t="s">
        <v>244</v>
      </c>
      <c r="N885" s="208">
        <v>-1098</v>
      </c>
      <c r="O885" s="208">
        <v>1533</v>
      </c>
      <c r="P885" s="208">
        <v>-607.86</v>
      </c>
      <c r="Q885" s="208">
        <v>607.86</v>
      </c>
    </row>
    <row r="886" spans="1:17">
      <c r="A886" s="218">
        <v>44196</v>
      </c>
      <c r="B886" s="208" t="s">
        <v>35</v>
      </c>
      <c r="C886" s="208" t="s">
        <v>8</v>
      </c>
      <c r="D886" s="208">
        <v>2020</v>
      </c>
      <c r="E886" s="208" t="s">
        <v>141</v>
      </c>
      <c r="F886" s="208" t="s">
        <v>136</v>
      </c>
      <c r="G886" s="208" t="s">
        <v>243</v>
      </c>
      <c r="H886" s="208">
        <v>3</v>
      </c>
      <c r="I886" s="208">
        <v>1230</v>
      </c>
      <c r="J886" s="208">
        <v>0.27</v>
      </c>
      <c r="K886" s="208">
        <v>0</v>
      </c>
      <c r="L886" s="208">
        <v>1028.4000000000001</v>
      </c>
      <c r="M886" s="208" t="s">
        <v>244</v>
      </c>
      <c r="N886" s="208">
        <v>-550</v>
      </c>
      <c r="O886" s="208">
        <v>1442</v>
      </c>
      <c r="P886" s="208">
        <v>-549.91</v>
      </c>
      <c r="Q886" s="208">
        <v>617.04</v>
      </c>
    </row>
    <row r="887" spans="1:17">
      <c r="A887" s="218">
        <v>44196</v>
      </c>
      <c r="B887" s="208" t="s">
        <v>259</v>
      </c>
      <c r="C887" s="208" t="s">
        <v>8</v>
      </c>
      <c r="D887" s="208">
        <v>2019</v>
      </c>
      <c r="E887" s="208" t="s">
        <v>141</v>
      </c>
      <c r="F887" s="208" t="s">
        <v>136</v>
      </c>
      <c r="G887" s="208" t="s">
        <v>243</v>
      </c>
      <c r="H887" s="208">
        <v>212</v>
      </c>
      <c r="I887" s="208">
        <v>107866.09999999998</v>
      </c>
      <c r="J887" s="208">
        <v>1932.5100000000007</v>
      </c>
      <c r="K887" s="208">
        <v>1775.0900000000001</v>
      </c>
      <c r="L887" s="208">
        <v>87896.529999999941</v>
      </c>
      <c r="M887" s="208" t="s">
        <v>244</v>
      </c>
      <c r="N887" s="208">
        <v>-1098</v>
      </c>
      <c r="O887" s="208">
        <v>1533</v>
      </c>
      <c r="P887" s="208">
        <v>-607.86</v>
      </c>
      <c r="Q887" s="208">
        <v>607.86</v>
      </c>
    </row>
    <row r="888" spans="1:17">
      <c r="A888" s="218">
        <v>44196</v>
      </c>
      <c r="B888" s="208" t="s">
        <v>259</v>
      </c>
      <c r="C888" s="208" t="s">
        <v>8</v>
      </c>
      <c r="D888" s="208">
        <v>2020</v>
      </c>
      <c r="E888" s="208" t="s">
        <v>141</v>
      </c>
      <c r="F888" s="208" t="s">
        <v>136</v>
      </c>
      <c r="G888" s="208" t="s">
        <v>243</v>
      </c>
      <c r="H888" s="208">
        <v>189</v>
      </c>
      <c r="I888" s="208">
        <v>93242.590000000055</v>
      </c>
      <c r="J888" s="208">
        <v>61.530000000000037</v>
      </c>
      <c r="K888" s="208">
        <v>1047.73</v>
      </c>
      <c r="L888" s="208">
        <v>80485.400000000125</v>
      </c>
      <c r="M888" s="208" t="s">
        <v>244</v>
      </c>
      <c r="N888" s="208">
        <v>-550</v>
      </c>
      <c r="O888" s="208">
        <v>1442</v>
      </c>
      <c r="P888" s="208">
        <v>-549.91</v>
      </c>
      <c r="Q888" s="208">
        <v>617.04</v>
      </c>
    </row>
    <row r="889" spans="1:17">
      <c r="A889" s="218">
        <v>44196</v>
      </c>
      <c r="B889" s="208" t="s">
        <v>260</v>
      </c>
      <c r="C889" s="208" t="s">
        <v>8</v>
      </c>
      <c r="D889" s="208">
        <v>2019</v>
      </c>
      <c r="E889" s="208" t="s">
        <v>141</v>
      </c>
      <c r="F889" s="208" t="s">
        <v>136</v>
      </c>
      <c r="G889" s="208" t="s">
        <v>243</v>
      </c>
      <c r="H889" s="208">
        <v>669</v>
      </c>
      <c r="I889" s="208">
        <v>317853.92000000004</v>
      </c>
      <c r="J889" s="208">
        <v>6020.1600000000235</v>
      </c>
      <c r="K889" s="208">
        <v>52499.510000000089</v>
      </c>
      <c r="L889" s="208">
        <v>189502.64999999988</v>
      </c>
      <c r="M889" s="208" t="s">
        <v>244</v>
      </c>
      <c r="N889" s="208">
        <v>-1098</v>
      </c>
      <c r="O889" s="208">
        <v>1533</v>
      </c>
      <c r="P889" s="208">
        <v>-607.86</v>
      </c>
      <c r="Q889" s="208">
        <v>607.86</v>
      </c>
    </row>
    <row r="890" spans="1:17">
      <c r="A890" s="218">
        <v>44196</v>
      </c>
      <c r="B890" s="208" t="s">
        <v>260</v>
      </c>
      <c r="C890" s="208" t="s">
        <v>8</v>
      </c>
      <c r="D890" s="208">
        <v>2020</v>
      </c>
      <c r="E890" s="208" t="s">
        <v>141</v>
      </c>
      <c r="F890" s="208" t="s">
        <v>136</v>
      </c>
      <c r="G890" s="208" t="s">
        <v>243</v>
      </c>
      <c r="H890" s="208">
        <v>478</v>
      </c>
      <c r="I890" s="208">
        <v>248778.36999999997</v>
      </c>
      <c r="J890" s="208">
        <v>198.78000000000125</v>
      </c>
      <c r="K890" s="208">
        <v>38076.490000000013</v>
      </c>
      <c r="L890" s="208">
        <v>152670.50999999998</v>
      </c>
      <c r="M890" s="208" t="s">
        <v>244</v>
      </c>
      <c r="N890" s="208">
        <v>-550</v>
      </c>
      <c r="O890" s="208">
        <v>1442</v>
      </c>
      <c r="P890" s="208">
        <v>-549.91</v>
      </c>
      <c r="Q890" s="208">
        <v>617.04</v>
      </c>
    </row>
    <row r="891" spans="1:17">
      <c r="A891" s="218">
        <v>44196</v>
      </c>
      <c r="B891" s="208" t="s">
        <v>31</v>
      </c>
      <c r="C891" s="208" t="s">
        <v>8</v>
      </c>
      <c r="D891" s="208">
        <v>2020</v>
      </c>
      <c r="E891" s="208" t="s">
        <v>141</v>
      </c>
      <c r="F891" s="208" t="s">
        <v>136</v>
      </c>
      <c r="G891" s="208" t="s">
        <v>243</v>
      </c>
      <c r="H891" s="208">
        <v>409</v>
      </c>
      <c r="I891" s="208">
        <v>197275.17999999991</v>
      </c>
      <c r="J891" s="208">
        <v>349.30999999999796</v>
      </c>
      <c r="K891" s="208">
        <v>26790.349999999984</v>
      </c>
      <c r="L891" s="208">
        <v>74818.329999999856</v>
      </c>
      <c r="M891" s="208" t="s">
        <v>244</v>
      </c>
      <c r="N891" s="208">
        <v>-550</v>
      </c>
      <c r="O891" s="208">
        <v>1442</v>
      </c>
      <c r="P891" s="208">
        <v>-549.91</v>
      </c>
      <c r="Q891" s="208">
        <v>617.04</v>
      </c>
    </row>
    <row r="892" spans="1:17">
      <c r="A892" s="218">
        <v>44196</v>
      </c>
      <c r="B892" s="208" t="s">
        <v>267</v>
      </c>
      <c r="C892" s="208" t="s">
        <v>8</v>
      </c>
      <c r="D892" s="208">
        <v>2019</v>
      </c>
      <c r="E892" s="208" t="s">
        <v>141</v>
      </c>
      <c r="F892" s="208" t="s">
        <v>136</v>
      </c>
      <c r="G892" s="208" t="s">
        <v>243</v>
      </c>
      <c r="H892" s="208">
        <v>2</v>
      </c>
      <c r="I892" s="208">
        <v>738</v>
      </c>
      <c r="J892" s="208">
        <v>8.8800000000000008</v>
      </c>
      <c r="K892" s="208">
        <v>270.16000000000003</v>
      </c>
      <c r="L892" s="208">
        <v>337.70000000000005</v>
      </c>
      <c r="M892" s="208" t="s">
        <v>244</v>
      </c>
      <c r="N892" s="208">
        <v>-1098</v>
      </c>
      <c r="O892" s="208">
        <v>1533</v>
      </c>
      <c r="P892" s="208">
        <v>-607.86</v>
      </c>
      <c r="Q892" s="208">
        <v>607.86</v>
      </c>
    </row>
    <row r="893" spans="1:17">
      <c r="A893" s="218">
        <v>44196</v>
      </c>
      <c r="B893" s="208" t="s">
        <v>29</v>
      </c>
      <c r="C893" s="208" t="s">
        <v>8</v>
      </c>
      <c r="D893" s="208">
        <v>2020</v>
      </c>
      <c r="E893" s="208" t="s">
        <v>141</v>
      </c>
      <c r="F893" s="208" t="s">
        <v>136</v>
      </c>
      <c r="G893" s="208" t="s">
        <v>243</v>
      </c>
      <c r="H893" s="208">
        <v>478</v>
      </c>
      <c r="I893" s="208">
        <v>248778.37000000005</v>
      </c>
      <c r="J893" s="208">
        <v>198.78000000000131</v>
      </c>
      <c r="K893" s="208">
        <v>38076.490000000013</v>
      </c>
      <c r="L893" s="208">
        <v>152670.50999999989</v>
      </c>
      <c r="M893" s="208" t="s">
        <v>244</v>
      </c>
      <c r="N893" s="208">
        <v>-550</v>
      </c>
      <c r="O893" s="208">
        <v>1442</v>
      </c>
      <c r="P893" s="208">
        <v>-549.91</v>
      </c>
      <c r="Q893" s="208">
        <v>617.04</v>
      </c>
    </row>
    <row r="894" spans="1:17">
      <c r="A894" s="218">
        <v>44196</v>
      </c>
      <c r="B894" s="208" t="s">
        <v>262</v>
      </c>
      <c r="C894" s="208" t="s">
        <v>8</v>
      </c>
      <c r="D894" s="208">
        <v>2019</v>
      </c>
      <c r="E894" s="208" t="s">
        <v>141</v>
      </c>
      <c r="F894" s="208" t="s">
        <v>136</v>
      </c>
      <c r="G894" s="208" t="s">
        <v>243</v>
      </c>
      <c r="H894" s="208">
        <v>2</v>
      </c>
      <c r="I894" s="208">
        <v>1290.26</v>
      </c>
      <c r="J894" s="208">
        <v>28.28</v>
      </c>
      <c r="K894" s="208">
        <v>506.55</v>
      </c>
      <c r="L894" s="208">
        <v>607.86</v>
      </c>
      <c r="M894" s="208" t="s">
        <v>244</v>
      </c>
      <c r="N894" s="208">
        <v>-1098</v>
      </c>
      <c r="O894" s="208">
        <v>1533</v>
      </c>
      <c r="P894" s="208">
        <v>-607.86</v>
      </c>
      <c r="Q894" s="208">
        <v>607.86</v>
      </c>
    </row>
    <row r="895" spans="1:17">
      <c r="A895" s="218">
        <v>44196</v>
      </c>
      <c r="B895" s="208" t="s">
        <v>261</v>
      </c>
      <c r="C895" s="208" t="s">
        <v>8</v>
      </c>
      <c r="D895" s="208">
        <v>2020</v>
      </c>
      <c r="E895" s="208" t="s">
        <v>141</v>
      </c>
      <c r="F895" s="208" t="s">
        <v>136</v>
      </c>
      <c r="G895" s="208" t="s">
        <v>243</v>
      </c>
      <c r="H895" s="208">
        <v>3</v>
      </c>
      <c r="I895" s="208">
        <v>1230</v>
      </c>
      <c r="J895" s="208">
        <v>0.27</v>
      </c>
      <c r="K895" s="208">
        <v>0</v>
      </c>
      <c r="L895" s="208">
        <v>1028.4000000000001</v>
      </c>
      <c r="M895" s="208" t="s">
        <v>244</v>
      </c>
      <c r="N895" s="208">
        <v>-550</v>
      </c>
      <c r="O895" s="208">
        <v>1442</v>
      </c>
      <c r="P895" s="208">
        <v>-549.91</v>
      </c>
      <c r="Q895" s="208">
        <v>617.04</v>
      </c>
    </row>
    <row r="896" spans="1:17">
      <c r="A896" s="218">
        <v>44196</v>
      </c>
      <c r="B896" s="208" t="s">
        <v>36</v>
      </c>
      <c r="C896" s="208" t="s">
        <v>8</v>
      </c>
      <c r="D896" s="208">
        <v>2019</v>
      </c>
      <c r="E896" s="208" t="s">
        <v>141</v>
      </c>
      <c r="F896" s="208" t="s">
        <v>136</v>
      </c>
      <c r="G896" s="208" t="s">
        <v>243</v>
      </c>
      <c r="H896" s="208">
        <v>212</v>
      </c>
      <c r="I896" s="208">
        <v>107866.1</v>
      </c>
      <c r="J896" s="208">
        <v>1932.5100000000011</v>
      </c>
      <c r="K896" s="208">
        <v>1775.0900000000001</v>
      </c>
      <c r="L896" s="208">
        <v>87896.529999999912</v>
      </c>
      <c r="M896" s="208" t="s">
        <v>244</v>
      </c>
      <c r="N896" s="208">
        <v>-1098</v>
      </c>
      <c r="O896" s="208">
        <v>1533</v>
      </c>
      <c r="P896" s="208">
        <v>-607.86</v>
      </c>
      <c r="Q896" s="208">
        <v>607.86</v>
      </c>
    </row>
    <row r="897" spans="1:17">
      <c r="A897" s="218">
        <v>44196</v>
      </c>
      <c r="B897" s="208" t="s">
        <v>31</v>
      </c>
      <c r="C897" s="208" t="s">
        <v>8</v>
      </c>
      <c r="D897" s="208">
        <v>2019</v>
      </c>
      <c r="E897" s="208" t="s">
        <v>141</v>
      </c>
      <c r="F897" s="208" t="s">
        <v>136</v>
      </c>
      <c r="G897" s="208" t="s">
        <v>243</v>
      </c>
      <c r="H897" s="208">
        <v>483</v>
      </c>
      <c r="I897" s="208">
        <v>214165.84999999983</v>
      </c>
      <c r="J897" s="208">
        <v>4236.1599999999899</v>
      </c>
      <c r="K897" s="208">
        <v>29505.500000000033</v>
      </c>
      <c r="L897" s="208">
        <v>81641.050000000017</v>
      </c>
      <c r="M897" s="208" t="s">
        <v>244</v>
      </c>
      <c r="N897" s="208">
        <v>-1098</v>
      </c>
      <c r="O897" s="208">
        <v>1533</v>
      </c>
      <c r="P897" s="208">
        <v>-607.86</v>
      </c>
      <c r="Q897" s="208">
        <v>607.86</v>
      </c>
    </row>
    <row r="898" spans="1:17">
      <c r="A898" s="218">
        <v>44196</v>
      </c>
      <c r="B898" s="208" t="s">
        <v>258</v>
      </c>
      <c r="C898" s="208" t="s">
        <v>8</v>
      </c>
      <c r="D898" s="208">
        <v>2019</v>
      </c>
      <c r="E898" s="208" t="s">
        <v>141</v>
      </c>
      <c r="F898" s="208" t="s">
        <v>136</v>
      </c>
      <c r="G898" s="208" t="s">
        <v>243</v>
      </c>
      <c r="H898" s="208">
        <v>483</v>
      </c>
      <c r="I898" s="208">
        <v>214165.84999999977</v>
      </c>
      <c r="J898" s="208">
        <v>4236.1599999999899</v>
      </c>
      <c r="K898" s="208">
        <v>29505.500000000033</v>
      </c>
      <c r="L898" s="208">
        <v>81641.049999999988</v>
      </c>
      <c r="M898" s="208" t="s">
        <v>244</v>
      </c>
      <c r="N898" s="208">
        <v>-1098</v>
      </c>
      <c r="O898" s="208">
        <v>1533</v>
      </c>
      <c r="P898" s="208">
        <v>-607.86</v>
      </c>
      <c r="Q898" s="208">
        <v>607.86</v>
      </c>
    </row>
    <row r="899" spans="1:17">
      <c r="A899" s="218">
        <v>44196</v>
      </c>
      <c r="B899" s="208" t="s">
        <v>45</v>
      </c>
      <c r="C899" s="208" t="s">
        <v>8</v>
      </c>
      <c r="D899" s="208">
        <v>2019</v>
      </c>
      <c r="E899" s="208" t="s">
        <v>141</v>
      </c>
      <c r="F899" s="208" t="s">
        <v>136</v>
      </c>
      <c r="G899" s="208" t="s">
        <v>243</v>
      </c>
      <c r="H899" s="208">
        <v>2</v>
      </c>
      <c r="I899" s="208">
        <v>738</v>
      </c>
      <c r="J899" s="208">
        <v>8.8800000000000008</v>
      </c>
      <c r="K899" s="208">
        <v>270.16000000000003</v>
      </c>
      <c r="L899" s="208">
        <v>337.70000000000005</v>
      </c>
      <c r="M899" s="208" t="s">
        <v>244</v>
      </c>
      <c r="N899" s="208">
        <v>-1098</v>
      </c>
      <c r="O899" s="208">
        <v>1533</v>
      </c>
      <c r="P899" s="208">
        <v>-607.86</v>
      </c>
      <c r="Q899" s="208">
        <v>607.86</v>
      </c>
    </row>
    <row r="900" spans="1:17">
      <c r="A900" s="218">
        <v>44196</v>
      </c>
      <c r="B900" s="208" t="s">
        <v>258</v>
      </c>
      <c r="C900" s="208" t="s">
        <v>8</v>
      </c>
      <c r="D900" s="208">
        <v>2020</v>
      </c>
      <c r="E900" s="208" t="s">
        <v>141</v>
      </c>
      <c r="F900" s="208" t="s">
        <v>136</v>
      </c>
      <c r="G900" s="208" t="s">
        <v>243</v>
      </c>
      <c r="H900" s="208">
        <v>409</v>
      </c>
      <c r="I900" s="208">
        <v>197275.17999999993</v>
      </c>
      <c r="J900" s="208">
        <v>349.30999999999659</v>
      </c>
      <c r="K900" s="208">
        <v>26790.349999999977</v>
      </c>
      <c r="L900" s="208">
        <v>74818.329999999871</v>
      </c>
      <c r="M900" s="208" t="s">
        <v>244</v>
      </c>
      <c r="N900" s="208">
        <v>-550</v>
      </c>
      <c r="O900" s="208">
        <v>1442</v>
      </c>
      <c r="P900" s="208">
        <v>-549.91</v>
      </c>
      <c r="Q900" s="208">
        <v>617.04</v>
      </c>
    </row>
    <row r="901" spans="1:17">
      <c r="A901" s="218">
        <v>44196</v>
      </c>
      <c r="B901" s="208" t="s">
        <v>36</v>
      </c>
      <c r="C901" s="208" t="s">
        <v>8</v>
      </c>
      <c r="D901" s="208">
        <v>2020</v>
      </c>
      <c r="E901" s="208" t="s">
        <v>141</v>
      </c>
      <c r="F901" s="208" t="s">
        <v>136</v>
      </c>
      <c r="G901" s="208" t="s">
        <v>243</v>
      </c>
      <c r="H901" s="208">
        <v>189</v>
      </c>
      <c r="I901" s="208">
        <v>93242.589999999953</v>
      </c>
      <c r="J901" s="208">
        <v>61.530000000000392</v>
      </c>
      <c r="K901" s="208">
        <v>1047.73</v>
      </c>
      <c r="L901" s="208">
        <v>80485.400000000111</v>
      </c>
      <c r="M901" s="208" t="s">
        <v>244</v>
      </c>
      <c r="N901" s="208">
        <v>-550</v>
      </c>
      <c r="O901" s="208">
        <v>1442</v>
      </c>
      <c r="P901" s="208">
        <v>-549.91</v>
      </c>
      <c r="Q901" s="208">
        <v>617.04</v>
      </c>
    </row>
    <row r="902" spans="1:17">
      <c r="A902" s="218">
        <v>44196</v>
      </c>
      <c r="B902" s="208" t="s">
        <v>258</v>
      </c>
      <c r="C902" s="208" t="s">
        <v>8</v>
      </c>
      <c r="D902" s="208">
        <v>2020</v>
      </c>
      <c r="E902" s="208" t="s">
        <v>142</v>
      </c>
      <c r="F902" s="208" t="s">
        <v>136</v>
      </c>
      <c r="G902" s="208" t="s">
        <v>243</v>
      </c>
      <c r="H902" s="208">
        <v>51</v>
      </c>
      <c r="I902" s="208">
        <v>15261.370000000004</v>
      </c>
      <c r="J902" s="208">
        <v>21.659999999999989</v>
      </c>
      <c r="K902" s="208">
        <v>2343.88</v>
      </c>
      <c r="L902" s="208">
        <v>5336.1199999999963</v>
      </c>
      <c r="M902" s="208" t="s">
        <v>244</v>
      </c>
      <c r="N902" s="208">
        <v>-314.44</v>
      </c>
      <c r="O902" s="208">
        <v>643</v>
      </c>
      <c r="P902" s="208">
        <v>-205.68</v>
      </c>
      <c r="Q902" s="208">
        <v>274.24</v>
      </c>
    </row>
    <row r="903" spans="1:17">
      <c r="A903" s="218">
        <v>44196</v>
      </c>
      <c r="B903" s="208" t="s">
        <v>29</v>
      </c>
      <c r="C903" s="208" t="s">
        <v>8</v>
      </c>
      <c r="D903" s="208">
        <v>2020</v>
      </c>
      <c r="E903" s="208" t="s">
        <v>142</v>
      </c>
      <c r="F903" s="208" t="s">
        <v>136</v>
      </c>
      <c r="G903" s="208" t="s">
        <v>243</v>
      </c>
      <c r="H903" s="208">
        <v>109</v>
      </c>
      <c r="I903" s="208">
        <v>30716.900000000009</v>
      </c>
      <c r="J903" s="208">
        <v>28.439999999999984</v>
      </c>
      <c r="K903" s="208">
        <v>3187.8599999999997</v>
      </c>
      <c r="L903" s="208">
        <v>19273.260000000013</v>
      </c>
      <c r="M903" s="208" t="s">
        <v>244</v>
      </c>
      <c r="N903" s="208">
        <v>-314.44</v>
      </c>
      <c r="O903" s="208">
        <v>643</v>
      </c>
      <c r="P903" s="208">
        <v>-205.68</v>
      </c>
      <c r="Q903" s="208">
        <v>274.24</v>
      </c>
    </row>
    <row r="904" spans="1:17">
      <c r="A904" s="218">
        <v>44196</v>
      </c>
      <c r="B904" s="208" t="s">
        <v>31</v>
      </c>
      <c r="C904" s="208" t="s">
        <v>8</v>
      </c>
      <c r="D904" s="208">
        <v>2019</v>
      </c>
      <c r="E904" s="208" t="s">
        <v>142</v>
      </c>
      <c r="F904" s="208" t="s">
        <v>136</v>
      </c>
      <c r="G904" s="208" t="s">
        <v>243</v>
      </c>
      <c r="H904" s="208">
        <v>104</v>
      </c>
      <c r="I904" s="208">
        <v>28997.799999999996</v>
      </c>
      <c r="J904" s="208">
        <v>3285.43</v>
      </c>
      <c r="K904" s="208">
        <v>4582.4399999999996</v>
      </c>
      <c r="L904" s="208">
        <v>9745.3300000000054</v>
      </c>
      <c r="M904" s="208" t="s">
        <v>244</v>
      </c>
      <c r="N904" s="208">
        <v>-475</v>
      </c>
      <c r="O904" s="208">
        <v>800</v>
      </c>
      <c r="P904" s="208">
        <v>-270.16000000000003</v>
      </c>
      <c r="Q904" s="208">
        <v>375.44</v>
      </c>
    </row>
    <row r="905" spans="1:17">
      <c r="A905" s="218">
        <v>44196</v>
      </c>
      <c r="B905" s="208" t="s">
        <v>259</v>
      </c>
      <c r="C905" s="208" t="s">
        <v>8</v>
      </c>
      <c r="D905" s="208">
        <v>2019</v>
      </c>
      <c r="E905" s="208" t="s">
        <v>142</v>
      </c>
      <c r="F905" s="208" t="s">
        <v>136</v>
      </c>
      <c r="G905" s="208" t="s">
        <v>243</v>
      </c>
      <c r="H905" s="208">
        <v>52</v>
      </c>
      <c r="I905" s="208">
        <v>15799.3</v>
      </c>
      <c r="J905" s="208">
        <v>1715.5000000000009</v>
      </c>
      <c r="K905" s="208">
        <v>708.42</v>
      </c>
      <c r="L905" s="208">
        <v>12353.750000000002</v>
      </c>
      <c r="M905" s="208" t="s">
        <v>244</v>
      </c>
      <c r="N905" s="208">
        <v>-475</v>
      </c>
      <c r="O905" s="208">
        <v>800</v>
      </c>
      <c r="P905" s="208">
        <v>-270.16000000000003</v>
      </c>
      <c r="Q905" s="208">
        <v>375.44</v>
      </c>
    </row>
    <row r="906" spans="1:17">
      <c r="A906" s="218">
        <v>44196</v>
      </c>
      <c r="B906" s="208" t="s">
        <v>36</v>
      </c>
      <c r="C906" s="208" t="s">
        <v>8</v>
      </c>
      <c r="D906" s="208">
        <v>2019</v>
      </c>
      <c r="E906" s="208" t="s">
        <v>142</v>
      </c>
      <c r="F906" s="208" t="s">
        <v>136</v>
      </c>
      <c r="G906" s="208" t="s">
        <v>243</v>
      </c>
      <c r="H906" s="208">
        <v>52</v>
      </c>
      <c r="I906" s="208">
        <v>15799.3</v>
      </c>
      <c r="J906" s="208">
        <v>1715.5000000000011</v>
      </c>
      <c r="K906" s="208">
        <v>708.42</v>
      </c>
      <c r="L906" s="208">
        <v>12353.749999999998</v>
      </c>
      <c r="M906" s="208" t="s">
        <v>244</v>
      </c>
      <c r="N906" s="208">
        <v>-475</v>
      </c>
      <c r="O906" s="208">
        <v>800</v>
      </c>
      <c r="P906" s="208">
        <v>-270.16000000000003</v>
      </c>
      <c r="Q906" s="208">
        <v>375.44</v>
      </c>
    </row>
    <row r="907" spans="1:17">
      <c r="A907" s="218">
        <v>44196</v>
      </c>
      <c r="B907" s="208" t="s">
        <v>259</v>
      </c>
      <c r="C907" s="208" t="s">
        <v>8</v>
      </c>
      <c r="D907" s="208">
        <v>2020</v>
      </c>
      <c r="E907" s="208" t="s">
        <v>142</v>
      </c>
      <c r="F907" s="208" t="s">
        <v>136</v>
      </c>
      <c r="G907" s="208" t="s">
        <v>243</v>
      </c>
      <c r="H907" s="208">
        <v>38</v>
      </c>
      <c r="I907" s="208">
        <v>11405.009999999998</v>
      </c>
      <c r="J907" s="208">
        <v>3.3899999999999983</v>
      </c>
      <c r="K907" s="208">
        <v>479.82</v>
      </c>
      <c r="L907" s="208">
        <v>9596.8399999999947</v>
      </c>
      <c r="M907" s="208" t="s">
        <v>244</v>
      </c>
      <c r="N907" s="208">
        <v>-314.44</v>
      </c>
      <c r="O907" s="208">
        <v>643</v>
      </c>
      <c r="P907" s="208">
        <v>-205.68</v>
      </c>
      <c r="Q907" s="208">
        <v>274.24</v>
      </c>
    </row>
    <row r="908" spans="1:17">
      <c r="A908" s="218">
        <v>44196</v>
      </c>
      <c r="B908" s="208" t="s">
        <v>258</v>
      </c>
      <c r="C908" s="208" t="s">
        <v>8</v>
      </c>
      <c r="D908" s="208">
        <v>2019</v>
      </c>
      <c r="E908" s="208" t="s">
        <v>142</v>
      </c>
      <c r="F908" s="208" t="s">
        <v>136</v>
      </c>
      <c r="G908" s="208" t="s">
        <v>243</v>
      </c>
      <c r="H908" s="208">
        <v>104</v>
      </c>
      <c r="I908" s="208">
        <v>28997.799999999996</v>
      </c>
      <c r="J908" s="208">
        <v>3285.4300000000003</v>
      </c>
      <c r="K908" s="208">
        <v>4582.4399999999996</v>
      </c>
      <c r="L908" s="208">
        <v>9745.3300000000036</v>
      </c>
      <c r="M908" s="208" t="s">
        <v>244</v>
      </c>
      <c r="N908" s="208">
        <v>-475</v>
      </c>
      <c r="O908" s="208">
        <v>800</v>
      </c>
      <c r="P908" s="208">
        <v>-270.16000000000003</v>
      </c>
      <c r="Q908" s="208">
        <v>375.44</v>
      </c>
    </row>
    <row r="909" spans="1:17">
      <c r="A909" s="218">
        <v>44196</v>
      </c>
      <c r="B909" s="208" t="s">
        <v>36</v>
      </c>
      <c r="C909" s="208" t="s">
        <v>8</v>
      </c>
      <c r="D909" s="208">
        <v>2020</v>
      </c>
      <c r="E909" s="208" t="s">
        <v>142</v>
      </c>
      <c r="F909" s="208" t="s">
        <v>136</v>
      </c>
      <c r="G909" s="208" t="s">
        <v>243</v>
      </c>
      <c r="H909" s="208">
        <v>38</v>
      </c>
      <c r="I909" s="208">
        <v>11405.009999999997</v>
      </c>
      <c r="J909" s="208">
        <v>3.3899999999999983</v>
      </c>
      <c r="K909" s="208">
        <v>479.82</v>
      </c>
      <c r="L909" s="208">
        <v>9596.8399999999947</v>
      </c>
      <c r="M909" s="208" t="s">
        <v>244</v>
      </c>
      <c r="N909" s="208">
        <v>-314.44</v>
      </c>
      <c r="O909" s="208">
        <v>643</v>
      </c>
      <c r="P909" s="208">
        <v>-205.68</v>
      </c>
      <c r="Q909" s="208">
        <v>274.24</v>
      </c>
    </row>
    <row r="910" spans="1:17">
      <c r="A910" s="218">
        <v>44196</v>
      </c>
      <c r="B910" s="208" t="s">
        <v>260</v>
      </c>
      <c r="C910" s="208" t="s">
        <v>8</v>
      </c>
      <c r="D910" s="208">
        <v>2020</v>
      </c>
      <c r="E910" s="208" t="s">
        <v>142</v>
      </c>
      <c r="F910" s="208" t="s">
        <v>136</v>
      </c>
      <c r="G910" s="208" t="s">
        <v>243</v>
      </c>
      <c r="H910" s="208">
        <v>109</v>
      </c>
      <c r="I910" s="208">
        <v>30716.900000000005</v>
      </c>
      <c r="J910" s="208">
        <v>28.439999999999987</v>
      </c>
      <c r="K910" s="208">
        <v>3187.8599999999997</v>
      </c>
      <c r="L910" s="208">
        <v>19273.260000000013</v>
      </c>
      <c r="M910" s="208" t="s">
        <v>244</v>
      </c>
      <c r="N910" s="208">
        <v>-314.44</v>
      </c>
      <c r="O910" s="208">
        <v>643</v>
      </c>
      <c r="P910" s="208">
        <v>-205.68</v>
      </c>
      <c r="Q910" s="208">
        <v>274.24</v>
      </c>
    </row>
    <row r="911" spans="1:17">
      <c r="A911" s="218">
        <v>44196</v>
      </c>
      <c r="B911" s="208" t="s">
        <v>260</v>
      </c>
      <c r="C911" s="208" t="s">
        <v>8</v>
      </c>
      <c r="D911" s="208">
        <v>2019</v>
      </c>
      <c r="E911" s="208" t="s">
        <v>142</v>
      </c>
      <c r="F911" s="208" t="s">
        <v>136</v>
      </c>
      <c r="G911" s="208" t="s">
        <v>243</v>
      </c>
      <c r="H911" s="208">
        <v>157</v>
      </c>
      <c r="I911" s="208">
        <v>48993.35</v>
      </c>
      <c r="J911" s="208">
        <v>5803.4399999999969</v>
      </c>
      <c r="K911" s="208">
        <v>4537.0999999999985</v>
      </c>
      <c r="L911" s="208">
        <v>27468.799999999992</v>
      </c>
      <c r="M911" s="208" t="s">
        <v>244</v>
      </c>
      <c r="N911" s="208">
        <v>-475</v>
      </c>
      <c r="O911" s="208">
        <v>800</v>
      </c>
      <c r="P911" s="208">
        <v>-270.16000000000003</v>
      </c>
      <c r="Q911" s="208">
        <v>375.44</v>
      </c>
    </row>
    <row r="912" spans="1:17">
      <c r="A912" s="218">
        <v>44196</v>
      </c>
      <c r="B912" s="208" t="s">
        <v>29</v>
      </c>
      <c r="C912" s="208" t="s">
        <v>8</v>
      </c>
      <c r="D912" s="208">
        <v>2019</v>
      </c>
      <c r="E912" s="208" t="s">
        <v>142</v>
      </c>
      <c r="F912" s="208" t="s">
        <v>136</v>
      </c>
      <c r="G912" s="208" t="s">
        <v>243</v>
      </c>
      <c r="H912" s="208">
        <v>157</v>
      </c>
      <c r="I912" s="208">
        <v>48993.350000000013</v>
      </c>
      <c r="J912" s="208">
        <v>5803.4399999999987</v>
      </c>
      <c r="K912" s="208">
        <v>4537.0999999999985</v>
      </c>
      <c r="L912" s="208">
        <v>27468.799999999985</v>
      </c>
      <c r="M912" s="208" t="s">
        <v>244</v>
      </c>
      <c r="N912" s="208">
        <v>-475</v>
      </c>
      <c r="O912" s="208">
        <v>800</v>
      </c>
      <c r="P912" s="208">
        <v>-270.16000000000003</v>
      </c>
      <c r="Q912" s="208">
        <v>375.44</v>
      </c>
    </row>
    <row r="913" spans="1:17">
      <c r="A913" s="218">
        <v>44196</v>
      </c>
      <c r="B913" s="208" t="s">
        <v>31</v>
      </c>
      <c r="C913" s="208" t="s">
        <v>8</v>
      </c>
      <c r="D913" s="208">
        <v>2020</v>
      </c>
      <c r="E913" s="208" t="s">
        <v>142</v>
      </c>
      <c r="F913" s="208" t="s">
        <v>136</v>
      </c>
      <c r="G913" s="208" t="s">
        <v>243</v>
      </c>
      <c r="H913" s="208">
        <v>51</v>
      </c>
      <c r="I913" s="208">
        <v>15261.370000000003</v>
      </c>
      <c r="J913" s="208">
        <v>21.659999999999989</v>
      </c>
      <c r="K913" s="208">
        <v>2343.88</v>
      </c>
      <c r="L913" s="208">
        <v>5336.1199999999953</v>
      </c>
      <c r="M913" s="208" t="s">
        <v>244</v>
      </c>
      <c r="N913" s="208">
        <v>-314.44</v>
      </c>
      <c r="O913" s="208">
        <v>643</v>
      </c>
      <c r="P913" s="208">
        <v>-205.68</v>
      </c>
      <c r="Q913" s="208">
        <v>274.24</v>
      </c>
    </row>
    <row r="914" spans="1:17">
      <c r="A914" s="218">
        <v>44196</v>
      </c>
      <c r="B914" s="208" t="s">
        <v>258</v>
      </c>
      <c r="C914" s="208" t="s">
        <v>8</v>
      </c>
      <c r="D914" s="208">
        <v>2020</v>
      </c>
      <c r="E914" s="208" t="s">
        <v>143</v>
      </c>
      <c r="F914" s="208" t="s">
        <v>136</v>
      </c>
      <c r="G914" s="208" t="s">
        <v>243</v>
      </c>
      <c r="H914" s="208">
        <v>3</v>
      </c>
      <c r="I914" s="208">
        <v>280</v>
      </c>
      <c r="J914" s="208">
        <v>50.4</v>
      </c>
      <c r="K914" s="208">
        <v>0</v>
      </c>
      <c r="L914" s="208">
        <v>229.6</v>
      </c>
      <c r="M914" s="208" t="s">
        <v>244</v>
      </c>
      <c r="N914" s="208">
        <v>1</v>
      </c>
      <c r="O914" s="208">
        <v>420</v>
      </c>
      <c r="P914" s="208">
        <v>0.4</v>
      </c>
      <c r="Q914" s="208">
        <v>240</v>
      </c>
    </row>
    <row r="915" spans="1:17">
      <c r="A915" s="218">
        <v>44196</v>
      </c>
      <c r="B915" s="208" t="s">
        <v>41</v>
      </c>
      <c r="C915" s="208" t="s">
        <v>8</v>
      </c>
      <c r="D915" s="208">
        <v>2020</v>
      </c>
      <c r="E915" s="208" t="s">
        <v>143</v>
      </c>
      <c r="F915" s="208" t="s">
        <v>136</v>
      </c>
      <c r="G915" s="208" t="s">
        <v>243</v>
      </c>
      <c r="H915" s="208">
        <v>18</v>
      </c>
      <c r="I915" s="208">
        <v>719</v>
      </c>
      <c r="J915" s="208">
        <v>130.5</v>
      </c>
      <c r="K915" s="208">
        <v>0</v>
      </c>
      <c r="L915" s="208">
        <v>588.5</v>
      </c>
      <c r="M915" s="208" t="s">
        <v>244</v>
      </c>
      <c r="N915" s="208">
        <v>1</v>
      </c>
      <c r="O915" s="208">
        <v>420</v>
      </c>
      <c r="P915" s="208">
        <v>0.4</v>
      </c>
      <c r="Q915" s="208">
        <v>240</v>
      </c>
    </row>
    <row r="916" spans="1:17">
      <c r="A916" s="218">
        <v>44196</v>
      </c>
      <c r="B916" s="208" t="s">
        <v>41</v>
      </c>
      <c r="C916" s="208" t="s">
        <v>8</v>
      </c>
      <c r="D916" s="208">
        <v>2019</v>
      </c>
      <c r="E916" s="208" t="s">
        <v>143</v>
      </c>
      <c r="F916" s="208" t="s">
        <v>136</v>
      </c>
      <c r="G916" s="208" t="s">
        <v>243</v>
      </c>
      <c r="H916" s="208">
        <v>3</v>
      </c>
      <c r="I916" s="208">
        <v>747</v>
      </c>
      <c r="J916" s="208">
        <v>35.660000000000004</v>
      </c>
      <c r="K916" s="208">
        <v>0</v>
      </c>
      <c r="L916" s="208">
        <v>400</v>
      </c>
      <c r="M916" s="208" t="s">
        <v>244</v>
      </c>
      <c r="N916" s="208">
        <v>249</v>
      </c>
      <c r="O916" s="208">
        <v>249</v>
      </c>
      <c r="P916" s="208">
        <v>57.22</v>
      </c>
      <c r="Q916" s="208">
        <v>242.78</v>
      </c>
    </row>
    <row r="917" spans="1:17">
      <c r="A917" s="218">
        <v>44196</v>
      </c>
      <c r="B917" s="208" t="s">
        <v>263</v>
      </c>
      <c r="C917" s="208" t="s">
        <v>8</v>
      </c>
      <c r="D917" s="208">
        <v>2020</v>
      </c>
      <c r="E917" s="208" t="s">
        <v>143</v>
      </c>
      <c r="F917" s="208" t="s">
        <v>136</v>
      </c>
      <c r="G917" s="208" t="s">
        <v>243</v>
      </c>
      <c r="H917" s="208">
        <v>16</v>
      </c>
      <c r="I917" s="208">
        <v>2020.9</v>
      </c>
      <c r="J917" s="208">
        <v>0</v>
      </c>
      <c r="K917" s="208">
        <v>0</v>
      </c>
      <c r="L917" s="208">
        <v>1464.9</v>
      </c>
      <c r="M917" s="208" t="s">
        <v>244</v>
      </c>
      <c r="N917" s="208">
        <v>1</v>
      </c>
      <c r="O917" s="208">
        <v>420</v>
      </c>
      <c r="P917" s="208">
        <v>0.4</v>
      </c>
      <c r="Q917" s="208">
        <v>240</v>
      </c>
    </row>
    <row r="918" spans="1:17">
      <c r="A918" s="218">
        <v>44196</v>
      </c>
      <c r="B918" s="208" t="s">
        <v>39</v>
      </c>
      <c r="C918" s="208" t="s">
        <v>8</v>
      </c>
      <c r="D918" s="208">
        <v>2020</v>
      </c>
      <c r="E918" s="208" t="s">
        <v>143</v>
      </c>
      <c r="F918" s="208" t="s">
        <v>136</v>
      </c>
      <c r="G918" s="208" t="s">
        <v>243</v>
      </c>
      <c r="H918" s="208">
        <v>18</v>
      </c>
      <c r="I918" s="208">
        <v>1458</v>
      </c>
      <c r="J918" s="208">
        <v>113.46</v>
      </c>
      <c r="K918" s="208">
        <v>0</v>
      </c>
      <c r="L918" s="208">
        <v>904.56999999999994</v>
      </c>
      <c r="M918" s="208" t="s">
        <v>244</v>
      </c>
      <c r="N918" s="208">
        <v>1</v>
      </c>
      <c r="O918" s="208">
        <v>420</v>
      </c>
      <c r="P918" s="208">
        <v>0.4</v>
      </c>
      <c r="Q918" s="208">
        <v>240</v>
      </c>
    </row>
    <row r="919" spans="1:17">
      <c r="A919" s="218">
        <v>44196</v>
      </c>
      <c r="B919" s="208" t="s">
        <v>267</v>
      </c>
      <c r="C919" s="208" t="s">
        <v>8</v>
      </c>
      <c r="D919" s="208">
        <v>2020</v>
      </c>
      <c r="E919" s="208" t="s">
        <v>143</v>
      </c>
      <c r="F919" s="208" t="s">
        <v>136</v>
      </c>
      <c r="G919" s="208" t="s">
        <v>243</v>
      </c>
      <c r="H919" s="208">
        <v>4</v>
      </c>
      <c r="I919" s="208">
        <v>265</v>
      </c>
      <c r="J919" s="208">
        <v>47.7</v>
      </c>
      <c r="K919" s="208">
        <v>0</v>
      </c>
      <c r="L919" s="208">
        <v>217.3</v>
      </c>
      <c r="M919" s="208" t="s">
        <v>244</v>
      </c>
      <c r="N919" s="208">
        <v>1</v>
      </c>
      <c r="O919" s="208">
        <v>420</v>
      </c>
      <c r="P919" s="208">
        <v>0.4</v>
      </c>
      <c r="Q919" s="208">
        <v>240</v>
      </c>
    </row>
    <row r="920" spans="1:17">
      <c r="A920" s="218">
        <v>44196</v>
      </c>
      <c r="B920" s="208" t="s">
        <v>264</v>
      </c>
      <c r="C920" s="208" t="s">
        <v>8</v>
      </c>
      <c r="D920" s="208">
        <v>2020</v>
      </c>
      <c r="E920" s="208" t="s">
        <v>143</v>
      </c>
      <c r="F920" s="208" t="s">
        <v>136</v>
      </c>
      <c r="G920" s="208" t="s">
        <v>243</v>
      </c>
      <c r="H920" s="208">
        <v>18</v>
      </c>
      <c r="I920" s="208">
        <v>719</v>
      </c>
      <c r="J920" s="208">
        <v>130.5</v>
      </c>
      <c r="K920" s="208">
        <v>0</v>
      </c>
      <c r="L920" s="208">
        <v>588.5</v>
      </c>
      <c r="M920" s="208" t="s">
        <v>244</v>
      </c>
      <c r="N920" s="208">
        <v>1</v>
      </c>
      <c r="O920" s="208">
        <v>420</v>
      </c>
      <c r="P920" s="208">
        <v>0.4</v>
      </c>
      <c r="Q920" s="208">
        <v>240</v>
      </c>
    </row>
    <row r="921" spans="1:17">
      <c r="A921" s="218">
        <v>44196</v>
      </c>
      <c r="B921" s="208" t="s">
        <v>264</v>
      </c>
      <c r="C921" s="208" t="s">
        <v>8</v>
      </c>
      <c r="D921" s="208">
        <v>2019</v>
      </c>
      <c r="E921" s="208" t="s">
        <v>143</v>
      </c>
      <c r="F921" s="208" t="s">
        <v>136</v>
      </c>
      <c r="G921" s="208" t="s">
        <v>243</v>
      </c>
      <c r="H921" s="208">
        <v>3</v>
      </c>
      <c r="I921" s="208">
        <v>747</v>
      </c>
      <c r="J921" s="208">
        <v>35.660000000000004</v>
      </c>
      <c r="K921" s="208">
        <v>0</v>
      </c>
      <c r="L921" s="208">
        <v>400</v>
      </c>
      <c r="M921" s="208" t="s">
        <v>244</v>
      </c>
      <c r="N921" s="208">
        <v>249</v>
      </c>
      <c r="O921" s="208">
        <v>249</v>
      </c>
      <c r="P921" s="208">
        <v>57.22</v>
      </c>
      <c r="Q921" s="208">
        <v>242.78</v>
      </c>
    </row>
    <row r="922" spans="1:17">
      <c r="A922" s="218">
        <v>44196</v>
      </c>
      <c r="B922" s="208" t="s">
        <v>43</v>
      </c>
      <c r="C922" s="208" t="s">
        <v>8</v>
      </c>
      <c r="D922" s="208">
        <v>2020</v>
      </c>
      <c r="E922" s="208" t="s">
        <v>143</v>
      </c>
      <c r="F922" s="208" t="s">
        <v>136</v>
      </c>
      <c r="G922" s="208" t="s">
        <v>243</v>
      </c>
      <c r="H922" s="208">
        <v>17</v>
      </c>
      <c r="I922" s="208">
        <v>797</v>
      </c>
      <c r="J922" s="208">
        <v>76.249999999999986</v>
      </c>
      <c r="K922" s="208">
        <v>0</v>
      </c>
      <c r="L922" s="208">
        <v>598.67000000000007</v>
      </c>
      <c r="M922" s="208" t="s">
        <v>244</v>
      </c>
      <c r="N922" s="208">
        <v>1</v>
      </c>
      <c r="O922" s="208">
        <v>420</v>
      </c>
      <c r="P922" s="208">
        <v>0.4</v>
      </c>
      <c r="Q922" s="208">
        <v>240</v>
      </c>
    </row>
    <row r="923" spans="1:17">
      <c r="A923" s="218">
        <v>44196</v>
      </c>
      <c r="B923" s="208" t="s">
        <v>33</v>
      </c>
      <c r="C923" s="208" t="s">
        <v>8</v>
      </c>
      <c r="D923" s="208">
        <v>2020</v>
      </c>
      <c r="E923" s="208" t="s">
        <v>143</v>
      </c>
      <c r="F923" s="208" t="s">
        <v>136</v>
      </c>
      <c r="G923" s="208" t="s">
        <v>243</v>
      </c>
      <c r="H923" s="208">
        <v>16</v>
      </c>
      <c r="I923" s="208">
        <v>2020.9</v>
      </c>
      <c r="J923" s="208">
        <v>0</v>
      </c>
      <c r="K923" s="208">
        <v>0</v>
      </c>
      <c r="L923" s="208">
        <v>1464.9</v>
      </c>
      <c r="M923" s="208" t="s">
        <v>244</v>
      </c>
      <c r="N923" s="208">
        <v>1</v>
      </c>
      <c r="O923" s="208">
        <v>420</v>
      </c>
      <c r="P923" s="208">
        <v>0.4</v>
      </c>
      <c r="Q923" s="208">
        <v>240</v>
      </c>
    </row>
    <row r="924" spans="1:17">
      <c r="A924" s="218">
        <v>44196</v>
      </c>
      <c r="B924" s="208" t="s">
        <v>31</v>
      </c>
      <c r="C924" s="208" t="s">
        <v>8</v>
      </c>
      <c r="D924" s="208">
        <v>2020</v>
      </c>
      <c r="E924" s="208" t="s">
        <v>143</v>
      </c>
      <c r="F924" s="208" t="s">
        <v>136</v>
      </c>
      <c r="G924" s="208" t="s">
        <v>243</v>
      </c>
      <c r="H924" s="208">
        <v>3</v>
      </c>
      <c r="I924" s="208">
        <v>280</v>
      </c>
      <c r="J924" s="208">
        <v>50.4</v>
      </c>
      <c r="K924" s="208">
        <v>0</v>
      </c>
      <c r="L924" s="208">
        <v>229.6</v>
      </c>
      <c r="M924" s="208" t="s">
        <v>244</v>
      </c>
      <c r="N924" s="208">
        <v>1</v>
      </c>
      <c r="O924" s="208">
        <v>420</v>
      </c>
      <c r="P924" s="208">
        <v>0.4</v>
      </c>
      <c r="Q924" s="208">
        <v>240</v>
      </c>
    </row>
    <row r="925" spans="1:17">
      <c r="A925" s="218">
        <v>44196</v>
      </c>
      <c r="B925" s="208" t="s">
        <v>262</v>
      </c>
      <c r="C925" s="208" t="s">
        <v>8</v>
      </c>
      <c r="D925" s="208">
        <v>2020</v>
      </c>
      <c r="E925" s="208" t="s">
        <v>143</v>
      </c>
      <c r="F925" s="208" t="s">
        <v>136</v>
      </c>
      <c r="G925" s="208" t="s">
        <v>243</v>
      </c>
      <c r="H925" s="208">
        <v>17</v>
      </c>
      <c r="I925" s="208">
        <v>797</v>
      </c>
      <c r="J925" s="208">
        <v>76.249999999999986</v>
      </c>
      <c r="K925" s="208">
        <v>0</v>
      </c>
      <c r="L925" s="208">
        <v>598.66999999999996</v>
      </c>
      <c r="M925" s="208" t="s">
        <v>244</v>
      </c>
      <c r="N925" s="208">
        <v>1</v>
      </c>
      <c r="O925" s="208">
        <v>420</v>
      </c>
      <c r="P925" s="208">
        <v>0.4</v>
      </c>
      <c r="Q925" s="208">
        <v>240</v>
      </c>
    </row>
    <row r="926" spans="1:17">
      <c r="A926" s="218">
        <v>44196</v>
      </c>
      <c r="B926" s="208" t="s">
        <v>45</v>
      </c>
      <c r="C926" s="208" t="s">
        <v>8</v>
      </c>
      <c r="D926" s="208">
        <v>2020</v>
      </c>
      <c r="E926" s="208" t="s">
        <v>143</v>
      </c>
      <c r="F926" s="208" t="s">
        <v>136</v>
      </c>
      <c r="G926" s="208" t="s">
        <v>243</v>
      </c>
      <c r="H926" s="208">
        <v>4</v>
      </c>
      <c r="I926" s="208">
        <v>265</v>
      </c>
      <c r="J926" s="208">
        <v>47.7</v>
      </c>
      <c r="K926" s="208">
        <v>0</v>
      </c>
      <c r="L926" s="208">
        <v>217.3</v>
      </c>
      <c r="M926" s="208" t="s">
        <v>244</v>
      </c>
      <c r="N926" s="208">
        <v>1</v>
      </c>
      <c r="O926" s="208">
        <v>420</v>
      </c>
      <c r="P926" s="208">
        <v>0.4</v>
      </c>
      <c r="Q926" s="208">
        <v>240</v>
      </c>
    </row>
    <row r="927" spans="1:17">
      <c r="A927" s="218">
        <v>44196</v>
      </c>
      <c r="B927" s="208" t="s">
        <v>269</v>
      </c>
      <c r="C927" s="208" t="s">
        <v>8</v>
      </c>
      <c r="D927" s="208">
        <v>2020</v>
      </c>
      <c r="E927" s="208" t="s">
        <v>143</v>
      </c>
      <c r="F927" s="208" t="s">
        <v>136</v>
      </c>
      <c r="G927" s="208" t="s">
        <v>243</v>
      </c>
      <c r="H927" s="208">
        <v>18</v>
      </c>
      <c r="I927" s="208">
        <v>1458</v>
      </c>
      <c r="J927" s="208">
        <v>113.46000000000001</v>
      </c>
      <c r="K927" s="208">
        <v>0</v>
      </c>
      <c r="L927" s="208">
        <v>904.57</v>
      </c>
      <c r="M927" s="208" t="s">
        <v>244</v>
      </c>
      <c r="N927" s="208">
        <v>1</v>
      </c>
      <c r="O927" s="208">
        <v>420</v>
      </c>
      <c r="P927" s="208">
        <v>0.4</v>
      </c>
      <c r="Q927" s="208">
        <v>240</v>
      </c>
    </row>
    <row r="928" spans="1:17">
      <c r="A928" s="218">
        <v>44196</v>
      </c>
      <c r="B928" s="208" t="s">
        <v>45</v>
      </c>
      <c r="C928" s="208" t="s">
        <v>8</v>
      </c>
      <c r="D928" s="208">
        <v>2020</v>
      </c>
      <c r="E928" s="208" t="s">
        <v>144</v>
      </c>
      <c r="F928" s="208" t="s">
        <v>136</v>
      </c>
      <c r="G928" s="208" t="s">
        <v>243</v>
      </c>
      <c r="H928" s="208">
        <v>320</v>
      </c>
      <c r="I928" s="208">
        <v>48420.680000000029</v>
      </c>
      <c r="J928" s="208">
        <v>8.4500000000000117</v>
      </c>
      <c r="K928" s="208">
        <v>0</v>
      </c>
      <c r="L928" s="208">
        <v>39653.910000000113</v>
      </c>
      <c r="M928" s="208" t="s">
        <v>244</v>
      </c>
      <c r="N928" s="208">
        <v>-600</v>
      </c>
      <c r="O928" s="208">
        <v>3000</v>
      </c>
      <c r="P928" s="208">
        <v>-599.94000000000005</v>
      </c>
      <c r="Q928" s="208">
        <v>900</v>
      </c>
    </row>
    <row r="929" spans="1:17">
      <c r="A929" s="218">
        <v>44196</v>
      </c>
      <c r="B929" s="208" t="s">
        <v>269</v>
      </c>
      <c r="C929" s="208" t="s">
        <v>8</v>
      </c>
      <c r="D929" s="208">
        <v>2019</v>
      </c>
      <c r="E929" s="208" t="s">
        <v>144</v>
      </c>
      <c r="F929" s="208" t="s">
        <v>136</v>
      </c>
      <c r="G929" s="208" t="s">
        <v>243</v>
      </c>
      <c r="H929" s="208">
        <v>29</v>
      </c>
      <c r="I929" s="208">
        <v>2467.29</v>
      </c>
      <c r="J929" s="208">
        <v>98.420000000000016</v>
      </c>
      <c r="K929" s="208">
        <v>0</v>
      </c>
      <c r="L929" s="208">
        <v>1668.6</v>
      </c>
      <c r="M929" s="208" t="s">
        <v>244</v>
      </c>
      <c r="N929" s="208">
        <v>-952.44</v>
      </c>
      <c r="O929" s="208">
        <v>3000</v>
      </c>
      <c r="P929" s="208">
        <v>-600</v>
      </c>
      <c r="Q929" s="208">
        <v>900</v>
      </c>
    </row>
    <row r="930" spans="1:17">
      <c r="A930" s="218">
        <v>44196</v>
      </c>
      <c r="B930" s="208" t="s">
        <v>266</v>
      </c>
      <c r="C930" s="208" t="s">
        <v>8</v>
      </c>
      <c r="D930" s="208">
        <v>2020</v>
      </c>
      <c r="E930" s="208" t="s">
        <v>144</v>
      </c>
      <c r="F930" s="208" t="s">
        <v>136</v>
      </c>
      <c r="G930" s="208" t="s">
        <v>243</v>
      </c>
      <c r="H930" s="208">
        <v>9</v>
      </c>
      <c r="I930" s="208">
        <v>572.52</v>
      </c>
      <c r="J930" s="208">
        <v>0.21000000000000002</v>
      </c>
      <c r="K930" s="208">
        <v>0</v>
      </c>
      <c r="L930" s="208">
        <v>568.31000000000006</v>
      </c>
      <c r="M930" s="208" t="s">
        <v>244</v>
      </c>
      <c r="N930" s="208">
        <v>-600</v>
      </c>
      <c r="O930" s="208">
        <v>3000</v>
      </c>
      <c r="P930" s="208">
        <v>-599.94000000000005</v>
      </c>
      <c r="Q930" s="208">
        <v>900</v>
      </c>
    </row>
    <row r="931" spans="1:17">
      <c r="A931" s="218">
        <v>44196</v>
      </c>
      <c r="B931" s="208" t="s">
        <v>263</v>
      </c>
      <c r="C931" s="208" t="s">
        <v>8</v>
      </c>
      <c r="D931" s="208">
        <v>2020</v>
      </c>
      <c r="E931" s="208" t="s">
        <v>144</v>
      </c>
      <c r="F931" s="208" t="s">
        <v>136</v>
      </c>
      <c r="G931" s="208" t="s">
        <v>243</v>
      </c>
      <c r="H931" s="208">
        <v>187</v>
      </c>
      <c r="I931" s="208">
        <v>33201.000000000007</v>
      </c>
      <c r="J931" s="208">
        <v>47.060000000000144</v>
      </c>
      <c r="K931" s="208">
        <v>0</v>
      </c>
      <c r="L931" s="208">
        <v>22201.729999999996</v>
      </c>
      <c r="M931" s="208" t="s">
        <v>244</v>
      </c>
      <c r="N931" s="208">
        <v>-600</v>
      </c>
      <c r="O931" s="208">
        <v>3000</v>
      </c>
      <c r="P931" s="208">
        <v>-599.94000000000005</v>
      </c>
      <c r="Q931" s="208">
        <v>900</v>
      </c>
    </row>
    <row r="932" spans="1:17">
      <c r="A932" s="218">
        <v>44196</v>
      </c>
      <c r="B932" s="208" t="s">
        <v>41</v>
      </c>
      <c r="C932" s="208" t="s">
        <v>8</v>
      </c>
      <c r="D932" s="208">
        <v>2019</v>
      </c>
      <c r="E932" s="208" t="s">
        <v>144</v>
      </c>
      <c r="F932" s="208" t="s">
        <v>136</v>
      </c>
      <c r="G932" s="208" t="s">
        <v>243</v>
      </c>
      <c r="H932" s="208">
        <v>181</v>
      </c>
      <c r="I932" s="208">
        <v>29632.299999999996</v>
      </c>
      <c r="J932" s="208">
        <v>850.42000000000155</v>
      </c>
      <c r="K932" s="208">
        <v>0</v>
      </c>
      <c r="L932" s="208">
        <v>17045.670000000006</v>
      </c>
      <c r="M932" s="208" t="s">
        <v>244</v>
      </c>
      <c r="N932" s="208">
        <v>-952.44</v>
      </c>
      <c r="O932" s="208">
        <v>3000</v>
      </c>
      <c r="P932" s="208">
        <v>-600</v>
      </c>
      <c r="Q932" s="208">
        <v>900</v>
      </c>
    </row>
    <row r="933" spans="1:17">
      <c r="A933" s="218">
        <v>44196</v>
      </c>
      <c r="B933" s="208" t="s">
        <v>47</v>
      </c>
      <c r="C933" s="208" t="s">
        <v>8</v>
      </c>
      <c r="D933" s="208">
        <v>2020</v>
      </c>
      <c r="E933" s="208" t="s">
        <v>144</v>
      </c>
      <c r="F933" s="208" t="s">
        <v>136</v>
      </c>
      <c r="G933" s="208" t="s">
        <v>243</v>
      </c>
      <c r="H933" s="208">
        <v>325</v>
      </c>
      <c r="I933" s="208">
        <v>55978.589999999989</v>
      </c>
      <c r="J933" s="208">
        <v>130.5300000000002</v>
      </c>
      <c r="K933" s="208">
        <v>0</v>
      </c>
      <c r="L933" s="208">
        <v>50200.450000000164</v>
      </c>
      <c r="M933" s="208" t="s">
        <v>244</v>
      </c>
      <c r="N933" s="208">
        <v>-600</v>
      </c>
      <c r="O933" s="208">
        <v>3000</v>
      </c>
      <c r="P933" s="208">
        <v>-599.94000000000005</v>
      </c>
      <c r="Q933" s="208">
        <v>900</v>
      </c>
    </row>
    <row r="934" spans="1:17">
      <c r="A934" s="218">
        <v>44196</v>
      </c>
      <c r="B934" s="208" t="s">
        <v>48</v>
      </c>
      <c r="C934" s="208" t="s">
        <v>8</v>
      </c>
      <c r="D934" s="208">
        <v>2020</v>
      </c>
      <c r="E934" s="208" t="s">
        <v>144</v>
      </c>
      <c r="F934" s="208" t="s">
        <v>136</v>
      </c>
      <c r="G934" s="208" t="s">
        <v>243</v>
      </c>
      <c r="H934" s="208">
        <v>9</v>
      </c>
      <c r="I934" s="208">
        <v>568.65000000000009</v>
      </c>
      <c r="J934" s="208">
        <v>0.09</v>
      </c>
      <c r="K934" s="208">
        <v>0</v>
      </c>
      <c r="L934" s="208">
        <v>351.34000000000003</v>
      </c>
      <c r="M934" s="208" t="s">
        <v>244</v>
      </c>
      <c r="N934" s="208">
        <v>-600</v>
      </c>
      <c r="O934" s="208">
        <v>3000</v>
      </c>
      <c r="P934" s="208">
        <v>-599.94000000000005</v>
      </c>
      <c r="Q934" s="208">
        <v>900</v>
      </c>
    </row>
    <row r="935" spans="1:17">
      <c r="A935" s="218">
        <v>44196</v>
      </c>
      <c r="B935" s="208" t="s">
        <v>265</v>
      </c>
      <c r="C935" s="208" t="s">
        <v>8</v>
      </c>
      <c r="D935" s="208">
        <v>2020</v>
      </c>
      <c r="E935" s="208" t="s">
        <v>144</v>
      </c>
      <c r="F935" s="208" t="s">
        <v>136</v>
      </c>
      <c r="G935" s="208" t="s">
        <v>243</v>
      </c>
      <c r="H935" s="208">
        <v>8</v>
      </c>
      <c r="I935" s="208">
        <v>692.9</v>
      </c>
      <c r="J935" s="208">
        <v>0.15000000000000002</v>
      </c>
      <c r="K935" s="208">
        <v>0</v>
      </c>
      <c r="L935" s="208">
        <v>692.75</v>
      </c>
      <c r="M935" s="208" t="s">
        <v>244</v>
      </c>
      <c r="N935" s="208">
        <v>-600</v>
      </c>
      <c r="O935" s="208">
        <v>3000</v>
      </c>
      <c r="P935" s="208">
        <v>-599.94000000000005</v>
      </c>
      <c r="Q935" s="208">
        <v>900</v>
      </c>
    </row>
    <row r="936" spans="1:17">
      <c r="A936" s="218">
        <v>44196</v>
      </c>
      <c r="B936" s="208" t="s">
        <v>270</v>
      </c>
      <c r="C936" s="208" t="s">
        <v>8</v>
      </c>
      <c r="D936" s="208">
        <v>2020</v>
      </c>
      <c r="E936" s="208" t="s">
        <v>144</v>
      </c>
      <c r="F936" s="208" t="s">
        <v>136</v>
      </c>
      <c r="G936" s="208" t="s">
        <v>243</v>
      </c>
      <c r="H936" s="208">
        <v>9</v>
      </c>
      <c r="I936" s="208">
        <v>568.65</v>
      </c>
      <c r="J936" s="208">
        <v>0.09</v>
      </c>
      <c r="K936" s="208">
        <v>0</v>
      </c>
      <c r="L936" s="208">
        <v>351.34000000000003</v>
      </c>
      <c r="M936" s="208" t="s">
        <v>244</v>
      </c>
      <c r="N936" s="208">
        <v>-600</v>
      </c>
      <c r="O936" s="208">
        <v>3000</v>
      </c>
      <c r="P936" s="208">
        <v>-599.94000000000005</v>
      </c>
      <c r="Q936" s="208">
        <v>900</v>
      </c>
    </row>
    <row r="937" spans="1:17">
      <c r="A937" s="218">
        <v>44196</v>
      </c>
      <c r="B937" s="208" t="s">
        <v>225</v>
      </c>
      <c r="C937" s="208" t="s">
        <v>8</v>
      </c>
      <c r="D937" s="208">
        <v>2019</v>
      </c>
      <c r="E937" s="208" t="s">
        <v>144</v>
      </c>
      <c r="F937" s="208" t="s">
        <v>136</v>
      </c>
      <c r="G937" s="208" t="s">
        <v>243</v>
      </c>
      <c r="H937" s="208">
        <v>205</v>
      </c>
      <c r="I937" s="208">
        <v>76267.160000000018</v>
      </c>
      <c r="J937" s="208">
        <v>1696.8600000000035</v>
      </c>
      <c r="K937" s="208">
        <v>2446.3599999999997</v>
      </c>
      <c r="L937" s="208">
        <v>68124.400000000009</v>
      </c>
      <c r="M937" s="208" t="s">
        <v>244</v>
      </c>
      <c r="N937" s="208">
        <v>-952.44</v>
      </c>
      <c r="O937" s="208">
        <v>3000</v>
      </c>
      <c r="P937" s="208">
        <v>-600</v>
      </c>
      <c r="Q937" s="208">
        <v>900</v>
      </c>
    </row>
    <row r="938" spans="1:17">
      <c r="A938" s="218">
        <v>44196</v>
      </c>
      <c r="B938" s="208" t="s">
        <v>258</v>
      </c>
      <c r="C938" s="208" t="s">
        <v>8</v>
      </c>
      <c r="D938" s="208">
        <v>2020</v>
      </c>
      <c r="E938" s="208" t="s">
        <v>144</v>
      </c>
      <c r="F938" s="208" t="s">
        <v>136</v>
      </c>
      <c r="G938" s="208" t="s">
        <v>243</v>
      </c>
      <c r="H938" s="208">
        <v>67</v>
      </c>
      <c r="I938" s="208">
        <v>9643.1899999999987</v>
      </c>
      <c r="J938" s="208">
        <v>1.5300000000000011</v>
      </c>
      <c r="K938" s="208">
        <v>0</v>
      </c>
      <c r="L938" s="208">
        <v>7566.1600000000017</v>
      </c>
      <c r="M938" s="208" t="s">
        <v>244</v>
      </c>
      <c r="N938" s="208">
        <v>-600</v>
      </c>
      <c r="O938" s="208">
        <v>3000</v>
      </c>
      <c r="P938" s="208">
        <v>-599.94000000000005</v>
      </c>
      <c r="Q938" s="208">
        <v>900</v>
      </c>
    </row>
    <row r="939" spans="1:17">
      <c r="A939" s="218">
        <v>44196</v>
      </c>
      <c r="B939" s="208" t="s">
        <v>268</v>
      </c>
      <c r="C939" s="208" t="s">
        <v>8</v>
      </c>
      <c r="D939" s="208">
        <v>2020</v>
      </c>
      <c r="E939" s="208" t="s">
        <v>144</v>
      </c>
      <c r="F939" s="208" t="s">
        <v>136</v>
      </c>
      <c r="G939" s="208" t="s">
        <v>243</v>
      </c>
      <c r="H939" s="208">
        <v>325</v>
      </c>
      <c r="I939" s="208">
        <v>55978.59</v>
      </c>
      <c r="J939" s="208">
        <v>130.53000000000006</v>
      </c>
      <c r="K939" s="208">
        <v>0</v>
      </c>
      <c r="L939" s="208">
        <v>50200.45000000015</v>
      </c>
      <c r="M939" s="208" t="s">
        <v>244</v>
      </c>
      <c r="N939" s="208">
        <v>-600</v>
      </c>
      <c r="O939" s="208">
        <v>3000</v>
      </c>
      <c r="P939" s="208">
        <v>-599.94000000000005</v>
      </c>
      <c r="Q939" s="208">
        <v>900</v>
      </c>
    </row>
    <row r="940" spans="1:17">
      <c r="A940" s="218">
        <v>44196</v>
      </c>
      <c r="B940" s="208" t="s">
        <v>260</v>
      </c>
      <c r="C940" s="208" t="s">
        <v>8</v>
      </c>
      <c r="D940" s="208">
        <v>2019</v>
      </c>
      <c r="E940" s="208" t="s">
        <v>144</v>
      </c>
      <c r="F940" s="208" t="s">
        <v>136</v>
      </c>
      <c r="G940" s="208" t="s">
        <v>243</v>
      </c>
      <c r="H940" s="208">
        <v>4</v>
      </c>
      <c r="I940" s="208">
        <v>544</v>
      </c>
      <c r="J940" s="208">
        <v>8.3000000000000007</v>
      </c>
      <c r="K940" s="208">
        <v>0</v>
      </c>
      <c r="L940" s="208">
        <v>295</v>
      </c>
      <c r="M940" s="208" t="s">
        <v>244</v>
      </c>
      <c r="N940" s="208">
        <v>-952.44</v>
      </c>
      <c r="O940" s="208">
        <v>3000</v>
      </c>
      <c r="P940" s="208">
        <v>-600</v>
      </c>
      <c r="Q940" s="208">
        <v>900</v>
      </c>
    </row>
    <row r="941" spans="1:17">
      <c r="A941" s="218">
        <v>44196</v>
      </c>
      <c r="B941" s="208" t="s">
        <v>262</v>
      </c>
      <c r="C941" s="208" t="s">
        <v>8</v>
      </c>
      <c r="D941" s="208">
        <v>2020</v>
      </c>
      <c r="E941" s="208" t="s">
        <v>144</v>
      </c>
      <c r="F941" s="208" t="s">
        <v>136</v>
      </c>
      <c r="G941" s="208" t="s">
        <v>243</v>
      </c>
      <c r="H941" s="208">
        <v>240</v>
      </c>
      <c r="I941" s="208">
        <v>35072.160000000003</v>
      </c>
      <c r="J941" s="208">
        <v>53.590000000000074</v>
      </c>
      <c r="K941" s="208">
        <v>0</v>
      </c>
      <c r="L941" s="208">
        <v>26109.450000000048</v>
      </c>
      <c r="M941" s="208" t="s">
        <v>244</v>
      </c>
      <c r="N941" s="208">
        <v>-600</v>
      </c>
      <c r="O941" s="208">
        <v>3000</v>
      </c>
      <c r="P941" s="208">
        <v>-599.94000000000005</v>
      </c>
      <c r="Q941" s="208">
        <v>900</v>
      </c>
    </row>
    <row r="942" spans="1:17">
      <c r="A942" s="218">
        <v>44196</v>
      </c>
      <c r="B942" s="208" t="s">
        <v>45</v>
      </c>
      <c r="C942" s="208" t="s">
        <v>8</v>
      </c>
      <c r="D942" s="208">
        <v>2019</v>
      </c>
      <c r="E942" s="208" t="s">
        <v>144</v>
      </c>
      <c r="F942" s="208" t="s">
        <v>136</v>
      </c>
      <c r="G942" s="208" t="s">
        <v>243</v>
      </c>
      <c r="H942" s="208">
        <v>204</v>
      </c>
      <c r="I942" s="208">
        <v>35948.69</v>
      </c>
      <c r="J942" s="208">
        <v>746.42000000000201</v>
      </c>
      <c r="K942" s="208">
        <v>0</v>
      </c>
      <c r="L942" s="208">
        <v>28148.139999999989</v>
      </c>
      <c r="M942" s="208" t="s">
        <v>244</v>
      </c>
      <c r="N942" s="208">
        <v>-952.44</v>
      </c>
      <c r="O942" s="208">
        <v>3000</v>
      </c>
      <c r="P942" s="208">
        <v>-600</v>
      </c>
      <c r="Q942" s="208">
        <v>900</v>
      </c>
    </row>
    <row r="943" spans="1:17">
      <c r="A943" s="218">
        <v>44196</v>
      </c>
      <c r="B943" s="208" t="s">
        <v>42</v>
      </c>
      <c r="C943" s="208" t="s">
        <v>8</v>
      </c>
      <c r="D943" s="208">
        <v>2019</v>
      </c>
      <c r="E943" s="208" t="s">
        <v>144</v>
      </c>
      <c r="F943" s="208" t="s">
        <v>136</v>
      </c>
      <c r="G943" s="208" t="s">
        <v>243</v>
      </c>
      <c r="H943" s="208">
        <v>8</v>
      </c>
      <c r="I943" s="208">
        <v>1587</v>
      </c>
      <c r="J943" s="208">
        <v>35.9</v>
      </c>
      <c r="K943" s="208">
        <v>0</v>
      </c>
      <c r="L943" s="208">
        <v>890.08999999999992</v>
      </c>
      <c r="M943" s="208" t="s">
        <v>244</v>
      </c>
      <c r="N943" s="208">
        <v>-952.44</v>
      </c>
      <c r="O943" s="208">
        <v>3000</v>
      </c>
      <c r="P943" s="208">
        <v>-600</v>
      </c>
      <c r="Q943" s="208">
        <v>900</v>
      </c>
    </row>
    <row r="944" spans="1:17">
      <c r="A944" s="218">
        <v>44196</v>
      </c>
      <c r="B944" s="208" t="s">
        <v>262</v>
      </c>
      <c r="C944" s="208" t="s">
        <v>8</v>
      </c>
      <c r="D944" s="208">
        <v>2019</v>
      </c>
      <c r="E944" s="208" t="s">
        <v>144</v>
      </c>
      <c r="F944" s="208" t="s">
        <v>136</v>
      </c>
      <c r="G944" s="208" t="s">
        <v>243</v>
      </c>
      <c r="H944" s="208">
        <v>270</v>
      </c>
      <c r="I944" s="208">
        <v>39731.80999999999</v>
      </c>
      <c r="J944" s="208">
        <v>1207.5900000000026</v>
      </c>
      <c r="K944" s="208">
        <v>0</v>
      </c>
      <c r="L944" s="208">
        <v>28102.39</v>
      </c>
      <c r="M944" s="208" t="s">
        <v>244</v>
      </c>
      <c r="N944" s="208">
        <v>-952.44</v>
      </c>
      <c r="O944" s="208">
        <v>3000</v>
      </c>
      <c r="P944" s="208">
        <v>-600</v>
      </c>
      <c r="Q944" s="208">
        <v>900</v>
      </c>
    </row>
    <row r="945" spans="1:17">
      <c r="A945" s="218">
        <v>44196</v>
      </c>
      <c r="B945" s="208" t="s">
        <v>33</v>
      </c>
      <c r="C945" s="208" t="s">
        <v>8</v>
      </c>
      <c r="D945" s="208">
        <v>2019</v>
      </c>
      <c r="E945" s="208" t="s">
        <v>144</v>
      </c>
      <c r="F945" s="208" t="s">
        <v>136</v>
      </c>
      <c r="G945" s="208" t="s">
        <v>243</v>
      </c>
      <c r="H945" s="208">
        <v>286</v>
      </c>
      <c r="I945" s="208">
        <v>49280.68</v>
      </c>
      <c r="J945" s="208">
        <v>1086.7400000000032</v>
      </c>
      <c r="K945" s="208">
        <v>0</v>
      </c>
      <c r="L945" s="208">
        <v>28528.85</v>
      </c>
      <c r="M945" s="208" t="s">
        <v>244</v>
      </c>
      <c r="N945" s="208">
        <v>-952.44</v>
      </c>
      <c r="O945" s="208">
        <v>3000</v>
      </c>
      <c r="P945" s="208">
        <v>-600</v>
      </c>
      <c r="Q945" s="208">
        <v>900</v>
      </c>
    </row>
    <row r="946" spans="1:17">
      <c r="A946" s="218">
        <v>44196</v>
      </c>
      <c r="B946" s="208" t="s">
        <v>43</v>
      </c>
      <c r="C946" s="208" t="s">
        <v>8</v>
      </c>
      <c r="D946" s="208">
        <v>2020</v>
      </c>
      <c r="E946" s="208" t="s">
        <v>144</v>
      </c>
      <c r="F946" s="208" t="s">
        <v>136</v>
      </c>
      <c r="G946" s="208" t="s">
        <v>243</v>
      </c>
      <c r="H946" s="208">
        <v>240</v>
      </c>
      <c r="I946" s="208">
        <v>35072.160000000003</v>
      </c>
      <c r="J946" s="208">
        <v>53.590000000000117</v>
      </c>
      <c r="K946" s="208">
        <v>0</v>
      </c>
      <c r="L946" s="208">
        <v>26109.450000000055</v>
      </c>
      <c r="M946" s="208" t="s">
        <v>244</v>
      </c>
      <c r="N946" s="208">
        <v>-600</v>
      </c>
      <c r="O946" s="208">
        <v>3000</v>
      </c>
      <c r="P946" s="208">
        <v>-599.94000000000005</v>
      </c>
      <c r="Q946" s="208">
        <v>900</v>
      </c>
    </row>
    <row r="947" spans="1:17">
      <c r="A947" s="218">
        <v>44196</v>
      </c>
      <c r="B947" s="208" t="s">
        <v>46</v>
      </c>
      <c r="C947" s="208" t="s">
        <v>8</v>
      </c>
      <c r="D947" s="208">
        <v>2020</v>
      </c>
      <c r="E947" s="208" t="s">
        <v>144</v>
      </c>
      <c r="F947" s="208" t="s">
        <v>136</v>
      </c>
      <c r="G947" s="208" t="s">
        <v>243</v>
      </c>
      <c r="H947" s="208">
        <v>8</v>
      </c>
      <c r="I947" s="208">
        <v>692.9</v>
      </c>
      <c r="J947" s="208">
        <v>0.15000000000000002</v>
      </c>
      <c r="K947" s="208">
        <v>0</v>
      </c>
      <c r="L947" s="208">
        <v>692.75</v>
      </c>
      <c r="M947" s="208" t="s">
        <v>244</v>
      </c>
      <c r="N947" s="208">
        <v>-600</v>
      </c>
      <c r="O947" s="208">
        <v>3000</v>
      </c>
      <c r="P947" s="208">
        <v>-599.94000000000005</v>
      </c>
      <c r="Q947" s="208">
        <v>900</v>
      </c>
    </row>
    <row r="948" spans="1:17">
      <c r="A948" s="218">
        <v>44196</v>
      </c>
      <c r="B948" s="208" t="s">
        <v>36</v>
      </c>
      <c r="C948" s="208" t="s">
        <v>8</v>
      </c>
      <c r="D948" s="208">
        <v>2020</v>
      </c>
      <c r="E948" s="208" t="s">
        <v>144</v>
      </c>
      <c r="F948" s="208" t="s">
        <v>136</v>
      </c>
      <c r="G948" s="208" t="s">
        <v>243</v>
      </c>
      <c r="H948" s="208">
        <v>16</v>
      </c>
      <c r="I948" s="208">
        <v>2718.36</v>
      </c>
      <c r="J948" s="208">
        <v>0.4800000000000002</v>
      </c>
      <c r="K948" s="208">
        <v>0</v>
      </c>
      <c r="L948" s="208">
        <v>2454.4800000000005</v>
      </c>
      <c r="M948" s="208" t="s">
        <v>244</v>
      </c>
      <c r="N948" s="208">
        <v>-600</v>
      </c>
      <c r="O948" s="208">
        <v>3000</v>
      </c>
      <c r="P948" s="208">
        <v>-599.94000000000005</v>
      </c>
      <c r="Q948" s="208">
        <v>900</v>
      </c>
    </row>
    <row r="949" spans="1:17">
      <c r="A949" s="218">
        <v>44196</v>
      </c>
      <c r="B949" s="208" t="s">
        <v>29</v>
      </c>
      <c r="C949" s="208" t="s">
        <v>8</v>
      </c>
      <c r="D949" s="208">
        <v>2019</v>
      </c>
      <c r="E949" s="208" t="s">
        <v>144</v>
      </c>
      <c r="F949" s="208" t="s">
        <v>136</v>
      </c>
      <c r="G949" s="208" t="s">
        <v>243</v>
      </c>
      <c r="H949" s="208">
        <v>4</v>
      </c>
      <c r="I949" s="208">
        <v>544</v>
      </c>
      <c r="J949" s="208">
        <v>8.3000000000000007</v>
      </c>
      <c r="K949" s="208">
        <v>0</v>
      </c>
      <c r="L949" s="208">
        <v>295</v>
      </c>
      <c r="M949" s="208" t="s">
        <v>244</v>
      </c>
      <c r="N949" s="208">
        <v>-952.44</v>
      </c>
      <c r="O949" s="208">
        <v>3000</v>
      </c>
      <c r="P949" s="208">
        <v>-600</v>
      </c>
      <c r="Q949" s="208">
        <v>900</v>
      </c>
    </row>
    <row r="950" spans="1:17">
      <c r="A950" s="218">
        <v>44196</v>
      </c>
      <c r="B950" s="208" t="s">
        <v>31</v>
      </c>
      <c r="C950" s="208" t="s">
        <v>8</v>
      </c>
      <c r="D950" s="208">
        <v>2020</v>
      </c>
      <c r="E950" s="208" t="s">
        <v>144</v>
      </c>
      <c r="F950" s="208" t="s">
        <v>136</v>
      </c>
      <c r="G950" s="208" t="s">
        <v>243</v>
      </c>
      <c r="H950" s="208">
        <v>67</v>
      </c>
      <c r="I950" s="208">
        <v>9643.19</v>
      </c>
      <c r="J950" s="208">
        <v>1.5300000000000011</v>
      </c>
      <c r="K950" s="208">
        <v>0</v>
      </c>
      <c r="L950" s="208">
        <v>7566.1600000000035</v>
      </c>
      <c r="M950" s="208" t="s">
        <v>244</v>
      </c>
      <c r="N950" s="208">
        <v>-600</v>
      </c>
      <c r="O950" s="208">
        <v>3000</v>
      </c>
      <c r="P950" s="208">
        <v>-599.94000000000005</v>
      </c>
      <c r="Q950" s="208">
        <v>900</v>
      </c>
    </row>
    <row r="951" spans="1:17">
      <c r="A951" s="218">
        <v>44196</v>
      </c>
      <c r="B951" s="208" t="s">
        <v>267</v>
      </c>
      <c r="C951" s="208" t="s">
        <v>8</v>
      </c>
      <c r="D951" s="208">
        <v>2019</v>
      </c>
      <c r="E951" s="208" t="s">
        <v>144</v>
      </c>
      <c r="F951" s="208" t="s">
        <v>136</v>
      </c>
      <c r="G951" s="208" t="s">
        <v>243</v>
      </c>
      <c r="H951" s="208">
        <v>204</v>
      </c>
      <c r="I951" s="208">
        <v>35948.69000000001</v>
      </c>
      <c r="J951" s="208">
        <v>746.4200000000011</v>
      </c>
      <c r="K951" s="208">
        <v>0</v>
      </c>
      <c r="L951" s="208">
        <v>28148.139999999992</v>
      </c>
      <c r="M951" s="208" t="s">
        <v>244</v>
      </c>
      <c r="N951" s="208">
        <v>-952.44</v>
      </c>
      <c r="O951" s="208">
        <v>3000</v>
      </c>
      <c r="P951" s="208">
        <v>-600</v>
      </c>
      <c r="Q951" s="208">
        <v>900</v>
      </c>
    </row>
    <row r="952" spans="1:17">
      <c r="A952" s="218">
        <v>44196</v>
      </c>
      <c r="B952" s="208" t="s">
        <v>31</v>
      </c>
      <c r="C952" s="208" t="s">
        <v>8</v>
      </c>
      <c r="D952" s="208">
        <v>2019</v>
      </c>
      <c r="E952" s="208" t="s">
        <v>144</v>
      </c>
      <c r="F952" s="208" t="s">
        <v>136</v>
      </c>
      <c r="G952" s="208" t="s">
        <v>243</v>
      </c>
      <c r="H952" s="208">
        <v>3</v>
      </c>
      <c r="I952" s="208">
        <v>379</v>
      </c>
      <c r="J952" s="208">
        <v>6.1000000000000005</v>
      </c>
      <c r="K952" s="208">
        <v>0</v>
      </c>
      <c r="L952" s="208">
        <v>320</v>
      </c>
      <c r="M952" s="208" t="s">
        <v>244</v>
      </c>
      <c r="N952" s="208">
        <v>-952.44</v>
      </c>
      <c r="O952" s="208">
        <v>3000</v>
      </c>
      <c r="P952" s="208">
        <v>-600</v>
      </c>
      <c r="Q952" s="208">
        <v>900</v>
      </c>
    </row>
    <row r="953" spans="1:17">
      <c r="A953" s="218">
        <v>44196</v>
      </c>
      <c r="B953" s="208" t="s">
        <v>268</v>
      </c>
      <c r="C953" s="208" t="s">
        <v>8</v>
      </c>
      <c r="D953" s="208">
        <v>2019</v>
      </c>
      <c r="E953" s="208" t="s">
        <v>144</v>
      </c>
      <c r="F953" s="208" t="s">
        <v>136</v>
      </c>
      <c r="G953" s="208" t="s">
        <v>243</v>
      </c>
      <c r="H953" s="208">
        <v>298</v>
      </c>
      <c r="I953" s="208">
        <v>56746.29</v>
      </c>
      <c r="J953" s="208">
        <v>1223.8500000000031</v>
      </c>
      <c r="K953" s="208">
        <v>0</v>
      </c>
      <c r="L953" s="208">
        <v>49603.310000000041</v>
      </c>
      <c r="M953" s="208" t="s">
        <v>244</v>
      </c>
      <c r="N953" s="208">
        <v>-952.44</v>
      </c>
      <c r="O953" s="208">
        <v>3000</v>
      </c>
      <c r="P953" s="208">
        <v>-600</v>
      </c>
      <c r="Q953" s="208">
        <v>900</v>
      </c>
    </row>
    <row r="954" spans="1:17">
      <c r="A954" s="218">
        <v>44196</v>
      </c>
      <c r="B954" s="208" t="s">
        <v>37</v>
      </c>
      <c r="C954" s="208" t="s">
        <v>8</v>
      </c>
      <c r="D954" s="208">
        <v>2020</v>
      </c>
      <c r="E954" s="208" t="s">
        <v>144</v>
      </c>
      <c r="F954" s="208" t="s">
        <v>136</v>
      </c>
      <c r="G954" s="208" t="s">
        <v>243</v>
      </c>
      <c r="H954" s="208">
        <v>144</v>
      </c>
      <c r="I954" s="208">
        <v>59584.210000000006</v>
      </c>
      <c r="J954" s="208">
        <v>46.960000000000235</v>
      </c>
      <c r="K954" s="208">
        <v>1313.94</v>
      </c>
      <c r="L954" s="208">
        <v>53776.790000000052</v>
      </c>
      <c r="M954" s="208" t="s">
        <v>244</v>
      </c>
      <c r="N954" s="208">
        <v>-600</v>
      </c>
      <c r="O954" s="208">
        <v>3000</v>
      </c>
      <c r="P954" s="208">
        <v>-599.94000000000005</v>
      </c>
      <c r="Q954" s="208">
        <v>900</v>
      </c>
    </row>
    <row r="955" spans="1:17">
      <c r="A955" s="218">
        <v>44196</v>
      </c>
      <c r="B955" s="208" t="s">
        <v>258</v>
      </c>
      <c r="C955" s="208" t="s">
        <v>8</v>
      </c>
      <c r="D955" s="208">
        <v>2019</v>
      </c>
      <c r="E955" s="208" t="s">
        <v>144</v>
      </c>
      <c r="F955" s="208" t="s">
        <v>136</v>
      </c>
      <c r="G955" s="208" t="s">
        <v>243</v>
      </c>
      <c r="H955" s="208">
        <v>3</v>
      </c>
      <c r="I955" s="208">
        <v>379</v>
      </c>
      <c r="J955" s="208">
        <v>6.1000000000000005</v>
      </c>
      <c r="K955" s="208">
        <v>0</v>
      </c>
      <c r="L955" s="208">
        <v>320</v>
      </c>
      <c r="M955" s="208" t="s">
        <v>244</v>
      </c>
      <c r="N955" s="208">
        <v>-952.44</v>
      </c>
      <c r="O955" s="208">
        <v>3000</v>
      </c>
      <c r="P955" s="208">
        <v>-600</v>
      </c>
      <c r="Q955" s="208">
        <v>900</v>
      </c>
    </row>
    <row r="956" spans="1:17">
      <c r="A956" s="218">
        <v>44196</v>
      </c>
      <c r="B956" s="208" t="s">
        <v>43</v>
      </c>
      <c r="C956" s="208" t="s">
        <v>8</v>
      </c>
      <c r="D956" s="208">
        <v>2019</v>
      </c>
      <c r="E956" s="208" t="s">
        <v>144</v>
      </c>
      <c r="F956" s="208" t="s">
        <v>136</v>
      </c>
      <c r="G956" s="208" t="s">
        <v>243</v>
      </c>
      <c r="H956" s="208">
        <v>270</v>
      </c>
      <c r="I956" s="208">
        <v>39731.810000000005</v>
      </c>
      <c r="J956" s="208">
        <v>1207.5900000000022</v>
      </c>
      <c r="K956" s="208">
        <v>0</v>
      </c>
      <c r="L956" s="208">
        <v>28102.390000000021</v>
      </c>
      <c r="M956" s="208" t="s">
        <v>244</v>
      </c>
      <c r="N956" s="208">
        <v>-952.44</v>
      </c>
      <c r="O956" s="208">
        <v>3000</v>
      </c>
      <c r="P956" s="208">
        <v>-600</v>
      </c>
      <c r="Q956" s="208">
        <v>900</v>
      </c>
    </row>
    <row r="957" spans="1:17">
      <c r="A957" s="218">
        <v>44196</v>
      </c>
      <c r="B957" s="208" t="s">
        <v>42</v>
      </c>
      <c r="C957" s="208" t="s">
        <v>8</v>
      </c>
      <c r="D957" s="208">
        <v>2020</v>
      </c>
      <c r="E957" s="208" t="s">
        <v>144</v>
      </c>
      <c r="F957" s="208" t="s">
        <v>136</v>
      </c>
      <c r="G957" s="208" t="s">
        <v>243</v>
      </c>
      <c r="H957" s="208">
        <v>9</v>
      </c>
      <c r="I957" s="208">
        <v>572.52</v>
      </c>
      <c r="J957" s="208">
        <v>0.21000000000000002</v>
      </c>
      <c r="K957" s="208">
        <v>0</v>
      </c>
      <c r="L957" s="208">
        <v>568.31000000000006</v>
      </c>
      <c r="M957" s="208" t="s">
        <v>244</v>
      </c>
      <c r="N957" s="208">
        <v>-600</v>
      </c>
      <c r="O957" s="208">
        <v>3000</v>
      </c>
      <c r="P957" s="208">
        <v>-599.94000000000005</v>
      </c>
      <c r="Q957" s="208">
        <v>900</v>
      </c>
    </row>
    <row r="958" spans="1:17">
      <c r="A958" s="218">
        <v>44196</v>
      </c>
      <c r="B958" s="208" t="s">
        <v>33</v>
      </c>
      <c r="C958" s="208" t="s">
        <v>8</v>
      </c>
      <c r="D958" s="208">
        <v>2020</v>
      </c>
      <c r="E958" s="208" t="s">
        <v>144</v>
      </c>
      <c r="F958" s="208" t="s">
        <v>136</v>
      </c>
      <c r="G958" s="208" t="s">
        <v>243</v>
      </c>
      <c r="H958" s="208">
        <v>187</v>
      </c>
      <c r="I958" s="208">
        <v>33201.000000000007</v>
      </c>
      <c r="J958" s="208">
        <v>47.060000000000116</v>
      </c>
      <c r="K958" s="208">
        <v>0</v>
      </c>
      <c r="L958" s="208">
        <v>22201.73000000001</v>
      </c>
      <c r="M958" s="208" t="s">
        <v>244</v>
      </c>
      <c r="N958" s="208">
        <v>-600</v>
      </c>
      <c r="O958" s="208">
        <v>3000</v>
      </c>
      <c r="P958" s="208">
        <v>-599.94000000000005</v>
      </c>
      <c r="Q958" s="208">
        <v>900</v>
      </c>
    </row>
    <row r="959" spans="1:17">
      <c r="A959" s="218">
        <v>44196</v>
      </c>
      <c r="B959" s="208" t="s">
        <v>29</v>
      </c>
      <c r="C959" s="208" t="s">
        <v>8</v>
      </c>
      <c r="D959" s="208">
        <v>2020</v>
      </c>
      <c r="E959" s="208" t="s">
        <v>144</v>
      </c>
      <c r="F959" s="208" t="s">
        <v>136</v>
      </c>
      <c r="G959" s="208" t="s">
        <v>243</v>
      </c>
      <c r="H959" s="208">
        <v>61</v>
      </c>
      <c r="I959" s="208">
        <v>8860.82</v>
      </c>
      <c r="J959" s="208">
        <v>1.7700000000000014</v>
      </c>
      <c r="K959" s="208">
        <v>0</v>
      </c>
      <c r="L959" s="208">
        <v>7384.4300000000048</v>
      </c>
      <c r="M959" s="208" t="s">
        <v>244</v>
      </c>
      <c r="N959" s="208">
        <v>-600</v>
      </c>
      <c r="O959" s="208">
        <v>3000</v>
      </c>
      <c r="P959" s="208">
        <v>-599.94000000000005</v>
      </c>
      <c r="Q959" s="208">
        <v>900</v>
      </c>
    </row>
    <row r="960" spans="1:17">
      <c r="A960" s="218">
        <v>44196</v>
      </c>
      <c r="B960" s="208" t="s">
        <v>260</v>
      </c>
      <c r="C960" s="208" t="s">
        <v>8</v>
      </c>
      <c r="D960" s="208">
        <v>2020</v>
      </c>
      <c r="E960" s="208" t="s">
        <v>144</v>
      </c>
      <c r="F960" s="208" t="s">
        <v>136</v>
      </c>
      <c r="G960" s="208" t="s">
        <v>243</v>
      </c>
      <c r="H960" s="208">
        <v>61</v>
      </c>
      <c r="I960" s="208">
        <v>8860.8200000000015</v>
      </c>
      <c r="J960" s="208">
        <v>1.7700000000000014</v>
      </c>
      <c r="K960" s="208">
        <v>0</v>
      </c>
      <c r="L960" s="208">
        <v>7384.4300000000021</v>
      </c>
      <c r="M960" s="208" t="s">
        <v>244</v>
      </c>
      <c r="N960" s="208">
        <v>-600</v>
      </c>
      <c r="O960" s="208">
        <v>3000</v>
      </c>
      <c r="P960" s="208">
        <v>-599.94000000000005</v>
      </c>
      <c r="Q960" s="208">
        <v>900</v>
      </c>
    </row>
    <row r="961" spans="1:17">
      <c r="A961" s="218">
        <v>44196</v>
      </c>
      <c r="B961" s="208" t="s">
        <v>41</v>
      </c>
      <c r="C961" s="208" t="s">
        <v>8</v>
      </c>
      <c r="D961" s="208">
        <v>2020</v>
      </c>
      <c r="E961" s="208" t="s">
        <v>144</v>
      </c>
      <c r="F961" s="208" t="s">
        <v>136</v>
      </c>
      <c r="G961" s="208" t="s">
        <v>243</v>
      </c>
      <c r="H961" s="208">
        <v>213</v>
      </c>
      <c r="I961" s="208">
        <v>29676.879999999994</v>
      </c>
      <c r="J961" s="208">
        <v>5.4300000000000024</v>
      </c>
      <c r="K961" s="208">
        <v>0</v>
      </c>
      <c r="L961" s="208">
        <v>19603.019999999975</v>
      </c>
      <c r="M961" s="208" t="s">
        <v>244</v>
      </c>
      <c r="N961" s="208">
        <v>-600</v>
      </c>
      <c r="O961" s="208">
        <v>3000</v>
      </c>
      <c r="P961" s="208">
        <v>-599.94000000000005</v>
      </c>
      <c r="Q961" s="208">
        <v>900</v>
      </c>
    </row>
    <row r="962" spans="1:17">
      <c r="A962" s="218">
        <v>44196</v>
      </c>
      <c r="B962" s="208" t="s">
        <v>264</v>
      </c>
      <c r="C962" s="208" t="s">
        <v>8</v>
      </c>
      <c r="D962" s="208">
        <v>2020</v>
      </c>
      <c r="E962" s="208" t="s">
        <v>144</v>
      </c>
      <c r="F962" s="208" t="s">
        <v>136</v>
      </c>
      <c r="G962" s="208" t="s">
        <v>243</v>
      </c>
      <c r="H962" s="208">
        <v>213</v>
      </c>
      <c r="I962" s="208">
        <v>29676.880000000001</v>
      </c>
      <c r="J962" s="208">
        <v>5.4300000000000024</v>
      </c>
      <c r="K962" s="208">
        <v>0</v>
      </c>
      <c r="L962" s="208">
        <v>19603.019999999986</v>
      </c>
      <c r="M962" s="208" t="s">
        <v>244</v>
      </c>
      <c r="N962" s="208">
        <v>-600</v>
      </c>
      <c r="O962" s="208">
        <v>3000</v>
      </c>
      <c r="P962" s="208">
        <v>-599.94000000000005</v>
      </c>
      <c r="Q962" s="208">
        <v>900</v>
      </c>
    </row>
    <row r="963" spans="1:17">
      <c r="A963" s="218">
        <v>44196</v>
      </c>
      <c r="B963" s="208" t="s">
        <v>263</v>
      </c>
      <c r="C963" s="208" t="s">
        <v>8</v>
      </c>
      <c r="D963" s="208">
        <v>2019</v>
      </c>
      <c r="E963" s="208" t="s">
        <v>144</v>
      </c>
      <c r="F963" s="208" t="s">
        <v>136</v>
      </c>
      <c r="G963" s="208" t="s">
        <v>243</v>
      </c>
      <c r="H963" s="208">
        <v>286</v>
      </c>
      <c r="I963" s="208">
        <v>49280.68</v>
      </c>
      <c r="J963" s="208">
        <v>1086.7400000000025</v>
      </c>
      <c r="K963" s="208">
        <v>0</v>
      </c>
      <c r="L963" s="208">
        <v>28528.849999999991</v>
      </c>
      <c r="M963" s="208" t="s">
        <v>244</v>
      </c>
      <c r="N963" s="208">
        <v>-952.44</v>
      </c>
      <c r="O963" s="208">
        <v>3000</v>
      </c>
      <c r="P963" s="208">
        <v>-600</v>
      </c>
      <c r="Q963" s="208">
        <v>900</v>
      </c>
    </row>
    <row r="964" spans="1:17">
      <c r="A964" s="218">
        <v>44196</v>
      </c>
      <c r="B964" s="208" t="s">
        <v>267</v>
      </c>
      <c r="C964" s="208" t="s">
        <v>8</v>
      </c>
      <c r="D964" s="208">
        <v>2020</v>
      </c>
      <c r="E964" s="208" t="s">
        <v>144</v>
      </c>
      <c r="F964" s="208" t="s">
        <v>136</v>
      </c>
      <c r="G964" s="208" t="s">
        <v>243</v>
      </c>
      <c r="H964" s="208">
        <v>320</v>
      </c>
      <c r="I964" s="208">
        <v>48420.680000000022</v>
      </c>
      <c r="J964" s="208">
        <v>8.4500000000000082</v>
      </c>
      <c r="K964" s="208">
        <v>0</v>
      </c>
      <c r="L964" s="208">
        <v>39653.910000000127</v>
      </c>
      <c r="M964" s="208" t="s">
        <v>244</v>
      </c>
      <c r="N964" s="208">
        <v>-600</v>
      </c>
      <c r="O964" s="208">
        <v>3000</v>
      </c>
      <c r="P964" s="208">
        <v>-599.94000000000005</v>
      </c>
      <c r="Q964" s="208">
        <v>900</v>
      </c>
    </row>
    <row r="965" spans="1:17">
      <c r="A965" s="218">
        <v>44196</v>
      </c>
      <c r="B965" s="208" t="s">
        <v>261</v>
      </c>
      <c r="C965" s="208" t="s">
        <v>8</v>
      </c>
      <c r="D965" s="208">
        <v>2020</v>
      </c>
      <c r="E965" s="208" t="s">
        <v>144</v>
      </c>
      <c r="F965" s="208" t="s">
        <v>136</v>
      </c>
      <c r="G965" s="208" t="s">
        <v>243</v>
      </c>
      <c r="H965" s="208">
        <v>30</v>
      </c>
      <c r="I965" s="208">
        <v>4670.5</v>
      </c>
      <c r="J965" s="208">
        <v>0.8100000000000005</v>
      </c>
      <c r="K965" s="208">
        <v>0</v>
      </c>
      <c r="L965" s="208">
        <v>3096.9699999999984</v>
      </c>
      <c r="M965" s="208" t="s">
        <v>244</v>
      </c>
      <c r="N965" s="208">
        <v>-600</v>
      </c>
      <c r="O965" s="208">
        <v>3000</v>
      </c>
      <c r="P965" s="208">
        <v>-599.94000000000005</v>
      </c>
      <c r="Q965" s="208">
        <v>900</v>
      </c>
    </row>
    <row r="966" spans="1:17">
      <c r="A966" s="218">
        <v>44196</v>
      </c>
      <c r="B966" s="208" t="s">
        <v>39</v>
      </c>
      <c r="C966" s="208" t="s">
        <v>8</v>
      </c>
      <c r="D966" s="208">
        <v>2019</v>
      </c>
      <c r="E966" s="208" t="s">
        <v>144</v>
      </c>
      <c r="F966" s="208" t="s">
        <v>136</v>
      </c>
      <c r="G966" s="208" t="s">
        <v>243</v>
      </c>
      <c r="H966" s="208">
        <v>29</v>
      </c>
      <c r="I966" s="208">
        <v>2467.29</v>
      </c>
      <c r="J966" s="208">
        <v>98.420000000000016</v>
      </c>
      <c r="K966" s="208">
        <v>0</v>
      </c>
      <c r="L966" s="208">
        <v>1668.6</v>
      </c>
      <c r="M966" s="208" t="s">
        <v>244</v>
      </c>
      <c r="N966" s="208">
        <v>-952.44</v>
      </c>
      <c r="O966" s="208">
        <v>3000</v>
      </c>
      <c r="P966" s="208">
        <v>-600</v>
      </c>
      <c r="Q966" s="208">
        <v>900</v>
      </c>
    </row>
    <row r="967" spans="1:17">
      <c r="A967" s="218">
        <v>44196</v>
      </c>
      <c r="B967" s="208" t="s">
        <v>266</v>
      </c>
      <c r="C967" s="208" t="s">
        <v>8</v>
      </c>
      <c r="D967" s="208">
        <v>2019</v>
      </c>
      <c r="E967" s="208" t="s">
        <v>144</v>
      </c>
      <c r="F967" s="208" t="s">
        <v>136</v>
      </c>
      <c r="G967" s="208" t="s">
        <v>243</v>
      </c>
      <c r="H967" s="208">
        <v>8</v>
      </c>
      <c r="I967" s="208">
        <v>1587</v>
      </c>
      <c r="J967" s="208">
        <v>35.9</v>
      </c>
      <c r="K967" s="208">
        <v>0</v>
      </c>
      <c r="L967" s="208">
        <v>890.08999999999992</v>
      </c>
      <c r="M967" s="208" t="s">
        <v>244</v>
      </c>
      <c r="N967" s="208">
        <v>-952.44</v>
      </c>
      <c r="O967" s="208">
        <v>3000</v>
      </c>
      <c r="P967" s="208">
        <v>-600</v>
      </c>
      <c r="Q967" s="208">
        <v>900</v>
      </c>
    </row>
    <row r="968" spans="1:17">
      <c r="A968" s="218">
        <v>44196</v>
      </c>
      <c r="B968" s="208" t="s">
        <v>35</v>
      </c>
      <c r="C968" s="208" t="s">
        <v>8</v>
      </c>
      <c r="D968" s="208">
        <v>2020</v>
      </c>
      <c r="E968" s="208" t="s">
        <v>144</v>
      </c>
      <c r="F968" s="208" t="s">
        <v>136</v>
      </c>
      <c r="G968" s="208" t="s">
        <v>243</v>
      </c>
      <c r="H968" s="208">
        <v>30</v>
      </c>
      <c r="I968" s="208">
        <v>4670.5</v>
      </c>
      <c r="J968" s="208">
        <v>0.8100000000000005</v>
      </c>
      <c r="K968" s="208">
        <v>0</v>
      </c>
      <c r="L968" s="208">
        <v>3096.9699999999984</v>
      </c>
      <c r="M968" s="208" t="s">
        <v>244</v>
      </c>
      <c r="N968" s="208">
        <v>-600</v>
      </c>
      <c r="O968" s="208">
        <v>3000</v>
      </c>
      <c r="P968" s="208">
        <v>-599.94000000000005</v>
      </c>
      <c r="Q968" s="208">
        <v>900</v>
      </c>
    </row>
    <row r="969" spans="1:17">
      <c r="A969" s="218">
        <v>44196</v>
      </c>
      <c r="B969" s="208" t="s">
        <v>39</v>
      </c>
      <c r="C969" s="208" t="s">
        <v>8</v>
      </c>
      <c r="D969" s="208">
        <v>2020</v>
      </c>
      <c r="E969" s="208" t="s">
        <v>144</v>
      </c>
      <c r="F969" s="208" t="s">
        <v>136</v>
      </c>
      <c r="G969" s="208" t="s">
        <v>243</v>
      </c>
      <c r="H969" s="208">
        <v>177</v>
      </c>
      <c r="I969" s="208">
        <v>20907.43</v>
      </c>
      <c r="J969" s="208">
        <v>99.080000000000098</v>
      </c>
      <c r="K969" s="208">
        <v>0</v>
      </c>
      <c r="L969" s="208">
        <v>13256.679999999982</v>
      </c>
      <c r="M969" s="208" t="s">
        <v>244</v>
      </c>
      <c r="N969" s="208">
        <v>-600</v>
      </c>
      <c r="O969" s="208">
        <v>3000</v>
      </c>
      <c r="P969" s="208">
        <v>-599.94000000000005</v>
      </c>
      <c r="Q969" s="208">
        <v>900</v>
      </c>
    </row>
    <row r="970" spans="1:17">
      <c r="A970" s="218">
        <v>44196</v>
      </c>
      <c r="B970" s="208" t="s">
        <v>259</v>
      </c>
      <c r="C970" s="208" t="s">
        <v>8</v>
      </c>
      <c r="D970" s="208">
        <v>2020</v>
      </c>
      <c r="E970" s="208" t="s">
        <v>144</v>
      </c>
      <c r="F970" s="208" t="s">
        <v>136</v>
      </c>
      <c r="G970" s="208" t="s">
        <v>243</v>
      </c>
      <c r="H970" s="208">
        <v>16</v>
      </c>
      <c r="I970" s="208">
        <v>2718.36</v>
      </c>
      <c r="J970" s="208">
        <v>0.4800000000000002</v>
      </c>
      <c r="K970" s="208">
        <v>0</v>
      </c>
      <c r="L970" s="208">
        <v>2454.4799999999996</v>
      </c>
      <c r="M970" s="208" t="s">
        <v>244</v>
      </c>
      <c r="N970" s="208">
        <v>-600</v>
      </c>
      <c r="O970" s="208">
        <v>3000</v>
      </c>
      <c r="P970" s="208">
        <v>-599.94000000000005</v>
      </c>
      <c r="Q970" s="208">
        <v>900</v>
      </c>
    </row>
    <row r="971" spans="1:17">
      <c r="A971" s="218">
        <v>44196</v>
      </c>
      <c r="B971" s="208" t="s">
        <v>269</v>
      </c>
      <c r="C971" s="208" t="s">
        <v>8</v>
      </c>
      <c r="D971" s="208">
        <v>2020</v>
      </c>
      <c r="E971" s="208" t="s">
        <v>144</v>
      </c>
      <c r="F971" s="208" t="s">
        <v>136</v>
      </c>
      <c r="G971" s="208" t="s">
        <v>243</v>
      </c>
      <c r="H971" s="208">
        <v>177</v>
      </c>
      <c r="I971" s="208">
        <v>20907.43</v>
      </c>
      <c r="J971" s="208">
        <v>99.08000000000014</v>
      </c>
      <c r="K971" s="208">
        <v>0</v>
      </c>
      <c r="L971" s="208">
        <v>13256.679999999982</v>
      </c>
      <c r="M971" s="208" t="s">
        <v>244</v>
      </c>
      <c r="N971" s="208">
        <v>-600</v>
      </c>
      <c r="O971" s="208">
        <v>3000</v>
      </c>
      <c r="P971" s="208">
        <v>-599.94000000000005</v>
      </c>
      <c r="Q971" s="208">
        <v>900</v>
      </c>
    </row>
    <row r="972" spans="1:17">
      <c r="A972" s="218">
        <v>44196</v>
      </c>
      <c r="B972" s="208" t="s">
        <v>225</v>
      </c>
      <c r="C972" s="208" t="s">
        <v>8</v>
      </c>
      <c r="D972" s="208">
        <v>2020</v>
      </c>
      <c r="E972" s="208" t="s">
        <v>144</v>
      </c>
      <c r="F972" s="208" t="s">
        <v>136</v>
      </c>
      <c r="G972" s="208" t="s">
        <v>243</v>
      </c>
      <c r="H972" s="208">
        <v>144</v>
      </c>
      <c r="I972" s="208">
        <v>59584.209999999985</v>
      </c>
      <c r="J972" s="208">
        <v>46.960000000000171</v>
      </c>
      <c r="K972" s="208">
        <v>1313.94</v>
      </c>
      <c r="L972" s="208">
        <v>53776.790000000059</v>
      </c>
      <c r="M972" s="208" t="s">
        <v>244</v>
      </c>
      <c r="N972" s="208">
        <v>-600</v>
      </c>
      <c r="O972" s="208">
        <v>3000</v>
      </c>
      <c r="P972" s="208">
        <v>-599.94000000000005</v>
      </c>
      <c r="Q972" s="208">
        <v>900</v>
      </c>
    </row>
    <row r="973" spans="1:17">
      <c r="A973" s="218">
        <v>44196</v>
      </c>
      <c r="B973" s="208" t="s">
        <v>37</v>
      </c>
      <c r="C973" s="208" t="s">
        <v>8</v>
      </c>
      <c r="D973" s="208">
        <v>2019</v>
      </c>
      <c r="E973" s="208" t="s">
        <v>144</v>
      </c>
      <c r="F973" s="208" t="s">
        <v>136</v>
      </c>
      <c r="G973" s="208" t="s">
        <v>243</v>
      </c>
      <c r="H973" s="208">
        <v>205</v>
      </c>
      <c r="I973" s="208">
        <v>76267.160000000018</v>
      </c>
      <c r="J973" s="208">
        <v>1696.8600000000038</v>
      </c>
      <c r="K973" s="208">
        <v>2446.3599999999997</v>
      </c>
      <c r="L973" s="208">
        <v>68124.399999999994</v>
      </c>
      <c r="M973" s="208" t="s">
        <v>244</v>
      </c>
      <c r="N973" s="208">
        <v>-952.44</v>
      </c>
      <c r="O973" s="208">
        <v>3000</v>
      </c>
      <c r="P973" s="208">
        <v>-600</v>
      </c>
      <c r="Q973" s="208">
        <v>900</v>
      </c>
    </row>
    <row r="974" spans="1:17">
      <c r="A974" s="218">
        <v>44196</v>
      </c>
      <c r="B974" s="208" t="s">
        <v>47</v>
      </c>
      <c r="C974" s="208" t="s">
        <v>8</v>
      </c>
      <c r="D974" s="208">
        <v>2019</v>
      </c>
      <c r="E974" s="208" t="s">
        <v>144</v>
      </c>
      <c r="F974" s="208" t="s">
        <v>136</v>
      </c>
      <c r="G974" s="208" t="s">
        <v>243</v>
      </c>
      <c r="H974" s="208">
        <v>298</v>
      </c>
      <c r="I974" s="208">
        <v>56746.289999999994</v>
      </c>
      <c r="J974" s="208">
        <v>1223.8500000000024</v>
      </c>
      <c r="K974" s="208">
        <v>0</v>
      </c>
      <c r="L974" s="208">
        <v>49603.31</v>
      </c>
      <c r="M974" s="208" t="s">
        <v>244</v>
      </c>
      <c r="N974" s="208">
        <v>-952.44</v>
      </c>
      <c r="O974" s="208">
        <v>3000</v>
      </c>
      <c r="P974" s="208">
        <v>-600</v>
      </c>
      <c r="Q974" s="208">
        <v>900</v>
      </c>
    </row>
    <row r="975" spans="1:17">
      <c r="A975" s="218">
        <v>44196</v>
      </c>
      <c r="B975" s="208" t="s">
        <v>264</v>
      </c>
      <c r="C975" s="208" t="s">
        <v>8</v>
      </c>
      <c r="D975" s="208">
        <v>2019</v>
      </c>
      <c r="E975" s="208" t="s">
        <v>144</v>
      </c>
      <c r="F975" s="208" t="s">
        <v>136</v>
      </c>
      <c r="G975" s="208" t="s">
        <v>243</v>
      </c>
      <c r="H975" s="208">
        <v>181</v>
      </c>
      <c r="I975" s="208">
        <v>29632.300000000007</v>
      </c>
      <c r="J975" s="208">
        <v>850.42000000000189</v>
      </c>
      <c r="K975" s="208">
        <v>0</v>
      </c>
      <c r="L975" s="208">
        <v>17045.670000000002</v>
      </c>
      <c r="M975" s="208" t="s">
        <v>244</v>
      </c>
      <c r="N975" s="208">
        <v>-952.44</v>
      </c>
      <c r="O975" s="208">
        <v>3000</v>
      </c>
      <c r="P975" s="208">
        <v>-600</v>
      </c>
      <c r="Q975" s="208">
        <v>900</v>
      </c>
    </row>
    <row r="976" spans="1:17">
      <c r="A976" s="218">
        <v>44196</v>
      </c>
      <c r="B976" s="208" t="s">
        <v>37</v>
      </c>
      <c r="C976" s="208" t="s">
        <v>8</v>
      </c>
      <c r="D976" s="208">
        <v>2020</v>
      </c>
      <c r="E976" s="208" t="s">
        <v>145</v>
      </c>
      <c r="F976" s="208" t="s">
        <v>136</v>
      </c>
      <c r="G976" s="208" t="s">
        <v>243</v>
      </c>
      <c r="H976" s="208">
        <v>2</v>
      </c>
      <c r="I976" s="208">
        <v>1511.2</v>
      </c>
      <c r="J976" s="208">
        <v>0.12</v>
      </c>
      <c r="K976" s="208">
        <v>0</v>
      </c>
      <c r="L976" s="208">
        <v>1511.08</v>
      </c>
      <c r="M976" s="208" t="s">
        <v>244</v>
      </c>
      <c r="N976" s="208">
        <v>721.2</v>
      </c>
      <c r="O976" s="208">
        <v>790</v>
      </c>
      <c r="P976" s="208">
        <v>721.14</v>
      </c>
      <c r="Q976" s="208">
        <v>789.94</v>
      </c>
    </row>
    <row r="977" spans="1:17">
      <c r="A977" s="218">
        <v>44196</v>
      </c>
      <c r="B977" s="208" t="s">
        <v>225</v>
      </c>
      <c r="C977" s="208" t="s">
        <v>8</v>
      </c>
      <c r="D977" s="208">
        <v>2019</v>
      </c>
      <c r="E977" s="208" t="s">
        <v>145</v>
      </c>
      <c r="F977" s="208" t="s">
        <v>136</v>
      </c>
      <c r="G977" s="208" t="s">
        <v>243</v>
      </c>
      <c r="H977" s="208">
        <v>1</v>
      </c>
      <c r="I977" s="208">
        <v>760</v>
      </c>
      <c r="J977" s="208">
        <v>29.44</v>
      </c>
      <c r="K977" s="208">
        <v>0</v>
      </c>
      <c r="L977" s="208">
        <v>730.56</v>
      </c>
      <c r="M977" s="208" t="s">
        <v>244</v>
      </c>
      <c r="N977" s="208">
        <v>760</v>
      </c>
      <c r="O977" s="208">
        <v>760</v>
      </c>
      <c r="P977" s="208">
        <v>730.56</v>
      </c>
      <c r="Q977" s="208">
        <v>730.56</v>
      </c>
    </row>
    <row r="978" spans="1:17">
      <c r="A978" s="218">
        <v>44196</v>
      </c>
      <c r="B978" s="208" t="s">
        <v>37</v>
      </c>
      <c r="C978" s="208" t="s">
        <v>8</v>
      </c>
      <c r="D978" s="208">
        <v>2019</v>
      </c>
      <c r="E978" s="208" t="s">
        <v>145</v>
      </c>
      <c r="F978" s="208" t="s">
        <v>136</v>
      </c>
      <c r="G978" s="208" t="s">
        <v>243</v>
      </c>
      <c r="H978" s="208">
        <v>1</v>
      </c>
      <c r="I978" s="208">
        <v>760</v>
      </c>
      <c r="J978" s="208">
        <v>29.44</v>
      </c>
      <c r="K978" s="208">
        <v>0</v>
      </c>
      <c r="L978" s="208">
        <v>730.56</v>
      </c>
      <c r="M978" s="208" t="s">
        <v>244</v>
      </c>
      <c r="N978" s="208">
        <v>760</v>
      </c>
      <c r="O978" s="208">
        <v>760</v>
      </c>
      <c r="P978" s="208">
        <v>730.56</v>
      </c>
      <c r="Q978" s="208">
        <v>730.56</v>
      </c>
    </row>
    <row r="979" spans="1:17">
      <c r="A979" s="218">
        <v>44196</v>
      </c>
      <c r="B979" s="208" t="s">
        <v>225</v>
      </c>
      <c r="C979" s="208" t="s">
        <v>8</v>
      </c>
      <c r="D979" s="208">
        <v>2020</v>
      </c>
      <c r="E979" s="208" t="s">
        <v>145</v>
      </c>
      <c r="F979" s="208" t="s">
        <v>136</v>
      </c>
      <c r="G979" s="208" t="s">
        <v>243</v>
      </c>
      <c r="H979" s="208">
        <v>2</v>
      </c>
      <c r="I979" s="208">
        <v>1511.2</v>
      </c>
      <c r="J979" s="208">
        <v>0.12</v>
      </c>
      <c r="K979" s="208">
        <v>0</v>
      </c>
      <c r="L979" s="208">
        <v>1511.08</v>
      </c>
      <c r="M979" s="208" t="s">
        <v>244</v>
      </c>
      <c r="N979" s="208">
        <v>721.2</v>
      </c>
      <c r="O979" s="208">
        <v>790</v>
      </c>
      <c r="P979" s="208">
        <v>721.14</v>
      </c>
      <c r="Q979" s="208">
        <v>789.94</v>
      </c>
    </row>
    <row r="980" spans="1:17">
      <c r="A980" s="218">
        <v>44196</v>
      </c>
      <c r="B980" s="208" t="s">
        <v>37</v>
      </c>
      <c r="C980" s="208" t="s">
        <v>8</v>
      </c>
      <c r="D980" s="208">
        <v>2020</v>
      </c>
      <c r="E980" s="208" t="s">
        <v>146</v>
      </c>
      <c r="F980" s="208" t="s">
        <v>136</v>
      </c>
      <c r="G980" s="208" t="s">
        <v>243</v>
      </c>
      <c r="H980" s="208">
        <v>4</v>
      </c>
      <c r="I980" s="208">
        <v>1860</v>
      </c>
      <c r="J980" s="208">
        <v>0.24</v>
      </c>
      <c r="K980" s="208">
        <v>0</v>
      </c>
      <c r="L980" s="208">
        <v>1619.94</v>
      </c>
      <c r="M980" s="208" t="s">
        <v>244</v>
      </c>
      <c r="N980" s="208">
        <v>240</v>
      </c>
      <c r="O980" s="208">
        <v>540</v>
      </c>
      <c r="P980" s="208">
        <v>239.94</v>
      </c>
      <c r="Q980" s="208">
        <v>460</v>
      </c>
    </row>
    <row r="981" spans="1:17">
      <c r="A981" s="218">
        <v>44196</v>
      </c>
      <c r="B981" s="208" t="s">
        <v>225</v>
      </c>
      <c r="C981" s="208" t="s">
        <v>8</v>
      </c>
      <c r="D981" s="208">
        <v>2020</v>
      </c>
      <c r="E981" s="208" t="s">
        <v>146</v>
      </c>
      <c r="F981" s="208" t="s">
        <v>136</v>
      </c>
      <c r="G981" s="208" t="s">
        <v>243</v>
      </c>
      <c r="H981" s="208">
        <v>4</v>
      </c>
      <c r="I981" s="208">
        <v>1860</v>
      </c>
      <c r="J981" s="208">
        <v>0.24</v>
      </c>
      <c r="K981" s="208">
        <v>0</v>
      </c>
      <c r="L981" s="208">
        <v>1619.94</v>
      </c>
      <c r="M981" s="208" t="s">
        <v>244</v>
      </c>
      <c r="N981" s="208">
        <v>240</v>
      </c>
      <c r="O981" s="208">
        <v>540</v>
      </c>
      <c r="P981" s="208">
        <v>239.94</v>
      </c>
      <c r="Q981" s="208">
        <v>460</v>
      </c>
    </row>
    <row r="982" spans="1:17">
      <c r="A982" s="218">
        <v>44196</v>
      </c>
      <c r="B982" s="208" t="s">
        <v>260</v>
      </c>
      <c r="C982" s="208" t="s">
        <v>8</v>
      </c>
      <c r="D982" s="208">
        <v>2019</v>
      </c>
      <c r="E982" s="208" t="s">
        <v>148</v>
      </c>
      <c r="F982" s="208" t="s">
        <v>147</v>
      </c>
      <c r="G982" s="208" t="s">
        <v>243</v>
      </c>
      <c r="H982" s="208">
        <v>81144</v>
      </c>
      <c r="I982" s="208">
        <v>227203.5199999836</v>
      </c>
      <c r="J982" s="208">
        <v>127655.17000001596</v>
      </c>
      <c r="K982" s="208">
        <v>220.17000000000002</v>
      </c>
      <c r="L982" s="208">
        <v>98622.860000000059</v>
      </c>
      <c r="M982" s="208" t="s">
        <v>244</v>
      </c>
      <c r="N982" s="208">
        <v>-223.52</v>
      </c>
      <c r="O982" s="208">
        <v>831.96</v>
      </c>
      <c r="P982" s="208">
        <v>-78.23</v>
      </c>
      <c r="Q982" s="208">
        <v>582.37</v>
      </c>
    </row>
    <row r="983" spans="1:17">
      <c r="A983" s="218">
        <v>44196</v>
      </c>
      <c r="B983" s="208" t="s">
        <v>261</v>
      </c>
      <c r="C983" s="208" t="s">
        <v>8</v>
      </c>
      <c r="D983" s="208">
        <v>2020</v>
      </c>
      <c r="E983" s="208" t="s">
        <v>148</v>
      </c>
      <c r="F983" s="208" t="s">
        <v>147</v>
      </c>
      <c r="G983" s="208" t="s">
        <v>243</v>
      </c>
      <c r="H983" s="208">
        <v>1039</v>
      </c>
      <c r="I983" s="208">
        <v>3458.7000000000112</v>
      </c>
      <c r="J983" s="208">
        <v>1780.1899999999944</v>
      </c>
      <c r="K983" s="208">
        <v>0</v>
      </c>
      <c r="L983" s="208">
        <v>1569.7000000000003</v>
      </c>
      <c r="M983" s="208" t="s">
        <v>244</v>
      </c>
      <c r="N983" s="208">
        <v>-2588.04</v>
      </c>
      <c r="O983" s="208">
        <v>2588.04</v>
      </c>
      <c r="P983" s="208">
        <v>-905.81</v>
      </c>
      <c r="Q983" s="208">
        <v>905.81</v>
      </c>
    </row>
    <row r="984" spans="1:17">
      <c r="A984" s="218">
        <v>44196</v>
      </c>
      <c r="B984" s="208" t="s">
        <v>38</v>
      </c>
      <c r="C984" s="208" t="s">
        <v>8</v>
      </c>
      <c r="D984" s="208">
        <v>2020</v>
      </c>
      <c r="E984" s="208" t="s">
        <v>148</v>
      </c>
      <c r="F984" s="208" t="s">
        <v>147</v>
      </c>
      <c r="G984" s="208" t="s">
        <v>243</v>
      </c>
      <c r="H984" s="208">
        <v>20</v>
      </c>
      <c r="I984" s="208">
        <v>36</v>
      </c>
      <c r="J984" s="208">
        <v>23.45</v>
      </c>
      <c r="K984" s="208">
        <v>0</v>
      </c>
      <c r="L984" s="208">
        <v>12.55</v>
      </c>
      <c r="M984" s="208" t="s">
        <v>244</v>
      </c>
      <c r="N984" s="208">
        <v>-2588.04</v>
      </c>
      <c r="O984" s="208">
        <v>2588.04</v>
      </c>
      <c r="P984" s="208">
        <v>-905.81</v>
      </c>
      <c r="Q984" s="208">
        <v>905.81</v>
      </c>
    </row>
    <row r="985" spans="1:17">
      <c r="A985" s="218">
        <v>44196</v>
      </c>
      <c r="B985" s="208" t="s">
        <v>264</v>
      </c>
      <c r="C985" s="208" t="s">
        <v>8</v>
      </c>
      <c r="D985" s="208">
        <v>2019</v>
      </c>
      <c r="E985" s="208" t="s">
        <v>148</v>
      </c>
      <c r="F985" s="208" t="s">
        <v>147</v>
      </c>
      <c r="G985" s="208" t="s">
        <v>243</v>
      </c>
      <c r="H985" s="208">
        <v>5380</v>
      </c>
      <c r="I985" s="208">
        <v>22610.11000000047</v>
      </c>
      <c r="J985" s="208">
        <v>11991.160000000009</v>
      </c>
      <c r="K985" s="208">
        <v>0</v>
      </c>
      <c r="L985" s="208">
        <v>10402.269999999766</v>
      </c>
      <c r="M985" s="208" t="s">
        <v>244</v>
      </c>
      <c r="N985" s="208">
        <v>-223.52</v>
      </c>
      <c r="O985" s="208">
        <v>831.96</v>
      </c>
      <c r="P985" s="208">
        <v>-78.23</v>
      </c>
      <c r="Q985" s="208">
        <v>582.37</v>
      </c>
    </row>
    <row r="986" spans="1:17">
      <c r="A986" s="218">
        <v>44196</v>
      </c>
      <c r="B986" s="208" t="s">
        <v>33</v>
      </c>
      <c r="C986" s="208" t="s">
        <v>8</v>
      </c>
      <c r="D986" s="208">
        <v>2019</v>
      </c>
      <c r="E986" s="208" t="s">
        <v>148</v>
      </c>
      <c r="F986" s="208" t="s">
        <v>147</v>
      </c>
      <c r="G986" s="208" t="s">
        <v>243</v>
      </c>
      <c r="H986" s="208">
        <v>4746</v>
      </c>
      <c r="I986" s="208">
        <v>20971.78000000037</v>
      </c>
      <c r="J986" s="208">
        <v>11291.259999999933</v>
      </c>
      <c r="K986" s="208">
        <v>0</v>
      </c>
      <c r="L986" s="208">
        <v>9464.3499999996984</v>
      </c>
      <c r="M986" s="208" t="s">
        <v>244</v>
      </c>
      <c r="N986" s="208">
        <v>-223.52</v>
      </c>
      <c r="O986" s="208">
        <v>831.96</v>
      </c>
      <c r="P986" s="208">
        <v>-78.23</v>
      </c>
      <c r="Q986" s="208">
        <v>582.37</v>
      </c>
    </row>
    <row r="987" spans="1:17">
      <c r="A987" s="218">
        <v>44196</v>
      </c>
      <c r="B987" s="208" t="s">
        <v>36</v>
      </c>
      <c r="C987" s="208" t="s">
        <v>8</v>
      </c>
      <c r="D987" s="208">
        <v>2019</v>
      </c>
      <c r="E987" s="208" t="s">
        <v>148</v>
      </c>
      <c r="F987" s="208" t="s">
        <v>147</v>
      </c>
      <c r="G987" s="208" t="s">
        <v>243</v>
      </c>
      <c r="H987" s="208">
        <v>28732</v>
      </c>
      <c r="I987" s="208">
        <v>91169.839999994554</v>
      </c>
      <c r="J987" s="208">
        <v>50651.380000008248</v>
      </c>
      <c r="K987" s="208">
        <v>0</v>
      </c>
      <c r="L987" s="208">
        <v>40365.810000005011</v>
      </c>
      <c r="M987" s="208" t="s">
        <v>244</v>
      </c>
      <c r="N987" s="208">
        <v>-223.52</v>
      </c>
      <c r="O987" s="208">
        <v>831.96</v>
      </c>
      <c r="P987" s="208">
        <v>-78.23</v>
      </c>
      <c r="Q987" s="208">
        <v>582.37</v>
      </c>
    </row>
    <row r="988" spans="1:17">
      <c r="A988" s="218">
        <v>44196</v>
      </c>
      <c r="B988" s="208" t="s">
        <v>46</v>
      </c>
      <c r="C988" s="208" t="s">
        <v>8</v>
      </c>
      <c r="D988" s="208">
        <v>2020</v>
      </c>
      <c r="E988" s="208" t="s">
        <v>148</v>
      </c>
      <c r="F988" s="208" t="s">
        <v>147</v>
      </c>
      <c r="G988" s="208" t="s">
        <v>243</v>
      </c>
      <c r="H988" s="208">
        <v>165</v>
      </c>
      <c r="I988" s="208">
        <v>775.60999999999933</v>
      </c>
      <c r="J988" s="208">
        <v>633.14</v>
      </c>
      <c r="K988" s="208">
        <v>0</v>
      </c>
      <c r="L988" s="208">
        <v>134.13999999999982</v>
      </c>
      <c r="M988" s="208" t="s">
        <v>244</v>
      </c>
      <c r="N988" s="208">
        <v>-2588.04</v>
      </c>
      <c r="O988" s="208">
        <v>2588.04</v>
      </c>
      <c r="P988" s="208">
        <v>-905.81</v>
      </c>
      <c r="Q988" s="208">
        <v>905.81</v>
      </c>
    </row>
    <row r="989" spans="1:17">
      <c r="A989" s="218">
        <v>44196</v>
      </c>
      <c r="B989" s="208" t="s">
        <v>46</v>
      </c>
      <c r="C989" s="208" t="s">
        <v>8</v>
      </c>
      <c r="D989" s="208">
        <v>2019</v>
      </c>
      <c r="E989" s="208" t="s">
        <v>148</v>
      </c>
      <c r="F989" s="208" t="s">
        <v>147</v>
      </c>
      <c r="G989" s="208" t="s">
        <v>243</v>
      </c>
      <c r="H989" s="208">
        <v>7</v>
      </c>
      <c r="I989" s="208">
        <v>37.450000000000003</v>
      </c>
      <c r="J989" s="208">
        <v>33.72</v>
      </c>
      <c r="K989" s="208">
        <v>0</v>
      </c>
      <c r="L989" s="208">
        <v>3.7300000000000004</v>
      </c>
      <c r="M989" s="208" t="s">
        <v>244</v>
      </c>
      <c r="N989" s="208">
        <v>-223.52</v>
      </c>
      <c r="O989" s="208">
        <v>831.96</v>
      </c>
      <c r="P989" s="208">
        <v>-78.23</v>
      </c>
      <c r="Q989" s="208">
        <v>582.37</v>
      </c>
    </row>
    <row r="990" spans="1:17">
      <c r="A990" s="218">
        <v>44196</v>
      </c>
      <c r="B990" s="208" t="s">
        <v>44</v>
      </c>
      <c r="C990" s="208" t="s">
        <v>8</v>
      </c>
      <c r="D990" s="208">
        <v>2019</v>
      </c>
      <c r="E990" s="208" t="s">
        <v>148</v>
      </c>
      <c r="F990" s="208" t="s">
        <v>147</v>
      </c>
      <c r="G990" s="208" t="s">
        <v>243</v>
      </c>
      <c r="H990" s="208">
        <v>37</v>
      </c>
      <c r="I990" s="208">
        <v>78.330000000000013</v>
      </c>
      <c r="J990" s="208">
        <v>66.099999999999994</v>
      </c>
      <c r="K990" s="208">
        <v>0</v>
      </c>
      <c r="L990" s="208">
        <v>12.229999999999999</v>
      </c>
      <c r="M990" s="208" t="s">
        <v>244</v>
      </c>
      <c r="N990" s="208">
        <v>-223.52</v>
      </c>
      <c r="O990" s="208">
        <v>831.96</v>
      </c>
      <c r="P990" s="208">
        <v>-78.23</v>
      </c>
      <c r="Q990" s="208">
        <v>582.37</v>
      </c>
    </row>
    <row r="991" spans="1:17">
      <c r="A991" s="218">
        <v>44196</v>
      </c>
      <c r="B991" s="208" t="s">
        <v>268</v>
      </c>
      <c r="C991" s="208" t="s">
        <v>8</v>
      </c>
      <c r="D991" s="208">
        <v>2019</v>
      </c>
      <c r="E991" s="208" t="s">
        <v>148</v>
      </c>
      <c r="F991" s="208" t="s">
        <v>147</v>
      </c>
      <c r="G991" s="208" t="s">
        <v>243</v>
      </c>
      <c r="H991" s="208">
        <v>5752</v>
      </c>
      <c r="I991" s="208">
        <v>23103.160000000589</v>
      </c>
      <c r="J991" s="208">
        <v>12398.229999999978</v>
      </c>
      <c r="K991" s="208">
        <v>0</v>
      </c>
      <c r="L991" s="208">
        <v>10653.009999999686</v>
      </c>
      <c r="M991" s="208" t="s">
        <v>244</v>
      </c>
      <c r="N991" s="208">
        <v>-223.52</v>
      </c>
      <c r="O991" s="208">
        <v>831.96</v>
      </c>
      <c r="P991" s="208">
        <v>-78.23</v>
      </c>
      <c r="Q991" s="208">
        <v>582.37</v>
      </c>
    </row>
    <row r="992" spans="1:17">
      <c r="A992" s="218">
        <v>44196</v>
      </c>
      <c r="B992" s="208" t="s">
        <v>29</v>
      </c>
      <c r="C992" s="208" t="s">
        <v>8</v>
      </c>
      <c r="D992" s="208">
        <v>2020</v>
      </c>
      <c r="E992" s="208" t="s">
        <v>148</v>
      </c>
      <c r="F992" s="208" t="s">
        <v>147</v>
      </c>
      <c r="G992" s="208" t="s">
        <v>243</v>
      </c>
      <c r="H992" s="208">
        <v>73422</v>
      </c>
      <c r="I992" s="208">
        <v>230718.28999999759</v>
      </c>
      <c r="J992" s="208">
        <v>130242.45000003482</v>
      </c>
      <c r="K992" s="208">
        <v>105.1</v>
      </c>
      <c r="L992" s="208">
        <v>100007.04000000676</v>
      </c>
      <c r="M992" s="208" t="s">
        <v>244</v>
      </c>
      <c r="N992" s="208">
        <v>-2588.04</v>
      </c>
      <c r="O992" s="208">
        <v>2588.04</v>
      </c>
      <c r="P992" s="208">
        <v>-905.81</v>
      </c>
      <c r="Q992" s="208">
        <v>905.81</v>
      </c>
    </row>
    <row r="993" spans="1:17">
      <c r="A993" s="218">
        <v>44196</v>
      </c>
      <c r="B993" s="208" t="s">
        <v>264</v>
      </c>
      <c r="C993" s="208" t="s">
        <v>8</v>
      </c>
      <c r="D993" s="208">
        <v>2020</v>
      </c>
      <c r="E993" s="208" t="s">
        <v>148</v>
      </c>
      <c r="F993" s="208" t="s">
        <v>147</v>
      </c>
      <c r="G993" s="208" t="s">
        <v>243</v>
      </c>
      <c r="H993" s="208">
        <v>7248</v>
      </c>
      <c r="I993" s="208">
        <v>29011.850000000039</v>
      </c>
      <c r="J993" s="208">
        <v>15458.31999999971</v>
      </c>
      <c r="K993" s="208">
        <v>0</v>
      </c>
      <c r="L993" s="208">
        <v>13491.509999999937</v>
      </c>
      <c r="M993" s="208" t="s">
        <v>244</v>
      </c>
      <c r="N993" s="208">
        <v>-2588.04</v>
      </c>
      <c r="O993" s="208">
        <v>2588.04</v>
      </c>
      <c r="P993" s="208">
        <v>-905.81</v>
      </c>
      <c r="Q993" s="208">
        <v>905.81</v>
      </c>
    </row>
    <row r="994" spans="1:17">
      <c r="A994" s="218">
        <v>44196</v>
      </c>
      <c r="B994" s="208" t="s">
        <v>262</v>
      </c>
      <c r="C994" s="208" t="s">
        <v>8</v>
      </c>
      <c r="D994" s="208">
        <v>2020</v>
      </c>
      <c r="E994" s="208" t="s">
        <v>148</v>
      </c>
      <c r="F994" s="208" t="s">
        <v>147</v>
      </c>
      <c r="G994" s="208" t="s">
        <v>243</v>
      </c>
      <c r="H994" s="208">
        <v>7148</v>
      </c>
      <c r="I994" s="208">
        <v>25389.820000000171</v>
      </c>
      <c r="J994" s="208">
        <v>14515.019999999708</v>
      </c>
      <c r="K994" s="208">
        <v>0</v>
      </c>
      <c r="L994" s="208">
        <v>10696.440000000019</v>
      </c>
      <c r="M994" s="208" t="s">
        <v>244</v>
      </c>
      <c r="N994" s="208">
        <v>-2588.04</v>
      </c>
      <c r="O994" s="208">
        <v>2588.04</v>
      </c>
      <c r="P994" s="208">
        <v>-905.81</v>
      </c>
      <c r="Q994" s="208">
        <v>905.81</v>
      </c>
    </row>
    <row r="995" spans="1:17">
      <c r="A995" s="218">
        <v>44196</v>
      </c>
      <c r="B995" s="208" t="s">
        <v>39</v>
      </c>
      <c r="C995" s="208" t="s">
        <v>8</v>
      </c>
      <c r="D995" s="208">
        <v>2020</v>
      </c>
      <c r="E995" s="208" t="s">
        <v>148</v>
      </c>
      <c r="F995" s="208" t="s">
        <v>147</v>
      </c>
      <c r="G995" s="208" t="s">
        <v>243</v>
      </c>
      <c r="H995" s="208">
        <v>6484</v>
      </c>
      <c r="I995" s="208">
        <v>25047.690000000111</v>
      </c>
      <c r="J995" s="208">
        <v>13976.439999999757</v>
      </c>
      <c r="K995" s="208">
        <v>0</v>
      </c>
      <c r="L995" s="208">
        <v>11018.669999999864</v>
      </c>
      <c r="M995" s="208" t="s">
        <v>244</v>
      </c>
      <c r="N995" s="208">
        <v>-2588.04</v>
      </c>
      <c r="O995" s="208">
        <v>2588.04</v>
      </c>
      <c r="P995" s="208">
        <v>-905.81</v>
      </c>
      <c r="Q995" s="208">
        <v>905.81</v>
      </c>
    </row>
    <row r="996" spans="1:17">
      <c r="A996" s="218">
        <v>44196</v>
      </c>
      <c r="B996" s="208" t="s">
        <v>259</v>
      </c>
      <c r="C996" s="208" t="s">
        <v>8</v>
      </c>
      <c r="D996" s="208">
        <v>2019</v>
      </c>
      <c r="E996" s="208" t="s">
        <v>148</v>
      </c>
      <c r="F996" s="208" t="s">
        <v>147</v>
      </c>
      <c r="G996" s="208" t="s">
        <v>243</v>
      </c>
      <c r="H996" s="208">
        <v>28732</v>
      </c>
      <c r="I996" s="208">
        <v>91169.839999992764</v>
      </c>
      <c r="J996" s="208">
        <v>50651.380000008256</v>
      </c>
      <c r="K996" s="208">
        <v>0</v>
      </c>
      <c r="L996" s="208">
        <v>40365.810000005134</v>
      </c>
      <c r="M996" s="208" t="s">
        <v>244</v>
      </c>
      <c r="N996" s="208">
        <v>-223.52</v>
      </c>
      <c r="O996" s="208">
        <v>831.96</v>
      </c>
      <c r="P996" s="208">
        <v>-78.23</v>
      </c>
      <c r="Q996" s="208">
        <v>582.37</v>
      </c>
    </row>
    <row r="997" spans="1:17">
      <c r="A997" s="218">
        <v>44196</v>
      </c>
      <c r="B997" s="208" t="s">
        <v>261</v>
      </c>
      <c r="C997" s="208" t="s">
        <v>8</v>
      </c>
      <c r="D997" s="208">
        <v>2019</v>
      </c>
      <c r="E997" s="208" t="s">
        <v>148</v>
      </c>
      <c r="F997" s="208" t="s">
        <v>147</v>
      </c>
      <c r="G997" s="208" t="s">
        <v>243</v>
      </c>
      <c r="H997" s="208">
        <v>514</v>
      </c>
      <c r="I997" s="208">
        <v>810.53999999999905</v>
      </c>
      <c r="J997" s="208">
        <v>448.86000000000166</v>
      </c>
      <c r="K997" s="208">
        <v>0</v>
      </c>
      <c r="L997" s="208">
        <v>361.67999999999961</v>
      </c>
      <c r="M997" s="208" t="s">
        <v>244</v>
      </c>
      <c r="N997" s="208">
        <v>-223.52</v>
      </c>
      <c r="O997" s="208">
        <v>831.96</v>
      </c>
      <c r="P997" s="208">
        <v>-78.23</v>
      </c>
      <c r="Q997" s="208">
        <v>582.37</v>
      </c>
    </row>
    <row r="998" spans="1:17">
      <c r="A998" s="218">
        <v>44196</v>
      </c>
      <c r="B998" s="208" t="s">
        <v>258</v>
      </c>
      <c r="C998" s="208" t="s">
        <v>8</v>
      </c>
      <c r="D998" s="208">
        <v>2020</v>
      </c>
      <c r="E998" s="208" t="s">
        <v>148</v>
      </c>
      <c r="F998" s="208" t="s">
        <v>147</v>
      </c>
      <c r="G998" s="208" t="s">
        <v>243</v>
      </c>
      <c r="H998" s="208">
        <v>48716</v>
      </c>
      <c r="I998" s="208">
        <v>155691.18999999709</v>
      </c>
      <c r="J998" s="208">
        <v>85768.340000023905</v>
      </c>
      <c r="K998" s="208">
        <v>0</v>
      </c>
      <c r="L998" s="208">
        <v>69790.320000006526</v>
      </c>
      <c r="M998" s="208" t="s">
        <v>244</v>
      </c>
      <c r="N998" s="208">
        <v>-2588.04</v>
      </c>
      <c r="O998" s="208">
        <v>2588.04</v>
      </c>
      <c r="P998" s="208">
        <v>-905.81</v>
      </c>
      <c r="Q998" s="208">
        <v>905.81</v>
      </c>
    </row>
    <row r="999" spans="1:17">
      <c r="A999" s="218">
        <v>44196</v>
      </c>
      <c r="B999" s="208" t="s">
        <v>267</v>
      </c>
      <c r="C999" s="208" t="s">
        <v>8</v>
      </c>
      <c r="D999" s="208">
        <v>2019</v>
      </c>
      <c r="E999" s="208" t="s">
        <v>148</v>
      </c>
      <c r="F999" s="208" t="s">
        <v>147</v>
      </c>
      <c r="G999" s="208" t="s">
        <v>243</v>
      </c>
      <c r="H999" s="208">
        <v>6935</v>
      </c>
      <c r="I999" s="208">
        <v>26721.340000000546</v>
      </c>
      <c r="J999" s="208">
        <v>14521.760000000044</v>
      </c>
      <c r="K999" s="208">
        <v>0</v>
      </c>
      <c r="L999" s="208">
        <v>11911.549999999737</v>
      </c>
      <c r="M999" s="208" t="s">
        <v>244</v>
      </c>
      <c r="N999" s="208">
        <v>-223.52</v>
      </c>
      <c r="O999" s="208">
        <v>831.96</v>
      </c>
      <c r="P999" s="208">
        <v>-78.23</v>
      </c>
      <c r="Q999" s="208">
        <v>582.37</v>
      </c>
    </row>
    <row r="1000" spans="1:17">
      <c r="A1000" s="218">
        <v>44196</v>
      </c>
      <c r="B1000" s="208" t="s">
        <v>31</v>
      </c>
      <c r="C1000" s="208" t="s">
        <v>8</v>
      </c>
      <c r="D1000" s="208">
        <v>2020</v>
      </c>
      <c r="E1000" s="208" t="s">
        <v>148</v>
      </c>
      <c r="F1000" s="208" t="s">
        <v>147</v>
      </c>
      <c r="G1000" s="208" t="s">
        <v>243</v>
      </c>
      <c r="H1000" s="208">
        <v>48716</v>
      </c>
      <c r="I1000" s="208">
        <v>155691.18999999636</v>
      </c>
      <c r="J1000" s="208">
        <v>85768.340000019089</v>
      </c>
      <c r="K1000" s="208">
        <v>0</v>
      </c>
      <c r="L1000" s="208">
        <v>69790.320000007996</v>
      </c>
      <c r="M1000" s="208" t="s">
        <v>244</v>
      </c>
      <c r="N1000" s="208">
        <v>-2588.04</v>
      </c>
      <c r="O1000" s="208">
        <v>2588.04</v>
      </c>
      <c r="P1000" s="208">
        <v>-905.81</v>
      </c>
      <c r="Q1000" s="208">
        <v>905.81</v>
      </c>
    </row>
    <row r="1001" spans="1:17">
      <c r="A1001" s="218">
        <v>44196</v>
      </c>
      <c r="B1001" s="208" t="s">
        <v>31</v>
      </c>
      <c r="C1001" s="208" t="s">
        <v>8</v>
      </c>
      <c r="D1001" s="208">
        <v>2019</v>
      </c>
      <c r="E1001" s="208" t="s">
        <v>148</v>
      </c>
      <c r="F1001" s="208" t="s">
        <v>147</v>
      </c>
      <c r="G1001" s="208" t="s">
        <v>243</v>
      </c>
      <c r="H1001" s="208">
        <v>50184</v>
      </c>
      <c r="I1001" s="208">
        <v>148492.5799999866</v>
      </c>
      <c r="J1001" s="208">
        <v>83081.640000015046</v>
      </c>
      <c r="K1001" s="208">
        <v>0</v>
      </c>
      <c r="L1001" s="208">
        <v>65284.250000011729</v>
      </c>
      <c r="M1001" s="208" t="s">
        <v>244</v>
      </c>
      <c r="N1001" s="208">
        <v>-223.52</v>
      </c>
      <c r="O1001" s="208">
        <v>831.96</v>
      </c>
      <c r="P1001" s="208">
        <v>-78.23</v>
      </c>
      <c r="Q1001" s="208">
        <v>582.37</v>
      </c>
    </row>
    <row r="1002" spans="1:17">
      <c r="A1002" s="218">
        <v>44196</v>
      </c>
      <c r="B1002" s="208" t="s">
        <v>29</v>
      </c>
      <c r="C1002" s="208" t="s">
        <v>8</v>
      </c>
      <c r="D1002" s="208">
        <v>2019</v>
      </c>
      <c r="E1002" s="208" t="s">
        <v>148</v>
      </c>
      <c r="F1002" s="208" t="s">
        <v>147</v>
      </c>
      <c r="G1002" s="208" t="s">
        <v>243</v>
      </c>
      <c r="H1002" s="208">
        <v>81144</v>
      </c>
      <c r="I1002" s="208">
        <v>227203.51999998835</v>
      </c>
      <c r="J1002" s="208">
        <v>127655.17000001619</v>
      </c>
      <c r="K1002" s="208">
        <v>220.17000000000002</v>
      </c>
      <c r="L1002" s="208">
        <v>98622.860000002489</v>
      </c>
      <c r="M1002" s="208" t="s">
        <v>244</v>
      </c>
      <c r="N1002" s="208">
        <v>-223.52</v>
      </c>
      <c r="O1002" s="208">
        <v>831.96</v>
      </c>
      <c r="P1002" s="208">
        <v>-78.23</v>
      </c>
      <c r="Q1002" s="208">
        <v>582.37</v>
      </c>
    </row>
    <row r="1003" spans="1:17">
      <c r="A1003" s="218">
        <v>44196</v>
      </c>
      <c r="B1003" s="208" t="s">
        <v>48</v>
      </c>
      <c r="C1003" s="208" t="s">
        <v>8</v>
      </c>
      <c r="D1003" s="208">
        <v>2020</v>
      </c>
      <c r="E1003" s="208" t="s">
        <v>148</v>
      </c>
      <c r="F1003" s="208" t="s">
        <v>147</v>
      </c>
      <c r="G1003" s="208" t="s">
        <v>243</v>
      </c>
      <c r="H1003" s="208">
        <v>277</v>
      </c>
      <c r="I1003" s="208">
        <v>1029.6399999999981</v>
      </c>
      <c r="J1003" s="208">
        <v>575.52000000000032</v>
      </c>
      <c r="K1003" s="208">
        <v>0</v>
      </c>
      <c r="L1003" s="208">
        <v>454.11999999999983</v>
      </c>
      <c r="M1003" s="208" t="s">
        <v>244</v>
      </c>
      <c r="N1003" s="208">
        <v>-2588.04</v>
      </c>
      <c r="O1003" s="208">
        <v>2588.04</v>
      </c>
      <c r="P1003" s="208">
        <v>-905.81</v>
      </c>
      <c r="Q1003" s="208">
        <v>905.81</v>
      </c>
    </row>
    <row r="1004" spans="1:17">
      <c r="A1004" s="218">
        <v>44196</v>
      </c>
      <c r="B1004" s="208" t="s">
        <v>266</v>
      </c>
      <c r="C1004" s="208" t="s">
        <v>8</v>
      </c>
      <c r="D1004" s="208">
        <v>2019</v>
      </c>
      <c r="E1004" s="208" t="s">
        <v>148</v>
      </c>
      <c r="F1004" s="208" t="s">
        <v>147</v>
      </c>
      <c r="G1004" s="208" t="s">
        <v>243</v>
      </c>
      <c r="H1004" s="208">
        <v>40</v>
      </c>
      <c r="I1004" s="208">
        <v>91.18</v>
      </c>
      <c r="J1004" s="208">
        <v>78.970000000000013</v>
      </c>
      <c r="K1004" s="208">
        <v>0</v>
      </c>
      <c r="L1004" s="208">
        <v>12.209999999999996</v>
      </c>
      <c r="M1004" s="208" t="s">
        <v>244</v>
      </c>
      <c r="N1004" s="208">
        <v>-223.52</v>
      </c>
      <c r="O1004" s="208">
        <v>831.96</v>
      </c>
      <c r="P1004" s="208">
        <v>-78.23</v>
      </c>
      <c r="Q1004" s="208">
        <v>582.37</v>
      </c>
    </row>
    <row r="1005" spans="1:17">
      <c r="A1005" s="218">
        <v>44196</v>
      </c>
      <c r="B1005" s="208" t="s">
        <v>269</v>
      </c>
      <c r="C1005" s="208" t="s">
        <v>8</v>
      </c>
      <c r="D1005" s="208">
        <v>2020</v>
      </c>
      <c r="E1005" s="208" t="s">
        <v>148</v>
      </c>
      <c r="F1005" s="208" t="s">
        <v>147</v>
      </c>
      <c r="G1005" s="208" t="s">
        <v>243</v>
      </c>
      <c r="H1005" s="208">
        <v>6484</v>
      </c>
      <c r="I1005" s="208">
        <v>25047.690000000075</v>
      </c>
      <c r="J1005" s="208">
        <v>13976.439999999726</v>
      </c>
      <c r="K1005" s="208">
        <v>0</v>
      </c>
      <c r="L1005" s="208">
        <v>11018.669999999925</v>
      </c>
      <c r="M1005" s="208" t="s">
        <v>244</v>
      </c>
      <c r="N1005" s="208">
        <v>-2588.04</v>
      </c>
      <c r="O1005" s="208">
        <v>2588.04</v>
      </c>
      <c r="P1005" s="208">
        <v>-905.81</v>
      </c>
      <c r="Q1005" s="208">
        <v>905.81</v>
      </c>
    </row>
    <row r="1006" spans="1:17">
      <c r="A1006" s="218">
        <v>44196</v>
      </c>
      <c r="B1006" s="208" t="s">
        <v>265</v>
      </c>
      <c r="C1006" s="208" t="s">
        <v>8</v>
      </c>
      <c r="D1006" s="208">
        <v>2019</v>
      </c>
      <c r="E1006" s="208" t="s">
        <v>148</v>
      </c>
      <c r="F1006" s="208" t="s">
        <v>147</v>
      </c>
      <c r="G1006" s="208" t="s">
        <v>243</v>
      </c>
      <c r="H1006" s="208">
        <v>7</v>
      </c>
      <c r="I1006" s="208">
        <v>37.450000000000003</v>
      </c>
      <c r="J1006" s="208">
        <v>33.72</v>
      </c>
      <c r="K1006" s="208">
        <v>0</v>
      </c>
      <c r="L1006" s="208">
        <v>3.7300000000000004</v>
      </c>
      <c r="M1006" s="208" t="s">
        <v>244</v>
      </c>
      <c r="N1006" s="208">
        <v>-223.52</v>
      </c>
      <c r="O1006" s="208">
        <v>831.96</v>
      </c>
      <c r="P1006" s="208">
        <v>-78.23</v>
      </c>
      <c r="Q1006" s="208">
        <v>582.37</v>
      </c>
    </row>
    <row r="1007" spans="1:17">
      <c r="A1007" s="218">
        <v>44196</v>
      </c>
      <c r="B1007" s="208" t="s">
        <v>47</v>
      </c>
      <c r="C1007" s="208" t="s">
        <v>8</v>
      </c>
      <c r="D1007" s="208">
        <v>2020</v>
      </c>
      <c r="E1007" s="208" t="s">
        <v>148</v>
      </c>
      <c r="F1007" s="208" t="s">
        <v>147</v>
      </c>
      <c r="G1007" s="208" t="s">
        <v>243</v>
      </c>
      <c r="H1007" s="208">
        <v>9312</v>
      </c>
      <c r="I1007" s="208">
        <v>36416.669999999809</v>
      </c>
      <c r="J1007" s="208">
        <v>19788.990000000849</v>
      </c>
      <c r="K1007" s="208">
        <v>0</v>
      </c>
      <c r="L1007" s="208">
        <v>16478.469999999768</v>
      </c>
      <c r="M1007" s="208" t="s">
        <v>244</v>
      </c>
      <c r="N1007" s="208">
        <v>-2588.04</v>
      </c>
      <c r="O1007" s="208">
        <v>2588.04</v>
      </c>
      <c r="P1007" s="208">
        <v>-905.81</v>
      </c>
      <c r="Q1007" s="208">
        <v>905.81</v>
      </c>
    </row>
    <row r="1008" spans="1:17">
      <c r="A1008" s="218">
        <v>44196</v>
      </c>
      <c r="B1008" s="208" t="s">
        <v>42</v>
      </c>
      <c r="C1008" s="208" t="s">
        <v>8</v>
      </c>
      <c r="D1008" s="208">
        <v>2020</v>
      </c>
      <c r="E1008" s="208" t="s">
        <v>148</v>
      </c>
      <c r="F1008" s="208" t="s">
        <v>147</v>
      </c>
      <c r="G1008" s="208" t="s">
        <v>243</v>
      </c>
      <c r="H1008" s="208">
        <v>219</v>
      </c>
      <c r="I1008" s="208">
        <v>737.31999999999971</v>
      </c>
      <c r="J1008" s="208">
        <v>645.72000000000014</v>
      </c>
      <c r="K1008" s="208">
        <v>0</v>
      </c>
      <c r="L1008" s="208">
        <v>91.599999999999923</v>
      </c>
      <c r="M1008" s="208" t="s">
        <v>244</v>
      </c>
      <c r="N1008" s="208">
        <v>-2588.04</v>
      </c>
      <c r="O1008" s="208">
        <v>2588.04</v>
      </c>
      <c r="P1008" s="208">
        <v>-905.81</v>
      </c>
      <c r="Q1008" s="208">
        <v>905.81</v>
      </c>
    </row>
    <row r="1009" spans="1:17">
      <c r="A1009" s="218">
        <v>44196</v>
      </c>
      <c r="B1009" s="208" t="s">
        <v>41</v>
      </c>
      <c r="C1009" s="208" t="s">
        <v>8</v>
      </c>
      <c r="D1009" s="208">
        <v>2020</v>
      </c>
      <c r="E1009" s="208" t="s">
        <v>148</v>
      </c>
      <c r="F1009" s="208" t="s">
        <v>147</v>
      </c>
      <c r="G1009" s="208" t="s">
        <v>243</v>
      </c>
      <c r="H1009" s="208">
        <v>7248</v>
      </c>
      <c r="I1009" s="208">
        <v>29011.849999999984</v>
      </c>
      <c r="J1009" s="208">
        <v>15458.319999999745</v>
      </c>
      <c r="K1009" s="208">
        <v>0</v>
      </c>
      <c r="L1009" s="208">
        <v>13491.509999999835</v>
      </c>
      <c r="M1009" s="208" t="s">
        <v>244</v>
      </c>
      <c r="N1009" s="208">
        <v>-2588.04</v>
      </c>
      <c r="O1009" s="208">
        <v>2588.04</v>
      </c>
      <c r="P1009" s="208">
        <v>-905.81</v>
      </c>
      <c r="Q1009" s="208">
        <v>905.81</v>
      </c>
    </row>
    <row r="1010" spans="1:17">
      <c r="A1010" s="218">
        <v>44196</v>
      </c>
      <c r="B1010" s="208" t="s">
        <v>262</v>
      </c>
      <c r="C1010" s="208" t="s">
        <v>8</v>
      </c>
      <c r="D1010" s="208">
        <v>2019</v>
      </c>
      <c r="E1010" s="208" t="s">
        <v>148</v>
      </c>
      <c r="F1010" s="208" t="s">
        <v>147</v>
      </c>
      <c r="G1010" s="208" t="s">
        <v>243</v>
      </c>
      <c r="H1010" s="208">
        <v>8256</v>
      </c>
      <c r="I1010" s="208">
        <v>29741.240000000515</v>
      </c>
      <c r="J1010" s="208">
        <v>16450.720000000048</v>
      </c>
      <c r="K1010" s="208">
        <v>0</v>
      </c>
      <c r="L1010" s="208">
        <v>13185.799999999661</v>
      </c>
      <c r="M1010" s="208" t="s">
        <v>244</v>
      </c>
      <c r="N1010" s="208">
        <v>-223.52</v>
      </c>
      <c r="O1010" s="208">
        <v>831.96</v>
      </c>
      <c r="P1010" s="208">
        <v>-78.23</v>
      </c>
      <c r="Q1010" s="208">
        <v>582.37</v>
      </c>
    </row>
    <row r="1011" spans="1:17">
      <c r="A1011" s="218">
        <v>44196</v>
      </c>
      <c r="B1011" s="208" t="s">
        <v>259</v>
      </c>
      <c r="C1011" s="208" t="s">
        <v>8</v>
      </c>
      <c r="D1011" s="208">
        <v>2020</v>
      </c>
      <c r="E1011" s="208" t="s">
        <v>148</v>
      </c>
      <c r="F1011" s="208" t="s">
        <v>147</v>
      </c>
      <c r="G1011" s="208" t="s">
        <v>243</v>
      </c>
      <c r="H1011" s="208">
        <v>27145</v>
      </c>
      <c r="I1011" s="208">
        <v>101933.26999999817</v>
      </c>
      <c r="J1011" s="208">
        <v>58822.950000010584</v>
      </c>
      <c r="K1011" s="208">
        <v>0</v>
      </c>
      <c r="L1011" s="208">
        <v>42985.520000002471</v>
      </c>
      <c r="M1011" s="208" t="s">
        <v>244</v>
      </c>
      <c r="N1011" s="208">
        <v>-2588.04</v>
      </c>
      <c r="O1011" s="208">
        <v>2588.04</v>
      </c>
      <c r="P1011" s="208">
        <v>-905.81</v>
      </c>
      <c r="Q1011" s="208">
        <v>905.81</v>
      </c>
    </row>
    <row r="1012" spans="1:17">
      <c r="A1012" s="218">
        <v>44196</v>
      </c>
      <c r="B1012" s="208" t="s">
        <v>42</v>
      </c>
      <c r="C1012" s="208" t="s">
        <v>8</v>
      </c>
      <c r="D1012" s="208">
        <v>2019</v>
      </c>
      <c r="E1012" s="208" t="s">
        <v>148</v>
      </c>
      <c r="F1012" s="208" t="s">
        <v>147</v>
      </c>
      <c r="G1012" s="208" t="s">
        <v>243</v>
      </c>
      <c r="H1012" s="208">
        <v>40</v>
      </c>
      <c r="I1012" s="208">
        <v>91.179999999999993</v>
      </c>
      <c r="J1012" s="208">
        <v>78.97</v>
      </c>
      <c r="K1012" s="208">
        <v>0</v>
      </c>
      <c r="L1012" s="208">
        <v>12.21</v>
      </c>
      <c r="M1012" s="208" t="s">
        <v>244</v>
      </c>
      <c r="N1012" s="208">
        <v>-223.52</v>
      </c>
      <c r="O1012" s="208">
        <v>831.96</v>
      </c>
      <c r="P1012" s="208">
        <v>-78.23</v>
      </c>
      <c r="Q1012" s="208">
        <v>582.37</v>
      </c>
    </row>
    <row r="1013" spans="1:17">
      <c r="A1013" s="218">
        <v>44196</v>
      </c>
      <c r="B1013" s="208" t="s">
        <v>36</v>
      </c>
      <c r="C1013" s="208" t="s">
        <v>8</v>
      </c>
      <c r="D1013" s="208">
        <v>2020</v>
      </c>
      <c r="E1013" s="208" t="s">
        <v>148</v>
      </c>
      <c r="F1013" s="208" t="s">
        <v>147</v>
      </c>
      <c r="G1013" s="208" t="s">
        <v>243</v>
      </c>
      <c r="H1013" s="208">
        <v>27145</v>
      </c>
      <c r="I1013" s="208">
        <v>101933.26999999826</v>
      </c>
      <c r="J1013" s="208">
        <v>58822.950000010431</v>
      </c>
      <c r="K1013" s="208">
        <v>0</v>
      </c>
      <c r="L1013" s="208">
        <v>42985.520000003824</v>
      </c>
      <c r="M1013" s="208" t="s">
        <v>244</v>
      </c>
      <c r="N1013" s="208">
        <v>-2588.04</v>
      </c>
      <c r="O1013" s="208">
        <v>2588.04</v>
      </c>
      <c r="P1013" s="208">
        <v>-905.81</v>
      </c>
      <c r="Q1013" s="208">
        <v>905.81</v>
      </c>
    </row>
    <row r="1014" spans="1:17">
      <c r="A1014" s="218">
        <v>44196</v>
      </c>
      <c r="B1014" s="208" t="s">
        <v>260</v>
      </c>
      <c r="C1014" s="208" t="s">
        <v>8</v>
      </c>
      <c r="D1014" s="208">
        <v>2020</v>
      </c>
      <c r="E1014" s="208" t="s">
        <v>148</v>
      </c>
      <c r="F1014" s="208" t="s">
        <v>147</v>
      </c>
      <c r="G1014" s="208" t="s">
        <v>243</v>
      </c>
      <c r="H1014" s="208">
        <v>73422</v>
      </c>
      <c r="I1014" s="208">
        <v>230718.29000000126</v>
      </c>
      <c r="J1014" s="208">
        <v>130242.45000003757</v>
      </c>
      <c r="K1014" s="208">
        <v>105.1</v>
      </c>
      <c r="L1014" s="208">
        <v>100007.03999999769</v>
      </c>
      <c r="M1014" s="208" t="s">
        <v>244</v>
      </c>
      <c r="N1014" s="208">
        <v>-2588.04</v>
      </c>
      <c r="O1014" s="208">
        <v>2588.04</v>
      </c>
      <c r="P1014" s="208">
        <v>-905.81</v>
      </c>
      <c r="Q1014" s="208">
        <v>905.81</v>
      </c>
    </row>
    <row r="1015" spans="1:17">
      <c r="A1015" s="218">
        <v>44196</v>
      </c>
      <c r="B1015" s="208" t="s">
        <v>41</v>
      </c>
      <c r="C1015" s="208" t="s">
        <v>8</v>
      </c>
      <c r="D1015" s="208">
        <v>2019</v>
      </c>
      <c r="E1015" s="208" t="s">
        <v>148</v>
      </c>
      <c r="F1015" s="208" t="s">
        <v>147</v>
      </c>
      <c r="G1015" s="208" t="s">
        <v>243</v>
      </c>
      <c r="H1015" s="208">
        <v>5380</v>
      </c>
      <c r="I1015" s="208">
        <v>22610.110000000455</v>
      </c>
      <c r="J1015" s="208">
        <v>11991.159999999982</v>
      </c>
      <c r="K1015" s="208">
        <v>0</v>
      </c>
      <c r="L1015" s="208">
        <v>10402.269999999718</v>
      </c>
      <c r="M1015" s="208" t="s">
        <v>244</v>
      </c>
      <c r="N1015" s="208">
        <v>-223.52</v>
      </c>
      <c r="O1015" s="208">
        <v>831.96</v>
      </c>
      <c r="P1015" s="208">
        <v>-78.23</v>
      </c>
      <c r="Q1015" s="208">
        <v>582.37</v>
      </c>
    </row>
    <row r="1016" spans="1:17">
      <c r="A1016" s="218">
        <v>44196</v>
      </c>
      <c r="B1016" s="208" t="s">
        <v>258</v>
      </c>
      <c r="C1016" s="208" t="s">
        <v>8</v>
      </c>
      <c r="D1016" s="208">
        <v>2019</v>
      </c>
      <c r="E1016" s="208" t="s">
        <v>148</v>
      </c>
      <c r="F1016" s="208" t="s">
        <v>147</v>
      </c>
      <c r="G1016" s="208" t="s">
        <v>243</v>
      </c>
      <c r="H1016" s="208">
        <v>50184</v>
      </c>
      <c r="I1016" s="208">
        <v>148492.579999985</v>
      </c>
      <c r="J1016" s="208">
        <v>83081.640000013998</v>
      </c>
      <c r="K1016" s="208">
        <v>0</v>
      </c>
      <c r="L1016" s="208">
        <v>65284.250000011831</v>
      </c>
      <c r="M1016" s="208" t="s">
        <v>244</v>
      </c>
      <c r="N1016" s="208">
        <v>-223.52</v>
      </c>
      <c r="O1016" s="208">
        <v>831.96</v>
      </c>
      <c r="P1016" s="208">
        <v>-78.23</v>
      </c>
      <c r="Q1016" s="208">
        <v>582.37</v>
      </c>
    </row>
    <row r="1017" spans="1:17">
      <c r="A1017" s="218">
        <v>44196</v>
      </c>
      <c r="B1017" s="208" t="s">
        <v>47</v>
      </c>
      <c r="C1017" s="208" t="s">
        <v>8</v>
      </c>
      <c r="D1017" s="208">
        <v>2019</v>
      </c>
      <c r="E1017" s="208" t="s">
        <v>148</v>
      </c>
      <c r="F1017" s="208" t="s">
        <v>147</v>
      </c>
      <c r="G1017" s="208" t="s">
        <v>243</v>
      </c>
      <c r="H1017" s="208">
        <v>5752</v>
      </c>
      <c r="I1017" s="208">
        <v>23103.160000000469</v>
      </c>
      <c r="J1017" s="208">
        <v>12398.229999999978</v>
      </c>
      <c r="K1017" s="208">
        <v>0</v>
      </c>
      <c r="L1017" s="208">
        <v>10653.009999999696</v>
      </c>
      <c r="M1017" s="208" t="s">
        <v>244</v>
      </c>
      <c r="N1017" s="208">
        <v>-223.52</v>
      </c>
      <c r="O1017" s="208">
        <v>831.96</v>
      </c>
      <c r="P1017" s="208">
        <v>-78.23</v>
      </c>
      <c r="Q1017" s="208">
        <v>582.37</v>
      </c>
    </row>
    <row r="1018" spans="1:17">
      <c r="A1018" s="218">
        <v>44196</v>
      </c>
      <c r="B1018" s="208" t="s">
        <v>39</v>
      </c>
      <c r="C1018" s="208" t="s">
        <v>8</v>
      </c>
      <c r="D1018" s="208">
        <v>2019</v>
      </c>
      <c r="E1018" s="208" t="s">
        <v>148</v>
      </c>
      <c r="F1018" s="208" t="s">
        <v>147</v>
      </c>
      <c r="G1018" s="208" t="s">
        <v>243</v>
      </c>
      <c r="H1018" s="208">
        <v>1012</v>
      </c>
      <c r="I1018" s="208">
        <v>3568.2600000000066</v>
      </c>
      <c r="J1018" s="208">
        <v>1948.5199999999995</v>
      </c>
      <c r="K1018" s="208">
        <v>0</v>
      </c>
      <c r="L1018" s="208">
        <v>1528.8899999999987</v>
      </c>
      <c r="M1018" s="208" t="s">
        <v>244</v>
      </c>
      <c r="N1018" s="208">
        <v>-223.52</v>
      </c>
      <c r="O1018" s="208">
        <v>831.96</v>
      </c>
      <c r="P1018" s="208">
        <v>-78.23</v>
      </c>
      <c r="Q1018" s="208">
        <v>582.37</v>
      </c>
    </row>
    <row r="1019" spans="1:17">
      <c r="A1019" s="218">
        <v>44196</v>
      </c>
      <c r="B1019" s="208" t="s">
        <v>35</v>
      </c>
      <c r="C1019" s="208" t="s">
        <v>8</v>
      </c>
      <c r="D1019" s="208">
        <v>2019</v>
      </c>
      <c r="E1019" s="208" t="s">
        <v>148</v>
      </c>
      <c r="F1019" s="208" t="s">
        <v>147</v>
      </c>
      <c r="G1019" s="208" t="s">
        <v>243</v>
      </c>
      <c r="H1019" s="208">
        <v>514</v>
      </c>
      <c r="I1019" s="208">
        <v>810.53999999999837</v>
      </c>
      <c r="J1019" s="208">
        <v>448.86000000000138</v>
      </c>
      <c r="K1019" s="208">
        <v>0</v>
      </c>
      <c r="L1019" s="208">
        <v>361.6800000000004</v>
      </c>
      <c r="M1019" s="208" t="s">
        <v>244</v>
      </c>
      <c r="N1019" s="208">
        <v>-223.52</v>
      </c>
      <c r="O1019" s="208">
        <v>831.96</v>
      </c>
      <c r="P1019" s="208">
        <v>-78.23</v>
      </c>
      <c r="Q1019" s="208">
        <v>582.37</v>
      </c>
    </row>
    <row r="1020" spans="1:17">
      <c r="A1020" s="218">
        <v>44196</v>
      </c>
      <c r="B1020" s="208" t="s">
        <v>273</v>
      </c>
      <c r="C1020" s="208" t="s">
        <v>8</v>
      </c>
      <c r="D1020" s="208">
        <v>2019</v>
      </c>
      <c r="E1020" s="208" t="s">
        <v>148</v>
      </c>
      <c r="F1020" s="208" t="s">
        <v>147</v>
      </c>
      <c r="G1020" s="208" t="s">
        <v>243</v>
      </c>
      <c r="H1020" s="208">
        <v>37</v>
      </c>
      <c r="I1020" s="208">
        <v>78.330000000000013</v>
      </c>
      <c r="J1020" s="208">
        <v>66.099999999999994</v>
      </c>
      <c r="K1020" s="208">
        <v>0</v>
      </c>
      <c r="L1020" s="208">
        <v>12.229999999999999</v>
      </c>
      <c r="M1020" s="208" t="s">
        <v>244</v>
      </c>
      <c r="N1020" s="208">
        <v>-223.52</v>
      </c>
      <c r="O1020" s="208">
        <v>831.96</v>
      </c>
      <c r="P1020" s="208">
        <v>-78.23</v>
      </c>
      <c r="Q1020" s="208">
        <v>582.37</v>
      </c>
    </row>
    <row r="1021" spans="1:17">
      <c r="A1021" s="218">
        <v>44196</v>
      </c>
      <c r="B1021" s="208" t="s">
        <v>263</v>
      </c>
      <c r="C1021" s="208" t="s">
        <v>8</v>
      </c>
      <c r="D1021" s="208">
        <v>2019</v>
      </c>
      <c r="E1021" s="208" t="s">
        <v>148</v>
      </c>
      <c r="F1021" s="208" t="s">
        <v>147</v>
      </c>
      <c r="G1021" s="208" t="s">
        <v>243</v>
      </c>
      <c r="H1021" s="208">
        <v>4746</v>
      </c>
      <c r="I1021" s="208">
        <v>20971.780000000523</v>
      </c>
      <c r="J1021" s="208">
        <v>11291.25999999998</v>
      </c>
      <c r="K1021" s="208">
        <v>0</v>
      </c>
      <c r="L1021" s="208">
        <v>9464.3499999997603</v>
      </c>
      <c r="M1021" s="208" t="s">
        <v>244</v>
      </c>
      <c r="N1021" s="208">
        <v>-223.52</v>
      </c>
      <c r="O1021" s="208">
        <v>831.96</v>
      </c>
      <c r="P1021" s="208">
        <v>-78.23</v>
      </c>
      <c r="Q1021" s="208">
        <v>582.37</v>
      </c>
    </row>
    <row r="1022" spans="1:17">
      <c r="A1022" s="218">
        <v>44196</v>
      </c>
      <c r="B1022" s="208" t="s">
        <v>43</v>
      </c>
      <c r="C1022" s="208" t="s">
        <v>8</v>
      </c>
      <c r="D1022" s="208">
        <v>2019</v>
      </c>
      <c r="E1022" s="208" t="s">
        <v>148</v>
      </c>
      <c r="F1022" s="208" t="s">
        <v>147</v>
      </c>
      <c r="G1022" s="208" t="s">
        <v>243</v>
      </c>
      <c r="H1022" s="208">
        <v>8256</v>
      </c>
      <c r="I1022" s="208">
        <v>29741.240000000529</v>
      </c>
      <c r="J1022" s="208">
        <v>16450.720000000085</v>
      </c>
      <c r="K1022" s="208">
        <v>0</v>
      </c>
      <c r="L1022" s="208">
        <v>13185.799999999648</v>
      </c>
      <c r="M1022" s="208" t="s">
        <v>244</v>
      </c>
      <c r="N1022" s="208">
        <v>-223.52</v>
      </c>
      <c r="O1022" s="208">
        <v>831.96</v>
      </c>
      <c r="P1022" s="208">
        <v>-78.23</v>
      </c>
      <c r="Q1022" s="208">
        <v>582.37</v>
      </c>
    </row>
    <row r="1023" spans="1:17">
      <c r="A1023" s="218">
        <v>44196</v>
      </c>
      <c r="B1023" s="208" t="s">
        <v>270</v>
      </c>
      <c r="C1023" s="208" t="s">
        <v>8</v>
      </c>
      <c r="D1023" s="208">
        <v>2020</v>
      </c>
      <c r="E1023" s="208" t="s">
        <v>148</v>
      </c>
      <c r="F1023" s="208" t="s">
        <v>147</v>
      </c>
      <c r="G1023" s="208" t="s">
        <v>243</v>
      </c>
      <c r="H1023" s="208">
        <v>277</v>
      </c>
      <c r="I1023" s="208">
        <v>1029.6399999999985</v>
      </c>
      <c r="J1023" s="208">
        <v>575.52000000000055</v>
      </c>
      <c r="K1023" s="208">
        <v>0</v>
      </c>
      <c r="L1023" s="208">
        <v>454.11999999999983</v>
      </c>
      <c r="M1023" s="208" t="s">
        <v>244</v>
      </c>
      <c r="N1023" s="208">
        <v>-2588.04</v>
      </c>
      <c r="O1023" s="208">
        <v>2588.04</v>
      </c>
      <c r="P1023" s="208">
        <v>-905.81</v>
      </c>
      <c r="Q1023" s="208">
        <v>905.81</v>
      </c>
    </row>
    <row r="1024" spans="1:17">
      <c r="A1024" s="218">
        <v>44196</v>
      </c>
      <c r="B1024" s="208" t="s">
        <v>33</v>
      </c>
      <c r="C1024" s="208" t="s">
        <v>8</v>
      </c>
      <c r="D1024" s="208">
        <v>2020</v>
      </c>
      <c r="E1024" s="208" t="s">
        <v>148</v>
      </c>
      <c r="F1024" s="208" t="s">
        <v>147</v>
      </c>
      <c r="G1024" s="208" t="s">
        <v>243</v>
      </c>
      <c r="H1024" s="208">
        <v>5260</v>
      </c>
      <c r="I1024" s="208">
        <v>27380.999999999847</v>
      </c>
      <c r="J1024" s="208">
        <v>15986.239999999862</v>
      </c>
      <c r="K1024" s="208">
        <v>0</v>
      </c>
      <c r="L1024" s="208">
        <v>11362.809999999967</v>
      </c>
      <c r="M1024" s="208" t="s">
        <v>244</v>
      </c>
      <c r="N1024" s="208">
        <v>-2588.04</v>
      </c>
      <c r="O1024" s="208">
        <v>2588.04</v>
      </c>
      <c r="P1024" s="208">
        <v>-905.81</v>
      </c>
      <c r="Q1024" s="208">
        <v>905.81</v>
      </c>
    </row>
    <row r="1025" spans="1:17">
      <c r="A1025" s="218">
        <v>44196</v>
      </c>
      <c r="B1025" s="208" t="s">
        <v>266</v>
      </c>
      <c r="C1025" s="208" t="s">
        <v>8</v>
      </c>
      <c r="D1025" s="208">
        <v>2020</v>
      </c>
      <c r="E1025" s="208" t="s">
        <v>148</v>
      </c>
      <c r="F1025" s="208" t="s">
        <v>147</v>
      </c>
      <c r="G1025" s="208" t="s">
        <v>243</v>
      </c>
      <c r="H1025" s="208">
        <v>219</v>
      </c>
      <c r="I1025" s="208">
        <v>737.31999999999925</v>
      </c>
      <c r="J1025" s="208">
        <v>645.72000000000037</v>
      </c>
      <c r="K1025" s="208">
        <v>0</v>
      </c>
      <c r="L1025" s="208">
        <v>91.599999999999937</v>
      </c>
      <c r="M1025" s="208" t="s">
        <v>244</v>
      </c>
      <c r="N1025" s="208">
        <v>-2588.04</v>
      </c>
      <c r="O1025" s="208">
        <v>2588.04</v>
      </c>
      <c r="P1025" s="208">
        <v>-905.81</v>
      </c>
      <c r="Q1025" s="208">
        <v>905.81</v>
      </c>
    </row>
    <row r="1026" spans="1:17">
      <c r="A1026" s="218">
        <v>44196</v>
      </c>
      <c r="B1026" s="208" t="s">
        <v>37</v>
      </c>
      <c r="C1026" s="208" t="s">
        <v>8</v>
      </c>
      <c r="D1026" s="208">
        <v>2019</v>
      </c>
      <c r="E1026" s="208" t="s">
        <v>148</v>
      </c>
      <c r="F1026" s="208" t="s">
        <v>147</v>
      </c>
      <c r="G1026" s="208" t="s">
        <v>243</v>
      </c>
      <c r="H1026" s="208">
        <v>19812</v>
      </c>
      <c r="I1026" s="208">
        <v>65076.759999997244</v>
      </c>
      <c r="J1026" s="208">
        <v>36845.990000004036</v>
      </c>
      <c r="K1026" s="208">
        <v>-26.930000000000003</v>
      </c>
      <c r="L1026" s="208">
        <v>27809.270000002045</v>
      </c>
      <c r="M1026" s="208" t="s">
        <v>244</v>
      </c>
      <c r="N1026" s="208">
        <v>-223.52</v>
      </c>
      <c r="O1026" s="208">
        <v>831.96</v>
      </c>
      <c r="P1026" s="208">
        <v>-78.23</v>
      </c>
      <c r="Q1026" s="208">
        <v>582.37</v>
      </c>
    </row>
    <row r="1027" spans="1:17">
      <c r="A1027" s="218">
        <v>44196</v>
      </c>
      <c r="B1027" s="208" t="s">
        <v>269</v>
      </c>
      <c r="C1027" s="208" t="s">
        <v>8</v>
      </c>
      <c r="D1027" s="208">
        <v>2019</v>
      </c>
      <c r="E1027" s="208" t="s">
        <v>148</v>
      </c>
      <c r="F1027" s="208" t="s">
        <v>147</v>
      </c>
      <c r="G1027" s="208" t="s">
        <v>243</v>
      </c>
      <c r="H1027" s="208">
        <v>1012</v>
      </c>
      <c r="I1027" s="208">
        <v>3568.2600000000034</v>
      </c>
      <c r="J1027" s="208">
        <v>1948.519999999997</v>
      </c>
      <c r="K1027" s="208">
        <v>0</v>
      </c>
      <c r="L1027" s="208">
        <v>1528.8899999999999</v>
      </c>
      <c r="M1027" s="208" t="s">
        <v>244</v>
      </c>
      <c r="N1027" s="208">
        <v>-223.52</v>
      </c>
      <c r="O1027" s="208">
        <v>831.96</v>
      </c>
      <c r="P1027" s="208">
        <v>-78.23</v>
      </c>
      <c r="Q1027" s="208">
        <v>582.37</v>
      </c>
    </row>
    <row r="1028" spans="1:17">
      <c r="A1028" s="218">
        <v>44196</v>
      </c>
      <c r="B1028" s="208" t="s">
        <v>44</v>
      </c>
      <c r="C1028" s="208" t="s">
        <v>8</v>
      </c>
      <c r="D1028" s="208">
        <v>2020</v>
      </c>
      <c r="E1028" s="208" t="s">
        <v>148</v>
      </c>
      <c r="F1028" s="208" t="s">
        <v>147</v>
      </c>
      <c r="G1028" s="208" t="s">
        <v>243</v>
      </c>
      <c r="H1028" s="208">
        <v>66</v>
      </c>
      <c r="I1028" s="208">
        <v>219.53000000000003</v>
      </c>
      <c r="J1028" s="208">
        <v>185.09</v>
      </c>
      <c r="K1028" s="208">
        <v>0</v>
      </c>
      <c r="L1028" s="208">
        <v>34.440000000000005</v>
      </c>
      <c r="M1028" s="208" t="s">
        <v>244</v>
      </c>
      <c r="N1028" s="208">
        <v>-2588.04</v>
      </c>
      <c r="O1028" s="208">
        <v>2588.04</v>
      </c>
      <c r="P1028" s="208">
        <v>-905.81</v>
      </c>
      <c r="Q1028" s="208">
        <v>905.81</v>
      </c>
    </row>
    <row r="1029" spans="1:17">
      <c r="A1029" s="218">
        <v>44196</v>
      </c>
      <c r="B1029" s="208" t="s">
        <v>43</v>
      </c>
      <c r="C1029" s="208" t="s">
        <v>8</v>
      </c>
      <c r="D1029" s="208">
        <v>2020</v>
      </c>
      <c r="E1029" s="208" t="s">
        <v>148</v>
      </c>
      <c r="F1029" s="208" t="s">
        <v>147</v>
      </c>
      <c r="G1029" s="208" t="s">
        <v>243</v>
      </c>
      <c r="H1029" s="208">
        <v>7148</v>
      </c>
      <c r="I1029" s="208">
        <v>25389.820000000211</v>
      </c>
      <c r="J1029" s="208">
        <v>14515.019999999711</v>
      </c>
      <c r="K1029" s="208">
        <v>0</v>
      </c>
      <c r="L1029" s="208">
        <v>10696.43999999992</v>
      </c>
      <c r="M1029" s="208" t="s">
        <v>244</v>
      </c>
      <c r="N1029" s="208">
        <v>-2588.04</v>
      </c>
      <c r="O1029" s="208">
        <v>2588.04</v>
      </c>
      <c r="P1029" s="208">
        <v>-905.81</v>
      </c>
      <c r="Q1029" s="208">
        <v>905.81</v>
      </c>
    </row>
    <row r="1030" spans="1:17">
      <c r="A1030" s="218">
        <v>44196</v>
      </c>
      <c r="B1030" s="208" t="s">
        <v>268</v>
      </c>
      <c r="C1030" s="208" t="s">
        <v>8</v>
      </c>
      <c r="D1030" s="208">
        <v>2020</v>
      </c>
      <c r="E1030" s="208" t="s">
        <v>148</v>
      </c>
      <c r="F1030" s="208" t="s">
        <v>147</v>
      </c>
      <c r="G1030" s="208" t="s">
        <v>243</v>
      </c>
      <c r="H1030" s="208">
        <v>9312</v>
      </c>
      <c r="I1030" s="208">
        <v>36416.669999999685</v>
      </c>
      <c r="J1030" s="208">
        <v>19788.990000000744</v>
      </c>
      <c r="K1030" s="208">
        <v>0</v>
      </c>
      <c r="L1030" s="208">
        <v>16478.469999999859</v>
      </c>
      <c r="M1030" s="208" t="s">
        <v>244</v>
      </c>
      <c r="N1030" s="208">
        <v>-2588.04</v>
      </c>
      <c r="O1030" s="208">
        <v>2588.04</v>
      </c>
      <c r="P1030" s="208">
        <v>-905.81</v>
      </c>
      <c r="Q1030" s="208">
        <v>905.81</v>
      </c>
    </row>
    <row r="1031" spans="1:17">
      <c r="A1031" s="218">
        <v>44196</v>
      </c>
      <c r="B1031" s="208" t="s">
        <v>263</v>
      </c>
      <c r="C1031" s="208" t="s">
        <v>8</v>
      </c>
      <c r="D1031" s="208">
        <v>2020</v>
      </c>
      <c r="E1031" s="208" t="s">
        <v>148</v>
      </c>
      <c r="F1031" s="208" t="s">
        <v>147</v>
      </c>
      <c r="G1031" s="208" t="s">
        <v>243</v>
      </c>
      <c r="H1031" s="208">
        <v>5260</v>
      </c>
      <c r="I1031" s="208">
        <v>27380.999999999811</v>
      </c>
      <c r="J1031" s="208">
        <v>15986.2399999999</v>
      </c>
      <c r="K1031" s="208">
        <v>0</v>
      </c>
      <c r="L1031" s="208">
        <v>11362.809999999969</v>
      </c>
      <c r="M1031" s="208" t="s">
        <v>244</v>
      </c>
      <c r="N1031" s="208">
        <v>-2588.04</v>
      </c>
      <c r="O1031" s="208">
        <v>2588.04</v>
      </c>
      <c r="P1031" s="208">
        <v>-905.81</v>
      </c>
      <c r="Q1031" s="208">
        <v>905.81</v>
      </c>
    </row>
    <row r="1032" spans="1:17">
      <c r="A1032" s="218">
        <v>44196</v>
      </c>
      <c r="B1032" s="208" t="s">
        <v>45</v>
      </c>
      <c r="C1032" s="208" t="s">
        <v>8</v>
      </c>
      <c r="D1032" s="208">
        <v>2019</v>
      </c>
      <c r="E1032" s="208" t="s">
        <v>148</v>
      </c>
      <c r="F1032" s="208" t="s">
        <v>147</v>
      </c>
      <c r="G1032" s="208" t="s">
        <v>243</v>
      </c>
      <c r="H1032" s="208">
        <v>6935</v>
      </c>
      <c r="I1032" s="208">
        <v>26721.340000000499</v>
      </c>
      <c r="J1032" s="208">
        <v>14521.760000000053</v>
      </c>
      <c r="K1032" s="208">
        <v>0</v>
      </c>
      <c r="L1032" s="208">
        <v>11911.54999999967</v>
      </c>
      <c r="M1032" s="208" t="s">
        <v>244</v>
      </c>
      <c r="N1032" s="208">
        <v>-223.52</v>
      </c>
      <c r="O1032" s="208">
        <v>831.96</v>
      </c>
      <c r="P1032" s="208">
        <v>-78.23</v>
      </c>
      <c r="Q1032" s="208">
        <v>582.37</v>
      </c>
    </row>
    <row r="1033" spans="1:17">
      <c r="A1033" s="218">
        <v>44196</v>
      </c>
      <c r="B1033" s="208" t="s">
        <v>225</v>
      </c>
      <c r="C1033" s="208" t="s">
        <v>8</v>
      </c>
      <c r="D1033" s="208">
        <v>2019</v>
      </c>
      <c r="E1033" s="208" t="s">
        <v>148</v>
      </c>
      <c r="F1033" s="208" t="s">
        <v>147</v>
      </c>
      <c r="G1033" s="208" t="s">
        <v>243</v>
      </c>
      <c r="H1033" s="208">
        <v>19812</v>
      </c>
      <c r="I1033" s="208">
        <v>65076.759999997099</v>
      </c>
      <c r="J1033" s="208">
        <v>36845.990000003818</v>
      </c>
      <c r="K1033" s="208">
        <v>-26.930000000000003</v>
      </c>
      <c r="L1033" s="208">
        <v>27809.270000001594</v>
      </c>
      <c r="M1033" s="208" t="s">
        <v>244</v>
      </c>
      <c r="N1033" s="208">
        <v>-223.52</v>
      </c>
      <c r="O1033" s="208">
        <v>831.96</v>
      </c>
      <c r="P1033" s="208">
        <v>-78.23</v>
      </c>
      <c r="Q1033" s="208">
        <v>582.37</v>
      </c>
    </row>
    <row r="1034" spans="1:17">
      <c r="A1034" s="218">
        <v>44196</v>
      </c>
      <c r="B1034" s="208" t="s">
        <v>45</v>
      </c>
      <c r="C1034" s="208" t="s">
        <v>8</v>
      </c>
      <c r="D1034" s="208">
        <v>2020</v>
      </c>
      <c r="E1034" s="208" t="s">
        <v>148</v>
      </c>
      <c r="F1034" s="208" t="s">
        <v>147</v>
      </c>
      <c r="G1034" s="208" t="s">
        <v>243</v>
      </c>
      <c r="H1034" s="208">
        <v>10115</v>
      </c>
      <c r="I1034" s="208">
        <v>40786.959999999308</v>
      </c>
      <c r="J1034" s="208">
        <v>22553.430000001114</v>
      </c>
      <c r="K1034" s="208">
        <v>0</v>
      </c>
      <c r="L1034" s="208">
        <v>18102.769999999946</v>
      </c>
      <c r="M1034" s="208" t="s">
        <v>244</v>
      </c>
      <c r="N1034" s="208">
        <v>-2588.04</v>
      </c>
      <c r="O1034" s="208">
        <v>2588.04</v>
      </c>
      <c r="P1034" s="208">
        <v>-905.81</v>
      </c>
      <c r="Q1034" s="208">
        <v>905.81</v>
      </c>
    </row>
    <row r="1035" spans="1:17">
      <c r="A1035" s="218">
        <v>44196</v>
      </c>
      <c r="B1035" s="208" t="s">
        <v>265</v>
      </c>
      <c r="C1035" s="208" t="s">
        <v>8</v>
      </c>
      <c r="D1035" s="208">
        <v>2020</v>
      </c>
      <c r="E1035" s="208" t="s">
        <v>148</v>
      </c>
      <c r="F1035" s="208" t="s">
        <v>147</v>
      </c>
      <c r="G1035" s="208" t="s">
        <v>243</v>
      </c>
      <c r="H1035" s="208">
        <v>165</v>
      </c>
      <c r="I1035" s="208">
        <v>775.60999999999933</v>
      </c>
      <c r="J1035" s="208">
        <v>633.14</v>
      </c>
      <c r="K1035" s="208">
        <v>0</v>
      </c>
      <c r="L1035" s="208">
        <v>134.13999999999984</v>
      </c>
      <c r="M1035" s="208" t="s">
        <v>244</v>
      </c>
      <c r="N1035" s="208">
        <v>-2588.04</v>
      </c>
      <c r="O1035" s="208">
        <v>2588.04</v>
      </c>
      <c r="P1035" s="208">
        <v>-905.81</v>
      </c>
      <c r="Q1035" s="208">
        <v>905.81</v>
      </c>
    </row>
    <row r="1036" spans="1:17">
      <c r="A1036" s="218">
        <v>44196</v>
      </c>
      <c r="B1036" s="208" t="s">
        <v>37</v>
      </c>
      <c r="C1036" s="208" t="s">
        <v>8</v>
      </c>
      <c r="D1036" s="208">
        <v>2020</v>
      </c>
      <c r="E1036" s="208" t="s">
        <v>148</v>
      </c>
      <c r="F1036" s="208" t="s">
        <v>147</v>
      </c>
      <c r="G1036" s="208" t="s">
        <v>243</v>
      </c>
      <c r="H1036" s="208">
        <v>17465</v>
      </c>
      <c r="I1036" s="208">
        <v>63250.719999996858</v>
      </c>
      <c r="J1036" s="208">
        <v>35553.480000003809</v>
      </c>
      <c r="K1036" s="208">
        <v>0</v>
      </c>
      <c r="L1036" s="208">
        <v>27640.860000000892</v>
      </c>
      <c r="M1036" s="208" t="s">
        <v>244</v>
      </c>
      <c r="N1036" s="208">
        <v>-2588.04</v>
      </c>
      <c r="O1036" s="208">
        <v>2588.04</v>
      </c>
      <c r="P1036" s="208">
        <v>-905.81</v>
      </c>
      <c r="Q1036" s="208">
        <v>905.81</v>
      </c>
    </row>
    <row r="1037" spans="1:17">
      <c r="A1037" s="218">
        <v>44196</v>
      </c>
      <c r="B1037" s="208" t="s">
        <v>267</v>
      </c>
      <c r="C1037" s="208" t="s">
        <v>8</v>
      </c>
      <c r="D1037" s="208">
        <v>2020</v>
      </c>
      <c r="E1037" s="208" t="s">
        <v>148</v>
      </c>
      <c r="F1037" s="208" t="s">
        <v>147</v>
      </c>
      <c r="G1037" s="208" t="s">
        <v>243</v>
      </c>
      <c r="H1037" s="208">
        <v>10115</v>
      </c>
      <c r="I1037" s="208">
        <v>40786.959999999235</v>
      </c>
      <c r="J1037" s="208">
        <v>22553.430000001405</v>
      </c>
      <c r="K1037" s="208">
        <v>0</v>
      </c>
      <c r="L1037" s="208">
        <v>18102.769999999909</v>
      </c>
      <c r="M1037" s="208" t="s">
        <v>244</v>
      </c>
      <c r="N1037" s="208">
        <v>-2588.04</v>
      </c>
      <c r="O1037" s="208">
        <v>2588.04</v>
      </c>
      <c r="P1037" s="208">
        <v>-905.81</v>
      </c>
      <c r="Q1037" s="208">
        <v>905.81</v>
      </c>
    </row>
    <row r="1038" spans="1:17">
      <c r="A1038" s="218">
        <v>44196</v>
      </c>
      <c r="B1038" s="208" t="s">
        <v>35</v>
      </c>
      <c r="C1038" s="208" t="s">
        <v>8</v>
      </c>
      <c r="D1038" s="208">
        <v>2020</v>
      </c>
      <c r="E1038" s="208" t="s">
        <v>148</v>
      </c>
      <c r="F1038" s="208" t="s">
        <v>147</v>
      </c>
      <c r="G1038" s="208" t="s">
        <v>243</v>
      </c>
      <c r="H1038" s="208">
        <v>1039</v>
      </c>
      <c r="I1038" s="208">
        <v>3458.7000000000098</v>
      </c>
      <c r="J1038" s="208">
        <v>1780.1899999999944</v>
      </c>
      <c r="K1038" s="208">
        <v>0</v>
      </c>
      <c r="L1038" s="208">
        <v>1569.7</v>
      </c>
      <c r="M1038" s="208" t="s">
        <v>244</v>
      </c>
      <c r="N1038" s="208">
        <v>-2588.04</v>
      </c>
      <c r="O1038" s="208">
        <v>2588.04</v>
      </c>
      <c r="P1038" s="208">
        <v>-905.81</v>
      </c>
      <c r="Q1038" s="208">
        <v>905.81</v>
      </c>
    </row>
    <row r="1039" spans="1:17">
      <c r="A1039" s="218">
        <v>44196</v>
      </c>
      <c r="B1039" s="208" t="s">
        <v>273</v>
      </c>
      <c r="C1039" s="208" t="s">
        <v>8</v>
      </c>
      <c r="D1039" s="208">
        <v>2020</v>
      </c>
      <c r="E1039" s="208" t="s">
        <v>148</v>
      </c>
      <c r="F1039" s="208" t="s">
        <v>147</v>
      </c>
      <c r="G1039" s="208" t="s">
        <v>243</v>
      </c>
      <c r="H1039" s="208">
        <v>66</v>
      </c>
      <c r="I1039" s="208">
        <v>219.52999999999997</v>
      </c>
      <c r="J1039" s="208">
        <v>185.08999999999997</v>
      </c>
      <c r="K1039" s="208">
        <v>0</v>
      </c>
      <c r="L1039" s="208">
        <v>34.44</v>
      </c>
      <c r="M1039" s="208" t="s">
        <v>244</v>
      </c>
      <c r="N1039" s="208">
        <v>-2588.04</v>
      </c>
      <c r="O1039" s="208">
        <v>2588.04</v>
      </c>
      <c r="P1039" s="208">
        <v>-905.81</v>
      </c>
      <c r="Q1039" s="208">
        <v>905.81</v>
      </c>
    </row>
    <row r="1040" spans="1:17">
      <c r="A1040" s="218">
        <v>44196</v>
      </c>
      <c r="B1040" s="208" t="s">
        <v>271</v>
      </c>
      <c r="C1040" s="208" t="s">
        <v>8</v>
      </c>
      <c r="D1040" s="208">
        <v>2020</v>
      </c>
      <c r="E1040" s="208" t="s">
        <v>148</v>
      </c>
      <c r="F1040" s="208" t="s">
        <v>147</v>
      </c>
      <c r="G1040" s="208" t="s">
        <v>243</v>
      </c>
      <c r="H1040" s="208">
        <v>20</v>
      </c>
      <c r="I1040" s="208">
        <v>36</v>
      </c>
      <c r="J1040" s="208">
        <v>23.449999999999996</v>
      </c>
      <c r="K1040" s="208">
        <v>0</v>
      </c>
      <c r="L1040" s="208">
        <v>12.549999999999999</v>
      </c>
      <c r="M1040" s="208" t="s">
        <v>244</v>
      </c>
      <c r="N1040" s="208">
        <v>-2588.04</v>
      </c>
      <c r="O1040" s="208">
        <v>2588.04</v>
      </c>
      <c r="P1040" s="208">
        <v>-905.81</v>
      </c>
      <c r="Q1040" s="208">
        <v>905.81</v>
      </c>
    </row>
    <row r="1041" spans="1:17">
      <c r="A1041" s="218">
        <v>44196</v>
      </c>
      <c r="B1041" s="208" t="s">
        <v>225</v>
      </c>
      <c r="C1041" s="208" t="s">
        <v>8</v>
      </c>
      <c r="D1041" s="208">
        <v>2020</v>
      </c>
      <c r="E1041" s="208" t="s">
        <v>148</v>
      </c>
      <c r="F1041" s="208" t="s">
        <v>147</v>
      </c>
      <c r="G1041" s="208" t="s">
        <v>243</v>
      </c>
      <c r="H1041" s="208">
        <v>17465</v>
      </c>
      <c r="I1041" s="208">
        <v>63250.719999997498</v>
      </c>
      <c r="J1041" s="208">
        <v>35553.480000004311</v>
      </c>
      <c r="K1041" s="208">
        <v>0</v>
      </c>
      <c r="L1041" s="208">
        <v>27640.860000000492</v>
      </c>
      <c r="M1041" s="208" t="s">
        <v>244</v>
      </c>
      <c r="N1041" s="208">
        <v>-2588.04</v>
      </c>
      <c r="O1041" s="208">
        <v>2588.04</v>
      </c>
      <c r="P1041" s="208">
        <v>-905.81</v>
      </c>
      <c r="Q1041" s="208">
        <v>905.81</v>
      </c>
    </row>
    <row r="1042" spans="1:17">
      <c r="A1042" s="218">
        <v>44196</v>
      </c>
      <c r="B1042" s="208" t="s">
        <v>225</v>
      </c>
      <c r="C1042" s="208" t="s">
        <v>8</v>
      </c>
      <c r="D1042" s="208">
        <v>2020</v>
      </c>
      <c r="E1042" s="208" t="s">
        <v>150</v>
      </c>
      <c r="F1042" s="208" t="s">
        <v>149</v>
      </c>
      <c r="G1042" s="208" t="s">
        <v>243</v>
      </c>
      <c r="H1042" s="208">
        <v>1</v>
      </c>
      <c r="I1042" s="208">
        <v>70</v>
      </c>
      <c r="J1042" s="208">
        <v>0</v>
      </c>
      <c r="K1042" s="208">
        <v>0</v>
      </c>
      <c r="L1042" s="208">
        <v>68.56</v>
      </c>
      <c r="M1042" s="208" t="s">
        <v>244</v>
      </c>
      <c r="N1042" s="208">
        <v>-35</v>
      </c>
      <c r="O1042" s="208">
        <v>80</v>
      </c>
      <c r="P1042" s="208">
        <v>-35</v>
      </c>
      <c r="Q1042" s="208">
        <v>68.56</v>
      </c>
    </row>
    <row r="1043" spans="1:17">
      <c r="A1043" s="218">
        <v>44196</v>
      </c>
      <c r="B1043" s="208" t="s">
        <v>29</v>
      </c>
      <c r="C1043" s="208" t="s">
        <v>8</v>
      </c>
      <c r="D1043" s="208">
        <v>2019</v>
      </c>
      <c r="E1043" s="208" t="s">
        <v>150</v>
      </c>
      <c r="F1043" s="208" t="s">
        <v>149</v>
      </c>
      <c r="G1043" s="208" t="s">
        <v>243</v>
      </c>
      <c r="H1043" s="208">
        <v>65</v>
      </c>
      <c r="I1043" s="208">
        <v>2097.5</v>
      </c>
      <c r="J1043" s="208">
        <v>0</v>
      </c>
      <c r="K1043" s="208">
        <v>0</v>
      </c>
      <c r="L1043" s="208">
        <v>1756</v>
      </c>
      <c r="M1043" s="208" t="s">
        <v>244</v>
      </c>
      <c r="N1043" s="208">
        <v>-49</v>
      </c>
      <c r="O1043" s="208">
        <v>85</v>
      </c>
      <c r="P1043" s="208">
        <v>-49</v>
      </c>
      <c r="Q1043" s="208">
        <v>67.540000000000006</v>
      </c>
    </row>
    <row r="1044" spans="1:17">
      <c r="A1044" s="218">
        <v>44196</v>
      </c>
      <c r="B1044" s="208" t="s">
        <v>258</v>
      </c>
      <c r="C1044" s="208" t="s">
        <v>8</v>
      </c>
      <c r="D1044" s="208">
        <v>2020</v>
      </c>
      <c r="E1044" s="208" t="s">
        <v>150</v>
      </c>
      <c r="F1044" s="208" t="s">
        <v>149</v>
      </c>
      <c r="G1044" s="208" t="s">
        <v>243</v>
      </c>
      <c r="H1044" s="208">
        <v>18</v>
      </c>
      <c r="I1044" s="208">
        <v>918.96</v>
      </c>
      <c r="J1044" s="208">
        <v>0</v>
      </c>
      <c r="K1044" s="208">
        <v>0</v>
      </c>
      <c r="L1044" s="208">
        <v>831.96</v>
      </c>
      <c r="M1044" s="208" t="s">
        <v>244</v>
      </c>
      <c r="N1044" s="208">
        <v>-35</v>
      </c>
      <c r="O1044" s="208">
        <v>80</v>
      </c>
      <c r="P1044" s="208">
        <v>-35</v>
      </c>
      <c r="Q1044" s="208">
        <v>68.56</v>
      </c>
    </row>
    <row r="1045" spans="1:17">
      <c r="A1045" s="218">
        <v>44196</v>
      </c>
      <c r="B1045" s="208" t="s">
        <v>37</v>
      </c>
      <c r="C1045" s="208" t="s">
        <v>8</v>
      </c>
      <c r="D1045" s="208">
        <v>2020</v>
      </c>
      <c r="E1045" s="208" t="s">
        <v>150</v>
      </c>
      <c r="F1045" s="208" t="s">
        <v>149</v>
      </c>
      <c r="G1045" s="208" t="s">
        <v>243</v>
      </c>
      <c r="H1045" s="208">
        <v>1</v>
      </c>
      <c r="I1045" s="208">
        <v>70</v>
      </c>
      <c r="J1045" s="208">
        <v>0</v>
      </c>
      <c r="K1045" s="208">
        <v>0</v>
      </c>
      <c r="L1045" s="208">
        <v>68.56</v>
      </c>
      <c r="M1045" s="208" t="s">
        <v>244</v>
      </c>
      <c r="N1045" s="208">
        <v>-35</v>
      </c>
      <c r="O1045" s="208">
        <v>80</v>
      </c>
      <c r="P1045" s="208">
        <v>-35</v>
      </c>
      <c r="Q1045" s="208">
        <v>68.56</v>
      </c>
    </row>
    <row r="1046" spans="1:17">
      <c r="A1046" s="218">
        <v>44196</v>
      </c>
      <c r="B1046" s="208" t="s">
        <v>29</v>
      </c>
      <c r="C1046" s="208" t="s">
        <v>8</v>
      </c>
      <c r="D1046" s="208">
        <v>2020</v>
      </c>
      <c r="E1046" s="208" t="s">
        <v>150</v>
      </c>
      <c r="F1046" s="208" t="s">
        <v>149</v>
      </c>
      <c r="G1046" s="208" t="s">
        <v>243</v>
      </c>
      <c r="H1046" s="208">
        <v>36</v>
      </c>
      <c r="I1046" s="208">
        <v>1294</v>
      </c>
      <c r="J1046" s="208">
        <v>0</v>
      </c>
      <c r="K1046" s="208">
        <v>0</v>
      </c>
      <c r="L1046" s="208">
        <v>1229</v>
      </c>
      <c r="M1046" s="208" t="s">
        <v>244</v>
      </c>
      <c r="N1046" s="208">
        <v>-35</v>
      </c>
      <c r="O1046" s="208">
        <v>80</v>
      </c>
      <c r="P1046" s="208">
        <v>-35</v>
      </c>
      <c r="Q1046" s="208">
        <v>68.56</v>
      </c>
    </row>
    <row r="1047" spans="1:17">
      <c r="A1047" s="218">
        <v>44196</v>
      </c>
      <c r="B1047" s="208" t="s">
        <v>36</v>
      </c>
      <c r="C1047" s="208" t="s">
        <v>8</v>
      </c>
      <c r="D1047" s="208">
        <v>2019</v>
      </c>
      <c r="E1047" s="208" t="s">
        <v>150</v>
      </c>
      <c r="F1047" s="208" t="s">
        <v>149</v>
      </c>
      <c r="G1047" s="208" t="s">
        <v>243</v>
      </c>
      <c r="H1047" s="208">
        <v>18</v>
      </c>
      <c r="I1047" s="208">
        <v>658</v>
      </c>
      <c r="J1047" s="208">
        <v>0</v>
      </c>
      <c r="K1047" s="208">
        <v>0</v>
      </c>
      <c r="L1047" s="208">
        <v>585</v>
      </c>
      <c r="M1047" s="208" t="s">
        <v>244</v>
      </c>
      <c r="N1047" s="208">
        <v>-49</v>
      </c>
      <c r="O1047" s="208">
        <v>85</v>
      </c>
      <c r="P1047" s="208">
        <v>-49</v>
      </c>
      <c r="Q1047" s="208">
        <v>67.540000000000006</v>
      </c>
    </row>
    <row r="1048" spans="1:17">
      <c r="A1048" s="218">
        <v>44196</v>
      </c>
      <c r="B1048" s="208" t="s">
        <v>260</v>
      </c>
      <c r="C1048" s="208" t="s">
        <v>8</v>
      </c>
      <c r="D1048" s="208">
        <v>2020</v>
      </c>
      <c r="E1048" s="208" t="s">
        <v>150</v>
      </c>
      <c r="F1048" s="208" t="s">
        <v>149</v>
      </c>
      <c r="G1048" s="208" t="s">
        <v>243</v>
      </c>
      <c r="H1048" s="208">
        <v>36</v>
      </c>
      <c r="I1048" s="208">
        <v>1294</v>
      </c>
      <c r="J1048" s="208">
        <v>0</v>
      </c>
      <c r="K1048" s="208">
        <v>0</v>
      </c>
      <c r="L1048" s="208">
        <v>1229</v>
      </c>
      <c r="M1048" s="208" t="s">
        <v>244</v>
      </c>
      <c r="N1048" s="208">
        <v>-35</v>
      </c>
      <c r="O1048" s="208">
        <v>80</v>
      </c>
      <c r="P1048" s="208">
        <v>-35</v>
      </c>
      <c r="Q1048" s="208">
        <v>68.56</v>
      </c>
    </row>
    <row r="1049" spans="1:17">
      <c r="A1049" s="218">
        <v>44196</v>
      </c>
      <c r="B1049" s="208" t="s">
        <v>259</v>
      </c>
      <c r="C1049" s="208" t="s">
        <v>8</v>
      </c>
      <c r="D1049" s="208">
        <v>2019</v>
      </c>
      <c r="E1049" s="208" t="s">
        <v>150</v>
      </c>
      <c r="F1049" s="208" t="s">
        <v>149</v>
      </c>
      <c r="G1049" s="208" t="s">
        <v>243</v>
      </c>
      <c r="H1049" s="208">
        <v>18</v>
      </c>
      <c r="I1049" s="208">
        <v>658</v>
      </c>
      <c r="J1049" s="208">
        <v>0</v>
      </c>
      <c r="K1049" s="208">
        <v>0</v>
      </c>
      <c r="L1049" s="208">
        <v>585</v>
      </c>
      <c r="M1049" s="208" t="s">
        <v>244</v>
      </c>
      <c r="N1049" s="208">
        <v>-49</v>
      </c>
      <c r="O1049" s="208">
        <v>85</v>
      </c>
      <c r="P1049" s="208">
        <v>-49</v>
      </c>
      <c r="Q1049" s="208">
        <v>67.540000000000006</v>
      </c>
    </row>
    <row r="1050" spans="1:17">
      <c r="A1050" s="218">
        <v>44196</v>
      </c>
      <c r="B1050" s="208" t="s">
        <v>259</v>
      </c>
      <c r="C1050" s="208" t="s">
        <v>8</v>
      </c>
      <c r="D1050" s="208">
        <v>2020</v>
      </c>
      <c r="E1050" s="208" t="s">
        <v>150</v>
      </c>
      <c r="F1050" s="208" t="s">
        <v>149</v>
      </c>
      <c r="G1050" s="208" t="s">
        <v>243</v>
      </c>
      <c r="H1050" s="208">
        <v>42</v>
      </c>
      <c r="I1050" s="208">
        <v>1886</v>
      </c>
      <c r="J1050" s="208">
        <v>0</v>
      </c>
      <c r="K1050" s="208">
        <v>0</v>
      </c>
      <c r="L1050" s="208">
        <v>1551</v>
      </c>
      <c r="M1050" s="208" t="s">
        <v>244</v>
      </c>
      <c r="N1050" s="208">
        <v>-35</v>
      </c>
      <c r="O1050" s="208">
        <v>80</v>
      </c>
      <c r="P1050" s="208">
        <v>-35</v>
      </c>
      <c r="Q1050" s="208">
        <v>68.56</v>
      </c>
    </row>
    <row r="1051" spans="1:17">
      <c r="A1051" s="218">
        <v>44196</v>
      </c>
      <c r="B1051" s="208" t="s">
        <v>225</v>
      </c>
      <c r="C1051" s="208" t="s">
        <v>8</v>
      </c>
      <c r="D1051" s="208">
        <v>2019</v>
      </c>
      <c r="E1051" s="208" t="s">
        <v>150</v>
      </c>
      <c r="F1051" s="208" t="s">
        <v>149</v>
      </c>
      <c r="G1051" s="208" t="s">
        <v>243</v>
      </c>
      <c r="H1051" s="208">
        <v>2</v>
      </c>
      <c r="I1051" s="208">
        <v>109.96000000000001</v>
      </c>
      <c r="J1051" s="208">
        <v>0</v>
      </c>
      <c r="K1051" s="208">
        <v>0</v>
      </c>
      <c r="L1051" s="208">
        <v>107.5</v>
      </c>
      <c r="M1051" s="208" t="s">
        <v>244</v>
      </c>
      <c r="N1051" s="208">
        <v>-49</v>
      </c>
      <c r="O1051" s="208">
        <v>85</v>
      </c>
      <c r="P1051" s="208">
        <v>-49</v>
      </c>
      <c r="Q1051" s="208">
        <v>67.540000000000006</v>
      </c>
    </row>
    <row r="1052" spans="1:17">
      <c r="A1052" s="218">
        <v>44196</v>
      </c>
      <c r="B1052" s="208" t="s">
        <v>36</v>
      </c>
      <c r="C1052" s="208" t="s">
        <v>8</v>
      </c>
      <c r="D1052" s="208">
        <v>2020</v>
      </c>
      <c r="E1052" s="208" t="s">
        <v>150</v>
      </c>
      <c r="F1052" s="208" t="s">
        <v>149</v>
      </c>
      <c r="G1052" s="208" t="s">
        <v>243</v>
      </c>
      <c r="H1052" s="208">
        <v>42</v>
      </c>
      <c r="I1052" s="208">
        <v>1886</v>
      </c>
      <c r="J1052" s="208">
        <v>0</v>
      </c>
      <c r="K1052" s="208">
        <v>0</v>
      </c>
      <c r="L1052" s="208">
        <v>1551</v>
      </c>
      <c r="M1052" s="208" t="s">
        <v>244</v>
      </c>
      <c r="N1052" s="208">
        <v>-35</v>
      </c>
      <c r="O1052" s="208">
        <v>80</v>
      </c>
      <c r="P1052" s="208">
        <v>-35</v>
      </c>
      <c r="Q1052" s="208">
        <v>68.56</v>
      </c>
    </row>
    <row r="1053" spans="1:17">
      <c r="A1053" s="218">
        <v>44196</v>
      </c>
      <c r="B1053" s="208" t="s">
        <v>37</v>
      </c>
      <c r="C1053" s="208" t="s">
        <v>8</v>
      </c>
      <c r="D1053" s="208">
        <v>2019</v>
      </c>
      <c r="E1053" s="208" t="s">
        <v>150</v>
      </c>
      <c r="F1053" s="208" t="s">
        <v>149</v>
      </c>
      <c r="G1053" s="208" t="s">
        <v>243</v>
      </c>
      <c r="H1053" s="208">
        <v>2</v>
      </c>
      <c r="I1053" s="208">
        <v>109.96000000000001</v>
      </c>
      <c r="J1053" s="208">
        <v>0</v>
      </c>
      <c r="K1053" s="208">
        <v>0</v>
      </c>
      <c r="L1053" s="208">
        <v>107.5</v>
      </c>
      <c r="M1053" s="208" t="s">
        <v>244</v>
      </c>
      <c r="N1053" s="208">
        <v>-49</v>
      </c>
      <c r="O1053" s="208">
        <v>85</v>
      </c>
      <c r="P1053" s="208">
        <v>-49</v>
      </c>
      <c r="Q1053" s="208">
        <v>67.540000000000006</v>
      </c>
    </row>
    <row r="1054" spans="1:17">
      <c r="A1054" s="218">
        <v>44196</v>
      </c>
      <c r="B1054" s="208" t="s">
        <v>31</v>
      </c>
      <c r="C1054" s="208" t="s">
        <v>8</v>
      </c>
      <c r="D1054" s="208">
        <v>2019</v>
      </c>
      <c r="E1054" s="208" t="s">
        <v>150</v>
      </c>
      <c r="F1054" s="208" t="s">
        <v>149</v>
      </c>
      <c r="G1054" s="208" t="s">
        <v>243</v>
      </c>
      <c r="H1054" s="208">
        <v>18</v>
      </c>
      <c r="I1054" s="208">
        <v>888</v>
      </c>
      <c r="J1054" s="208">
        <v>0</v>
      </c>
      <c r="K1054" s="208">
        <v>0</v>
      </c>
      <c r="L1054" s="208">
        <v>753</v>
      </c>
      <c r="M1054" s="208" t="s">
        <v>244</v>
      </c>
      <c r="N1054" s="208">
        <v>-49</v>
      </c>
      <c r="O1054" s="208">
        <v>85</v>
      </c>
      <c r="P1054" s="208">
        <v>-49</v>
      </c>
      <c r="Q1054" s="208">
        <v>67.540000000000006</v>
      </c>
    </row>
    <row r="1055" spans="1:17">
      <c r="A1055" s="218">
        <v>44196</v>
      </c>
      <c r="B1055" s="208" t="s">
        <v>258</v>
      </c>
      <c r="C1055" s="208" t="s">
        <v>8</v>
      </c>
      <c r="D1055" s="208">
        <v>2019</v>
      </c>
      <c r="E1055" s="208" t="s">
        <v>150</v>
      </c>
      <c r="F1055" s="208" t="s">
        <v>149</v>
      </c>
      <c r="G1055" s="208" t="s">
        <v>243</v>
      </c>
      <c r="H1055" s="208">
        <v>18</v>
      </c>
      <c r="I1055" s="208">
        <v>888</v>
      </c>
      <c r="J1055" s="208">
        <v>0</v>
      </c>
      <c r="K1055" s="208">
        <v>0</v>
      </c>
      <c r="L1055" s="208">
        <v>753</v>
      </c>
      <c r="M1055" s="208" t="s">
        <v>244</v>
      </c>
      <c r="N1055" s="208">
        <v>-49</v>
      </c>
      <c r="O1055" s="208">
        <v>85</v>
      </c>
      <c r="P1055" s="208">
        <v>-49</v>
      </c>
      <c r="Q1055" s="208">
        <v>67.540000000000006</v>
      </c>
    </row>
    <row r="1056" spans="1:17">
      <c r="A1056" s="218">
        <v>44196</v>
      </c>
      <c r="B1056" s="208" t="s">
        <v>260</v>
      </c>
      <c r="C1056" s="208" t="s">
        <v>8</v>
      </c>
      <c r="D1056" s="208">
        <v>2019</v>
      </c>
      <c r="E1056" s="208" t="s">
        <v>150</v>
      </c>
      <c r="F1056" s="208" t="s">
        <v>149</v>
      </c>
      <c r="G1056" s="208" t="s">
        <v>243</v>
      </c>
      <c r="H1056" s="208">
        <v>65</v>
      </c>
      <c r="I1056" s="208">
        <v>2097.5</v>
      </c>
      <c r="J1056" s="208">
        <v>0</v>
      </c>
      <c r="K1056" s="208">
        <v>0</v>
      </c>
      <c r="L1056" s="208">
        <v>1756</v>
      </c>
      <c r="M1056" s="208" t="s">
        <v>244</v>
      </c>
      <c r="N1056" s="208">
        <v>-49</v>
      </c>
      <c r="O1056" s="208">
        <v>85</v>
      </c>
      <c r="P1056" s="208">
        <v>-49</v>
      </c>
      <c r="Q1056" s="208">
        <v>67.540000000000006</v>
      </c>
    </row>
    <row r="1057" spans="1:17">
      <c r="A1057" s="218">
        <v>44196</v>
      </c>
      <c r="B1057" s="208" t="s">
        <v>31</v>
      </c>
      <c r="C1057" s="208" t="s">
        <v>8</v>
      </c>
      <c r="D1057" s="208">
        <v>2020</v>
      </c>
      <c r="E1057" s="208" t="s">
        <v>150</v>
      </c>
      <c r="F1057" s="208" t="s">
        <v>149</v>
      </c>
      <c r="G1057" s="208" t="s">
        <v>243</v>
      </c>
      <c r="H1057" s="208">
        <v>18</v>
      </c>
      <c r="I1057" s="208">
        <v>918.96</v>
      </c>
      <c r="J1057" s="208">
        <v>0</v>
      </c>
      <c r="K1057" s="208">
        <v>0</v>
      </c>
      <c r="L1057" s="208">
        <v>831.96</v>
      </c>
      <c r="M1057" s="208" t="s">
        <v>244</v>
      </c>
      <c r="N1057" s="208">
        <v>-35</v>
      </c>
      <c r="O1057" s="208">
        <v>80</v>
      </c>
      <c r="P1057" s="208">
        <v>-35</v>
      </c>
      <c r="Q1057" s="208">
        <v>68.56</v>
      </c>
    </row>
    <row r="1058" spans="1:17">
      <c r="A1058" s="218">
        <v>44196</v>
      </c>
      <c r="B1058" s="208" t="s">
        <v>36</v>
      </c>
      <c r="C1058" s="208" t="s">
        <v>8</v>
      </c>
      <c r="D1058" s="208">
        <v>2020</v>
      </c>
      <c r="E1058" s="208" t="s">
        <v>152</v>
      </c>
      <c r="F1058" s="208" t="s">
        <v>151</v>
      </c>
      <c r="G1058" s="208" t="s">
        <v>243</v>
      </c>
      <c r="H1058" s="208">
        <v>877</v>
      </c>
      <c r="I1058" s="208">
        <v>30554.289999999957</v>
      </c>
      <c r="J1058" s="208">
        <v>17943.560000000016</v>
      </c>
      <c r="K1058" s="208">
        <v>23.69</v>
      </c>
      <c r="L1058" s="208">
        <v>11915.340000000017</v>
      </c>
      <c r="M1058" s="208" t="s">
        <v>244</v>
      </c>
      <c r="N1058" s="208">
        <v>-210</v>
      </c>
      <c r="O1058" s="208">
        <v>3500</v>
      </c>
      <c r="P1058" s="208">
        <v>-65.83</v>
      </c>
      <c r="Q1058" s="208">
        <v>927.33</v>
      </c>
    </row>
    <row r="1059" spans="1:17">
      <c r="A1059" s="218">
        <v>44196</v>
      </c>
      <c r="B1059" s="208" t="s">
        <v>260</v>
      </c>
      <c r="C1059" s="208" t="s">
        <v>8</v>
      </c>
      <c r="D1059" s="208">
        <v>2019</v>
      </c>
      <c r="E1059" s="208" t="s">
        <v>152</v>
      </c>
      <c r="F1059" s="208" t="s">
        <v>151</v>
      </c>
      <c r="G1059" s="208" t="s">
        <v>243</v>
      </c>
      <c r="H1059" s="208">
        <v>3041</v>
      </c>
      <c r="I1059" s="208">
        <v>95149.890000000232</v>
      </c>
      <c r="J1059" s="208">
        <v>56178.360000001128</v>
      </c>
      <c r="K1059" s="208">
        <v>320.49</v>
      </c>
      <c r="L1059" s="208">
        <v>36060.579999999754</v>
      </c>
      <c r="M1059" s="208" t="s">
        <v>244</v>
      </c>
      <c r="N1059" s="208">
        <v>-568.32000000000005</v>
      </c>
      <c r="O1059" s="208">
        <v>2818.56</v>
      </c>
      <c r="P1059" s="208">
        <v>-414.72</v>
      </c>
      <c r="Q1059" s="208">
        <v>1417.12</v>
      </c>
    </row>
    <row r="1060" spans="1:17">
      <c r="A1060" s="218">
        <v>44196</v>
      </c>
      <c r="B1060" s="208" t="s">
        <v>262</v>
      </c>
      <c r="C1060" s="208" t="s">
        <v>8</v>
      </c>
      <c r="D1060" s="208">
        <v>2019</v>
      </c>
      <c r="E1060" s="208" t="s">
        <v>152</v>
      </c>
      <c r="F1060" s="208" t="s">
        <v>151</v>
      </c>
      <c r="G1060" s="208" t="s">
        <v>243</v>
      </c>
      <c r="H1060" s="208">
        <v>2</v>
      </c>
      <c r="I1060" s="208">
        <v>38.9</v>
      </c>
      <c r="J1060" s="208">
        <v>27.23</v>
      </c>
      <c r="K1060" s="208">
        <v>0</v>
      </c>
      <c r="L1060" s="208">
        <v>11.67</v>
      </c>
      <c r="M1060" s="208" t="s">
        <v>244</v>
      </c>
      <c r="N1060" s="208">
        <v>-568.32000000000005</v>
      </c>
      <c r="O1060" s="208">
        <v>2818.56</v>
      </c>
      <c r="P1060" s="208">
        <v>-414.72</v>
      </c>
      <c r="Q1060" s="208">
        <v>1417.12</v>
      </c>
    </row>
    <row r="1061" spans="1:17">
      <c r="A1061" s="218">
        <v>44196</v>
      </c>
      <c r="B1061" s="208" t="s">
        <v>261</v>
      </c>
      <c r="C1061" s="208" t="s">
        <v>8</v>
      </c>
      <c r="D1061" s="208">
        <v>2019</v>
      </c>
      <c r="E1061" s="208" t="s">
        <v>152</v>
      </c>
      <c r="F1061" s="208" t="s">
        <v>151</v>
      </c>
      <c r="G1061" s="208" t="s">
        <v>243</v>
      </c>
      <c r="H1061" s="208">
        <v>4</v>
      </c>
      <c r="I1061" s="208">
        <v>128.71</v>
      </c>
      <c r="J1061" s="208">
        <v>90.46</v>
      </c>
      <c r="K1061" s="208">
        <v>0</v>
      </c>
      <c r="L1061" s="208">
        <v>38.25</v>
      </c>
      <c r="M1061" s="208" t="s">
        <v>244</v>
      </c>
      <c r="N1061" s="208">
        <v>-568.32000000000005</v>
      </c>
      <c r="O1061" s="208">
        <v>2818.56</v>
      </c>
      <c r="P1061" s="208">
        <v>-414.72</v>
      </c>
      <c r="Q1061" s="208">
        <v>1417.12</v>
      </c>
    </row>
    <row r="1062" spans="1:17">
      <c r="A1062" s="218">
        <v>44196</v>
      </c>
      <c r="B1062" s="208" t="s">
        <v>258</v>
      </c>
      <c r="C1062" s="208" t="s">
        <v>8</v>
      </c>
      <c r="D1062" s="208">
        <v>2020</v>
      </c>
      <c r="E1062" s="208" t="s">
        <v>152</v>
      </c>
      <c r="F1062" s="208" t="s">
        <v>151</v>
      </c>
      <c r="G1062" s="208" t="s">
        <v>243</v>
      </c>
      <c r="H1062" s="208">
        <v>1572</v>
      </c>
      <c r="I1062" s="208">
        <v>59514.820000000007</v>
      </c>
      <c r="J1062" s="208">
        <v>31776.410000000058</v>
      </c>
      <c r="K1062" s="208">
        <v>3911.6699999999978</v>
      </c>
      <c r="L1062" s="208">
        <v>16305.969999999985</v>
      </c>
      <c r="M1062" s="208" t="s">
        <v>244</v>
      </c>
      <c r="N1062" s="208">
        <v>-210</v>
      </c>
      <c r="O1062" s="208">
        <v>3500</v>
      </c>
      <c r="P1062" s="208">
        <v>-65.83</v>
      </c>
      <c r="Q1062" s="208">
        <v>927.33</v>
      </c>
    </row>
    <row r="1063" spans="1:17">
      <c r="A1063" s="218">
        <v>44196</v>
      </c>
      <c r="B1063" s="208" t="s">
        <v>259</v>
      </c>
      <c r="C1063" s="208" t="s">
        <v>8</v>
      </c>
      <c r="D1063" s="208">
        <v>2020</v>
      </c>
      <c r="E1063" s="208" t="s">
        <v>152</v>
      </c>
      <c r="F1063" s="208" t="s">
        <v>151</v>
      </c>
      <c r="G1063" s="208" t="s">
        <v>243</v>
      </c>
      <c r="H1063" s="208">
        <v>877</v>
      </c>
      <c r="I1063" s="208">
        <v>30554.28999999995</v>
      </c>
      <c r="J1063" s="208">
        <v>17943.560000000023</v>
      </c>
      <c r="K1063" s="208">
        <v>23.69</v>
      </c>
      <c r="L1063" s="208">
        <v>11915.340000000006</v>
      </c>
      <c r="M1063" s="208" t="s">
        <v>244</v>
      </c>
      <c r="N1063" s="208">
        <v>-210</v>
      </c>
      <c r="O1063" s="208">
        <v>3500</v>
      </c>
      <c r="P1063" s="208">
        <v>-65.83</v>
      </c>
      <c r="Q1063" s="208">
        <v>927.33</v>
      </c>
    </row>
    <row r="1064" spans="1:17">
      <c r="A1064" s="218">
        <v>44196</v>
      </c>
      <c r="B1064" s="208" t="s">
        <v>262</v>
      </c>
      <c r="C1064" s="208" t="s">
        <v>8</v>
      </c>
      <c r="D1064" s="208">
        <v>2020</v>
      </c>
      <c r="E1064" s="208" t="s">
        <v>152</v>
      </c>
      <c r="F1064" s="208" t="s">
        <v>151</v>
      </c>
      <c r="G1064" s="208" t="s">
        <v>243</v>
      </c>
      <c r="H1064" s="208">
        <v>1</v>
      </c>
      <c r="I1064" s="208">
        <v>9.64</v>
      </c>
      <c r="J1064" s="208">
        <v>6.75</v>
      </c>
      <c r="K1064" s="208">
        <v>0</v>
      </c>
      <c r="L1064" s="208">
        <v>2.89</v>
      </c>
      <c r="M1064" s="208" t="s">
        <v>244</v>
      </c>
      <c r="N1064" s="208">
        <v>-210</v>
      </c>
      <c r="O1064" s="208">
        <v>3500</v>
      </c>
      <c r="P1064" s="208">
        <v>-65.83</v>
      </c>
      <c r="Q1064" s="208">
        <v>927.33</v>
      </c>
    </row>
    <row r="1065" spans="1:17">
      <c r="A1065" s="218">
        <v>44196</v>
      </c>
      <c r="B1065" s="208" t="s">
        <v>37</v>
      </c>
      <c r="C1065" s="208" t="s">
        <v>8</v>
      </c>
      <c r="D1065" s="208">
        <v>2019</v>
      </c>
      <c r="E1065" s="208" t="s">
        <v>152</v>
      </c>
      <c r="F1065" s="208" t="s">
        <v>151</v>
      </c>
      <c r="G1065" s="208" t="s">
        <v>243</v>
      </c>
      <c r="H1065" s="208">
        <v>796</v>
      </c>
      <c r="I1065" s="208">
        <v>75071.05</v>
      </c>
      <c r="J1065" s="208">
        <v>28395.120000000028</v>
      </c>
      <c r="K1065" s="208">
        <v>9344.3799999999992</v>
      </c>
      <c r="L1065" s="208">
        <v>28184.489999999998</v>
      </c>
      <c r="M1065" s="208" t="s">
        <v>244</v>
      </c>
      <c r="N1065" s="208">
        <v>-568.32000000000005</v>
      </c>
      <c r="O1065" s="208">
        <v>2818.56</v>
      </c>
      <c r="P1065" s="208">
        <v>-414.72</v>
      </c>
      <c r="Q1065" s="208">
        <v>1417.12</v>
      </c>
    </row>
    <row r="1066" spans="1:17">
      <c r="A1066" s="218">
        <v>44196</v>
      </c>
      <c r="B1066" s="208" t="s">
        <v>259</v>
      </c>
      <c r="C1066" s="208" t="s">
        <v>8</v>
      </c>
      <c r="D1066" s="208">
        <v>2019</v>
      </c>
      <c r="E1066" s="208" t="s">
        <v>152</v>
      </c>
      <c r="F1066" s="208" t="s">
        <v>151</v>
      </c>
      <c r="G1066" s="208" t="s">
        <v>243</v>
      </c>
      <c r="H1066" s="208">
        <v>1131</v>
      </c>
      <c r="I1066" s="208">
        <v>34928.150000000052</v>
      </c>
      <c r="J1066" s="208">
        <v>20860.520000000128</v>
      </c>
      <c r="K1066" s="208">
        <v>52.86</v>
      </c>
      <c r="L1066" s="208">
        <v>12997.079999999993</v>
      </c>
      <c r="M1066" s="208" t="s">
        <v>244</v>
      </c>
      <c r="N1066" s="208">
        <v>-568.32000000000005</v>
      </c>
      <c r="O1066" s="208">
        <v>2818.56</v>
      </c>
      <c r="P1066" s="208">
        <v>-414.72</v>
      </c>
      <c r="Q1066" s="208">
        <v>1417.12</v>
      </c>
    </row>
    <row r="1067" spans="1:17">
      <c r="A1067" s="218">
        <v>44196</v>
      </c>
      <c r="B1067" s="208" t="s">
        <v>261</v>
      </c>
      <c r="C1067" s="208" t="s">
        <v>8</v>
      </c>
      <c r="D1067" s="208">
        <v>2020</v>
      </c>
      <c r="E1067" s="208" t="s">
        <v>152</v>
      </c>
      <c r="F1067" s="208" t="s">
        <v>151</v>
      </c>
      <c r="G1067" s="208" t="s">
        <v>243</v>
      </c>
      <c r="H1067" s="208">
        <v>13</v>
      </c>
      <c r="I1067" s="208">
        <v>701.15</v>
      </c>
      <c r="J1067" s="208">
        <v>239.79000000000005</v>
      </c>
      <c r="K1067" s="208">
        <v>223.47000000000003</v>
      </c>
      <c r="L1067" s="208">
        <v>237.89000000000001</v>
      </c>
      <c r="M1067" s="208" t="s">
        <v>244</v>
      </c>
      <c r="N1067" s="208">
        <v>-210</v>
      </c>
      <c r="O1067" s="208">
        <v>3500</v>
      </c>
      <c r="P1067" s="208">
        <v>-65.83</v>
      </c>
      <c r="Q1067" s="208">
        <v>927.33</v>
      </c>
    </row>
    <row r="1068" spans="1:17">
      <c r="A1068" s="218">
        <v>44196</v>
      </c>
      <c r="B1068" s="208" t="s">
        <v>43</v>
      </c>
      <c r="C1068" s="208" t="s">
        <v>8</v>
      </c>
      <c r="D1068" s="208">
        <v>2020</v>
      </c>
      <c r="E1068" s="208" t="s">
        <v>152</v>
      </c>
      <c r="F1068" s="208" t="s">
        <v>151</v>
      </c>
      <c r="G1068" s="208" t="s">
        <v>243</v>
      </c>
      <c r="H1068" s="208">
        <v>1</v>
      </c>
      <c r="I1068" s="208">
        <v>9.64</v>
      </c>
      <c r="J1068" s="208">
        <v>6.75</v>
      </c>
      <c r="K1068" s="208">
        <v>0</v>
      </c>
      <c r="L1068" s="208">
        <v>2.89</v>
      </c>
      <c r="M1068" s="208" t="s">
        <v>244</v>
      </c>
      <c r="N1068" s="208">
        <v>-210</v>
      </c>
      <c r="O1068" s="208">
        <v>3500</v>
      </c>
      <c r="P1068" s="208">
        <v>-65.83</v>
      </c>
      <c r="Q1068" s="208">
        <v>927.33</v>
      </c>
    </row>
    <row r="1069" spans="1:17">
      <c r="A1069" s="218">
        <v>44196</v>
      </c>
      <c r="B1069" s="208" t="s">
        <v>260</v>
      </c>
      <c r="C1069" s="208" t="s">
        <v>8</v>
      </c>
      <c r="D1069" s="208">
        <v>2020</v>
      </c>
      <c r="E1069" s="208" t="s">
        <v>152</v>
      </c>
      <c r="F1069" s="208" t="s">
        <v>151</v>
      </c>
      <c r="G1069" s="208" t="s">
        <v>243</v>
      </c>
      <c r="H1069" s="208">
        <v>2230</v>
      </c>
      <c r="I1069" s="208">
        <v>73996.550000000192</v>
      </c>
      <c r="J1069" s="208">
        <v>41761.860000000517</v>
      </c>
      <c r="K1069" s="208">
        <v>-47.129999999999974</v>
      </c>
      <c r="L1069" s="208">
        <v>29556.449999999946</v>
      </c>
      <c r="M1069" s="208" t="s">
        <v>244</v>
      </c>
      <c r="N1069" s="208">
        <v>-210</v>
      </c>
      <c r="O1069" s="208">
        <v>3500</v>
      </c>
      <c r="P1069" s="208">
        <v>-65.83</v>
      </c>
      <c r="Q1069" s="208">
        <v>927.33</v>
      </c>
    </row>
    <row r="1070" spans="1:17">
      <c r="A1070" s="218">
        <v>44196</v>
      </c>
      <c r="B1070" s="208" t="s">
        <v>35</v>
      </c>
      <c r="C1070" s="208" t="s">
        <v>8</v>
      </c>
      <c r="D1070" s="208">
        <v>2019</v>
      </c>
      <c r="E1070" s="208" t="s">
        <v>152</v>
      </c>
      <c r="F1070" s="208" t="s">
        <v>151</v>
      </c>
      <c r="G1070" s="208" t="s">
        <v>243</v>
      </c>
      <c r="H1070" s="208">
        <v>4</v>
      </c>
      <c r="I1070" s="208">
        <v>128.71</v>
      </c>
      <c r="J1070" s="208">
        <v>90.46</v>
      </c>
      <c r="K1070" s="208">
        <v>0</v>
      </c>
      <c r="L1070" s="208">
        <v>38.25</v>
      </c>
      <c r="M1070" s="208" t="s">
        <v>244</v>
      </c>
      <c r="N1070" s="208">
        <v>-568.32000000000005</v>
      </c>
      <c r="O1070" s="208">
        <v>2818.56</v>
      </c>
      <c r="P1070" s="208">
        <v>-414.72</v>
      </c>
      <c r="Q1070" s="208">
        <v>1417.12</v>
      </c>
    </row>
    <row r="1071" spans="1:17">
      <c r="A1071" s="218">
        <v>44196</v>
      </c>
      <c r="B1071" s="208" t="s">
        <v>43</v>
      </c>
      <c r="C1071" s="208" t="s">
        <v>8</v>
      </c>
      <c r="D1071" s="208">
        <v>2019</v>
      </c>
      <c r="E1071" s="208" t="s">
        <v>152</v>
      </c>
      <c r="F1071" s="208" t="s">
        <v>151</v>
      </c>
      <c r="G1071" s="208" t="s">
        <v>243</v>
      </c>
      <c r="H1071" s="208">
        <v>2</v>
      </c>
      <c r="I1071" s="208">
        <v>38.9</v>
      </c>
      <c r="J1071" s="208">
        <v>27.23</v>
      </c>
      <c r="K1071" s="208">
        <v>0</v>
      </c>
      <c r="L1071" s="208">
        <v>11.67</v>
      </c>
      <c r="M1071" s="208" t="s">
        <v>244</v>
      </c>
      <c r="N1071" s="208">
        <v>-568.32000000000005</v>
      </c>
      <c r="O1071" s="208">
        <v>2818.56</v>
      </c>
      <c r="P1071" s="208">
        <v>-414.72</v>
      </c>
      <c r="Q1071" s="208">
        <v>1417.12</v>
      </c>
    </row>
    <row r="1072" spans="1:17">
      <c r="A1072" s="218">
        <v>44196</v>
      </c>
      <c r="B1072" s="208" t="s">
        <v>37</v>
      </c>
      <c r="C1072" s="208" t="s">
        <v>8</v>
      </c>
      <c r="D1072" s="208">
        <v>2020</v>
      </c>
      <c r="E1072" s="208" t="s">
        <v>152</v>
      </c>
      <c r="F1072" s="208" t="s">
        <v>151</v>
      </c>
      <c r="G1072" s="208" t="s">
        <v>243</v>
      </c>
      <c r="H1072" s="208">
        <v>779</v>
      </c>
      <c r="I1072" s="208">
        <v>84189.249999999956</v>
      </c>
      <c r="J1072" s="208">
        <v>29372.029999999984</v>
      </c>
      <c r="K1072" s="208">
        <v>7423.8399999999929</v>
      </c>
      <c r="L1072" s="208">
        <v>29623.800000000036</v>
      </c>
      <c r="M1072" s="208" t="s">
        <v>244</v>
      </c>
      <c r="N1072" s="208">
        <v>-210</v>
      </c>
      <c r="O1072" s="208">
        <v>3500</v>
      </c>
      <c r="P1072" s="208">
        <v>-65.83</v>
      </c>
      <c r="Q1072" s="208">
        <v>927.33</v>
      </c>
    </row>
    <row r="1073" spans="1:17">
      <c r="A1073" s="218">
        <v>44196</v>
      </c>
      <c r="B1073" s="208" t="s">
        <v>29</v>
      </c>
      <c r="C1073" s="208" t="s">
        <v>8</v>
      </c>
      <c r="D1073" s="208">
        <v>2020</v>
      </c>
      <c r="E1073" s="208" t="s">
        <v>152</v>
      </c>
      <c r="F1073" s="208" t="s">
        <v>151</v>
      </c>
      <c r="G1073" s="208" t="s">
        <v>243</v>
      </c>
      <c r="H1073" s="208">
        <v>2230</v>
      </c>
      <c r="I1073" s="208">
        <v>73996.550000000163</v>
      </c>
      <c r="J1073" s="208">
        <v>41761.860000000335</v>
      </c>
      <c r="K1073" s="208">
        <v>-47.13</v>
      </c>
      <c r="L1073" s="208">
        <v>29556.450000000008</v>
      </c>
      <c r="M1073" s="208" t="s">
        <v>244</v>
      </c>
      <c r="N1073" s="208">
        <v>-210</v>
      </c>
      <c r="O1073" s="208">
        <v>3500</v>
      </c>
      <c r="P1073" s="208">
        <v>-65.83</v>
      </c>
      <c r="Q1073" s="208">
        <v>927.33</v>
      </c>
    </row>
    <row r="1074" spans="1:17">
      <c r="A1074" s="218">
        <v>44196</v>
      </c>
      <c r="B1074" s="208" t="s">
        <v>258</v>
      </c>
      <c r="C1074" s="208" t="s">
        <v>8</v>
      </c>
      <c r="D1074" s="208">
        <v>2019</v>
      </c>
      <c r="E1074" s="208" t="s">
        <v>152</v>
      </c>
      <c r="F1074" s="208" t="s">
        <v>151</v>
      </c>
      <c r="G1074" s="208" t="s">
        <v>243</v>
      </c>
      <c r="H1074" s="208">
        <v>1962</v>
      </c>
      <c r="I1074" s="208">
        <v>66669.100000000122</v>
      </c>
      <c r="J1074" s="208">
        <v>36310.470000000343</v>
      </c>
      <c r="K1074" s="208">
        <v>3580.4799999999964</v>
      </c>
      <c r="L1074" s="208">
        <v>17865.639999999948</v>
      </c>
      <c r="M1074" s="208" t="s">
        <v>244</v>
      </c>
      <c r="N1074" s="208">
        <v>-568.32000000000005</v>
      </c>
      <c r="O1074" s="208">
        <v>2818.56</v>
      </c>
      <c r="P1074" s="208">
        <v>-414.72</v>
      </c>
      <c r="Q1074" s="208">
        <v>1417.12</v>
      </c>
    </row>
    <row r="1075" spans="1:17">
      <c r="A1075" s="218">
        <v>44196</v>
      </c>
      <c r="B1075" s="208" t="s">
        <v>29</v>
      </c>
      <c r="C1075" s="208" t="s">
        <v>8</v>
      </c>
      <c r="D1075" s="208">
        <v>2019</v>
      </c>
      <c r="E1075" s="208" t="s">
        <v>152</v>
      </c>
      <c r="F1075" s="208" t="s">
        <v>151</v>
      </c>
      <c r="G1075" s="208" t="s">
        <v>243</v>
      </c>
      <c r="H1075" s="208">
        <v>3041</v>
      </c>
      <c r="I1075" s="208">
        <v>95149.890000000465</v>
      </c>
      <c r="J1075" s="208">
        <v>56178.36000000099</v>
      </c>
      <c r="K1075" s="208">
        <v>320.49</v>
      </c>
      <c r="L1075" s="208">
        <v>36060.57999999966</v>
      </c>
      <c r="M1075" s="208" t="s">
        <v>244</v>
      </c>
      <c r="N1075" s="208">
        <v>-568.32000000000005</v>
      </c>
      <c r="O1075" s="208">
        <v>2818.56</v>
      </c>
      <c r="P1075" s="208">
        <v>-414.72</v>
      </c>
      <c r="Q1075" s="208">
        <v>1417.12</v>
      </c>
    </row>
    <row r="1076" spans="1:17">
      <c r="A1076" s="218">
        <v>44196</v>
      </c>
      <c r="B1076" s="208" t="s">
        <v>225</v>
      </c>
      <c r="C1076" s="208" t="s">
        <v>8</v>
      </c>
      <c r="D1076" s="208">
        <v>2019</v>
      </c>
      <c r="E1076" s="208" t="s">
        <v>152</v>
      </c>
      <c r="F1076" s="208" t="s">
        <v>151</v>
      </c>
      <c r="G1076" s="208" t="s">
        <v>243</v>
      </c>
      <c r="H1076" s="208">
        <v>796</v>
      </c>
      <c r="I1076" s="208">
        <v>75071.04999999993</v>
      </c>
      <c r="J1076" s="208">
        <v>28395.120000000017</v>
      </c>
      <c r="K1076" s="208">
        <v>9344.3799999999974</v>
      </c>
      <c r="L1076" s="208">
        <v>28184.489999999954</v>
      </c>
      <c r="M1076" s="208" t="s">
        <v>244</v>
      </c>
      <c r="N1076" s="208">
        <v>-568.32000000000005</v>
      </c>
      <c r="O1076" s="208">
        <v>2818.56</v>
      </c>
      <c r="P1076" s="208">
        <v>-414.72</v>
      </c>
      <c r="Q1076" s="208">
        <v>1417.12</v>
      </c>
    </row>
    <row r="1077" spans="1:17">
      <c r="A1077" s="218">
        <v>44196</v>
      </c>
      <c r="B1077" s="208" t="s">
        <v>31</v>
      </c>
      <c r="C1077" s="208" t="s">
        <v>8</v>
      </c>
      <c r="D1077" s="208">
        <v>2020</v>
      </c>
      <c r="E1077" s="208" t="s">
        <v>152</v>
      </c>
      <c r="F1077" s="208" t="s">
        <v>151</v>
      </c>
      <c r="G1077" s="208" t="s">
        <v>243</v>
      </c>
      <c r="H1077" s="208">
        <v>1572</v>
      </c>
      <c r="I1077" s="208">
        <v>59514.820000000182</v>
      </c>
      <c r="J1077" s="208">
        <v>31776.410000000109</v>
      </c>
      <c r="K1077" s="208">
        <v>3911.6699999999992</v>
      </c>
      <c r="L1077" s="208">
        <v>16305.969999999981</v>
      </c>
      <c r="M1077" s="208" t="s">
        <v>244</v>
      </c>
      <c r="N1077" s="208">
        <v>-210</v>
      </c>
      <c r="O1077" s="208">
        <v>3500</v>
      </c>
      <c r="P1077" s="208">
        <v>-65.83</v>
      </c>
      <c r="Q1077" s="208">
        <v>927.33</v>
      </c>
    </row>
    <row r="1078" spans="1:17">
      <c r="A1078" s="218">
        <v>44196</v>
      </c>
      <c r="B1078" s="208" t="s">
        <v>35</v>
      </c>
      <c r="C1078" s="208" t="s">
        <v>8</v>
      </c>
      <c r="D1078" s="208">
        <v>2020</v>
      </c>
      <c r="E1078" s="208" t="s">
        <v>152</v>
      </c>
      <c r="F1078" s="208" t="s">
        <v>151</v>
      </c>
      <c r="G1078" s="208" t="s">
        <v>243</v>
      </c>
      <c r="H1078" s="208">
        <v>13</v>
      </c>
      <c r="I1078" s="208">
        <v>701.15000000000009</v>
      </c>
      <c r="J1078" s="208">
        <v>239.79000000000002</v>
      </c>
      <c r="K1078" s="208">
        <v>223.47000000000003</v>
      </c>
      <c r="L1078" s="208">
        <v>237.89000000000004</v>
      </c>
      <c r="M1078" s="208" t="s">
        <v>244</v>
      </c>
      <c r="N1078" s="208">
        <v>-210</v>
      </c>
      <c r="O1078" s="208">
        <v>3500</v>
      </c>
      <c r="P1078" s="208">
        <v>-65.83</v>
      </c>
      <c r="Q1078" s="208">
        <v>927.33</v>
      </c>
    </row>
    <row r="1079" spans="1:17">
      <c r="A1079" s="218">
        <v>44196</v>
      </c>
      <c r="B1079" s="208" t="s">
        <v>31</v>
      </c>
      <c r="C1079" s="208" t="s">
        <v>8</v>
      </c>
      <c r="D1079" s="208">
        <v>2019</v>
      </c>
      <c r="E1079" s="208" t="s">
        <v>152</v>
      </c>
      <c r="F1079" s="208" t="s">
        <v>151</v>
      </c>
      <c r="G1079" s="208" t="s">
        <v>243</v>
      </c>
      <c r="H1079" s="208">
        <v>1962</v>
      </c>
      <c r="I1079" s="208">
        <v>66669.100000000079</v>
      </c>
      <c r="J1079" s="208">
        <v>36310.470000000227</v>
      </c>
      <c r="K1079" s="208">
        <v>3580.4799999999959</v>
      </c>
      <c r="L1079" s="208">
        <v>17865.640000000007</v>
      </c>
      <c r="M1079" s="208" t="s">
        <v>244</v>
      </c>
      <c r="N1079" s="208">
        <v>-568.32000000000005</v>
      </c>
      <c r="O1079" s="208">
        <v>2818.56</v>
      </c>
      <c r="P1079" s="208">
        <v>-414.72</v>
      </c>
      <c r="Q1079" s="208">
        <v>1417.12</v>
      </c>
    </row>
    <row r="1080" spans="1:17">
      <c r="A1080" s="218">
        <v>44196</v>
      </c>
      <c r="B1080" s="208" t="s">
        <v>225</v>
      </c>
      <c r="C1080" s="208" t="s">
        <v>8</v>
      </c>
      <c r="D1080" s="208">
        <v>2020</v>
      </c>
      <c r="E1080" s="208" t="s">
        <v>152</v>
      </c>
      <c r="F1080" s="208" t="s">
        <v>151</v>
      </c>
      <c r="G1080" s="208" t="s">
        <v>243</v>
      </c>
      <c r="H1080" s="208">
        <v>779</v>
      </c>
      <c r="I1080" s="208">
        <v>84189.249999999971</v>
      </c>
      <c r="J1080" s="208">
        <v>29372.030000000042</v>
      </c>
      <c r="K1080" s="208">
        <v>7423.8399999999974</v>
      </c>
      <c r="L1080" s="208">
        <v>29623.799999999963</v>
      </c>
      <c r="M1080" s="208" t="s">
        <v>244</v>
      </c>
      <c r="N1080" s="208">
        <v>-210</v>
      </c>
      <c r="O1080" s="208">
        <v>3500</v>
      </c>
      <c r="P1080" s="208">
        <v>-65.83</v>
      </c>
      <c r="Q1080" s="208">
        <v>927.33</v>
      </c>
    </row>
    <row r="1081" spans="1:17">
      <c r="A1081" s="218">
        <v>44196</v>
      </c>
      <c r="B1081" s="208" t="s">
        <v>36</v>
      </c>
      <c r="C1081" s="208" t="s">
        <v>8</v>
      </c>
      <c r="D1081" s="208">
        <v>2019</v>
      </c>
      <c r="E1081" s="208" t="s">
        <v>152</v>
      </c>
      <c r="F1081" s="208" t="s">
        <v>151</v>
      </c>
      <c r="G1081" s="208" t="s">
        <v>243</v>
      </c>
      <c r="H1081" s="208">
        <v>1131</v>
      </c>
      <c r="I1081" s="208">
        <v>34928.150000000009</v>
      </c>
      <c r="J1081" s="208">
        <v>20860.520000000066</v>
      </c>
      <c r="K1081" s="208">
        <v>52.86</v>
      </c>
      <c r="L1081" s="208">
        <v>12997.080000000014</v>
      </c>
      <c r="M1081" s="208" t="s">
        <v>244</v>
      </c>
      <c r="N1081" s="208">
        <v>-568.32000000000005</v>
      </c>
      <c r="O1081" s="208">
        <v>2818.56</v>
      </c>
      <c r="P1081" s="208">
        <v>-414.72</v>
      </c>
      <c r="Q1081" s="208">
        <v>1417.12</v>
      </c>
    </row>
    <row r="1082" spans="1:17">
      <c r="A1082" s="218">
        <v>44196</v>
      </c>
      <c r="B1082" s="208" t="s">
        <v>29</v>
      </c>
      <c r="C1082" s="208" t="s">
        <v>8</v>
      </c>
      <c r="D1082" s="208">
        <v>2020</v>
      </c>
      <c r="E1082" s="208" t="s">
        <v>153</v>
      </c>
      <c r="F1082" s="208" t="s">
        <v>151</v>
      </c>
      <c r="G1082" s="208" t="s">
        <v>243</v>
      </c>
      <c r="H1082" s="208">
        <v>3123</v>
      </c>
      <c r="I1082" s="208">
        <v>127862.47999999953</v>
      </c>
      <c r="J1082" s="208">
        <v>72464.539999999222</v>
      </c>
      <c r="K1082" s="208">
        <v>2567.4900000000011</v>
      </c>
      <c r="L1082" s="208">
        <v>33208.8900000004</v>
      </c>
      <c r="M1082" s="208" t="s">
        <v>244</v>
      </c>
      <c r="N1082" s="208">
        <v>-175</v>
      </c>
      <c r="O1082" s="208">
        <v>850</v>
      </c>
      <c r="P1082" s="208">
        <v>-59.86</v>
      </c>
      <c r="Q1082" s="208">
        <v>600</v>
      </c>
    </row>
    <row r="1083" spans="1:17">
      <c r="A1083" s="218">
        <v>44196</v>
      </c>
      <c r="B1083" s="208" t="s">
        <v>258</v>
      </c>
      <c r="C1083" s="208" t="s">
        <v>8</v>
      </c>
      <c r="D1083" s="208">
        <v>2019</v>
      </c>
      <c r="E1083" s="208" t="s">
        <v>153</v>
      </c>
      <c r="F1083" s="208" t="s">
        <v>151</v>
      </c>
      <c r="G1083" s="208" t="s">
        <v>243</v>
      </c>
      <c r="H1083" s="208">
        <v>1843</v>
      </c>
      <c r="I1083" s="208">
        <v>71169.909999999989</v>
      </c>
      <c r="J1083" s="208">
        <v>42689.619999999748</v>
      </c>
      <c r="K1083" s="208">
        <v>222.61999999999995</v>
      </c>
      <c r="L1083" s="208">
        <v>17955.39</v>
      </c>
      <c r="M1083" s="208" t="s">
        <v>244</v>
      </c>
      <c r="N1083" s="208">
        <v>-249.25</v>
      </c>
      <c r="O1083" s="208">
        <v>660</v>
      </c>
      <c r="P1083" s="208">
        <v>-86.35</v>
      </c>
      <c r="Q1083" s="208">
        <v>466.5</v>
      </c>
    </row>
    <row r="1084" spans="1:17">
      <c r="A1084" s="218">
        <v>44196</v>
      </c>
      <c r="B1084" s="208" t="s">
        <v>258</v>
      </c>
      <c r="C1084" s="208" t="s">
        <v>8</v>
      </c>
      <c r="D1084" s="208">
        <v>2020</v>
      </c>
      <c r="E1084" s="208" t="s">
        <v>153</v>
      </c>
      <c r="F1084" s="208" t="s">
        <v>151</v>
      </c>
      <c r="G1084" s="208" t="s">
        <v>243</v>
      </c>
      <c r="H1084" s="208">
        <v>1613</v>
      </c>
      <c r="I1084" s="208">
        <v>64855.190000000141</v>
      </c>
      <c r="J1084" s="208">
        <v>37233.589999999858</v>
      </c>
      <c r="K1084" s="208">
        <v>15.97</v>
      </c>
      <c r="L1084" s="208">
        <v>18082.720000000034</v>
      </c>
      <c r="M1084" s="208" t="s">
        <v>244</v>
      </c>
      <c r="N1084" s="208">
        <v>-175</v>
      </c>
      <c r="O1084" s="208">
        <v>850</v>
      </c>
      <c r="P1084" s="208">
        <v>-59.86</v>
      </c>
      <c r="Q1084" s="208">
        <v>600</v>
      </c>
    </row>
    <row r="1085" spans="1:17">
      <c r="A1085" s="218">
        <v>44196</v>
      </c>
      <c r="B1085" s="208" t="s">
        <v>262</v>
      </c>
      <c r="C1085" s="208" t="s">
        <v>8</v>
      </c>
      <c r="D1085" s="208">
        <v>2019</v>
      </c>
      <c r="E1085" s="208" t="s">
        <v>153</v>
      </c>
      <c r="F1085" s="208" t="s">
        <v>151</v>
      </c>
      <c r="G1085" s="208" t="s">
        <v>243</v>
      </c>
      <c r="H1085" s="208">
        <v>1</v>
      </c>
      <c r="I1085" s="208">
        <v>20.79</v>
      </c>
      <c r="J1085" s="208">
        <v>14.55</v>
      </c>
      <c r="K1085" s="208">
        <v>0</v>
      </c>
      <c r="L1085" s="208">
        <v>6.24</v>
      </c>
      <c r="M1085" s="208" t="s">
        <v>244</v>
      </c>
      <c r="N1085" s="208">
        <v>-249.25</v>
      </c>
      <c r="O1085" s="208">
        <v>660</v>
      </c>
      <c r="P1085" s="208">
        <v>-86.35</v>
      </c>
      <c r="Q1085" s="208">
        <v>466.5</v>
      </c>
    </row>
    <row r="1086" spans="1:17">
      <c r="A1086" s="218">
        <v>44196</v>
      </c>
      <c r="B1086" s="208" t="s">
        <v>35</v>
      </c>
      <c r="C1086" s="208" t="s">
        <v>8</v>
      </c>
      <c r="D1086" s="208">
        <v>2020</v>
      </c>
      <c r="E1086" s="208" t="s">
        <v>153</v>
      </c>
      <c r="F1086" s="208" t="s">
        <v>151</v>
      </c>
      <c r="G1086" s="208" t="s">
        <v>243</v>
      </c>
      <c r="H1086" s="208">
        <v>9</v>
      </c>
      <c r="I1086" s="208">
        <v>447.85</v>
      </c>
      <c r="J1086" s="208">
        <v>245.35000000000002</v>
      </c>
      <c r="K1086" s="208">
        <v>114.23</v>
      </c>
      <c r="L1086" s="208">
        <v>88.270000000000024</v>
      </c>
      <c r="M1086" s="208" t="s">
        <v>244</v>
      </c>
      <c r="N1086" s="208">
        <v>-175</v>
      </c>
      <c r="O1086" s="208">
        <v>850</v>
      </c>
      <c r="P1086" s="208">
        <v>-59.86</v>
      </c>
      <c r="Q1086" s="208">
        <v>600</v>
      </c>
    </row>
    <row r="1087" spans="1:17">
      <c r="A1087" s="218">
        <v>44196</v>
      </c>
      <c r="B1087" s="208" t="s">
        <v>261</v>
      </c>
      <c r="C1087" s="208" t="s">
        <v>8</v>
      </c>
      <c r="D1087" s="208">
        <v>2020</v>
      </c>
      <c r="E1087" s="208" t="s">
        <v>153</v>
      </c>
      <c r="F1087" s="208" t="s">
        <v>151</v>
      </c>
      <c r="G1087" s="208" t="s">
        <v>243</v>
      </c>
      <c r="H1087" s="208">
        <v>9</v>
      </c>
      <c r="I1087" s="208">
        <v>447.85</v>
      </c>
      <c r="J1087" s="208">
        <v>245.35000000000002</v>
      </c>
      <c r="K1087" s="208">
        <v>114.23</v>
      </c>
      <c r="L1087" s="208">
        <v>88.27000000000001</v>
      </c>
      <c r="M1087" s="208" t="s">
        <v>244</v>
      </c>
      <c r="N1087" s="208">
        <v>-175</v>
      </c>
      <c r="O1087" s="208">
        <v>850</v>
      </c>
      <c r="P1087" s="208">
        <v>-59.86</v>
      </c>
      <c r="Q1087" s="208">
        <v>600</v>
      </c>
    </row>
    <row r="1088" spans="1:17">
      <c r="A1088" s="218">
        <v>44196</v>
      </c>
      <c r="B1088" s="208" t="s">
        <v>37</v>
      </c>
      <c r="C1088" s="208" t="s">
        <v>8</v>
      </c>
      <c r="D1088" s="208">
        <v>2020</v>
      </c>
      <c r="E1088" s="208" t="s">
        <v>153</v>
      </c>
      <c r="F1088" s="208" t="s">
        <v>151</v>
      </c>
      <c r="G1088" s="208" t="s">
        <v>243</v>
      </c>
      <c r="H1088" s="208">
        <v>685</v>
      </c>
      <c r="I1088" s="208">
        <v>33431.029999999984</v>
      </c>
      <c r="J1088" s="208">
        <v>14057.690000000041</v>
      </c>
      <c r="K1088" s="208">
        <v>3979.5699999999965</v>
      </c>
      <c r="L1088" s="208">
        <v>13455.709999999994</v>
      </c>
      <c r="M1088" s="208" t="s">
        <v>244</v>
      </c>
      <c r="N1088" s="208">
        <v>-175</v>
      </c>
      <c r="O1088" s="208">
        <v>850</v>
      </c>
      <c r="P1088" s="208">
        <v>-59.86</v>
      </c>
      <c r="Q1088" s="208">
        <v>600</v>
      </c>
    </row>
    <row r="1089" spans="1:17">
      <c r="A1089" s="218">
        <v>44196</v>
      </c>
      <c r="B1089" s="208" t="s">
        <v>29</v>
      </c>
      <c r="C1089" s="208" t="s">
        <v>8</v>
      </c>
      <c r="D1089" s="208">
        <v>2019</v>
      </c>
      <c r="E1089" s="208" t="s">
        <v>153</v>
      </c>
      <c r="F1089" s="208" t="s">
        <v>151</v>
      </c>
      <c r="G1089" s="208" t="s">
        <v>243</v>
      </c>
      <c r="H1089" s="208">
        <v>3634</v>
      </c>
      <c r="I1089" s="208">
        <v>139353.7600000008</v>
      </c>
      <c r="J1089" s="208">
        <v>82008.259999999442</v>
      </c>
      <c r="K1089" s="208">
        <v>2246.3100000000009</v>
      </c>
      <c r="L1089" s="208">
        <v>35942.280000000159</v>
      </c>
      <c r="M1089" s="208" t="s">
        <v>244</v>
      </c>
      <c r="N1089" s="208">
        <v>-249.25</v>
      </c>
      <c r="O1089" s="208">
        <v>660</v>
      </c>
      <c r="P1089" s="208">
        <v>-86.35</v>
      </c>
      <c r="Q1089" s="208">
        <v>466.5</v>
      </c>
    </row>
    <row r="1090" spans="1:17">
      <c r="A1090" s="218">
        <v>44196</v>
      </c>
      <c r="B1090" s="208" t="s">
        <v>267</v>
      </c>
      <c r="C1090" s="208" t="s">
        <v>8</v>
      </c>
      <c r="D1090" s="208">
        <v>2019</v>
      </c>
      <c r="E1090" s="208" t="s">
        <v>153</v>
      </c>
      <c r="F1090" s="208" t="s">
        <v>151</v>
      </c>
      <c r="G1090" s="208" t="s">
        <v>243</v>
      </c>
      <c r="H1090" s="208">
        <v>6</v>
      </c>
      <c r="I1090" s="208">
        <v>0</v>
      </c>
      <c r="J1090" s="208">
        <v>0</v>
      </c>
      <c r="K1090" s="208">
        <v>0</v>
      </c>
      <c r="L1090" s="208">
        <v>8.8817841970012523E-16</v>
      </c>
      <c r="M1090" s="208" t="s">
        <v>244</v>
      </c>
      <c r="N1090" s="208">
        <v>-249.25</v>
      </c>
      <c r="O1090" s="208">
        <v>660</v>
      </c>
      <c r="P1090" s="208">
        <v>-86.35</v>
      </c>
      <c r="Q1090" s="208">
        <v>466.5</v>
      </c>
    </row>
    <row r="1091" spans="1:17">
      <c r="A1091" s="218">
        <v>44196</v>
      </c>
      <c r="B1091" s="208" t="s">
        <v>225</v>
      </c>
      <c r="C1091" s="208" t="s">
        <v>8</v>
      </c>
      <c r="D1091" s="208">
        <v>2019</v>
      </c>
      <c r="E1091" s="208" t="s">
        <v>153</v>
      </c>
      <c r="F1091" s="208" t="s">
        <v>151</v>
      </c>
      <c r="G1091" s="208" t="s">
        <v>243</v>
      </c>
      <c r="H1091" s="208">
        <v>738</v>
      </c>
      <c r="I1091" s="208">
        <v>31901.209999999945</v>
      </c>
      <c r="J1091" s="208">
        <v>14465.309999999981</v>
      </c>
      <c r="K1091" s="208">
        <v>2715.5299999999993</v>
      </c>
      <c r="L1091" s="208">
        <v>12394.400000000018</v>
      </c>
      <c r="M1091" s="208" t="s">
        <v>244</v>
      </c>
      <c r="N1091" s="208">
        <v>-249.25</v>
      </c>
      <c r="O1091" s="208">
        <v>660</v>
      </c>
      <c r="P1091" s="208">
        <v>-86.35</v>
      </c>
      <c r="Q1091" s="208">
        <v>466.5</v>
      </c>
    </row>
    <row r="1092" spans="1:17">
      <c r="A1092" s="218">
        <v>44196</v>
      </c>
      <c r="B1092" s="208" t="s">
        <v>43</v>
      </c>
      <c r="C1092" s="208" t="s">
        <v>8</v>
      </c>
      <c r="D1092" s="208">
        <v>2019</v>
      </c>
      <c r="E1092" s="208" t="s">
        <v>153</v>
      </c>
      <c r="F1092" s="208" t="s">
        <v>151</v>
      </c>
      <c r="G1092" s="208" t="s">
        <v>243</v>
      </c>
      <c r="H1092" s="208">
        <v>1</v>
      </c>
      <c r="I1092" s="208">
        <v>20.79</v>
      </c>
      <c r="J1092" s="208">
        <v>14.55</v>
      </c>
      <c r="K1092" s="208">
        <v>0</v>
      </c>
      <c r="L1092" s="208">
        <v>6.24</v>
      </c>
      <c r="M1092" s="208" t="s">
        <v>244</v>
      </c>
      <c r="N1092" s="208">
        <v>-249.25</v>
      </c>
      <c r="O1092" s="208">
        <v>660</v>
      </c>
      <c r="P1092" s="208">
        <v>-86.35</v>
      </c>
      <c r="Q1092" s="208">
        <v>466.5</v>
      </c>
    </row>
    <row r="1093" spans="1:17">
      <c r="A1093" s="218">
        <v>44196</v>
      </c>
      <c r="B1093" s="208" t="s">
        <v>37</v>
      </c>
      <c r="C1093" s="208" t="s">
        <v>8</v>
      </c>
      <c r="D1093" s="208">
        <v>2019</v>
      </c>
      <c r="E1093" s="208" t="s">
        <v>153</v>
      </c>
      <c r="F1093" s="208" t="s">
        <v>151</v>
      </c>
      <c r="G1093" s="208" t="s">
        <v>243</v>
      </c>
      <c r="H1093" s="208">
        <v>738</v>
      </c>
      <c r="I1093" s="208">
        <v>31901.209999999919</v>
      </c>
      <c r="J1093" s="208">
        <v>14465.309999999976</v>
      </c>
      <c r="K1093" s="208">
        <v>2715.5299999999997</v>
      </c>
      <c r="L1093" s="208">
        <v>12394.399999999998</v>
      </c>
      <c r="M1093" s="208" t="s">
        <v>244</v>
      </c>
      <c r="N1093" s="208">
        <v>-249.25</v>
      </c>
      <c r="O1093" s="208">
        <v>660</v>
      </c>
      <c r="P1093" s="208">
        <v>-86.35</v>
      </c>
      <c r="Q1093" s="208">
        <v>466.5</v>
      </c>
    </row>
    <row r="1094" spans="1:17">
      <c r="A1094" s="218">
        <v>44196</v>
      </c>
      <c r="B1094" s="208" t="s">
        <v>35</v>
      </c>
      <c r="C1094" s="208" t="s">
        <v>8</v>
      </c>
      <c r="D1094" s="208">
        <v>2019</v>
      </c>
      <c r="E1094" s="208" t="s">
        <v>153</v>
      </c>
      <c r="F1094" s="208" t="s">
        <v>151</v>
      </c>
      <c r="G1094" s="208" t="s">
        <v>243</v>
      </c>
      <c r="H1094" s="208">
        <v>10</v>
      </c>
      <c r="I1094" s="208">
        <v>612.95000000000005</v>
      </c>
      <c r="J1094" s="208">
        <v>304.27000000000004</v>
      </c>
      <c r="K1094" s="208">
        <v>103.42</v>
      </c>
      <c r="L1094" s="208">
        <v>179.85</v>
      </c>
      <c r="M1094" s="208" t="s">
        <v>244</v>
      </c>
      <c r="N1094" s="208">
        <v>-249.25</v>
      </c>
      <c r="O1094" s="208">
        <v>660</v>
      </c>
      <c r="P1094" s="208">
        <v>-86.35</v>
      </c>
      <c r="Q1094" s="208">
        <v>466.5</v>
      </c>
    </row>
    <row r="1095" spans="1:17">
      <c r="A1095" s="218">
        <v>44196</v>
      </c>
      <c r="B1095" s="208" t="s">
        <v>259</v>
      </c>
      <c r="C1095" s="208" t="s">
        <v>8</v>
      </c>
      <c r="D1095" s="208">
        <v>2019</v>
      </c>
      <c r="E1095" s="208" t="s">
        <v>153</v>
      </c>
      <c r="F1095" s="208" t="s">
        <v>151</v>
      </c>
      <c r="G1095" s="208" t="s">
        <v>243</v>
      </c>
      <c r="H1095" s="208">
        <v>1336</v>
      </c>
      <c r="I1095" s="208">
        <v>52787.340000000069</v>
      </c>
      <c r="J1095" s="208">
        <v>31857.389999999934</v>
      </c>
      <c r="K1095" s="208">
        <v>0</v>
      </c>
      <c r="L1095" s="208">
        <v>18909.979999999985</v>
      </c>
      <c r="M1095" s="208" t="s">
        <v>244</v>
      </c>
      <c r="N1095" s="208">
        <v>-249.25</v>
      </c>
      <c r="O1095" s="208">
        <v>660</v>
      </c>
      <c r="P1095" s="208">
        <v>-86.35</v>
      </c>
      <c r="Q1095" s="208">
        <v>466.5</v>
      </c>
    </row>
    <row r="1096" spans="1:17">
      <c r="A1096" s="218">
        <v>44196</v>
      </c>
      <c r="B1096" s="208" t="s">
        <v>260</v>
      </c>
      <c r="C1096" s="208" t="s">
        <v>8</v>
      </c>
      <c r="D1096" s="208">
        <v>2020</v>
      </c>
      <c r="E1096" s="208" t="s">
        <v>153</v>
      </c>
      <c r="F1096" s="208" t="s">
        <v>151</v>
      </c>
      <c r="G1096" s="208" t="s">
        <v>243</v>
      </c>
      <c r="H1096" s="208">
        <v>3123</v>
      </c>
      <c r="I1096" s="208">
        <v>127862.47999999979</v>
      </c>
      <c r="J1096" s="208">
        <v>72464.539999999484</v>
      </c>
      <c r="K1096" s="208">
        <v>2567.4899999999998</v>
      </c>
      <c r="L1096" s="208">
        <v>33208.890000000341</v>
      </c>
      <c r="M1096" s="208" t="s">
        <v>244</v>
      </c>
      <c r="N1096" s="208">
        <v>-175</v>
      </c>
      <c r="O1096" s="208">
        <v>850</v>
      </c>
      <c r="P1096" s="208">
        <v>-59.86</v>
      </c>
      <c r="Q1096" s="208">
        <v>600</v>
      </c>
    </row>
    <row r="1097" spans="1:17">
      <c r="A1097" s="218">
        <v>44196</v>
      </c>
      <c r="B1097" s="208" t="s">
        <v>259</v>
      </c>
      <c r="C1097" s="208" t="s">
        <v>8</v>
      </c>
      <c r="D1097" s="208">
        <v>2020</v>
      </c>
      <c r="E1097" s="208" t="s">
        <v>153</v>
      </c>
      <c r="F1097" s="208" t="s">
        <v>151</v>
      </c>
      <c r="G1097" s="208" t="s">
        <v>243</v>
      </c>
      <c r="H1097" s="208">
        <v>1085</v>
      </c>
      <c r="I1097" s="208">
        <v>43994.210000000014</v>
      </c>
      <c r="J1097" s="208">
        <v>26429.949999999961</v>
      </c>
      <c r="K1097" s="208">
        <v>163.13999999999999</v>
      </c>
      <c r="L1097" s="208">
        <v>15648.359999999971</v>
      </c>
      <c r="M1097" s="208" t="s">
        <v>244</v>
      </c>
      <c r="N1097" s="208">
        <v>-175</v>
      </c>
      <c r="O1097" s="208">
        <v>850</v>
      </c>
      <c r="P1097" s="208">
        <v>-59.86</v>
      </c>
      <c r="Q1097" s="208">
        <v>600</v>
      </c>
    </row>
    <row r="1098" spans="1:17">
      <c r="A1098" s="218">
        <v>44196</v>
      </c>
      <c r="B1098" s="208" t="s">
        <v>45</v>
      </c>
      <c r="C1098" s="208" t="s">
        <v>8</v>
      </c>
      <c r="D1098" s="208">
        <v>2019</v>
      </c>
      <c r="E1098" s="208" t="s">
        <v>153</v>
      </c>
      <c r="F1098" s="208" t="s">
        <v>151</v>
      </c>
      <c r="G1098" s="208" t="s">
        <v>243</v>
      </c>
      <c r="H1098" s="208">
        <v>6</v>
      </c>
      <c r="I1098" s="208">
        <v>7.1054273576010019E-15</v>
      </c>
      <c r="J1098" s="208">
        <v>3.5527136788005009E-15</v>
      </c>
      <c r="K1098" s="208">
        <v>0</v>
      </c>
      <c r="L1098" s="208">
        <v>-8.8817841970012523E-16</v>
      </c>
      <c r="M1098" s="208" t="s">
        <v>244</v>
      </c>
      <c r="N1098" s="208">
        <v>-249.25</v>
      </c>
      <c r="O1098" s="208">
        <v>660</v>
      </c>
      <c r="P1098" s="208">
        <v>-86.35</v>
      </c>
      <c r="Q1098" s="208">
        <v>466.5</v>
      </c>
    </row>
    <row r="1099" spans="1:17">
      <c r="A1099" s="218">
        <v>44196</v>
      </c>
      <c r="B1099" s="208" t="s">
        <v>225</v>
      </c>
      <c r="C1099" s="208" t="s">
        <v>8</v>
      </c>
      <c r="D1099" s="208">
        <v>2020</v>
      </c>
      <c r="E1099" s="208" t="s">
        <v>153</v>
      </c>
      <c r="F1099" s="208" t="s">
        <v>151</v>
      </c>
      <c r="G1099" s="208" t="s">
        <v>243</v>
      </c>
      <c r="H1099" s="208">
        <v>685</v>
      </c>
      <c r="I1099" s="208">
        <v>33431.029999999962</v>
      </c>
      <c r="J1099" s="208">
        <v>14057.690000000028</v>
      </c>
      <c r="K1099" s="208">
        <v>3979.569999999997</v>
      </c>
      <c r="L1099" s="208">
        <v>13455.709999999997</v>
      </c>
      <c r="M1099" s="208" t="s">
        <v>244</v>
      </c>
      <c r="N1099" s="208">
        <v>-175</v>
      </c>
      <c r="O1099" s="208">
        <v>850</v>
      </c>
      <c r="P1099" s="208">
        <v>-59.86</v>
      </c>
      <c r="Q1099" s="208">
        <v>600</v>
      </c>
    </row>
    <row r="1100" spans="1:17">
      <c r="A1100" s="218">
        <v>44196</v>
      </c>
      <c r="B1100" s="208" t="s">
        <v>260</v>
      </c>
      <c r="C1100" s="208" t="s">
        <v>8</v>
      </c>
      <c r="D1100" s="208">
        <v>2019</v>
      </c>
      <c r="E1100" s="208" t="s">
        <v>153</v>
      </c>
      <c r="F1100" s="208" t="s">
        <v>151</v>
      </c>
      <c r="G1100" s="208" t="s">
        <v>243</v>
      </c>
      <c r="H1100" s="208">
        <v>3634</v>
      </c>
      <c r="I1100" s="208">
        <v>139353.76000000007</v>
      </c>
      <c r="J1100" s="208">
        <v>82008.259999999354</v>
      </c>
      <c r="K1100" s="208">
        <v>2246.3099999999995</v>
      </c>
      <c r="L1100" s="208">
        <v>35942.280000000217</v>
      </c>
      <c r="M1100" s="208" t="s">
        <v>244</v>
      </c>
      <c r="N1100" s="208">
        <v>-249.25</v>
      </c>
      <c r="O1100" s="208">
        <v>660</v>
      </c>
      <c r="P1100" s="208">
        <v>-86.35</v>
      </c>
      <c r="Q1100" s="208">
        <v>466.5</v>
      </c>
    </row>
    <row r="1101" spans="1:17">
      <c r="A1101" s="218">
        <v>44196</v>
      </c>
      <c r="B1101" s="208" t="s">
        <v>36</v>
      </c>
      <c r="C1101" s="208" t="s">
        <v>8</v>
      </c>
      <c r="D1101" s="208">
        <v>2020</v>
      </c>
      <c r="E1101" s="208" t="s">
        <v>153</v>
      </c>
      <c r="F1101" s="208" t="s">
        <v>151</v>
      </c>
      <c r="G1101" s="208" t="s">
        <v>243</v>
      </c>
      <c r="H1101" s="208">
        <v>1085</v>
      </c>
      <c r="I1101" s="208">
        <v>43994.210000000021</v>
      </c>
      <c r="J1101" s="208">
        <v>26429.949999999964</v>
      </c>
      <c r="K1101" s="208">
        <v>163.13999999999999</v>
      </c>
      <c r="L1101" s="208">
        <v>15648.359999999981</v>
      </c>
      <c r="M1101" s="208" t="s">
        <v>244</v>
      </c>
      <c r="N1101" s="208">
        <v>-175</v>
      </c>
      <c r="O1101" s="208">
        <v>850</v>
      </c>
      <c r="P1101" s="208">
        <v>-59.86</v>
      </c>
      <c r="Q1101" s="208">
        <v>600</v>
      </c>
    </row>
    <row r="1102" spans="1:17">
      <c r="A1102" s="218">
        <v>44196</v>
      </c>
      <c r="B1102" s="208" t="s">
        <v>36</v>
      </c>
      <c r="C1102" s="208" t="s">
        <v>8</v>
      </c>
      <c r="D1102" s="208">
        <v>2019</v>
      </c>
      <c r="E1102" s="208" t="s">
        <v>153</v>
      </c>
      <c r="F1102" s="208" t="s">
        <v>151</v>
      </c>
      <c r="G1102" s="208" t="s">
        <v>243</v>
      </c>
      <c r="H1102" s="208">
        <v>1336</v>
      </c>
      <c r="I1102" s="208">
        <v>52787.340000000215</v>
      </c>
      <c r="J1102" s="208">
        <v>31857.389999999901</v>
      </c>
      <c r="K1102" s="208">
        <v>0</v>
      </c>
      <c r="L1102" s="208">
        <v>18909.98000000001</v>
      </c>
      <c r="M1102" s="208" t="s">
        <v>244</v>
      </c>
      <c r="N1102" s="208">
        <v>-249.25</v>
      </c>
      <c r="O1102" s="208">
        <v>660</v>
      </c>
      <c r="P1102" s="208">
        <v>-86.35</v>
      </c>
      <c r="Q1102" s="208">
        <v>466.5</v>
      </c>
    </row>
    <row r="1103" spans="1:17">
      <c r="A1103" s="218">
        <v>44196</v>
      </c>
      <c r="B1103" s="208" t="s">
        <v>31</v>
      </c>
      <c r="C1103" s="208" t="s">
        <v>8</v>
      </c>
      <c r="D1103" s="208">
        <v>2019</v>
      </c>
      <c r="E1103" s="208" t="s">
        <v>153</v>
      </c>
      <c r="F1103" s="208" t="s">
        <v>151</v>
      </c>
      <c r="G1103" s="208" t="s">
        <v>243</v>
      </c>
      <c r="H1103" s="208">
        <v>1843</v>
      </c>
      <c r="I1103" s="208">
        <v>71169.910000000149</v>
      </c>
      <c r="J1103" s="208">
        <v>42689.619999999741</v>
      </c>
      <c r="K1103" s="208">
        <v>222.61999999999992</v>
      </c>
      <c r="L1103" s="208">
        <v>17955.390000000007</v>
      </c>
      <c r="M1103" s="208" t="s">
        <v>244</v>
      </c>
      <c r="N1103" s="208">
        <v>-249.25</v>
      </c>
      <c r="O1103" s="208">
        <v>660</v>
      </c>
      <c r="P1103" s="208">
        <v>-86.35</v>
      </c>
      <c r="Q1103" s="208">
        <v>466.5</v>
      </c>
    </row>
    <row r="1104" spans="1:17">
      <c r="A1104" s="218">
        <v>44196</v>
      </c>
      <c r="B1104" s="208" t="s">
        <v>31</v>
      </c>
      <c r="C1104" s="208" t="s">
        <v>8</v>
      </c>
      <c r="D1104" s="208">
        <v>2020</v>
      </c>
      <c r="E1104" s="208" t="s">
        <v>153</v>
      </c>
      <c r="F1104" s="208" t="s">
        <v>151</v>
      </c>
      <c r="G1104" s="208" t="s">
        <v>243</v>
      </c>
      <c r="H1104" s="208">
        <v>1613</v>
      </c>
      <c r="I1104" s="208">
        <v>64855.190000000206</v>
      </c>
      <c r="J1104" s="208">
        <v>37233.589999999873</v>
      </c>
      <c r="K1104" s="208">
        <v>15.97</v>
      </c>
      <c r="L1104" s="208">
        <v>18082.719999999972</v>
      </c>
      <c r="M1104" s="208" t="s">
        <v>244</v>
      </c>
      <c r="N1104" s="208">
        <v>-175</v>
      </c>
      <c r="O1104" s="208">
        <v>850</v>
      </c>
      <c r="P1104" s="208">
        <v>-59.86</v>
      </c>
      <c r="Q1104" s="208">
        <v>600</v>
      </c>
    </row>
    <row r="1105" spans="1:17">
      <c r="A1105" s="218">
        <v>44196</v>
      </c>
      <c r="B1105" s="208" t="s">
        <v>261</v>
      </c>
      <c r="C1105" s="208" t="s">
        <v>8</v>
      </c>
      <c r="D1105" s="208">
        <v>2019</v>
      </c>
      <c r="E1105" s="208" t="s">
        <v>153</v>
      </c>
      <c r="F1105" s="208" t="s">
        <v>151</v>
      </c>
      <c r="G1105" s="208" t="s">
        <v>243</v>
      </c>
      <c r="H1105" s="208">
        <v>10</v>
      </c>
      <c r="I1105" s="208">
        <v>612.94999999999993</v>
      </c>
      <c r="J1105" s="208">
        <v>304.27</v>
      </c>
      <c r="K1105" s="208">
        <v>103.42</v>
      </c>
      <c r="L1105" s="208">
        <v>179.85</v>
      </c>
      <c r="M1105" s="208" t="s">
        <v>244</v>
      </c>
      <c r="N1105" s="208">
        <v>-249.25</v>
      </c>
      <c r="O1105" s="208">
        <v>660</v>
      </c>
      <c r="P1105" s="208">
        <v>-86.35</v>
      </c>
      <c r="Q1105" s="208">
        <v>466.5</v>
      </c>
    </row>
    <row r="1106" spans="1:17">
      <c r="A1106" s="218">
        <v>44196</v>
      </c>
      <c r="B1106" s="208" t="s">
        <v>37</v>
      </c>
      <c r="C1106" s="208" t="s">
        <v>8</v>
      </c>
      <c r="D1106" s="208">
        <v>2020</v>
      </c>
      <c r="E1106" s="208" t="s">
        <v>154</v>
      </c>
      <c r="F1106" s="208" t="s">
        <v>151</v>
      </c>
      <c r="G1106" s="208" t="s">
        <v>243</v>
      </c>
      <c r="H1106" s="208">
        <v>1122</v>
      </c>
      <c r="I1106" s="208">
        <v>26249.669999999889</v>
      </c>
      <c r="J1106" s="208">
        <v>15888.760000000028</v>
      </c>
      <c r="K1106" s="208">
        <v>0</v>
      </c>
      <c r="L1106" s="208">
        <v>10360.910000000067</v>
      </c>
      <c r="M1106" s="208" t="s">
        <v>244</v>
      </c>
      <c r="N1106" s="208">
        <v>-228.96</v>
      </c>
      <c r="O1106" s="208">
        <v>486</v>
      </c>
      <c r="P1106" s="208">
        <v>-91.58</v>
      </c>
      <c r="Q1106" s="208">
        <v>194.4</v>
      </c>
    </row>
    <row r="1107" spans="1:17">
      <c r="A1107" s="218">
        <v>44196</v>
      </c>
      <c r="B1107" s="208" t="s">
        <v>268</v>
      </c>
      <c r="C1107" s="208" t="s">
        <v>8</v>
      </c>
      <c r="D1107" s="208">
        <v>2019</v>
      </c>
      <c r="E1107" s="208" t="s">
        <v>154</v>
      </c>
      <c r="F1107" s="208" t="s">
        <v>151</v>
      </c>
      <c r="G1107" s="208" t="s">
        <v>243</v>
      </c>
      <c r="H1107" s="208">
        <v>381</v>
      </c>
      <c r="I1107" s="208">
        <v>9199.9500000000135</v>
      </c>
      <c r="J1107" s="208">
        <v>5543.2600000000111</v>
      </c>
      <c r="K1107" s="208">
        <v>0</v>
      </c>
      <c r="L1107" s="208">
        <v>3656.6900000000087</v>
      </c>
      <c r="M1107" s="208" t="s">
        <v>244</v>
      </c>
      <c r="N1107" s="208">
        <v>-309.42</v>
      </c>
      <c r="O1107" s="208">
        <v>675</v>
      </c>
      <c r="P1107" s="208">
        <v>-123.77</v>
      </c>
      <c r="Q1107" s="208">
        <v>270</v>
      </c>
    </row>
    <row r="1108" spans="1:17">
      <c r="A1108" s="218">
        <v>44196</v>
      </c>
      <c r="B1108" s="208" t="s">
        <v>37</v>
      </c>
      <c r="C1108" s="208" t="s">
        <v>8</v>
      </c>
      <c r="D1108" s="208">
        <v>2019</v>
      </c>
      <c r="E1108" s="208" t="s">
        <v>154</v>
      </c>
      <c r="F1108" s="208" t="s">
        <v>151</v>
      </c>
      <c r="G1108" s="208" t="s">
        <v>243</v>
      </c>
      <c r="H1108" s="208">
        <v>1237</v>
      </c>
      <c r="I1108" s="208">
        <v>24500.489999999925</v>
      </c>
      <c r="J1108" s="208">
        <v>14800.860000000039</v>
      </c>
      <c r="K1108" s="208">
        <v>0</v>
      </c>
      <c r="L1108" s="208">
        <v>9699.6300000000483</v>
      </c>
      <c r="M1108" s="208" t="s">
        <v>244</v>
      </c>
      <c r="N1108" s="208">
        <v>-309.42</v>
      </c>
      <c r="O1108" s="208">
        <v>675</v>
      </c>
      <c r="P1108" s="208">
        <v>-123.77</v>
      </c>
      <c r="Q1108" s="208">
        <v>270</v>
      </c>
    </row>
    <row r="1109" spans="1:17">
      <c r="A1109" s="218">
        <v>44196</v>
      </c>
      <c r="B1109" s="208" t="s">
        <v>258</v>
      </c>
      <c r="C1109" s="208" t="s">
        <v>8</v>
      </c>
      <c r="D1109" s="208">
        <v>2020</v>
      </c>
      <c r="E1109" s="208" t="s">
        <v>154</v>
      </c>
      <c r="F1109" s="208" t="s">
        <v>151</v>
      </c>
      <c r="G1109" s="208" t="s">
        <v>243</v>
      </c>
      <c r="H1109" s="208">
        <v>2712</v>
      </c>
      <c r="I1109" s="208">
        <v>60798.629999999182</v>
      </c>
      <c r="J1109" s="208">
        <v>36984.369999999937</v>
      </c>
      <c r="K1109" s="208">
        <v>0</v>
      </c>
      <c r="L1109" s="208">
        <v>23806.180000000022</v>
      </c>
      <c r="M1109" s="208" t="s">
        <v>244</v>
      </c>
      <c r="N1109" s="208">
        <v>-228.96</v>
      </c>
      <c r="O1109" s="208">
        <v>486</v>
      </c>
      <c r="P1109" s="208">
        <v>-91.58</v>
      </c>
      <c r="Q1109" s="208">
        <v>194.4</v>
      </c>
    </row>
    <row r="1110" spans="1:17">
      <c r="A1110" s="218">
        <v>44196</v>
      </c>
      <c r="B1110" s="208" t="s">
        <v>44</v>
      </c>
      <c r="C1110" s="208" t="s">
        <v>8</v>
      </c>
      <c r="D1110" s="208">
        <v>2020</v>
      </c>
      <c r="E1110" s="208" t="s">
        <v>154</v>
      </c>
      <c r="F1110" s="208" t="s">
        <v>151</v>
      </c>
      <c r="G1110" s="208" t="s">
        <v>243</v>
      </c>
      <c r="H1110" s="208">
        <v>1</v>
      </c>
      <c r="I1110" s="208">
        <v>63.72</v>
      </c>
      <c r="J1110" s="208">
        <v>57.35</v>
      </c>
      <c r="K1110" s="208">
        <v>0</v>
      </c>
      <c r="L1110" s="208">
        <v>6.37</v>
      </c>
      <c r="M1110" s="208" t="s">
        <v>244</v>
      </c>
      <c r="N1110" s="208">
        <v>-228.96</v>
      </c>
      <c r="O1110" s="208">
        <v>486</v>
      </c>
      <c r="P1110" s="208">
        <v>-91.58</v>
      </c>
      <c r="Q1110" s="208">
        <v>194.4</v>
      </c>
    </row>
    <row r="1111" spans="1:17">
      <c r="A1111" s="218">
        <v>44196</v>
      </c>
      <c r="B1111" s="208" t="s">
        <v>39</v>
      </c>
      <c r="C1111" s="208" t="s">
        <v>8</v>
      </c>
      <c r="D1111" s="208">
        <v>2019</v>
      </c>
      <c r="E1111" s="208" t="s">
        <v>154</v>
      </c>
      <c r="F1111" s="208" t="s">
        <v>151</v>
      </c>
      <c r="G1111" s="208" t="s">
        <v>243</v>
      </c>
      <c r="H1111" s="208">
        <v>69</v>
      </c>
      <c r="I1111" s="208">
        <v>1732.3200000000002</v>
      </c>
      <c r="J1111" s="208">
        <v>1039.7799999999997</v>
      </c>
      <c r="K1111" s="208">
        <v>0</v>
      </c>
      <c r="L1111" s="208">
        <v>692.54000000000008</v>
      </c>
      <c r="M1111" s="208" t="s">
        <v>244</v>
      </c>
      <c r="N1111" s="208">
        <v>-309.42</v>
      </c>
      <c r="O1111" s="208">
        <v>675</v>
      </c>
      <c r="P1111" s="208">
        <v>-123.77</v>
      </c>
      <c r="Q1111" s="208">
        <v>270</v>
      </c>
    </row>
    <row r="1112" spans="1:17">
      <c r="A1112" s="218">
        <v>44196</v>
      </c>
      <c r="B1112" s="208" t="s">
        <v>267</v>
      </c>
      <c r="C1112" s="208" t="s">
        <v>8</v>
      </c>
      <c r="D1112" s="208">
        <v>2019</v>
      </c>
      <c r="E1112" s="208" t="s">
        <v>154</v>
      </c>
      <c r="F1112" s="208" t="s">
        <v>151</v>
      </c>
      <c r="G1112" s="208" t="s">
        <v>243</v>
      </c>
      <c r="H1112" s="208">
        <v>498</v>
      </c>
      <c r="I1112" s="208">
        <v>12454.570000000023</v>
      </c>
      <c r="J1112" s="208">
        <v>7502.8700000000226</v>
      </c>
      <c r="K1112" s="208">
        <v>-0.02</v>
      </c>
      <c r="L1112" s="208">
        <v>4940.9500000000089</v>
      </c>
      <c r="M1112" s="208" t="s">
        <v>244</v>
      </c>
      <c r="N1112" s="208">
        <v>-309.42</v>
      </c>
      <c r="O1112" s="208">
        <v>675</v>
      </c>
      <c r="P1112" s="208">
        <v>-123.77</v>
      </c>
      <c r="Q1112" s="208">
        <v>270</v>
      </c>
    </row>
    <row r="1113" spans="1:17">
      <c r="A1113" s="218">
        <v>44196</v>
      </c>
      <c r="B1113" s="208" t="s">
        <v>264</v>
      </c>
      <c r="C1113" s="208" t="s">
        <v>8</v>
      </c>
      <c r="D1113" s="208">
        <v>2019</v>
      </c>
      <c r="E1113" s="208" t="s">
        <v>154</v>
      </c>
      <c r="F1113" s="208" t="s">
        <v>151</v>
      </c>
      <c r="G1113" s="208" t="s">
        <v>243</v>
      </c>
      <c r="H1113" s="208">
        <v>283</v>
      </c>
      <c r="I1113" s="208">
        <v>7006.9599999999955</v>
      </c>
      <c r="J1113" s="208">
        <v>4252.0099999999975</v>
      </c>
      <c r="K1113" s="208">
        <v>0</v>
      </c>
      <c r="L1113" s="208">
        <v>2754.1900000000032</v>
      </c>
      <c r="M1113" s="208" t="s">
        <v>244</v>
      </c>
      <c r="N1113" s="208">
        <v>-309.42</v>
      </c>
      <c r="O1113" s="208">
        <v>675</v>
      </c>
      <c r="P1113" s="208">
        <v>-123.77</v>
      </c>
      <c r="Q1113" s="208">
        <v>270</v>
      </c>
    </row>
    <row r="1114" spans="1:17">
      <c r="A1114" s="218">
        <v>44196</v>
      </c>
      <c r="B1114" s="208" t="s">
        <v>36</v>
      </c>
      <c r="C1114" s="208" t="s">
        <v>8</v>
      </c>
      <c r="D1114" s="208">
        <v>2019</v>
      </c>
      <c r="E1114" s="208" t="s">
        <v>154</v>
      </c>
      <c r="F1114" s="208" t="s">
        <v>151</v>
      </c>
      <c r="G1114" s="208" t="s">
        <v>243</v>
      </c>
      <c r="H1114" s="208">
        <v>1721</v>
      </c>
      <c r="I1114" s="208">
        <v>39315.609999999608</v>
      </c>
      <c r="J1114" s="208">
        <v>24016.320000000105</v>
      </c>
      <c r="K1114" s="208">
        <v>0</v>
      </c>
      <c r="L1114" s="208">
        <v>15332.12000000005</v>
      </c>
      <c r="M1114" s="208" t="s">
        <v>244</v>
      </c>
      <c r="N1114" s="208">
        <v>-309.42</v>
      </c>
      <c r="O1114" s="208">
        <v>675</v>
      </c>
      <c r="P1114" s="208">
        <v>-123.77</v>
      </c>
      <c r="Q1114" s="208">
        <v>270</v>
      </c>
    </row>
    <row r="1115" spans="1:17">
      <c r="A1115" s="218">
        <v>44196</v>
      </c>
      <c r="B1115" s="208" t="s">
        <v>268</v>
      </c>
      <c r="C1115" s="208" t="s">
        <v>8</v>
      </c>
      <c r="D1115" s="208">
        <v>2020</v>
      </c>
      <c r="E1115" s="208" t="s">
        <v>154</v>
      </c>
      <c r="F1115" s="208" t="s">
        <v>151</v>
      </c>
      <c r="G1115" s="208" t="s">
        <v>243</v>
      </c>
      <c r="H1115" s="208">
        <v>564</v>
      </c>
      <c r="I1115" s="208">
        <v>14631.680000000033</v>
      </c>
      <c r="J1115" s="208">
        <v>8822.810000000025</v>
      </c>
      <c r="K1115" s="208">
        <v>0</v>
      </c>
      <c r="L1115" s="208">
        <v>5808.8700000000199</v>
      </c>
      <c r="M1115" s="208" t="s">
        <v>244</v>
      </c>
      <c r="N1115" s="208">
        <v>-228.96</v>
      </c>
      <c r="O1115" s="208">
        <v>486</v>
      </c>
      <c r="P1115" s="208">
        <v>-91.58</v>
      </c>
      <c r="Q1115" s="208">
        <v>194.4</v>
      </c>
    </row>
    <row r="1116" spans="1:17">
      <c r="A1116" s="218">
        <v>44196</v>
      </c>
      <c r="B1116" s="208" t="s">
        <v>48</v>
      </c>
      <c r="C1116" s="208" t="s">
        <v>8</v>
      </c>
      <c r="D1116" s="208">
        <v>2020</v>
      </c>
      <c r="E1116" s="208" t="s">
        <v>154</v>
      </c>
      <c r="F1116" s="208" t="s">
        <v>151</v>
      </c>
      <c r="G1116" s="208" t="s">
        <v>243</v>
      </c>
      <c r="H1116" s="208">
        <v>13</v>
      </c>
      <c r="I1116" s="208">
        <v>432.27</v>
      </c>
      <c r="J1116" s="208">
        <v>259.74</v>
      </c>
      <c r="K1116" s="208">
        <v>0</v>
      </c>
      <c r="L1116" s="208">
        <v>172.53</v>
      </c>
      <c r="M1116" s="208" t="s">
        <v>244</v>
      </c>
      <c r="N1116" s="208">
        <v>-228.96</v>
      </c>
      <c r="O1116" s="208">
        <v>486</v>
      </c>
      <c r="P1116" s="208">
        <v>-91.58</v>
      </c>
      <c r="Q1116" s="208">
        <v>194.4</v>
      </c>
    </row>
    <row r="1117" spans="1:17">
      <c r="A1117" s="218">
        <v>44196</v>
      </c>
      <c r="B1117" s="208" t="s">
        <v>265</v>
      </c>
      <c r="C1117" s="208" t="s">
        <v>8</v>
      </c>
      <c r="D1117" s="208">
        <v>2020</v>
      </c>
      <c r="E1117" s="208" t="s">
        <v>154</v>
      </c>
      <c r="F1117" s="208" t="s">
        <v>151</v>
      </c>
      <c r="G1117" s="208" t="s">
        <v>243</v>
      </c>
      <c r="H1117" s="208">
        <v>1</v>
      </c>
      <c r="I1117" s="208">
        <v>28.62</v>
      </c>
      <c r="J1117" s="208">
        <v>25.76</v>
      </c>
      <c r="K1117" s="208">
        <v>0</v>
      </c>
      <c r="L1117" s="208">
        <v>2.86</v>
      </c>
      <c r="M1117" s="208" t="s">
        <v>244</v>
      </c>
      <c r="N1117" s="208">
        <v>-228.96</v>
      </c>
      <c r="O1117" s="208">
        <v>486</v>
      </c>
      <c r="P1117" s="208">
        <v>-91.58</v>
      </c>
      <c r="Q1117" s="208">
        <v>194.4</v>
      </c>
    </row>
    <row r="1118" spans="1:17">
      <c r="A1118" s="218">
        <v>44196</v>
      </c>
      <c r="B1118" s="208" t="s">
        <v>261</v>
      </c>
      <c r="C1118" s="208" t="s">
        <v>8</v>
      </c>
      <c r="D1118" s="208">
        <v>2020</v>
      </c>
      <c r="E1118" s="208" t="s">
        <v>154</v>
      </c>
      <c r="F1118" s="208" t="s">
        <v>151</v>
      </c>
      <c r="G1118" s="208" t="s">
        <v>243</v>
      </c>
      <c r="H1118" s="208">
        <v>42</v>
      </c>
      <c r="I1118" s="208">
        <v>1414.57</v>
      </c>
      <c r="J1118" s="208">
        <v>848.7</v>
      </c>
      <c r="K1118" s="208">
        <v>0</v>
      </c>
      <c r="L1118" s="208">
        <v>565.86999999999989</v>
      </c>
      <c r="M1118" s="208" t="s">
        <v>244</v>
      </c>
      <c r="N1118" s="208">
        <v>-228.96</v>
      </c>
      <c r="O1118" s="208">
        <v>486</v>
      </c>
      <c r="P1118" s="208">
        <v>-91.58</v>
      </c>
      <c r="Q1118" s="208">
        <v>194.4</v>
      </c>
    </row>
    <row r="1119" spans="1:17">
      <c r="A1119" s="218">
        <v>44196</v>
      </c>
      <c r="B1119" s="208" t="s">
        <v>45</v>
      </c>
      <c r="C1119" s="208" t="s">
        <v>8</v>
      </c>
      <c r="D1119" s="208">
        <v>2020</v>
      </c>
      <c r="E1119" s="208" t="s">
        <v>154</v>
      </c>
      <c r="F1119" s="208" t="s">
        <v>151</v>
      </c>
      <c r="G1119" s="208" t="s">
        <v>243</v>
      </c>
      <c r="H1119" s="208">
        <v>616</v>
      </c>
      <c r="I1119" s="208">
        <v>13350.800000000036</v>
      </c>
      <c r="J1119" s="208">
        <v>8124.3600000000242</v>
      </c>
      <c r="K1119" s="208">
        <v>0</v>
      </c>
      <c r="L1119" s="208">
        <v>5180.5400000000136</v>
      </c>
      <c r="M1119" s="208" t="s">
        <v>244</v>
      </c>
      <c r="N1119" s="208">
        <v>-228.96</v>
      </c>
      <c r="O1119" s="208">
        <v>486</v>
      </c>
      <c r="P1119" s="208">
        <v>-91.58</v>
      </c>
      <c r="Q1119" s="208">
        <v>194.4</v>
      </c>
    </row>
    <row r="1120" spans="1:17">
      <c r="A1120" s="218">
        <v>44196</v>
      </c>
      <c r="B1120" s="208" t="s">
        <v>45</v>
      </c>
      <c r="C1120" s="208" t="s">
        <v>8</v>
      </c>
      <c r="D1120" s="208">
        <v>2019</v>
      </c>
      <c r="E1120" s="208" t="s">
        <v>154</v>
      </c>
      <c r="F1120" s="208" t="s">
        <v>151</v>
      </c>
      <c r="G1120" s="208" t="s">
        <v>243</v>
      </c>
      <c r="H1120" s="208">
        <v>498</v>
      </c>
      <c r="I1120" s="208">
        <v>12454.570000000023</v>
      </c>
      <c r="J1120" s="208">
        <v>7502.8700000000208</v>
      </c>
      <c r="K1120" s="208">
        <v>-0.02</v>
      </c>
      <c r="L1120" s="208">
        <v>4940.9500000000189</v>
      </c>
      <c r="M1120" s="208" t="s">
        <v>244</v>
      </c>
      <c r="N1120" s="208">
        <v>-309.42</v>
      </c>
      <c r="O1120" s="208">
        <v>675</v>
      </c>
      <c r="P1120" s="208">
        <v>-123.77</v>
      </c>
      <c r="Q1120" s="208">
        <v>270</v>
      </c>
    </row>
    <row r="1121" spans="1:17">
      <c r="A1121" s="218">
        <v>44196</v>
      </c>
      <c r="B1121" s="208" t="s">
        <v>225</v>
      </c>
      <c r="C1121" s="208" t="s">
        <v>8</v>
      </c>
      <c r="D1121" s="208">
        <v>2019</v>
      </c>
      <c r="E1121" s="208" t="s">
        <v>154</v>
      </c>
      <c r="F1121" s="208" t="s">
        <v>151</v>
      </c>
      <c r="G1121" s="208" t="s">
        <v>243</v>
      </c>
      <c r="H1121" s="208">
        <v>1237</v>
      </c>
      <c r="I1121" s="208">
        <v>24500.489999999882</v>
      </c>
      <c r="J1121" s="208">
        <v>14800.860000000052</v>
      </c>
      <c r="K1121" s="208">
        <v>0</v>
      </c>
      <c r="L1121" s="208">
        <v>9699.6300000000592</v>
      </c>
      <c r="M1121" s="208" t="s">
        <v>244</v>
      </c>
      <c r="N1121" s="208">
        <v>-309.42</v>
      </c>
      <c r="O1121" s="208">
        <v>675</v>
      </c>
      <c r="P1121" s="208">
        <v>-123.77</v>
      </c>
      <c r="Q1121" s="208">
        <v>270</v>
      </c>
    </row>
    <row r="1122" spans="1:17">
      <c r="A1122" s="218">
        <v>44196</v>
      </c>
      <c r="B1122" s="208" t="s">
        <v>36</v>
      </c>
      <c r="C1122" s="208" t="s">
        <v>8</v>
      </c>
      <c r="D1122" s="208">
        <v>2020</v>
      </c>
      <c r="E1122" s="208" t="s">
        <v>154</v>
      </c>
      <c r="F1122" s="208" t="s">
        <v>151</v>
      </c>
      <c r="G1122" s="208" t="s">
        <v>243</v>
      </c>
      <c r="H1122" s="208">
        <v>1491</v>
      </c>
      <c r="I1122" s="208">
        <v>34870.49999999976</v>
      </c>
      <c r="J1122" s="208">
        <v>21251.100000000093</v>
      </c>
      <c r="K1122" s="208">
        <v>0</v>
      </c>
      <c r="L1122" s="208">
        <v>13619.400000000105</v>
      </c>
      <c r="M1122" s="208" t="s">
        <v>244</v>
      </c>
      <c r="N1122" s="208">
        <v>-228.96</v>
      </c>
      <c r="O1122" s="208">
        <v>486</v>
      </c>
      <c r="P1122" s="208">
        <v>-91.58</v>
      </c>
      <c r="Q1122" s="208">
        <v>194.4</v>
      </c>
    </row>
    <row r="1123" spans="1:17">
      <c r="A1123" s="218">
        <v>44196</v>
      </c>
      <c r="B1123" s="208" t="s">
        <v>33</v>
      </c>
      <c r="C1123" s="208" t="s">
        <v>8</v>
      </c>
      <c r="D1123" s="208">
        <v>2020</v>
      </c>
      <c r="E1123" s="208" t="s">
        <v>154</v>
      </c>
      <c r="F1123" s="208" t="s">
        <v>151</v>
      </c>
      <c r="G1123" s="208" t="s">
        <v>243</v>
      </c>
      <c r="H1123" s="208">
        <v>326</v>
      </c>
      <c r="I1123" s="208">
        <v>9458.6400000000085</v>
      </c>
      <c r="J1123" s="208">
        <v>5701.2300000000068</v>
      </c>
      <c r="K1123" s="208">
        <v>0</v>
      </c>
      <c r="L1123" s="208">
        <v>3757.4100000000076</v>
      </c>
      <c r="M1123" s="208" t="s">
        <v>244</v>
      </c>
      <c r="N1123" s="208">
        <v>-228.96</v>
      </c>
      <c r="O1123" s="208">
        <v>486</v>
      </c>
      <c r="P1123" s="208">
        <v>-91.58</v>
      </c>
      <c r="Q1123" s="208">
        <v>194.4</v>
      </c>
    </row>
    <row r="1124" spans="1:17">
      <c r="A1124" s="218">
        <v>44196</v>
      </c>
      <c r="B1124" s="208" t="s">
        <v>260</v>
      </c>
      <c r="C1124" s="208" t="s">
        <v>8</v>
      </c>
      <c r="D1124" s="208">
        <v>2019</v>
      </c>
      <c r="E1124" s="208" t="s">
        <v>154</v>
      </c>
      <c r="F1124" s="208" t="s">
        <v>151</v>
      </c>
      <c r="G1124" s="208" t="s">
        <v>243</v>
      </c>
      <c r="H1124" s="208">
        <v>5038</v>
      </c>
      <c r="I1124" s="208">
        <v>102589.83999999875</v>
      </c>
      <c r="J1124" s="208">
        <v>62536.669999999482</v>
      </c>
      <c r="K1124" s="208">
        <v>0.76</v>
      </c>
      <c r="L1124" s="208">
        <v>39994.999999999971</v>
      </c>
      <c r="M1124" s="208" t="s">
        <v>244</v>
      </c>
      <c r="N1124" s="208">
        <v>-309.42</v>
      </c>
      <c r="O1124" s="208">
        <v>675</v>
      </c>
      <c r="P1124" s="208">
        <v>-123.77</v>
      </c>
      <c r="Q1124" s="208">
        <v>270</v>
      </c>
    </row>
    <row r="1125" spans="1:17">
      <c r="A1125" s="218">
        <v>44196</v>
      </c>
      <c r="B1125" s="208" t="s">
        <v>46</v>
      </c>
      <c r="C1125" s="208" t="s">
        <v>8</v>
      </c>
      <c r="D1125" s="208">
        <v>2020</v>
      </c>
      <c r="E1125" s="208" t="s">
        <v>154</v>
      </c>
      <c r="F1125" s="208" t="s">
        <v>151</v>
      </c>
      <c r="G1125" s="208" t="s">
        <v>243</v>
      </c>
      <c r="H1125" s="208">
        <v>1</v>
      </c>
      <c r="I1125" s="208">
        <v>28.62</v>
      </c>
      <c r="J1125" s="208">
        <v>25.76</v>
      </c>
      <c r="K1125" s="208">
        <v>0</v>
      </c>
      <c r="L1125" s="208">
        <v>2.86</v>
      </c>
      <c r="M1125" s="208" t="s">
        <v>244</v>
      </c>
      <c r="N1125" s="208">
        <v>-228.96</v>
      </c>
      <c r="O1125" s="208">
        <v>486</v>
      </c>
      <c r="P1125" s="208">
        <v>-91.58</v>
      </c>
      <c r="Q1125" s="208">
        <v>194.4</v>
      </c>
    </row>
    <row r="1126" spans="1:17">
      <c r="A1126" s="218">
        <v>44196</v>
      </c>
      <c r="B1126" s="208" t="s">
        <v>259</v>
      </c>
      <c r="C1126" s="208" t="s">
        <v>8</v>
      </c>
      <c r="D1126" s="208">
        <v>2020</v>
      </c>
      <c r="E1126" s="208" t="s">
        <v>154</v>
      </c>
      <c r="F1126" s="208" t="s">
        <v>151</v>
      </c>
      <c r="G1126" s="208" t="s">
        <v>243</v>
      </c>
      <c r="H1126" s="208">
        <v>1491</v>
      </c>
      <c r="I1126" s="208">
        <v>34870.49999999984</v>
      </c>
      <c r="J1126" s="208">
        <v>21251.100000000104</v>
      </c>
      <c r="K1126" s="208">
        <v>0</v>
      </c>
      <c r="L1126" s="208">
        <v>13619.400000000072</v>
      </c>
      <c r="M1126" s="208" t="s">
        <v>244</v>
      </c>
      <c r="N1126" s="208">
        <v>-228.96</v>
      </c>
      <c r="O1126" s="208">
        <v>486</v>
      </c>
      <c r="P1126" s="208">
        <v>-91.58</v>
      </c>
      <c r="Q1126" s="208">
        <v>194.4</v>
      </c>
    </row>
    <row r="1127" spans="1:17">
      <c r="A1127" s="218">
        <v>44196</v>
      </c>
      <c r="B1127" s="208" t="s">
        <v>258</v>
      </c>
      <c r="C1127" s="208" t="s">
        <v>8</v>
      </c>
      <c r="D1127" s="208">
        <v>2019</v>
      </c>
      <c r="E1127" s="208" t="s">
        <v>154</v>
      </c>
      <c r="F1127" s="208" t="s">
        <v>151</v>
      </c>
      <c r="G1127" s="208" t="s">
        <v>243</v>
      </c>
      <c r="H1127" s="208">
        <v>3025</v>
      </c>
      <c r="I1127" s="208">
        <v>59432.429999999185</v>
      </c>
      <c r="J1127" s="208">
        <v>36170.989999999991</v>
      </c>
      <c r="K1127" s="208">
        <v>0</v>
      </c>
      <c r="L1127" s="208">
        <v>23261.440000000039</v>
      </c>
      <c r="M1127" s="208" t="s">
        <v>244</v>
      </c>
      <c r="N1127" s="208">
        <v>-309.42</v>
      </c>
      <c r="O1127" s="208">
        <v>675</v>
      </c>
      <c r="P1127" s="208">
        <v>-123.77</v>
      </c>
      <c r="Q1127" s="208">
        <v>270</v>
      </c>
    </row>
    <row r="1128" spans="1:17">
      <c r="A1128" s="218">
        <v>44196</v>
      </c>
      <c r="B1128" s="208" t="s">
        <v>261</v>
      </c>
      <c r="C1128" s="208" t="s">
        <v>8</v>
      </c>
      <c r="D1128" s="208">
        <v>2019</v>
      </c>
      <c r="E1128" s="208" t="s">
        <v>154</v>
      </c>
      <c r="F1128" s="208" t="s">
        <v>151</v>
      </c>
      <c r="G1128" s="208" t="s">
        <v>243</v>
      </c>
      <c r="H1128" s="208">
        <v>11</v>
      </c>
      <c r="I1128" s="208">
        <v>391.77</v>
      </c>
      <c r="J1128" s="208">
        <v>235.06000000000003</v>
      </c>
      <c r="K1128" s="208">
        <v>0</v>
      </c>
      <c r="L1128" s="208">
        <v>156.71</v>
      </c>
      <c r="M1128" s="208" t="s">
        <v>244</v>
      </c>
      <c r="N1128" s="208">
        <v>-309.42</v>
      </c>
      <c r="O1128" s="208">
        <v>675</v>
      </c>
      <c r="P1128" s="208">
        <v>-123.77</v>
      </c>
      <c r="Q1128" s="208">
        <v>270</v>
      </c>
    </row>
    <row r="1129" spans="1:17">
      <c r="A1129" s="218">
        <v>44196</v>
      </c>
      <c r="B1129" s="208" t="s">
        <v>259</v>
      </c>
      <c r="C1129" s="208" t="s">
        <v>8</v>
      </c>
      <c r="D1129" s="208">
        <v>2019</v>
      </c>
      <c r="E1129" s="208" t="s">
        <v>154</v>
      </c>
      <c r="F1129" s="208" t="s">
        <v>151</v>
      </c>
      <c r="G1129" s="208" t="s">
        <v>243</v>
      </c>
      <c r="H1129" s="208">
        <v>1721</v>
      </c>
      <c r="I1129" s="208">
        <v>39315.609999999593</v>
      </c>
      <c r="J1129" s="208">
        <v>24016.320000000087</v>
      </c>
      <c r="K1129" s="208">
        <v>0</v>
      </c>
      <c r="L1129" s="208">
        <v>15332.120000000086</v>
      </c>
      <c r="M1129" s="208" t="s">
        <v>244</v>
      </c>
      <c r="N1129" s="208">
        <v>-309.42</v>
      </c>
      <c r="O1129" s="208">
        <v>675</v>
      </c>
      <c r="P1129" s="208">
        <v>-123.77</v>
      </c>
      <c r="Q1129" s="208">
        <v>270</v>
      </c>
    </row>
    <row r="1130" spans="1:17">
      <c r="A1130" s="218">
        <v>44196</v>
      </c>
      <c r="B1130" s="208" t="s">
        <v>31</v>
      </c>
      <c r="C1130" s="208" t="s">
        <v>8</v>
      </c>
      <c r="D1130" s="208">
        <v>2020</v>
      </c>
      <c r="E1130" s="208" t="s">
        <v>154</v>
      </c>
      <c r="F1130" s="208" t="s">
        <v>151</v>
      </c>
      <c r="G1130" s="208" t="s">
        <v>243</v>
      </c>
      <c r="H1130" s="208">
        <v>2712</v>
      </c>
      <c r="I1130" s="208">
        <v>60798.629999999022</v>
      </c>
      <c r="J1130" s="208">
        <v>36984.370000000003</v>
      </c>
      <c r="K1130" s="208">
        <v>0</v>
      </c>
      <c r="L1130" s="208">
        <v>23806.179999999997</v>
      </c>
      <c r="M1130" s="208" t="s">
        <v>244</v>
      </c>
      <c r="N1130" s="208">
        <v>-228.96</v>
      </c>
      <c r="O1130" s="208">
        <v>486</v>
      </c>
      <c r="P1130" s="208">
        <v>-91.58</v>
      </c>
      <c r="Q1130" s="208">
        <v>194.4</v>
      </c>
    </row>
    <row r="1131" spans="1:17">
      <c r="A1131" s="218">
        <v>44196</v>
      </c>
      <c r="B1131" s="208" t="s">
        <v>273</v>
      </c>
      <c r="C1131" s="208" t="s">
        <v>8</v>
      </c>
      <c r="D1131" s="208">
        <v>2019</v>
      </c>
      <c r="E1131" s="208" t="s">
        <v>154</v>
      </c>
      <c r="F1131" s="208" t="s">
        <v>151</v>
      </c>
      <c r="G1131" s="208" t="s">
        <v>243</v>
      </c>
      <c r="H1131" s="208">
        <v>3</v>
      </c>
      <c r="I1131" s="208">
        <v>173.88</v>
      </c>
      <c r="J1131" s="208">
        <v>156.49</v>
      </c>
      <c r="K1131" s="208">
        <v>0</v>
      </c>
      <c r="L1131" s="208">
        <v>17.39</v>
      </c>
      <c r="M1131" s="208" t="s">
        <v>244</v>
      </c>
      <c r="N1131" s="208">
        <v>-309.42</v>
      </c>
      <c r="O1131" s="208">
        <v>675</v>
      </c>
      <c r="P1131" s="208">
        <v>-123.77</v>
      </c>
      <c r="Q1131" s="208">
        <v>270</v>
      </c>
    </row>
    <row r="1132" spans="1:17">
      <c r="A1132" s="218">
        <v>44196</v>
      </c>
      <c r="B1132" s="208" t="s">
        <v>43</v>
      </c>
      <c r="C1132" s="208" t="s">
        <v>8</v>
      </c>
      <c r="D1132" s="208">
        <v>2019</v>
      </c>
      <c r="E1132" s="208" t="s">
        <v>154</v>
      </c>
      <c r="F1132" s="208" t="s">
        <v>151</v>
      </c>
      <c r="G1132" s="208" t="s">
        <v>243</v>
      </c>
      <c r="H1132" s="208">
        <v>528</v>
      </c>
      <c r="I1132" s="208">
        <v>9796.6899999999914</v>
      </c>
      <c r="J1132" s="208">
        <v>5991.0100000000184</v>
      </c>
      <c r="K1132" s="208">
        <v>0</v>
      </c>
      <c r="L1132" s="208">
        <v>3784.1300000000128</v>
      </c>
      <c r="M1132" s="208" t="s">
        <v>244</v>
      </c>
      <c r="N1132" s="208">
        <v>-309.42</v>
      </c>
      <c r="O1132" s="208">
        <v>675</v>
      </c>
      <c r="P1132" s="208">
        <v>-123.77</v>
      </c>
      <c r="Q1132" s="208">
        <v>270</v>
      </c>
    </row>
    <row r="1133" spans="1:17">
      <c r="A1133" s="218">
        <v>44196</v>
      </c>
      <c r="B1133" s="208" t="s">
        <v>44</v>
      </c>
      <c r="C1133" s="208" t="s">
        <v>8</v>
      </c>
      <c r="D1133" s="208">
        <v>2019</v>
      </c>
      <c r="E1133" s="208" t="s">
        <v>154</v>
      </c>
      <c r="F1133" s="208" t="s">
        <v>151</v>
      </c>
      <c r="G1133" s="208" t="s">
        <v>243</v>
      </c>
      <c r="H1133" s="208">
        <v>3</v>
      </c>
      <c r="I1133" s="208">
        <v>173.88</v>
      </c>
      <c r="J1133" s="208">
        <v>156.49</v>
      </c>
      <c r="K1133" s="208">
        <v>0</v>
      </c>
      <c r="L1133" s="208">
        <v>17.39</v>
      </c>
      <c r="M1133" s="208" t="s">
        <v>244</v>
      </c>
      <c r="N1133" s="208">
        <v>-309.42</v>
      </c>
      <c r="O1133" s="208">
        <v>675</v>
      </c>
      <c r="P1133" s="208">
        <v>-123.77</v>
      </c>
      <c r="Q1133" s="208">
        <v>270</v>
      </c>
    </row>
    <row r="1134" spans="1:17">
      <c r="A1134" s="218">
        <v>44196</v>
      </c>
      <c r="B1134" s="208" t="s">
        <v>42</v>
      </c>
      <c r="C1134" s="208" t="s">
        <v>8</v>
      </c>
      <c r="D1134" s="208">
        <v>2019</v>
      </c>
      <c r="E1134" s="208" t="s">
        <v>154</v>
      </c>
      <c r="F1134" s="208" t="s">
        <v>151</v>
      </c>
      <c r="G1134" s="208" t="s">
        <v>243</v>
      </c>
      <c r="H1134" s="208">
        <v>2</v>
      </c>
      <c r="I1134" s="208">
        <v>76.95</v>
      </c>
      <c r="J1134" s="208">
        <v>69.25</v>
      </c>
      <c r="K1134" s="208">
        <v>0</v>
      </c>
      <c r="L1134" s="208">
        <v>7.7</v>
      </c>
      <c r="M1134" s="208" t="s">
        <v>244</v>
      </c>
      <c r="N1134" s="208">
        <v>-309.42</v>
      </c>
      <c r="O1134" s="208">
        <v>675</v>
      </c>
      <c r="P1134" s="208">
        <v>-123.77</v>
      </c>
      <c r="Q1134" s="208">
        <v>270</v>
      </c>
    </row>
    <row r="1135" spans="1:17">
      <c r="A1135" s="218">
        <v>44196</v>
      </c>
      <c r="B1135" s="208" t="s">
        <v>35</v>
      </c>
      <c r="C1135" s="208" t="s">
        <v>8</v>
      </c>
      <c r="D1135" s="208">
        <v>2019</v>
      </c>
      <c r="E1135" s="208" t="s">
        <v>154</v>
      </c>
      <c r="F1135" s="208" t="s">
        <v>151</v>
      </c>
      <c r="G1135" s="208" t="s">
        <v>243</v>
      </c>
      <c r="H1135" s="208">
        <v>11</v>
      </c>
      <c r="I1135" s="208">
        <v>391.77000000000004</v>
      </c>
      <c r="J1135" s="208">
        <v>235.06</v>
      </c>
      <c r="K1135" s="208">
        <v>0</v>
      </c>
      <c r="L1135" s="208">
        <v>156.71</v>
      </c>
      <c r="M1135" s="208" t="s">
        <v>244</v>
      </c>
      <c r="N1135" s="208">
        <v>-309.42</v>
      </c>
      <c r="O1135" s="208">
        <v>675</v>
      </c>
      <c r="P1135" s="208">
        <v>-123.77</v>
      </c>
      <c r="Q1135" s="208">
        <v>270</v>
      </c>
    </row>
    <row r="1136" spans="1:17">
      <c r="A1136" s="218">
        <v>44196</v>
      </c>
      <c r="B1136" s="208" t="s">
        <v>42</v>
      </c>
      <c r="C1136" s="208" t="s">
        <v>8</v>
      </c>
      <c r="D1136" s="208">
        <v>2020</v>
      </c>
      <c r="E1136" s="208" t="s">
        <v>154</v>
      </c>
      <c r="F1136" s="208" t="s">
        <v>151</v>
      </c>
      <c r="G1136" s="208" t="s">
        <v>243</v>
      </c>
      <c r="H1136" s="208">
        <v>4</v>
      </c>
      <c r="I1136" s="208">
        <v>162.27000000000001</v>
      </c>
      <c r="J1136" s="208">
        <v>146.04</v>
      </c>
      <c r="K1136" s="208">
        <v>0</v>
      </c>
      <c r="L1136" s="208">
        <v>16.23</v>
      </c>
      <c r="M1136" s="208" t="s">
        <v>244</v>
      </c>
      <c r="N1136" s="208">
        <v>-228.96</v>
      </c>
      <c r="O1136" s="208">
        <v>486</v>
      </c>
      <c r="P1136" s="208">
        <v>-91.58</v>
      </c>
      <c r="Q1136" s="208">
        <v>194.4</v>
      </c>
    </row>
    <row r="1137" spans="1:17">
      <c r="A1137" s="218">
        <v>44196</v>
      </c>
      <c r="B1137" s="208" t="s">
        <v>29</v>
      </c>
      <c r="C1137" s="208" t="s">
        <v>8</v>
      </c>
      <c r="D1137" s="208">
        <v>2019</v>
      </c>
      <c r="E1137" s="208" t="s">
        <v>154</v>
      </c>
      <c r="F1137" s="208" t="s">
        <v>151</v>
      </c>
      <c r="G1137" s="208" t="s">
        <v>243</v>
      </c>
      <c r="H1137" s="208">
        <v>5038</v>
      </c>
      <c r="I1137" s="208">
        <v>102589.83999999882</v>
      </c>
      <c r="J1137" s="208">
        <v>62536.669999999169</v>
      </c>
      <c r="K1137" s="208">
        <v>0.76</v>
      </c>
      <c r="L1137" s="208">
        <v>39994.999999999862</v>
      </c>
      <c r="M1137" s="208" t="s">
        <v>244</v>
      </c>
      <c r="N1137" s="208">
        <v>-309.42</v>
      </c>
      <c r="O1137" s="208">
        <v>675</v>
      </c>
      <c r="P1137" s="208">
        <v>-123.77</v>
      </c>
      <c r="Q1137" s="208">
        <v>270</v>
      </c>
    </row>
    <row r="1138" spans="1:17">
      <c r="A1138" s="218">
        <v>44196</v>
      </c>
      <c r="B1138" s="208" t="s">
        <v>260</v>
      </c>
      <c r="C1138" s="208" t="s">
        <v>8</v>
      </c>
      <c r="D1138" s="208">
        <v>2020</v>
      </c>
      <c r="E1138" s="208" t="s">
        <v>154</v>
      </c>
      <c r="F1138" s="208" t="s">
        <v>151</v>
      </c>
      <c r="G1138" s="208" t="s">
        <v>243</v>
      </c>
      <c r="H1138" s="208">
        <v>3979</v>
      </c>
      <c r="I1138" s="208">
        <v>99877.919999998703</v>
      </c>
      <c r="J1138" s="208">
        <v>60794.729999999538</v>
      </c>
      <c r="K1138" s="208">
        <v>0</v>
      </c>
      <c r="L1138" s="208">
        <v>39083.189999999857</v>
      </c>
      <c r="M1138" s="208" t="s">
        <v>244</v>
      </c>
      <c r="N1138" s="208">
        <v>-228.96</v>
      </c>
      <c r="O1138" s="208">
        <v>486</v>
      </c>
      <c r="P1138" s="208">
        <v>-91.58</v>
      </c>
      <c r="Q1138" s="208">
        <v>194.4</v>
      </c>
    </row>
    <row r="1139" spans="1:17">
      <c r="A1139" s="218">
        <v>44196</v>
      </c>
      <c r="B1139" s="208" t="s">
        <v>267</v>
      </c>
      <c r="C1139" s="208" t="s">
        <v>8</v>
      </c>
      <c r="D1139" s="208">
        <v>2020</v>
      </c>
      <c r="E1139" s="208" t="s">
        <v>154</v>
      </c>
      <c r="F1139" s="208" t="s">
        <v>151</v>
      </c>
      <c r="G1139" s="208" t="s">
        <v>243</v>
      </c>
      <c r="H1139" s="208">
        <v>616</v>
      </c>
      <c r="I1139" s="208">
        <v>13350.800000000047</v>
      </c>
      <c r="J1139" s="208">
        <v>8124.360000000016</v>
      </c>
      <c r="K1139" s="208">
        <v>0</v>
      </c>
      <c r="L1139" s="208">
        <v>5180.5400000000109</v>
      </c>
      <c r="M1139" s="208" t="s">
        <v>244</v>
      </c>
      <c r="N1139" s="208">
        <v>-228.96</v>
      </c>
      <c r="O1139" s="208">
        <v>486</v>
      </c>
      <c r="P1139" s="208">
        <v>-91.58</v>
      </c>
      <c r="Q1139" s="208">
        <v>194.4</v>
      </c>
    </row>
    <row r="1140" spans="1:17">
      <c r="A1140" s="218">
        <v>44196</v>
      </c>
      <c r="B1140" s="208" t="s">
        <v>274</v>
      </c>
      <c r="C1140" s="208" t="s">
        <v>8</v>
      </c>
      <c r="D1140" s="208">
        <v>2020</v>
      </c>
      <c r="E1140" s="208" t="s">
        <v>154</v>
      </c>
      <c r="F1140" s="208" t="s">
        <v>151</v>
      </c>
      <c r="G1140" s="208" t="s">
        <v>243</v>
      </c>
      <c r="H1140" s="208">
        <v>4</v>
      </c>
      <c r="I1140" s="208">
        <v>220.59</v>
      </c>
      <c r="J1140" s="208">
        <v>198.53</v>
      </c>
      <c r="K1140" s="208">
        <v>0</v>
      </c>
      <c r="L1140" s="208">
        <v>22.06</v>
      </c>
      <c r="M1140" s="208" t="s">
        <v>244</v>
      </c>
      <c r="N1140" s="208">
        <v>-228.96</v>
      </c>
      <c r="O1140" s="208">
        <v>486</v>
      </c>
      <c r="P1140" s="208">
        <v>-91.58</v>
      </c>
      <c r="Q1140" s="208">
        <v>194.4</v>
      </c>
    </row>
    <row r="1141" spans="1:17">
      <c r="A1141" s="218">
        <v>44196</v>
      </c>
      <c r="B1141" s="208" t="s">
        <v>225</v>
      </c>
      <c r="C1141" s="208" t="s">
        <v>8</v>
      </c>
      <c r="D1141" s="208">
        <v>2020</v>
      </c>
      <c r="E1141" s="208" t="s">
        <v>154</v>
      </c>
      <c r="F1141" s="208" t="s">
        <v>151</v>
      </c>
      <c r="G1141" s="208" t="s">
        <v>243</v>
      </c>
      <c r="H1141" s="208">
        <v>1122</v>
      </c>
      <c r="I1141" s="208">
        <v>26249.669999999944</v>
      </c>
      <c r="J1141" s="208">
        <v>15888.760000000031</v>
      </c>
      <c r="K1141" s="208">
        <v>0</v>
      </c>
      <c r="L1141" s="208">
        <v>10360.910000000053</v>
      </c>
      <c r="M1141" s="208" t="s">
        <v>244</v>
      </c>
      <c r="N1141" s="208">
        <v>-228.96</v>
      </c>
      <c r="O1141" s="208">
        <v>486</v>
      </c>
      <c r="P1141" s="208">
        <v>-91.58</v>
      </c>
      <c r="Q1141" s="208">
        <v>194.4</v>
      </c>
    </row>
    <row r="1142" spans="1:17">
      <c r="A1142" s="218">
        <v>44196</v>
      </c>
      <c r="B1142" s="208" t="s">
        <v>47</v>
      </c>
      <c r="C1142" s="208" t="s">
        <v>8</v>
      </c>
      <c r="D1142" s="208">
        <v>2020</v>
      </c>
      <c r="E1142" s="208" t="s">
        <v>154</v>
      </c>
      <c r="F1142" s="208" t="s">
        <v>151</v>
      </c>
      <c r="G1142" s="208" t="s">
        <v>243</v>
      </c>
      <c r="H1142" s="208">
        <v>564</v>
      </c>
      <c r="I1142" s="208">
        <v>14631.680000000033</v>
      </c>
      <c r="J1142" s="208">
        <v>8822.8100000000213</v>
      </c>
      <c r="K1142" s="208">
        <v>0</v>
      </c>
      <c r="L1142" s="208">
        <v>5808.8700000000181</v>
      </c>
      <c r="M1142" s="208" t="s">
        <v>244</v>
      </c>
      <c r="N1142" s="208">
        <v>-228.96</v>
      </c>
      <c r="O1142" s="208">
        <v>486</v>
      </c>
      <c r="P1142" s="208">
        <v>-91.58</v>
      </c>
      <c r="Q1142" s="208">
        <v>194.4</v>
      </c>
    </row>
    <row r="1143" spans="1:17">
      <c r="A1143" s="218">
        <v>44196</v>
      </c>
      <c r="B1143" s="208" t="s">
        <v>40</v>
      </c>
      <c r="C1143" s="208" t="s">
        <v>8</v>
      </c>
      <c r="D1143" s="208">
        <v>2020</v>
      </c>
      <c r="E1143" s="208" t="s">
        <v>154</v>
      </c>
      <c r="F1143" s="208" t="s">
        <v>151</v>
      </c>
      <c r="G1143" s="208" t="s">
        <v>243</v>
      </c>
      <c r="H1143" s="208">
        <v>4</v>
      </c>
      <c r="I1143" s="208">
        <v>220.59</v>
      </c>
      <c r="J1143" s="208">
        <v>198.53</v>
      </c>
      <c r="K1143" s="208">
        <v>0</v>
      </c>
      <c r="L1143" s="208">
        <v>22.060000000000002</v>
      </c>
      <c r="M1143" s="208" t="s">
        <v>244</v>
      </c>
      <c r="N1143" s="208">
        <v>-228.96</v>
      </c>
      <c r="O1143" s="208">
        <v>486</v>
      </c>
      <c r="P1143" s="208">
        <v>-91.58</v>
      </c>
      <c r="Q1143" s="208">
        <v>194.4</v>
      </c>
    </row>
    <row r="1144" spans="1:17">
      <c r="A1144" s="218">
        <v>44196</v>
      </c>
      <c r="B1144" s="208" t="s">
        <v>43</v>
      </c>
      <c r="C1144" s="208" t="s">
        <v>8</v>
      </c>
      <c r="D1144" s="208">
        <v>2020</v>
      </c>
      <c r="E1144" s="208" t="s">
        <v>154</v>
      </c>
      <c r="F1144" s="208" t="s">
        <v>151</v>
      </c>
      <c r="G1144" s="208" t="s">
        <v>243</v>
      </c>
      <c r="H1144" s="208">
        <v>362</v>
      </c>
      <c r="I1144" s="208">
        <v>9937.3500000000076</v>
      </c>
      <c r="J1144" s="208">
        <v>6031.3300000000172</v>
      </c>
      <c r="K1144" s="208">
        <v>0</v>
      </c>
      <c r="L1144" s="208">
        <v>3906.0200000000095</v>
      </c>
      <c r="M1144" s="208" t="s">
        <v>244</v>
      </c>
      <c r="N1144" s="208">
        <v>-228.96</v>
      </c>
      <c r="O1144" s="208">
        <v>486</v>
      </c>
      <c r="P1144" s="208">
        <v>-91.58</v>
      </c>
      <c r="Q1144" s="208">
        <v>194.4</v>
      </c>
    </row>
    <row r="1145" spans="1:17">
      <c r="A1145" s="218">
        <v>44196</v>
      </c>
      <c r="B1145" s="208" t="s">
        <v>31</v>
      </c>
      <c r="C1145" s="208" t="s">
        <v>8</v>
      </c>
      <c r="D1145" s="208">
        <v>2019</v>
      </c>
      <c r="E1145" s="208" t="s">
        <v>154</v>
      </c>
      <c r="F1145" s="208" t="s">
        <v>151</v>
      </c>
      <c r="G1145" s="208" t="s">
        <v>243</v>
      </c>
      <c r="H1145" s="208">
        <v>3025</v>
      </c>
      <c r="I1145" s="208">
        <v>59432.429999999105</v>
      </c>
      <c r="J1145" s="208">
        <v>36170.990000000056</v>
      </c>
      <c r="K1145" s="208">
        <v>0</v>
      </c>
      <c r="L1145" s="208">
        <v>23261.439999999973</v>
      </c>
      <c r="M1145" s="208" t="s">
        <v>244</v>
      </c>
      <c r="N1145" s="208">
        <v>-309.42</v>
      </c>
      <c r="O1145" s="208">
        <v>675</v>
      </c>
      <c r="P1145" s="208">
        <v>-123.77</v>
      </c>
      <c r="Q1145" s="208">
        <v>270</v>
      </c>
    </row>
    <row r="1146" spans="1:17">
      <c r="A1146" s="218">
        <v>44196</v>
      </c>
      <c r="B1146" s="208" t="s">
        <v>273</v>
      </c>
      <c r="C1146" s="208" t="s">
        <v>8</v>
      </c>
      <c r="D1146" s="208">
        <v>2020</v>
      </c>
      <c r="E1146" s="208" t="s">
        <v>154</v>
      </c>
      <c r="F1146" s="208" t="s">
        <v>151</v>
      </c>
      <c r="G1146" s="208" t="s">
        <v>243</v>
      </c>
      <c r="H1146" s="208">
        <v>1</v>
      </c>
      <c r="I1146" s="208">
        <v>63.72</v>
      </c>
      <c r="J1146" s="208">
        <v>57.35</v>
      </c>
      <c r="K1146" s="208">
        <v>0</v>
      </c>
      <c r="L1146" s="208">
        <v>6.37</v>
      </c>
      <c r="M1146" s="208" t="s">
        <v>244</v>
      </c>
      <c r="N1146" s="208">
        <v>-228.96</v>
      </c>
      <c r="O1146" s="208">
        <v>486</v>
      </c>
      <c r="P1146" s="208">
        <v>-91.58</v>
      </c>
      <c r="Q1146" s="208">
        <v>194.4</v>
      </c>
    </row>
    <row r="1147" spans="1:17">
      <c r="A1147" s="218">
        <v>44196</v>
      </c>
      <c r="B1147" s="208" t="s">
        <v>269</v>
      </c>
      <c r="C1147" s="208" t="s">
        <v>8</v>
      </c>
      <c r="D1147" s="208">
        <v>2019</v>
      </c>
      <c r="E1147" s="208" t="s">
        <v>154</v>
      </c>
      <c r="F1147" s="208" t="s">
        <v>151</v>
      </c>
      <c r="G1147" s="208" t="s">
        <v>243</v>
      </c>
      <c r="H1147" s="208">
        <v>69</v>
      </c>
      <c r="I1147" s="208">
        <v>1732.32</v>
      </c>
      <c r="J1147" s="208">
        <v>1039.7799999999997</v>
      </c>
      <c r="K1147" s="208">
        <v>0</v>
      </c>
      <c r="L1147" s="208">
        <v>692.53999999999985</v>
      </c>
      <c r="M1147" s="208" t="s">
        <v>244</v>
      </c>
      <c r="N1147" s="208">
        <v>-309.42</v>
      </c>
      <c r="O1147" s="208">
        <v>675</v>
      </c>
      <c r="P1147" s="208">
        <v>-123.77</v>
      </c>
      <c r="Q1147" s="208">
        <v>270</v>
      </c>
    </row>
    <row r="1148" spans="1:17">
      <c r="A1148" s="218">
        <v>44196</v>
      </c>
      <c r="B1148" s="208" t="s">
        <v>41</v>
      </c>
      <c r="C1148" s="208" t="s">
        <v>8</v>
      </c>
      <c r="D1148" s="208">
        <v>2019</v>
      </c>
      <c r="E1148" s="208" t="s">
        <v>154</v>
      </c>
      <c r="F1148" s="208" t="s">
        <v>151</v>
      </c>
      <c r="G1148" s="208" t="s">
        <v>243</v>
      </c>
      <c r="H1148" s="208">
        <v>283</v>
      </c>
      <c r="I1148" s="208">
        <v>7006.9599999999964</v>
      </c>
      <c r="J1148" s="208">
        <v>4252.0100000000011</v>
      </c>
      <c r="K1148" s="208">
        <v>0</v>
      </c>
      <c r="L1148" s="208">
        <v>2754.1900000000041</v>
      </c>
      <c r="M1148" s="208" t="s">
        <v>244</v>
      </c>
      <c r="N1148" s="208">
        <v>-309.42</v>
      </c>
      <c r="O1148" s="208">
        <v>675</v>
      </c>
      <c r="P1148" s="208">
        <v>-123.77</v>
      </c>
      <c r="Q1148" s="208">
        <v>270</v>
      </c>
    </row>
    <row r="1149" spans="1:17">
      <c r="A1149" s="218">
        <v>44196</v>
      </c>
      <c r="B1149" s="208" t="s">
        <v>263</v>
      </c>
      <c r="C1149" s="208" t="s">
        <v>8</v>
      </c>
      <c r="D1149" s="208">
        <v>2020</v>
      </c>
      <c r="E1149" s="208" t="s">
        <v>154</v>
      </c>
      <c r="F1149" s="208" t="s">
        <v>151</v>
      </c>
      <c r="G1149" s="208" t="s">
        <v>243</v>
      </c>
      <c r="H1149" s="208">
        <v>326</v>
      </c>
      <c r="I1149" s="208">
        <v>9458.6400000000122</v>
      </c>
      <c r="J1149" s="208">
        <v>5701.2300000000123</v>
      </c>
      <c r="K1149" s="208">
        <v>0</v>
      </c>
      <c r="L1149" s="208">
        <v>3757.4100000000049</v>
      </c>
      <c r="M1149" s="208" t="s">
        <v>244</v>
      </c>
      <c r="N1149" s="208">
        <v>-228.96</v>
      </c>
      <c r="O1149" s="208">
        <v>486</v>
      </c>
      <c r="P1149" s="208">
        <v>-91.58</v>
      </c>
      <c r="Q1149" s="208">
        <v>194.4</v>
      </c>
    </row>
    <row r="1150" spans="1:17">
      <c r="A1150" s="218">
        <v>44196</v>
      </c>
      <c r="B1150" s="208" t="s">
        <v>264</v>
      </c>
      <c r="C1150" s="208" t="s">
        <v>8</v>
      </c>
      <c r="D1150" s="208">
        <v>2020</v>
      </c>
      <c r="E1150" s="208" t="s">
        <v>154</v>
      </c>
      <c r="F1150" s="208" t="s">
        <v>151</v>
      </c>
      <c r="G1150" s="208" t="s">
        <v>243</v>
      </c>
      <c r="H1150" s="208">
        <v>465</v>
      </c>
      <c r="I1150" s="208">
        <v>11559.30000000001</v>
      </c>
      <c r="J1150" s="208">
        <v>7049.4500000000126</v>
      </c>
      <c r="K1150" s="208">
        <v>0</v>
      </c>
      <c r="L1150" s="208">
        <v>4509.8500000000067</v>
      </c>
      <c r="M1150" s="208" t="s">
        <v>244</v>
      </c>
      <c r="N1150" s="208">
        <v>-228.96</v>
      </c>
      <c r="O1150" s="208">
        <v>486</v>
      </c>
      <c r="P1150" s="208">
        <v>-91.58</v>
      </c>
      <c r="Q1150" s="208">
        <v>194.4</v>
      </c>
    </row>
    <row r="1151" spans="1:17">
      <c r="A1151" s="218">
        <v>44196</v>
      </c>
      <c r="B1151" s="208" t="s">
        <v>35</v>
      </c>
      <c r="C1151" s="208" t="s">
        <v>8</v>
      </c>
      <c r="D1151" s="208">
        <v>2020</v>
      </c>
      <c r="E1151" s="208" t="s">
        <v>154</v>
      </c>
      <c r="F1151" s="208" t="s">
        <v>151</v>
      </c>
      <c r="G1151" s="208" t="s">
        <v>243</v>
      </c>
      <c r="H1151" s="208">
        <v>42</v>
      </c>
      <c r="I1151" s="208">
        <v>1414.57</v>
      </c>
      <c r="J1151" s="208">
        <v>848.7</v>
      </c>
      <c r="K1151" s="208">
        <v>0</v>
      </c>
      <c r="L1151" s="208">
        <v>565.86999999999978</v>
      </c>
      <c r="M1151" s="208" t="s">
        <v>244</v>
      </c>
      <c r="N1151" s="208">
        <v>-228.96</v>
      </c>
      <c r="O1151" s="208">
        <v>486</v>
      </c>
      <c r="P1151" s="208">
        <v>-91.58</v>
      </c>
      <c r="Q1151" s="208">
        <v>194.4</v>
      </c>
    </row>
    <row r="1152" spans="1:17">
      <c r="A1152" s="218">
        <v>44196</v>
      </c>
      <c r="B1152" s="208" t="s">
        <v>41</v>
      </c>
      <c r="C1152" s="208" t="s">
        <v>8</v>
      </c>
      <c r="D1152" s="208">
        <v>2020</v>
      </c>
      <c r="E1152" s="208" t="s">
        <v>154</v>
      </c>
      <c r="F1152" s="208" t="s">
        <v>151</v>
      </c>
      <c r="G1152" s="208" t="s">
        <v>243</v>
      </c>
      <c r="H1152" s="208">
        <v>465</v>
      </c>
      <c r="I1152" s="208">
        <v>11559.300000000017</v>
      </c>
      <c r="J1152" s="208">
        <v>7049.4500000000162</v>
      </c>
      <c r="K1152" s="208">
        <v>0</v>
      </c>
      <c r="L1152" s="208">
        <v>4509.8500000000085</v>
      </c>
      <c r="M1152" s="208" t="s">
        <v>244</v>
      </c>
      <c r="N1152" s="208">
        <v>-228.96</v>
      </c>
      <c r="O1152" s="208">
        <v>486</v>
      </c>
      <c r="P1152" s="208">
        <v>-91.58</v>
      </c>
      <c r="Q1152" s="208">
        <v>194.4</v>
      </c>
    </row>
    <row r="1153" spans="1:17">
      <c r="A1153" s="218">
        <v>44196</v>
      </c>
      <c r="B1153" s="208" t="s">
        <v>263</v>
      </c>
      <c r="C1153" s="208" t="s">
        <v>8</v>
      </c>
      <c r="D1153" s="208">
        <v>2019</v>
      </c>
      <c r="E1153" s="208" t="s">
        <v>154</v>
      </c>
      <c r="F1153" s="208" t="s">
        <v>151</v>
      </c>
      <c r="G1153" s="208" t="s">
        <v>243</v>
      </c>
      <c r="H1153" s="208">
        <v>314</v>
      </c>
      <c r="I1153" s="208">
        <v>7430.8499999999967</v>
      </c>
      <c r="J1153" s="208">
        <v>4468.79</v>
      </c>
      <c r="K1153" s="208">
        <v>0</v>
      </c>
      <c r="L1153" s="208">
        <v>2962.0600000000036</v>
      </c>
      <c r="M1153" s="208" t="s">
        <v>244</v>
      </c>
      <c r="N1153" s="208">
        <v>-309.42</v>
      </c>
      <c r="O1153" s="208">
        <v>675</v>
      </c>
      <c r="P1153" s="208">
        <v>-123.77</v>
      </c>
      <c r="Q1153" s="208">
        <v>270</v>
      </c>
    </row>
    <row r="1154" spans="1:17">
      <c r="A1154" s="218">
        <v>44196</v>
      </c>
      <c r="B1154" s="208" t="s">
        <v>47</v>
      </c>
      <c r="C1154" s="208" t="s">
        <v>8</v>
      </c>
      <c r="D1154" s="208">
        <v>2019</v>
      </c>
      <c r="E1154" s="208" t="s">
        <v>154</v>
      </c>
      <c r="F1154" s="208" t="s">
        <v>151</v>
      </c>
      <c r="G1154" s="208" t="s">
        <v>243</v>
      </c>
      <c r="H1154" s="208">
        <v>381</v>
      </c>
      <c r="I1154" s="208">
        <v>9199.9499999999971</v>
      </c>
      <c r="J1154" s="208">
        <v>5543.2600000000066</v>
      </c>
      <c r="K1154" s="208">
        <v>0</v>
      </c>
      <c r="L1154" s="208">
        <v>3656.6900000000128</v>
      </c>
      <c r="M1154" s="208" t="s">
        <v>244</v>
      </c>
      <c r="N1154" s="208">
        <v>-309.42</v>
      </c>
      <c r="O1154" s="208">
        <v>675</v>
      </c>
      <c r="P1154" s="208">
        <v>-123.77</v>
      </c>
      <c r="Q1154" s="208">
        <v>270</v>
      </c>
    </row>
    <row r="1155" spans="1:17">
      <c r="A1155" s="218">
        <v>44196</v>
      </c>
      <c r="B1155" s="208" t="s">
        <v>29</v>
      </c>
      <c r="C1155" s="208" t="s">
        <v>8</v>
      </c>
      <c r="D1155" s="208">
        <v>2020</v>
      </c>
      <c r="E1155" s="208" t="s">
        <v>154</v>
      </c>
      <c r="F1155" s="208" t="s">
        <v>151</v>
      </c>
      <c r="G1155" s="208" t="s">
        <v>243</v>
      </c>
      <c r="H1155" s="208">
        <v>3979</v>
      </c>
      <c r="I1155" s="208">
        <v>99877.919999998063</v>
      </c>
      <c r="J1155" s="208">
        <v>60794.729999999327</v>
      </c>
      <c r="K1155" s="208">
        <v>0</v>
      </c>
      <c r="L1155" s="208">
        <v>39083.190000000024</v>
      </c>
      <c r="M1155" s="208" t="s">
        <v>244</v>
      </c>
      <c r="N1155" s="208">
        <v>-228.96</v>
      </c>
      <c r="O1155" s="208">
        <v>486</v>
      </c>
      <c r="P1155" s="208">
        <v>-91.58</v>
      </c>
      <c r="Q1155" s="208">
        <v>194.4</v>
      </c>
    </row>
    <row r="1156" spans="1:17">
      <c r="A1156" s="218">
        <v>44196</v>
      </c>
      <c r="B1156" s="208" t="s">
        <v>262</v>
      </c>
      <c r="C1156" s="208" t="s">
        <v>8</v>
      </c>
      <c r="D1156" s="208">
        <v>2020</v>
      </c>
      <c r="E1156" s="208" t="s">
        <v>154</v>
      </c>
      <c r="F1156" s="208" t="s">
        <v>151</v>
      </c>
      <c r="G1156" s="208" t="s">
        <v>243</v>
      </c>
      <c r="H1156" s="208">
        <v>362</v>
      </c>
      <c r="I1156" s="208">
        <v>9937.3500000000076</v>
      </c>
      <c r="J1156" s="208">
        <v>6031.3300000000154</v>
      </c>
      <c r="K1156" s="208">
        <v>0</v>
      </c>
      <c r="L1156" s="208">
        <v>3906.0200000000077</v>
      </c>
      <c r="M1156" s="208" t="s">
        <v>244</v>
      </c>
      <c r="N1156" s="208">
        <v>-228.96</v>
      </c>
      <c r="O1156" s="208">
        <v>486</v>
      </c>
      <c r="P1156" s="208">
        <v>-91.58</v>
      </c>
      <c r="Q1156" s="208">
        <v>194.4</v>
      </c>
    </row>
    <row r="1157" spans="1:17">
      <c r="A1157" s="218">
        <v>44196</v>
      </c>
      <c r="B1157" s="208" t="s">
        <v>270</v>
      </c>
      <c r="C1157" s="208" t="s">
        <v>8</v>
      </c>
      <c r="D1157" s="208">
        <v>2020</v>
      </c>
      <c r="E1157" s="208" t="s">
        <v>154</v>
      </c>
      <c r="F1157" s="208" t="s">
        <v>151</v>
      </c>
      <c r="G1157" s="208" t="s">
        <v>243</v>
      </c>
      <c r="H1157" s="208">
        <v>13</v>
      </c>
      <c r="I1157" s="208">
        <v>432.27</v>
      </c>
      <c r="J1157" s="208">
        <v>259.74</v>
      </c>
      <c r="K1157" s="208">
        <v>0</v>
      </c>
      <c r="L1157" s="208">
        <v>172.53</v>
      </c>
      <c r="M1157" s="208" t="s">
        <v>244</v>
      </c>
      <c r="N1157" s="208">
        <v>-228.96</v>
      </c>
      <c r="O1157" s="208">
        <v>486</v>
      </c>
      <c r="P1157" s="208">
        <v>-91.58</v>
      </c>
      <c r="Q1157" s="208">
        <v>194.4</v>
      </c>
    </row>
    <row r="1158" spans="1:17">
      <c r="A1158" s="218">
        <v>44196</v>
      </c>
      <c r="B1158" s="208" t="s">
        <v>39</v>
      </c>
      <c r="C1158" s="208" t="s">
        <v>8</v>
      </c>
      <c r="D1158" s="208">
        <v>2020</v>
      </c>
      <c r="E1158" s="208" t="s">
        <v>154</v>
      </c>
      <c r="F1158" s="208" t="s">
        <v>151</v>
      </c>
      <c r="G1158" s="208" t="s">
        <v>243</v>
      </c>
      <c r="H1158" s="208">
        <v>402</v>
      </c>
      <c r="I1158" s="208">
        <v>9732.2100000000082</v>
      </c>
      <c r="J1158" s="208">
        <v>6014.1700000000073</v>
      </c>
      <c r="K1158" s="208">
        <v>0</v>
      </c>
      <c r="L1158" s="208">
        <v>3718.0400000000059</v>
      </c>
      <c r="M1158" s="208" t="s">
        <v>244</v>
      </c>
      <c r="N1158" s="208">
        <v>-228.96</v>
      </c>
      <c r="O1158" s="208">
        <v>486</v>
      </c>
      <c r="P1158" s="208">
        <v>-91.58</v>
      </c>
      <c r="Q1158" s="208">
        <v>194.4</v>
      </c>
    </row>
    <row r="1159" spans="1:17">
      <c r="A1159" s="218">
        <v>44196</v>
      </c>
      <c r="B1159" s="208" t="s">
        <v>266</v>
      </c>
      <c r="C1159" s="208" t="s">
        <v>8</v>
      </c>
      <c r="D1159" s="208">
        <v>2020</v>
      </c>
      <c r="E1159" s="208" t="s">
        <v>154</v>
      </c>
      <c r="F1159" s="208" t="s">
        <v>151</v>
      </c>
      <c r="G1159" s="208" t="s">
        <v>243</v>
      </c>
      <c r="H1159" s="208">
        <v>4</v>
      </c>
      <c r="I1159" s="208">
        <v>162.27000000000001</v>
      </c>
      <c r="J1159" s="208">
        <v>146.04</v>
      </c>
      <c r="K1159" s="208">
        <v>0</v>
      </c>
      <c r="L1159" s="208">
        <v>16.23</v>
      </c>
      <c r="M1159" s="208" t="s">
        <v>244</v>
      </c>
      <c r="N1159" s="208">
        <v>-228.96</v>
      </c>
      <c r="O1159" s="208">
        <v>486</v>
      </c>
      <c r="P1159" s="208">
        <v>-91.58</v>
      </c>
      <c r="Q1159" s="208">
        <v>194.4</v>
      </c>
    </row>
    <row r="1160" spans="1:17">
      <c r="A1160" s="218">
        <v>44196</v>
      </c>
      <c r="B1160" s="208" t="s">
        <v>262</v>
      </c>
      <c r="C1160" s="208" t="s">
        <v>8</v>
      </c>
      <c r="D1160" s="208">
        <v>2019</v>
      </c>
      <c r="E1160" s="208" t="s">
        <v>154</v>
      </c>
      <c r="F1160" s="208" t="s">
        <v>151</v>
      </c>
      <c r="G1160" s="208" t="s">
        <v>243</v>
      </c>
      <c r="H1160" s="208">
        <v>528</v>
      </c>
      <c r="I1160" s="208">
        <v>9796.6900000000096</v>
      </c>
      <c r="J1160" s="208">
        <v>5991.0100000000166</v>
      </c>
      <c r="K1160" s="208">
        <v>0</v>
      </c>
      <c r="L1160" s="208">
        <v>3784.1300000000106</v>
      </c>
      <c r="M1160" s="208" t="s">
        <v>244</v>
      </c>
      <c r="N1160" s="208">
        <v>-309.42</v>
      </c>
      <c r="O1160" s="208">
        <v>675</v>
      </c>
      <c r="P1160" s="208">
        <v>-123.77</v>
      </c>
      <c r="Q1160" s="208">
        <v>270</v>
      </c>
    </row>
    <row r="1161" spans="1:17">
      <c r="A1161" s="218">
        <v>44196</v>
      </c>
      <c r="B1161" s="208" t="s">
        <v>269</v>
      </c>
      <c r="C1161" s="208" t="s">
        <v>8</v>
      </c>
      <c r="D1161" s="208">
        <v>2020</v>
      </c>
      <c r="E1161" s="208" t="s">
        <v>154</v>
      </c>
      <c r="F1161" s="208" t="s">
        <v>151</v>
      </c>
      <c r="G1161" s="208" t="s">
        <v>243</v>
      </c>
      <c r="H1161" s="208">
        <v>402</v>
      </c>
      <c r="I1161" s="208">
        <v>9732.2100000000046</v>
      </c>
      <c r="J1161" s="208">
        <v>6014.1700000000064</v>
      </c>
      <c r="K1161" s="208">
        <v>0</v>
      </c>
      <c r="L1161" s="208">
        <v>3718.0400000000091</v>
      </c>
      <c r="M1161" s="208" t="s">
        <v>244</v>
      </c>
      <c r="N1161" s="208">
        <v>-228.96</v>
      </c>
      <c r="O1161" s="208">
        <v>486</v>
      </c>
      <c r="P1161" s="208">
        <v>-91.58</v>
      </c>
      <c r="Q1161" s="208">
        <v>194.4</v>
      </c>
    </row>
    <row r="1162" spans="1:17">
      <c r="A1162" s="218">
        <v>44196</v>
      </c>
      <c r="B1162" s="208" t="s">
        <v>266</v>
      </c>
      <c r="C1162" s="208" t="s">
        <v>8</v>
      </c>
      <c r="D1162" s="208">
        <v>2019</v>
      </c>
      <c r="E1162" s="208" t="s">
        <v>154</v>
      </c>
      <c r="F1162" s="208" t="s">
        <v>151</v>
      </c>
      <c r="G1162" s="208" t="s">
        <v>243</v>
      </c>
      <c r="H1162" s="208">
        <v>2</v>
      </c>
      <c r="I1162" s="208">
        <v>76.95</v>
      </c>
      <c r="J1162" s="208">
        <v>69.25</v>
      </c>
      <c r="K1162" s="208">
        <v>0</v>
      </c>
      <c r="L1162" s="208">
        <v>7.7</v>
      </c>
      <c r="M1162" s="208" t="s">
        <v>244</v>
      </c>
      <c r="N1162" s="208">
        <v>-309.42</v>
      </c>
      <c r="O1162" s="208">
        <v>675</v>
      </c>
      <c r="P1162" s="208">
        <v>-123.77</v>
      </c>
      <c r="Q1162" s="208">
        <v>270</v>
      </c>
    </row>
    <row r="1163" spans="1:17">
      <c r="A1163" s="218">
        <v>44196</v>
      </c>
      <c r="B1163" s="208" t="s">
        <v>33</v>
      </c>
      <c r="C1163" s="208" t="s">
        <v>8</v>
      </c>
      <c r="D1163" s="208">
        <v>2019</v>
      </c>
      <c r="E1163" s="208" t="s">
        <v>154</v>
      </c>
      <c r="F1163" s="208" t="s">
        <v>151</v>
      </c>
      <c r="G1163" s="208" t="s">
        <v>243</v>
      </c>
      <c r="H1163" s="208">
        <v>314</v>
      </c>
      <c r="I1163" s="208">
        <v>7430.8499999999976</v>
      </c>
      <c r="J1163" s="208">
        <v>4468.7900000000054</v>
      </c>
      <c r="K1163" s="208">
        <v>0</v>
      </c>
      <c r="L1163" s="208">
        <v>2962.060000000004</v>
      </c>
      <c r="M1163" s="208" t="s">
        <v>244</v>
      </c>
      <c r="N1163" s="208">
        <v>-309.42</v>
      </c>
      <c r="O1163" s="208">
        <v>675</v>
      </c>
      <c r="P1163" s="208">
        <v>-123.77</v>
      </c>
      <c r="Q1163" s="208">
        <v>270</v>
      </c>
    </row>
    <row r="1164" spans="1:17">
      <c r="A1164" s="218">
        <v>44196</v>
      </c>
      <c r="B1164" s="208" t="s">
        <v>39</v>
      </c>
      <c r="C1164" s="208" t="s">
        <v>8</v>
      </c>
      <c r="D1164" s="208">
        <v>2019</v>
      </c>
      <c r="E1164" s="208" t="s">
        <v>155</v>
      </c>
      <c r="F1164" s="208" t="s">
        <v>151</v>
      </c>
      <c r="G1164" s="208" t="s">
        <v>243</v>
      </c>
      <c r="H1164" s="208">
        <v>93</v>
      </c>
      <c r="I1164" s="208">
        <v>2243.8199999999997</v>
      </c>
      <c r="J1164" s="208">
        <v>1441.7499999999995</v>
      </c>
      <c r="K1164" s="208">
        <v>0</v>
      </c>
      <c r="L1164" s="208">
        <v>742.82</v>
      </c>
      <c r="M1164" s="208" t="s">
        <v>244</v>
      </c>
      <c r="N1164" s="208">
        <v>-189</v>
      </c>
      <c r="O1164" s="208">
        <v>1849</v>
      </c>
      <c r="P1164" s="208">
        <v>-93.34</v>
      </c>
      <c r="Q1164" s="208">
        <v>1200</v>
      </c>
    </row>
    <row r="1165" spans="1:17">
      <c r="A1165" s="218">
        <v>44196</v>
      </c>
      <c r="B1165" s="208" t="s">
        <v>46</v>
      </c>
      <c r="C1165" s="208" t="s">
        <v>8</v>
      </c>
      <c r="D1165" s="208">
        <v>2020</v>
      </c>
      <c r="E1165" s="208" t="s">
        <v>155</v>
      </c>
      <c r="F1165" s="208" t="s">
        <v>151</v>
      </c>
      <c r="G1165" s="208" t="s">
        <v>243</v>
      </c>
      <c r="H1165" s="208">
        <v>9</v>
      </c>
      <c r="I1165" s="208">
        <v>199.33999999999997</v>
      </c>
      <c r="J1165" s="208">
        <v>173.20000000000002</v>
      </c>
      <c r="K1165" s="208">
        <v>0</v>
      </c>
      <c r="L1165" s="208">
        <v>26.14</v>
      </c>
      <c r="M1165" s="208" t="s">
        <v>244</v>
      </c>
      <c r="N1165" s="208">
        <v>-149.72</v>
      </c>
      <c r="O1165" s="208">
        <v>4502.8</v>
      </c>
      <c r="P1165" s="208">
        <v>-49</v>
      </c>
      <c r="Q1165" s="208">
        <v>1810.95</v>
      </c>
    </row>
    <row r="1166" spans="1:17">
      <c r="A1166" s="218">
        <v>44196</v>
      </c>
      <c r="B1166" s="208" t="s">
        <v>258</v>
      </c>
      <c r="C1166" s="208" t="s">
        <v>8</v>
      </c>
      <c r="D1166" s="208">
        <v>2020</v>
      </c>
      <c r="E1166" s="208" t="s">
        <v>155</v>
      </c>
      <c r="F1166" s="208" t="s">
        <v>151</v>
      </c>
      <c r="G1166" s="208" t="s">
        <v>243</v>
      </c>
      <c r="H1166" s="208">
        <v>3221</v>
      </c>
      <c r="I1166" s="208">
        <v>64681.429999999113</v>
      </c>
      <c r="J1166" s="208">
        <v>36995.88000000031</v>
      </c>
      <c r="K1166" s="208">
        <v>0</v>
      </c>
      <c r="L1166" s="208">
        <v>24176.890000000192</v>
      </c>
      <c r="M1166" s="208" t="s">
        <v>244</v>
      </c>
      <c r="N1166" s="208">
        <v>-149.72</v>
      </c>
      <c r="O1166" s="208">
        <v>4502.8</v>
      </c>
      <c r="P1166" s="208">
        <v>-49</v>
      </c>
      <c r="Q1166" s="208">
        <v>1810.95</v>
      </c>
    </row>
    <row r="1167" spans="1:17">
      <c r="A1167" s="218">
        <v>44196</v>
      </c>
      <c r="B1167" s="208" t="s">
        <v>36</v>
      </c>
      <c r="C1167" s="208" t="s">
        <v>8</v>
      </c>
      <c r="D1167" s="208">
        <v>2019</v>
      </c>
      <c r="E1167" s="208" t="s">
        <v>155</v>
      </c>
      <c r="F1167" s="208" t="s">
        <v>151</v>
      </c>
      <c r="G1167" s="208" t="s">
        <v>243</v>
      </c>
      <c r="H1167" s="208">
        <v>2581</v>
      </c>
      <c r="I1167" s="208">
        <v>47245.349999999489</v>
      </c>
      <c r="J1167" s="208">
        <v>27069.440000000224</v>
      </c>
      <c r="K1167" s="208">
        <v>0</v>
      </c>
      <c r="L1167" s="208">
        <v>19372.740000000395</v>
      </c>
      <c r="M1167" s="208" t="s">
        <v>244</v>
      </c>
      <c r="N1167" s="208">
        <v>-189</v>
      </c>
      <c r="O1167" s="208">
        <v>1849</v>
      </c>
      <c r="P1167" s="208">
        <v>-93.34</v>
      </c>
      <c r="Q1167" s="208">
        <v>1200</v>
      </c>
    </row>
    <row r="1168" spans="1:17">
      <c r="A1168" s="218">
        <v>44196</v>
      </c>
      <c r="B1168" s="208" t="s">
        <v>225</v>
      </c>
      <c r="C1168" s="208" t="s">
        <v>8</v>
      </c>
      <c r="D1168" s="208">
        <v>2020</v>
      </c>
      <c r="E1168" s="208" t="s">
        <v>155</v>
      </c>
      <c r="F1168" s="208" t="s">
        <v>151</v>
      </c>
      <c r="G1168" s="208" t="s">
        <v>243</v>
      </c>
      <c r="H1168" s="208">
        <v>1139</v>
      </c>
      <c r="I1168" s="208">
        <v>31721.560000000096</v>
      </c>
      <c r="J1168" s="208">
        <v>12113.860000000128</v>
      </c>
      <c r="K1168" s="208">
        <v>0</v>
      </c>
      <c r="L1168" s="208">
        <v>19568.340000000127</v>
      </c>
      <c r="M1168" s="208" t="s">
        <v>244</v>
      </c>
      <c r="N1168" s="208">
        <v>-149.72</v>
      </c>
      <c r="O1168" s="208">
        <v>4502.8</v>
      </c>
      <c r="P1168" s="208">
        <v>-49</v>
      </c>
      <c r="Q1168" s="208">
        <v>1810.95</v>
      </c>
    </row>
    <row r="1169" spans="1:17">
      <c r="A1169" s="218">
        <v>44196</v>
      </c>
      <c r="B1169" s="208" t="s">
        <v>36</v>
      </c>
      <c r="C1169" s="208" t="s">
        <v>8</v>
      </c>
      <c r="D1169" s="208">
        <v>2020</v>
      </c>
      <c r="E1169" s="208" t="s">
        <v>155</v>
      </c>
      <c r="F1169" s="208" t="s">
        <v>151</v>
      </c>
      <c r="G1169" s="208" t="s">
        <v>243</v>
      </c>
      <c r="H1169" s="208">
        <v>1825</v>
      </c>
      <c r="I1169" s="208">
        <v>33903.4900000001</v>
      </c>
      <c r="J1169" s="208">
        <v>19701.190000000151</v>
      </c>
      <c r="K1169" s="208">
        <v>0</v>
      </c>
      <c r="L1169" s="208">
        <v>13908.16000000022</v>
      </c>
      <c r="M1169" s="208" t="s">
        <v>244</v>
      </c>
      <c r="N1169" s="208">
        <v>-149.72</v>
      </c>
      <c r="O1169" s="208">
        <v>4502.8</v>
      </c>
      <c r="P1169" s="208">
        <v>-49</v>
      </c>
      <c r="Q1169" s="208">
        <v>1810.95</v>
      </c>
    </row>
    <row r="1170" spans="1:17">
      <c r="A1170" s="218">
        <v>44196</v>
      </c>
      <c r="B1170" s="208" t="s">
        <v>35</v>
      </c>
      <c r="C1170" s="208" t="s">
        <v>8</v>
      </c>
      <c r="D1170" s="208">
        <v>2019</v>
      </c>
      <c r="E1170" s="208" t="s">
        <v>155</v>
      </c>
      <c r="F1170" s="208" t="s">
        <v>151</v>
      </c>
      <c r="G1170" s="208" t="s">
        <v>243</v>
      </c>
      <c r="H1170" s="208">
        <v>76</v>
      </c>
      <c r="I1170" s="208">
        <v>1454.0000000000023</v>
      </c>
      <c r="J1170" s="208">
        <v>872.48999999999842</v>
      </c>
      <c r="K1170" s="208">
        <v>0</v>
      </c>
      <c r="L1170" s="208">
        <v>581.50000000000068</v>
      </c>
      <c r="M1170" s="208" t="s">
        <v>244</v>
      </c>
      <c r="N1170" s="208">
        <v>-189</v>
      </c>
      <c r="O1170" s="208">
        <v>1849</v>
      </c>
      <c r="P1170" s="208">
        <v>-93.34</v>
      </c>
      <c r="Q1170" s="208">
        <v>1200</v>
      </c>
    </row>
    <row r="1171" spans="1:17">
      <c r="A1171" s="218">
        <v>44196</v>
      </c>
      <c r="B1171" s="208" t="s">
        <v>42</v>
      </c>
      <c r="C1171" s="208" t="s">
        <v>8</v>
      </c>
      <c r="D1171" s="208">
        <v>2020</v>
      </c>
      <c r="E1171" s="208" t="s">
        <v>155</v>
      </c>
      <c r="F1171" s="208" t="s">
        <v>151</v>
      </c>
      <c r="G1171" s="208" t="s">
        <v>243</v>
      </c>
      <c r="H1171" s="208">
        <v>22</v>
      </c>
      <c r="I1171" s="208">
        <v>556.01000000000022</v>
      </c>
      <c r="J1171" s="208">
        <v>463.25000000000011</v>
      </c>
      <c r="K1171" s="208">
        <v>0</v>
      </c>
      <c r="L1171" s="208">
        <v>92.759999999999977</v>
      </c>
      <c r="M1171" s="208" t="s">
        <v>244</v>
      </c>
      <c r="N1171" s="208">
        <v>-149.72</v>
      </c>
      <c r="O1171" s="208">
        <v>4502.8</v>
      </c>
      <c r="P1171" s="208">
        <v>-49</v>
      </c>
      <c r="Q1171" s="208">
        <v>1810.95</v>
      </c>
    </row>
    <row r="1172" spans="1:17">
      <c r="A1172" s="218">
        <v>44196</v>
      </c>
      <c r="B1172" s="208" t="s">
        <v>266</v>
      </c>
      <c r="C1172" s="208" t="s">
        <v>8</v>
      </c>
      <c r="D1172" s="208">
        <v>2020</v>
      </c>
      <c r="E1172" s="208" t="s">
        <v>155</v>
      </c>
      <c r="F1172" s="208" t="s">
        <v>151</v>
      </c>
      <c r="G1172" s="208" t="s">
        <v>243</v>
      </c>
      <c r="H1172" s="208">
        <v>22</v>
      </c>
      <c r="I1172" s="208">
        <v>556.0100000000001</v>
      </c>
      <c r="J1172" s="208">
        <v>463.25000000000011</v>
      </c>
      <c r="K1172" s="208">
        <v>0</v>
      </c>
      <c r="L1172" s="208">
        <v>92.759999999999977</v>
      </c>
      <c r="M1172" s="208" t="s">
        <v>244</v>
      </c>
      <c r="N1172" s="208">
        <v>-149.72</v>
      </c>
      <c r="O1172" s="208">
        <v>4502.8</v>
      </c>
      <c r="P1172" s="208">
        <v>-49</v>
      </c>
      <c r="Q1172" s="208">
        <v>1810.95</v>
      </c>
    </row>
    <row r="1173" spans="1:17">
      <c r="A1173" s="218">
        <v>44196</v>
      </c>
      <c r="B1173" s="208" t="s">
        <v>44</v>
      </c>
      <c r="C1173" s="208" t="s">
        <v>8</v>
      </c>
      <c r="D1173" s="208">
        <v>2019</v>
      </c>
      <c r="E1173" s="208" t="s">
        <v>155</v>
      </c>
      <c r="F1173" s="208" t="s">
        <v>151</v>
      </c>
      <c r="G1173" s="208" t="s">
        <v>243</v>
      </c>
      <c r="H1173" s="208">
        <v>2</v>
      </c>
      <c r="I1173" s="208">
        <v>82</v>
      </c>
      <c r="J1173" s="208">
        <v>68.040000000000006</v>
      </c>
      <c r="K1173" s="208">
        <v>0</v>
      </c>
      <c r="L1173" s="208">
        <v>13.96</v>
      </c>
      <c r="M1173" s="208" t="s">
        <v>244</v>
      </c>
      <c r="N1173" s="208">
        <v>-189</v>
      </c>
      <c r="O1173" s="208">
        <v>1849</v>
      </c>
      <c r="P1173" s="208">
        <v>-93.34</v>
      </c>
      <c r="Q1173" s="208">
        <v>1200</v>
      </c>
    </row>
    <row r="1174" spans="1:17">
      <c r="A1174" s="218">
        <v>44196</v>
      </c>
      <c r="B1174" s="208" t="s">
        <v>269</v>
      </c>
      <c r="C1174" s="208" t="s">
        <v>8</v>
      </c>
      <c r="D1174" s="208">
        <v>2019</v>
      </c>
      <c r="E1174" s="208" t="s">
        <v>155</v>
      </c>
      <c r="F1174" s="208" t="s">
        <v>151</v>
      </c>
      <c r="G1174" s="208" t="s">
        <v>243</v>
      </c>
      <c r="H1174" s="208">
        <v>93</v>
      </c>
      <c r="I1174" s="208">
        <v>2243.8199999999997</v>
      </c>
      <c r="J1174" s="208">
        <v>1441.7499999999998</v>
      </c>
      <c r="K1174" s="208">
        <v>0</v>
      </c>
      <c r="L1174" s="208">
        <v>742.82</v>
      </c>
      <c r="M1174" s="208" t="s">
        <v>244</v>
      </c>
      <c r="N1174" s="208">
        <v>-189</v>
      </c>
      <c r="O1174" s="208">
        <v>1849</v>
      </c>
      <c r="P1174" s="208">
        <v>-93.34</v>
      </c>
      <c r="Q1174" s="208">
        <v>1200</v>
      </c>
    </row>
    <row r="1175" spans="1:17">
      <c r="A1175" s="218">
        <v>44196</v>
      </c>
      <c r="B1175" s="208" t="s">
        <v>37</v>
      </c>
      <c r="C1175" s="208" t="s">
        <v>8</v>
      </c>
      <c r="D1175" s="208">
        <v>2020</v>
      </c>
      <c r="E1175" s="208" t="s">
        <v>155</v>
      </c>
      <c r="F1175" s="208" t="s">
        <v>151</v>
      </c>
      <c r="G1175" s="208" t="s">
        <v>243</v>
      </c>
      <c r="H1175" s="208">
        <v>1139</v>
      </c>
      <c r="I1175" s="208">
        <v>31721.56</v>
      </c>
      <c r="J1175" s="208">
        <v>12113.86000000009</v>
      </c>
      <c r="K1175" s="208">
        <v>0</v>
      </c>
      <c r="L1175" s="208">
        <v>19568.340000000026</v>
      </c>
      <c r="M1175" s="208" t="s">
        <v>244</v>
      </c>
      <c r="N1175" s="208">
        <v>-149.72</v>
      </c>
      <c r="O1175" s="208">
        <v>4502.8</v>
      </c>
      <c r="P1175" s="208">
        <v>-49</v>
      </c>
      <c r="Q1175" s="208">
        <v>1810.95</v>
      </c>
    </row>
    <row r="1176" spans="1:17">
      <c r="A1176" s="218">
        <v>44196</v>
      </c>
      <c r="B1176" s="208" t="s">
        <v>261</v>
      </c>
      <c r="C1176" s="208" t="s">
        <v>8</v>
      </c>
      <c r="D1176" s="208">
        <v>2019</v>
      </c>
      <c r="E1176" s="208" t="s">
        <v>155</v>
      </c>
      <c r="F1176" s="208" t="s">
        <v>151</v>
      </c>
      <c r="G1176" s="208" t="s">
        <v>243</v>
      </c>
      <c r="H1176" s="208">
        <v>76</v>
      </c>
      <c r="I1176" s="208">
        <v>1454</v>
      </c>
      <c r="J1176" s="208">
        <v>872.48999999999955</v>
      </c>
      <c r="K1176" s="208">
        <v>0</v>
      </c>
      <c r="L1176" s="208">
        <v>581.50000000000045</v>
      </c>
      <c r="M1176" s="208" t="s">
        <v>244</v>
      </c>
      <c r="N1176" s="208">
        <v>-189</v>
      </c>
      <c r="O1176" s="208">
        <v>1849</v>
      </c>
      <c r="P1176" s="208">
        <v>-93.34</v>
      </c>
      <c r="Q1176" s="208">
        <v>1200</v>
      </c>
    </row>
    <row r="1177" spans="1:17">
      <c r="A1177" s="218">
        <v>44196</v>
      </c>
      <c r="B1177" s="208" t="s">
        <v>46</v>
      </c>
      <c r="C1177" s="208" t="s">
        <v>8</v>
      </c>
      <c r="D1177" s="208">
        <v>2019</v>
      </c>
      <c r="E1177" s="208" t="s">
        <v>155</v>
      </c>
      <c r="F1177" s="208" t="s">
        <v>151</v>
      </c>
      <c r="G1177" s="208" t="s">
        <v>243</v>
      </c>
      <c r="H1177" s="208">
        <v>1</v>
      </c>
      <c r="I1177" s="208">
        <v>7.98</v>
      </c>
      <c r="J1177" s="208">
        <v>7.18</v>
      </c>
      <c r="K1177" s="208">
        <v>0</v>
      </c>
      <c r="L1177" s="208">
        <v>0.8</v>
      </c>
      <c r="M1177" s="208" t="s">
        <v>244</v>
      </c>
      <c r="N1177" s="208">
        <v>-189</v>
      </c>
      <c r="O1177" s="208">
        <v>1849</v>
      </c>
      <c r="P1177" s="208">
        <v>-93.34</v>
      </c>
      <c r="Q1177" s="208">
        <v>1200</v>
      </c>
    </row>
    <row r="1178" spans="1:17">
      <c r="A1178" s="218">
        <v>44196</v>
      </c>
      <c r="B1178" s="208" t="s">
        <v>268</v>
      </c>
      <c r="C1178" s="208" t="s">
        <v>8</v>
      </c>
      <c r="D1178" s="208">
        <v>2019</v>
      </c>
      <c r="E1178" s="208" t="s">
        <v>155</v>
      </c>
      <c r="F1178" s="208" t="s">
        <v>151</v>
      </c>
      <c r="G1178" s="208" t="s">
        <v>243</v>
      </c>
      <c r="H1178" s="208">
        <v>1182</v>
      </c>
      <c r="I1178" s="208">
        <v>36477.959999999955</v>
      </c>
      <c r="J1178" s="208">
        <v>17932.670000000002</v>
      </c>
      <c r="K1178" s="208">
        <v>0</v>
      </c>
      <c r="L1178" s="208">
        <v>16934.270000000019</v>
      </c>
      <c r="M1178" s="208" t="s">
        <v>244</v>
      </c>
      <c r="N1178" s="208">
        <v>-189</v>
      </c>
      <c r="O1178" s="208">
        <v>1849</v>
      </c>
      <c r="P1178" s="208">
        <v>-93.34</v>
      </c>
      <c r="Q1178" s="208">
        <v>1200</v>
      </c>
    </row>
    <row r="1179" spans="1:17">
      <c r="A1179" s="218">
        <v>44196</v>
      </c>
      <c r="B1179" s="208" t="s">
        <v>29</v>
      </c>
      <c r="C1179" s="208" t="s">
        <v>8</v>
      </c>
      <c r="D1179" s="208">
        <v>2019</v>
      </c>
      <c r="E1179" s="208" t="s">
        <v>155</v>
      </c>
      <c r="F1179" s="208" t="s">
        <v>151</v>
      </c>
      <c r="G1179" s="208" t="s">
        <v>243</v>
      </c>
      <c r="H1179" s="208">
        <v>8101</v>
      </c>
      <c r="I1179" s="208">
        <v>145345.50000000154</v>
      </c>
      <c r="J1179" s="208">
        <v>81356.929999995336</v>
      </c>
      <c r="K1179" s="208">
        <v>2142.820000000007</v>
      </c>
      <c r="L1179" s="208">
        <v>53709.889999995241</v>
      </c>
      <c r="M1179" s="208" t="s">
        <v>244</v>
      </c>
      <c r="N1179" s="208">
        <v>-189</v>
      </c>
      <c r="O1179" s="208">
        <v>1849</v>
      </c>
      <c r="P1179" s="208">
        <v>-93.34</v>
      </c>
      <c r="Q1179" s="208">
        <v>1200</v>
      </c>
    </row>
    <row r="1180" spans="1:17">
      <c r="A1180" s="218">
        <v>44196</v>
      </c>
      <c r="B1180" s="208" t="s">
        <v>273</v>
      </c>
      <c r="C1180" s="208" t="s">
        <v>8</v>
      </c>
      <c r="D1180" s="208">
        <v>2020</v>
      </c>
      <c r="E1180" s="208" t="s">
        <v>155</v>
      </c>
      <c r="F1180" s="208" t="s">
        <v>151</v>
      </c>
      <c r="G1180" s="208" t="s">
        <v>243</v>
      </c>
      <c r="H1180" s="208">
        <v>3</v>
      </c>
      <c r="I1180" s="208">
        <v>44.08</v>
      </c>
      <c r="J1180" s="208">
        <v>39.5</v>
      </c>
      <c r="K1180" s="208">
        <v>0</v>
      </c>
      <c r="L1180" s="208">
        <v>4.58</v>
      </c>
      <c r="M1180" s="208" t="s">
        <v>244</v>
      </c>
      <c r="N1180" s="208">
        <v>-149.72</v>
      </c>
      <c r="O1180" s="208">
        <v>4502.8</v>
      </c>
      <c r="P1180" s="208">
        <v>-49</v>
      </c>
      <c r="Q1180" s="208">
        <v>1810.95</v>
      </c>
    </row>
    <row r="1181" spans="1:17">
      <c r="A1181" s="218">
        <v>44196</v>
      </c>
      <c r="B1181" s="208" t="s">
        <v>39</v>
      </c>
      <c r="C1181" s="208" t="s">
        <v>8</v>
      </c>
      <c r="D1181" s="208">
        <v>2020</v>
      </c>
      <c r="E1181" s="208" t="s">
        <v>155</v>
      </c>
      <c r="F1181" s="208" t="s">
        <v>151</v>
      </c>
      <c r="G1181" s="208" t="s">
        <v>243</v>
      </c>
      <c r="H1181" s="208">
        <v>1139</v>
      </c>
      <c r="I1181" s="208">
        <v>28855.28999999987</v>
      </c>
      <c r="J1181" s="208">
        <v>16950.019999999971</v>
      </c>
      <c r="K1181" s="208">
        <v>0</v>
      </c>
      <c r="L1181" s="208">
        <v>9860.430000000053</v>
      </c>
      <c r="M1181" s="208" t="s">
        <v>244</v>
      </c>
      <c r="N1181" s="208">
        <v>-149.72</v>
      </c>
      <c r="O1181" s="208">
        <v>4502.8</v>
      </c>
      <c r="P1181" s="208">
        <v>-49</v>
      </c>
      <c r="Q1181" s="208">
        <v>1810.95</v>
      </c>
    </row>
    <row r="1182" spans="1:17">
      <c r="A1182" s="218">
        <v>44196</v>
      </c>
      <c r="B1182" s="208" t="s">
        <v>45</v>
      </c>
      <c r="C1182" s="208" t="s">
        <v>8</v>
      </c>
      <c r="D1182" s="208">
        <v>2020</v>
      </c>
      <c r="E1182" s="208" t="s">
        <v>155</v>
      </c>
      <c r="F1182" s="208" t="s">
        <v>151</v>
      </c>
      <c r="G1182" s="208" t="s">
        <v>243</v>
      </c>
      <c r="H1182" s="208">
        <v>1883</v>
      </c>
      <c r="I1182" s="208">
        <v>41983.629999999903</v>
      </c>
      <c r="J1182" s="208">
        <v>23988.960000000006</v>
      </c>
      <c r="K1182" s="208">
        <v>0</v>
      </c>
      <c r="L1182" s="208">
        <v>16644.800000000159</v>
      </c>
      <c r="M1182" s="208" t="s">
        <v>244</v>
      </c>
      <c r="N1182" s="208">
        <v>-149.72</v>
      </c>
      <c r="O1182" s="208">
        <v>4502.8</v>
      </c>
      <c r="P1182" s="208">
        <v>-49</v>
      </c>
      <c r="Q1182" s="208">
        <v>1810.95</v>
      </c>
    </row>
    <row r="1183" spans="1:17">
      <c r="A1183" s="218">
        <v>44196</v>
      </c>
      <c r="B1183" s="208" t="s">
        <v>258</v>
      </c>
      <c r="C1183" s="208" t="s">
        <v>8</v>
      </c>
      <c r="D1183" s="208">
        <v>2019</v>
      </c>
      <c r="E1183" s="208" t="s">
        <v>155</v>
      </c>
      <c r="F1183" s="208" t="s">
        <v>151</v>
      </c>
      <c r="G1183" s="208" t="s">
        <v>243</v>
      </c>
      <c r="H1183" s="208">
        <v>4320</v>
      </c>
      <c r="I1183" s="208">
        <v>79943.58999999908</v>
      </c>
      <c r="J1183" s="208">
        <v>45071.270000000819</v>
      </c>
      <c r="K1183" s="208">
        <v>0</v>
      </c>
      <c r="L1183" s="208">
        <v>29969.120000000115</v>
      </c>
      <c r="M1183" s="208" t="s">
        <v>244</v>
      </c>
      <c r="N1183" s="208">
        <v>-189</v>
      </c>
      <c r="O1183" s="208">
        <v>1849</v>
      </c>
      <c r="P1183" s="208">
        <v>-93.34</v>
      </c>
      <c r="Q1183" s="208">
        <v>1200</v>
      </c>
    </row>
    <row r="1184" spans="1:17">
      <c r="A1184" s="218">
        <v>44196</v>
      </c>
      <c r="B1184" s="208" t="s">
        <v>45</v>
      </c>
      <c r="C1184" s="208" t="s">
        <v>8</v>
      </c>
      <c r="D1184" s="208">
        <v>2019</v>
      </c>
      <c r="E1184" s="208" t="s">
        <v>155</v>
      </c>
      <c r="F1184" s="208" t="s">
        <v>151</v>
      </c>
      <c r="G1184" s="208" t="s">
        <v>243</v>
      </c>
      <c r="H1184" s="208">
        <v>1188</v>
      </c>
      <c r="I1184" s="208">
        <v>30273.260000000042</v>
      </c>
      <c r="J1184" s="208">
        <v>16681.900000000012</v>
      </c>
      <c r="K1184" s="208">
        <v>-0.01</v>
      </c>
      <c r="L1184" s="208">
        <v>12264.970000000067</v>
      </c>
      <c r="M1184" s="208" t="s">
        <v>244</v>
      </c>
      <c r="N1184" s="208">
        <v>-189</v>
      </c>
      <c r="O1184" s="208">
        <v>1849</v>
      </c>
      <c r="P1184" s="208">
        <v>-93.34</v>
      </c>
      <c r="Q1184" s="208">
        <v>1200</v>
      </c>
    </row>
    <row r="1185" spans="1:17">
      <c r="A1185" s="218">
        <v>44196</v>
      </c>
      <c r="B1185" s="208" t="s">
        <v>264</v>
      </c>
      <c r="C1185" s="208" t="s">
        <v>8</v>
      </c>
      <c r="D1185" s="208">
        <v>2020</v>
      </c>
      <c r="E1185" s="208" t="s">
        <v>155</v>
      </c>
      <c r="F1185" s="208" t="s">
        <v>151</v>
      </c>
      <c r="G1185" s="208" t="s">
        <v>243</v>
      </c>
      <c r="H1185" s="208">
        <v>1279</v>
      </c>
      <c r="I1185" s="208">
        <v>30679.790000000074</v>
      </c>
      <c r="J1185" s="208">
        <v>17307.610000000066</v>
      </c>
      <c r="K1185" s="208">
        <v>0</v>
      </c>
      <c r="L1185" s="208">
        <v>10471.290000000008</v>
      </c>
      <c r="M1185" s="208" t="s">
        <v>244</v>
      </c>
      <c r="N1185" s="208">
        <v>-149.72</v>
      </c>
      <c r="O1185" s="208">
        <v>4502.8</v>
      </c>
      <c r="P1185" s="208">
        <v>-49</v>
      </c>
      <c r="Q1185" s="208">
        <v>1810.95</v>
      </c>
    </row>
    <row r="1186" spans="1:17">
      <c r="A1186" s="218">
        <v>44196</v>
      </c>
      <c r="B1186" s="208" t="s">
        <v>42</v>
      </c>
      <c r="C1186" s="208" t="s">
        <v>8</v>
      </c>
      <c r="D1186" s="208">
        <v>2019</v>
      </c>
      <c r="E1186" s="208" t="s">
        <v>155</v>
      </c>
      <c r="F1186" s="208" t="s">
        <v>151</v>
      </c>
      <c r="G1186" s="208" t="s">
        <v>243</v>
      </c>
      <c r="H1186" s="208">
        <v>12</v>
      </c>
      <c r="I1186" s="208">
        <v>789.75000000000011</v>
      </c>
      <c r="J1186" s="208">
        <v>710.77999999999986</v>
      </c>
      <c r="K1186" s="208">
        <v>0</v>
      </c>
      <c r="L1186" s="208">
        <v>78.96999999999997</v>
      </c>
      <c r="M1186" s="208" t="s">
        <v>244</v>
      </c>
      <c r="N1186" s="208">
        <v>-189</v>
      </c>
      <c r="O1186" s="208">
        <v>1849</v>
      </c>
      <c r="P1186" s="208">
        <v>-93.34</v>
      </c>
      <c r="Q1186" s="208">
        <v>1200</v>
      </c>
    </row>
    <row r="1187" spans="1:17">
      <c r="A1187" s="218">
        <v>44196</v>
      </c>
      <c r="B1187" s="208" t="s">
        <v>41</v>
      </c>
      <c r="C1187" s="208" t="s">
        <v>8</v>
      </c>
      <c r="D1187" s="208">
        <v>2019</v>
      </c>
      <c r="E1187" s="208" t="s">
        <v>155</v>
      </c>
      <c r="F1187" s="208" t="s">
        <v>151</v>
      </c>
      <c r="G1187" s="208" t="s">
        <v>243</v>
      </c>
      <c r="H1187" s="208">
        <v>1442</v>
      </c>
      <c r="I1187" s="208">
        <v>37881.490000000093</v>
      </c>
      <c r="J1187" s="208">
        <v>17934.540000000085</v>
      </c>
      <c r="K1187" s="208">
        <v>0</v>
      </c>
      <c r="L1187" s="208">
        <v>12230.180000000049</v>
      </c>
      <c r="M1187" s="208" t="s">
        <v>244</v>
      </c>
      <c r="N1187" s="208">
        <v>-189</v>
      </c>
      <c r="O1187" s="208">
        <v>1849</v>
      </c>
      <c r="P1187" s="208">
        <v>-93.34</v>
      </c>
      <c r="Q1187" s="208">
        <v>1200</v>
      </c>
    </row>
    <row r="1188" spans="1:17">
      <c r="A1188" s="218">
        <v>44196</v>
      </c>
      <c r="B1188" s="208" t="s">
        <v>265</v>
      </c>
      <c r="C1188" s="208" t="s">
        <v>8</v>
      </c>
      <c r="D1188" s="208">
        <v>2020</v>
      </c>
      <c r="E1188" s="208" t="s">
        <v>155</v>
      </c>
      <c r="F1188" s="208" t="s">
        <v>151</v>
      </c>
      <c r="G1188" s="208" t="s">
        <v>243</v>
      </c>
      <c r="H1188" s="208">
        <v>9</v>
      </c>
      <c r="I1188" s="208">
        <v>199.33999999999997</v>
      </c>
      <c r="J1188" s="208">
        <v>173.20000000000002</v>
      </c>
      <c r="K1188" s="208">
        <v>0</v>
      </c>
      <c r="L1188" s="208">
        <v>26.14</v>
      </c>
      <c r="M1188" s="208" t="s">
        <v>244</v>
      </c>
      <c r="N1188" s="208">
        <v>-149.72</v>
      </c>
      <c r="O1188" s="208">
        <v>4502.8</v>
      </c>
      <c r="P1188" s="208">
        <v>-49</v>
      </c>
      <c r="Q1188" s="208">
        <v>1810.95</v>
      </c>
    </row>
    <row r="1189" spans="1:17">
      <c r="A1189" s="218">
        <v>44196</v>
      </c>
      <c r="B1189" s="208" t="s">
        <v>266</v>
      </c>
      <c r="C1189" s="208" t="s">
        <v>8</v>
      </c>
      <c r="D1189" s="208">
        <v>2019</v>
      </c>
      <c r="E1189" s="208" t="s">
        <v>155</v>
      </c>
      <c r="F1189" s="208" t="s">
        <v>151</v>
      </c>
      <c r="G1189" s="208" t="s">
        <v>243</v>
      </c>
      <c r="H1189" s="208">
        <v>12</v>
      </c>
      <c r="I1189" s="208">
        <v>789.75000000000011</v>
      </c>
      <c r="J1189" s="208">
        <v>710.77999999999986</v>
      </c>
      <c r="K1189" s="208">
        <v>0</v>
      </c>
      <c r="L1189" s="208">
        <v>78.96999999999997</v>
      </c>
      <c r="M1189" s="208" t="s">
        <v>244</v>
      </c>
      <c r="N1189" s="208">
        <v>-189</v>
      </c>
      <c r="O1189" s="208">
        <v>1849</v>
      </c>
      <c r="P1189" s="208">
        <v>-93.34</v>
      </c>
      <c r="Q1189" s="208">
        <v>1200</v>
      </c>
    </row>
    <row r="1190" spans="1:17">
      <c r="A1190" s="218">
        <v>44196</v>
      </c>
      <c r="B1190" s="208" t="s">
        <v>270</v>
      </c>
      <c r="C1190" s="208" t="s">
        <v>8</v>
      </c>
      <c r="D1190" s="208">
        <v>2020</v>
      </c>
      <c r="E1190" s="208" t="s">
        <v>155</v>
      </c>
      <c r="F1190" s="208" t="s">
        <v>151</v>
      </c>
      <c r="G1190" s="208" t="s">
        <v>243</v>
      </c>
      <c r="H1190" s="208">
        <v>86</v>
      </c>
      <c r="I1190" s="208">
        <v>3353.6399999999949</v>
      </c>
      <c r="J1190" s="208">
        <v>2005.0799999999992</v>
      </c>
      <c r="K1190" s="208">
        <v>0</v>
      </c>
      <c r="L1190" s="208">
        <v>1194.3200000000013</v>
      </c>
      <c r="M1190" s="208" t="s">
        <v>244</v>
      </c>
      <c r="N1190" s="208">
        <v>-149.72</v>
      </c>
      <c r="O1190" s="208">
        <v>4502.8</v>
      </c>
      <c r="P1190" s="208">
        <v>-49</v>
      </c>
      <c r="Q1190" s="208">
        <v>1810.95</v>
      </c>
    </row>
    <row r="1191" spans="1:17">
      <c r="A1191" s="218">
        <v>44196</v>
      </c>
      <c r="B1191" s="208" t="s">
        <v>264</v>
      </c>
      <c r="C1191" s="208" t="s">
        <v>8</v>
      </c>
      <c r="D1191" s="208">
        <v>2019</v>
      </c>
      <c r="E1191" s="208" t="s">
        <v>155</v>
      </c>
      <c r="F1191" s="208" t="s">
        <v>151</v>
      </c>
      <c r="G1191" s="208" t="s">
        <v>243</v>
      </c>
      <c r="H1191" s="208">
        <v>1442</v>
      </c>
      <c r="I1191" s="208">
        <v>37881.489999999962</v>
      </c>
      <c r="J1191" s="208">
        <v>17934.540000000034</v>
      </c>
      <c r="K1191" s="208">
        <v>0</v>
      </c>
      <c r="L1191" s="208">
        <v>12230.180000000128</v>
      </c>
      <c r="M1191" s="208" t="s">
        <v>244</v>
      </c>
      <c r="N1191" s="208">
        <v>-189</v>
      </c>
      <c r="O1191" s="208">
        <v>1849</v>
      </c>
      <c r="P1191" s="208">
        <v>-93.34</v>
      </c>
      <c r="Q1191" s="208">
        <v>1200</v>
      </c>
    </row>
    <row r="1192" spans="1:17">
      <c r="A1192" s="218">
        <v>44196</v>
      </c>
      <c r="B1192" s="208" t="s">
        <v>38</v>
      </c>
      <c r="C1192" s="208" t="s">
        <v>8</v>
      </c>
      <c r="D1192" s="208">
        <v>2019</v>
      </c>
      <c r="E1192" s="208" t="s">
        <v>155</v>
      </c>
      <c r="F1192" s="208" t="s">
        <v>151</v>
      </c>
      <c r="G1192" s="208" t="s">
        <v>243</v>
      </c>
      <c r="H1192" s="208">
        <v>2</v>
      </c>
      <c r="I1192" s="208">
        <v>200</v>
      </c>
      <c r="J1192" s="208">
        <v>49.22</v>
      </c>
      <c r="K1192" s="208">
        <v>0</v>
      </c>
      <c r="L1192" s="208">
        <v>32.799999999999997</v>
      </c>
      <c r="M1192" s="208" t="s">
        <v>244</v>
      </c>
      <c r="N1192" s="208">
        <v>-189</v>
      </c>
      <c r="O1192" s="208">
        <v>1849</v>
      </c>
      <c r="P1192" s="208">
        <v>-93.34</v>
      </c>
      <c r="Q1192" s="208">
        <v>1200</v>
      </c>
    </row>
    <row r="1193" spans="1:17">
      <c r="A1193" s="218">
        <v>44196</v>
      </c>
      <c r="B1193" s="208" t="s">
        <v>265</v>
      </c>
      <c r="C1193" s="208" t="s">
        <v>8</v>
      </c>
      <c r="D1193" s="208">
        <v>2019</v>
      </c>
      <c r="E1193" s="208" t="s">
        <v>155</v>
      </c>
      <c r="F1193" s="208" t="s">
        <v>151</v>
      </c>
      <c r="G1193" s="208" t="s">
        <v>243</v>
      </c>
      <c r="H1193" s="208">
        <v>1</v>
      </c>
      <c r="I1193" s="208">
        <v>7.98</v>
      </c>
      <c r="J1193" s="208">
        <v>7.18</v>
      </c>
      <c r="K1193" s="208">
        <v>0</v>
      </c>
      <c r="L1193" s="208">
        <v>0.8</v>
      </c>
      <c r="M1193" s="208" t="s">
        <v>244</v>
      </c>
      <c r="N1193" s="208">
        <v>-189</v>
      </c>
      <c r="O1193" s="208">
        <v>1849</v>
      </c>
      <c r="P1193" s="208">
        <v>-93.34</v>
      </c>
      <c r="Q1193" s="208">
        <v>1200</v>
      </c>
    </row>
    <row r="1194" spans="1:17">
      <c r="A1194" s="218">
        <v>44196</v>
      </c>
      <c r="B1194" s="208" t="s">
        <v>33</v>
      </c>
      <c r="C1194" s="208" t="s">
        <v>8</v>
      </c>
      <c r="D1194" s="208">
        <v>2020</v>
      </c>
      <c r="E1194" s="208" t="s">
        <v>155</v>
      </c>
      <c r="F1194" s="208" t="s">
        <v>151</v>
      </c>
      <c r="G1194" s="208" t="s">
        <v>243</v>
      </c>
      <c r="H1194" s="208">
        <v>881</v>
      </c>
      <c r="I1194" s="208">
        <v>29699.609999999979</v>
      </c>
      <c r="J1194" s="208">
        <v>13071.360000000035</v>
      </c>
      <c r="K1194" s="208">
        <v>0</v>
      </c>
      <c r="L1194" s="208">
        <v>13326.23000000004</v>
      </c>
      <c r="M1194" s="208" t="s">
        <v>244</v>
      </c>
      <c r="N1194" s="208">
        <v>-149.72</v>
      </c>
      <c r="O1194" s="208">
        <v>4502.8</v>
      </c>
      <c r="P1194" s="208">
        <v>-49</v>
      </c>
      <c r="Q1194" s="208">
        <v>1810.95</v>
      </c>
    </row>
    <row r="1195" spans="1:17">
      <c r="A1195" s="218">
        <v>44196</v>
      </c>
      <c r="B1195" s="208" t="s">
        <v>43</v>
      </c>
      <c r="C1195" s="208" t="s">
        <v>8</v>
      </c>
      <c r="D1195" s="208">
        <v>2020</v>
      </c>
      <c r="E1195" s="208" t="s">
        <v>155</v>
      </c>
      <c r="F1195" s="208" t="s">
        <v>151</v>
      </c>
      <c r="G1195" s="208" t="s">
        <v>243</v>
      </c>
      <c r="H1195" s="208">
        <v>1222</v>
      </c>
      <c r="I1195" s="208">
        <v>31271.760000000053</v>
      </c>
      <c r="J1195" s="208">
        <v>16817.460000000086</v>
      </c>
      <c r="K1195" s="208">
        <v>-0.01</v>
      </c>
      <c r="L1195" s="208">
        <v>11691.690000000099</v>
      </c>
      <c r="M1195" s="208" t="s">
        <v>244</v>
      </c>
      <c r="N1195" s="208">
        <v>-149.72</v>
      </c>
      <c r="O1195" s="208">
        <v>4502.8</v>
      </c>
      <c r="P1195" s="208">
        <v>-49</v>
      </c>
      <c r="Q1195" s="208">
        <v>1810.95</v>
      </c>
    </row>
    <row r="1196" spans="1:17">
      <c r="A1196" s="218">
        <v>44196</v>
      </c>
      <c r="B1196" s="208" t="s">
        <v>225</v>
      </c>
      <c r="C1196" s="208" t="s">
        <v>8</v>
      </c>
      <c r="D1196" s="208">
        <v>2019</v>
      </c>
      <c r="E1196" s="208" t="s">
        <v>155</v>
      </c>
      <c r="F1196" s="208" t="s">
        <v>151</v>
      </c>
      <c r="G1196" s="208" t="s">
        <v>243</v>
      </c>
      <c r="H1196" s="208">
        <v>1871</v>
      </c>
      <c r="I1196" s="208">
        <v>39623.499999999985</v>
      </c>
      <c r="J1196" s="208">
        <v>16811.480000000112</v>
      </c>
      <c r="K1196" s="208">
        <v>700.89000000000067</v>
      </c>
      <c r="L1196" s="208">
        <v>21945.209999999992</v>
      </c>
      <c r="M1196" s="208" t="s">
        <v>244</v>
      </c>
      <c r="N1196" s="208">
        <v>-189</v>
      </c>
      <c r="O1196" s="208">
        <v>1849</v>
      </c>
      <c r="P1196" s="208">
        <v>-93.34</v>
      </c>
      <c r="Q1196" s="208">
        <v>1200</v>
      </c>
    </row>
    <row r="1197" spans="1:17">
      <c r="A1197" s="218">
        <v>44196</v>
      </c>
      <c r="B1197" s="208" t="s">
        <v>48</v>
      </c>
      <c r="C1197" s="208" t="s">
        <v>8</v>
      </c>
      <c r="D1197" s="208">
        <v>2020</v>
      </c>
      <c r="E1197" s="208" t="s">
        <v>155</v>
      </c>
      <c r="F1197" s="208" t="s">
        <v>151</v>
      </c>
      <c r="G1197" s="208" t="s">
        <v>243</v>
      </c>
      <c r="H1197" s="208">
        <v>86</v>
      </c>
      <c r="I1197" s="208">
        <v>3353.639999999994</v>
      </c>
      <c r="J1197" s="208">
        <v>2005.0799999999995</v>
      </c>
      <c r="K1197" s="208">
        <v>0</v>
      </c>
      <c r="L1197" s="208">
        <v>1194.3200000000004</v>
      </c>
      <c r="M1197" s="208" t="s">
        <v>244</v>
      </c>
      <c r="N1197" s="208">
        <v>-149.72</v>
      </c>
      <c r="O1197" s="208">
        <v>4502.8</v>
      </c>
      <c r="P1197" s="208">
        <v>-49</v>
      </c>
      <c r="Q1197" s="208">
        <v>1810.95</v>
      </c>
    </row>
    <row r="1198" spans="1:17">
      <c r="A1198" s="218">
        <v>44196</v>
      </c>
      <c r="B1198" s="208" t="s">
        <v>268</v>
      </c>
      <c r="C1198" s="208" t="s">
        <v>8</v>
      </c>
      <c r="D1198" s="208">
        <v>2020</v>
      </c>
      <c r="E1198" s="208" t="s">
        <v>155</v>
      </c>
      <c r="F1198" s="208" t="s">
        <v>151</v>
      </c>
      <c r="G1198" s="208" t="s">
        <v>243</v>
      </c>
      <c r="H1198" s="208">
        <v>1896</v>
      </c>
      <c r="I1198" s="208">
        <v>56714.279999999781</v>
      </c>
      <c r="J1198" s="208">
        <v>24903.480000000189</v>
      </c>
      <c r="K1198" s="208">
        <v>0</v>
      </c>
      <c r="L1198" s="208">
        <v>25513.280000000144</v>
      </c>
      <c r="M1198" s="208" t="s">
        <v>244</v>
      </c>
      <c r="N1198" s="208">
        <v>-149.72</v>
      </c>
      <c r="O1198" s="208">
        <v>4502.8</v>
      </c>
      <c r="P1198" s="208">
        <v>-49</v>
      </c>
      <c r="Q1198" s="208">
        <v>1810.95</v>
      </c>
    </row>
    <row r="1199" spans="1:17">
      <c r="A1199" s="218">
        <v>44196</v>
      </c>
      <c r="B1199" s="208" t="s">
        <v>37</v>
      </c>
      <c r="C1199" s="208" t="s">
        <v>8</v>
      </c>
      <c r="D1199" s="208">
        <v>2019</v>
      </c>
      <c r="E1199" s="208" t="s">
        <v>155</v>
      </c>
      <c r="F1199" s="208" t="s">
        <v>151</v>
      </c>
      <c r="G1199" s="208" t="s">
        <v>243</v>
      </c>
      <c r="H1199" s="208">
        <v>1871</v>
      </c>
      <c r="I1199" s="208">
        <v>39623.499999999993</v>
      </c>
      <c r="J1199" s="208">
        <v>16811.480000000116</v>
      </c>
      <c r="K1199" s="208">
        <v>700.89000000000033</v>
      </c>
      <c r="L1199" s="208">
        <v>21945.209999999995</v>
      </c>
      <c r="M1199" s="208" t="s">
        <v>244</v>
      </c>
      <c r="N1199" s="208">
        <v>-189</v>
      </c>
      <c r="O1199" s="208">
        <v>1849</v>
      </c>
      <c r="P1199" s="208">
        <v>-93.34</v>
      </c>
      <c r="Q1199" s="208">
        <v>1200</v>
      </c>
    </row>
    <row r="1200" spans="1:17">
      <c r="A1200" s="218">
        <v>44196</v>
      </c>
      <c r="B1200" s="208" t="s">
        <v>271</v>
      </c>
      <c r="C1200" s="208" t="s">
        <v>8</v>
      </c>
      <c r="D1200" s="208">
        <v>2019</v>
      </c>
      <c r="E1200" s="208" t="s">
        <v>155</v>
      </c>
      <c r="F1200" s="208" t="s">
        <v>151</v>
      </c>
      <c r="G1200" s="208" t="s">
        <v>243</v>
      </c>
      <c r="H1200" s="208">
        <v>2</v>
      </c>
      <c r="I1200" s="208">
        <v>200</v>
      </c>
      <c r="J1200" s="208">
        <v>49.22</v>
      </c>
      <c r="K1200" s="208">
        <v>0</v>
      </c>
      <c r="L1200" s="208">
        <v>32.799999999999997</v>
      </c>
      <c r="M1200" s="208" t="s">
        <v>244</v>
      </c>
      <c r="N1200" s="208">
        <v>-189</v>
      </c>
      <c r="O1200" s="208">
        <v>1849</v>
      </c>
      <c r="P1200" s="208">
        <v>-93.34</v>
      </c>
      <c r="Q1200" s="208">
        <v>1200</v>
      </c>
    </row>
    <row r="1201" spans="1:17">
      <c r="A1201" s="218">
        <v>44196</v>
      </c>
      <c r="B1201" s="208" t="s">
        <v>260</v>
      </c>
      <c r="C1201" s="208" t="s">
        <v>8</v>
      </c>
      <c r="D1201" s="208">
        <v>2020</v>
      </c>
      <c r="E1201" s="208" t="s">
        <v>155</v>
      </c>
      <c r="F1201" s="208" t="s">
        <v>151</v>
      </c>
      <c r="G1201" s="208" t="s">
        <v>243</v>
      </c>
      <c r="H1201" s="208">
        <v>5303</v>
      </c>
      <c r="I1201" s="208">
        <v>106535.89999999883</v>
      </c>
      <c r="J1201" s="208">
        <v>57992.52000000143</v>
      </c>
      <c r="K1201" s="208">
        <v>1148.0899999999997</v>
      </c>
      <c r="L1201" s="208">
        <v>38932.969999999106</v>
      </c>
      <c r="M1201" s="208" t="s">
        <v>244</v>
      </c>
      <c r="N1201" s="208">
        <v>-149.72</v>
      </c>
      <c r="O1201" s="208">
        <v>4502.8</v>
      </c>
      <c r="P1201" s="208">
        <v>-49</v>
      </c>
      <c r="Q1201" s="208">
        <v>1810.95</v>
      </c>
    </row>
    <row r="1202" spans="1:17">
      <c r="A1202" s="218">
        <v>44196</v>
      </c>
      <c r="B1202" s="208" t="s">
        <v>31</v>
      </c>
      <c r="C1202" s="208" t="s">
        <v>8</v>
      </c>
      <c r="D1202" s="208">
        <v>2019</v>
      </c>
      <c r="E1202" s="208" t="s">
        <v>155</v>
      </c>
      <c r="F1202" s="208" t="s">
        <v>151</v>
      </c>
      <c r="G1202" s="208" t="s">
        <v>243</v>
      </c>
      <c r="H1202" s="208">
        <v>4320</v>
      </c>
      <c r="I1202" s="208">
        <v>79943.589999999371</v>
      </c>
      <c r="J1202" s="208">
        <v>45071.270000000513</v>
      </c>
      <c r="K1202" s="208">
        <v>0</v>
      </c>
      <c r="L1202" s="208">
        <v>29969.120000000221</v>
      </c>
      <c r="M1202" s="208" t="s">
        <v>244</v>
      </c>
      <c r="N1202" s="208">
        <v>-189</v>
      </c>
      <c r="O1202" s="208">
        <v>1849</v>
      </c>
      <c r="P1202" s="208">
        <v>-93.34</v>
      </c>
      <c r="Q1202" s="208">
        <v>1200</v>
      </c>
    </row>
    <row r="1203" spans="1:17">
      <c r="A1203" s="218">
        <v>44196</v>
      </c>
      <c r="B1203" s="208" t="s">
        <v>41</v>
      </c>
      <c r="C1203" s="208" t="s">
        <v>8</v>
      </c>
      <c r="D1203" s="208">
        <v>2020</v>
      </c>
      <c r="E1203" s="208" t="s">
        <v>155</v>
      </c>
      <c r="F1203" s="208" t="s">
        <v>151</v>
      </c>
      <c r="G1203" s="208" t="s">
        <v>243</v>
      </c>
      <c r="H1203" s="208">
        <v>1279</v>
      </c>
      <c r="I1203" s="208">
        <v>30679.789999999972</v>
      </c>
      <c r="J1203" s="208">
        <v>17307.610000000084</v>
      </c>
      <c r="K1203" s="208">
        <v>0</v>
      </c>
      <c r="L1203" s="208">
        <v>10471.290000000001</v>
      </c>
      <c r="M1203" s="208" t="s">
        <v>244</v>
      </c>
      <c r="N1203" s="208">
        <v>-149.72</v>
      </c>
      <c r="O1203" s="208">
        <v>4502.8</v>
      </c>
      <c r="P1203" s="208">
        <v>-49</v>
      </c>
      <c r="Q1203" s="208">
        <v>1810.95</v>
      </c>
    </row>
    <row r="1204" spans="1:17">
      <c r="A1204" s="218">
        <v>44196</v>
      </c>
      <c r="B1204" s="208" t="s">
        <v>43</v>
      </c>
      <c r="C1204" s="208" t="s">
        <v>8</v>
      </c>
      <c r="D1204" s="208">
        <v>2019</v>
      </c>
      <c r="E1204" s="208" t="s">
        <v>155</v>
      </c>
      <c r="F1204" s="208" t="s">
        <v>151</v>
      </c>
      <c r="G1204" s="208" t="s">
        <v>243</v>
      </c>
      <c r="H1204" s="208">
        <v>1497</v>
      </c>
      <c r="I1204" s="208">
        <v>31039.960000000021</v>
      </c>
      <c r="J1204" s="208">
        <v>17567.990000000027</v>
      </c>
      <c r="K1204" s="208">
        <v>0</v>
      </c>
      <c r="L1204" s="208">
        <v>11386.450000000072</v>
      </c>
      <c r="M1204" s="208" t="s">
        <v>244</v>
      </c>
      <c r="N1204" s="208">
        <v>-189</v>
      </c>
      <c r="O1204" s="208">
        <v>1849</v>
      </c>
      <c r="P1204" s="208">
        <v>-93.34</v>
      </c>
      <c r="Q1204" s="208">
        <v>1200</v>
      </c>
    </row>
    <row r="1205" spans="1:17">
      <c r="A1205" s="218">
        <v>44196</v>
      </c>
      <c r="B1205" s="208" t="s">
        <v>263</v>
      </c>
      <c r="C1205" s="208" t="s">
        <v>8</v>
      </c>
      <c r="D1205" s="208">
        <v>2019</v>
      </c>
      <c r="E1205" s="208" t="s">
        <v>155</v>
      </c>
      <c r="F1205" s="208" t="s">
        <v>151</v>
      </c>
      <c r="G1205" s="208" t="s">
        <v>243</v>
      </c>
      <c r="H1205" s="208">
        <v>1111</v>
      </c>
      <c r="I1205" s="208">
        <v>36832.530000000021</v>
      </c>
      <c r="J1205" s="208">
        <v>14592.02</v>
      </c>
      <c r="K1205" s="208">
        <v>0</v>
      </c>
      <c r="L1205" s="208">
        <v>18313.040000000041</v>
      </c>
      <c r="M1205" s="208" t="s">
        <v>244</v>
      </c>
      <c r="N1205" s="208">
        <v>-189</v>
      </c>
      <c r="O1205" s="208">
        <v>1849</v>
      </c>
      <c r="P1205" s="208">
        <v>-93.34</v>
      </c>
      <c r="Q1205" s="208">
        <v>1200</v>
      </c>
    </row>
    <row r="1206" spans="1:17">
      <c r="A1206" s="218">
        <v>44196</v>
      </c>
      <c r="B1206" s="208" t="s">
        <v>261</v>
      </c>
      <c r="C1206" s="208" t="s">
        <v>8</v>
      </c>
      <c r="D1206" s="208">
        <v>2020</v>
      </c>
      <c r="E1206" s="208" t="s">
        <v>155</v>
      </c>
      <c r="F1206" s="208" t="s">
        <v>151</v>
      </c>
      <c r="G1206" s="208" t="s">
        <v>243</v>
      </c>
      <c r="H1206" s="208">
        <v>169</v>
      </c>
      <c r="I1206" s="208">
        <v>3293.840000000002</v>
      </c>
      <c r="J1206" s="208">
        <v>1867.0400000000002</v>
      </c>
      <c r="K1206" s="208">
        <v>0</v>
      </c>
      <c r="L1206" s="208">
        <v>1248.9900000000009</v>
      </c>
      <c r="M1206" s="208" t="s">
        <v>244</v>
      </c>
      <c r="N1206" s="208">
        <v>-149.72</v>
      </c>
      <c r="O1206" s="208">
        <v>4502.8</v>
      </c>
      <c r="P1206" s="208">
        <v>-49</v>
      </c>
      <c r="Q1206" s="208">
        <v>1810.95</v>
      </c>
    </row>
    <row r="1207" spans="1:17">
      <c r="A1207" s="218">
        <v>44196</v>
      </c>
      <c r="B1207" s="208" t="s">
        <v>44</v>
      </c>
      <c r="C1207" s="208" t="s">
        <v>8</v>
      </c>
      <c r="D1207" s="208">
        <v>2020</v>
      </c>
      <c r="E1207" s="208" t="s">
        <v>155</v>
      </c>
      <c r="F1207" s="208" t="s">
        <v>151</v>
      </c>
      <c r="G1207" s="208" t="s">
        <v>243</v>
      </c>
      <c r="H1207" s="208">
        <v>3</v>
      </c>
      <c r="I1207" s="208">
        <v>44.08</v>
      </c>
      <c r="J1207" s="208">
        <v>39.5</v>
      </c>
      <c r="K1207" s="208">
        <v>0</v>
      </c>
      <c r="L1207" s="208">
        <v>4.58</v>
      </c>
      <c r="M1207" s="208" t="s">
        <v>244</v>
      </c>
      <c r="N1207" s="208">
        <v>-149.72</v>
      </c>
      <c r="O1207" s="208">
        <v>4502.8</v>
      </c>
      <c r="P1207" s="208">
        <v>-49</v>
      </c>
      <c r="Q1207" s="208">
        <v>1810.95</v>
      </c>
    </row>
    <row r="1208" spans="1:17">
      <c r="A1208" s="218">
        <v>44196</v>
      </c>
      <c r="B1208" s="208" t="s">
        <v>29</v>
      </c>
      <c r="C1208" s="208" t="s">
        <v>8</v>
      </c>
      <c r="D1208" s="208">
        <v>2020</v>
      </c>
      <c r="E1208" s="208" t="s">
        <v>155</v>
      </c>
      <c r="F1208" s="208" t="s">
        <v>151</v>
      </c>
      <c r="G1208" s="208" t="s">
        <v>243</v>
      </c>
      <c r="H1208" s="208">
        <v>5303</v>
      </c>
      <c r="I1208" s="208">
        <v>106535.90000000031</v>
      </c>
      <c r="J1208" s="208">
        <v>57992.520000001416</v>
      </c>
      <c r="K1208" s="208">
        <v>1148.090000000002</v>
      </c>
      <c r="L1208" s="208">
        <v>38932.969999998197</v>
      </c>
      <c r="M1208" s="208" t="s">
        <v>244</v>
      </c>
      <c r="N1208" s="208">
        <v>-149.72</v>
      </c>
      <c r="O1208" s="208">
        <v>4502.8</v>
      </c>
      <c r="P1208" s="208">
        <v>-49</v>
      </c>
      <c r="Q1208" s="208">
        <v>1810.95</v>
      </c>
    </row>
    <row r="1209" spans="1:17">
      <c r="A1209" s="218">
        <v>44196</v>
      </c>
      <c r="B1209" s="208" t="s">
        <v>267</v>
      </c>
      <c r="C1209" s="208" t="s">
        <v>8</v>
      </c>
      <c r="D1209" s="208">
        <v>2019</v>
      </c>
      <c r="E1209" s="208" t="s">
        <v>155</v>
      </c>
      <c r="F1209" s="208" t="s">
        <v>151</v>
      </c>
      <c r="G1209" s="208" t="s">
        <v>243</v>
      </c>
      <c r="H1209" s="208">
        <v>1188</v>
      </c>
      <c r="I1209" s="208">
        <v>30273.26000000006</v>
      </c>
      <c r="J1209" s="208">
        <v>16681.900000000009</v>
      </c>
      <c r="K1209" s="208">
        <v>-0.01</v>
      </c>
      <c r="L1209" s="208">
        <v>12264.970000000072</v>
      </c>
      <c r="M1209" s="208" t="s">
        <v>244</v>
      </c>
      <c r="N1209" s="208">
        <v>-189</v>
      </c>
      <c r="O1209" s="208">
        <v>1849</v>
      </c>
      <c r="P1209" s="208">
        <v>-93.34</v>
      </c>
      <c r="Q1209" s="208">
        <v>1200</v>
      </c>
    </row>
    <row r="1210" spans="1:17">
      <c r="A1210" s="218">
        <v>44196</v>
      </c>
      <c r="B1210" s="208" t="s">
        <v>259</v>
      </c>
      <c r="C1210" s="208" t="s">
        <v>8</v>
      </c>
      <c r="D1210" s="208">
        <v>2020</v>
      </c>
      <c r="E1210" s="208" t="s">
        <v>155</v>
      </c>
      <c r="F1210" s="208" t="s">
        <v>151</v>
      </c>
      <c r="G1210" s="208" t="s">
        <v>243</v>
      </c>
      <c r="H1210" s="208">
        <v>1825</v>
      </c>
      <c r="I1210" s="208">
        <v>33903.490000000311</v>
      </c>
      <c r="J1210" s="208">
        <v>19701.190000000064</v>
      </c>
      <c r="K1210" s="208">
        <v>0</v>
      </c>
      <c r="L1210" s="208">
        <v>13908.160000000249</v>
      </c>
      <c r="M1210" s="208" t="s">
        <v>244</v>
      </c>
      <c r="N1210" s="208">
        <v>-149.72</v>
      </c>
      <c r="O1210" s="208">
        <v>4502.8</v>
      </c>
      <c r="P1210" s="208">
        <v>-49</v>
      </c>
      <c r="Q1210" s="208">
        <v>1810.95</v>
      </c>
    </row>
    <row r="1211" spans="1:17">
      <c r="A1211" s="218">
        <v>44196</v>
      </c>
      <c r="B1211" s="208" t="s">
        <v>260</v>
      </c>
      <c r="C1211" s="208" t="s">
        <v>8</v>
      </c>
      <c r="D1211" s="208">
        <v>2019</v>
      </c>
      <c r="E1211" s="208" t="s">
        <v>155</v>
      </c>
      <c r="F1211" s="208" t="s">
        <v>151</v>
      </c>
      <c r="G1211" s="208" t="s">
        <v>243</v>
      </c>
      <c r="H1211" s="208">
        <v>8101</v>
      </c>
      <c r="I1211" s="208">
        <v>145345.50000000017</v>
      </c>
      <c r="J1211" s="208">
        <v>81356.929999995045</v>
      </c>
      <c r="K1211" s="208">
        <v>2142.8200000000043</v>
      </c>
      <c r="L1211" s="208">
        <v>53709.889999994688</v>
      </c>
      <c r="M1211" s="208" t="s">
        <v>244</v>
      </c>
      <c r="N1211" s="208">
        <v>-189</v>
      </c>
      <c r="O1211" s="208">
        <v>1849</v>
      </c>
      <c r="P1211" s="208">
        <v>-93.34</v>
      </c>
      <c r="Q1211" s="208">
        <v>1200</v>
      </c>
    </row>
    <row r="1212" spans="1:17">
      <c r="A1212" s="218">
        <v>44196</v>
      </c>
      <c r="B1212" s="208" t="s">
        <v>47</v>
      </c>
      <c r="C1212" s="208" t="s">
        <v>8</v>
      </c>
      <c r="D1212" s="208">
        <v>2020</v>
      </c>
      <c r="E1212" s="208" t="s">
        <v>155</v>
      </c>
      <c r="F1212" s="208" t="s">
        <v>151</v>
      </c>
      <c r="G1212" s="208" t="s">
        <v>243</v>
      </c>
      <c r="H1212" s="208">
        <v>1896</v>
      </c>
      <c r="I1212" s="208">
        <v>56714.279999999795</v>
      </c>
      <c r="J1212" s="208">
        <v>24903.480000000101</v>
      </c>
      <c r="K1212" s="208">
        <v>0</v>
      </c>
      <c r="L1212" s="208">
        <v>25513.280000000152</v>
      </c>
      <c r="M1212" s="208" t="s">
        <v>244</v>
      </c>
      <c r="N1212" s="208">
        <v>-149.72</v>
      </c>
      <c r="O1212" s="208">
        <v>4502.8</v>
      </c>
      <c r="P1212" s="208">
        <v>-49</v>
      </c>
      <c r="Q1212" s="208">
        <v>1810.95</v>
      </c>
    </row>
    <row r="1213" spans="1:17">
      <c r="A1213" s="218">
        <v>44196</v>
      </c>
      <c r="B1213" s="208" t="s">
        <v>259</v>
      </c>
      <c r="C1213" s="208" t="s">
        <v>8</v>
      </c>
      <c r="D1213" s="208">
        <v>2019</v>
      </c>
      <c r="E1213" s="208" t="s">
        <v>155</v>
      </c>
      <c r="F1213" s="208" t="s">
        <v>151</v>
      </c>
      <c r="G1213" s="208" t="s">
        <v>243</v>
      </c>
      <c r="H1213" s="208">
        <v>2581</v>
      </c>
      <c r="I1213" s="208">
        <v>47245.349999999227</v>
      </c>
      <c r="J1213" s="208">
        <v>27069.440000000188</v>
      </c>
      <c r="K1213" s="208">
        <v>0</v>
      </c>
      <c r="L1213" s="208">
        <v>19372.74000000042</v>
      </c>
      <c r="M1213" s="208" t="s">
        <v>244</v>
      </c>
      <c r="N1213" s="208">
        <v>-189</v>
      </c>
      <c r="O1213" s="208">
        <v>1849</v>
      </c>
      <c r="P1213" s="208">
        <v>-93.34</v>
      </c>
      <c r="Q1213" s="208">
        <v>1200</v>
      </c>
    </row>
    <row r="1214" spans="1:17">
      <c r="A1214" s="218">
        <v>44196</v>
      </c>
      <c r="B1214" s="208" t="s">
        <v>31</v>
      </c>
      <c r="C1214" s="208" t="s">
        <v>8</v>
      </c>
      <c r="D1214" s="208">
        <v>2020</v>
      </c>
      <c r="E1214" s="208" t="s">
        <v>155</v>
      </c>
      <c r="F1214" s="208" t="s">
        <v>151</v>
      </c>
      <c r="G1214" s="208" t="s">
        <v>243</v>
      </c>
      <c r="H1214" s="208">
        <v>3221</v>
      </c>
      <c r="I1214" s="208">
        <v>64681.429999998829</v>
      </c>
      <c r="J1214" s="208">
        <v>36995.880000000201</v>
      </c>
      <c r="K1214" s="208">
        <v>0</v>
      </c>
      <c r="L1214" s="208">
        <v>24176.890000000138</v>
      </c>
      <c r="M1214" s="208" t="s">
        <v>244</v>
      </c>
      <c r="N1214" s="208">
        <v>-149.72</v>
      </c>
      <c r="O1214" s="208">
        <v>4502.8</v>
      </c>
      <c r="P1214" s="208">
        <v>-49</v>
      </c>
      <c r="Q1214" s="208">
        <v>1810.95</v>
      </c>
    </row>
    <row r="1215" spans="1:17">
      <c r="A1215" s="218">
        <v>44196</v>
      </c>
      <c r="B1215" s="208" t="s">
        <v>38</v>
      </c>
      <c r="C1215" s="208" t="s">
        <v>8</v>
      </c>
      <c r="D1215" s="208">
        <v>2020</v>
      </c>
      <c r="E1215" s="208" t="s">
        <v>155</v>
      </c>
      <c r="F1215" s="208" t="s">
        <v>151</v>
      </c>
      <c r="G1215" s="208" t="s">
        <v>243</v>
      </c>
      <c r="H1215" s="208">
        <v>1</v>
      </c>
      <c r="I1215" s="208">
        <v>37.4</v>
      </c>
      <c r="J1215" s="208">
        <v>20.16</v>
      </c>
      <c r="K1215" s="208">
        <v>0</v>
      </c>
      <c r="L1215" s="208">
        <v>13.44</v>
      </c>
      <c r="M1215" s="208" t="s">
        <v>244</v>
      </c>
      <c r="N1215" s="208">
        <v>-149.72</v>
      </c>
      <c r="O1215" s="208">
        <v>4502.8</v>
      </c>
      <c r="P1215" s="208">
        <v>-49</v>
      </c>
      <c r="Q1215" s="208">
        <v>1810.95</v>
      </c>
    </row>
    <row r="1216" spans="1:17">
      <c r="A1216" s="218">
        <v>44196</v>
      </c>
      <c r="B1216" s="208" t="s">
        <v>33</v>
      </c>
      <c r="C1216" s="208" t="s">
        <v>8</v>
      </c>
      <c r="D1216" s="208">
        <v>2019</v>
      </c>
      <c r="E1216" s="208" t="s">
        <v>155</v>
      </c>
      <c r="F1216" s="208" t="s">
        <v>151</v>
      </c>
      <c r="G1216" s="208" t="s">
        <v>243</v>
      </c>
      <c r="H1216" s="208">
        <v>1111</v>
      </c>
      <c r="I1216" s="208">
        <v>36832.529999999977</v>
      </c>
      <c r="J1216" s="208">
        <v>14592.020000000026</v>
      </c>
      <c r="K1216" s="208">
        <v>0</v>
      </c>
      <c r="L1216" s="208">
        <v>18313.040000000048</v>
      </c>
      <c r="M1216" s="208" t="s">
        <v>244</v>
      </c>
      <c r="N1216" s="208">
        <v>-189</v>
      </c>
      <c r="O1216" s="208">
        <v>1849</v>
      </c>
      <c r="P1216" s="208">
        <v>-93.34</v>
      </c>
      <c r="Q1216" s="208">
        <v>1200</v>
      </c>
    </row>
    <row r="1217" spans="1:17">
      <c r="A1217" s="218">
        <v>44196</v>
      </c>
      <c r="B1217" s="208" t="s">
        <v>271</v>
      </c>
      <c r="C1217" s="208" t="s">
        <v>8</v>
      </c>
      <c r="D1217" s="208">
        <v>2020</v>
      </c>
      <c r="E1217" s="208" t="s">
        <v>155</v>
      </c>
      <c r="F1217" s="208" t="s">
        <v>151</v>
      </c>
      <c r="G1217" s="208" t="s">
        <v>243</v>
      </c>
      <c r="H1217" s="208">
        <v>1</v>
      </c>
      <c r="I1217" s="208">
        <v>37.4</v>
      </c>
      <c r="J1217" s="208">
        <v>20.16</v>
      </c>
      <c r="K1217" s="208">
        <v>0</v>
      </c>
      <c r="L1217" s="208">
        <v>13.44</v>
      </c>
      <c r="M1217" s="208" t="s">
        <v>244</v>
      </c>
      <c r="N1217" s="208">
        <v>-149.72</v>
      </c>
      <c r="O1217" s="208">
        <v>4502.8</v>
      </c>
      <c r="P1217" s="208">
        <v>-49</v>
      </c>
      <c r="Q1217" s="208">
        <v>1810.95</v>
      </c>
    </row>
    <row r="1218" spans="1:17">
      <c r="A1218" s="218">
        <v>44196</v>
      </c>
      <c r="B1218" s="208" t="s">
        <v>269</v>
      </c>
      <c r="C1218" s="208" t="s">
        <v>8</v>
      </c>
      <c r="D1218" s="208">
        <v>2020</v>
      </c>
      <c r="E1218" s="208" t="s">
        <v>155</v>
      </c>
      <c r="F1218" s="208" t="s">
        <v>151</v>
      </c>
      <c r="G1218" s="208" t="s">
        <v>243</v>
      </c>
      <c r="H1218" s="208">
        <v>1139</v>
      </c>
      <c r="I1218" s="208">
        <v>28855.289999999943</v>
      </c>
      <c r="J1218" s="208">
        <v>16950.019999999957</v>
      </c>
      <c r="K1218" s="208">
        <v>0</v>
      </c>
      <c r="L1218" s="208">
        <v>9860.4300000000476</v>
      </c>
      <c r="M1218" s="208" t="s">
        <v>244</v>
      </c>
      <c r="N1218" s="208">
        <v>-149.72</v>
      </c>
      <c r="O1218" s="208">
        <v>4502.8</v>
      </c>
      <c r="P1218" s="208">
        <v>-49</v>
      </c>
      <c r="Q1218" s="208">
        <v>1810.95</v>
      </c>
    </row>
    <row r="1219" spans="1:17">
      <c r="A1219" s="218">
        <v>44196</v>
      </c>
      <c r="B1219" s="208" t="s">
        <v>273</v>
      </c>
      <c r="C1219" s="208" t="s">
        <v>8</v>
      </c>
      <c r="D1219" s="208">
        <v>2019</v>
      </c>
      <c r="E1219" s="208" t="s">
        <v>155</v>
      </c>
      <c r="F1219" s="208" t="s">
        <v>151</v>
      </c>
      <c r="G1219" s="208" t="s">
        <v>243</v>
      </c>
      <c r="H1219" s="208">
        <v>2</v>
      </c>
      <c r="I1219" s="208">
        <v>82</v>
      </c>
      <c r="J1219" s="208">
        <v>68.040000000000006</v>
      </c>
      <c r="K1219" s="208">
        <v>0</v>
      </c>
      <c r="L1219" s="208">
        <v>13.96</v>
      </c>
      <c r="M1219" s="208" t="s">
        <v>244</v>
      </c>
      <c r="N1219" s="208">
        <v>-189</v>
      </c>
      <c r="O1219" s="208">
        <v>1849</v>
      </c>
      <c r="P1219" s="208">
        <v>-93.34</v>
      </c>
      <c r="Q1219" s="208">
        <v>1200</v>
      </c>
    </row>
    <row r="1220" spans="1:17">
      <c r="A1220" s="218">
        <v>44196</v>
      </c>
      <c r="B1220" s="208" t="s">
        <v>35</v>
      </c>
      <c r="C1220" s="208" t="s">
        <v>8</v>
      </c>
      <c r="D1220" s="208">
        <v>2020</v>
      </c>
      <c r="E1220" s="208" t="s">
        <v>155</v>
      </c>
      <c r="F1220" s="208" t="s">
        <v>151</v>
      </c>
      <c r="G1220" s="208" t="s">
        <v>243</v>
      </c>
      <c r="H1220" s="208">
        <v>169</v>
      </c>
      <c r="I1220" s="208">
        <v>3293.8400000000015</v>
      </c>
      <c r="J1220" s="208">
        <v>1867.0400000000002</v>
      </c>
      <c r="K1220" s="208">
        <v>0</v>
      </c>
      <c r="L1220" s="208">
        <v>1248.9900000000011</v>
      </c>
      <c r="M1220" s="208" t="s">
        <v>244</v>
      </c>
      <c r="N1220" s="208">
        <v>-149.72</v>
      </c>
      <c r="O1220" s="208">
        <v>4502.8</v>
      </c>
      <c r="P1220" s="208">
        <v>-49</v>
      </c>
      <c r="Q1220" s="208">
        <v>1810.95</v>
      </c>
    </row>
    <row r="1221" spans="1:17">
      <c r="A1221" s="218">
        <v>44196</v>
      </c>
      <c r="B1221" s="208" t="s">
        <v>263</v>
      </c>
      <c r="C1221" s="208" t="s">
        <v>8</v>
      </c>
      <c r="D1221" s="208">
        <v>2020</v>
      </c>
      <c r="E1221" s="208" t="s">
        <v>155</v>
      </c>
      <c r="F1221" s="208" t="s">
        <v>151</v>
      </c>
      <c r="G1221" s="208" t="s">
        <v>243</v>
      </c>
      <c r="H1221" s="208">
        <v>881</v>
      </c>
      <c r="I1221" s="208">
        <v>29699.609999999986</v>
      </c>
      <c r="J1221" s="208">
        <v>13071.360000000035</v>
      </c>
      <c r="K1221" s="208">
        <v>0</v>
      </c>
      <c r="L1221" s="208">
        <v>13326.230000000049</v>
      </c>
      <c r="M1221" s="208" t="s">
        <v>244</v>
      </c>
      <c r="N1221" s="208">
        <v>-149.72</v>
      </c>
      <c r="O1221" s="208">
        <v>4502.8</v>
      </c>
      <c r="P1221" s="208">
        <v>-49</v>
      </c>
      <c r="Q1221" s="208">
        <v>1810.95</v>
      </c>
    </row>
    <row r="1222" spans="1:17">
      <c r="A1222" s="218">
        <v>44196</v>
      </c>
      <c r="B1222" s="208" t="s">
        <v>262</v>
      </c>
      <c r="C1222" s="208" t="s">
        <v>8</v>
      </c>
      <c r="D1222" s="208">
        <v>2019</v>
      </c>
      <c r="E1222" s="208" t="s">
        <v>155</v>
      </c>
      <c r="F1222" s="208" t="s">
        <v>151</v>
      </c>
      <c r="G1222" s="208" t="s">
        <v>243</v>
      </c>
      <c r="H1222" s="208">
        <v>1497</v>
      </c>
      <c r="I1222" s="208">
        <v>31039.960000000003</v>
      </c>
      <c r="J1222" s="208">
        <v>17567.990000000074</v>
      </c>
      <c r="K1222" s="208">
        <v>0</v>
      </c>
      <c r="L1222" s="208">
        <v>11386.450000000101</v>
      </c>
      <c r="M1222" s="208" t="s">
        <v>244</v>
      </c>
      <c r="N1222" s="208">
        <v>-189</v>
      </c>
      <c r="O1222" s="208">
        <v>1849</v>
      </c>
      <c r="P1222" s="208">
        <v>-93.34</v>
      </c>
      <c r="Q1222" s="208">
        <v>1200</v>
      </c>
    </row>
    <row r="1223" spans="1:17">
      <c r="A1223" s="218">
        <v>44196</v>
      </c>
      <c r="B1223" s="208" t="s">
        <v>262</v>
      </c>
      <c r="C1223" s="208" t="s">
        <v>8</v>
      </c>
      <c r="D1223" s="208">
        <v>2020</v>
      </c>
      <c r="E1223" s="208" t="s">
        <v>155</v>
      </c>
      <c r="F1223" s="208" t="s">
        <v>151</v>
      </c>
      <c r="G1223" s="208" t="s">
        <v>243</v>
      </c>
      <c r="H1223" s="208">
        <v>1222</v>
      </c>
      <c r="I1223" s="208">
        <v>31271.7600000001</v>
      </c>
      <c r="J1223" s="208">
        <v>16817.460000000043</v>
      </c>
      <c r="K1223" s="208">
        <v>-0.01</v>
      </c>
      <c r="L1223" s="208">
        <v>11691.690000000102</v>
      </c>
      <c r="M1223" s="208" t="s">
        <v>244</v>
      </c>
      <c r="N1223" s="208">
        <v>-149.72</v>
      </c>
      <c r="O1223" s="208">
        <v>4502.8</v>
      </c>
      <c r="P1223" s="208">
        <v>-49</v>
      </c>
      <c r="Q1223" s="208">
        <v>1810.95</v>
      </c>
    </row>
    <row r="1224" spans="1:17">
      <c r="A1224" s="218">
        <v>44196</v>
      </c>
      <c r="B1224" s="208" t="s">
        <v>267</v>
      </c>
      <c r="C1224" s="208" t="s">
        <v>8</v>
      </c>
      <c r="D1224" s="208">
        <v>2020</v>
      </c>
      <c r="E1224" s="208" t="s">
        <v>155</v>
      </c>
      <c r="F1224" s="208" t="s">
        <v>151</v>
      </c>
      <c r="G1224" s="208" t="s">
        <v>243</v>
      </c>
      <c r="H1224" s="208">
        <v>1883</v>
      </c>
      <c r="I1224" s="208">
        <v>41983.63</v>
      </c>
      <c r="J1224" s="208">
        <v>23988.960000000119</v>
      </c>
      <c r="K1224" s="208">
        <v>0</v>
      </c>
      <c r="L1224" s="208">
        <v>16644.800000000188</v>
      </c>
      <c r="M1224" s="208" t="s">
        <v>244</v>
      </c>
      <c r="N1224" s="208">
        <v>-149.72</v>
      </c>
      <c r="O1224" s="208">
        <v>4502.8</v>
      </c>
      <c r="P1224" s="208">
        <v>-49</v>
      </c>
      <c r="Q1224" s="208">
        <v>1810.95</v>
      </c>
    </row>
    <row r="1225" spans="1:17">
      <c r="A1225" s="218">
        <v>44196</v>
      </c>
      <c r="B1225" s="208" t="s">
        <v>47</v>
      </c>
      <c r="C1225" s="208" t="s">
        <v>8</v>
      </c>
      <c r="D1225" s="208">
        <v>2019</v>
      </c>
      <c r="E1225" s="208" t="s">
        <v>155</v>
      </c>
      <c r="F1225" s="208" t="s">
        <v>151</v>
      </c>
      <c r="G1225" s="208" t="s">
        <v>243</v>
      </c>
      <c r="H1225" s="208">
        <v>1182</v>
      </c>
      <c r="I1225" s="208">
        <v>36477.960000000036</v>
      </c>
      <c r="J1225" s="208">
        <v>17932.67000000002</v>
      </c>
      <c r="K1225" s="208">
        <v>0</v>
      </c>
      <c r="L1225" s="208">
        <v>16934.270000000088</v>
      </c>
      <c r="M1225" s="208" t="s">
        <v>244</v>
      </c>
      <c r="N1225" s="208">
        <v>-189</v>
      </c>
      <c r="O1225" s="208">
        <v>1849</v>
      </c>
      <c r="P1225" s="208">
        <v>-93.34</v>
      </c>
      <c r="Q1225" s="208">
        <v>1200</v>
      </c>
    </row>
    <row r="1226" spans="1:17">
      <c r="A1226" s="218">
        <v>44196</v>
      </c>
      <c r="B1226" s="208" t="s">
        <v>273</v>
      </c>
      <c r="C1226" s="208" t="s">
        <v>8</v>
      </c>
      <c r="D1226" s="208">
        <v>2019</v>
      </c>
      <c r="E1226" s="208" t="s">
        <v>156</v>
      </c>
      <c r="F1226" s="208" t="s">
        <v>151</v>
      </c>
      <c r="G1226" s="208" t="s">
        <v>243</v>
      </c>
      <c r="H1226" s="208">
        <v>4</v>
      </c>
      <c r="I1226" s="208">
        <v>100</v>
      </c>
      <c r="J1226" s="208">
        <v>90</v>
      </c>
      <c r="K1226" s="208">
        <v>0</v>
      </c>
      <c r="L1226" s="208">
        <v>10</v>
      </c>
      <c r="M1226" s="208" t="s">
        <v>244</v>
      </c>
      <c r="N1226" s="208">
        <v>-150</v>
      </c>
      <c r="O1226" s="208">
        <v>5287.65</v>
      </c>
      <c r="P1226" s="208">
        <v>-74.239999999999995</v>
      </c>
      <c r="Q1226" s="208">
        <v>287.64999999999998</v>
      </c>
    </row>
    <row r="1227" spans="1:17">
      <c r="A1227" s="218">
        <v>44196</v>
      </c>
      <c r="B1227" s="208" t="s">
        <v>263</v>
      </c>
      <c r="C1227" s="208" t="s">
        <v>8</v>
      </c>
      <c r="D1227" s="208">
        <v>2020</v>
      </c>
      <c r="E1227" s="208" t="s">
        <v>156</v>
      </c>
      <c r="F1227" s="208" t="s">
        <v>151</v>
      </c>
      <c r="G1227" s="208" t="s">
        <v>243</v>
      </c>
      <c r="H1227" s="208">
        <v>1573</v>
      </c>
      <c r="I1227" s="208">
        <v>65211.639999999992</v>
      </c>
      <c r="J1227" s="208">
        <v>25376.059999999863</v>
      </c>
      <c r="K1227" s="208">
        <v>0</v>
      </c>
      <c r="L1227" s="208">
        <v>25262.000000000087</v>
      </c>
      <c r="M1227" s="208" t="s">
        <v>244</v>
      </c>
      <c r="N1227" s="208">
        <v>-150</v>
      </c>
      <c r="O1227" s="208">
        <v>350</v>
      </c>
      <c r="P1227" s="208">
        <v>-122.7</v>
      </c>
      <c r="Q1227" s="208">
        <v>131.94</v>
      </c>
    </row>
    <row r="1228" spans="1:17">
      <c r="A1228" s="218">
        <v>44196</v>
      </c>
      <c r="B1228" s="208" t="s">
        <v>45</v>
      </c>
      <c r="C1228" s="208" t="s">
        <v>8</v>
      </c>
      <c r="D1228" s="208">
        <v>2020</v>
      </c>
      <c r="E1228" s="208" t="s">
        <v>156</v>
      </c>
      <c r="F1228" s="208" t="s">
        <v>151</v>
      </c>
      <c r="G1228" s="208" t="s">
        <v>243</v>
      </c>
      <c r="H1228" s="208">
        <v>1993</v>
      </c>
      <c r="I1228" s="208">
        <v>54913.640000000036</v>
      </c>
      <c r="J1228" s="208">
        <v>32304.289999999932</v>
      </c>
      <c r="K1228" s="208">
        <v>0</v>
      </c>
      <c r="L1228" s="208">
        <v>20387.100000000028</v>
      </c>
      <c r="M1228" s="208" t="s">
        <v>244</v>
      </c>
      <c r="N1228" s="208">
        <v>-150</v>
      </c>
      <c r="O1228" s="208">
        <v>350</v>
      </c>
      <c r="P1228" s="208">
        <v>-122.7</v>
      </c>
      <c r="Q1228" s="208">
        <v>131.94</v>
      </c>
    </row>
    <row r="1229" spans="1:17">
      <c r="A1229" s="218">
        <v>44196</v>
      </c>
      <c r="B1229" s="208" t="s">
        <v>262</v>
      </c>
      <c r="C1229" s="208" t="s">
        <v>8</v>
      </c>
      <c r="D1229" s="208">
        <v>2019</v>
      </c>
      <c r="E1229" s="208" t="s">
        <v>156</v>
      </c>
      <c r="F1229" s="208" t="s">
        <v>151</v>
      </c>
      <c r="G1229" s="208" t="s">
        <v>243</v>
      </c>
      <c r="H1229" s="208">
        <v>1817</v>
      </c>
      <c r="I1229" s="208">
        <v>46183.640000000014</v>
      </c>
      <c r="J1229" s="208">
        <v>28146.849999999937</v>
      </c>
      <c r="K1229" s="208">
        <v>0</v>
      </c>
      <c r="L1229" s="208">
        <v>15454.100000000004</v>
      </c>
      <c r="M1229" s="208" t="s">
        <v>244</v>
      </c>
      <c r="N1229" s="208">
        <v>-150</v>
      </c>
      <c r="O1229" s="208">
        <v>5287.65</v>
      </c>
      <c r="P1229" s="208">
        <v>-74.239999999999995</v>
      </c>
      <c r="Q1229" s="208">
        <v>287.64999999999998</v>
      </c>
    </row>
    <row r="1230" spans="1:17">
      <c r="A1230" s="218">
        <v>44196</v>
      </c>
      <c r="B1230" s="208" t="s">
        <v>40</v>
      </c>
      <c r="C1230" s="208" t="s">
        <v>8</v>
      </c>
      <c r="D1230" s="208">
        <v>2019</v>
      </c>
      <c r="E1230" s="208" t="s">
        <v>156</v>
      </c>
      <c r="F1230" s="208" t="s">
        <v>151</v>
      </c>
      <c r="G1230" s="208" t="s">
        <v>243</v>
      </c>
      <c r="H1230" s="208">
        <v>2</v>
      </c>
      <c r="I1230" s="208">
        <v>48</v>
      </c>
      <c r="J1230" s="208">
        <v>43.2</v>
      </c>
      <c r="K1230" s="208">
        <v>0</v>
      </c>
      <c r="L1230" s="208">
        <v>4.8</v>
      </c>
      <c r="M1230" s="208" t="s">
        <v>244</v>
      </c>
      <c r="N1230" s="208">
        <v>-150</v>
      </c>
      <c r="O1230" s="208">
        <v>5287.65</v>
      </c>
      <c r="P1230" s="208">
        <v>-74.239999999999995</v>
      </c>
      <c r="Q1230" s="208">
        <v>287.64999999999998</v>
      </c>
    </row>
    <row r="1231" spans="1:17">
      <c r="A1231" s="218">
        <v>44196</v>
      </c>
      <c r="B1231" s="208" t="s">
        <v>258</v>
      </c>
      <c r="C1231" s="208" t="s">
        <v>8</v>
      </c>
      <c r="D1231" s="208">
        <v>2020</v>
      </c>
      <c r="E1231" s="208" t="s">
        <v>156</v>
      </c>
      <c r="F1231" s="208" t="s">
        <v>151</v>
      </c>
      <c r="G1231" s="208" t="s">
        <v>243</v>
      </c>
      <c r="H1231" s="208">
        <v>10873</v>
      </c>
      <c r="I1231" s="208">
        <v>244330.08000000316</v>
      </c>
      <c r="J1231" s="208">
        <v>136205.97000000082</v>
      </c>
      <c r="K1231" s="208">
        <v>7401.4600000000128</v>
      </c>
      <c r="L1231" s="208">
        <v>70065.979999999399</v>
      </c>
      <c r="M1231" s="208" t="s">
        <v>244</v>
      </c>
      <c r="N1231" s="208">
        <v>-150</v>
      </c>
      <c r="O1231" s="208">
        <v>350</v>
      </c>
      <c r="P1231" s="208">
        <v>-122.7</v>
      </c>
      <c r="Q1231" s="208">
        <v>131.94</v>
      </c>
    </row>
    <row r="1232" spans="1:17">
      <c r="A1232" s="218">
        <v>44196</v>
      </c>
      <c r="B1232" s="208" t="s">
        <v>225</v>
      </c>
      <c r="C1232" s="208" t="s">
        <v>8</v>
      </c>
      <c r="D1232" s="208">
        <v>2020</v>
      </c>
      <c r="E1232" s="208" t="s">
        <v>156</v>
      </c>
      <c r="F1232" s="208" t="s">
        <v>151</v>
      </c>
      <c r="G1232" s="208" t="s">
        <v>243</v>
      </c>
      <c r="H1232" s="208">
        <v>3896</v>
      </c>
      <c r="I1232" s="208">
        <v>126872.58000000005</v>
      </c>
      <c r="J1232" s="208">
        <v>54913.309999999132</v>
      </c>
      <c r="K1232" s="208">
        <v>10242.569999999976</v>
      </c>
      <c r="L1232" s="208">
        <v>47941.440000000286</v>
      </c>
      <c r="M1232" s="208" t="s">
        <v>244</v>
      </c>
      <c r="N1232" s="208">
        <v>-150</v>
      </c>
      <c r="O1232" s="208">
        <v>350</v>
      </c>
      <c r="P1232" s="208">
        <v>-122.7</v>
      </c>
      <c r="Q1232" s="208">
        <v>131.94</v>
      </c>
    </row>
    <row r="1233" spans="1:17">
      <c r="A1233" s="218">
        <v>44196</v>
      </c>
      <c r="B1233" s="208" t="s">
        <v>41</v>
      </c>
      <c r="C1233" s="208" t="s">
        <v>8</v>
      </c>
      <c r="D1233" s="208">
        <v>2019</v>
      </c>
      <c r="E1233" s="208" t="s">
        <v>156</v>
      </c>
      <c r="F1233" s="208" t="s">
        <v>151</v>
      </c>
      <c r="G1233" s="208" t="s">
        <v>243</v>
      </c>
      <c r="H1233" s="208">
        <v>1332</v>
      </c>
      <c r="I1233" s="208">
        <v>38943.760000000002</v>
      </c>
      <c r="J1233" s="208">
        <v>21481.899999999947</v>
      </c>
      <c r="K1233" s="208">
        <v>0</v>
      </c>
      <c r="L1233" s="208">
        <v>11488.269999999991</v>
      </c>
      <c r="M1233" s="208" t="s">
        <v>244</v>
      </c>
      <c r="N1233" s="208">
        <v>-150</v>
      </c>
      <c r="O1233" s="208">
        <v>5287.65</v>
      </c>
      <c r="P1233" s="208">
        <v>-74.239999999999995</v>
      </c>
      <c r="Q1233" s="208">
        <v>287.64999999999998</v>
      </c>
    </row>
    <row r="1234" spans="1:17">
      <c r="A1234" s="218">
        <v>44196</v>
      </c>
      <c r="B1234" s="208" t="s">
        <v>261</v>
      </c>
      <c r="C1234" s="208" t="s">
        <v>8</v>
      </c>
      <c r="D1234" s="208">
        <v>2019</v>
      </c>
      <c r="E1234" s="208" t="s">
        <v>156</v>
      </c>
      <c r="F1234" s="208" t="s">
        <v>151</v>
      </c>
      <c r="G1234" s="208" t="s">
        <v>243</v>
      </c>
      <c r="H1234" s="208">
        <v>93</v>
      </c>
      <c r="I1234" s="208">
        <v>2156.12</v>
      </c>
      <c r="J1234" s="208">
        <v>1115.22</v>
      </c>
      <c r="K1234" s="208">
        <v>214.5</v>
      </c>
      <c r="L1234" s="208">
        <v>768.19999999999982</v>
      </c>
      <c r="M1234" s="208" t="s">
        <v>244</v>
      </c>
      <c r="N1234" s="208">
        <v>-150</v>
      </c>
      <c r="O1234" s="208">
        <v>5287.65</v>
      </c>
      <c r="P1234" s="208">
        <v>-74.239999999999995</v>
      </c>
      <c r="Q1234" s="208">
        <v>287.64999999999998</v>
      </c>
    </row>
    <row r="1235" spans="1:17">
      <c r="A1235" s="218">
        <v>44196</v>
      </c>
      <c r="B1235" s="208" t="s">
        <v>260</v>
      </c>
      <c r="C1235" s="208" t="s">
        <v>8</v>
      </c>
      <c r="D1235" s="208">
        <v>2019</v>
      </c>
      <c r="E1235" s="208" t="s">
        <v>156</v>
      </c>
      <c r="F1235" s="208" t="s">
        <v>151</v>
      </c>
      <c r="G1235" s="208" t="s">
        <v>243</v>
      </c>
      <c r="H1235" s="208">
        <v>20224</v>
      </c>
      <c r="I1235" s="208">
        <v>401770.13999999367</v>
      </c>
      <c r="J1235" s="208">
        <v>230320.82000000263</v>
      </c>
      <c r="K1235" s="208">
        <v>1626.4600000000016</v>
      </c>
      <c r="L1235" s="208">
        <v>148073.07999999454</v>
      </c>
      <c r="M1235" s="208" t="s">
        <v>244</v>
      </c>
      <c r="N1235" s="208">
        <v>-150</v>
      </c>
      <c r="O1235" s="208">
        <v>5287.65</v>
      </c>
      <c r="P1235" s="208">
        <v>-74.239999999999995</v>
      </c>
      <c r="Q1235" s="208">
        <v>287.64999999999998</v>
      </c>
    </row>
    <row r="1236" spans="1:17">
      <c r="A1236" s="218">
        <v>44196</v>
      </c>
      <c r="B1236" s="208" t="s">
        <v>261</v>
      </c>
      <c r="C1236" s="208" t="s">
        <v>8</v>
      </c>
      <c r="D1236" s="208">
        <v>2020</v>
      </c>
      <c r="E1236" s="208" t="s">
        <v>156</v>
      </c>
      <c r="F1236" s="208" t="s">
        <v>151</v>
      </c>
      <c r="G1236" s="208" t="s">
        <v>243</v>
      </c>
      <c r="H1236" s="208">
        <v>254</v>
      </c>
      <c r="I1236" s="208">
        <v>6848.44</v>
      </c>
      <c r="J1236" s="208">
        <v>3573.0900000000006</v>
      </c>
      <c r="K1236" s="208">
        <v>511.79999999999995</v>
      </c>
      <c r="L1236" s="208">
        <v>2257.83</v>
      </c>
      <c r="M1236" s="208" t="s">
        <v>244</v>
      </c>
      <c r="N1236" s="208">
        <v>-150</v>
      </c>
      <c r="O1236" s="208">
        <v>350</v>
      </c>
      <c r="P1236" s="208">
        <v>-122.7</v>
      </c>
      <c r="Q1236" s="208">
        <v>131.94</v>
      </c>
    </row>
    <row r="1237" spans="1:17">
      <c r="A1237" s="218">
        <v>44196</v>
      </c>
      <c r="B1237" s="208" t="s">
        <v>267</v>
      </c>
      <c r="C1237" s="208" t="s">
        <v>8</v>
      </c>
      <c r="D1237" s="208">
        <v>2020</v>
      </c>
      <c r="E1237" s="208" t="s">
        <v>156</v>
      </c>
      <c r="F1237" s="208" t="s">
        <v>151</v>
      </c>
      <c r="G1237" s="208" t="s">
        <v>243</v>
      </c>
      <c r="H1237" s="208">
        <v>1993</v>
      </c>
      <c r="I1237" s="208">
        <v>54913.640000000079</v>
      </c>
      <c r="J1237" s="208">
        <v>32304.289999999943</v>
      </c>
      <c r="K1237" s="208">
        <v>0</v>
      </c>
      <c r="L1237" s="208">
        <v>20387.100000000035</v>
      </c>
      <c r="M1237" s="208" t="s">
        <v>244</v>
      </c>
      <c r="N1237" s="208">
        <v>-150</v>
      </c>
      <c r="O1237" s="208">
        <v>350</v>
      </c>
      <c r="P1237" s="208">
        <v>-122.7</v>
      </c>
      <c r="Q1237" s="208">
        <v>131.94</v>
      </c>
    </row>
    <row r="1238" spans="1:17">
      <c r="A1238" s="218">
        <v>44196</v>
      </c>
      <c r="B1238" s="208" t="s">
        <v>270</v>
      </c>
      <c r="C1238" s="208" t="s">
        <v>8</v>
      </c>
      <c r="D1238" s="208">
        <v>2020</v>
      </c>
      <c r="E1238" s="208" t="s">
        <v>156</v>
      </c>
      <c r="F1238" s="208" t="s">
        <v>151</v>
      </c>
      <c r="G1238" s="208" t="s">
        <v>243</v>
      </c>
      <c r="H1238" s="208">
        <v>142</v>
      </c>
      <c r="I1238" s="208">
        <v>3798.96</v>
      </c>
      <c r="J1238" s="208">
        <v>1883.51</v>
      </c>
      <c r="K1238" s="208">
        <v>0</v>
      </c>
      <c r="L1238" s="208">
        <v>1123.2300000000002</v>
      </c>
      <c r="M1238" s="208" t="s">
        <v>244</v>
      </c>
      <c r="N1238" s="208">
        <v>-150</v>
      </c>
      <c r="O1238" s="208">
        <v>350</v>
      </c>
      <c r="P1238" s="208">
        <v>-122.7</v>
      </c>
      <c r="Q1238" s="208">
        <v>131.94</v>
      </c>
    </row>
    <row r="1239" spans="1:17">
      <c r="A1239" s="218">
        <v>44196</v>
      </c>
      <c r="B1239" s="208" t="s">
        <v>264</v>
      </c>
      <c r="C1239" s="208" t="s">
        <v>8</v>
      </c>
      <c r="D1239" s="208">
        <v>2019</v>
      </c>
      <c r="E1239" s="208" t="s">
        <v>156</v>
      </c>
      <c r="F1239" s="208" t="s">
        <v>151</v>
      </c>
      <c r="G1239" s="208" t="s">
        <v>243</v>
      </c>
      <c r="H1239" s="208">
        <v>1332</v>
      </c>
      <c r="I1239" s="208">
        <v>38943.760000000009</v>
      </c>
      <c r="J1239" s="208">
        <v>21481.899999999958</v>
      </c>
      <c r="K1239" s="208">
        <v>0</v>
      </c>
      <c r="L1239" s="208">
        <v>11488.269999999995</v>
      </c>
      <c r="M1239" s="208" t="s">
        <v>244</v>
      </c>
      <c r="N1239" s="208">
        <v>-150</v>
      </c>
      <c r="O1239" s="208">
        <v>5287.65</v>
      </c>
      <c r="P1239" s="208">
        <v>-74.239999999999995</v>
      </c>
      <c r="Q1239" s="208">
        <v>287.64999999999998</v>
      </c>
    </row>
    <row r="1240" spans="1:17">
      <c r="A1240" s="218">
        <v>44196</v>
      </c>
      <c r="B1240" s="208" t="s">
        <v>269</v>
      </c>
      <c r="C1240" s="208" t="s">
        <v>8</v>
      </c>
      <c r="D1240" s="208">
        <v>2019</v>
      </c>
      <c r="E1240" s="208" t="s">
        <v>156</v>
      </c>
      <c r="F1240" s="208" t="s">
        <v>151</v>
      </c>
      <c r="G1240" s="208" t="s">
        <v>243</v>
      </c>
      <c r="H1240" s="208">
        <v>233</v>
      </c>
      <c r="I1240" s="208">
        <v>5100.9000000000015</v>
      </c>
      <c r="J1240" s="208">
        <v>3112.5299999999984</v>
      </c>
      <c r="K1240" s="208">
        <v>0</v>
      </c>
      <c r="L1240" s="208">
        <v>1369.8600000000004</v>
      </c>
      <c r="M1240" s="208" t="s">
        <v>244</v>
      </c>
      <c r="N1240" s="208">
        <v>-150</v>
      </c>
      <c r="O1240" s="208">
        <v>5287.65</v>
      </c>
      <c r="P1240" s="208">
        <v>-74.239999999999995</v>
      </c>
      <c r="Q1240" s="208">
        <v>287.64999999999998</v>
      </c>
    </row>
    <row r="1241" spans="1:17">
      <c r="A1241" s="218">
        <v>44196</v>
      </c>
      <c r="B1241" s="208" t="s">
        <v>36</v>
      </c>
      <c r="C1241" s="208" t="s">
        <v>8</v>
      </c>
      <c r="D1241" s="208">
        <v>2020</v>
      </c>
      <c r="E1241" s="208" t="s">
        <v>156</v>
      </c>
      <c r="F1241" s="208" t="s">
        <v>151</v>
      </c>
      <c r="G1241" s="208" t="s">
        <v>243</v>
      </c>
      <c r="H1241" s="208">
        <v>6636</v>
      </c>
      <c r="I1241" s="208">
        <v>141765.23000000068</v>
      </c>
      <c r="J1241" s="208">
        <v>81027.489999999525</v>
      </c>
      <c r="K1241" s="208">
        <v>250.70000000000002</v>
      </c>
      <c r="L1241" s="208">
        <v>53685.110000000495</v>
      </c>
      <c r="M1241" s="208" t="s">
        <v>244</v>
      </c>
      <c r="N1241" s="208">
        <v>-150</v>
      </c>
      <c r="O1241" s="208">
        <v>350</v>
      </c>
      <c r="P1241" s="208">
        <v>-122.7</v>
      </c>
      <c r="Q1241" s="208">
        <v>131.94</v>
      </c>
    </row>
    <row r="1242" spans="1:17">
      <c r="A1242" s="218">
        <v>44196</v>
      </c>
      <c r="B1242" s="208" t="s">
        <v>273</v>
      </c>
      <c r="C1242" s="208" t="s">
        <v>8</v>
      </c>
      <c r="D1242" s="208">
        <v>2020</v>
      </c>
      <c r="E1242" s="208" t="s">
        <v>156</v>
      </c>
      <c r="F1242" s="208" t="s">
        <v>151</v>
      </c>
      <c r="G1242" s="208" t="s">
        <v>243</v>
      </c>
      <c r="H1242" s="208">
        <v>6</v>
      </c>
      <c r="I1242" s="208">
        <v>150</v>
      </c>
      <c r="J1242" s="208">
        <v>130</v>
      </c>
      <c r="K1242" s="208">
        <v>0</v>
      </c>
      <c r="L1242" s="208">
        <v>20</v>
      </c>
      <c r="M1242" s="208" t="s">
        <v>244</v>
      </c>
      <c r="N1242" s="208">
        <v>-150</v>
      </c>
      <c r="O1242" s="208">
        <v>350</v>
      </c>
      <c r="P1242" s="208">
        <v>-122.7</v>
      </c>
      <c r="Q1242" s="208">
        <v>131.94</v>
      </c>
    </row>
    <row r="1243" spans="1:17">
      <c r="A1243" s="218">
        <v>44196</v>
      </c>
      <c r="B1243" s="208" t="s">
        <v>264</v>
      </c>
      <c r="C1243" s="208" t="s">
        <v>8</v>
      </c>
      <c r="D1243" s="208">
        <v>2020</v>
      </c>
      <c r="E1243" s="208" t="s">
        <v>156</v>
      </c>
      <c r="F1243" s="208" t="s">
        <v>151</v>
      </c>
      <c r="G1243" s="208" t="s">
        <v>243</v>
      </c>
      <c r="H1243" s="208">
        <v>1551</v>
      </c>
      <c r="I1243" s="208">
        <v>46677.260000000009</v>
      </c>
      <c r="J1243" s="208">
        <v>25768.689999999959</v>
      </c>
      <c r="K1243" s="208">
        <v>0</v>
      </c>
      <c r="L1243" s="208">
        <v>14033.689999999982</v>
      </c>
      <c r="M1243" s="208" t="s">
        <v>244</v>
      </c>
      <c r="N1243" s="208">
        <v>-150</v>
      </c>
      <c r="O1243" s="208">
        <v>350</v>
      </c>
      <c r="P1243" s="208">
        <v>-122.7</v>
      </c>
      <c r="Q1243" s="208">
        <v>131.94</v>
      </c>
    </row>
    <row r="1244" spans="1:17">
      <c r="A1244" s="218">
        <v>44196</v>
      </c>
      <c r="B1244" s="208" t="s">
        <v>39</v>
      </c>
      <c r="C1244" s="208" t="s">
        <v>8</v>
      </c>
      <c r="D1244" s="208">
        <v>2020</v>
      </c>
      <c r="E1244" s="208" t="s">
        <v>156</v>
      </c>
      <c r="F1244" s="208" t="s">
        <v>151</v>
      </c>
      <c r="G1244" s="208" t="s">
        <v>243</v>
      </c>
      <c r="H1244" s="208">
        <v>1612</v>
      </c>
      <c r="I1244" s="208">
        <v>42807.700000000004</v>
      </c>
      <c r="J1244" s="208">
        <v>25908.069999999912</v>
      </c>
      <c r="K1244" s="208">
        <v>0</v>
      </c>
      <c r="L1244" s="208">
        <v>11781.529999999975</v>
      </c>
      <c r="M1244" s="208" t="s">
        <v>244</v>
      </c>
      <c r="N1244" s="208">
        <v>-150</v>
      </c>
      <c r="O1244" s="208">
        <v>350</v>
      </c>
      <c r="P1244" s="208">
        <v>-122.7</v>
      </c>
      <c r="Q1244" s="208">
        <v>131.94</v>
      </c>
    </row>
    <row r="1245" spans="1:17">
      <c r="A1245" s="218">
        <v>44196</v>
      </c>
      <c r="B1245" s="208" t="s">
        <v>271</v>
      </c>
      <c r="C1245" s="208" t="s">
        <v>8</v>
      </c>
      <c r="D1245" s="208">
        <v>2020</v>
      </c>
      <c r="E1245" s="208" t="s">
        <v>156</v>
      </c>
      <c r="F1245" s="208" t="s">
        <v>151</v>
      </c>
      <c r="G1245" s="208" t="s">
        <v>243</v>
      </c>
      <c r="H1245" s="208">
        <v>2</v>
      </c>
      <c r="I1245" s="208">
        <v>50</v>
      </c>
      <c r="J1245" s="208">
        <v>35</v>
      </c>
      <c r="K1245" s="208">
        <v>0</v>
      </c>
      <c r="L1245" s="208">
        <v>15</v>
      </c>
      <c r="M1245" s="208" t="s">
        <v>244</v>
      </c>
      <c r="N1245" s="208">
        <v>-150</v>
      </c>
      <c r="O1245" s="208">
        <v>350</v>
      </c>
      <c r="P1245" s="208">
        <v>-122.7</v>
      </c>
      <c r="Q1245" s="208">
        <v>131.94</v>
      </c>
    </row>
    <row r="1246" spans="1:17">
      <c r="A1246" s="218">
        <v>44196</v>
      </c>
      <c r="B1246" s="208" t="s">
        <v>266</v>
      </c>
      <c r="C1246" s="208" t="s">
        <v>8</v>
      </c>
      <c r="D1246" s="208">
        <v>2020</v>
      </c>
      <c r="E1246" s="208" t="s">
        <v>156</v>
      </c>
      <c r="F1246" s="208" t="s">
        <v>151</v>
      </c>
      <c r="G1246" s="208" t="s">
        <v>243</v>
      </c>
      <c r="H1246" s="208">
        <v>34</v>
      </c>
      <c r="I1246" s="208">
        <v>738.7</v>
      </c>
      <c r="J1246" s="208">
        <v>616.54999999999995</v>
      </c>
      <c r="K1246" s="208">
        <v>0</v>
      </c>
      <c r="L1246" s="208">
        <v>122.15</v>
      </c>
      <c r="M1246" s="208" t="s">
        <v>244</v>
      </c>
      <c r="N1246" s="208">
        <v>-150</v>
      </c>
      <c r="O1246" s="208">
        <v>350</v>
      </c>
      <c r="P1246" s="208">
        <v>-122.7</v>
      </c>
      <c r="Q1246" s="208">
        <v>131.94</v>
      </c>
    </row>
    <row r="1247" spans="1:17">
      <c r="A1247" s="218">
        <v>44196</v>
      </c>
      <c r="B1247" s="208" t="s">
        <v>258</v>
      </c>
      <c r="C1247" s="208" t="s">
        <v>8</v>
      </c>
      <c r="D1247" s="208">
        <v>2019</v>
      </c>
      <c r="E1247" s="208" t="s">
        <v>156</v>
      </c>
      <c r="F1247" s="208" t="s">
        <v>151</v>
      </c>
      <c r="G1247" s="208" t="s">
        <v>243</v>
      </c>
      <c r="H1247" s="208">
        <v>13097</v>
      </c>
      <c r="I1247" s="208">
        <v>268730.53000000265</v>
      </c>
      <c r="J1247" s="208">
        <v>144765.04000000283</v>
      </c>
      <c r="K1247" s="208">
        <v>8798.7400000000034</v>
      </c>
      <c r="L1247" s="208">
        <v>74116.89999999835</v>
      </c>
      <c r="M1247" s="208" t="s">
        <v>244</v>
      </c>
      <c r="N1247" s="208">
        <v>-150</v>
      </c>
      <c r="O1247" s="208">
        <v>5287.65</v>
      </c>
      <c r="P1247" s="208">
        <v>-74.239999999999995</v>
      </c>
      <c r="Q1247" s="208">
        <v>287.64999999999998</v>
      </c>
    </row>
    <row r="1248" spans="1:17">
      <c r="A1248" s="218">
        <v>44196</v>
      </c>
      <c r="B1248" s="208" t="s">
        <v>268</v>
      </c>
      <c r="C1248" s="208" t="s">
        <v>8</v>
      </c>
      <c r="D1248" s="208">
        <v>2019</v>
      </c>
      <c r="E1248" s="208" t="s">
        <v>156</v>
      </c>
      <c r="F1248" s="208" t="s">
        <v>151</v>
      </c>
      <c r="G1248" s="208" t="s">
        <v>243</v>
      </c>
      <c r="H1248" s="208">
        <v>1568</v>
      </c>
      <c r="I1248" s="208">
        <v>46572.999999999956</v>
      </c>
      <c r="J1248" s="208">
        <v>24122.089999999927</v>
      </c>
      <c r="K1248" s="208">
        <v>0</v>
      </c>
      <c r="L1248" s="208">
        <v>18073.059999999979</v>
      </c>
      <c r="M1248" s="208" t="s">
        <v>244</v>
      </c>
      <c r="N1248" s="208">
        <v>-150</v>
      </c>
      <c r="O1248" s="208">
        <v>5287.65</v>
      </c>
      <c r="P1248" s="208">
        <v>-74.239999999999995</v>
      </c>
      <c r="Q1248" s="208">
        <v>287.64999999999998</v>
      </c>
    </row>
    <row r="1249" spans="1:17">
      <c r="A1249" s="218">
        <v>44196</v>
      </c>
      <c r="B1249" s="208" t="s">
        <v>266</v>
      </c>
      <c r="C1249" s="208" t="s">
        <v>8</v>
      </c>
      <c r="D1249" s="208">
        <v>2019</v>
      </c>
      <c r="E1249" s="208" t="s">
        <v>156</v>
      </c>
      <c r="F1249" s="208" t="s">
        <v>151</v>
      </c>
      <c r="G1249" s="208" t="s">
        <v>243</v>
      </c>
      <c r="H1249" s="208">
        <v>12</v>
      </c>
      <c r="I1249" s="208">
        <v>361</v>
      </c>
      <c r="J1249" s="208">
        <v>198.63</v>
      </c>
      <c r="K1249" s="208">
        <v>0</v>
      </c>
      <c r="L1249" s="208">
        <v>81.77</v>
      </c>
      <c r="M1249" s="208" t="s">
        <v>244</v>
      </c>
      <c r="N1249" s="208">
        <v>-150</v>
      </c>
      <c r="O1249" s="208">
        <v>5287.65</v>
      </c>
      <c r="P1249" s="208">
        <v>-74.239999999999995</v>
      </c>
      <c r="Q1249" s="208">
        <v>287.64999999999998</v>
      </c>
    </row>
    <row r="1250" spans="1:17">
      <c r="A1250" s="218">
        <v>44196</v>
      </c>
      <c r="B1250" s="208" t="s">
        <v>33</v>
      </c>
      <c r="C1250" s="208" t="s">
        <v>8</v>
      </c>
      <c r="D1250" s="208">
        <v>2020</v>
      </c>
      <c r="E1250" s="208" t="s">
        <v>156</v>
      </c>
      <c r="F1250" s="208" t="s">
        <v>151</v>
      </c>
      <c r="G1250" s="208" t="s">
        <v>243</v>
      </c>
      <c r="H1250" s="208">
        <v>1573</v>
      </c>
      <c r="I1250" s="208">
        <v>65211.63999999997</v>
      </c>
      <c r="J1250" s="208">
        <v>25376.05999999983</v>
      </c>
      <c r="K1250" s="208">
        <v>0</v>
      </c>
      <c r="L1250" s="208">
        <v>25262.000000000138</v>
      </c>
      <c r="M1250" s="208" t="s">
        <v>244</v>
      </c>
      <c r="N1250" s="208">
        <v>-150</v>
      </c>
      <c r="O1250" s="208">
        <v>350</v>
      </c>
      <c r="P1250" s="208">
        <v>-122.7</v>
      </c>
      <c r="Q1250" s="208">
        <v>131.94</v>
      </c>
    </row>
    <row r="1251" spans="1:17">
      <c r="A1251" s="218">
        <v>44196</v>
      </c>
      <c r="B1251" s="208" t="s">
        <v>38</v>
      </c>
      <c r="C1251" s="208" t="s">
        <v>8</v>
      </c>
      <c r="D1251" s="208">
        <v>2019</v>
      </c>
      <c r="E1251" s="208" t="s">
        <v>156</v>
      </c>
      <c r="F1251" s="208" t="s">
        <v>151</v>
      </c>
      <c r="G1251" s="208" t="s">
        <v>243</v>
      </c>
      <c r="H1251" s="208">
        <v>4</v>
      </c>
      <c r="I1251" s="208">
        <v>153</v>
      </c>
      <c r="J1251" s="208">
        <v>71.849999999999994</v>
      </c>
      <c r="K1251" s="208">
        <v>0</v>
      </c>
      <c r="L1251" s="208">
        <v>18.25</v>
      </c>
      <c r="M1251" s="208" t="s">
        <v>244</v>
      </c>
      <c r="N1251" s="208">
        <v>-150</v>
      </c>
      <c r="O1251" s="208">
        <v>5287.65</v>
      </c>
      <c r="P1251" s="208">
        <v>-74.239999999999995</v>
      </c>
      <c r="Q1251" s="208">
        <v>287.64999999999998</v>
      </c>
    </row>
    <row r="1252" spans="1:17">
      <c r="A1252" s="218">
        <v>44196</v>
      </c>
      <c r="B1252" s="208" t="s">
        <v>274</v>
      </c>
      <c r="C1252" s="208" t="s">
        <v>8</v>
      </c>
      <c r="D1252" s="208">
        <v>2020</v>
      </c>
      <c r="E1252" s="208" t="s">
        <v>156</v>
      </c>
      <c r="F1252" s="208" t="s">
        <v>151</v>
      </c>
      <c r="G1252" s="208" t="s">
        <v>243</v>
      </c>
      <c r="H1252" s="208">
        <v>3</v>
      </c>
      <c r="I1252" s="208">
        <v>73</v>
      </c>
      <c r="J1252" s="208">
        <v>65.7</v>
      </c>
      <c r="K1252" s="208">
        <v>0</v>
      </c>
      <c r="L1252" s="208">
        <v>7.3</v>
      </c>
      <c r="M1252" s="208" t="s">
        <v>244</v>
      </c>
      <c r="N1252" s="208">
        <v>-150</v>
      </c>
      <c r="O1252" s="208">
        <v>350</v>
      </c>
      <c r="P1252" s="208">
        <v>-122.7</v>
      </c>
      <c r="Q1252" s="208">
        <v>131.94</v>
      </c>
    </row>
    <row r="1253" spans="1:17">
      <c r="A1253" s="218">
        <v>44196</v>
      </c>
      <c r="B1253" s="208" t="s">
        <v>29</v>
      </c>
      <c r="C1253" s="208" t="s">
        <v>8</v>
      </c>
      <c r="D1253" s="208">
        <v>2019</v>
      </c>
      <c r="E1253" s="208" t="s">
        <v>156</v>
      </c>
      <c r="F1253" s="208" t="s">
        <v>151</v>
      </c>
      <c r="G1253" s="208" t="s">
        <v>243</v>
      </c>
      <c r="H1253" s="208">
        <v>20224</v>
      </c>
      <c r="I1253" s="208">
        <v>401770.13999998948</v>
      </c>
      <c r="J1253" s="208">
        <v>230320.82000000321</v>
      </c>
      <c r="K1253" s="208">
        <v>1626.4600000000014</v>
      </c>
      <c r="L1253" s="208">
        <v>148073.07999999373</v>
      </c>
      <c r="M1253" s="208" t="s">
        <v>244</v>
      </c>
      <c r="N1253" s="208">
        <v>-150</v>
      </c>
      <c r="O1253" s="208">
        <v>5287.65</v>
      </c>
      <c r="P1253" s="208">
        <v>-74.239999999999995</v>
      </c>
      <c r="Q1253" s="208">
        <v>287.64999999999998</v>
      </c>
    </row>
    <row r="1254" spans="1:17">
      <c r="A1254" s="218">
        <v>44196</v>
      </c>
      <c r="B1254" s="208" t="s">
        <v>40</v>
      </c>
      <c r="C1254" s="208" t="s">
        <v>8</v>
      </c>
      <c r="D1254" s="208">
        <v>2020</v>
      </c>
      <c r="E1254" s="208" t="s">
        <v>156</v>
      </c>
      <c r="F1254" s="208" t="s">
        <v>151</v>
      </c>
      <c r="G1254" s="208" t="s">
        <v>243</v>
      </c>
      <c r="H1254" s="208">
        <v>3</v>
      </c>
      <c r="I1254" s="208">
        <v>73</v>
      </c>
      <c r="J1254" s="208">
        <v>65.7</v>
      </c>
      <c r="K1254" s="208">
        <v>0</v>
      </c>
      <c r="L1254" s="208">
        <v>7.3</v>
      </c>
      <c r="M1254" s="208" t="s">
        <v>244</v>
      </c>
      <c r="N1254" s="208">
        <v>-150</v>
      </c>
      <c r="O1254" s="208">
        <v>350</v>
      </c>
      <c r="P1254" s="208">
        <v>-122.7</v>
      </c>
      <c r="Q1254" s="208">
        <v>131.94</v>
      </c>
    </row>
    <row r="1255" spans="1:17">
      <c r="A1255" s="218">
        <v>44196</v>
      </c>
      <c r="B1255" s="208" t="s">
        <v>259</v>
      </c>
      <c r="C1255" s="208" t="s">
        <v>8</v>
      </c>
      <c r="D1255" s="208">
        <v>2019</v>
      </c>
      <c r="E1255" s="208" t="s">
        <v>156</v>
      </c>
      <c r="F1255" s="208" t="s">
        <v>151</v>
      </c>
      <c r="G1255" s="208" t="s">
        <v>243</v>
      </c>
      <c r="H1255" s="208">
        <v>7377</v>
      </c>
      <c r="I1255" s="208">
        <v>151122.67000000068</v>
      </c>
      <c r="J1255" s="208">
        <v>86031.149999999616</v>
      </c>
      <c r="K1255" s="208">
        <v>59.8</v>
      </c>
      <c r="L1255" s="208">
        <v>56995.190000000439</v>
      </c>
      <c r="M1255" s="208" t="s">
        <v>244</v>
      </c>
      <c r="N1255" s="208">
        <v>-150</v>
      </c>
      <c r="O1255" s="208">
        <v>5287.65</v>
      </c>
      <c r="P1255" s="208">
        <v>-74.239999999999995</v>
      </c>
      <c r="Q1255" s="208">
        <v>287.64999999999998</v>
      </c>
    </row>
    <row r="1256" spans="1:17">
      <c r="A1256" s="218">
        <v>44196</v>
      </c>
      <c r="B1256" s="208" t="s">
        <v>263</v>
      </c>
      <c r="C1256" s="208" t="s">
        <v>8</v>
      </c>
      <c r="D1256" s="208">
        <v>2019</v>
      </c>
      <c r="E1256" s="208" t="s">
        <v>156</v>
      </c>
      <c r="F1256" s="208" t="s">
        <v>151</v>
      </c>
      <c r="G1256" s="208" t="s">
        <v>243</v>
      </c>
      <c r="H1256" s="208">
        <v>1654</v>
      </c>
      <c r="I1256" s="208">
        <v>75739.37</v>
      </c>
      <c r="J1256" s="208">
        <v>26556.049999999843</v>
      </c>
      <c r="K1256" s="208">
        <v>0</v>
      </c>
      <c r="L1256" s="208">
        <v>27184.990000000125</v>
      </c>
      <c r="M1256" s="208" t="s">
        <v>244</v>
      </c>
      <c r="N1256" s="208">
        <v>-150</v>
      </c>
      <c r="O1256" s="208">
        <v>5287.65</v>
      </c>
      <c r="P1256" s="208">
        <v>-74.239999999999995</v>
      </c>
      <c r="Q1256" s="208">
        <v>287.64999999999998</v>
      </c>
    </row>
    <row r="1257" spans="1:17">
      <c r="A1257" s="218">
        <v>44196</v>
      </c>
      <c r="B1257" s="208" t="s">
        <v>44</v>
      </c>
      <c r="C1257" s="208" t="s">
        <v>8</v>
      </c>
      <c r="D1257" s="208">
        <v>2020</v>
      </c>
      <c r="E1257" s="208" t="s">
        <v>156</v>
      </c>
      <c r="F1257" s="208" t="s">
        <v>151</v>
      </c>
      <c r="G1257" s="208" t="s">
        <v>243</v>
      </c>
      <c r="H1257" s="208">
        <v>6</v>
      </c>
      <c r="I1257" s="208">
        <v>150</v>
      </c>
      <c r="J1257" s="208">
        <v>130</v>
      </c>
      <c r="K1257" s="208">
        <v>0</v>
      </c>
      <c r="L1257" s="208">
        <v>20</v>
      </c>
      <c r="M1257" s="208" t="s">
        <v>244</v>
      </c>
      <c r="N1257" s="208">
        <v>-150</v>
      </c>
      <c r="O1257" s="208">
        <v>350</v>
      </c>
      <c r="P1257" s="208">
        <v>-122.7</v>
      </c>
      <c r="Q1257" s="208">
        <v>131.94</v>
      </c>
    </row>
    <row r="1258" spans="1:17">
      <c r="A1258" s="218">
        <v>44196</v>
      </c>
      <c r="B1258" s="208" t="s">
        <v>35</v>
      </c>
      <c r="C1258" s="208" t="s">
        <v>8</v>
      </c>
      <c r="D1258" s="208">
        <v>2019</v>
      </c>
      <c r="E1258" s="208" t="s">
        <v>156</v>
      </c>
      <c r="F1258" s="208" t="s">
        <v>151</v>
      </c>
      <c r="G1258" s="208" t="s">
        <v>243</v>
      </c>
      <c r="H1258" s="208">
        <v>93</v>
      </c>
      <c r="I1258" s="208">
        <v>2156.1200000000003</v>
      </c>
      <c r="J1258" s="208">
        <v>1115.22</v>
      </c>
      <c r="K1258" s="208">
        <v>214.50000000000003</v>
      </c>
      <c r="L1258" s="208">
        <v>768.2</v>
      </c>
      <c r="M1258" s="208" t="s">
        <v>244</v>
      </c>
      <c r="N1258" s="208">
        <v>-150</v>
      </c>
      <c r="O1258" s="208">
        <v>5287.65</v>
      </c>
      <c r="P1258" s="208">
        <v>-74.239999999999995</v>
      </c>
      <c r="Q1258" s="208">
        <v>287.64999999999998</v>
      </c>
    </row>
    <row r="1259" spans="1:17">
      <c r="A1259" s="218">
        <v>44196</v>
      </c>
      <c r="B1259" s="208" t="s">
        <v>262</v>
      </c>
      <c r="C1259" s="208" t="s">
        <v>8</v>
      </c>
      <c r="D1259" s="208">
        <v>2020</v>
      </c>
      <c r="E1259" s="208" t="s">
        <v>156</v>
      </c>
      <c r="F1259" s="208" t="s">
        <v>151</v>
      </c>
      <c r="G1259" s="208" t="s">
        <v>243</v>
      </c>
      <c r="H1259" s="208">
        <v>1565</v>
      </c>
      <c r="I1259" s="208">
        <v>42784.150000000038</v>
      </c>
      <c r="J1259" s="208">
        <v>24776.039999999917</v>
      </c>
      <c r="K1259" s="208">
        <v>0</v>
      </c>
      <c r="L1259" s="208">
        <v>15263.959999999988</v>
      </c>
      <c r="M1259" s="208" t="s">
        <v>244</v>
      </c>
      <c r="N1259" s="208">
        <v>-150</v>
      </c>
      <c r="O1259" s="208">
        <v>350</v>
      </c>
      <c r="P1259" s="208">
        <v>-122.7</v>
      </c>
      <c r="Q1259" s="208">
        <v>131.94</v>
      </c>
    </row>
    <row r="1260" spans="1:17">
      <c r="A1260" s="218">
        <v>44196</v>
      </c>
      <c r="B1260" s="208" t="s">
        <v>37</v>
      </c>
      <c r="C1260" s="208" t="s">
        <v>8</v>
      </c>
      <c r="D1260" s="208">
        <v>2020</v>
      </c>
      <c r="E1260" s="208" t="s">
        <v>156</v>
      </c>
      <c r="F1260" s="208" t="s">
        <v>151</v>
      </c>
      <c r="G1260" s="208" t="s">
        <v>243</v>
      </c>
      <c r="H1260" s="208">
        <v>3896</v>
      </c>
      <c r="I1260" s="208">
        <v>126872.58000000007</v>
      </c>
      <c r="J1260" s="208">
        <v>54913.30999999895</v>
      </c>
      <c r="K1260" s="208">
        <v>10242.56999999996</v>
      </c>
      <c r="L1260" s="208">
        <v>47941.440000000352</v>
      </c>
      <c r="M1260" s="208" t="s">
        <v>244</v>
      </c>
      <c r="N1260" s="208">
        <v>-150</v>
      </c>
      <c r="O1260" s="208">
        <v>350</v>
      </c>
      <c r="P1260" s="208">
        <v>-122.7</v>
      </c>
      <c r="Q1260" s="208">
        <v>131.94</v>
      </c>
    </row>
    <row r="1261" spans="1:17">
      <c r="A1261" s="218">
        <v>44196</v>
      </c>
      <c r="B1261" s="208" t="s">
        <v>37</v>
      </c>
      <c r="C1261" s="208" t="s">
        <v>8</v>
      </c>
      <c r="D1261" s="208">
        <v>2019</v>
      </c>
      <c r="E1261" s="208" t="s">
        <v>156</v>
      </c>
      <c r="F1261" s="208" t="s">
        <v>151</v>
      </c>
      <c r="G1261" s="208" t="s">
        <v>243</v>
      </c>
      <c r="H1261" s="208">
        <v>5312</v>
      </c>
      <c r="I1261" s="208">
        <v>152770.6900000009</v>
      </c>
      <c r="J1261" s="208">
        <v>65923.669999998907</v>
      </c>
      <c r="K1261" s="208">
        <v>12475.319999999936</v>
      </c>
      <c r="L1261" s="208">
        <v>60085.650000000554</v>
      </c>
      <c r="M1261" s="208" t="s">
        <v>244</v>
      </c>
      <c r="N1261" s="208">
        <v>-150</v>
      </c>
      <c r="O1261" s="208">
        <v>5287.65</v>
      </c>
      <c r="P1261" s="208">
        <v>-74.239999999999995</v>
      </c>
      <c r="Q1261" s="208">
        <v>287.64999999999998</v>
      </c>
    </row>
    <row r="1262" spans="1:17">
      <c r="A1262" s="218">
        <v>44196</v>
      </c>
      <c r="B1262" s="208" t="s">
        <v>265</v>
      </c>
      <c r="C1262" s="208" t="s">
        <v>8</v>
      </c>
      <c r="D1262" s="208">
        <v>2019</v>
      </c>
      <c r="E1262" s="208" t="s">
        <v>156</v>
      </c>
      <c r="F1262" s="208" t="s">
        <v>151</v>
      </c>
      <c r="G1262" s="208" t="s">
        <v>243</v>
      </c>
      <c r="H1262" s="208">
        <v>2</v>
      </c>
      <c r="I1262" s="208">
        <v>45</v>
      </c>
      <c r="J1262" s="208">
        <v>36.6</v>
      </c>
      <c r="K1262" s="208">
        <v>0</v>
      </c>
      <c r="L1262" s="208">
        <v>8.4</v>
      </c>
      <c r="M1262" s="208" t="s">
        <v>244</v>
      </c>
      <c r="N1262" s="208">
        <v>-150</v>
      </c>
      <c r="O1262" s="208">
        <v>5287.65</v>
      </c>
      <c r="P1262" s="208">
        <v>-74.239999999999995</v>
      </c>
      <c r="Q1262" s="208">
        <v>287.64999999999998</v>
      </c>
    </row>
    <row r="1263" spans="1:17">
      <c r="A1263" s="218">
        <v>44196</v>
      </c>
      <c r="B1263" s="208" t="s">
        <v>225</v>
      </c>
      <c r="C1263" s="208" t="s">
        <v>8</v>
      </c>
      <c r="D1263" s="208">
        <v>2019</v>
      </c>
      <c r="E1263" s="208" t="s">
        <v>156</v>
      </c>
      <c r="F1263" s="208" t="s">
        <v>151</v>
      </c>
      <c r="G1263" s="208" t="s">
        <v>243</v>
      </c>
      <c r="H1263" s="208">
        <v>5312</v>
      </c>
      <c r="I1263" s="208">
        <v>152770.69000000064</v>
      </c>
      <c r="J1263" s="208">
        <v>65923.669999998558</v>
      </c>
      <c r="K1263" s="208">
        <v>12475.319999999938</v>
      </c>
      <c r="L1263" s="208">
        <v>60085.65000000054</v>
      </c>
      <c r="M1263" s="208" t="s">
        <v>244</v>
      </c>
      <c r="N1263" s="208">
        <v>-150</v>
      </c>
      <c r="O1263" s="208">
        <v>5287.65</v>
      </c>
      <c r="P1263" s="208">
        <v>-74.239999999999995</v>
      </c>
      <c r="Q1263" s="208">
        <v>287.64999999999998</v>
      </c>
    </row>
    <row r="1264" spans="1:17">
      <c r="A1264" s="218">
        <v>44196</v>
      </c>
      <c r="B1264" s="208" t="s">
        <v>36</v>
      </c>
      <c r="C1264" s="208" t="s">
        <v>8</v>
      </c>
      <c r="D1264" s="208">
        <v>2019</v>
      </c>
      <c r="E1264" s="208" t="s">
        <v>156</v>
      </c>
      <c r="F1264" s="208" t="s">
        <v>151</v>
      </c>
      <c r="G1264" s="208" t="s">
        <v>243</v>
      </c>
      <c r="H1264" s="208">
        <v>7377</v>
      </c>
      <c r="I1264" s="208">
        <v>151122.67000000033</v>
      </c>
      <c r="J1264" s="208">
        <v>86031.149999999558</v>
      </c>
      <c r="K1264" s="208">
        <v>59.8</v>
      </c>
      <c r="L1264" s="208">
        <v>56995.190000000257</v>
      </c>
      <c r="M1264" s="208" t="s">
        <v>244</v>
      </c>
      <c r="N1264" s="208">
        <v>-150</v>
      </c>
      <c r="O1264" s="208">
        <v>5287.65</v>
      </c>
      <c r="P1264" s="208">
        <v>-74.239999999999995</v>
      </c>
      <c r="Q1264" s="208">
        <v>287.64999999999998</v>
      </c>
    </row>
    <row r="1265" spans="1:17">
      <c r="A1265" s="218">
        <v>44196</v>
      </c>
      <c r="B1265" s="208" t="s">
        <v>267</v>
      </c>
      <c r="C1265" s="208" t="s">
        <v>8</v>
      </c>
      <c r="D1265" s="208">
        <v>2019</v>
      </c>
      <c r="E1265" s="208" t="s">
        <v>156</v>
      </c>
      <c r="F1265" s="208" t="s">
        <v>151</v>
      </c>
      <c r="G1265" s="208" t="s">
        <v>243</v>
      </c>
      <c r="H1265" s="208">
        <v>1574</v>
      </c>
      <c r="I1265" s="208">
        <v>43744.80000000001</v>
      </c>
      <c r="J1265" s="208">
        <v>24893.239999999954</v>
      </c>
      <c r="K1265" s="208">
        <v>0</v>
      </c>
      <c r="L1265" s="208">
        <v>16735.469999999983</v>
      </c>
      <c r="M1265" s="208" t="s">
        <v>244</v>
      </c>
      <c r="N1265" s="208">
        <v>-150</v>
      </c>
      <c r="O1265" s="208">
        <v>5287.65</v>
      </c>
      <c r="P1265" s="208">
        <v>-74.239999999999995</v>
      </c>
      <c r="Q1265" s="208">
        <v>287.64999999999998</v>
      </c>
    </row>
    <row r="1266" spans="1:17">
      <c r="A1266" s="218">
        <v>44196</v>
      </c>
      <c r="B1266" s="208" t="s">
        <v>31</v>
      </c>
      <c r="C1266" s="208" t="s">
        <v>8</v>
      </c>
      <c r="D1266" s="208">
        <v>2020</v>
      </c>
      <c r="E1266" s="208" t="s">
        <v>156</v>
      </c>
      <c r="F1266" s="208" t="s">
        <v>151</v>
      </c>
      <c r="G1266" s="208" t="s">
        <v>243</v>
      </c>
      <c r="H1266" s="208">
        <v>10873</v>
      </c>
      <c r="I1266" s="208">
        <v>244330.08000000331</v>
      </c>
      <c r="J1266" s="208">
        <v>136205.97000000157</v>
      </c>
      <c r="K1266" s="208">
        <v>7401.4600000000082</v>
      </c>
      <c r="L1266" s="208">
        <v>70065.979999999734</v>
      </c>
      <c r="M1266" s="208" t="s">
        <v>244</v>
      </c>
      <c r="N1266" s="208">
        <v>-150</v>
      </c>
      <c r="O1266" s="208">
        <v>350</v>
      </c>
      <c r="P1266" s="208">
        <v>-122.7</v>
      </c>
      <c r="Q1266" s="208">
        <v>131.94</v>
      </c>
    </row>
    <row r="1267" spans="1:17">
      <c r="A1267" s="218">
        <v>44196</v>
      </c>
      <c r="B1267" s="208" t="s">
        <v>41</v>
      </c>
      <c r="C1267" s="208" t="s">
        <v>8</v>
      </c>
      <c r="D1267" s="208">
        <v>2020</v>
      </c>
      <c r="E1267" s="208" t="s">
        <v>156</v>
      </c>
      <c r="F1267" s="208" t="s">
        <v>151</v>
      </c>
      <c r="G1267" s="208" t="s">
        <v>243</v>
      </c>
      <c r="H1267" s="208">
        <v>1551</v>
      </c>
      <c r="I1267" s="208">
        <v>46677.260000000009</v>
      </c>
      <c r="J1267" s="208">
        <v>25768.68999999993</v>
      </c>
      <c r="K1267" s="208">
        <v>0</v>
      </c>
      <c r="L1267" s="208">
        <v>14033.689999999981</v>
      </c>
      <c r="M1267" s="208" t="s">
        <v>244</v>
      </c>
      <c r="N1267" s="208">
        <v>-150</v>
      </c>
      <c r="O1267" s="208">
        <v>350</v>
      </c>
      <c r="P1267" s="208">
        <v>-122.7</v>
      </c>
      <c r="Q1267" s="208">
        <v>131.94</v>
      </c>
    </row>
    <row r="1268" spans="1:17">
      <c r="A1268" s="218">
        <v>44196</v>
      </c>
      <c r="B1268" s="208" t="s">
        <v>35</v>
      </c>
      <c r="C1268" s="208" t="s">
        <v>8</v>
      </c>
      <c r="D1268" s="208">
        <v>2020</v>
      </c>
      <c r="E1268" s="208" t="s">
        <v>156</v>
      </c>
      <c r="F1268" s="208" t="s">
        <v>151</v>
      </c>
      <c r="G1268" s="208" t="s">
        <v>243</v>
      </c>
      <c r="H1268" s="208">
        <v>254</v>
      </c>
      <c r="I1268" s="208">
        <v>6848.44</v>
      </c>
      <c r="J1268" s="208">
        <v>3573.0899999999997</v>
      </c>
      <c r="K1268" s="208">
        <v>511.79999999999995</v>
      </c>
      <c r="L1268" s="208">
        <v>2257.8300000000004</v>
      </c>
      <c r="M1268" s="208" t="s">
        <v>244</v>
      </c>
      <c r="N1268" s="208">
        <v>-150</v>
      </c>
      <c r="O1268" s="208">
        <v>350</v>
      </c>
      <c r="P1268" s="208">
        <v>-122.7</v>
      </c>
      <c r="Q1268" s="208">
        <v>131.94</v>
      </c>
    </row>
    <row r="1269" spans="1:17">
      <c r="A1269" s="218">
        <v>44196</v>
      </c>
      <c r="B1269" s="208" t="s">
        <v>29</v>
      </c>
      <c r="C1269" s="208" t="s">
        <v>8</v>
      </c>
      <c r="D1269" s="208">
        <v>2020</v>
      </c>
      <c r="E1269" s="208" t="s">
        <v>156</v>
      </c>
      <c r="F1269" s="208" t="s">
        <v>151</v>
      </c>
      <c r="G1269" s="208" t="s">
        <v>243</v>
      </c>
      <c r="H1269" s="208">
        <v>18063</v>
      </c>
      <c r="I1269" s="208">
        <v>366819.09999999055</v>
      </c>
      <c r="J1269" s="208">
        <v>209488.77000000048</v>
      </c>
      <c r="K1269" s="208">
        <v>588.59999999999991</v>
      </c>
      <c r="L1269" s="208">
        <v>138433.03999999297</v>
      </c>
      <c r="M1269" s="208" t="s">
        <v>244</v>
      </c>
      <c r="N1269" s="208">
        <v>-150</v>
      </c>
      <c r="O1269" s="208">
        <v>350</v>
      </c>
      <c r="P1269" s="208">
        <v>-122.7</v>
      </c>
      <c r="Q1269" s="208">
        <v>131.94</v>
      </c>
    </row>
    <row r="1270" spans="1:17">
      <c r="A1270" s="218">
        <v>44196</v>
      </c>
      <c r="B1270" s="208" t="s">
        <v>43</v>
      </c>
      <c r="C1270" s="208" t="s">
        <v>8</v>
      </c>
      <c r="D1270" s="208">
        <v>2020</v>
      </c>
      <c r="E1270" s="208" t="s">
        <v>156</v>
      </c>
      <c r="F1270" s="208" t="s">
        <v>151</v>
      </c>
      <c r="G1270" s="208" t="s">
        <v>243</v>
      </c>
      <c r="H1270" s="208">
        <v>1565</v>
      </c>
      <c r="I1270" s="208">
        <v>42784.150000000031</v>
      </c>
      <c r="J1270" s="208">
        <v>24776.039999999906</v>
      </c>
      <c r="K1270" s="208">
        <v>0</v>
      </c>
      <c r="L1270" s="208">
        <v>15263.959999999977</v>
      </c>
      <c r="M1270" s="208" t="s">
        <v>244</v>
      </c>
      <c r="N1270" s="208">
        <v>-150</v>
      </c>
      <c r="O1270" s="208">
        <v>350</v>
      </c>
      <c r="P1270" s="208">
        <v>-122.7</v>
      </c>
      <c r="Q1270" s="208">
        <v>131.94</v>
      </c>
    </row>
    <row r="1271" spans="1:17">
      <c r="A1271" s="218">
        <v>44196</v>
      </c>
      <c r="B1271" s="208" t="s">
        <v>268</v>
      </c>
      <c r="C1271" s="208" t="s">
        <v>8</v>
      </c>
      <c r="D1271" s="208">
        <v>2020</v>
      </c>
      <c r="E1271" s="208" t="s">
        <v>156</v>
      </c>
      <c r="F1271" s="208" t="s">
        <v>151</v>
      </c>
      <c r="G1271" s="208" t="s">
        <v>243</v>
      </c>
      <c r="H1271" s="208">
        <v>2282</v>
      </c>
      <c r="I1271" s="208">
        <v>77254.559999999896</v>
      </c>
      <c r="J1271" s="208">
        <v>37284.559999999765</v>
      </c>
      <c r="K1271" s="208">
        <v>0</v>
      </c>
      <c r="L1271" s="208">
        <v>31790.250000000276</v>
      </c>
      <c r="M1271" s="208" t="s">
        <v>244</v>
      </c>
      <c r="N1271" s="208">
        <v>-150</v>
      </c>
      <c r="O1271" s="208">
        <v>350</v>
      </c>
      <c r="P1271" s="208">
        <v>-122.7</v>
      </c>
      <c r="Q1271" s="208">
        <v>131.94</v>
      </c>
    </row>
    <row r="1272" spans="1:17">
      <c r="A1272" s="218">
        <v>44196</v>
      </c>
      <c r="B1272" s="208" t="s">
        <v>274</v>
      </c>
      <c r="C1272" s="208" t="s">
        <v>8</v>
      </c>
      <c r="D1272" s="208">
        <v>2019</v>
      </c>
      <c r="E1272" s="208" t="s">
        <v>156</v>
      </c>
      <c r="F1272" s="208" t="s">
        <v>151</v>
      </c>
      <c r="G1272" s="208" t="s">
        <v>243</v>
      </c>
      <c r="H1272" s="208">
        <v>2</v>
      </c>
      <c r="I1272" s="208">
        <v>48</v>
      </c>
      <c r="J1272" s="208">
        <v>43.2</v>
      </c>
      <c r="K1272" s="208">
        <v>0</v>
      </c>
      <c r="L1272" s="208">
        <v>4.8</v>
      </c>
      <c r="M1272" s="208" t="s">
        <v>244</v>
      </c>
      <c r="N1272" s="208">
        <v>-150</v>
      </c>
      <c r="O1272" s="208">
        <v>5287.65</v>
      </c>
      <c r="P1272" s="208">
        <v>-74.239999999999995</v>
      </c>
      <c r="Q1272" s="208">
        <v>287.64999999999998</v>
      </c>
    </row>
    <row r="1273" spans="1:17">
      <c r="A1273" s="218">
        <v>44196</v>
      </c>
      <c r="B1273" s="208" t="s">
        <v>42</v>
      </c>
      <c r="C1273" s="208" t="s">
        <v>8</v>
      </c>
      <c r="D1273" s="208">
        <v>2019</v>
      </c>
      <c r="E1273" s="208" t="s">
        <v>156</v>
      </c>
      <c r="F1273" s="208" t="s">
        <v>151</v>
      </c>
      <c r="G1273" s="208" t="s">
        <v>243</v>
      </c>
      <c r="H1273" s="208">
        <v>12</v>
      </c>
      <c r="I1273" s="208">
        <v>361</v>
      </c>
      <c r="J1273" s="208">
        <v>198.63</v>
      </c>
      <c r="K1273" s="208">
        <v>0</v>
      </c>
      <c r="L1273" s="208">
        <v>81.77</v>
      </c>
      <c r="M1273" s="208" t="s">
        <v>244</v>
      </c>
      <c r="N1273" s="208">
        <v>-150</v>
      </c>
      <c r="O1273" s="208">
        <v>5287.65</v>
      </c>
      <c r="P1273" s="208">
        <v>-74.239999999999995</v>
      </c>
      <c r="Q1273" s="208">
        <v>287.64999999999998</v>
      </c>
    </row>
    <row r="1274" spans="1:17">
      <c r="A1274" s="218">
        <v>44196</v>
      </c>
      <c r="B1274" s="208" t="s">
        <v>46</v>
      </c>
      <c r="C1274" s="208" t="s">
        <v>8</v>
      </c>
      <c r="D1274" s="208">
        <v>2019</v>
      </c>
      <c r="E1274" s="208" t="s">
        <v>156</v>
      </c>
      <c r="F1274" s="208" t="s">
        <v>151</v>
      </c>
      <c r="G1274" s="208" t="s">
        <v>243</v>
      </c>
      <c r="H1274" s="208">
        <v>2</v>
      </c>
      <c r="I1274" s="208">
        <v>45</v>
      </c>
      <c r="J1274" s="208">
        <v>36.6</v>
      </c>
      <c r="K1274" s="208">
        <v>0</v>
      </c>
      <c r="L1274" s="208">
        <v>8.4</v>
      </c>
      <c r="M1274" s="208" t="s">
        <v>244</v>
      </c>
      <c r="N1274" s="208">
        <v>-150</v>
      </c>
      <c r="O1274" s="208">
        <v>5287.65</v>
      </c>
      <c r="P1274" s="208">
        <v>-74.239999999999995</v>
      </c>
      <c r="Q1274" s="208">
        <v>287.64999999999998</v>
      </c>
    </row>
    <row r="1275" spans="1:17">
      <c r="A1275" s="218">
        <v>44196</v>
      </c>
      <c r="B1275" s="208" t="s">
        <v>31</v>
      </c>
      <c r="C1275" s="208" t="s">
        <v>8</v>
      </c>
      <c r="D1275" s="208">
        <v>2019</v>
      </c>
      <c r="E1275" s="208" t="s">
        <v>156</v>
      </c>
      <c r="F1275" s="208" t="s">
        <v>151</v>
      </c>
      <c r="G1275" s="208" t="s">
        <v>243</v>
      </c>
      <c r="H1275" s="208">
        <v>13097</v>
      </c>
      <c r="I1275" s="208">
        <v>268730.53000000288</v>
      </c>
      <c r="J1275" s="208">
        <v>144765.04000000207</v>
      </c>
      <c r="K1275" s="208">
        <v>8798.7400000000125</v>
      </c>
      <c r="L1275" s="208">
        <v>74116.899999999107</v>
      </c>
      <c r="M1275" s="208" t="s">
        <v>244</v>
      </c>
      <c r="N1275" s="208">
        <v>-150</v>
      </c>
      <c r="O1275" s="208">
        <v>5287.65</v>
      </c>
      <c r="P1275" s="208">
        <v>-74.239999999999995</v>
      </c>
      <c r="Q1275" s="208">
        <v>287.64999999999998</v>
      </c>
    </row>
    <row r="1276" spans="1:17">
      <c r="A1276" s="218">
        <v>44196</v>
      </c>
      <c r="B1276" s="208" t="s">
        <v>45</v>
      </c>
      <c r="C1276" s="208" t="s">
        <v>8</v>
      </c>
      <c r="D1276" s="208">
        <v>2019</v>
      </c>
      <c r="E1276" s="208" t="s">
        <v>156</v>
      </c>
      <c r="F1276" s="208" t="s">
        <v>151</v>
      </c>
      <c r="G1276" s="208" t="s">
        <v>243</v>
      </c>
      <c r="H1276" s="208">
        <v>1574</v>
      </c>
      <c r="I1276" s="208">
        <v>43744.799999999988</v>
      </c>
      <c r="J1276" s="208">
        <v>24893.239999999918</v>
      </c>
      <c r="K1276" s="208">
        <v>0</v>
      </c>
      <c r="L1276" s="208">
        <v>16735.46999999999</v>
      </c>
      <c r="M1276" s="208" t="s">
        <v>244</v>
      </c>
      <c r="N1276" s="208">
        <v>-150</v>
      </c>
      <c r="O1276" s="208">
        <v>5287.65</v>
      </c>
      <c r="P1276" s="208">
        <v>-74.239999999999995</v>
      </c>
      <c r="Q1276" s="208">
        <v>287.64999999999998</v>
      </c>
    </row>
    <row r="1277" spans="1:17">
      <c r="A1277" s="218">
        <v>44196</v>
      </c>
      <c r="B1277" s="208" t="s">
        <v>260</v>
      </c>
      <c r="C1277" s="208" t="s">
        <v>8</v>
      </c>
      <c r="D1277" s="208">
        <v>2020</v>
      </c>
      <c r="E1277" s="208" t="s">
        <v>156</v>
      </c>
      <c r="F1277" s="208" t="s">
        <v>151</v>
      </c>
      <c r="G1277" s="208" t="s">
        <v>243</v>
      </c>
      <c r="H1277" s="208">
        <v>18063</v>
      </c>
      <c r="I1277" s="208">
        <v>366819.09999999224</v>
      </c>
      <c r="J1277" s="208">
        <v>209488.770000002</v>
      </c>
      <c r="K1277" s="208">
        <v>588.59999999999991</v>
      </c>
      <c r="L1277" s="208">
        <v>138433.03999999285</v>
      </c>
      <c r="M1277" s="208" t="s">
        <v>244</v>
      </c>
      <c r="N1277" s="208">
        <v>-150</v>
      </c>
      <c r="O1277" s="208">
        <v>350</v>
      </c>
      <c r="P1277" s="208">
        <v>-122.7</v>
      </c>
      <c r="Q1277" s="208">
        <v>131.94</v>
      </c>
    </row>
    <row r="1278" spans="1:17">
      <c r="A1278" s="218">
        <v>44196</v>
      </c>
      <c r="B1278" s="208" t="s">
        <v>259</v>
      </c>
      <c r="C1278" s="208" t="s">
        <v>8</v>
      </c>
      <c r="D1278" s="208">
        <v>2020</v>
      </c>
      <c r="E1278" s="208" t="s">
        <v>156</v>
      </c>
      <c r="F1278" s="208" t="s">
        <v>151</v>
      </c>
      <c r="G1278" s="208" t="s">
        <v>243</v>
      </c>
      <c r="H1278" s="208">
        <v>6636</v>
      </c>
      <c r="I1278" s="208">
        <v>141765.23000000074</v>
      </c>
      <c r="J1278" s="208">
        <v>81027.489999999234</v>
      </c>
      <c r="K1278" s="208">
        <v>250.70000000000002</v>
      </c>
      <c r="L1278" s="208">
        <v>53685.110000000677</v>
      </c>
      <c r="M1278" s="208" t="s">
        <v>244</v>
      </c>
      <c r="N1278" s="208">
        <v>-150</v>
      </c>
      <c r="O1278" s="208">
        <v>350</v>
      </c>
      <c r="P1278" s="208">
        <v>-122.7</v>
      </c>
      <c r="Q1278" s="208">
        <v>131.94</v>
      </c>
    </row>
    <row r="1279" spans="1:17">
      <c r="A1279" s="218">
        <v>44196</v>
      </c>
      <c r="B1279" s="208" t="s">
        <v>42</v>
      </c>
      <c r="C1279" s="208" t="s">
        <v>8</v>
      </c>
      <c r="D1279" s="208">
        <v>2020</v>
      </c>
      <c r="E1279" s="208" t="s">
        <v>156</v>
      </c>
      <c r="F1279" s="208" t="s">
        <v>151</v>
      </c>
      <c r="G1279" s="208" t="s">
        <v>243</v>
      </c>
      <c r="H1279" s="208">
        <v>34</v>
      </c>
      <c r="I1279" s="208">
        <v>738.7</v>
      </c>
      <c r="J1279" s="208">
        <v>616.54999999999995</v>
      </c>
      <c r="K1279" s="208">
        <v>0</v>
      </c>
      <c r="L1279" s="208">
        <v>122.15</v>
      </c>
      <c r="M1279" s="208" t="s">
        <v>244</v>
      </c>
      <c r="N1279" s="208">
        <v>-150</v>
      </c>
      <c r="O1279" s="208">
        <v>350</v>
      </c>
      <c r="P1279" s="208">
        <v>-122.7</v>
      </c>
      <c r="Q1279" s="208">
        <v>131.94</v>
      </c>
    </row>
    <row r="1280" spans="1:17">
      <c r="A1280" s="218">
        <v>44196</v>
      </c>
      <c r="B1280" s="208" t="s">
        <v>39</v>
      </c>
      <c r="C1280" s="208" t="s">
        <v>8</v>
      </c>
      <c r="D1280" s="208">
        <v>2019</v>
      </c>
      <c r="E1280" s="208" t="s">
        <v>156</v>
      </c>
      <c r="F1280" s="208" t="s">
        <v>151</v>
      </c>
      <c r="G1280" s="208" t="s">
        <v>243</v>
      </c>
      <c r="H1280" s="208">
        <v>233</v>
      </c>
      <c r="I1280" s="208">
        <v>5100.9000000000005</v>
      </c>
      <c r="J1280" s="208">
        <v>3112.5299999999984</v>
      </c>
      <c r="K1280" s="208">
        <v>0</v>
      </c>
      <c r="L1280" s="208">
        <v>1369.8600000000006</v>
      </c>
      <c r="M1280" s="208" t="s">
        <v>244</v>
      </c>
      <c r="N1280" s="208">
        <v>-150</v>
      </c>
      <c r="O1280" s="208">
        <v>5287.65</v>
      </c>
      <c r="P1280" s="208">
        <v>-74.239999999999995</v>
      </c>
      <c r="Q1280" s="208">
        <v>287.64999999999998</v>
      </c>
    </row>
    <row r="1281" spans="1:17">
      <c r="A1281" s="218">
        <v>44196</v>
      </c>
      <c r="B1281" s="208" t="s">
        <v>265</v>
      </c>
      <c r="C1281" s="208" t="s">
        <v>8</v>
      </c>
      <c r="D1281" s="208">
        <v>2020</v>
      </c>
      <c r="E1281" s="208" t="s">
        <v>156</v>
      </c>
      <c r="F1281" s="208" t="s">
        <v>151</v>
      </c>
      <c r="G1281" s="208" t="s">
        <v>243</v>
      </c>
      <c r="H1281" s="208">
        <v>25</v>
      </c>
      <c r="I1281" s="208">
        <v>710.30000000000007</v>
      </c>
      <c r="J1281" s="208">
        <v>553.16999999999996</v>
      </c>
      <c r="K1281" s="208">
        <v>0</v>
      </c>
      <c r="L1281" s="208">
        <v>153.13</v>
      </c>
      <c r="M1281" s="208" t="s">
        <v>244</v>
      </c>
      <c r="N1281" s="208">
        <v>-150</v>
      </c>
      <c r="O1281" s="208">
        <v>350</v>
      </c>
      <c r="P1281" s="208">
        <v>-122.7</v>
      </c>
      <c r="Q1281" s="208">
        <v>131.94</v>
      </c>
    </row>
    <row r="1282" spans="1:17">
      <c r="A1282" s="218">
        <v>44196</v>
      </c>
      <c r="B1282" s="208" t="s">
        <v>46</v>
      </c>
      <c r="C1282" s="208" t="s">
        <v>8</v>
      </c>
      <c r="D1282" s="208">
        <v>2020</v>
      </c>
      <c r="E1282" s="208" t="s">
        <v>156</v>
      </c>
      <c r="F1282" s="208" t="s">
        <v>151</v>
      </c>
      <c r="G1282" s="208" t="s">
        <v>243</v>
      </c>
      <c r="H1282" s="208">
        <v>25</v>
      </c>
      <c r="I1282" s="208">
        <v>710.30000000000007</v>
      </c>
      <c r="J1282" s="208">
        <v>553.17000000000007</v>
      </c>
      <c r="K1282" s="208">
        <v>0</v>
      </c>
      <c r="L1282" s="208">
        <v>153.13</v>
      </c>
      <c r="M1282" s="208" t="s">
        <v>244</v>
      </c>
      <c r="N1282" s="208">
        <v>-150</v>
      </c>
      <c r="O1282" s="208">
        <v>350</v>
      </c>
      <c r="P1282" s="208">
        <v>-122.7</v>
      </c>
      <c r="Q1282" s="208">
        <v>131.94</v>
      </c>
    </row>
    <row r="1283" spans="1:17">
      <c r="A1283" s="218">
        <v>44196</v>
      </c>
      <c r="B1283" s="208" t="s">
        <v>38</v>
      </c>
      <c r="C1283" s="208" t="s">
        <v>8</v>
      </c>
      <c r="D1283" s="208">
        <v>2020</v>
      </c>
      <c r="E1283" s="208" t="s">
        <v>156</v>
      </c>
      <c r="F1283" s="208" t="s">
        <v>151</v>
      </c>
      <c r="G1283" s="208" t="s">
        <v>243</v>
      </c>
      <c r="H1283" s="208">
        <v>2</v>
      </c>
      <c r="I1283" s="208">
        <v>50</v>
      </c>
      <c r="J1283" s="208">
        <v>35</v>
      </c>
      <c r="K1283" s="208">
        <v>0</v>
      </c>
      <c r="L1283" s="208">
        <v>15</v>
      </c>
      <c r="M1283" s="208" t="s">
        <v>244</v>
      </c>
      <c r="N1283" s="208">
        <v>-150</v>
      </c>
      <c r="O1283" s="208">
        <v>350</v>
      </c>
      <c r="P1283" s="208">
        <v>-122.7</v>
      </c>
      <c r="Q1283" s="208">
        <v>131.94</v>
      </c>
    </row>
    <row r="1284" spans="1:17">
      <c r="A1284" s="218">
        <v>44196</v>
      </c>
      <c r="B1284" s="208" t="s">
        <v>43</v>
      </c>
      <c r="C1284" s="208" t="s">
        <v>8</v>
      </c>
      <c r="D1284" s="208">
        <v>2019</v>
      </c>
      <c r="E1284" s="208" t="s">
        <v>156</v>
      </c>
      <c r="F1284" s="208" t="s">
        <v>151</v>
      </c>
      <c r="G1284" s="208" t="s">
        <v>243</v>
      </c>
      <c r="H1284" s="208">
        <v>1817</v>
      </c>
      <c r="I1284" s="208">
        <v>46183.640000000007</v>
      </c>
      <c r="J1284" s="208">
        <v>28146.849999999948</v>
      </c>
      <c r="K1284" s="208">
        <v>0</v>
      </c>
      <c r="L1284" s="208">
        <v>15454.099999999993</v>
      </c>
      <c r="M1284" s="208" t="s">
        <v>244</v>
      </c>
      <c r="N1284" s="208">
        <v>-150</v>
      </c>
      <c r="O1284" s="208">
        <v>5287.65</v>
      </c>
      <c r="P1284" s="208">
        <v>-74.239999999999995</v>
      </c>
      <c r="Q1284" s="208">
        <v>287.64999999999998</v>
      </c>
    </row>
    <row r="1285" spans="1:17">
      <c r="A1285" s="218">
        <v>44196</v>
      </c>
      <c r="B1285" s="208" t="s">
        <v>269</v>
      </c>
      <c r="C1285" s="208" t="s">
        <v>8</v>
      </c>
      <c r="D1285" s="208">
        <v>2020</v>
      </c>
      <c r="E1285" s="208" t="s">
        <v>156</v>
      </c>
      <c r="F1285" s="208" t="s">
        <v>151</v>
      </c>
      <c r="G1285" s="208" t="s">
        <v>243</v>
      </c>
      <c r="H1285" s="208">
        <v>1612</v>
      </c>
      <c r="I1285" s="208">
        <v>42807.699999999983</v>
      </c>
      <c r="J1285" s="208">
        <v>25908.069999999916</v>
      </c>
      <c r="K1285" s="208">
        <v>0</v>
      </c>
      <c r="L1285" s="208">
        <v>11781.529999999973</v>
      </c>
      <c r="M1285" s="208" t="s">
        <v>244</v>
      </c>
      <c r="N1285" s="208">
        <v>-150</v>
      </c>
      <c r="O1285" s="208">
        <v>350</v>
      </c>
      <c r="P1285" s="208">
        <v>-122.7</v>
      </c>
      <c r="Q1285" s="208">
        <v>131.94</v>
      </c>
    </row>
    <row r="1286" spans="1:17">
      <c r="A1286" s="218">
        <v>44196</v>
      </c>
      <c r="B1286" s="208" t="s">
        <v>33</v>
      </c>
      <c r="C1286" s="208" t="s">
        <v>8</v>
      </c>
      <c r="D1286" s="208">
        <v>2019</v>
      </c>
      <c r="E1286" s="208" t="s">
        <v>156</v>
      </c>
      <c r="F1286" s="208" t="s">
        <v>151</v>
      </c>
      <c r="G1286" s="208" t="s">
        <v>243</v>
      </c>
      <c r="H1286" s="208">
        <v>1654</v>
      </c>
      <c r="I1286" s="208">
        <v>75739.370000000054</v>
      </c>
      <c r="J1286" s="208">
        <v>26556.049999999803</v>
      </c>
      <c r="K1286" s="208">
        <v>0</v>
      </c>
      <c r="L1286" s="208">
        <v>27184.990000000154</v>
      </c>
      <c r="M1286" s="208" t="s">
        <v>244</v>
      </c>
      <c r="N1286" s="208">
        <v>-150</v>
      </c>
      <c r="O1286" s="208">
        <v>5287.65</v>
      </c>
      <c r="P1286" s="208">
        <v>-74.239999999999995</v>
      </c>
      <c r="Q1286" s="208">
        <v>287.64999999999998</v>
      </c>
    </row>
    <row r="1287" spans="1:17">
      <c r="A1287" s="218">
        <v>44196</v>
      </c>
      <c r="B1287" s="208" t="s">
        <v>47</v>
      </c>
      <c r="C1287" s="208" t="s">
        <v>8</v>
      </c>
      <c r="D1287" s="208">
        <v>2020</v>
      </c>
      <c r="E1287" s="208" t="s">
        <v>156</v>
      </c>
      <c r="F1287" s="208" t="s">
        <v>151</v>
      </c>
      <c r="G1287" s="208" t="s">
        <v>243</v>
      </c>
      <c r="H1287" s="208">
        <v>2282</v>
      </c>
      <c r="I1287" s="208">
        <v>77254.559999999808</v>
      </c>
      <c r="J1287" s="208">
        <v>37284.559999999787</v>
      </c>
      <c r="K1287" s="208">
        <v>0</v>
      </c>
      <c r="L1287" s="208">
        <v>31790.250000000287</v>
      </c>
      <c r="M1287" s="208" t="s">
        <v>244</v>
      </c>
      <c r="N1287" s="208">
        <v>-150</v>
      </c>
      <c r="O1287" s="208">
        <v>350</v>
      </c>
      <c r="P1287" s="208">
        <v>-122.7</v>
      </c>
      <c r="Q1287" s="208">
        <v>131.94</v>
      </c>
    </row>
    <row r="1288" spans="1:17">
      <c r="A1288" s="218">
        <v>44196</v>
      </c>
      <c r="B1288" s="208" t="s">
        <v>47</v>
      </c>
      <c r="C1288" s="208" t="s">
        <v>8</v>
      </c>
      <c r="D1288" s="208">
        <v>2019</v>
      </c>
      <c r="E1288" s="208" t="s">
        <v>156</v>
      </c>
      <c r="F1288" s="208" t="s">
        <v>151</v>
      </c>
      <c r="G1288" s="208" t="s">
        <v>243</v>
      </c>
      <c r="H1288" s="208">
        <v>1568</v>
      </c>
      <c r="I1288" s="208">
        <v>46572.999999999971</v>
      </c>
      <c r="J1288" s="208">
        <v>24122.089999999866</v>
      </c>
      <c r="K1288" s="208">
        <v>0</v>
      </c>
      <c r="L1288" s="208">
        <v>18073.060000000009</v>
      </c>
      <c r="M1288" s="208" t="s">
        <v>244</v>
      </c>
      <c r="N1288" s="208">
        <v>-150</v>
      </c>
      <c r="O1288" s="208">
        <v>5287.65</v>
      </c>
      <c r="P1288" s="208">
        <v>-74.239999999999995</v>
      </c>
      <c r="Q1288" s="208">
        <v>287.64999999999998</v>
      </c>
    </row>
    <row r="1289" spans="1:17">
      <c r="A1289" s="218">
        <v>44196</v>
      </c>
      <c r="B1289" s="208" t="s">
        <v>44</v>
      </c>
      <c r="C1289" s="208" t="s">
        <v>8</v>
      </c>
      <c r="D1289" s="208">
        <v>2019</v>
      </c>
      <c r="E1289" s="208" t="s">
        <v>156</v>
      </c>
      <c r="F1289" s="208" t="s">
        <v>151</v>
      </c>
      <c r="G1289" s="208" t="s">
        <v>243</v>
      </c>
      <c r="H1289" s="208">
        <v>4</v>
      </c>
      <c r="I1289" s="208">
        <v>100</v>
      </c>
      <c r="J1289" s="208">
        <v>90</v>
      </c>
      <c r="K1289" s="208">
        <v>0</v>
      </c>
      <c r="L1289" s="208">
        <v>10</v>
      </c>
      <c r="M1289" s="208" t="s">
        <v>244</v>
      </c>
      <c r="N1289" s="208">
        <v>-150</v>
      </c>
      <c r="O1289" s="208">
        <v>5287.65</v>
      </c>
      <c r="P1289" s="208">
        <v>-74.239999999999995</v>
      </c>
      <c r="Q1289" s="208">
        <v>287.64999999999998</v>
      </c>
    </row>
    <row r="1290" spans="1:17">
      <c r="A1290" s="218">
        <v>44196</v>
      </c>
      <c r="B1290" s="208" t="s">
        <v>271</v>
      </c>
      <c r="C1290" s="208" t="s">
        <v>8</v>
      </c>
      <c r="D1290" s="208">
        <v>2019</v>
      </c>
      <c r="E1290" s="208" t="s">
        <v>156</v>
      </c>
      <c r="F1290" s="208" t="s">
        <v>151</v>
      </c>
      <c r="G1290" s="208" t="s">
        <v>243</v>
      </c>
      <c r="H1290" s="208">
        <v>4</v>
      </c>
      <c r="I1290" s="208">
        <v>153</v>
      </c>
      <c r="J1290" s="208">
        <v>71.849999999999994</v>
      </c>
      <c r="K1290" s="208">
        <v>0</v>
      </c>
      <c r="L1290" s="208">
        <v>18.25</v>
      </c>
      <c r="M1290" s="208" t="s">
        <v>244</v>
      </c>
      <c r="N1290" s="208">
        <v>-150</v>
      </c>
      <c r="O1290" s="208">
        <v>5287.65</v>
      </c>
      <c r="P1290" s="208">
        <v>-74.239999999999995</v>
      </c>
      <c r="Q1290" s="208">
        <v>287.64999999999998</v>
      </c>
    </row>
    <row r="1291" spans="1:17">
      <c r="A1291" s="218">
        <v>44196</v>
      </c>
      <c r="B1291" s="208" t="s">
        <v>48</v>
      </c>
      <c r="C1291" s="208" t="s">
        <v>8</v>
      </c>
      <c r="D1291" s="208">
        <v>2020</v>
      </c>
      <c r="E1291" s="208" t="s">
        <v>156</v>
      </c>
      <c r="F1291" s="208" t="s">
        <v>151</v>
      </c>
      <c r="G1291" s="208" t="s">
        <v>243</v>
      </c>
      <c r="H1291" s="208">
        <v>142</v>
      </c>
      <c r="I1291" s="208">
        <v>3798.96</v>
      </c>
      <c r="J1291" s="208">
        <v>1883.5099999999995</v>
      </c>
      <c r="K1291" s="208">
        <v>0</v>
      </c>
      <c r="L1291" s="208">
        <v>1123.2300000000002</v>
      </c>
      <c r="M1291" s="208" t="s">
        <v>244</v>
      </c>
      <c r="N1291" s="208">
        <v>-150</v>
      </c>
      <c r="O1291" s="208">
        <v>350</v>
      </c>
      <c r="P1291" s="208">
        <v>-122.7</v>
      </c>
      <c r="Q1291" s="208">
        <v>131.94</v>
      </c>
    </row>
    <row r="1292" spans="1:17">
      <c r="A1292" s="218">
        <v>44196</v>
      </c>
      <c r="B1292" s="208" t="s">
        <v>225</v>
      </c>
      <c r="C1292" s="208" t="s">
        <v>8</v>
      </c>
      <c r="D1292" s="208">
        <v>2019</v>
      </c>
      <c r="E1292" s="208" t="s">
        <v>181</v>
      </c>
      <c r="F1292" s="208" t="s">
        <v>151</v>
      </c>
      <c r="G1292" s="208" t="s">
        <v>243</v>
      </c>
      <c r="H1292" s="208">
        <v>1</v>
      </c>
      <c r="I1292" s="208">
        <v>160.41</v>
      </c>
      <c r="J1292" s="208">
        <v>128.33000000000001</v>
      </c>
      <c r="K1292" s="208">
        <v>0</v>
      </c>
      <c r="L1292" s="208">
        <v>32.08</v>
      </c>
      <c r="M1292" s="208" t="s">
        <v>244</v>
      </c>
      <c r="N1292" s="208">
        <v>160.41</v>
      </c>
      <c r="O1292" s="208">
        <v>160.41</v>
      </c>
      <c r="P1292" s="208">
        <v>32.08</v>
      </c>
      <c r="Q1292" s="208">
        <v>32.08</v>
      </c>
    </row>
    <row r="1293" spans="1:17">
      <c r="A1293" s="218">
        <v>44196</v>
      </c>
      <c r="B1293" s="208" t="s">
        <v>37</v>
      </c>
      <c r="C1293" s="208" t="s">
        <v>8</v>
      </c>
      <c r="D1293" s="208">
        <v>2019</v>
      </c>
      <c r="E1293" s="208" t="s">
        <v>181</v>
      </c>
      <c r="F1293" s="208" t="s">
        <v>151</v>
      </c>
      <c r="G1293" s="208" t="s">
        <v>243</v>
      </c>
      <c r="H1293" s="208">
        <v>1</v>
      </c>
      <c r="I1293" s="208">
        <v>160.41</v>
      </c>
      <c r="J1293" s="208">
        <v>128.33000000000001</v>
      </c>
      <c r="K1293" s="208">
        <v>0</v>
      </c>
      <c r="L1293" s="208">
        <v>32.08</v>
      </c>
      <c r="M1293" s="208" t="s">
        <v>244</v>
      </c>
      <c r="N1293" s="208">
        <v>160.41</v>
      </c>
      <c r="O1293" s="208">
        <v>160.41</v>
      </c>
      <c r="P1293" s="208">
        <v>32.08</v>
      </c>
      <c r="Q1293" s="208">
        <v>32.08</v>
      </c>
    </row>
    <row r="1294" spans="1:17">
      <c r="A1294" s="218">
        <v>44196</v>
      </c>
      <c r="B1294" s="208" t="s">
        <v>45</v>
      </c>
      <c r="C1294" s="208" t="s">
        <v>8</v>
      </c>
      <c r="D1294" s="208">
        <v>2020</v>
      </c>
      <c r="E1294" s="208" t="s">
        <v>157</v>
      </c>
      <c r="F1294" s="208" t="s">
        <v>151</v>
      </c>
      <c r="G1294" s="208" t="s">
        <v>243</v>
      </c>
      <c r="H1294" s="208">
        <v>4</v>
      </c>
      <c r="I1294" s="208">
        <v>5205</v>
      </c>
      <c r="J1294" s="208">
        <v>1822.7</v>
      </c>
      <c r="K1294" s="208">
        <v>0</v>
      </c>
      <c r="L1294" s="208">
        <v>1920.35</v>
      </c>
      <c r="M1294" s="208" t="s">
        <v>244</v>
      </c>
      <c r="N1294" s="208">
        <v>15</v>
      </c>
      <c r="O1294" s="208">
        <v>1750</v>
      </c>
      <c r="P1294" s="208">
        <v>10.35</v>
      </c>
      <c r="Q1294" s="208">
        <v>1400</v>
      </c>
    </row>
    <row r="1295" spans="1:17">
      <c r="A1295" s="218">
        <v>44196</v>
      </c>
      <c r="B1295" s="208" t="s">
        <v>264</v>
      </c>
      <c r="C1295" s="208" t="s">
        <v>8</v>
      </c>
      <c r="D1295" s="208">
        <v>2019</v>
      </c>
      <c r="E1295" s="208" t="s">
        <v>157</v>
      </c>
      <c r="F1295" s="208" t="s">
        <v>151</v>
      </c>
      <c r="G1295" s="208" t="s">
        <v>243</v>
      </c>
      <c r="H1295" s="208">
        <v>4</v>
      </c>
      <c r="I1295" s="208">
        <v>5360</v>
      </c>
      <c r="J1295" s="208">
        <v>720</v>
      </c>
      <c r="K1295" s="208">
        <v>0</v>
      </c>
      <c r="L1295" s="208">
        <v>1680</v>
      </c>
      <c r="M1295" s="208" t="s">
        <v>244</v>
      </c>
      <c r="N1295" s="208">
        <v>1340</v>
      </c>
      <c r="O1295" s="208">
        <v>1340</v>
      </c>
      <c r="P1295" s="208">
        <v>240</v>
      </c>
      <c r="Q1295" s="208">
        <v>600</v>
      </c>
    </row>
    <row r="1296" spans="1:17">
      <c r="A1296" s="218">
        <v>44196</v>
      </c>
      <c r="B1296" s="208" t="s">
        <v>41</v>
      </c>
      <c r="C1296" s="208" t="s">
        <v>8</v>
      </c>
      <c r="D1296" s="208">
        <v>2019</v>
      </c>
      <c r="E1296" s="208" t="s">
        <v>157</v>
      </c>
      <c r="F1296" s="208" t="s">
        <v>151</v>
      </c>
      <c r="G1296" s="208" t="s">
        <v>243</v>
      </c>
      <c r="H1296" s="208">
        <v>4</v>
      </c>
      <c r="I1296" s="208">
        <v>5360</v>
      </c>
      <c r="J1296" s="208">
        <v>720</v>
      </c>
      <c r="K1296" s="208">
        <v>0</v>
      </c>
      <c r="L1296" s="208">
        <v>1680</v>
      </c>
      <c r="M1296" s="208" t="s">
        <v>244</v>
      </c>
      <c r="N1296" s="208">
        <v>1340</v>
      </c>
      <c r="O1296" s="208">
        <v>1340</v>
      </c>
      <c r="P1296" s="208">
        <v>240</v>
      </c>
      <c r="Q1296" s="208">
        <v>600</v>
      </c>
    </row>
    <row r="1297" spans="1:17">
      <c r="A1297" s="218">
        <v>44196</v>
      </c>
      <c r="B1297" s="208" t="s">
        <v>267</v>
      </c>
      <c r="C1297" s="208" t="s">
        <v>8</v>
      </c>
      <c r="D1297" s="208">
        <v>2020</v>
      </c>
      <c r="E1297" s="208" t="s">
        <v>157</v>
      </c>
      <c r="F1297" s="208" t="s">
        <v>151</v>
      </c>
      <c r="G1297" s="208" t="s">
        <v>243</v>
      </c>
      <c r="H1297" s="208">
        <v>4</v>
      </c>
      <c r="I1297" s="208">
        <v>5205</v>
      </c>
      <c r="J1297" s="208">
        <v>1822.7</v>
      </c>
      <c r="K1297" s="208">
        <v>0</v>
      </c>
      <c r="L1297" s="208">
        <v>1920.35</v>
      </c>
      <c r="M1297" s="208" t="s">
        <v>244</v>
      </c>
      <c r="N1297" s="208">
        <v>15</v>
      </c>
      <c r="O1297" s="208">
        <v>1750</v>
      </c>
      <c r="P1297" s="208">
        <v>10.35</v>
      </c>
      <c r="Q1297" s="208">
        <v>1400</v>
      </c>
    </row>
    <row r="1298" spans="1:17">
      <c r="A1298" s="218">
        <v>44196</v>
      </c>
      <c r="B1298" s="208" t="s">
        <v>39</v>
      </c>
      <c r="C1298" s="208" t="s">
        <v>8</v>
      </c>
      <c r="D1298" s="208">
        <v>2020</v>
      </c>
      <c r="E1298" s="208" t="s">
        <v>157</v>
      </c>
      <c r="F1298" s="208" t="s">
        <v>151</v>
      </c>
      <c r="G1298" s="208" t="s">
        <v>243</v>
      </c>
      <c r="H1298" s="208">
        <v>2</v>
      </c>
      <c r="I1298" s="208">
        <v>700</v>
      </c>
      <c r="J1298" s="208">
        <v>420</v>
      </c>
      <c r="K1298" s="208">
        <v>0</v>
      </c>
      <c r="L1298" s="208">
        <v>280</v>
      </c>
      <c r="M1298" s="208" t="s">
        <v>244</v>
      </c>
      <c r="N1298" s="208">
        <v>15</v>
      </c>
      <c r="O1298" s="208">
        <v>1750</v>
      </c>
      <c r="P1298" s="208">
        <v>10.35</v>
      </c>
      <c r="Q1298" s="208">
        <v>1400</v>
      </c>
    </row>
    <row r="1299" spans="1:17">
      <c r="A1299" s="218">
        <v>44196</v>
      </c>
      <c r="B1299" s="208" t="s">
        <v>33</v>
      </c>
      <c r="C1299" s="208" t="s">
        <v>8</v>
      </c>
      <c r="D1299" s="208">
        <v>2020</v>
      </c>
      <c r="E1299" s="208" t="s">
        <v>157</v>
      </c>
      <c r="F1299" s="208" t="s">
        <v>151</v>
      </c>
      <c r="G1299" s="208" t="s">
        <v>243</v>
      </c>
      <c r="H1299" s="208">
        <v>4</v>
      </c>
      <c r="I1299" s="208">
        <v>7000</v>
      </c>
      <c r="J1299" s="208">
        <v>840</v>
      </c>
      <c r="K1299" s="208">
        <v>0</v>
      </c>
      <c r="L1299" s="208">
        <v>2980</v>
      </c>
      <c r="M1299" s="208" t="s">
        <v>244</v>
      </c>
      <c r="N1299" s="208">
        <v>15</v>
      </c>
      <c r="O1299" s="208">
        <v>1750</v>
      </c>
      <c r="P1299" s="208">
        <v>10.35</v>
      </c>
      <c r="Q1299" s="208">
        <v>1400</v>
      </c>
    </row>
    <row r="1300" spans="1:17">
      <c r="A1300" s="218">
        <v>44196</v>
      </c>
      <c r="B1300" s="208" t="s">
        <v>263</v>
      </c>
      <c r="C1300" s="208" t="s">
        <v>8</v>
      </c>
      <c r="D1300" s="208">
        <v>2020</v>
      </c>
      <c r="E1300" s="208" t="s">
        <v>157</v>
      </c>
      <c r="F1300" s="208" t="s">
        <v>151</v>
      </c>
      <c r="G1300" s="208" t="s">
        <v>243</v>
      </c>
      <c r="H1300" s="208">
        <v>4</v>
      </c>
      <c r="I1300" s="208">
        <v>7000</v>
      </c>
      <c r="J1300" s="208">
        <v>840</v>
      </c>
      <c r="K1300" s="208">
        <v>0</v>
      </c>
      <c r="L1300" s="208">
        <v>2980</v>
      </c>
      <c r="M1300" s="208" t="s">
        <v>244</v>
      </c>
      <c r="N1300" s="208">
        <v>15</v>
      </c>
      <c r="O1300" s="208">
        <v>1750</v>
      </c>
      <c r="P1300" s="208">
        <v>10.35</v>
      </c>
      <c r="Q1300" s="208">
        <v>1400</v>
      </c>
    </row>
    <row r="1301" spans="1:17">
      <c r="A1301" s="218">
        <v>44196</v>
      </c>
      <c r="B1301" s="208" t="s">
        <v>269</v>
      </c>
      <c r="C1301" s="208" t="s">
        <v>8</v>
      </c>
      <c r="D1301" s="208">
        <v>2020</v>
      </c>
      <c r="E1301" s="208" t="s">
        <v>157</v>
      </c>
      <c r="F1301" s="208" t="s">
        <v>151</v>
      </c>
      <c r="G1301" s="208" t="s">
        <v>243</v>
      </c>
      <c r="H1301" s="208">
        <v>2</v>
      </c>
      <c r="I1301" s="208">
        <v>700</v>
      </c>
      <c r="J1301" s="208">
        <v>420</v>
      </c>
      <c r="K1301" s="208">
        <v>0</v>
      </c>
      <c r="L1301" s="208">
        <v>280</v>
      </c>
      <c r="M1301" s="208" t="s">
        <v>244</v>
      </c>
      <c r="N1301" s="208">
        <v>15</v>
      </c>
      <c r="O1301" s="208">
        <v>1750</v>
      </c>
      <c r="P1301" s="208">
        <v>10.35</v>
      </c>
      <c r="Q1301" s="208">
        <v>1400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euil8">
    <tabColor theme="9" tint="0.79998168889431442"/>
  </sheetPr>
  <dimension ref="A1:H651"/>
  <sheetViews>
    <sheetView zoomScale="70" zoomScaleNormal="70" workbookViewId="0">
      <selection sqref="A1:A1048576"/>
    </sheetView>
  </sheetViews>
  <sheetFormatPr baseColWidth="10" defaultColWidth="11.41015625" defaultRowHeight="14.35"/>
  <cols>
    <col min="1" max="1" width="11.5859375" style="218" bestFit="1" customWidth="1"/>
    <col min="2" max="2" width="11.41015625" style="199" bestFit="1" customWidth="1"/>
    <col min="3" max="3" width="10.1171875" style="199" bestFit="1" customWidth="1"/>
    <col min="4" max="4" width="13" style="199" bestFit="1" customWidth="1"/>
    <col min="5" max="5" width="44.87890625" style="199" bestFit="1" customWidth="1"/>
    <col min="6" max="6" width="8.703125" style="199" bestFit="1" customWidth="1"/>
    <col min="7" max="7" width="12.5859375" style="199" bestFit="1" customWidth="1"/>
    <col min="8" max="8" width="20" style="199" bestFit="1" customWidth="1"/>
    <col min="9" max="14" width="11.41015625" style="199" customWidth="1"/>
    <col min="15" max="16384" width="11.41015625" style="199"/>
  </cols>
  <sheetData>
    <row r="1" spans="1:8">
      <c r="A1" s="218" t="s">
        <v>226</v>
      </c>
      <c r="B1" s="199" t="s">
        <v>221</v>
      </c>
      <c r="C1" s="199" t="s">
        <v>222</v>
      </c>
      <c r="D1" s="199" t="s">
        <v>227</v>
      </c>
      <c r="E1" s="199" t="s">
        <v>228</v>
      </c>
      <c r="F1" s="199" t="s">
        <v>229</v>
      </c>
      <c r="G1" s="199" t="s">
        <v>275</v>
      </c>
      <c r="H1" s="199" t="s">
        <v>214</v>
      </c>
    </row>
    <row r="2" spans="1:8">
      <c r="A2" s="218">
        <v>44196</v>
      </c>
      <c r="B2" s="199" t="s">
        <v>37</v>
      </c>
      <c r="C2" s="199" t="s">
        <v>8</v>
      </c>
      <c r="D2" s="199">
        <v>2019</v>
      </c>
      <c r="E2" s="199" t="s">
        <v>86</v>
      </c>
      <c r="F2" s="199" t="s">
        <v>85</v>
      </c>
      <c r="G2" s="199">
        <v>0</v>
      </c>
      <c r="H2" s="199" t="s">
        <v>276</v>
      </c>
    </row>
    <row r="3" spans="1:8">
      <c r="A3" s="218">
        <v>44196</v>
      </c>
      <c r="B3" s="199" t="s">
        <v>36</v>
      </c>
      <c r="C3" s="199" t="s">
        <v>8</v>
      </c>
      <c r="D3" s="199">
        <v>2019</v>
      </c>
      <c r="E3" s="199" t="s">
        <v>86</v>
      </c>
      <c r="F3" s="199" t="s">
        <v>85</v>
      </c>
      <c r="G3" s="223">
        <v>0</v>
      </c>
      <c r="H3" s="199" t="s">
        <v>276</v>
      </c>
    </row>
    <row r="4" spans="1:8">
      <c r="A4" s="218">
        <v>44196</v>
      </c>
      <c r="B4" s="199" t="s">
        <v>29</v>
      </c>
      <c r="C4" s="199" t="s">
        <v>8</v>
      </c>
      <c r="D4" s="199">
        <v>2019</v>
      </c>
      <c r="E4" s="199" t="s">
        <v>86</v>
      </c>
      <c r="F4" s="199" t="s">
        <v>85</v>
      </c>
      <c r="G4" s="223">
        <v>0</v>
      </c>
      <c r="H4" s="199" t="s">
        <v>276</v>
      </c>
    </row>
    <row r="5" spans="1:8">
      <c r="A5" s="218">
        <v>44196</v>
      </c>
      <c r="B5" s="199" t="s">
        <v>31</v>
      </c>
      <c r="C5" s="199" t="s">
        <v>8</v>
      </c>
      <c r="D5" s="199">
        <v>2019</v>
      </c>
      <c r="E5" s="199" t="s">
        <v>86</v>
      </c>
      <c r="F5" s="199" t="s">
        <v>85</v>
      </c>
      <c r="G5" s="223">
        <v>0</v>
      </c>
      <c r="H5" s="199" t="s">
        <v>276</v>
      </c>
    </row>
    <row r="6" spans="1:8">
      <c r="A6" s="218">
        <v>44196</v>
      </c>
      <c r="B6" s="199" t="s">
        <v>31</v>
      </c>
      <c r="C6" s="199" t="s">
        <v>8</v>
      </c>
      <c r="D6" s="199">
        <v>2020</v>
      </c>
      <c r="E6" s="199" t="s">
        <v>86</v>
      </c>
      <c r="F6" s="199" t="s">
        <v>85</v>
      </c>
      <c r="G6" s="223">
        <v>0</v>
      </c>
      <c r="H6" s="199" t="s">
        <v>276</v>
      </c>
    </row>
    <row r="7" spans="1:8">
      <c r="A7" s="218">
        <v>44196</v>
      </c>
      <c r="B7" s="199" t="s">
        <v>29</v>
      </c>
      <c r="C7" s="199" t="s">
        <v>8</v>
      </c>
      <c r="D7" s="199">
        <v>2020</v>
      </c>
      <c r="E7" s="199" t="s">
        <v>86</v>
      </c>
      <c r="F7" s="199" t="s">
        <v>85</v>
      </c>
      <c r="G7" s="223">
        <v>0</v>
      </c>
      <c r="H7" s="199" t="s">
        <v>276</v>
      </c>
    </row>
    <row r="8" spans="1:8">
      <c r="A8" s="218">
        <v>44196</v>
      </c>
      <c r="B8" s="199" t="s">
        <v>37</v>
      </c>
      <c r="C8" s="199" t="s">
        <v>8</v>
      </c>
      <c r="D8" s="199">
        <v>2020</v>
      </c>
      <c r="E8" s="199" t="s">
        <v>86</v>
      </c>
      <c r="F8" s="199" t="s">
        <v>85</v>
      </c>
      <c r="G8" s="223">
        <v>0</v>
      </c>
      <c r="H8" s="199" t="s">
        <v>276</v>
      </c>
    </row>
    <row r="9" spans="1:8">
      <c r="A9" s="218">
        <v>44196</v>
      </c>
      <c r="B9" s="199" t="s">
        <v>36</v>
      </c>
      <c r="C9" s="199" t="s">
        <v>8</v>
      </c>
      <c r="D9" s="199">
        <v>2020</v>
      </c>
      <c r="E9" s="199" t="s">
        <v>86</v>
      </c>
      <c r="F9" s="199" t="s">
        <v>85</v>
      </c>
      <c r="G9" s="223">
        <v>0</v>
      </c>
      <c r="H9" s="199" t="s">
        <v>276</v>
      </c>
    </row>
    <row r="10" spans="1:8">
      <c r="A10" s="218">
        <v>44196</v>
      </c>
      <c r="B10" s="199" t="s">
        <v>35</v>
      </c>
      <c r="C10" s="199" t="s">
        <v>8</v>
      </c>
      <c r="D10" s="199">
        <v>2020</v>
      </c>
      <c r="E10" s="199" t="s">
        <v>86</v>
      </c>
      <c r="F10" s="199" t="s">
        <v>85</v>
      </c>
      <c r="G10" s="223">
        <v>0</v>
      </c>
      <c r="H10" s="199" t="s">
        <v>276</v>
      </c>
    </row>
    <row r="11" spans="1:8">
      <c r="A11" s="218">
        <v>44196</v>
      </c>
      <c r="B11" s="199" t="s">
        <v>35</v>
      </c>
      <c r="C11" s="199" t="s">
        <v>8</v>
      </c>
      <c r="D11" s="199">
        <v>2019</v>
      </c>
      <c r="E11" s="199" t="s">
        <v>86</v>
      </c>
      <c r="F11" s="199" t="s">
        <v>85</v>
      </c>
      <c r="G11" s="223">
        <v>0</v>
      </c>
      <c r="H11" s="199" t="s">
        <v>276</v>
      </c>
    </row>
    <row r="12" spans="1:8">
      <c r="A12" s="218">
        <v>44196</v>
      </c>
      <c r="B12" s="199" t="s">
        <v>37</v>
      </c>
      <c r="C12" s="199" t="s">
        <v>8</v>
      </c>
      <c r="D12" s="199">
        <v>2019</v>
      </c>
      <c r="E12" s="199" t="s">
        <v>172</v>
      </c>
      <c r="F12" s="199" t="s">
        <v>85</v>
      </c>
      <c r="G12" s="223">
        <v>0</v>
      </c>
      <c r="H12" s="199" t="s">
        <v>276</v>
      </c>
    </row>
    <row r="13" spans="1:8">
      <c r="A13" s="218">
        <v>44196</v>
      </c>
      <c r="B13" s="199" t="s">
        <v>29</v>
      </c>
      <c r="C13" s="199" t="s">
        <v>8</v>
      </c>
      <c r="D13" s="199">
        <v>2019</v>
      </c>
      <c r="E13" s="199" t="s">
        <v>87</v>
      </c>
      <c r="F13" s="199" t="s">
        <v>85</v>
      </c>
      <c r="G13" s="223">
        <v>0</v>
      </c>
      <c r="H13" s="199" t="s">
        <v>276</v>
      </c>
    </row>
    <row r="14" spans="1:8">
      <c r="A14" s="218">
        <v>44196</v>
      </c>
      <c r="B14" s="199" t="s">
        <v>37</v>
      </c>
      <c r="C14" s="199" t="s">
        <v>8</v>
      </c>
      <c r="D14" s="199">
        <v>2019</v>
      </c>
      <c r="E14" s="199" t="s">
        <v>87</v>
      </c>
      <c r="F14" s="199" t="s">
        <v>85</v>
      </c>
      <c r="G14" s="223">
        <v>0</v>
      </c>
      <c r="H14" s="199" t="s">
        <v>276</v>
      </c>
    </row>
    <row r="15" spans="1:8">
      <c r="A15" s="218">
        <v>44196</v>
      </c>
      <c r="B15" s="199" t="s">
        <v>31</v>
      </c>
      <c r="C15" s="199" t="s">
        <v>8</v>
      </c>
      <c r="D15" s="199">
        <v>2019</v>
      </c>
      <c r="E15" s="199" t="s">
        <v>87</v>
      </c>
      <c r="F15" s="199" t="s">
        <v>85</v>
      </c>
      <c r="G15" s="223">
        <v>0</v>
      </c>
      <c r="H15" s="199" t="s">
        <v>276</v>
      </c>
    </row>
    <row r="16" spans="1:8">
      <c r="A16" s="218">
        <v>44196</v>
      </c>
      <c r="B16" s="199" t="s">
        <v>36</v>
      </c>
      <c r="C16" s="199" t="s">
        <v>8</v>
      </c>
      <c r="D16" s="199">
        <v>2019</v>
      </c>
      <c r="E16" s="199" t="s">
        <v>87</v>
      </c>
      <c r="F16" s="199" t="s">
        <v>85</v>
      </c>
      <c r="G16" s="223">
        <v>0</v>
      </c>
      <c r="H16" s="199" t="s">
        <v>276</v>
      </c>
    </row>
    <row r="17" spans="1:8">
      <c r="A17" s="218">
        <v>44196</v>
      </c>
      <c r="B17" s="199" t="s">
        <v>43</v>
      </c>
      <c r="C17" s="199" t="s">
        <v>8</v>
      </c>
      <c r="D17" s="199">
        <v>2019</v>
      </c>
      <c r="E17" s="199" t="s">
        <v>87</v>
      </c>
      <c r="F17" s="199" t="s">
        <v>85</v>
      </c>
      <c r="G17" s="223">
        <v>0</v>
      </c>
      <c r="H17" s="199" t="s">
        <v>276</v>
      </c>
    </row>
    <row r="18" spans="1:8">
      <c r="A18" s="218">
        <v>44196</v>
      </c>
      <c r="B18" s="199" t="s">
        <v>45</v>
      </c>
      <c r="C18" s="199" t="s">
        <v>8</v>
      </c>
      <c r="D18" s="199">
        <v>2019</v>
      </c>
      <c r="E18" s="199" t="s">
        <v>87</v>
      </c>
      <c r="F18" s="199" t="s">
        <v>85</v>
      </c>
      <c r="G18" s="223">
        <v>0</v>
      </c>
      <c r="H18" s="199" t="s">
        <v>276</v>
      </c>
    </row>
    <row r="19" spans="1:8">
      <c r="A19" s="218">
        <v>44196</v>
      </c>
      <c r="B19" s="199" t="s">
        <v>47</v>
      </c>
      <c r="C19" s="199" t="s">
        <v>8</v>
      </c>
      <c r="D19" s="199">
        <v>2019</v>
      </c>
      <c r="E19" s="199" t="s">
        <v>87</v>
      </c>
      <c r="F19" s="199" t="s">
        <v>85</v>
      </c>
      <c r="G19" s="223">
        <v>0</v>
      </c>
      <c r="H19" s="199" t="s">
        <v>276</v>
      </c>
    </row>
    <row r="20" spans="1:8">
      <c r="A20" s="218">
        <v>44196</v>
      </c>
      <c r="B20" s="199" t="s">
        <v>33</v>
      </c>
      <c r="C20" s="199" t="s">
        <v>8</v>
      </c>
      <c r="D20" s="199">
        <v>2019</v>
      </c>
      <c r="E20" s="199" t="s">
        <v>87</v>
      </c>
      <c r="F20" s="199" t="s">
        <v>85</v>
      </c>
      <c r="G20" s="223">
        <v>0</v>
      </c>
      <c r="H20" s="199" t="s">
        <v>276</v>
      </c>
    </row>
    <row r="21" spans="1:8">
      <c r="A21" s="218">
        <v>44196</v>
      </c>
      <c r="B21" s="199" t="s">
        <v>41</v>
      </c>
      <c r="C21" s="199" t="s">
        <v>8</v>
      </c>
      <c r="D21" s="199">
        <v>2019</v>
      </c>
      <c r="E21" s="199" t="s">
        <v>87</v>
      </c>
      <c r="F21" s="199" t="s">
        <v>85</v>
      </c>
      <c r="G21" s="223">
        <v>0</v>
      </c>
      <c r="H21" s="199" t="s">
        <v>276</v>
      </c>
    </row>
    <row r="22" spans="1:8">
      <c r="A22" s="218">
        <v>44196</v>
      </c>
      <c r="B22" s="199" t="s">
        <v>42</v>
      </c>
      <c r="C22" s="199" t="s">
        <v>8</v>
      </c>
      <c r="D22" s="199">
        <v>2019</v>
      </c>
      <c r="E22" s="199" t="s">
        <v>87</v>
      </c>
      <c r="F22" s="199" t="s">
        <v>85</v>
      </c>
      <c r="G22" s="223">
        <v>0</v>
      </c>
      <c r="H22" s="199" t="s">
        <v>276</v>
      </c>
    </row>
    <row r="23" spans="1:8">
      <c r="A23" s="218">
        <v>44196</v>
      </c>
      <c r="B23" s="199" t="s">
        <v>31</v>
      </c>
      <c r="C23" s="199" t="s">
        <v>8</v>
      </c>
      <c r="D23" s="199">
        <v>2020</v>
      </c>
      <c r="E23" s="199" t="s">
        <v>87</v>
      </c>
      <c r="F23" s="199" t="s">
        <v>85</v>
      </c>
      <c r="G23" s="223">
        <v>0</v>
      </c>
      <c r="H23" s="199" t="s">
        <v>276</v>
      </c>
    </row>
    <row r="24" spans="1:8">
      <c r="A24" s="218">
        <v>44196</v>
      </c>
      <c r="B24" s="199" t="s">
        <v>36</v>
      </c>
      <c r="C24" s="199" t="s">
        <v>8</v>
      </c>
      <c r="D24" s="199">
        <v>2020</v>
      </c>
      <c r="E24" s="199" t="s">
        <v>87</v>
      </c>
      <c r="F24" s="199" t="s">
        <v>85</v>
      </c>
      <c r="G24" s="223">
        <v>0</v>
      </c>
      <c r="H24" s="199" t="s">
        <v>276</v>
      </c>
    </row>
    <row r="25" spans="1:8">
      <c r="A25" s="218">
        <v>44196</v>
      </c>
      <c r="B25" s="199" t="s">
        <v>37</v>
      </c>
      <c r="C25" s="199" t="s">
        <v>8</v>
      </c>
      <c r="D25" s="199">
        <v>2020</v>
      </c>
      <c r="E25" s="199" t="s">
        <v>87</v>
      </c>
      <c r="F25" s="199" t="s">
        <v>85</v>
      </c>
      <c r="G25" s="223">
        <v>0</v>
      </c>
      <c r="H25" s="199" t="s">
        <v>276</v>
      </c>
    </row>
    <row r="26" spans="1:8">
      <c r="A26" s="218">
        <v>44196</v>
      </c>
      <c r="B26" s="199" t="s">
        <v>29</v>
      </c>
      <c r="C26" s="199" t="s">
        <v>8</v>
      </c>
      <c r="D26" s="199">
        <v>2020</v>
      </c>
      <c r="E26" s="199" t="s">
        <v>87</v>
      </c>
      <c r="F26" s="199" t="s">
        <v>85</v>
      </c>
      <c r="G26" s="223">
        <v>0</v>
      </c>
      <c r="H26" s="199" t="s">
        <v>276</v>
      </c>
    </row>
    <row r="27" spans="1:8">
      <c r="A27" s="218">
        <v>44196</v>
      </c>
      <c r="B27" s="199" t="s">
        <v>41</v>
      </c>
      <c r="C27" s="199" t="s">
        <v>8</v>
      </c>
      <c r="D27" s="199">
        <v>2020</v>
      </c>
      <c r="E27" s="199" t="s">
        <v>87</v>
      </c>
      <c r="F27" s="199" t="s">
        <v>85</v>
      </c>
      <c r="G27" s="223">
        <v>0</v>
      </c>
      <c r="H27" s="199" t="s">
        <v>276</v>
      </c>
    </row>
    <row r="28" spans="1:8">
      <c r="A28" s="218">
        <v>44196</v>
      </c>
      <c r="B28" s="199" t="s">
        <v>45</v>
      </c>
      <c r="C28" s="199" t="s">
        <v>8</v>
      </c>
      <c r="D28" s="199">
        <v>2020</v>
      </c>
      <c r="E28" s="199" t="s">
        <v>87</v>
      </c>
      <c r="F28" s="199" t="s">
        <v>85</v>
      </c>
      <c r="G28" s="223">
        <v>0</v>
      </c>
      <c r="H28" s="199" t="s">
        <v>276</v>
      </c>
    </row>
    <row r="29" spans="1:8">
      <c r="A29" s="218">
        <v>44196</v>
      </c>
      <c r="B29" s="199" t="s">
        <v>39</v>
      </c>
      <c r="C29" s="199" t="s">
        <v>8</v>
      </c>
      <c r="D29" s="199">
        <v>2020</v>
      </c>
      <c r="E29" s="199" t="s">
        <v>87</v>
      </c>
      <c r="F29" s="199" t="s">
        <v>85</v>
      </c>
      <c r="G29" s="223">
        <v>0</v>
      </c>
      <c r="H29" s="199" t="s">
        <v>276</v>
      </c>
    </row>
    <row r="30" spans="1:8">
      <c r="A30" s="218">
        <v>44196</v>
      </c>
      <c r="B30" s="199" t="s">
        <v>47</v>
      </c>
      <c r="C30" s="199" t="s">
        <v>8</v>
      </c>
      <c r="D30" s="199">
        <v>2020</v>
      </c>
      <c r="E30" s="199" t="s">
        <v>87</v>
      </c>
      <c r="F30" s="199" t="s">
        <v>85</v>
      </c>
      <c r="G30" s="223">
        <v>0</v>
      </c>
      <c r="H30" s="199" t="s">
        <v>276</v>
      </c>
    </row>
    <row r="31" spans="1:8">
      <c r="A31" s="218">
        <v>44196</v>
      </c>
      <c r="B31" s="199" t="s">
        <v>43</v>
      </c>
      <c r="C31" s="199" t="s">
        <v>8</v>
      </c>
      <c r="D31" s="199">
        <v>2020</v>
      </c>
      <c r="E31" s="199" t="s">
        <v>87</v>
      </c>
      <c r="F31" s="199" t="s">
        <v>85</v>
      </c>
      <c r="G31" s="223">
        <v>0</v>
      </c>
      <c r="H31" s="199" t="s">
        <v>276</v>
      </c>
    </row>
    <row r="32" spans="1:8">
      <c r="A32" s="218">
        <v>44196</v>
      </c>
      <c r="B32" s="199" t="s">
        <v>33</v>
      </c>
      <c r="C32" s="199" t="s">
        <v>8</v>
      </c>
      <c r="D32" s="199">
        <v>2020</v>
      </c>
      <c r="E32" s="199" t="s">
        <v>87</v>
      </c>
      <c r="F32" s="199" t="s">
        <v>85</v>
      </c>
      <c r="G32" s="223">
        <v>0</v>
      </c>
      <c r="H32" s="199" t="s">
        <v>276</v>
      </c>
    </row>
    <row r="33" spans="1:8">
      <c r="A33" s="218">
        <v>44196</v>
      </c>
      <c r="B33" s="199" t="s">
        <v>35</v>
      </c>
      <c r="C33" s="199" t="s">
        <v>8</v>
      </c>
      <c r="D33" s="199">
        <v>2020</v>
      </c>
      <c r="E33" s="199" t="s">
        <v>87</v>
      </c>
      <c r="F33" s="199" t="s">
        <v>85</v>
      </c>
      <c r="G33" s="223">
        <v>0</v>
      </c>
      <c r="H33" s="199" t="s">
        <v>276</v>
      </c>
    </row>
    <row r="34" spans="1:8">
      <c r="A34" s="218">
        <v>44196</v>
      </c>
      <c r="B34" s="199" t="s">
        <v>46</v>
      </c>
      <c r="C34" s="199" t="s">
        <v>8</v>
      </c>
      <c r="D34" s="199">
        <v>2020</v>
      </c>
      <c r="E34" s="199" t="s">
        <v>87</v>
      </c>
      <c r="F34" s="199" t="s">
        <v>85</v>
      </c>
      <c r="G34" s="223">
        <v>0</v>
      </c>
      <c r="H34" s="199" t="s">
        <v>276</v>
      </c>
    </row>
    <row r="35" spans="1:8">
      <c r="A35" s="218">
        <v>44196</v>
      </c>
      <c r="B35" s="199" t="s">
        <v>39</v>
      </c>
      <c r="C35" s="199" t="s">
        <v>8</v>
      </c>
      <c r="D35" s="199">
        <v>2019</v>
      </c>
      <c r="E35" s="199" t="s">
        <v>87</v>
      </c>
      <c r="F35" s="199" t="s">
        <v>85</v>
      </c>
      <c r="G35" s="223">
        <v>0</v>
      </c>
      <c r="H35" s="199" t="s">
        <v>276</v>
      </c>
    </row>
    <row r="36" spans="1:8">
      <c r="A36" s="218">
        <v>44196</v>
      </c>
      <c r="B36" s="199" t="s">
        <v>29</v>
      </c>
      <c r="C36" s="199" t="s">
        <v>8</v>
      </c>
      <c r="D36" s="199">
        <v>2019</v>
      </c>
      <c r="E36" s="199" t="s">
        <v>88</v>
      </c>
      <c r="F36" s="199" t="s">
        <v>85</v>
      </c>
      <c r="G36" s="223">
        <v>0</v>
      </c>
      <c r="H36" s="199" t="s">
        <v>276</v>
      </c>
    </row>
    <row r="37" spans="1:8">
      <c r="A37" s="218">
        <v>44196</v>
      </c>
      <c r="B37" s="199" t="s">
        <v>31</v>
      </c>
      <c r="C37" s="199" t="s">
        <v>8</v>
      </c>
      <c r="D37" s="199">
        <v>2019</v>
      </c>
      <c r="E37" s="199" t="s">
        <v>88</v>
      </c>
      <c r="F37" s="199" t="s">
        <v>85</v>
      </c>
      <c r="G37" s="223">
        <v>0</v>
      </c>
      <c r="H37" s="199" t="s">
        <v>276</v>
      </c>
    </row>
    <row r="38" spans="1:8">
      <c r="A38" s="218">
        <v>44196</v>
      </c>
      <c r="B38" s="199" t="s">
        <v>36</v>
      </c>
      <c r="C38" s="199" t="s">
        <v>8</v>
      </c>
      <c r="D38" s="199">
        <v>2019</v>
      </c>
      <c r="E38" s="199" t="s">
        <v>88</v>
      </c>
      <c r="F38" s="199" t="s">
        <v>85</v>
      </c>
      <c r="G38" s="223">
        <v>0</v>
      </c>
      <c r="H38" s="199" t="s">
        <v>276</v>
      </c>
    </row>
    <row r="39" spans="1:8">
      <c r="A39" s="218">
        <v>44196</v>
      </c>
      <c r="B39" s="199" t="s">
        <v>37</v>
      </c>
      <c r="C39" s="199" t="s">
        <v>8</v>
      </c>
      <c r="D39" s="199">
        <v>2019</v>
      </c>
      <c r="E39" s="199" t="s">
        <v>88</v>
      </c>
      <c r="F39" s="199" t="s">
        <v>85</v>
      </c>
      <c r="G39" s="223">
        <v>0</v>
      </c>
      <c r="H39" s="199" t="s">
        <v>276</v>
      </c>
    </row>
    <row r="40" spans="1:8">
      <c r="A40" s="218">
        <v>44196</v>
      </c>
      <c r="B40" s="199" t="s">
        <v>39</v>
      </c>
      <c r="C40" s="199" t="s">
        <v>8</v>
      </c>
      <c r="D40" s="199">
        <v>2019</v>
      </c>
      <c r="E40" s="199" t="s">
        <v>88</v>
      </c>
      <c r="F40" s="199" t="s">
        <v>85</v>
      </c>
      <c r="G40" s="223">
        <v>0</v>
      </c>
      <c r="H40" s="199" t="s">
        <v>276</v>
      </c>
    </row>
    <row r="41" spans="1:8">
      <c r="A41" s="218">
        <v>44196</v>
      </c>
      <c r="B41" s="199" t="s">
        <v>35</v>
      </c>
      <c r="C41" s="199" t="s">
        <v>8</v>
      </c>
      <c r="D41" s="199">
        <v>2019</v>
      </c>
      <c r="E41" s="199" t="s">
        <v>88</v>
      </c>
      <c r="F41" s="199" t="s">
        <v>85</v>
      </c>
      <c r="G41" s="223">
        <v>0</v>
      </c>
      <c r="H41" s="199" t="s">
        <v>276</v>
      </c>
    </row>
    <row r="42" spans="1:8">
      <c r="A42" s="218">
        <v>44196</v>
      </c>
      <c r="B42" s="199" t="s">
        <v>43</v>
      </c>
      <c r="C42" s="199" t="s">
        <v>8</v>
      </c>
      <c r="D42" s="199">
        <v>2019</v>
      </c>
      <c r="E42" s="199" t="s">
        <v>88</v>
      </c>
      <c r="F42" s="199" t="s">
        <v>85</v>
      </c>
      <c r="G42" s="223">
        <v>0</v>
      </c>
      <c r="H42" s="199" t="s">
        <v>276</v>
      </c>
    </row>
    <row r="43" spans="1:8">
      <c r="A43" s="218">
        <v>44196</v>
      </c>
      <c r="B43" s="199" t="s">
        <v>29</v>
      </c>
      <c r="C43" s="199" t="s">
        <v>8</v>
      </c>
      <c r="D43" s="199">
        <v>2020</v>
      </c>
      <c r="E43" s="199" t="s">
        <v>88</v>
      </c>
      <c r="F43" s="199" t="s">
        <v>85</v>
      </c>
      <c r="G43" s="223">
        <v>0</v>
      </c>
      <c r="H43" s="199" t="s">
        <v>276</v>
      </c>
    </row>
    <row r="44" spans="1:8">
      <c r="A44" s="218">
        <v>44196</v>
      </c>
      <c r="B44" s="199" t="s">
        <v>36</v>
      </c>
      <c r="C44" s="199" t="s">
        <v>8</v>
      </c>
      <c r="D44" s="199">
        <v>2020</v>
      </c>
      <c r="E44" s="199" t="s">
        <v>88</v>
      </c>
      <c r="F44" s="199" t="s">
        <v>85</v>
      </c>
      <c r="G44" s="223">
        <v>0</v>
      </c>
      <c r="H44" s="199" t="s">
        <v>276</v>
      </c>
    </row>
    <row r="45" spans="1:8">
      <c r="A45" s="218">
        <v>44196</v>
      </c>
      <c r="B45" s="199" t="s">
        <v>37</v>
      </c>
      <c r="C45" s="199" t="s">
        <v>8</v>
      </c>
      <c r="D45" s="199">
        <v>2020</v>
      </c>
      <c r="E45" s="199" t="s">
        <v>88</v>
      </c>
      <c r="F45" s="199" t="s">
        <v>85</v>
      </c>
      <c r="G45" s="223">
        <v>0</v>
      </c>
      <c r="H45" s="199" t="s">
        <v>276</v>
      </c>
    </row>
    <row r="46" spans="1:8">
      <c r="A46" s="218">
        <v>44196</v>
      </c>
      <c r="B46" s="199" t="s">
        <v>31</v>
      </c>
      <c r="C46" s="199" t="s">
        <v>8</v>
      </c>
      <c r="D46" s="199">
        <v>2020</v>
      </c>
      <c r="E46" s="199" t="s">
        <v>88</v>
      </c>
      <c r="F46" s="199" t="s">
        <v>85</v>
      </c>
      <c r="G46" s="223">
        <v>0</v>
      </c>
      <c r="H46" s="199" t="s">
        <v>276</v>
      </c>
    </row>
    <row r="47" spans="1:8">
      <c r="A47" s="218">
        <v>44196</v>
      </c>
      <c r="B47" s="199" t="s">
        <v>35</v>
      </c>
      <c r="C47" s="199" t="s">
        <v>8</v>
      </c>
      <c r="D47" s="199">
        <v>2020</v>
      </c>
      <c r="E47" s="199" t="s">
        <v>88</v>
      </c>
      <c r="F47" s="199" t="s">
        <v>85</v>
      </c>
      <c r="G47" s="223">
        <v>0</v>
      </c>
      <c r="H47" s="199" t="s">
        <v>276</v>
      </c>
    </row>
    <row r="48" spans="1:8">
      <c r="A48" s="218">
        <v>44196</v>
      </c>
      <c r="B48" s="199" t="s">
        <v>29</v>
      </c>
      <c r="C48" s="199" t="s">
        <v>8</v>
      </c>
      <c r="D48" s="199">
        <v>2019</v>
      </c>
      <c r="E48" s="199" t="s">
        <v>89</v>
      </c>
      <c r="F48" s="199" t="s">
        <v>85</v>
      </c>
      <c r="G48" s="223">
        <v>0</v>
      </c>
      <c r="H48" s="199" t="s">
        <v>276</v>
      </c>
    </row>
    <row r="49" spans="1:8">
      <c r="A49" s="218">
        <v>44196</v>
      </c>
      <c r="B49" s="199" t="s">
        <v>29</v>
      </c>
      <c r="C49" s="199" t="s">
        <v>8</v>
      </c>
      <c r="D49" s="199">
        <v>2020</v>
      </c>
      <c r="E49" s="199" t="s">
        <v>89</v>
      </c>
      <c r="F49" s="199" t="s">
        <v>85</v>
      </c>
      <c r="G49" s="223">
        <v>0</v>
      </c>
      <c r="H49" s="199" t="s">
        <v>276</v>
      </c>
    </row>
    <row r="50" spans="1:8">
      <c r="A50" s="218">
        <v>44196</v>
      </c>
      <c r="B50" s="199" t="s">
        <v>31</v>
      </c>
      <c r="C50" s="199" t="s">
        <v>8</v>
      </c>
      <c r="D50" s="199">
        <v>2019</v>
      </c>
      <c r="E50" s="199" t="s">
        <v>89</v>
      </c>
      <c r="F50" s="199" t="s">
        <v>85</v>
      </c>
      <c r="G50" s="223">
        <v>0</v>
      </c>
      <c r="H50" s="199" t="s">
        <v>276</v>
      </c>
    </row>
    <row r="51" spans="1:8">
      <c r="A51" s="218">
        <v>44196</v>
      </c>
      <c r="B51" s="199" t="s">
        <v>36</v>
      </c>
      <c r="C51" s="199" t="s">
        <v>8</v>
      </c>
      <c r="D51" s="199">
        <v>2019</v>
      </c>
      <c r="E51" s="199" t="s">
        <v>90</v>
      </c>
      <c r="F51" s="199" t="s">
        <v>85</v>
      </c>
      <c r="G51" s="223">
        <v>0</v>
      </c>
      <c r="H51" s="199" t="s">
        <v>276</v>
      </c>
    </row>
    <row r="52" spans="1:8">
      <c r="A52" s="218">
        <v>44196</v>
      </c>
      <c r="B52" s="199" t="s">
        <v>29</v>
      </c>
      <c r="C52" s="199" t="s">
        <v>8</v>
      </c>
      <c r="D52" s="199">
        <v>2019</v>
      </c>
      <c r="E52" s="199" t="s">
        <v>90</v>
      </c>
      <c r="F52" s="199" t="s">
        <v>85</v>
      </c>
      <c r="G52" s="223">
        <v>0</v>
      </c>
      <c r="H52" s="199" t="s">
        <v>276</v>
      </c>
    </row>
    <row r="53" spans="1:8">
      <c r="A53" s="218">
        <v>44196</v>
      </c>
      <c r="B53" s="199" t="s">
        <v>31</v>
      </c>
      <c r="C53" s="199" t="s">
        <v>8</v>
      </c>
      <c r="D53" s="199">
        <v>2019</v>
      </c>
      <c r="E53" s="199" t="s">
        <v>90</v>
      </c>
      <c r="F53" s="199" t="s">
        <v>85</v>
      </c>
      <c r="G53" s="223">
        <v>0</v>
      </c>
      <c r="H53" s="199" t="s">
        <v>276</v>
      </c>
    </row>
    <row r="54" spans="1:8">
      <c r="A54" s="218">
        <v>44196</v>
      </c>
      <c r="B54" s="199" t="s">
        <v>37</v>
      </c>
      <c r="C54" s="199" t="s">
        <v>8</v>
      </c>
      <c r="D54" s="199">
        <v>2019</v>
      </c>
      <c r="E54" s="199" t="s">
        <v>90</v>
      </c>
      <c r="F54" s="199" t="s">
        <v>85</v>
      </c>
      <c r="G54" s="223">
        <v>0</v>
      </c>
      <c r="H54" s="199" t="s">
        <v>276</v>
      </c>
    </row>
    <row r="55" spans="1:8">
      <c r="A55" s="218">
        <v>44196</v>
      </c>
      <c r="B55" s="199" t="s">
        <v>29</v>
      </c>
      <c r="C55" s="199" t="s">
        <v>8</v>
      </c>
      <c r="D55" s="199">
        <v>2020</v>
      </c>
      <c r="E55" s="199" t="s">
        <v>90</v>
      </c>
      <c r="F55" s="199" t="s">
        <v>85</v>
      </c>
      <c r="G55" s="223">
        <v>0</v>
      </c>
      <c r="H55" s="199" t="s">
        <v>276</v>
      </c>
    </row>
    <row r="56" spans="1:8">
      <c r="A56" s="218">
        <v>44196</v>
      </c>
      <c r="B56" s="199" t="s">
        <v>36</v>
      </c>
      <c r="C56" s="199" t="s">
        <v>8</v>
      </c>
      <c r="D56" s="199">
        <v>2020</v>
      </c>
      <c r="E56" s="199" t="s">
        <v>90</v>
      </c>
      <c r="F56" s="199" t="s">
        <v>85</v>
      </c>
      <c r="G56" s="223">
        <v>0</v>
      </c>
      <c r="H56" s="199" t="s">
        <v>276</v>
      </c>
    </row>
    <row r="57" spans="1:8">
      <c r="A57" s="218">
        <v>44196</v>
      </c>
      <c r="B57" s="199" t="s">
        <v>31</v>
      </c>
      <c r="C57" s="199" t="s">
        <v>8</v>
      </c>
      <c r="D57" s="199">
        <v>2020</v>
      </c>
      <c r="E57" s="199" t="s">
        <v>90</v>
      </c>
      <c r="F57" s="199" t="s">
        <v>85</v>
      </c>
      <c r="G57" s="223">
        <v>0</v>
      </c>
      <c r="H57" s="199" t="s">
        <v>276</v>
      </c>
    </row>
    <row r="58" spans="1:8">
      <c r="A58" s="218">
        <v>44196</v>
      </c>
      <c r="B58" s="199" t="s">
        <v>37</v>
      </c>
      <c r="C58" s="199" t="s">
        <v>8</v>
      </c>
      <c r="D58" s="199">
        <v>2020</v>
      </c>
      <c r="E58" s="199" t="s">
        <v>90</v>
      </c>
      <c r="F58" s="199" t="s">
        <v>85</v>
      </c>
      <c r="G58" s="223">
        <v>0</v>
      </c>
      <c r="H58" s="199" t="s">
        <v>276</v>
      </c>
    </row>
    <row r="59" spans="1:8">
      <c r="A59" s="218">
        <v>44196</v>
      </c>
      <c r="B59" s="199" t="s">
        <v>35</v>
      </c>
      <c r="C59" s="199" t="s">
        <v>8</v>
      </c>
      <c r="D59" s="199">
        <v>2020</v>
      </c>
      <c r="E59" s="199" t="s">
        <v>90</v>
      </c>
      <c r="F59" s="199" t="s">
        <v>85</v>
      </c>
      <c r="G59" s="223">
        <v>0</v>
      </c>
      <c r="H59" s="199" t="s">
        <v>276</v>
      </c>
    </row>
    <row r="60" spans="1:8">
      <c r="A60" s="218">
        <v>44196</v>
      </c>
      <c r="B60" s="199" t="s">
        <v>35</v>
      </c>
      <c r="C60" s="199" t="s">
        <v>8</v>
      </c>
      <c r="D60" s="199">
        <v>2019</v>
      </c>
      <c r="E60" s="199" t="s">
        <v>90</v>
      </c>
      <c r="F60" s="199" t="s">
        <v>85</v>
      </c>
      <c r="G60" s="223">
        <v>0</v>
      </c>
      <c r="H60" s="199" t="s">
        <v>276</v>
      </c>
    </row>
    <row r="61" spans="1:8">
      <c r="A61" s="218">
        <v>44196</v>
      </c>
      <c r="B61" s="199" t="s">
        <v>37</v>
      </c>
      <c r="C61" s="199" t="s">
        <v>8</v>
      </c>
      <c r="D61" s="199">
        <v>2019</v>
      </c>
      <c r="E61" s="199" t="s">
        <v>173</v>
      </c>
      <c r="F61" s="199" t="s">
        <v>85</v>
      </c>
      <c r="G61" s="223">
        <v>0</v>
      </c>
      <c r="H61" s="199" t="s">
        <v>276</v>
      </c>
    </row>
    <row r="62" spans="1:8">
      <c r="A62" s="218">
        <v>44196</v>
      </c>
      <c r="B62" s="199" t="s">
        <v>31</v>
      </c>
      <c r="C62" s="199" t="s">
        <v>8</v>
      </c>
      <c r="D62" s="199">
        <v>2019</v>
      </c>
      <c r="E62" s="199" t="s">
        <v>91</v>
      </c>
      <c r="F62" s="199" t="s">
        <v>85</v>
      </c>
      <c r="G62" s="223">
        <v>0</v>
      </c>
      <c r="H62" s="199" t="s">
        <v>276</v>
      </c>
    </row>
    <row r="63" spans="1:8">
      <c r="A63" s="218">
        <v>44196</v>
      </c>
      <c r="B63" s="199" t="s">
        <v>37</v>
      </c>
      <c r="C63" s="199" t="s">
        <v>8</v>
      </c>
      <c r="D63" s="199">
        <v>2019</v>
      </c>
      <c r="E63" s="199" t="s">
        <v>91</v>
      </c>
      <c r="F63" s="199" t="s">
        <v>85</v>
      </c>
      <c r="G63" s="223">
        <v>0</v>
      </c>
      <c r="H63" s="199" t="s">
        <v>276</v>
      </c>
    </row>
    <row r="64" spans="1:8">
      <c r="A64" s="218">
        <v>44196</v>
      </c>
      <c r="B64" s="199" t="s">
        <v>29</v>
      </c>
      <c r="C64" s="199" t="s">
        <v>8</v>
      </c>
      <c r="D64" s="199">
        <v>2020</v>
      </c>
      <c r="E64" s="199" t="s">
        <v>91</v>
      </c>
      <c r="F64" s="199" t="s">
        <v>85</v>
      </c>
      <c r="G64" s="223">
        <v>0</v>
      </c>
      <c r="H64" s="199" t="s">
        <v>276</v>
      </c>
    </row>
    <row r="65" spans="1:8">
      <c r="A65" s="218">
        <v>44196</v>
      </c>
      <c r="B65" s="199" t="s">
        <v>31</v>
      </c>
      <c r="C65" s="199" t="s">
        <v>8</v>
      </c>
      <c r="D65" s="199">
        <v>2020</v>
      </c>
      <c r="E65" s="199" t="s">
        <v>91</v>
      </c>
      <c r="F65" s="199" t="s">
        <v>85</v>
      </c>
      <c r="G65" s="223">
        <v>0</v>
      </c>
      <c r="H65" s="199" t="s">
        <v>276</v>
      </c>
    </row>
    <row r="66" spans="1:8">
      <c r="A66" s="218">
        <v>44196</v>
      </c>
      <c r="B66" s="199" t="s">
        <v>37</v>
      </c>
      <c r="C66" s="199" t="s">
        <v>8</v>
      </c>
      <c r="D66" s="199">
        <v>2020</v>
      </c>
      <c r="E66" s="199" t="s">
        <v>91</v>
      </c>
      <c r="F66" s="199" t="s">
        <v>85</v>
      </c>
      <c r="G66" s="223">
        <v>0</v>
      </c>
      <c r="H66" s="199" t="s">
        <v>276</v>
      </c>
    </row>
    <row r="67" spans="1:8">
      <c r="A67" s="218">
        <v>44196</v>
      </c>
      <c r="B67" s="199" t="s">
        <v>29</v>
      </c>
      <c r="C67" s="199" t="s">
        <v>8</v>
      </c>
      <c r="D67" s="199">
        <v>2019</v>
      </c>
      <c r="E67" s="199" t="s">
        <v>91</v>
      </c>
      <c r="F67" s="199" t="s">
        <v>85</v>
      </c>
      <c r="G67" s="223">
        <v>0</v>
      </c>
      <c r="H67" s="199" t="s">
        <v>276</v>
      </c>
    </row>
    <row r="68" spans="1:8">
      <c r="A68" s="218">
        <v>44196</v>
      </c>
      <c r="B68" s="199" t="s">
        <v>36</v>
      </c>
      <c r="C68" s="199" t="s">
        <v>8</v>
      </c>
      <c r="D68" s="199">
        <v>2020</v>
      </c>
      <c r="E68" s="199" t="s">
        <v>91</v>
      </c>
      <c r="F68" s="199" t="s">
        <v>85</v>
      </c>
      <c r="G68" s="223">
        <v>0</v>
      </c>
      <c r="H68" s="199" t="s">
        <v>276</v>
      </c>
    </row>
    <row r="69" spans="1:8">
      <c r="A69" s="218">
        <v>44196</v>
      </c>
      <c r="B69" s="199" t="s">
        <v>29</v>
      </c>
      <c r="C69" s="199" t="s">
        <v>8</v>
      </c>
      <c r="D69" s="199">
        <v>2019</v>
      </c>
      <c r="E69" s="199" t="s">
        <v>93</v>
      </c>
      <c r="F69" s="199" t="s">
        <v>92</v>
      </c>
      <c r="G69" s="223">
        <v>0</v>
      </c>
      <c r="H69" s="199" t="s">
        <v>276</v>
      </c>
    </row>
    <row r="70" spans="1:8">
      <c r="A70" s="218">
        <v>44196</v>
      </c>
      <c r="B70" s="199" t="s">
        <v>36</v>
      </c>
      <c r="C70" s="199" t="s">
        <v>8</v>
      </c>
      <c r="D70" s="199">
        <v>2019</v>
      </c>
      <c r="E70" s="199" t="s">
        <v>93</v>
      </c>
      <c r="F70" s="199" t="s">
        <v>92</v>
      </c>
      <c r="G70" s="223">
        <v>0</v>
      </c>
      <c r="H70" s="199" t="s">
        <v>276</v>
      </c>
    </row>
    <row r="71" spans="1:8">
      <c r="A71" s="218">
        <v>44196</v>
      </c>
      <c r="B71" s="199" t="s">
        <v>29</v>
      </c>
      <c r="C71" s="199" t="s">
        <v>8</v>
      </c>
      <c r="D71" s="199">
        <v>2020</v>
      </c>
      <c r="E71" s="199" t="s">
        <v>93</v>
      </c>
      <c r="F71" s="199" t="s">
        <v>92</v>
      </c>
      <c r="G71" s="223">
        <v>0</v>
      </c>
      <c r="H71" s="199" t="s">
        <v>276</v>
      </c>
    </row>
    <row r="72" spans="1:8">
      <c r="A72" s="218">
        <v>44196</v>
      </c>
      <c r="B72" s="199" t="s">
        <v>31</v>
      </c>
      <c r="C72" s="199" t="s">
        <v>8</v>
      </c>
      <c r="D72" s="199">
        <v>2020</v>
      </c>
      <c r="E72" s="199" t="s">
        <v>93</v>
      </c>
      <c r="F72" s="199" t="s">
        <v>92</v>
      </c>
      <c r="G72" s="223">
        <v>0</v>
      </c>
      <c r="H72" s="199" t="s">
        <v>276</v>
      </c>
    </row>
    <row r="73" spans="1:8">
      <c r="A73" s="218">
        <v>44196</v>
      </c>
      <c r="B73" s="199" t="s">
        <v>31</v>
      </c>
      <c r="C73" s="199" t="s">
        <v>8</v>
      </c>
      <c r="D73" s="199">
        <v>2019</v>
      </c>
      <c r="E73" s="199" t="s">
        <v>93</v>
      </c>
      <c r="F73" s="199" t="s">
        <v>92</v>
      </c>
      <c r="G73" s="223">
        <v>0</v>
      </c>
      <c r="H73" s="199" t="s">
        <v>276</v>
      </c>
    </row>
    <row r="74" spans="1:8">
      <c r="A74" s="218">
        <v>44196</v>
      </c>
      <c r="B74" s="199" t="s">
        <v>37</v>
      </c>
      <c r="C74" s="199" t="s">
        <v>8</v>
      </c>
      <c r="D74" s="199">
        <v>2020</v>
      </c>
      <c r="E74" s="199" t="s">
        <v>93</v>
      </c>
      <c r="F74" s="199" t="s">
        <v>92</v>
      </c>
      <c r="G74" s="223">
        <v>0</v>
      </c>
      <c r="H74" s="199" t="s">
        <v>276</v>
      </c>
    </row>
    <row r="75" spans="1:8">
      <c r="A75" s="218">
        <v>44196</v>
      </c>
      <c r="B75" s="199" t="s">
        <v>36</v>
      </c>
      <c r="C75" s="199" t="s">
        <v>8</v>
      </c>
      <c r="D75" s="199">
        <v>2020</v>
      </c>
      <c r="E75" s="199" t="s">
        <v>93</v>
      </c>
      <c r="F75" s="199" t="s">
        <v>92</v>
      </c>
      <c r="G75" s="223">
        <v>0</v>
      </c>
      <c r="H75" s="199" t="s">
        <v>276</v>
      </c>
    </row>
    <row r="76" spans="1:8">
      <c r="A76" s="218">
        <v>44196</v>
      </c>
      <c r="B76" s="199" t="s">
        <v>37</v>
      </c>
      <c r="C76" s="199" t="s">
        <v>8</v>
      </c>
      <c r="D76" s="199">
        <v>2019</v>
      </c>
      <c r="E76" s="199" t="s">
        <v>93</v>
      </c>
      <c r="F76" s="199" t="s">
        <v>92</v>
      </c>
      <c r="G76" s="223">
        <v>0</v>
      </c>
      <c r="H76" s="199" t="s">
        <v>276</v>
      </c>
    </row>
    <row r="77" spans="1:8">
      <c r="A77" s="218">
        <v>44196</v>
      </c>
      <c r="B77" s="199" t="s">
        <v>47</v>
      </c>
      <c r="C77" s="199" t="s">
        <v>8</v>
      </c>
      <c r="D77" s="199">
        <v>2019</v>
      </c>
      <c r="E77" s="199" t="s">
        <v>94</v>
      </c>
      <c r="F77" s="199" t="s">
        <v>92</v>
      </c>
      <c r="G77" s="223">
        <v>0</v>
      </c>
      <c r="H77" s="199" t="s">
        <v>276</v>
      </c>
    </row>
    <row r="78" spans="1:8">
      <c r="A78" s="218">
        <v>44196</v>
      </c>
      <c r="B78" s="199" t="s">
        <v>47</v>
      </c>
      <c r="C78" s="199" t="s">
        <v>8</v>
      </c>
      <c r="D78" s="199">
        <v>2020</v>
      </c>
      <c r="E78" s="199" t="s">
        <v>94</v>
      </c>
      <c r="F78" s="199" t="s">
        <v>92</v>
      </c>
      <c r="G78" s="223">
        <v>0</v>
      </c>
      <c r="H78" s="199" t="s">
        <v>276</v>
      </c>
    </row>
    <row r="79" spans="1:8">
      <c r="A79" s="218">
        <v>44196</v>
      </c>
      <c r="B79" s="199" t="s">
        <v>29</v>
      </c>
      <c r="C79" s="199" t="s">
        <v>8</v>
      </c>
      <c r="D79" s="199">
        <v>2019</v>
      </c>
      <c r="E79" s="199" t="s">
        <v>96</v>
      </c>
      <c r="F79" s="199" t="s">
        <v>95</v>
      </c>
      <c r="G79" s="223">
        <v>0</v>
      </c>
      <c r="H79" s="199" t="s">
        <v>276</v>
      </c>
    </row>
    <row r="80" spans="1:8">
      <c r="A80" s="218">
        <v>44196</v>
      </c>
      <c r="B80" s="199" t="s">
        <v>36</v>
      </c>
      <c r="C80" s="199" t="s">
        <v>8</v>
      </c>
      <c r="D80" s="199">
        <v>2019</v>
      </c>
      <c r="E80" s="199" t="s">
        <v>96</v>
      </c>
      <c r="F80" s="199" t="s">
        <v>95</v>
      </c>
      <c r="G80" s="223">
        <v>0</v>
      </c>
      <c r="H80" s="199" t="s">
        <v>276</v>
      </c>
    </row>
    <row r="81" spans="1:8">
      <c r="A81" s="218">
        <v>44196</v>
      </c>
      <c r="B81" s="199" t="s">
        <v>31</v>
      </c>
      <c r="C81" s="199" t="s">
        <v>8</v>
      </c>
      <c r="D81" s="199">
        <v>2019</v>
      </c>
      <c r="E81" s="199" t="s">
        <v>96</v>
      </c>
      <c r="F81" s="199" t="s">
        <v>95</v>
      </c>
      <c r="G81" s="223">
        <v>0</v>
      </c>
      <c r="H81" s="199" t="s">
        <v>276</v>
      </c>
    </row>
    <row r="82" spans="1:8">
      <c r="A82" s="218">
        <v>44196</v>
      </c>
      <c r="B82" s="199" t="s">
        <v>29</v>
      </c>
      <c r="C82" s="199" t="s">
        <v>8</v>
      </c>
      <c r="D82" s="199">
        <v>2020</v>
      </c>
      <c r="E82" s="199" t="s">
        <v>96</v>
      </c>
      <c r="F82" s="199" t="s">
        <v>95</v>
      </c>
      <c r="G82" s="223">
        <v>0</v>
      </c>
      <c r="H82" s="199" t="s">
        <v>276</v>
      </c>
    </row>
    <row r="83" spans="1:8">
      <c r="A83" s="218">
        <v>44196</v>
      </c>
      <c r="B83" s="199" t="s">
        <v>37</v>
      </c>
      <c r="C83" s="199" t="s">
        <v>8</v>
      </c>
      <c r="D83" s="199">
        <v>2020</v>
      </c>
      <c r="E83" s="199" t="s">
        <v>96</v>
      </c>
      <c r="F83" s="199" t="s">
        <v>95</v>
      </c>
      <c r="G83" s="223">
        <v>0</v>
      </c>
      <c r="H83" s="199" t="s">
        <v>276</v>
      </c>
    </row>
    <row r="84" spans="1:8">
      <c r="A84" s="218">
        <v>44196</v>
      </c>
      <c r="B84" s="199" t="s">
        <v>37</v>
      </c>
      <c r="C84" s="199" t="s">
        <v>8</v>
      </c>
      <c r="D84" s="199">
        <v>2019</v>
      </c>
      <c r="E84" s="199" t="s">
        <v>96</v>
      </c>
      <c r="F84" s="199" t="s">
        <v>95</v>
      </c>
      <c r="G84" s="223">
        <v>0</v>
      </c>
      <c r="H84" s="199" t="s">
        <v>276</v>
      </c>
    </row>
    <row r="85" spans="1:8">
      <c r="A85" s="218">
        <v>44196</v>
      </c>
      <c r="B85" s="199" t="s">
        <v>36</v>
      </c>
      <c r="C85" s="199" t="s">
        <v>8</v>
      </c>
      <c r="D85" s="199">
        <v>2020</v>
      </c>
      <c r="E85" s="199" t="s">
        <v>96</v>
      </c>
      <c r="F85" s="199" t="s">
        <v>95</v>
      </c>
      <c r="G85" s="223">
        <v>0</v>
      </c>
      <c r="H85" s="199" t="s">
        <v>276</v>
      </c>
    </row>
    <row r="86" spans="1:8">
      <c r="A86" s="218">
        <v>44196</v>
      </c>
      <c r="B86" s="199" t="s">
        <v>31</v>
      </c>
      <c r="C86" s="199" t="s">
        <v>8</v>
      </c>
      <c r="D86" s="199">
        <v>2020</v>
      </c>
      <c r="E86" s="199" t="s">
        <v>96</v>
      </c>
      <c r="F86" s="199" t="s">
        <v>95</v>
      </c>
      <c r="G86" s="223">
        <v>0</v>
      </c>
      <c r="H86" s="199" t="s">
        <v>276</v>
      </c>
    </row>
    <row r="87" spans="1:8">
      <c r="A87" s="218">
        <v>44196</v>
      </c>
      <c r="B87" s="199" t="s">
        <v>35</v>
      </c>
      <c r="C87" s="199" t="s">
        <v>8</v>
      </c>
      <c r="D87" s="199">
        <v>2020</v>
      </c>
      <c r="E87" s="199" t="s">
        <v>96</v>
      </c>
      <c r="F87" s="199" t="s">
        <v>95</v>
      </c>
      <c r="G87" s="223">
        <v>0</v>
      </c>
      <c r="H87" s="199" t="s">
        <v>276</v>
      </c>
    </row>
    <row r="88" spans="1:8">
      <c r="A88" s="218">
        <v>44196</v>
      </c>
      <c r="B88" s="199" t="s">
        <v>35</v>
      </c>
      <c r="C88" s="199" t="s">
        <v>8</v>
      </c>
      <c r="D88" s="199">
        <v>2019</v>
      </c>
      <c r="E88" s="199" t="s">
        <v>96</v>
      </c>
      <c r="F88" s="199" t="s">
        <v>95</v>
      </c>
      <c r="G88" s="223">
        <v>0</v>
      </c>
      <c r="H88" s="199" t="s">
        <v>276</v>
      </c>
    </row>
    <row r="89" spans="1:8">
      <c r="A89" s="218">
        <v>44196</v>
      </c>
      <c r="B89" s="199" t="s">
        <v>29</v>
      </c>
      <c r="C89" s="199" t="s">
        <v>8</v>
      </c>
      <c r="D89" s="199">
        <v>2019</v>
      </c>
      <c r="E89" s="199" t="s">
        <v>174</v>
      </c>
      <c r="F89" s="199" t="s">
        <v>95</v>
      </c>
      <c r="G89" s="223">
        <v>0</v>
      </c>
      <c r="H89" s="199" t="s">
        <v>276</v>
      </c>
    </row>
    <row r="90" spans="1:8">
      <c r="A90" s="218">
        <v>44196</v>
      </c>
      <c r="B90" s="199" t="s">
        <v>29</v>
      </c>
      <c r="C90" s="199" t="s">
        <v>8</v>
      </c>
      <c r="D90" s="199">
        <v>2019</v>
      </c>
      <c r="E90" s="199" t="s">
        <v>97</v>
      </c>
      <c r="F90" s="199" t="s">
        <v>95</v>
      </c>
      <c r="G90" s="223">
        <v>0</v>
      </c>
      <c r="H90" s="199" t="s">
        <v>276</v>
      </c>
    </row>
    <row r="91" spans="1:8">
      <c r="A91" s="218">
        <v>44196</v>
      </c>
      <c r="B91" s="199" t="s">
        <v>29</v>
      </c>
      <c r="C91" s="199" t="s">
        <v>8</v>
      </c>
      <c r="D91" s="199">
        <v>2020</v>
      </c>
      <c r="E91" s="199" t="s">
        <v>97</v>
      </c>
      <c r="F91" s="199" t="s">
        <v>95</v>
      </c>
      <c r="G91" s="223">
        <v>0</v>
      </c>
      <c r="H91" s="199" t="s">
        <v>276</v>
      </c>
    </row>
    <row r="92" spans="1:8">
      <c r="A92" s="218">
        <v>44196</v>
      </c>
      <c r="B92" s="199" t="s">
        <v>37</v>
      </c>
      <c r="C92" s="199" t="s">
        <v>8</v>
      </c>
      <c r="D92" s="199">
        <v>2020</v>
      </c>
      <c r="E92" s="199" t="s">
        <v>97</v>
      </c>
      <c r="F92" s="199" t="s">
        <v>95</v>
      </c>
      <c r="G92" s="223">
        <v>0</v>
      </c>
      <c r="H92" s="199" t="s">
        <v>276</v>
      </c>
    </row>
    <row r="93" spans="1:8">
      <c r="A93" s="218">
        <v>44196</v>
      </c>
      <c r="B93" s="199" t="s">
        <v>36</v>
      </c>
      <c r="C93" s="199" t="s">
        <v>8</v>
      </c>
      <c r="D93" s="199">
        <v>2019</v>
      </c>
      <c r="E93" s="199" t="s">
        <v>97</v>
      </c>
      <c r="F93" s="199" t="s">
        <v>95</v>
      </c>
      <c r="G93" s="223">
        <v>0</v>
      </c>
      <c r="H93" s="199" t="s">
        <v>276</v>
      </c>
    </row>
    <row r="94" spans="1:8">
      <c r="A94" s="218">
        <v>44196</v>
      </c>
      <c r="B94" s="199" t="s">
        <v>36</v>
      </c>
      <c r="C94" s="199" t="s">
        <v>8</v>
      </c>
      <c r="D94" s="199">
        <v>2020</v>
      </c>
      <c r="E94" s="199" t="s">
        <v>97</v>
      </c>
      <c r="F94" s="199" t="s">
        <v>95</v>
      </c>
      <c r="G94" s="223">
        <v>0</v>
      </c>
      <c r="H94" s="199" t="s">
        <v>276</v>
      </c>
    </row>
    <row r="95" spans="1:8">
      <c r="A95" s="218">
        <v>44196</v>
      </c>
      <c r="B95" s="199" t="s">
        <v>31</v>
      </c>
      <c r="C95" s="199" t="s">
        <v>8</v>
      </c>
      <c r="D95" s="199">
        <v>2020</v>
      </c>
      <c r="E95" s="199" t="s">
        <v>97</v>
      </c>
      <c r="F95" s="199" t="s">
        <v>95</v>
      </c>
      <c r="G95" s="223">
        <v>0</v>
      </c>
      <c r="H95" s="199" t="s">
        <v>276</v>
      </c>
    </row>
    <row r="96" spans="1:8">
      <c r="A96" s="218">
        <v>44196</v>
      </c>
      <c r="B96" s="199" t="s">
        <v>37</v>
      </c>
      <c r="C96" s="199" t="s">
        <v>8</v>
      </c>
      <c r="D96" s="199">
        <v>2019</v>
      </c>
      <c r="E96" s="199" t="s">
        <v>97</v>
      </c>
      <c r="F96" s="199" t="s">
        <v>95</v>
      </c>
      <c r="G96" s="223">
        <v>0</v>
      </c>
      <c r="H96" s="199" t="s">
        <v>276</v>
      </c>
    </row>
    <row r="97" spans="1:8">
      <c r="A97" s="218">
        <v>44196</v>
      </c>
      <c r="B97" s="199" t="s">
        <v>31</v>
      </c>
      <c r="C97" s="199" t="s">
        <v>8</v>
      </c>
      <c r="D97" s="199">
        <v>2019</v>
      </c>
      <c r="E97" s="199" t="s">
        <v>97</v>
      </c>
      <c r="F97" s="199" t="s">
        <v>95</v>
      </c>
      <c r="G97" s="223">
        <v>0</v>
      </c>
      <c r="H97" s="199" t="s">
        <v>276</v>
      </c>
    </row>
    <row r="98" spans="1:8">
      <c r="A98" s="218">
        <v>44196</v>
      </c>
      <c r="B98" s="199" t="s">
        <v>29</v>
      </c>
      <c r="C98" s="199" t="s">
        <v>8</v>
      </c>
      <c r="D98" s="199">
        <v>2019</v>
      </c>
      <c r="E98" s="199" t="s">
        <v>98</v>
      </c>
      <c r="F98" s="199" t="s">
        <v>95</v>
      </c>
      <c r="G98" s="223">
        <v>0</v>
      </c>
      <c r="H98" s="199" t="s">
        <v>276</v>
      </c>
    </row>
    <row r="99" spans="1:8">
      <c r="A99" s="218">
        <v>44196</v>
      </c>
      <c r="B99" s="199" t="s">
        <v>36</v>
      </c>
      <c r="C99" s="199" t="s">
        <v>8</v>
      </c>
      <c r="D99" s="199">
        <v>2019</v>
      </c>
      <c r="E99" s="199" t="s">
        <v>98</v>
      </c>
      <c r="F99" s="199" t="s">
        <v>95</v>
      </c>
      <c r="G99" s="223">
        <v>0</v>
      </c>
      <c r="H99" s="199" t="s">
        <v>276</v>
      </c>
    </row>
    <row r="100" spans="1:8">
      <c r="A100" s="218">
        <v>44196</v>
      </c>
      <c r="B100" s="199" t="s">
        <v>37</v>
      </c>
      <c r="C100" s="199" t="s">
        <v>8</v>
      </c>
      <c r="D100" s="199">
        <v>2020</v>
      </c>
      <c r="E100" s="199" t="s">
        <v>98</v>
      </c>
      <c r="F100" s="199" t="s">
        <v>95</v>
      </c>
      <c r="G100" s="223">
        <v>0</v>
      </c>
      <c r="H100" s="199" t="s">
        <v>276</v>
      </c>
    </row>
    <row r="101" spans="1:8">
      <c r="A101" s="218">
        <v>44196</v>
      </c>
      <c r="B101" s="199" t="s">
        <v>29</v>
      </c>
      <c r="C101" s="199" t="s">
        <v>8</v>
      </c>
      <c r="D101" s="199">
        <v>2020</v>
      </c>
      <c r="E101" s="199" t="s">
        <v>98</v>
      </c>
      <c r="F101" s="199" t="s">
        <v>95</v>
      </c>
      <c r="G101" s="223">
        <v>0</v>
      </c>
      <c r="H101" s="199" t="s">
        <v>276</v>
      </c>
    </row>
    <row r="102" spans="1:8">
      <c r="A102" s="218">
        <v>44196</v>
      </c>
      <c r="B102" s="199" t="s">
        <v>31</v>
      </c>
      <c r="C102" s="199" t="s">
        <v>8</v>
      </c>
      <c r="D102" s="199">
        <v>2019</v>
      </c>
      <c r="E102" s="199" t="s">
        <v>98</v>
      </c>
      <c r="F102" s="199" t="s">
        <v>95</v>
      </c>
      <c r="G102" s="223">
        <v>0</v>
      </c>
      <c r="H102" s="199" t="s">
        <v>276</v>
      </c>
    </row>
    <row r="103" spans="1:8">
      <c r="A103" s="218">
        <v>44196</v>
      </c>
      <c r="B103" s="199" t="s">
        <v>37</v>
      </c>
      <c r="C103" s="199" t="s">
        <v>8</v>
      </c>
      <c r="D103" s="199">
        <v>2019</v>
      </c>
      <c r="E103" s="199" t="s">
        <v>98</v>
      </c>
      <c r="F103" s="199" t="s">
        <v>95</v>
      </c>
      <c r="G103" s="223">
        <v>0</v>
      </c>
      <c r="H103" s="199" t="s">
        <v>276</v>
      </c>
    </row>
    <row r="104" spans="1:8">
      <c r="A104" s="218">
        <v>44196</v>
      </c>
      <c r="B104" s="199" t="s">
        <v>36</v>
      </c>
      <c r="C104" s="199" t="s">
        <v>8</v>
      </c>
      <c r="D104" s="199">
        <v>2020</v>
      </c>
      <c r="E104" s="199" t="s">
        <v>98</v>
      </c>
      <c r="F104" s="199" t="s">
        <v>95</v>
      </c>
      <c r="G104" s="223">
        <v>0</v>
      </c>
      <c r="H104" s="199" t="s">
        <v>276</v>
      </c>
    </row>
    <row r="105" spans="1:8">
      <c r="A105" s="218">
        <v>44196</v>
      </c>
      <c r="B105" s="199" t="s">
        <v>31</v>
      </c>
      <c r="C105" s="199" t="s">
        <v>8</v>
      </c>
      <c r="D105" s="199">
        <v>2020</v>
      </c>
      <c r="E105" s="199" t="s">
        <v>98</v>
      </c>
      <c r="F105" s="199" t="s">
        <v>95</v>
      </c>
      <c r="G105" s="223">
        <v>0</v>
      </c>
      <c r="H105" s="199" t="s">
        <v>276</v>
      </c>
    </row>
    <row r="106" spans="1:8">
      <c r="A106" s="218">
        <v>44196</v>
      </c>
      <c r="B106" s="199" t="s">
        <v>35</v>
      </c>
      <c r="C106" s="199" t="s">
        <v>8</v>
      </c>
      <c r="D106" s="199">
        <v>2019</v>
      </c>
      <c r="E106" s="199" t="s">
        <v>98</v>
      </c>
      <c r="F106" s="199" t="s">
        <v>95</v>
      </c>
      <c r="G106" s="223">
        <v>0</v>
      </c>
      <c r="H106" s="199" t="s">
        <v>276</v>
      </c>
    </row>
    <row r="107" spans="1:8">
      <c r="A107" s="218">
        <v>44196</v>
      </c>
      <c r="B107" s="199" t="s">
        <v>29</v>
      </c>
      <c r="C107" s="199" t="s">
        <v>8</v>
      </c>
      <c r="D107" s="199">
        <v>2019</v>
      </c>
      <c r="E107" s="199" t="s">
        <v>99</v>
      </c>
      <c r="F107" s="199" t="s">
        <v>95</v>
      </c>
      <c r="G107" s="223">
        <v>0</v>
      </c>
      <c r="H107" s="199" t="s">
        <v>276</v>
      </c>
    </row>
    <row r="108" spans="1:8">
      <c r="A108" s="218">
        <v>44196</v>
      </c>
      <c r="B108" s="199" t="s">
        <v>29</v>
      </c>
      <c r="C108" s="199" t="s">
        <v>8</v>
      </c>
      <c r="D108" s="199">
        <v>2020</v>
      </c>
      <c r="E108" s="199" t="s">
        <v>99</v>
      </c>
      <c r="F108" s="199" t="s">
        <v>95</v>
      </c>
      <c r="G108" s="223">
        <v>0</v>
      </c>
      <c r="H108" s="199" t="s">
        <v>276</v>
      </c>
    </row>
    <row r="109" spans="1:8">
      <c r="A109" s="218">
        <v>44196</v>
      </c>
      <c r="B109" s="199" t="s">
        <v>36</v>
      </c>
      <c r="C109" s="199" t="s">
        <v>8</v>
      </c>
      <c r="D109" s="199">
        <v>2019</v>
      </c>
      <c r="E109" s="199" t="s">
        <v>99</v>
      </c>
      <c r="F109" s="199" t="s">
        <v>95</v>
      </c>
      <c r="G109" s="223">
        <v>0</v>
      </c>
      <c r="H109" s="199" t="s">
        <v>276</v>
      </c>
    </row>
    <row r="110" spans="1:8">
      <c r="A110" s="218">
        <v>44196</v>
      </c>
      <c r="B110" s="199" t="s">
        <v>36</v>
      </c>
      <c r="C110" s="199" t="s">
        <v>8</v>
      </c>
      <c r="D110" s="199">
        <v>2020</v>
      </c>
      <c r="E110" s="199" t="s">
        <v>99</v>
      </c>
      <c r="F110" s="199" t="s">
        <v>95</v>
      </c>
      <c r="G110" s="223">
        <v>0</v>
      </c>
      <c r="H110" s="199" t="s">
        <v>276</v>
      </c>
    </row>
    <row r="111" spans="1:8">
      <c r="A111" s="218">
        <v>44196</v>
      </c>
      <c r="B111" s="199" t="s">
        <v>31</v>
      </c>
      <c r="C111" s="199" t="s">
        <v>8</v>
      </c>
      <c r="D111" s="199">
        <v>2020</v>
      </c>
      <c r="E111" s="199" t="s">
        <v>99</v>
      </c>
      <c r="F111" s="199" t="s">
        <v>95</v>
      </c>
      <c r="G111" s="223">
        <v>0</v>
      </c>
      <c r="H111" s="199" t="s">
        <v>276</v>
      </c>
    </row>
    <row r="112" spans="1:8">
      <c r="A112" s="218">
        <v>44196</v>
      </c>
      <c r="B112" s="199" t="s">
        <v>31</v>
      </c>
      <c r="C112" s="199" t="s">
        <v>8</v>
      </c>
      <c r="D112" s="199">
        <v>2019</v>
      </c>
      <c r="E112" s="199" t="s">
        <v>99</v>
      </c>
      <c r="F112" s="199" t="s">
        <v>95</v>
      </c>
      <c r="G112" s="223">
        <v>0</v>
      </c>
      <c r="H112" s="199" t="s">
        <v>276</v>
      </c>
    </row>
    <row r="113" spans="1:8">
      <c r="A113" s="218">
        <v>44196</v>
      </c>
      <c r="B113" s="199" t="s">
        <v>37</v>
      </c>
      <c r="C113" s="199" t="s">
        <v>8</v>
      </c>
      <c r="D113" s="199">
        <v>2020</v>
      </c>
      <c r="E113" s="199" t="s">
        <v>99</v>
      </c>
      <c r="F113" s="199" t="s">
        <v>95</v>
      </c>
      <c r="G113" s="223">
        <v>0</v>
      </c>
      <c r="H113" s="199" t="s">
        <v>276</v>
      </c>
    </row>
    <row r="114" spans="1:8">
      <c r="A114" s="218">
        <v>44196</v>
      </c>
      <c r="B114" s="199" t="s">
        <v>31</v>
      </c>
      <c r="C114" s="199" t="s">
        <v>8</v>
      </c>
      <c r="D114" s="199">
        <v>2020</v>
      </c>
      <c r="E114" s="199" t="s">
        <v>100</v>
      </c>
      <c r="F114" s="199" t="s">
        <v>95</v>
      </c>
      <c r="G114" s="223">
        <v>0</v>
      </c>
      <c r="H114" s="199" t="s">
        <v>276</v>
      </c>
    </row>
    <row r="115" spans="1:8">
      <c r="A115" s="218">
        <v>44196</v>
      </c>
      <c r="B115" s="199" t="s">
        <v>31</v>
      </c>
      <c r="C115" s="199" t="s">
        <v>8</v>
      </c>
      <c r="D115" s="199">
        <v>2019</v>
      </c>
      <c r="E115" s="199" t="s">
        <v>100</v>
      </c>
      <c r="F115" s="199" t="s">
        <v>95</v>
      </c>
      <c r="G115" s="223">
        <v>0</v>
      </c>
      <c r="H115" s="199" t="s">
        <v>276</v>
      </c>
    </row>
    <row r="116" spans="1:8">
      <c r="A116" s="218">
        <v>44196</v>
      </c>
      <c r="B116" s="199" t="s">
        <v>29</v>
      </c>
      <c r="C116" s="199" t="s">
        <v>8</v>
      </c>
      <c r="D116" s="199">
        <v>2019</v>
      </c>
      <c r="E116" s="199" t="s">
        <v>100</v>
      </c>
      <c r="F116" s="199" t="s">
        <v>95</v>
      </c>
      <c r="G116" s="223">
        <v>0</v>
      </c>
      <c r="H116" s="199" t="s">
        <v>276</v>
      </c>
    </row>
    <row r="117" spans="1:8">
      <c r="A117" s="218">
        <v>44196</v>
      </c>
      <c r="B117" s="199" t="s">
        <v>29</v>
      </c>
      <c r="C117" s="199" t="s">
        <v>8</v>
      </c>
      <c r="D117" s="199">
        <v>2020</v>
      </c>
      <c r="E117" s="199" t="s">
        <v>100</v>
      </c>
      <c r="F117" s="199" t="s">
        <v>95</v>
      </c>
      <c r="G117" s="223">
        <v>0</v>
      </c>
      <c r="H117" s="199" t="s">
        <v>276</v>
      </c>
    </row>
    <row r="118" spans="1:8">
      <c r="A118" s="218">
        <v>44196</v>
      </c>
      <c r="B118" s="199" t="s">
        <v>36</v>
      </c>
      <c r="C118" s="199" t="s">
        <v>8</v>
      </c>
      <c r="D118" s="199">
        <v>2020</v>
      </c>
      <c r="E118" s="199" t="s">
        <v>100</v>
      </c>
      <c r="F118" s="199" t="s">
        <v>95</v>
      </c>
      <c r="G118" s="223">
        <v>0</v>
      </c>
      <c r="H118" s="199" t="s">
        <v>276</v>
      </c>
    </row>
    <row r="119" spans="1:8">
      <c r="A119" s="218">
        <v>44196</v>
      </c>
      <c r="B119" s="199" t="s">
        <v>35</v>
      </c>
      <c r="C119" s="199" t="s">
        <v>8</v>
      </c>
      <c r="D119" s="199">
        <v>2020</v>
      </c>
      <c r="E119" s="199" t="s">
        <v>100</v>
      </c>
      <c r="F119" s="199" t="s">
        <v>95</v>
      </c>
      <c r="G119" s="223">
        <v>0</v>
      </c>
      <c r="H119" s="199" t="s">
        <v>276</v>
      </c>
    </row>
    <row r="120" spans="1:8">
      <c r="A120" s="218">
        <v>44196</v>
      </c>
      <c r="B120" s="199" t="s">
        <v>36</v>
      </c>
      <c r="C120" s="199" t="s">
        <v>8</v>
      </c>
      <c r="D120" s="199">
        <v>2019</v>
      </c>
      <c r="E120" s="199" t="s">
        <v>100</v>
      </c>
      <c r="F120" s="199" t="s">
        <v>95</v>
      </c>
      <c r="G120" s="223">
        <v>0</v>
      </c>
      <c r="H120" s="199" t="s">
        <v>276</v>
      </c>
    </row>
    <row r="121" spans="1:8">
      <c r="A121" s="218">
        <v>44196</v>
      </c>
      <c r="B121" s="199" t="s">
        <v>37</v>
      </c>
      <c r="C121" s="199" t="s">
        <v>8</v>
      </c>
      <c r="D121" s="199">
        <v>2020</v>
      </c>
      <c r="E121" s="199" t="s">
        <v>100</v>
      </c>
      <c r="F121" s="199" t="s">
        <v>95</v>
      </c>
      <c r="G121" s="223">
        <v>0</v>
      </c>
      <c r="H121" s="199" t="s">
        <v>276</v>
      </c>
    </row>
    <row r="122" spans="1:8">
      <c r="A122" s="218">
        <v>44196</v>
      </c>
      <c r="B122" s="199" t="s">
        <v>41</v>
      </c>
      <c r="C122" s="199" t="s">
        <v>8</v>
      </c>
      <c r="D122" s="199">
        <v>2020</v>
      </c>
      <c r="E122" s="199" t="s">
        <v>101</v>
      </c>
      <c r="F122" s="199" t="s">
        <v>95</v>
      </c>
      <c r="G122" s="223">
        <v>0</v>
      </c>
      <c r="H122" s="199" t="s">
        <v>276</v>
      </c>
    </row>
    <row r="123" spans="1:8">
      <c r="A123" s="218">
        <v>44196</v>
      </c>
      <c r="B123" s="199" t="s">
        <v>45</v>
      </c>
      <c r="C123" s="199" t="s">
        <v>8</v>
      </c>
      <c r="D123" s="199">
        <v>2020</v>
      </c>
      <c r="E123" s="199" t="s">
        <v>101</v>
      </c>
      <c r="F123" s="199" t="s">
        <v>95</v>
      </c>
      <c r="G123" s="223">
        <v>0</v>
      </c>
      <c r="H123" s="199" t="s">
        <v>276</v>
      </c>
    </row>
    <row r="124" spans="1:8">
      <c r="A124" s="218">
        <v>44196</v>
      </c>
      <c r="B124" s="199" t="s">
        <v>43</v>
      </c>
      <c r="C124" s="199" t="s">
        <v>8</v>
      </c>
      <c r="D124" s="199">
        <v>2020</v>
      </c>
      <c r="E124" s="199" t="s">
        <v>101</v>
      </c>
      <c r="F124" s="199" t="s">
        <v>95</v>
      </c>
      <c r="G124" s="223">
        <v>0</v>
      </c>
      <c r="H124" s="199" t="s">
        <v>276</v>
      </c>
    </row>
    <row r="125" spans="1:8">
      <c r="A125" s="218">
        <v>44196</v>
      </c>
      <c r="B125" s="199" t="s">
        <v>33</v>
      </c>
      <c r="C125" s="199" t="s">
        <v>8</v>
      </c>
      <c r="D125" s="199">
        <v>2020</v>
      </c>
      <c r="E125" s="199" t="s">
        <v>101</v>
      </c>
      <c r="F125" s="199" t="s">
        <v>95</v>
      </c>
      <c r="G125" s="223">
        <v>0</v>
      </c>
      <c r="H125" s="199" t="s">
        <v>276</v>
      </c>
    </row>
    <row r="126" spans="1:8">
      <c r="A126" s="218">
        <v>44196</v>
      </c>
      <c r="B126" s="199" t="s">
        <v>31</v>
      </c>
      <c r="C126" s="199" t="s">
        <v>8</v>
      </c>
      <c r="D126" s="199">
        <v>2020</v>
      </c>
      <c r="E126" s="199" t="s">
        <v>101</v>
      </c>
      <c r="F126" s="199" t="s">
        <v>95</v>
      </c>
      <c r="G126" s="223">
        <v>0</v>
      </c>
      <c r="H126" s="199" t="s">
        <v>276</v>
      </c>
    </row>
    <row r="127" spans="1:8">
      <c r="A127" s="218">
        <v>44196</v>
      </c>
      <c r="B127" s="199" t="s">
        <v>48</v>
      </c>
      <c r="C127" s="199" t="s">
        <v>8</v>
      </c>
      <c r="D127" s="199">
        <v>2020</v>
      </c>
      <c r="E127" s="199" t="s">
        <v>101</v>
      </c>
      <c r="F127" s="199" t="s">
        <v>95</v>
      </c>
      <c r="G127" s="223">
        <v>0</v>
      </c>
      <c r="H127" s="199" t="s">
        <v>276</v>
      </c>
    </row>
    <row r="128" spans="1:8">
      <c r="A128" s="218">
        <v>44196</v>
      </c>
      <c r="B128" s="199" t="s">
        <v>39</v>
      </c>
      <c r="C128" s="199" t="s">
        <v>8</v>
      </c>
      <c r="D128" s="199">
        <v>2020</v>
      </c>
      <c r="E128" s="199" t="s">
        <v>101</v>
      </c>
      <c r="F128" s="199" t="s">
        <v>95</v>
      </c>
      <c r="G128" s="223">
        <v>0</v>
      </c>
      <c r="H128" s="199" t="s">
        <v>276</v>
      </c>
    </row>
    <row r="129" spans="1:8">
      <c r="A129" s="218">
        <v>44196</v>
      </c>
      <c r="B129" s="199" t="s">
        <v>47</v>
      </c>
      <c r="C129" s="199" t="s">
        <v>8</v>
      </c>
      <c r="D129" s="199">
        <v>2020</v>
      </c>
      <c r="E129" s="199" t="s">
        <v>101</v>
      </c>
      <c r="F129" s="199" t="s">
        <v>95</v>
      </c>
      <c r="G129" s="223">
        <v>0</v>
      </c>
      <c r="H129" s="199" t="s">
        <v>276</v>
      </c>
    </row>
    <row r="130" spans="1:8">
      <c r="A130" s="218">
        <v>44196</v>
      </c>
      <c r="B130" s="199" t="s">
        <v>29</v>
      </c>
      <c r="C130" s="199" t="s">
        <v>8</v>
      </c>
      <c r="D130" s="199">
        <v>2020</v>
      </c>
      <c r="E130" s="199" t="s">
        <v>101</v>
      </c>
      <c r="F130" s="199" t="s">
        <v>95</v>
      </c>
      <c r="G130" s="223">
        <v>0</v>
      </c>
      <c r="H130" s="199" t="s">
        <v>276</v>
      </c>
    </row>
    <row r="131" spans="1:8">
      <c r="A131" s="218">
        <v>44196</v>
      </c>
      <c r="B131" s="199" t="s">
        <v>41</v>
      </c>
      <c r="C131" s="199" t="s">
        <v>8</v>
      </c>
      <c r="D131" s="199">
        <v>2019</v>
      </c>
      <c r="E131" s="199" t="s">
        <v>101</v>
      </c>
      <c r="F131" s="199" t="s">
        <v>95</v>
      </c>
      <c r="G131" s="223">
        <v>0</v>
      </c>
      <c r="H131" s="199" t="s">
        <v>276</v>
      </c>
    </row>
    <row r="132" spans="1:8">
      <c r="A132" s="218">
        <v>44196</v>
      </c>
      <c r="B132" s="199" t="s">
        <v>45</v>
      </c>
      <c r="C132" s="199" t="s">
        <v>8</v>
      </c>
      <c r="D132" s="199">
        <v>2019</v>
      </c>
      <c r="E132" s="199" t="s">
        <v>101</v>
      </c>
      <c r="F132" s="199" t="s">
        <v>95</v>
      </c>
      <c r="G132" s="223">
        <v>0</v>
      </c>
      <c r="H132" s="199" t="s">
        <v>276</v>
      </c>
    </row>
    <row r="133" spans="1:8">
      <c r="A133" s="218">
        <v>44196</v>
      </c>
      <c r="B133" s="199" t="s">
        <v>33</v>
      </c>
      <c r="C133" s="199" t="s">
        <v>8</v>
      </c>
      <c r="D133" s="199">
        <v>2019</v>
      </c>
      <c r="E133" s="199" t="s">
        <v>101</v>
      </c>
      <c r="F133" s="199" t="s">
        <v>95</v>
      </c>
      <c r="G133" s="223">
        <v>0</v>
      </c>
      <c r="H133" s="199" t="s">
        <v>276</v>
      </c>
    </row>
    <row r="134" spans="1:8">
      <c r="A134" s="218">
        <v>44196</v>
      </c>
      <c r="B134" s="199" t="s">
        <v>43</v>
      </c>
      <c r="C134" s="199" t="s">
        <v>8</v>
      </c>
      <c r="D134" s="199">
        <v>2019</v>
      </c>
      <c r="E134" s="199" t="s">
        <v>101</v>
      </c>
      <c r="F134" s="199" t="s">
        <v>95</v>
      </c>
      <c r="G134" s="223">
        <v>0</v>
      </c>
      <c r="H134" s="199" t="s">
        <v>276</v>
      </c>
    </row>
    <row r="135" spans="1:8">
      <c r="A135" s="218">
        <v>44196</v>
      </c>
      <c r="B135" s="199" t="s">
        <v>47</v>
      </c>
      <c r="C135" s="199" t="s">
        <v>8</v>
      </c>
      <c r="D135" s="199">
        <v>2019</v>
      </c>
      <c r="E135" s="199" t="s">
        <v>101</v>
      </c>
      <c r="F135" s="199" t="s">
        <v>95</v>
      </c>
      <c r="G135" s="223">
        <v>0</v>
      </c>
      <c r="H135" s="199" t="s">
        <v>276</v>
      </c>
    </row>
    <row r="136" spans="1:8">
      <c r="A136" s="218">
        <v>44196</v>
      </c>
      <c r="B136" s="199" t="s">
        <v>35</v>
      </c>
      <c r="C136" s="199" t="s">
        <v>8</v>
      </c>
      <c r="D136" s="199">
        <v>2020</v>
      </c>
      <c r="E136" s="199" t="s">
        <v>101</v>
      </c>
      <c r="F136" s="199" t="s">
        <v>95</v>
      </c>
      <c r="G136" s="223">
        <v>0</v>
      </c>
      <c r="H136" s="199" t="s">
        <v>276</v>
      </c>
    </row>
    <row r="137" spans="1:8">
      <c r="A137" s="218">
        <v>44196</v>
      </c>
      <c r="B137" s="199" t="s">
        <v>29</v>
      </c>
      <c r="C137" s="199" t="s">
        <v>8</v>
      </c>
      <c r="D137" s="199">
        <v>2019</v>
      </c>
      <c r="E137" s="199" t="s">
        <v>175</v>
      </c>
      <c r="F137" s="199" t="s">
        <v>95</v>
      </c>
      <c r="G137" s="223">
        <v>0</v>
      </c>
      <c r="H137" s="199" t="s">
        <v>276</v>
      </c>
    </row>
    <row r="138" spans="1:8">
      <c r="A138" s="218">
        <v>44196</v>
      </c>
      <c r="B138" s="199" t="s">
        <v>37</v>
      </c>
      <c r="C138" s="199" t="s">
        <v>8</v>
      </c>
      <c r="D138" s="199">
        <v>2019</v>
      </c>
      <c r="E138" s="199" t="s">
        <v>175</v>
      </c>
      <c r="F138" s="199" t="s">
        <v>95</v>
      </c>
      <c r="G138" s="223">
        <v>0</v>
      </c>
      <c r="H138" s="199" t="s">
        <v>276</v>
      </c>
    </row>
    <row r="139" spans="1:8">
      <c r="A139" s="218">
        <v>44196</v>
      </c>
      <c r="B139" s="199" t="s">
        <v>31</v>
      </c>
      <c r="C139" s="199" t="s">
        <v>8</v>
      </c>
      <c r="D139" s="199">
        <v>2019</v>
      </c>
      <c r="E139" s="199" t="s">
        <v>175</v>
      </c>
      <c r="F139" s="199" t="s">
        <v>95</v>
      </c>
      <c r="G139" s="223">
        <v>0</v>
      </c>
      <c r="H139" s="199" t="s">
        <v>276</v>
      </c>
    </row>
    <row r="140" spans="1:8">
      <c r="A140" s="218">
        <v>44196</v>
      </c>
      <c r="B140" s="199" t="s">
        <v>36</v>
      </c>
      <c r="C140" s="199" t="s">
        <v>8</v>
      </c>
      <c r="D140" s="199">
        <v>2019</v>
      </c>
      <c r="E140" s="199" t="s">
        <v>175</v>
      </c>
      <c r="F140" s="199" t="s">
        <v>95</v>
      </c>
      <c r="G140" s="223">
        <v>0</v>
      </c>
      <c r="H140" s="199" t="s">
        <v>276</v>
      </c>
    </row>
    <row r="141" spans="1:8">
      <c r="A141" s="218">
        <v>44196</v>
      </c>
      <c r="B141" s="199" t="s">
        <v>29</v>
      </c>
      <c r="C141" s="199" t="s">
        <v>8</v>
      </c>
      <c r="D141" s="199">
        <v>2019</v>
      </c>
      <c r="E141" s="199" t="s">
        <v>102</v>
      </c>
      <c r="F141" s="199" t="s">
        <v>95</v>
      </c>
      <c r="G141" s="223">
        <v>0</v>
      </c>
      <c r="H141" s="199" t="s">
        <v>276</v>
      </c>
    </row>
    <row r="142" spans="1:8">
      <c r="A142" s="218">
        <v>44196</v>
      </c>
      <c r="B142" s="199" t="s">
        <v>37</v>
      </c>
      <c r="C142" s="199" t="s">
        <v>8</v>
      </c>
      <c r="D142" s="199">
        <v>2019</v>
      </c>
      <c r="E142" s="199" t="s">
        <v>102</v>
      </c>
      <c r="F142" s="199" t="s">
        <v>95</v>
      </c>
      <c r="G142" s="223">
        <v>0</v>
      </c>
      <c r="H142" s="199" t="s">
        <v>276</v>
      </c>
    </row>
    <row r="143" spans="1:8">
      <c r="A143" s="218">
        <v>44196</v>
      </c>
      <c r="B143" s="199" t="s">
        <v>29</v>
      </c>
      <c r="C143" s="199" t="s">
        <v>8</v>
      </c>
      <c r="D143" s="199">
        <v>2020</v>
      </c>
      <c r="E143" s="199" t="s">
        <v>102</v>
      </c>
      <c r="F143" s="199" t="s">
        <v>95</v>
      </c>
      <c r="G143" s="223">
        <v>0</v>
      </c>
      <c r="H143" s="199" t="s">
        <v>276</v>
      </c>
    </row>
    <row r="144" spans="1:8">
      <c r="A144" s="218">
        <v>44196</v>
      </c>
      <c r="B144" s="199" t="s">
        <v>31</v>
      </c>
      <c r="C144" s="199" t="s">
        <v>8</v>
      </c>
      <c r="D144" s="199">
        <v>2020</v>
      </c>
      <c r="E144" s="199" t="s">
        <v>102</v>
      </c>
      <c r="F144" s="199" t="s">
        <v>95</v>
      </c>
      <c r="G144" s="223">
        <v>0</v>
      </c>
      <c r="H144" s="199" t="s">
        <v>276</v>
      </c>
    </row>
    <row r="145" spans="1:8">
      <c r="A145" s="218">
        <v>44196</v>
      </c>
      <c r="B145" s="199" t="s">
        <v>36</v>
      </c>
      <c r="C145" s="199" t="s">
        <v>8</v>
      </c>
      <c r="D145" s="199">
        <v>2020</v>
      </c>
      <c r="E145" s="199" t="s">
        <v>102</v>
      </c>
      <c r="F145" s="199" t="s">
        <v>95</v>
      </c>
      <c r="G145" s="223">
        <v>0</v>
      </c>
      <c r="H145" s="199" t="s">
        <v>276</v>
      </c>
    </row>
    <row r="146" spans="1:8">
      <c r="A146" s="218">
        <v>44196</v>
      </c>
      <c r="B146" s="199" t="s">
        <v>36</v>
      </c>
      <c r="C146" s="199" t="s">
        <v>8</v>
      </c>
      <c r="D146" s="199">
        <v>2019</v>
      </c>
      <c r="E146" s="199" t="s">
        <v>102</v>
      </c>
      <c r="F146" s="199" t="s">
        <v>95</v>
      </c>
      <c r="G146" s="223">
        <v>0</v>
      </c>
      <c r="H146" s="199" t="s">
        <v>276</v>
      </c>
    </row>
    <row r="147" spans="1:8">
      <c r="A147" s="218">
        <v>44196</v>
      </c>
      <c r="B147" s="199" t="s">
        <v>31</v>
      </c>
      <c r="C147" s="199" t="s">
        <v>8</v>
      </c>
      <c r="D147" s="199">
        <v>2019</v>
      </c>
      <c r="E147" s="199" t="s">
        <v>102</v>
      </c>
      <c r="F147" s="199" t="s">
        <v>95</v>
      </c>
      <c r="G147" s="223">
        <v>0</v>
      </c>
      <c r="H147" s="199" t="s">
        <v>276</v>
      </c>
    </row>
    <row r="148" spans="1:8">
      <c r="A148" s="218">
        <v>44196</v>
      </c>
      <c r="B148" s="199" t="s">
        <v>37</v>
      </c>
      <c r="C148" s="199" t="s">
        <v>8</v>
      </c>
      <c r="D148" s="199">
        <v>2020</v>
      </c>
      <c r="E148" s="199" t="s">
        <v>102</v>
      </c>
      <c r="F148" s="199" t="s">
        <v>95</v>
      </c>
      <c r="G148" s="223">
        <v>0</v>
      </c>
      <c r="H148" s="199" t="s">
        <v>276</v>
      </c>
    </row>
    <row r="149" spans="1:8">
      <c r="A149" s="218">
        <v>44196</v>
      </c>
      <c r="B149" s="199" t="s">
        <v>35</v>
      </c>
      <c r="C149" s="199" t="s">
        <v>8</v>
      </c>
      <c r="D149" s="199">
        <v>2020</v>
      </c>
      <c r="E149" s="199" t="s">
        <v>102</v>
      </c>
      <c r="F149" s="199" t="s">
        <v>95</v>
      </c>
      <c r="G149" s="223">
        <v>0</v>
      </c>
      <c r="H149" s="199" t="s">
        <v>276</v>
      </c>
    </row>
    <row r="150" spans="1:8">
      <c r="A150" s="218">
        <v>44196</v>
      </c>
      <c r="B150" s="199" t="s">
        <v>35</v>
      </c>
      <c r="C150" s="199" t="s">
        <v>8</v>
      </c>
      <c r="D150" s="199">
        <v>2019</v>
      </c>
      <c r="E150" s="199" t="s">
        <v>102</v>
      </c>
      <c r="F150" s="199" t="s">
        <v>95</v>
      </c>
      <c r="G150" s="223">
        <v>0</v>
      </c>
      <c r="H150" s="199" t="s">
        <v>276</v>
      </c>
    </row>
    <row r="151" spans="1:8">
      <c r="A151" s="218">
        <v>44196</v>
      </c>
      <c r="B151" s="199" t="s">
        <v>31</v>
      </c>
      <c r="C151" s="199" t="s">
        <v>8</v>
      </c>
      <c r="D151" s="199">
        <v>2020</v>
      </c>
      <c r="E151" s="199" t="s">
        <v>103</v>
      </c>
      <c r="F151" s="199" t="s">
        <v>95</v>
      </c>
      <c r="G151" s="223">
        <v>0</v>
      </c>
      <c r="H151" s="199" t="s">
        <v>276</v>
      </c>
    </row>
    <row r="152" spans="1:8">
      <c r="A152" s="218">
        <v>44196</v>
      </c>
      <c r="B152" s="199" t="s">
        <v>29</v>
      </c>
      <c r="C152" s="199" t="s">
        <v>8</v>
      </c>
      <c r="D152" s="199">
        <v>2020</v>
      </c>
      <c r="E152" s="199" t="s">
        <v>103</v>
      </c>
      <c r="F152" s="199" t="s">
        <v>95</v>
      </c>
      <c r="G152" s="223">
        <v>0</v>
      </c>
      <c r="H152" s="199" t="s">
        <v>276</v>
      </c>
    </row>
    <row r="153" spans="1:8">
      <c r="A153" s="218">
        <v>44196</v>
      </c>
      <c r="B153" s="199" t="s">
        <v>29</v>
      </c>
      <c r="C153" s="199" t="s">
        <v>8</v>
      </c>
      <c r="D153" s="199">
        <v>2019</v>
      </c>
      <c r="E153" s="199" t="s">
        <v>103</v>
      </c>
      <c r="F153" s="199" t="s">
        <v>95</v>
      </c>
      <c r="G153" s="223">
        <v>0</v>
      </c>
      <c r="H153" s="199" t="s">
        <v>276</v>
      </c>
    </row>
    <row r="154" spans="1:8">
      <c r="A154" s="218">
        <v>44196</v>
      </c>
      <c r="B154" s="199" t="s">
        <v>31</v>
      </c>
      <c r="C154" s="199" t="s">
        <v>8</v>
      </c>
      <c r="D154" s="199">
        <v>2019</v>
      </c>
      <c r="E154" s="199" t="s">
        <v>103</v>
      </c>
      <c r="F154" s="199" t="s">
        <v>95</v>
      </c>
      <c r="G154" s="223">
        <v>0</v>
      </c>
      <c r="H154" s="199" t="s">
        <v>276</v>
      </c>
    </row>
    <row r="155" spans="1:8">
      <c r="A155" s="218">
        <v>44196</v>
      </c>
      <c r="B155" s="199" t="s">
        <v>37</v>
      </c>
      <c r="C155" s="199" t="s">
        <v>8</v>
      </c>
      <c r="D155" s="199">
        <v>2020</v>
      </c>
      <c r="E155" s="199" t="s">
        <v>103</v>
      </c>
      <c r="F155" s="199" t="s">
        <v>95</v>
      </c>
      <c r="G155" s="223">
        <v>0</v>
      </c>
      <c r="H155" s="199" t="s">
        <v>276</v>
      </c>
    </row>
    <row r="156" spans="1:8">
      <c r="A156" s="218">
        <v>44196</v>
      </c>
      <c r="B156" s="199" t="s">
        <v>36</v>
      </c>
      <c r="C156" s="199" t="s">
        <v>8</v>
      </c>
      <c r="D156" s="199">
        <v>2020</v>
      </c>
      <c r="E156" s="199" t="s">
        <v>103</v>
      </c>
      <c r="F156" s="199" t="s">
        <v>95</v>
      </c>
      <c r="G156" s="223">
        <v>0</v>
      </c>
      <c r="H156" s="199" t="s">
        <v>276</v>
      </c>
    </row>
    <row r="157" spans="1:8">
      <c r="A157" s="218">
        <v>44196</v>
      </c>
      <c r="B157" s="199" t="s">
        <v>36</v>
      </c>
      <c r="C157" s="199" t="s">
        <v>8</v>
      </c>
      <c r="D157" s="199">
        <v>2019</v>
      </c>
      <c r="E157" s="199" t="s">
        <v>103</v>
      </c>
      <c r="F157" s="199" t="s">
        <v>95</v>
      </c>
      <c r="G157" s="223">
        <v>0</v>
      </c>
      <c r="H157" s="199" t="s">
        <v>276</v>
      </c>
    </row>
    <row r="158" spans="1:8">
      <c r="A158" s="218">
        <v>44196</v>
      </c>
      <c r="B158" s="199" t="s">
        <v>37</v>
      </c>
      <c r="C158" s="199" t="s">
        <v>8</v>
      </c>
      <c r="D158" s="199">
        <v>2019</v>
      </c>
      <c r="E158" s="199" t="s">
        <v>103</v>
      </c>
      <c r="F158" s="199" t="s">
        <v>95</v>
      </c>
      <c r="G158" s="223">
        <v>0</v>
      </c>
      <c r="H158" s="199" t="s">
        <v>276</v>
      </c>
    </row>
    <row r="159" spans="1:8">
      <c r="A159" s="218">
        <v>44196</v>
      </c>
      <c r="B159" s="199" t="s">
        <v>31</v>
      </c>
      <c r="C159" s="199" t="s">
        <v>8</v>
      </c>
      <c r="D159" s="199">
        <v>2019</v>
      </c>
      <c r="E159" s="199" t="s">
        <v>104</v>
      </c>
      <c r="F159" s="199" t="s">
        <v>95</v>
      </c>
      <c r="G159" s="223">
        <v>0</v>
      </c>
      <c r="H159" s="199" t="s">
        <v>276</v>
      </c>
    </row>
    <row r="160" spans="1:8">
      <c r="A160" s="218">
        <v>44196</v>
      </c>
      <c r="B160" s="199" t="s">
        <v>36</v>
      </c>
      <c r="C160" s="199" t="s">
        <v>8</v>
      </c>
      <c r="D160" s="199">
        <v>2019</v>
      </c>
      <c r="E160" s="199" t="s">
        <v>104</v>
      </c>
      <c r="F160" s="199" t="s">
        <v>95</v>
      </c>
      <c r="G160" s="223">
        <v>0</v>
      </c>
      <c r="H160" s="199" t="s">
        <v>276</v>
      </c>
    </row>
    <row r="161" spans="1:8">
      <c r="A161" s="218">
        <v>44196</v>
      </c>
      <c r="B161" s="199" t="s">
        <v>29</v>
      </c>
      <c r="C161" s="199" t="s">
        <v>8</v>
      </c>
      <c r="D161" s="199">
        <v>2020</v>
      </c>
      <c r="E161" s="199" t="s">
        <v>104</v>
      </c>
      <c r="F161" s="199" t="s">
        <v>95</v>
      </c>
      <c r="G161" s="223">
        <v>0</v>
      </c>
      <c r="H161" s="199" t="s">
        <v>276</v>
      </c>
    </row>
    <row r="162" spans="1:8">
      <c r="A162" s="218">
        <v>44196</v>
      </c>
      <c r="B162" s="199" t="s">
        <v>31</v>
      </c>
      <c r="C162" s="199" t="s">
        <v>8</v>
      </c>
      <c r="D162" s="199">
        <v>2020</v>
      </c>
      <c r="E162" s="199" t="s">
        <v>104</v>
      </c>
      <c r="F162" s="199" t="s">
        <v>95</v>
      </c>
      <c r="G162" s="223">
        <v>0</v>
      </c>
      <c r="H162" s="199" t="s">
        <v>276</v>
      </c>
    </row>
    <row r="163" spans="1:8">
      <c r="A163" s="218">
        <v>44196</v>
      </c>
      <c r="B163" s="199" t="s">
        <v>37</v>
      </c>
      <c r="C163" s="199" t="s">
        <v>8</v>
      </c>
      <c r="D163" s="199">
        <v>2019</v>
      </c>
      <c r="E163" s="199" t="s">
        <v>104</v>
      </c>
      <c r="F163" s="199" t="s">
        <v>95</v>
      </c>
      <c r="G163" s="223">
        <v>0</v>
      </c>
      <c r="H163" s="199" t="s">
        <v>276</v>
      </c>
    </row>
    <row r="164" spans="1:8">
      <c r="A164" s="218">
        <v>44196</v>
      </c>
      <c r="B164" s="199" t="s">
        <v>29</v>
      </c>
      <c r="C164" s="199" t="s">
        <v>8</v>
      </c>
      <c r="D164" s="199">
        <v>2019</v>
      </c>
      <c r="E164" s="199" t="s">
        <v>104</v>
      </c>
      <c r="F164" s="199" t="s">
        <v>95</v>
      </c>
      <c r="G164" s="223">
        <v>0</v>
      </c>
      <c r="H164" s="199" t="s">
        <v>276</v>
      </c>
    </row>
    <row r="165" spans="1:8">
      <c r="A165" s="218">
        <v>44196</v>
      </c>
      <c r="B165" s="199" t="s">
        <v>36</v>
      </c>
      <c r="C165" s="199" t="s">
        <v>8</v>
      </c>
      <c r="D165" s="199">
        <v>2020</v>
      </c>
      <c r="E165" s="199" t="s">
        <v>104</v>
      </c>
      <c r="F165" s="199" t="s">
        <v>95</v>
      </c>
      <c r="G165" s="223">
        <v>0</v>
      </c>
      <c r="H165" s="199" t="s">
        <v>276</v>
      </c>
    </row>
    <row r="166" spans="1:8">
      <c r="A166" s="218">
        <v>44196</v>
      </c>
      <c r="B166" s="199" t="s">
        <v>37</v>
      </c>
      <c r="C166" s="199" t="s">
        <v>8</v>
      </c>
      <c r="D166" s="199">
        <v>2020</v>
      </c>
      <c r="E166" s="199" t="s">
        <v>104</v>
      </c>
      <c r="F166" s="199" t="s">
        <v>95</v>
      </c>
      <c r="G166" s="223">
        <v>0</v>
      </c>
      <c r="H166" s="199" t="s">
        <v>276</v>
      </c>
    </row>
    <row r="167" spans="1:8">
      <c r="A167" s="218">
        <v>44196</v>
      </c>
      <c r="B167" s="199" t="s">
        <v>29</v>
      </c>
      <c r="C167" s="199" t="s">
        <v>8</v>
      </c>
      <c r="D167" s="199">
        <v>2020</v>
      </c>
      <c r="E167" s="199" t="s">
        <v>105</v>
      </c>
      <c r="F167" s="199" t="s">
        <v>95</v>
      </c>
      <c r="G167" s="223">
        <v>0</v>
      </c>
      <c r="H167" s="199" t="s">
        <v>276</v>
      </c>
    </row>
    <row r="168" spans="1:8">
      <c r="A168" s="218">
        <v>44196</v>
      </c>
      <c r="B168" s="199" t="s">
        <v>37</v>
      </c>
      <c r="C168" s="199" t="s">
        <v>8</v>
      </c>
      <c r="D168" s="199">
        <v>2020</v>
      </c>
      <c r="E168" s="199" t="s">
        <v>105</v>
      </c>
      <c r="F168" s="199" t="s">
        <v>95</v>
      </c>
      <c r="G168" s="223">
        <v>0</v>
      </c>
      <c r="H168" s="199" t="s">
        <v>276</v>
      </c>
    </row>
    <row r="169" spans="1:8">
      <c r="A169" s="218">
        <v>44196</v>
      </c>
      <c r="B169" s="199" t="s">
        <v>36</v>
      </c>
      <c r="C169" s="199" t="s">
        <v>8</v>
      </c>
      <c r="D169" s="199">
        <v>2019</v>
      </c>
      <c r="E169" s="199" t="s">
        <v>105</v>
      </c>
      <c r="F169" s="199" t="s">
        <v>95</v>
      </c>
      <c r="G169" s="223">
        <v>0</v>
      </c>
      <c r="H169" s="199" t="s">
        <v>276</v>
      </c>
    </row>
    <row r="170" spans="1:8">
      <c r="A170" s="218">
        <v>44196</v>
      </c>
      <c r="B170" s="199" t="s">
        <v>29</v>
      </c>
      <c r="C170" s="199" t="s">
        <v>8</v>
      </c>
      <c r="D170" s="199">
        <v>2019</v>
      </c>
      <c r="E170" s="199" t="s">
        <v>105</v>
      </c>
      <c r="F170" s="199" t="s">
        <v>95</v>
      </c>
      <c r="G170" s="223">
        <v>0</v>
      </c>
      <c r="H170" s="199" t="s">
        <v>276</v>
      </c>
    </row>
    <row r="171" spans="1:8">
      <c r="A171" s="218">
        <v>44196</v>
      </c>
      <c r="B171" s="199" t="s">
        <v>31</v>
      </c>
      <c r="C171" s="199" t="s">
        <v>8</v>
      </c>
      <c r="D171" s="199">
        <v>2019</v>
      </c>
      <c r="E171" s="199" t="s">
        <v>105</v>
      </c>
      <c r="F171" s="199" t="s">
        <v>95</v>
      </c>
      <c r="G171" s="223">
        <v>0</v>
      </c>
      <c r="H171" s="199" t="s">
        <v>276</v>
      </c>
    </row>
    <row r="172" spans="1:8">
      <c r="A172" s="218">
        <v>44196</v>
      </c>
      <c r="B172" s="199" t="s">
        <v>37</v>
      </c>
      <c r="C172" s="199" t="s">
        <v>8</v>
      </c>
      <c r="D172" s="199">
        <v>2019</v>
      </c>
      <c r="E172" s="199" t="s">
        <v>105</v>
      </c>
      <c r="F172" s="199" t="s">
        <v>95</v>
      </c>
      <c r="G172" s="223">
        <v>0</v>
      </c>
      <c r="H172" s="199" t="s">
        <v>276</v>
      </c>
    </row>
    <row r="173" spans="1:8">
      <c r="A173" s="218">
        <v>44196</v>
      </c>
      <c r="B173" s="199" t="s">
        <v>36</v>
      </c>
      <c r="C173" s="199" t="s">
        <v>8</v>
      </c>
      <c r="D173" s="199">
        <v>2020</v>
      </c>
      <c r="E173" s="199" t="s">
        <v>105</v>
      </c>
      <c r="F173" s="199" t="s">
        <v>95</v>
      </c>
      <c r="G173" s="223">
        <v>0</v>
      </c>
      <c r="H173" s="199" t="s">
        <v>276</v>
      </c>
    </row>
    <row r="174" spans="1:8">
      <c r="A174" s="218">
        <v>44196</v>
      </c>
      <c r="B174" s="199" t="s">
        <v>31</v>
      </c>
      <c r="C174" s="199" t="s">
        <v>8</v>
      </c>
      <c r="D174" s="199">
        <v>2020</v>
      </c>
      <c r="E174" s="199" t="s">
        <v>105</v>
      </c>
      <c r="F174" s="199" t="s">
        <v>95</v>
      </c>
      <c r="G174" s="223">
        <v>0</v>
      </c>
      <c r="H174" s="199" t="s">
        <v>276</v>
      </c>
    </row>
    <row r="175" spans="1:8">
      <c r="A175" s="218">
        <v>44196</v>
      </c>
      <c r="B175" s="199" t="s">
        <v>29</v>
      </c>
      <c r="C175" s="199" t="s">
        <v>8</v>
      </c>
      <c r="D175" s="199">
        <v>2019</v>
      </c>
      <c r="E175" s="199" t="s">
        <v>106</v>
      </c>
      <c r="F175" s="199" t="s">
        <v>95</v>
      </c>
      <c r="G175" s="223">
        <v>0</v>
      </c>
      <c r="H175" s="199" t="s">
        <v>276</v>
      </c>
    </row>
    <row r="176" spans="1:8">
      <c r="A176" s="218">
        <v>44196</v>
      </c>
      <c r="B176" s="199" t="s">
        <v>31</v>
      </c>
      <c r="C176" s="199" t="s">
        <v>8</v>
      </c>
      <c r="D176" s="199">
        <v>2019</v>
      </c>
      <c r="E176" s="199" t="s">
        <v>106</v>
      </c>
      <c r="F176" s="199" t="s">
        <v>95</v>
      </c>
      <c r="G176" s="223">
        <v>0</v>
      </c>
      <c r="H176" s="199" t="s">
        <v>276</v>
      </c>
    </row>
    <row r="177" spans="1:8">
      <c r="A177" s="218">
        <v>44196</v>
      </c>
      <c r="B177" s="199" t="s">
        <v>36</v>
      </c>
      <c r="C177" s="199" t="s">
        <v>8</v>
      </c>
      <c r="D177" s="199">
        <v>2019</v>
      </c>
      <c r="E177" s="199" t="s">
        <v>106</v>
      </c>
      <c r="F177" s="199" t="s">
        <v>95</v>
      </c>
      <c r="G177" s="223">
        <v>0</v>
      </c>
      <c r="H177" s="199" t="s">
        <v>276</v>
      </c>
    </row>
    <row r="178" spans="1:8">
      <c r="A178" s="218">
        <v>44196</v>
      </c>
      <c r="B178" s="199" t="s">
        <v>37</v>
      </c>
      <c r="C178" s="199" t="s">
        <v>8</v>
      </c>
      <c r="D178" s="199">
        <v>2019</v>
      </c>
      <c r="E178" s="199" t="s">
        <v>106</v>
      </c>
      <c r="F178" s="199" t="s">
        <v>95</v>
      </c>
      <c r="G178" s="223">
        <v>0</v>
      </c>
      <c r="H178" s="199" t="s">
        <v>276</v>
      </c>
    </row>
    <row r="179" spans="1:8">
      <c r="A179" s="218">
        <v>44196</v>
      </c>
      <c r="B179" s="199" t="s">
        <v>29</v>
      </c>
      <c r="C179" s="199" t="s">
        <v>8</v>
      </c>
      <c r="D179" s="199">
        <v>2020</v>
      </c>
      <c r="E179" s="199" t="s">
        <v>106</v>
      </c>
      <c r="F179" s="199" t="s">
        <v>95</v>
      </c>
      <c r="G179" s="223">
        <v>0</v>
      </c>
      <c r="H179" s="199" t="s">
        <v>276</v>
      </c>
    </row>
    <row r="180" spans="1:8">
      <c r="A180" s="218">
        <v>44196</v>
      </c>
      <c r="B180" s="199" t="s">
        <v>31</v>
      </c>
      <c r="C180" s="199" t="s">
        <v>8</v>
      </c>
      <c r="D180" s="199">
        <v>2020</v>
      </c>
      <c r="E180" s="199" t="s">
        <v>106</v>
      </c>
      <c r="F180" s="199" t="s">
        <v>95</v>
      </c>
      <c r="G180" s="223">
        <v>0</v>
      </c>
      <c r="H180" s="199" t="s">
        <v>276</v>
      </c>
    </row>
    <row r="181" spans="1:8">
      <c r="A181" s="218">
        <v>44196</v>
      </c>
      <c r="B181" s="199" t="s">
        <v>37</v>
      </c>
      <c r="C181" s="199" t="s">
        <v>8</v>
      </c>
      <c r="D181" s="199">
        <v>2020</v>
      </c>
      <c r="E181" s="199" t="s">
        <v>106</v>
      </c>
      <c r="F181" s="199" t="s">
        <v>95</v>
      </c>
      <c r="G181" s="223">
        <v>0</v>
      </c>
      <c r="H181" s="199" t="s">
        <v>276</v>
      </c>
    </row>
    <row r="182" spans="1:8">
      <c r="A182" s="218">
        <v>44196</v>
      </c>
      <c r="B182" s="199" t="s">
        <v>36</v>
      </c>
      <c r="C182" s="199" t="s">
        <v>8</v>
      </c>
      <c r="D182" s="199">
        <v>2020</v>
      </c>
      <c r="E182" s="199" t="s">
        <v>106</v>
      </c>
      <c r="F182" s="199" t="s">
        <v>95</v>
      </c>
      <c r="G182" s="223">
        <v>0</v>
      </c>
      <c r="H182" s="199" t="s">
        <v>276</v>
      </c>
    </row>
    <row r="183" spans="1:8">
      <c r="A183" s="218">
        <v>44196</v>
      </c>
      <c r="B183" s="199" t="s">
        <v>35</v>
      </c>
      <c r="C183" s="199" t="s">
        <v>8</v>
      </c>
      <c r="D183" s="199">
        <v>2020</v>
      </c>
      <c r="E183" s="199" t="s">
        <v>106</v>
      </c>
      <c r="F183" s="199" t="s">
        <v>95</v>
      </c>
      <c r="G183" s="223">
        <v>0</v>
      </c>
      <c r="H183" s="199" t="s">
        <v>276</v>
      </c>
    </row>
    <row r="184" spans="1:8">
      <c r="A184" s="218">
        <v>44196</v>
      </c>
      <c r="B184" s="199" t="s">
        <v>35</v>
      </c>
      <c r="C184" s="199" t="s">
        <v>8</v>
      </c>
      <c r="D184" s="199">
        <v>2019</v>
      </c>
      <c r="E184" s="199" t="s">
        <v>106</v>
      </c>
      <c r="F184" s="199" t="s">
        <v>95</v>
      </c>
      <c r="G184" s="223">
        <v>0</v>
      </c>
      <c r="H184" s="199" t="s">
        <v>276</v>
      </c>
    </row>
    <row r="185" spans="1:8">
      <c r="A185" s="218">
        <v>44196</v>
      </c>
      <c r="B185" s="199" t="s">
        <v>29</v>
      </c>
      <c r="C185" s="199" t="s">
        <v>8</v>
      </c>
      <c r="D185" s="199">
        <v>2019</v>
      </c>
      <c r="E185" s="199" t="s">
        <v>107</v>
      </c>
      <c r="F185" s="199" t="s">
        <v>95</v>
      </c>
      <c r="G185" s="223">
        <v>0</v>
      </c>
      <c r="H185" s="199" t="s">
        <v>276</v>
      </c>
    </row>
    <row r="186" spans="1:8">
      <c r="A186" s="218">
        <v>44196</v>
      </c>
      <c r="B186" s="199" t="s">
        <v>36</v>
      </c>
      <c r="C186" s="199" t="s">
        <v>8</v>
      </c>
      <c r="D186" s="199">
        <v>2019</v>
      </c>
      <c r="E186" s="199" t="s">
        <v>107</v>
      </c>
      <c r="F186" s="199" t="s">
        <v>95</v>
      </c>
      <c r="G186" s="223">
        <v>0</v>
      </c>
      <c r="H186" s="199" t="s">
        <v>276</v>
      </c>
    </row>
    <row r="187" spans="1:8">
      <c r="A187" s="218">
        <v>44196</v>
      </c>
      <c r="B187" s="199" t="s">
        <v>29</v>
      </c>
      <c r="C187" s="199" t="s">
        <v>8</v>
      </c>
      <c r="D187" s="199">
        <v>2020</v>
      </c>
      <c r="E187" s="199" t="s">
        <v>107</v>
      </c>
      <c r="F187" s="199" t="s">
        <v>95</v>
      </c>
      <c r="G187" s="223">
        <v>0</v>
      </c>
      <c r="H187" s="199" t="s">
        <v>276</v>
      </c>
    </row>
    <row r="188" spans="1:8">
      <c r="A188" s="218">
        <v>44196</v>
      </c>
      <c r="B188" s="199" t="s">
        <v>36</v>
      </c>
      <c r="C188" s="199" t="s">
        <v>8</v>
      </c>
      <c r="D188" s="199">
        <v>2020</v>
      </c>
      <c r="E188" s="199" t="s">
        <v>107</v>
      </c>
      <c r="F188" s="199" t="s">
        <v>95</v>
      </c>
      <c r="G188" s="223">
        <v>0</v>
      </c>
      <c r="H188" s="199" t="s">
        <v>276</v>
      </c>
    </row>
    <row r="189" spans="1:8">
      <c r="A189" s="218">
        <v>44196</v>
      </c>
      <c r="B189" s="199" t="s">
        <v>36</v>
      </c>
      <c r="C189" s="199" t="s">
        <v>8</v>
      </c>
      <c r="D189" s="199">
        <v>2019</v>
      </c>
      <c r="E189" s="199" t="s">
        <v>108</v>
      </c>
      <c r="F189" s="199" t="s">
        <v>95</v>
      </c>
      <c r="G189" s="223">
        <v>0</v>
      </c>
      <c r="H189" s="199" t="s">
        <v>276</v>
      </c>
    </row>
    <row r="190" spans="1:8">
      <c r="A190" s="218">
        <v>44196</v>
      </c>
      <c r="B190" s="199" t="s">
        <v>29</v>
      </c>
      <c r="C190" s="199" t="s">
        <v>8</v>
      </c>
      <c r="D190" s="199">
        <v>2019</v>
      </c>
      <c r="E190" s="199" t="s">
        <v>108</v>
      </c>
      <c r="F190" s="199" t="s">
        <v>95</v>
      </c>
      <c r="G190" s="223">
        <v>0</v>
      </c>
      <c r="H190" s="199" t="s">
        <v>276</v>
      </c>
    </row>
    <row r="191" spans="1:8">
      <c r="A191" s="218">
        <v>44196</v>
      </c>
      <c r="B191" s="199" t="s">
        <v>37</v>
      </c>
      <c r="C191" s="199" t="s">
        <v>8</v>
      </c>
      <c r="D191" s="199">
        <v>2019</v>
      </c>
      <c r="E191" s="199" t="s">
        <v>108</v>
      </c>
      <c r="F191" s="199" t="s">
        <v>95</v>
      </c>
      <c r="G191" s="223">
        <v>0</v>
      </c>
      <c r="H191" s="199" t="s">
        <v>276</v>
      </c>
    </row>
    <row r="192" spans="1:8">
      <c r="A192" s="218">
        <v>44196</v>
      </c>
      <c r="B192" s="199" t="s">
        <v>31</v>
      </c>
      <c r="C192" s="199" t="s">
        <v>8</v>
      </c>
      <c r="D192" s="199">
        <v>2019</v>
      </c>
      <c r="E192" s="199" t="s">
        <v>108</v>
      </c>
      <c r="F192" s="199" t="s">
        <v>95</v>
      </c>
      <c r="G192" s="223">
        <v>0</v>
      </c>
      <c r="H192" s="199" t="s">
        <v>276</v>
      </c>
    </row>
    <row r="193" spans="1:8">
      <c r="A193" s="218">
        <v>44196</v>
      </c>
      <c r="B193" s="199" t="s">
        <v>31</v>
      </c>
      <c r="C193" s="199" t="s">
        <v>8</v>
      </c>
      <c r="D193" s="199">
        <v>2020</v>
      </c>
      <c r="E193" s="199" t="s">
        <v>108</v>
      </c>
      <c r="F193" s="199" t="s">
        <v>95</v>
      </c>
      <c r="G193" s="223">
        <v>0</v>
      </c>
      <c r="H193" s="199" t="s">
        <v>276</v>
      </c>
    </row>
    <row r="194" spans="1:8">
      <c r="A194" s="218">
        <v>44196</v>
      </c>
      <c r="B194" s="199" t="s">
        <v>36</v>
      </c>
      <c r="C194" s="199" t="s">
        <v>8</v>
      </c>
      <c r="D194" s="199">
        <v>2020</v>
      </c>
      <c r="E194" s="199" t="s">
        <v>108</v>
      </c>
      <c r="F194" s="199" t="s">
        <v>95</v>
      </c>
      <c r="G194" s="223">
        <v>0</v>
      </c>
      <c r="H194" s="199" t="s">
        <v>276</v>
      </c>
    </row>
    <row r="195" spans="1:8">
      <c r="A195" s="218">
        <v>44196</v>
      </c>
      <c r="B195" s="199" t="s">
        <v>29</v>
      </c>
      <c r="C195" s="199" t="s">
        <v>8</v>
      </c>
      <c r="D195" s="199">
        <v>2020</v>
      </c>
      <c r="E195" s="199" t="s">
        <v>108</v>
      </c>
      <c r="F195" s="199" t="s">
        <v>95</v>
      </c>
      <c r="G195" s="223">
        <v>0</v>
      </c>
      <c r="H195" s="199" t="s">
        <v>276</v>
      </c>
    </row>
    <row r="196" spans="1:8">
      <c r="A196" s="218">
        <v>44196</v>
      </c>
      <c r="B196" s="199" t="s">
        <v>37</v>
      </c>
      <c r="C196" s="199" t="s">
        <v>8</v>
      </c>
      <c r="D196" s="199">
        <v>2020</v>
      </c>
      <c r="E196" s="199" t="s">
        <v>108</v>
      </c>
      <c r="F196" s="199" t="s">
        <v>95</v>
      </c>
      <c r="G196" s="223">
        <v>0</v>
      </c>
      <c r="H196" s="199" t="s">
        <v>276</v>
      </c>
    </row>
    <row r="197" spans="1:8">
      <c r="A197" s="218">
        <v>44196</v>
      </c>
      <c r="B197" s="199" t="s">
        <v>31</v>
      </c>
      <c r="C197" s="199" t="s">
        <v>8</v>
      </c>
      <c r="D197" s="199">
        <v>2019</v>
      </c>
      <c r="E197" s="199" t="s">
        <v>176</v>
      </c>
      <c r="F197" s="199" t="s">
        <v>95</v>
      </c>
      <c r="G197" s="223">
        <v>0</v>
      </c>
      <c r="H197" s="199" t="s">
        <v>276</v>
      </c>
    </row>
    <row r="198" spans="1:8">
      <c r="A198" s="218">
        <v>44196</v>
      </c>
      <c r="B198" s="199" t="s">
        <v>36</v>
      </c>
      <c r="C198" s="199" t="s">
        <v>8</v>
      </c>
      <c r="D198" s="199">
        <v>2019</v>
      </c>
      <c r="E198" s="199" t="s">
        <v>176</v>
      </c>
      <c r="F198" s="199" t="s">
        <v>95</v>
      </c>
      <c r="G198" s="223">
        <v>0</v>
      </c>
      <c r="H198" s="199" t="s">
        <v>276</v>
      </c>
    </row>
    <row r="199" spans="1:8">
      <c r="A199" s="218">
        <v>44196</v>
      </c>
      <c r="B199" s="199" t="s">
        <v>29</v>
      </c>
      <c r="C199" s="199" t="s">
        <v>8</v>
      </c>
      <c r="D199" s="199">
        <v>2019</v>
      </c>
      <c r="E199" s="199" t="s">
        <v>176</v>
      </c>
      <c r="F199" s="199" t="s">
        <v>95</v>
      </c>
      <c r="G199" s="223">
        <v>0</v>
      </c>
      <c r="H199" s="199" t="s">
        <v>276</v>
      </c>
    </row>
    <row r="200" spans="1:8">
      <c r="A200" s="218">
        <v>44196</v>
      </c>
      <c r="B200" s="199" t="s">
        <v>37</v>
      </c>
      <c r="C200" s="199" t="s">
        <v>8</v>
      </c>
      <c r="D200" s="199">
        <v>2019</v>
      </c>
      <c r="E200" s="199" t="s">
        <v>176</v>
      </c>
      <c r="F200" s="199" t="s">
        <v>95</v>
      </c>
      <c r="G200" s="223">
        <v>0</v>
      </c>
      <c r="H200" s="199" t="s">
        <v>276</v>
      </c>
    </row>
    <row r="201" spans="1:8">
      <c r="A201" s="218">
        <v>44196</v>
      </c>
      <c r="B201" s="199" t="s">
        <v>29</v>
      </c>
      <c r="C201" s="199" t="s">
        <v>8</v>
      </c>
      <c r="D201" s="199">
        <v>2019</v>
      </c>
      <c r="E201" s="199" t="s">
        <v>177</v>
      </c>
      <c r="F201" s="199" t="s">
        <v>95</v>
      </c>
      <c r="G201" s="223">
        <v>0</v>
      </c>
      <c r="H201" s="199" t="s">
        <v>276</v>
      </c>
    </row>
    <row r="202" spans="1:8">
      <c r="A202" s="218">
        <v>44196</v>
      </c>
      <c r="B202" s="199" t="s">
        <v>37</v>
      </c>
      <c r="C202" s="199" t="s">
        <v>8</v>
      </c>
      <c r="D202" s="199">
        <v>2019</v>
      </c>
      <c r="E202" s="199" t="s">
        <v>177</v>
      </c>
      <c r="F202" s="199" t="s">
        <v>95</v>
      </c>
      <c r="G202" s="223">
        <v>0</v>
      </c>
      <c r="H202" s="199" t="s">
        <v>276</v>
      </c>
    </row>
    <row r="203" spans="1:8">
      <c r="A203" s="218">
        <v>44196</v>
      </c>
      <c r="B203" s="199" t="s">
        <v>36</v>
      </c>
      <c r="C203" s="199" t="s">
        <v>8</v>
      </c>
      <c r="D203" s="199">
        <v>2019</v>
      </c>
      <c r="E203" s="199" t="s">
        <v>177</v>
      </c>
      <c r="F203" s="199" t="s">
        <v>95</v>
      </c>
      <c r="G203" s="223">
        <v>0</v>
      </c>
      <c r="H203" s="199" t="s">
        <v>276</v>
      </c>
    </row>
    <row r="204" spans="1:8">
      <c r="A204" s="218">
        <v>44196</v>
      </c>
      <c r="B204" s="199" t="s">
        <v>31</v>
      </c>
      <c r="C204" s="199" t="s">
        <v>8</v>
      </c>
      <c r="D204" s="199">
        <v>2019</v>
      </c>
      <c r="E204" s="199" t="s">
        <v>177</v>
      </c>
      <c r="F204" s="199" t="s">
        <v>95</v>
      </c>
      <c r="G204" s="223">
        <v>0</v>
      </c>
      <c r="H204" s="199" t="s">
        <v>276</v>
      </c>
    </row>
    <row r="205" spans="1:8">
      <c r="A205" s="218">
        <v>44196</v>
      </c>
      <c r="B205" s="199" t="s">
        <v>29</v>
      </c>
      <c r="C205" s="199" t="s">
        <v>8</v>
      </c>
      <c r="D205" s="199">
        <v>2019</v>
      </c>
      <c r="E205" s="199" t="s">
        <v>109</v>
      </c>
      <c r="F205" s="199" t="s">
        <v>95</v>
      </c>
      <c r="G205" s="223">
        <v>0</v>
      </c>
      <c r="H205" s="199" t="s">
        <v>276</v>
      </c>
    </row>
    <row r="206" spans="1:8">
      <c r="A206" s="218">
        <v>44196</v>
      </c>
      <c r="B206" s="199" t="s">
        <v>29</v>
      </c>
      <c r="C206" s="199" t="s">
        <v>8</v>
      </c>
      <c r="D206" s="199">
        <v>2020</v>
      </c>
      <c r="E206" s="199" t="s">
        <v>109</v>
      </c>
      <c r="F206" s="199" t="s">
        <v>95</v>
      </c>
      <c r="G206" s="223">
        <v>0</v>
      </c>
      <c r="H206" s="199" t="s">
        <v>276</v>
      </c>
    </row>
    <row r="207" spans="1:8">
      <c r="A207" s="218">
        <v>44196</v>
      </c>
      <c r="B207" s="199" t="s">
        <v>36</v>
      </c>
      <c r="C207" s="199" t="s">
        <v>8</v>
      </c>
      <c r="D207" s="199">
        <v>2020</v>
      </c>
      <c r="E207" s="199" t="s">
        <v>109</v>
      </c>
      <c r="F207" s="199" t="s">
        <v>95</v>
      </c>
      <c r="G207" s="223">
        <v>0</v>
      </c>
      <c r="H207" s="199" t="s">
        <v>276</v>
      </c>
    </row>
    <row r="208" spans="1:8">
      <c r="A208" s="218">
        <v>44196</v>
      </c>
      <c r="B208" s="199" t="s">
        <v>37</v>
      </c>
      <c r="C208" s="199" t="s">
        <v>8</v>
      </c>
      <c r="D208" s="199">
        <v>2019</v>
      </c>
      <c r="E208" s="199" t="s">
        <v>109</v>
      </c>
      <c r="F208" s="199" t="s">
        <v>95</v>
      </c>
      <c r="G208" s="223">
        <v>0</v>
      </c>
      <c r="H208" s="199" t="s">
        <v>276</v>
      </c>
    </row>
    <row r="209" spans="1:8">
      <c r="A209" s="218">
        <v>44196</v>
      </c>
      <c r="B209" s="199" t="s">
        <v>31</v>
      </c>
      <c r="C209" s="199" t="s">
        <v>8</v>
      </c>
      <c r="D209" s="199">
        <v>2020</v>
      </c>
      <c r="E209" s="199" t="s">
        <v>109</v>
      </c>
      <c r="F209" s="199" t="s">
        <v>95</v>
      </c>
      <c r="G209" s="223">
        <v>0</v>
      </c>
      <c r="H209" s="199" t="s">
        <v>276</v>
      </c>
    </row>
    <row r="210" spans="1:8">
      <c r="A210" s="218">
        <v>44196</v>
      </c>
      <c r="B210" s="199" t="s">
        <v>37</v>
      </c>
      <c r="C210" s="199" t="s">
        <v>8</v>
      </c>
      <c r="D210" s="199">
        <v>2020</v>
      </c>
      <c r="E210" s="199" t="s">
        <v>109</v>
      </c>
      <c r="F210" s="199" t="s">
        <v>95</v>
      </c>
      <c r="G210" s="223">
        <v>0</v>
      </c>
      <c r="H210" s="199" t="s">
        <v>276</v>
      </c>
    </row>
    <row r="211" spans="1:8">
      <c r="A211" s="218">
        <v>44196</v>
      </c>
      <c r="B211" s="199" t="s">
        <v>31</v>
      </c>
      <c r="C211" s="199" t="s">
        <v>8</v>
      </c>
      <c r="D211" s="199">
        <v>2019</v>
      </c>
      <c r="E211" s="199" t="s">
        <v>109</v>
      </c>
      <c r="F211" s="199" t="s">
        <v>95</v>
      </c>
      <c r="G211" s="223">
        <v>0</v>
      </c>
      <c r="H211" s="199" t="s">
        <v>276</v>
      </c>
    </row>
    <row r="212" spans="1:8">
      <c r="A212" s="218">
        <v>44196</v>
      </c>
      <c r="B212" s="199" t="s">
        <v>29</v>
      </c>
      <c r="C212" s="199" t="s">
        <v>8</v>
      </c>
      <c r="D212" s="199">
        <v>2020</v>
      </c>
      <c r="E212" s="199" t="s">
        <v>110</v>
      </c>
      <c r="F212" s="199" t="s">
        <v>95</v>
      </c>
      <c r="G212" s="223">
        <v>0</v>
      </c>
      <c r="H212" s="199" t="s">
        <v>276</v>
      </c>
    </row>
    <row r="213" spans="1:8">
      <c r="A213" s="218">
        <v>44196</v>
      </c>
      <c r="B213" s="199" t="s">
        <v>31</v>
      </c>
      <c r="C213" s="199" t="s">
        <v>8</v>
      </c>
      <c r="D213" s="199">
        <v>2019</v>
      </c>
      <c r="E213" s="199" t="s">
        <v>110</v>
      </c>
      <c r="F213" s="199" t="s">
        <v>95</v>
      </c>
      <c r="G213" s="223">
        <v>0</v>
      </c>
      <c r="H213" s="199" t="s">
        <v>276</v>
      </c>
    </row>
    <row r="214" spans="1:8">
      <c r="A214" s="218">
        <v>44196</v>
      </c>
      <c r="B214" s="199" t="s">
        <v>31</v>
      </c>
      <c r="C214" s="199" t="s">
        <v>8</v>
      </c>
      <c r="D214" s="199">
        <v>2020</v>
      </c>
      <c r="E214" s="199" t="s">
        <v>110</v>
      </c>
      <c r="F214" s="199" t="s">
        <v>95</v>
      </c>
      <c r="G214" s="223">
        <v>0</v>
      </c>
      <c r="H214" s="199" t="s">
        <v>276</v>
      </c>
    </row>
    <row r="215" spans="1:8">
      <c r="A215" s="218">
        <v>44196</v>
      </c>
      <c r="B215" s="199" t="s">
        <v>37</v>
      </c>
      <c r="C215" s="199" t="s">
        <v>8</v>
      </c>
      <c r="D215" s="199">
        <v>2019</v>
      </c>
      <c r="E215" s="199" t="s">
        <v>111</v>
      </c>
      <c r="F215" s="199" t="s">
        <v>95</v>
      </c>
      <c r="G215" s="223">
        <v>0</v>
      </c>
      <c r="H215" s="199" t="s">
        <v>276</v>
      </c>
    </row>
    <row r="216" spans="1:8">
      <c r="A216" s="218">
        <v>44196</v>
      </c>
      <c r="B216" s="199" t="s">
        <v>29</v>
      </c>
      <c r="C216" s="199" t="s">
        <v>8</v>
      </c>
      <c r="D216" s="199">
        <v>2019</v>
      </c>
      <c r="E216" s="199" t="s">
        <v>111</v>
      </c>
      <c r="F216" s="199" t="s">
        <v>95</v>
      </c>
      <c r="G216" s="223">
        <v>0</v>
      </c>
      <c r="H216" s="199" t="s">
        <v>276</v>
      </c>
    </row>
    <row r="217" spans="1:8">
      <c r="A217" s="218">
        <v>44196</v>
      </c>
      <c r="B217" s="199" t="s">
        <v>31</v>
      </c>
      <c r="C217" s="199" t="s">
        <v>8</v>
      </c>
      <c r="D217" s="199">
        <v>2019</v>
      </c>
      <c r="E217" s="199" t="s">
        <v>111</v>
      </c>
      <c r="F217" s="199" t="s">
        <v>95</v>
      </c>
      <c r="G217" s="223">
        <v>0</v>
      </c>
      <c r="H217" s="199" t="s">
        <v>276</v>
      </c>
    </row>
    <row r="218" spans="1:8">
      <c r="A218" s="218">
        <v>44196</v>
      </c>
      <c r="B218" s="199" t="s">
        <v>37</v>
      </c>
      <c r="C218" s="199" t="s">
        <v>8</v>
      </c>
      <c r="D218" s="199">
        <v>2020</v>
      </c>
      <c r="E218" s="199" t="s">
        <v>111</v>
      </c>
      <c r="F218" s="199" t="s">
        <v>95</v>
      </c>
      <c r="G218" s="223">
        <v>0</v>
      </c>
      <c r="H218" s="199" t="s">
        <v>276</v>
      </c>
    </row>
    <row r="219" spans="1:8">
      <c r="A219" s="218">
        <v>44196</v>
      </c>
      <c r="B219" s="199" t="s">
        <v>36</v>
      </c>
      <c r="C219" s="199" t="s">
        <v>8</v>
      </c>
      <c r="D219" s="199">
        <v>2020</v>
      </c>
      <c r="E219" s="199" t="s">
        <v>111</v>
      </c>
      <c r="F219" s="199" t="s">
        <v>95</v>
      </c>
      <c r="G219" s="223">
        <v>0</v>
      </c>
      <c r="H219" s="199" t="s">
        <v>276</v>
      </c>
    </row>
    <row r="220" spans="1:8">
      <c r="A220" s="218">
        <v>44196</v>
      </c>
      <c r="B220" s="199" t="s">
        <v>29</v>
      </c>
      <c r="C220" s="199" t="s">
        <v>8</v>
      </c>
      <c r="D220" s="199">
        <v>2020</v>
      </c>
      <c r="E220" s="199" t="s">
        <v>111</v>
      </c>
      <c r="F220" s="199" t="s">
        <v>95</v>
      </c>
      <c r="G220" s="223">
        <v>0</v>
      </c>
      <c r="H220" s="199" t="s">
        <v>276</v>
      </c>
    </row>
    <row r="221" spans="1:8">
      <c r="A221" s="218">
        <v>44196</v>
      </c>
      <c r="B221" s="199" t="s">
        <v>36</v>
      </c>
      <c r="C221" s="199" t="s">
        <v>8</v>
      </c>
      <c r="D221" s="199">
        <v>2019</v>
      </c>
      <c r="E221" s="199" t="s">
        <v>111</v>
      </c>
      <c r="F221" s="199" t="s">
        <v>95</v>
      </c>
      <c r="G221" s="223">
        <v>0</v>
      </c>
      <c r="H221" s="199" t="s">
        <v>276</v>
      </c>
    </row>
    <row r="222" spans="1:8">
      <c r="A222" s="218">
        <v>44196</v>
      </c>
      <c r="B222" s="199" t="s">
        <v>31</v>
      </c>
      <c r="C222" s="199" t="s">
        <v>8</v>
      </c>
      <c r="D222" s="199">
        <v>2020</v>
      </c>
      <c r="E222" s="199" t="s">
        <v>111</v>
      </c>
      <c r="F222" s="199" t="s">
        <v>95</v>
      </c>
      <c r="G222" s="223">
        <v>0</v>
      </c>
      <c r="H222" s="199" t="s">
        <v>276</v>
      </c>
    </row>
    <row r="223" spans="1:8">
      <c r="A223" s="218">
        <v>44196</v>
      </c>
      <c r="B223" s="199" t="s">
        <v>29</v>
      </c>
      <c r="C223" s="199" t="s">
        <v>8</v>
      </c>
      <c r="D223" s="199">
        <v>2019</v>
      </c>
      <c r="E223" s="199" t="s">
        <v>112</v>
      </c>
      <c r="F223" s="199" t="s">
        <v>95</v>
      </c>
      <c r="G223" s="223">
        <v>0</v>
      </c>
      <c r="H223" s="199" t="s">
        <v>276</v>
      </c>
    </row>
    <row r="224" spans="1:8">
      <c r="A224" s="218">
        <v>44196</v>
      </c>
      <c r="B224" s="199" t="s">
        <v>37</v>
      </c>
      <c r="C224" s="199" t="s">
        <v>8</v>
      </c>
      <c r="D224" s="199">
        <v>2019</v>
      </c>
      <c r="E224" s="199" t="s">
        <v>112</v>
      </c>
      <c r="F224" s="199" t="s">
        <v>95</v>
      </c>
      <c r="G224" s="223">
        <v>0</v>
      </c>
      <c r="H224" s="199" t="s">
        <v>276</v>
      </c>
    </row>
    <row r="225" spans="1:8">
      <c r="A225" s="218">
        <v>44196</v>
      </c>
      <c r="B225" s="199" t="s">
        <v>31</v>
      </c>
      <c r="C225" s="199" t="s">
        <v>8</v>
      </c>
      <c r="D225" s="199">
        <v>2019</v>
      </c>
      <c r="E225" s="199" t="s">
        <v>112</v>
      </c>
      <c r="F225" s="199" t="s">
        <v>95</v>
      </c>
      <c r="G225" s="223">
        <v>0</v>
      </c>
      <c r="H225" s="199" t="s">
        <v>276</v>
      </c>
    </row>
    <row r="226" spans="1:8">
      <c r="A226" s="218">
        <v>44196</v>
      </c>
      <c r="B226" s="199" t="s">
        <v>36</v>
      </c>
      <c r="C226" s="199" t="s">
        <v>8</v>
      </c>
      <c r="D226" s="199">
        <v>2019</v>
      </c>
      <c r="E226" s="199" t="s">
        <v>112</v>
      </c>
      <c r="F226" s="199" t="s">
        <v>95</v>
      </c>
      <c r="G226" s="223">
        <v>0</v>
      </c>
      <c r="H226" s="199" t="s">
        <v>276</v>
      </c>
    </row>
    <row r="227" spans="1:8">
      <c r="A227" s="218">
        <v>44196</v>
      </c>
      <c r="B227" s="199" t="s">
        <v>29</v>
      </c>
      <c r="C227" s="199" t="s">
        <v>8</v>
      </c>
      <c r="D227" s="199">
        <v>2020</v>
      </c>
      <c r="E227" s="199" t="s">
        <v>112</v>
      </c>
      <c r="F227" s="199" t="s">
        <v>95</v>
      </c>
      <c r="G227" s="223">
        <v>0</v>
      </c>
      <c r="H227" s="199" t="s">
        <v>276</v>
      </c>
    </row>
    <row r="228" spans="1:8">
      <c r="A228" s="218">
        <v>44196</v>
      </c>
      <c r="B228" s="199" t="s">
        <v>37</v>
      </c>
      <c r="C228" s="199" t="s">
        <v>8</v>
      </c>
      <c r="D228" s="199">
        <v>2020</v>
      </c>
      <c r="E228" s="199" t="s">
        <v>112</v>
      </c>
      <c r="F228" s="199" t="s">
        <v>95</v>
      </c>
      <c r="G228" s="223">
        <v>0</v>
      </c>
      <c r="H228" s="199" t="s">
        <v>276</v>
      </c>
    </row>
    <row r="229" spans="1:8">
      <c r="A229" s="218">
        <v>44196</v>
      </c>
      <c r="B229" s="199" t="s">
        <v>31</v>
      </c>
      <c r="C229" s="199" t="s">
        <v>8</v>
      </c>
      <c r="D229" s="199">
        <v>2020</v>
      </c>
      <c r="E229" s="199" t="s">
        <v>112</v>
      </c>
      <c r="F229" s="199" t="s">
        <v>95</v>
      </c>
      <c r="G229" s="223">
        <v>0</v>
      </c>
      <c r="H229" s="199" t="s">
        <v>276</v>
      </c>
    </row>
    <row r="230" spans="1:8">
      <c r="A230" s="218">
        <v>44196</v>
      </c>
      <c r="B230" s="199" t="s">
        <v>36</v>
      </c>
      <c r="C230" s="199" t="s">
        <v>8</v>
      </c>
      <c r="D230" s="199">
        <v>2020</v>
      </c>
      <c r="E230" s="199" t="s">
        <v>112</v>
      </c>
      <c r="F230" s="199" t="s">
        <v>95</v>
      </c>
      <c r="G230" s="223">
        <v>0</v>
      </c>
      <c r="H230" s="199" t="s">
        <v>276</v>
      </c>
    </row>
    <row r="231" spans="1:8">
      <c r="A231" s="218">
        <v>44196</v>
      </c>
      <c r="B231" s="199" t="s">
        <v>35</v>
      </c>
      <c r="C231" s="199" t="s">
        <v>8</v>
      </c>
      <c r="D231" s="199">
        <v>2019</v>
      </c>
      <c r="E231" s="199" t="s">
        <v>112</v>
      </c>
      <c r="F231" s="199" t="s">
        <v>95</v>
      </c>
      <c r="G231" s="223">
        <v>0</v>
      </c>
      <c r="H231" s="199" t="s">
        <v>276</v>
      </c>
    </row>
    <row r="232" spans="1:8">
      <c r="A232" s="218">
        <v>44196</v>
      </c>
      <c r="B232" s="199" t="s">
        <v>35</v>
      </c>
      <c r="C232" s="199" t="s">
        <v>8</v>
      </c>
      <c r="D232" s="199">
        <v>2020</v>
      </c>
      <c r="E232" s="199" t="s">
        <v>112</v>
      </c>
      <c r="F232" s="199" t="s">
        <v>95</v>
      </c>
      <c r="G232" s="223">
        <v>0</v>
      </c>
      <c r="H232" s="199" t="s">
        <v>276</v>
      </c>
    </row>
    <row r="233" spans="1:8">
      <c r="A233" s="218">
        <v>44196</v>
      </c>
      <c r="B233" s="199" t="s">
        <v>37</v>
      </c>
      <c r="C233" s="199" t="s">
        <v>8</v>
      </c>
      <c r="D233" s="199">
        <v>2020</v>
      </c>
      <c r="E233" s="199" t="s">
        <v>113</v>
      </c>
      <c r="F233" s="199" t="s">
        <v>95</v>
      </c>
      <c r="G233" s="223">
        <v>0</v>
      </c>
      <c r="H233" s="199" t="s">
        <v>276</v>
      </c>
    </row>
    <row r="234" spans="1:8">
      <c r="A234" s="218">
        <v>44196</v>
      </c>
      <c r="B234" s="199" t="s">
        <v>31</v>
      </c>
      <c r="C234" s="199" t="s">
        <v>8</v>
      </c>
      <c r="D234" s="199">
        <v>2019</v>
      </c>
      <c r="E234" s="199" t="s">
        <v>113</v>
      </c>
      <c r="F234" s="199" t="s">
        <v>95</v>
      </c>
      <c r="G234" s="223">
        <v>0</v>
      </c>
      <c r="H234" s="199" t="s">
        <v>276</v>
      </c>
    </row>
    <row r="235" spans="1:8">
      <c r="A235" s="218">
        <v>44196</v>
      </c>
      <c r="B235" s="199" t="s">
        <v>36</v>
      </c>
      <c r="C235" s="199" t="s">
        <v>8</v>
      </c>
      <c r="D235" s="199">
        <v>2020</v>
      </c>
      <c r="E235" s="199" t="s">
        <v>113</v>
      </c>
      <c r="F235" s="199" t="s">
        <v>95</v>
      </c>
      <c r="G235" s="223">
        <v>0</v>
      </c>
      <c r="H235" s="199" t="s">
        <v>276</v>
      </c>
    </row>
    <row r="236" spans="1:8">
      <c r="A236" s="218">
        <v>44196</v>
      </c>
      <c r="B236" s="199" t="s">
        <v>29</v>
      </c>
      <c r="C236" s="199" t="s">
        <v>8</v>
      </c>
      <c r="D236" s="199">
        <v>2019</v>
      </c>
      <c r="E236" s="199" t="s">
        <v>113</v>
      </c>
      <c r="F236" s="199" t="s">
        <v>95</v>
      </c>
      <c r="G236" s="223">
        <v>0</v>
      </c>
      <c r="H236" s="199" t="s">
        <v>276</v>
      </c>
    </row>
    <row r="237" spans="1:8">
      <c r="A237" s="218">
        <v>44196</v>
      </c>
      <c r="B237" s="199" t="s">
        <v>29</v>
      </c>
      <c r="C237" s="199" t="s">
        <v>8</v>
      </c>
      <c r="D237" s="199">
        <v>2020</v>
      </c>
      <c r="E237" s="199" t="s">
        <v>113</v>
      </c>
      <c r="F237" s="199" t="s">
        <v>95</v>
      </c>
      <c r="G237" s="223">
        <v>0</v>
      </c>
      <c r="H237" s="199" t="s">
        <v>276</v>
      </c>
    </row>
    <row r="238" spans="1:8">
      <c r="A238" s="218">
        <v>44196</v>
      </c>
      <c r="B238" s="199" t="s">
        <v>31</v>
      </c>
      <c r="C238" s="199" t="s">
        <v>8</v>
      </c>
      <c r="D238" s="199">
        <v>2020</v>
      </c>
      <c r="E238" s="199" t="s">
        <v>113</v>
      </c>
      <c r="F238" s="199" t="s">
        <v>95</v>
      </c>
      <c r="G238" s="223">
        <v>0</v>
      </c>
      <c r="H238" s="199" t="s">
        <v>276</v>
      </c>
    </row>
    <row r="239" spans="1:8">
      <c r="A239" s="218">
        <v>44196</v>
      </c>
      <c r="B239" s="199" t="s">
        <v>31</v>
      </c>
      <c r="C239" s="199" t="s">
        <v>8</v>
      </c>
      <c r="D239" s="199">
        <v>2020</v>
      </c>
      <c r="E239" s="199" t="s">
        <v>114</v>
      </c>
      <c r="F239" s="199" t="s">
        <v>95</v>
      </c>
      <c r="G239" s="223">
        <v>0</v>
      </c>
      <c r="H239" s="199" t="s">
        <v>276</v>
      </c>
    </row>
    <row r="240" spans="1:8">
      <c r="A240" s="218">
        <v>44196</v>
      </c>
      <c r="B240" s="199" t="s">
        <v>36</v>
      </c>
      <c r="C240" s="199" t="s">
        <v>8</v>
      </c>
      <c r="D240" s="199">
        <v>2020</v>
      </c>
      <c r="E240" s="199" t="s">
        <v>114</v>
      </c>
      <c r="F240" s="199" t="s">
        <v>95</v>
      </c>
      <c r="G240" s="223">
        <v>0</v>
      </c>
      <c r="H240" s="199" t="s">
        <v>276</v>
      </c>
    </row>
    <row r="241" spans="1:8">
      <c r="A241" s="218">
        <v>44196</v>
      </c>
      <c r="B241" s="199" t="s">
        <v>29</v>
      </c>
      <c r="C241" s="199" t="s">
        <v>8</v>
      </c>
      <c r="D241" s="199">
        <v>2020</v>
      </c>
      <c r="E241" s="199" t="s">
        <v>114</v>
      </c>
      <c r="F241" s="199" t="s">
        <v>95</v>
      </c>
      <c r="G241" s="223">
        <v>0</v>
      </c>
      <c r="H241" s="199" t="s">
        <v>276</v>
      </c>
    </row>
    <row r="242" spans="1:8">
      <c r="A242" s="218">
        <v>44196</v>
      </c>
      <c r="B242" s="199" t="s">
        <v>29</v>
      </c>
      <c r="C242" s="199" t="s">
        <v>8</v>
      </c>
      <c r="D242" s="199">
        <v>2019</v>
      </c>
      <c r="E242" s="199" t="s">
        <v>114</v>
      </c>
      <c r="F242" s="199" t="s">
        <v>95</v>
      </c>
      <c r="G242" s="223">
        <v>0</v>
      </c>
      <c r="H242" s="199" t="s">
        <v>276</v>
      </c>
    </row>
    <row r="243" spans="1:8">
      <c r="A243" s="218">
        <v>44196</v>
      </c>
      <c r="B243" s="199" t="s">
        <v>37</v>
      </c>
      <c r="C243" s="199" t="s">
        <v>8</v>
      </c>
      <c r="D243" s="199">
        <v>2020</v>
      </c>
      <c r="E243" s="199" t="s">
        <v>114</v>
      </c>
      <c r="F243" s="199" t="s">
        <v>95</v>
      </c>
      <c r="G243" s="223">
        <v>0</v>
      </c>
      <c r="H243" s="199" t="s">
        <v>276</v>
      </c>
    </row>
    <row r="244" spans="1:8">
      <c r="A244" s="218">
        <v>44196</v>
      </c>
      <c r="B244" s="199" t="s">
        <v>31</v>
      </c>
      <c r="C244" s="199" t="s">
        <v>8</v>
      </c>
      <c r="D244" s="199">
        <v>2019</v>
      </c>
      <c r="E244" s="199" t="s">
        <v>114</v>
      </c>
      <c r="F244" s="199" t="s">
        <v>95</v>
      </c>
      <c r="G244" s="223">
        <v>0</v>
      </c>
      <c r="H244" s="199" t="s">
        <v>276</v>
      </c>
    </row>
    <row r="245" spans="1:8">
      <c r="A245" s="218">
        <v>44196</v>
      </c>
      <c r="B245" s="199" t="s">
        <v>37</v>
      </c>
      <c r="C245" s="199" t="s">
        <v>8</v>
      </c>
      <c r="D245" s="199">
        <v>2019</v>
      </c>
      <c r="E245" s="199" t="s">
        <v>114</v>
      </c>
      <c r="F245" s="199" t="s">
        <v>95</v>
      </c>
      <c r="G245" s="223">
        <v>0</v>
      </c>
      <c r="H245" s="199" t="s">
        <v>276</v>
      </c>
    </row>
    <row r="246" spans="1:8">
      <c r="A246" s="218">
        <v>44196</v>
      </c>
      <c r="B246" s="199" t="s">
        <v>36</v>
      </c>
      <c r="C246" s="199" t="s">
        <v>8</v>
      </c>
      <c r="D246" s="199">
        <v>2019</v>
      </c>
      <c r="E246" s="199" t="s">
        <v>114</v>
      </c>
      <c r="F246" s="199" t="s">
        <v>95</v>
      </c>
      <c r="G246" s="223">
        <v>0</v>
      </c>
      <c r="H246" s="199" t="s">
        <v>276</v>
      </c>
    </row>
    <row r="247" spans="1:8">
      <c r="A247" s="218">
        <v>44196</v>
      </c>
      <c r="B247" s="199" t="s">
        <v>29</v>
      </c>
      <c r="C247" s="199" t="s">
        <v>8</v>
      </c>
      <c r="D247" s="199">
        <v>2019</v>
      </c>
      <c r="E247" s="199" t="s">
        <v>115</v>
      </c>
      <c r="F247" s="199" t="s">
        <v>95</v>
      </c>
      <c r="G247" s="223">
        <v>0</v>
      </c>
      <c r="H247" s="199" t="s">
        <v>276</v>
      </c>
    </row>
    <row r="248" spans="1:8">
      <c r="A248" s="218">
        <v>44196</v>
      </c>
      <c r="B248" s="199" t="s">
        <v>36</v>
      </c>
      <c r="C248" s="199" t="s">
        <v>8</v>
      </c>
      <c r="D248" s="199">
        <v>2019</v>
      </c>
      <c r="E248" s="199" t="s">
        <v>115</v>
      </c>
      <c r="F248" s="199" t="s">
        <v>95</v>
      </c>
      <c r="G248" s="223">
        <v>0</v>
      </c>
      <c r="H248" s="199" t="s">
        <v>276</v>
      </c>
    </row>
    <row r="249" spans="1:8">
      <c r="A249" s="218">
        <v>44196</v>
      </c>
      <c r="B249" s="199" t="s">
        <v>29</v>
      </c>
      <c r="C249" s="199" t="s">
        <v>8</v>
      </c>
      <c r="D249" s="199">
        <v>2020</v>
      </c>
      <c r="E249" s="199" t="s">
        <v>115</v>
      </c>
      <c r="F249" s="199" t="s">
        <v>95</v>
      </c>
      <c r="G249" s="223">
        <v>0</v>
      </c>
      <c r="H249" s="199" t="s">
        <v>276</v>
      </c>
    </row>
    <row r="250" spans="1:8">
      <c r="A250" s="218">
        <v>44196</v>
      </c>
      <c r="B250" s="199" t="s">
        <v>31</v>
      </c>
      <c r="C250" s="199" t="s">
        <v>8</v>
      </c>
      <c r="D250" s="199">
        <v>2020</v>
      </c>
      <c r="E250" s="199" t="s">
        <v>115</v>
      </c>
      <c r="F250" s="199" t="s">
        <v>95</v>
      </c>
      <c r="G250" s="223">
        <v>0</v>
      </c>
      <c r="H250" s="199" t="s">
        <v>276</v>
      </c>
    </row>
    <row r="251" spans="1:8">
      <c r="A251" s="218">
        <v>44196</v>
      </c>
      <c r="B251" s="199" t="s">
        <v>37</v>
      </c>
      <c r="C251" s="199" t="s">
        <v>8</v>
      </c>
      <c r="D251" s="199">
        <v>2020</v>
      </c>
      <c r="E251" s="199" t="s">
        <v>115</v>
      </c>
      <c r="F251" s="199" t="s">
        <v>95</v>
      </c>
      <c r="G251" s="223">
        <v>0</v>
      </c>
      <c r="H251" s="199" t="s">
        <v>276</v>
      </c>
    </row>
    <row r="252" spans="1:8">
      <c r="A252" s="218">
        <v>44196</v>
      </c>
      <c r="B252" s="199" t="s">
        <v>36</v>
      </c>
      <c r="C252" s="199" t="s">
        <v>8</v>
      </c>
      <c r="D252" s="199">
        <v>2020</v>
      </c>
      <c r="E252" s="199" t="s">
        <v>115</v>
      </c>
      <c r="F252" s="199" t="s">
        <v>95</v>
      </c>
      <c r="G252" s="223">
        <v>0</v>
      </c>
      <c r="H252" s="199" t="s">
        <v>276</v>
      </c>
    </row>
    <row r="253" spans="1:8">
      <c r="A253" s="218">
        <v>44196</v>
      </c>
      <c r="B253" s="199" t="s">
        <v>37</v>
      </c>
      <c r="C253" s="199" t="s">
        <v>8</v>
      </c>
      <c r="D253" s="199">
        <v>2019</v>
      </c>
      <c r="E253" s="199" t="s">
        <v>115</v>
      </c>
      <c r="F253" s="199" t="s">
        <v>95</v>
      </c>
      <c r="G253" s="223">
        <v>0</v>
      </c>
      <c r="H253" s="199" t="s">
        <v>276</v>
      </c>
    </row>
    <row r="254" spans="1:8">
      <c r="A254" s="218">
        <v>44196</v>
      </c>
      <c r="B254" s="199" t="s">
        <v>31</v>
      </c>
      <c r="C254" s="199" t="s">
        <v>8</v>
      </c>
      <c r="D254" s="199">
        <v>2019</v>
      </c>
      <c r="E254" s="199" t="s">
        <v>115</v>
      </c>
      <c r="F254" s="199" t="s">
        <v>95</v>
      </c>
      <c r="G254" s="223">
        <v>0</v>
      </c>
      <c r="H254" s="199" t="s">
        <v>276</v>
      </c>
    </row>
    <row r="255" spans="1:8">
      <c r="A255" s="218">
        <v>44196</v>
      </c>
      <c r="B255" s="199" t="s">
        <v>29</v>
      </c>
      <c r="C255" s="199" t="s">
        <v>8</v>
      </c>
      <c r="D255" s="199">
        <v>2019</v>
      </c>
      <c r="E255" s="199" t="s">
        <v>116</v>
      </c>
      <c r="F255" s="199" t="s">
        <v>95</v>
      </c>
      <c r="G255" s="223">
        <v>0</v>
      </c>
      <c r="H255" s="199" t="s">
        <v>276</v>
      </c>
    </row>
    <row r="256" spans="1:8">
      <c r="A256" s="218">
        <v>44196</v>
      </c>
      <c r="B256" s="199" t="s">
        <v>36</v>
      </c>
      <c r="C256" s="199" t="s">
        <v>8</v>
      </c>
      <c r="D256" s="199">
        <v>2019</v>
      </c>
      <c r="E256" s="199" t="s">
        <v>116</v>
      </c>
      <c r="F256" s="199" t="s">
        <v>95</v>
      </c>
      <c r="G256" s="223">
        <v>0</v>
      </c>
      <c r="H256" s="199" t="s">
        <v>276</v>
      </c>
    </row>
    <row r="257" spans="1:8">
      <c r="A257" s="218">
        <v>44196</v>
      </c>
      <c r="B257" s="199" t="s">
        <v>37</v>
      </c>
      <c r="C257" s="199" t="s">
        <v>8</v>
      </c>
      <c r="D257" s="199">
        <v>2019</v>
      </c>
      <c r="E257" s="199" t="s">
        <v>116</v>
      </c>
      <c r="F257" s="199" t="s">
        <v>95</v>
      </c>
      <c r="G257" s="223">
        <v>0</v>
      </c>
      <c r="H257" s="199" t="s">
        <v>276</v>
      </c>
    </row>
    <row r="258" spans="1:8">
      <c r="A258" s="218">
        <v>44196</v>
      </c>
      <c r="B258" s="199" t="s">
        <v>31</v>
      </c>
      <c r="C258" s="199" t="s">
        <v>8</v>
      </c>
      <c r="D258" s="199">
        <v>2019</v>
      </c>
      <c r="E258" s="199" t="s">
        <v>116</v>
      </c>
      <c r="F258" s="199" t="s">
        <v>95</v>
      </c>
      <c r="G258" s="223">
        <v>0</v>
      </c>
      <c r="H258" s="199" t="s">
        <v>276</v>
      </c>
    </row>
    <row r="259" spans="1:8">
      <c r="A259" s="218">
        <v>44196</v>
      </c>
      <c r="B259" s="199" t="s">
        <v>45</v>
      </c>
      <c r="C259" s="199" t="s">
        <v>8</v>
      </c>
      <c r="D259" s="199">
        <v>2019</v>
      </c>
      <c r="E259" s="199" t="s">
        <v>116</v>
      </c>
      <c r="F259" s="199" t="s">
        <v>95</v>
      </c>
      <c r="G259" s="223">
        <v>0</v>
      </c>
      <c r="H259" s="199" t="s">
        <v>276</v>
      </c>
    </row>
    <row r="260" spans="1:8">
      <c r="A260" s="218">
        <v>44196</v>
      </c>
      <c r="B260" s="199" t="s">
        <v>41</v>
      </c>
      <c r="C260" s="199" t="s">
        <v>8</v>
      </c>
      <c r="D260" s="199">
        <v>2019</v>
      </c>
      <c r="E260" s="199" t="s">
        <v>116</v>
      </c>
      <c r="F260" s="199" t="s">
        <v>95</v>
      </c>
      <c r="G260" s="223">
        <v>0</v>
      </c>
      <c r="H260" s="199" t="s">
        <v>276</v>
      </c>
    </row>
    <row r="261" spans="1:8">
      <c r="A261" s="218">
        <v>44196</v>
      </c>
      <c r="B261" s="199" t="s">
        <v>43</v>
      </c>
      <c r="C261" s="199" t="s">
        <v>8</v>
      </c>
      <c r="D261" s="199">
        <v>2019</v>
      </c>
      <c r="E261" s="199" t="s">
        <v>116</v>
      </c>
      <c r="F261" s="199" t="s">
        <v>95</v>
      </c>
      <c r="G261" s="223">
        <v>0</v>
      </c>
      <c r="H261" s="199" t="s">
        <v>276</v>
      </c>
    </row>
    <row r="262" spans="1:8">
      <c r="A262" s="218">
        <v>44196</v>
      </c>
      <c r="B262" s="199" t="s">
        <v>47</v>
      </c>
      <c r="C262" s="199" t="s">
        <v>8</v>
      </c>
      <c r="D262" s="199">
        <v>2019</v>
      </c>
      <c r="E262" s="199" t="s">
        <v>116</v>
      </c>
      <c r="F262" s="199" t="s">
        <v>95</v>
      </c>
      <c r="G262" s="223">
        <v>0</v>
      </c>
      <c r="H262" s="199" t="s">
        <v>276</v>
      </c>
    </row>
    <row r="263" spans="1:8">
      <c r="A263" s="218">
        <v>44196</v>
      </c>
      <c r="B263" s="199" t="s">
        <v>33</v>
      </c>
      <c r="C263" s="199" t="s">
        <v>8</v>
      </c>
      <c r="D263" s="199">
        <v>2019</v>
      </c>
      <c r="E263" s="199" t="s">
        <v>116</v>
      </c>
      <c r="F263" s="199" t="s">
        <v>95</v>
      </c>
      <c r="G263" s="223">
        <v>0</v>
      </c>
      <c r="H263" s="199" t="s">
        <v>276</v>
      </c>
    </row>
    <row r="264" spans="1:8">
      <c r="A264" s="218">
        <v>44196</v>
      </c>
      <c r="B264" s="199" t="s">
        <v>35</v>
      </c>
      <c r="C264" s="199" t="s">
        <v>8</v>
      </c>
      <c r="D264" s="199">
        <v>2019</v>
      </c>
      <c r="E264" s="199" t="s">
        <v>116</v>
      </c>
      <c r="F264" s="199" t="s">
        <v>95</v>
      </c>
      <c r="G264" s="223">
        <v>0</v>
      </c>
      <c r="H264" s="199" t="s">
        <v>276</v>
      </c>
    </row>
    <row r="265" spans="1:8">
      <c r="A265" s="218">
        <v>44196</v>
      </c>
      <c r="B265" s="199" t="s">
        <v>39</v>
      </c>
      <c r="C265" s="199" t="s">
        <v>8</v>
      </c>
      <c r="D265" s="199">
        <v>2019</v>
      </c>
      <c r="E265" s="199" t="s">
        <v>116</v>
      </c>
      <c r="F265" s="199" t="s">
        <v>95</v>
      </c>
      <c r="G265" s="223">
        <v>0</v>
      </c>
      <c r="H265" s="199" t="s">
        <v>276</v>
      </c>
    </row>
    <row r="266" spans="1:8">
      <c r="A266" s="218">
        <v>44196</v>
      </c>
      <c r="B266" s="199" t="s">
        <v>29</v>
      </c>
      <c r="C266" s="199" t="s">
        <v>8</v>
      </c>
      <c r="D266" s="199">
        <v>2020</v>
      </c>
      <c r="E266" s="199" t="s">
        <v>116</v>
      </c>
      <c r="F266" s="199" t="s">
        <v>95</v>
      </c>
      <c r="G266" s="223">
        <v>0</v>
      </c>
      <c r="H266" s="199" t="s">
        <v>276</v>
      </c>
    </row>
    <row r="267" spans="1:8">
      <c r="A267" s="218">
        <v>44196</v>
      </c>
      <c r="B267" s="199" t="s">
        <v>31</v>
      </c>
      <c r="C267" s="199" t="s">
        <v>8</v>
      </c>
      <c r="D267" s="199">
        <v>2020</v>
      </c>
      <c r="E267" s="199" t="s">
        <v>116</v>
      </c>
      <c r="F267" s="199" t="s">
        <v>95</v>
      </c>
      <c r="G267" s="223">
        <v>0</v>
      </c>
      <c r="H267" s="199" t="s">
        <v>276</v>
      </c>
    </row>
    <row r="268" spans="1:8">
      <c r="A268" s="218">
        <v>44196</v>
      </c>
      <c r="B268" s="199" t="s">
        <v>36</v>
      </c>
      <c r="C268" s="199" t="s">
        <v>8</v>
      </c>
      <c r="D268" s="199">
        <v>2020</v>
      </c>
      <c r="E268" s="199" t="s">
        <v>116</v>
      </c>
      <c r="F268" s="199" t="s">
        <v>95</v>
      </c>
      <c r="G268" s="223">
        <v>0</v>
      </c>
      <c r="H268" s="199" t="s">
        <v>276</v>
      </c>
    </row>
    <row r="269" spans="1:8">
      <c r="A269" s="218">
        <v>44196</v>
      </c>
      <c r="B269" s="199" t="s">
        <v>41</v>
      </c>
      <c r="C269" s="199" t="s">
        <v>8</v>
      </c>
      <c r="D269" s="199">
        <v>2020</v>
      </c>
      <c r="E269" s="199" t="s">
        <v>116</v>
      </c>
      <c r="F269" s="199" t="s">
        <v>95</v>
      </c>
      <c r="G269" s="223">
        <v>0</v>
      </c>
      <c r="H269" s="199" t="s">
        <v>276</v>
      </c>
    </row>
    <row r="270" spans="1:8">
      <c r="A270" s="218">
        <v>44196</v>
      </c>
      <c r="B270" s="199" t="s">
        <v>47</v>
      </c>
      <c r="C270" s="199" t="s">
        <v>8</v>
      </c>
      <c r="D270" s="199">
        <v>2020</v>
      </c>
      <c r="E270" s="199" t="s">
        <v>116</v>
      </c>
      <c r="F270" s="199" t="s">
        <v>95</v>
      </c>
      <c r="G270" s="223">
        <v>0</v>
      </c>
      <c r="H270" s="199" t="s">
        <v>276</v>
      </c>
    </row>
    <row r="271" spans="1:8">
      <c r="A271" s="218">
        <v>44196</v>
      </c>
      <c r="B271" s="199" t="s">
        <v>45</v>
      </c>
      <c r="C271" s="199" t="s">
        <v>8</v>
      </c>
      <c r="D271" s="199">
        <v>2020</v>
      </c>
      <c r="E271" s="199" t="s">
        <v>116</v>
      </c>
      <c r="F271" s="199" t="s">
        <v>95</v>
      </c>
      <c r="G271" s="223">
        <v>0</v>
      </c>
      <c r="H271" s="199" t="s">
        <v>276</v>
      </c>
    </row>
    <row r="272" spans="1:8">
      <c r="A272" s="218">
        <v>44196</v>
      </c>
      <c r="B272" s="199" t="s">
        <v>43</v>
      </c>
      <c r="C272" s="199" t="s">
        <v>8</v>
      </c>
      <c r="D272" s="199">
        <v>2020</v>
      </c>
      <c r="E272" s="199" t="s">
        <v>116</v>
      </c>
      <c r="F272" s="199" t="s">
        <v>95</v>
      </c>
      <c r="G272" s="223">
        <v>0</v>
      </c>
      <c r="H272" s="199" t="s">
        <v>276</v>
      </c>
    </row>
    <row r="273" spans="1:8">
      <c r="A273" s="218">
        <v>44196</v>
      </c>
      <c r="B273" s="199" t="s">
        <v>39</v>
      </c>
      <c r="C273" s="199" t="s">
        <v>8</v>
      </c>
      <c r="D273" s="199">
        <v>2020</v>
      </c>
      <c r="E273" s="199" t="s">
        <v>116</v>
      </c>
      <c r="F273" s="199" t="s">
        <v>95</v>
      </c>
      <c r="G273" s="223">
        <v>0</v>
      </c>
      <c r="H273" s="199" t="s">
        <v>276</v>
      </c>
    </row>
    <row r="274" spans="1:8">
      <c r="A274" s="218">
        <v>44196</v>
      </c>
      <c r="B274" s="199" t="s">
        <v>35</v>
      </c>
      <c r="C274" s="199" t="s">
        <v>8</v>
      </c>
      <c r="D274" s="199">
        <v>2020</v>
      </c>
      <c r="E274" s="199" t="s">
        <v>116</v>
      </c>
      <c r="F274" s="199" t="s">
        <v>95</v>
      </c>
      <c r="G274" s="223">
        <v>0</v>
      </c>
      <c r="H274" s="199" t="s">
        <v>276</v>
      </c>
    </row>
    <row r="275" spans="1:8">
      <c r="A275" s="218">
        <v>44196</v>
      </c>
      <c r="B275" s="199" t="s">
        <v>38</v>
      </c>
      <c r="C275" s="199" t="s">
        <v>8</v>
      </c>
      <c r="D275" s="199">
        <v>2020</v>
      </c>
      <c r="E275" s="199" t="s">
        <v>116</v>
      </c>
      <c r="F275" s="199" t="s">
        <v>95</v>
      </c>
      <c r="G275" s="223">
        <v>0</v>
      </c>
      <c r="H275" s="199" t="s">
        <v>276</v>
      </c>
    </row>
    <row r="276" spans="1:8">
      <c r="A276" s="218">
        <v>44196</v>
      </c>
      <c r="B276" s="199" t="s">
        <v>37</v>
      </c>
      <c r="C276" s="199" t="s">
        <v>8</v>
      </c>
      <c r="D276" s="199">
        <v>2020</v>
      </c>
      <c r="E276" s="199" t="s">
        <v>116</v>
      </c>
      <c r="F276" s="199" t="s">
        <v>95</v>
      </c>
      <c r="G276" s="223">
        <v>0</v>
      </c>
      <c r="H276" s="199" t="s">
        <v>276</v>
      </c>
    </row>
    <row r="277" spans="1:8">
      <c r="A277" s="218">
        <v>44196</v>
      </c>
      <c r="B277" s="199" t="s">
        <v>33</v>
      </c>
      <c r="C277" s="199" t="s">
        <v>8</v>
      </c>
      <c r="D277" s="199">
        <v>2020</v>
      </c>
      <c r="E277" s="199" t="s">
        <v>116</v>
      </c>
      <c r="F277" s="199" t="s">
        <v>95</v>
      </c>
      <c r="G277" s="223">
        <v>0</v>
      </c>
      <c r="H277" s="199" t="s">
        <v>276</v>
      </c>
    </row>
    <row r="278" spans="1:8">
      <c r="A278" s="218">
        <v>44196</v>
      </c>
      <c r="B278" s="199" t="s">
        <v>48</v>
      </c>
      <c r="C278" s="199" t="s">
        <v>8</v>
      </c>
      <c r="D278" s="199">
        <v>2020</v>
      </c>
      <c r="E278" s="199" t="s">
        <v>116</v>
      </c>
      <c r="F278" s="199" t="s">
        <v>95</v>
      </c>
      <c r="G278" s="223">
        <v>0</v>
      </c>
      <c r="H278" s="199" t="s">
        <v>276</v>
      </c>
    </row>
    <row r="279" spans="1:8">
      <c r="A279" s="218">
        <v>44196</v>
      </c>
      <c r="B279" s="199" t="s">
        <v>46</v>
      </c>
      <c r="C279" s="199" t="s">
        <v>8</v>
      </c>
      <c r="D279" s="199">
        <v>2020</v>
      </c>
      <c r="E279" s="199" t="s">
        <v>116</v>
      </c>
      <c r="F279" s="199" t="s">
        <v>95</v>
      </c>
      <c r="G279" s="223">
        <v>0</v>
      </c>
      <c r="H279" s="199" t="s">
        <v>276</v>
      </c>
    </row>
    <row r="280" spans="1:8">
      <c r="A280" s="218">
        <v>44196</v>
      </c>
      <c r="B280" s="199" t="s">
        <v>46</v>
      </c>
      <c r="C280" s="199" t="s">
        <v>8</v>
      </c>
      <c r="D280" s="199">
        <v>2019</v>
      </c>
      <c r="E280" s="199" t="s">
        <v>116</v>
      </c>
      <c r="F280" s="199" t="s">
        <v>95</v>
      </c>
      <c r="G280" s="223">
        <v>0</v>
      </c>
      <c r="H280" s="199" t="s">
        <v>276</v>
      </c>
    </row>
    <row r="281" spans="1:8">
      <c r="A281" s="218">
        <v>44196</v>
      </c>
      <c r="B281" s="199" t="s">
        <v>42</v>
      </c>
      <c r="C281" s="199" t="s">
        <v>8</v>
      </c>
      <c r="D281" s="199">
        <v>2020</v>
      </c>
      <c r="E281" s="199" t="s">
        <v>116</v>
      </c>
      <c r="F281" s="199" t="s">
        <v>95</v>
      </c>
      <c r="G281" s="223">
        <v>0</v>
      </c>
      <c r="H281" s="199" t="s">
        <v>276</v>
      </c>
    </row>
    <row r="282" spans="1:8">
      <c r="A282" s="218">
        <v>44196</v>
      </c>
      <c r="B282" s="199" t="s">
        <v>38</v>
      </c>
      <c r="C282" s="199" t="s">
        <v>8</v>
      </c>
      <c r="D282" s="199">
        <v>2019</v>
      </c>
      <c r="E282" s="199" t="s">
        <v>116</v>
      </c>
      <c r="F282" s="199" t="s">
        <v>95</v>
      </c>
      <c r="G282" s="223">
        <v>0</v>
      </c>
      <c r="H282" s="199" t="s">
        <v>276</v>
      </c>
    </row>
    <row r="283" spans="1:8">
      <c r="A283" s="218">
        <v>44196</v>
      </c>
      <c r="B283" s="199" t="s">
        <v>29</v>
      </c>
      <c r="C283" s="199" t="s">
        <v>8</v>
      </c>
      <c r="D283" s="199">
        <v>2019</v>
      </c>
      <c r="E283" s="199" t="s">
        <v>178</v>
      </c>
      <c r="F283" s="199" t="s">
        <v>95</v>
      </c>
      <c r="G283" s="223">
        <v>0</v>
      </c>
      <c r="H283" s="199" t="s">
        <v>276</v>
      </c>
    </row>
    <row r="284" spans="1:8">
      <c r="A284" s="218">
        <v>44196</v>
      </c>
      <c r="B284" s="199" t="s">
        <v>31</v>
      </c>
      <c r="C284" s="199" t="s">
        <v>8</v>
      </c>
      <c r="D284" s="199">
        <v>2019</v>
      </c>
      <c r="E284" s="199" t="s">
        <v>178</v>
      </c>
      <c r="F284" s="199" t="s">
        <v>95</v>
      </c>
      <c r="G284" s="223">
        <v>0</v>
      </c>
      <c r="H284" s="199" t="s">
        <v>276</v>
      </c>
    </row>
    <row r="285" spans="1:8">
      <c r="A285" s="218">
        <v>44196</v>
      </c>
      <c r="B285" s="199" t="s">
        <v>31</v>
      </c>
      <c r="C285" s="199" t="s">
        <v>8</v>
      </c>
      <c r="D285" s="199">
        <v>2019</v>
      </c>
      <c r="E285" s="199" t="s">
        <v>117</v>
      </c>
      <c r="F285" s="199" t="s">
        <v>95</v>
      </c>
      <c r="G285" s="223">
        <v>0</v>
      </c>
      <c r="H285" s="199" t="s">
        <v>276</v>
      </c>
    </row>
    <row r="286" spans="1:8">
      <c r="A286" s="218">
        <v>44196</v>
      </c>
      <c r="B286" s="199" t="s">
        <v>37</v>
      </c>
      <c r="C286" s="199" t="s">
        <v>8</v>
      </c>
      <c r="D286" s="199">
        <v>2020</v>
      </c>
      <c r="E286" s="199" t="s">
        <v>117</v>
      </c>
      <c r="F286" s="199" t="s">
        <v>95</v>
      </c>
      <c r="G286" s="223">
        <v>0</v>
      </c>
      <c r="H286" s="199" t="s">
        <v>276</v>
      </c>
    </row>
    <row r="287" spans="1:8">
      <c r="A287" s="218">
        <v>44196</v>
      </c>
      <c r="B287" s="199" t="s">
        <v>29</v>
      </c>
      <c r="C287" s="199" t="s">
        <v>8</v>
      </c>
      <c r="D287" s="199">
        <v>2019</v>
      </c>
      <c r="E287" s="199" t="s">
        <v>117</v>
      </c>
      <c r="F287" s="199" t="s">
        <v>95</v>
      </c>
      <c r="G287" s="223">
        <v>0</v>
      </c>
      <c r="H287" s="199" t="s">
        <v>276</v>
      </c>
    </row>
    <row r="288" spans="1:8">
      <c r="A288" s="218">
        <v>44196</v>
      </c>
      <c r="B288" s="199" t="s">
        <v>31</v>
      </c>
      <c r="C288" s="199" t="s">
        <v>8</v>
      </c>
      <c r="D288" s="199">
        <v>2020</v>
      </c>
      <c r="E288" s="199" t="s">
        <v>117</v>
      </c>
      <c r="F288" s="199" t="s">
        <v>95</v>
      </c>
      <c r="G288" s="223">
        <v>0</v>
      </c>
      <c r="H288" s="199" t="s">
        <v>276</v>
      </c>
    </row>
    <row r="289" spans="1:8">
      <c r="A289" s="218">
        <v>44196</v>
      </c>
      <c r="B289" s="199" t="s">
        <v>29</v>
      </c>
      <c r="C289" s="199" t="s">
        <v>8</v>
      </c>
      <c r="D289" s="199">
        <v>2020</v>
      </c>
      <c r="E289" s="199" t="s">
        <v>118</v>
      </c>
      <c r="F289" s="199" t="s">
        <v>95</v>
      </c>
      <c r="G289" s="223">
        <v>0</v>
      </c>
      <c r="H289" s="199" t="s">
        <v>276</v>
      </c>
    </row>
    <row r="290" spans="1:8">
      <c r="A290" s="218">
        <v>44196</v>
      </c>
      <c r="B290" s="199" t="s">
        <v>36</v>
      </c>
      <c r="C290" s="199" t="s">
        <v>8</v>
      </c>
      <c r="D290" s="199">
        <v>2019</v>
      </c>
      <c r="E290" s="199" t="s">
        <v>118</v>
      </c>
      <c r="F290" s="199" t="s">
        <v>95</v>
      </c>
      <c r="G290" s="223">
        <v>0</v>
      </c>
      <c r="H290" s="199" t="s">
        <v>276</v>
      </c>
    </row>
    <row r="291" spans="1:8">
      <c r="A291" s="218">
        <v>44196</v>
      </c>
      <c r="B291" s="199" t="s">
        <v>31</v>
      </c>
      <c r="C291" s="199" t="s">
        <v>8</v>
      </c>
      <c r="D291" s="199">
        <v>2019</v>
      </c>
      <c r="E291" s="199" t="s">
        <v>118</v>
      </c>
      <c r="F291" s="199" t="s">
        <v>95</v>
      </c>
      <c r="G291" s="223">
        <v>0</v>
      </c>
      <c r="H291" s="199" t="s">
        <v>276</v>
      </c>
    </row>
    <row r="292" spans="1:8">
      <c r="A292" s="218">
        <v>44196</v>
      </c>
      <c r="B292" s="199" t="s">
        <v>31</v>
      </c>
      <c r="C292" s="199" t="s">
        <v>8</v>
      </c>
      <c r="D292" s="199">
        <v>2020</v>
      </c>
      <c r="E292" s="199" t="s">
        <v>118</v>
      </c>
      <c r="F292" s="199" t="s">
        <v>95</v>
      </c>
      <c r="G292" s="223">
        <v>0</v>
      </c>
      <c r="H292" s="199" t="s">
        <v>276</v>
      </c>
    </row>
    <row r="293" spans="1:8">
      <c r="A293" s="218">
        <v>44196</v>
      </c>
      <c r="B293" s="199" t="s">
        <v>36</v>
      </c>
      <c r="C293" s="199" t="s">
        <v>8</v>
      </c>
      <c r="D293" s="199">
        <v>2020</v>
      </c>
      <c r="E293" s="199" t="s">
        <v>118</v>
      </c>
      <c r="F293" s="199" t="s">
        <v>95</v>
      </c>
      <c r="G293" s="223">
        <v>0</v>
      </c>
      <c r="H293" s="199" t="s">
        <v>276</v>
      </c>
    </row>
    <row r="294" spans="1:8">
      <c r="A294" s="218">
        <v>44196</v>
      </c>
      <c r="B294" s="199" t="s">
        <v>31</v>
      </c>
      <c r="C294" s="199" t="s">
        <v>8</v>
      </c>
      <c r="D294" s="199">
        <v>2019</v>
      </c>
      <c r="E294" s="199" t="s">
        <v>119</v>
      </c>
      <c r="F294" s="199" t="s">
        <v>95</v>
      </c>
      <c r="G294" s="223">
        <v>0</v>
      </c>
      <c r="H294" s="199" t="s">
        <v>276</v>
      </c>
    </row>
    <row r="295" spans="1:8">
      <c r="A295" s="218">
        <v>44196</v>
      </c>
      <c r="B295" s="199" t="s">
        <v>29</v>
      </c>
      <c r="C295" s="199" t="s">
        <v>8</v>
      </c>
      <c r="D295" s="199">
        <v>2019</v>
      </c>
      <c r="E295" s="199" t="s">
        <v>119</v>
      </c>
      <c r="F295" s="199" t="s">
        <v>95</v>
      </c>
      <c r="G295" s="223">
        <v>0</v>
      </c>
      <c r="H295" s="199" t="s">
        <v>276</v>
      </c>
    </row>
    <row r="296" spans="1:8">
      <c r="A296" s="218">
        <v>44196</v>
      </c>
      <c r="B296" s="199" t="s">
        <v>36</v>
      </c>
      <c r="C296" s="199" t="s">
        <v>8</v>
      </c>
      <c r="D296" s="199">
        <v>2019</v>
      </c>
      <c r="E296" s="199" t="s">
        <v>119</v>
      </c>
      <c r="F296" s="199" t="s">
        <v>95</v>
      </c>
      <c r="G296" s="223">
        <v>0</v>
      </c>
      <c r="H296" s="199" t="s">
        <v>276</v>
      </c>
    </row>
    <row r="297" spans="1:8">
      <c r="A297" s="218">
        <v>44196</v>
      </c>
      <c r="B297" s="199" t="s">
        <v>37</v>
      </c>
      <c r="C297" s="199" t="s">
        <v>8</v>
      </c>
      <c r="D297" s="199">
        <v>2019</v>
      </c>
      <c r="E297" s="199" t="s">
        <v>119</v>
      </c>
      <c r="F297" s="199" t="s">
        <v>95</v>
      </c>
      <c r="G297" s="223">
        <v>0</v>
      </c>
      <c r="H297" s="199" t="s">
        <v>276</v>
      </c>
    </row>
    <row r="298" spans="1:8">
      <c r="A298" s="218">
        <v>44196</v>
      </c>
      <c r="B298" s="199" t="s">
        <v>31</v>
      </c>
      <c r="C298" s="199" t="s">
        <v>8</v>
      </c>
      <c r="D298" s="199">
        <v>2020</v>
      </c>
      <c r="E298" s="199" t="s">
        <v>119</v>
      </c>
      <c r="F298" s="199" t="s">
        <v>95</v>
      </c>
      <c r="G298" s="223">
        <v>0</v>
      </c>
      <c r="H298" s="199" t="s">
        <v>276</v>
      </c>
    </row>
    <row r="299" spans="1:8">
      <c r="A299" s="218">
        <v>44196</v>
      </c>
      <c r="B299" s="199" t="s">
        <v>29</v>
      </c>
      <c r="C299" s="199" t="s">
        <v>8</v>
      </c>
      <c r="D299" s="199">
        <v>2020</v>
      </c>
      <c r="E299" s="199" t="s">
        <v>119</v>
      </c>
      <c r="F299" s="199" t="s">
        <v>95</v>
      </c>
      <c r="G299" s="223">
        <v>0</v>
      </c>
      <c r="H299" s="199" t="s">
        <v>276</v>
      </c>
    </row>
    <row r="300" spans="1:8">
      <c r="A300" s="218">
        <v>44196</v>
      </c>
      <c r="B300" s="199" t="s">
        <v>37</v>
      </c>
      <c r="C300" s="199" t="s">
        <v>8</v>
      </c>
      <c r="D300" s="199">
        <v>2020</v>
      </c>
      <c r="E300" s="199" t="s">
        <v>119</v>
      </c>
      <c r="F300" s="199" t="s">
        <v>95</v>
      </c>
      <c r="G300" s="223">
        <v>0</v>
      </c>
      <c r="H300" s="199" t="s">
        <v>276</v>
      </c>
    </row>
    <row r="301" spans="1:8">
      <c r="A301" s="218">
        <v>44196</v>
      </c>
      <c r="B301" s="199" t="s">
        <v>36</v>
      </c>
      <c r="C301" s="199" t="s">
        <v>8</v>
      </c>
      <c r="D301" s="199">
        <v>2020</v>
      </c>
      <c r="E301" s="199" t="s">
        <v>119</v>
      </c>
      <c r="F301" s="199" t="s">
        <v>95</v>
      </c>
      <c r="G301" s="223">
        <v>0</v>
      </c>
      <c r="H301" s="199" t="s">
        <v>276</v>
      </c>
    </row>
    <row r="302" spans="1:8">
      <c r="A302" s="218">
        <v>44196</v>
      </c>
      <c r="B302" s="199" t="s">
        <v>35</v>
      </c>
      <c r="C302" s="199" t="s">
        <v>8</v>
      </c>
      <c r="D302" s="199">
        <v>2019</v>
      </c>
      <c r="E302" s="199" t="s">
        <v>119</v>
      </c>
      <c r="F302" s="199" t="s">
        <v>95</v>
      </c>
      <c r="G302" s="223">
        <v>0</v>
      </c>
      <c r="H302" s="199" t="s">
        <v>276</v>
      </c>
    </row>
    <row r="303" spans="1:8">
      <c r="A303" s="218">
        <v>44196</v>
      </c>
      <c r="B303" s="199" t="s">
        <v>35</v>
      </c>
      <c r="C303" s="199" t="s">
        <v>8</v>
      </c>
      <c r="D303" s="199">
        <v>2020</v>
      </c>
      <c r="E303" s="199" t="s">
        <v>119</v>
      </c>
      <c r="F303" s="199" t="s">
        <v>95</v>
      </c>
      <c r="G303" s="223">
        <v>0</v>
      </c>
      <c r="H303" s="199" t="s">
        <v>276</v>
      </c>
    </row>
    <row r="304" spans="1:8">
      <c r="A304" s="218">
        <v>44196</v>
      </c>
      <c r="B304" s="199" t="s">
        <v>36</v>
      </c>
      <c r="C304" s="199" t="s">
        <v>8</v>
      </c>
      <c r="D304" s="199">
        <v>2019</v>
      </c>
      <c r="E304" s="199" t="s">
        <v>179</v>
      </c>
      <c r="F304" s="199" t="s">
        <v>95</v>
      </c>
      <c r="G304" s="223">
        <v>0</v>
      </c>
      <c r="H304" s="199" t="s">
        <v>276</v>
      </c>
    </row>
    <row r="305" spans="1:8">
      <c r="A305" s="218">
        <v>44196</v>
      </c>
      <c r="B305" s="199" t="s">
        <v>29</v>
      </c>
      <c r="C305" s="199" t="s">
        <v>8</v>
      </c>
      <c r="D305" s="199">
        <v>2019</v>
      </c>
      <c r="E305" s="199" t="s">
        <v>121</v>
      </c>
      <c r="F305" s="199" t="s">
        <v>120</v>
      </c>
      <c r="G305" s="223">
        <v>0</v>
      </c>
      <c r="H305" s="199" t="s">
        <v>276</v>
      </c>
    </row>
    <row r="306" spans="1:8">
      <c r="A306" s="218">
        <v>44196</v>
      </c>
      <c r="B306" s="199" t="s">
        <v>29</v>
      </c>
      <c r="C306" s="199" t="s">
        <v>8</v>
      </c>
      <c r="D306" s="199">
        <v>2020</v>
      </c>
      <c r="E306" s="199" t="s">
        <v>121</v>
      </c>
      <c r="F306" s="199" t="s">
        <v>120</v>
      </c>
      <c r="G306" s="223">
        <v>0</v>
      </c>
      <c r="H306" s="199" t="s">
        <v>276</v>
      </c>
    </row>
    <row r="307" spans="1:8">
      <c r="A307" s="218">
        <v>44196</v>
      </c>
      <c r="B307" s="199" t="s">
        <v>36</v>
      </c>
      <c r="C307" s="199" t="s">
        <v>8</v>
      </c>
      <c r="D307" s="199">
        <v>2019</v>
      </c>
      <c r="E307" s="199" t="s">
        <v>122</v>
      </c>
      <c r="F307" s="199" t="s">
        <v>120</v>
      </c>
      <c r="G307" s="223">
        <v>0</v>
      </c>
      <c r="H307" s="199" t="s">
        <v>276</v>
      </c>
    </row>
    <row r="308" spans="1:8">
      <c r="A308" s="218">
        <v>44196</v>
      </c>
      <c r="B308" s="199" t="s">
        <v>29</v>
      </c>
      <c r="C308" s="199" t="s">
        <v>8</v>
      </c>
      <c r="D308" s="199">
        <v>2019</v>
      </c>
      <c r="E308" s="199" t="s">
        <v>122</v>
      </c>
      <c r="F308" s="199" t="s">
        <v>120</v>
      </c>
      <c r="G308" s="223">
        <v>0</v>
      </c>
      <c r="H308" s="199" t="s">
        <v>276</v>
      </c>
    </row>
    <row r="309" spans="1:8">
      <c r="A309" s="218">
        <v>44196</v>
      </c>
      <c r="B309" s="199" t="s">
        <v>37</v>
      </c>
      <c r="C309" s="199" t="s">
        <v>8</v>
      </c>
      <c r="D309" s="199">
        <v>2019</v>
      </c>
      <c r="E309" s="199" t="s">
        <v>122</v>
      </c>
      <c r="F309" s="199" t="s">
        <v>120</v>
      </c>
      <c r="G309" s="223">
        <v>0</v>
      </c>
      <c r="H309" s="199" t="s">
        <v>276</v>
      </c>
    </row>
    <row r="310" spans="1:8">
      <c r="A310" s="218">
        <v>44196</v>
      </c>
      <c r="B310" s="199" t="s">
        <v>31</v>
      </c>
      <c r="C310" s="199" t="s">
        <v>8</v>
      </c>
      <c r="D310" s="199">
        <v>2019</v>
      </c>
      <c r="E310" s="199" t="s">
        <v>122</v>
      </c>
      <c r="F310" s="199" t="s">
        <v>120</v>
      </c>
      <c r="G310" s="223">
        <v>0</v>
      </c>
      <c r="H310" s="199" t="s">
        <v>276</v>
      </c>
    </row>
    <row r="311" spans="1:8">
      <c r="A311" s="218">
        <v>44196</v>
      </c>
      <c r="B311" s="199" t="s">
        <v>31</v>
      </c>
      <c r="C311" s="199" t="s">
        <v>8</v>
      </c>
      <c r="D311" s="199">
        <v>2020</v>
      </c>
      <c r="E311" s="199" t="s">
        <v>122</v>
      </c>
      <c r="F311" s="199" t="s">
        <v>120</v>
      </c>
      <c r="G311" s="223">
        <v>0</v>
      </c>
      <c r="H311" s="199" t="s">
        <v>276</v>
      </c>
    </row>
    <row r="312" spans="1:8">
      <c r="A312" s="218">
        <v>44196</v>
      </c>
      <c r="B312" s="199" t="s">
        <v>29</v>
      </c>
      <c r="C312" s="199" t="s">
        <v>8</v>
      </c>
      <c r="D312" s="199">
        <v>2020</v>
      </c>
      <c r="E312" s="199" t="s">
        <v>122</v>
      </c>
      <c r="F312" s="199" t="s">
        <v>120</v>
      </c>
      <c r="G312" s="223">
        <v>0</v>
      </c>
      <c r="H312" s="199" t="s">
        <v>276</v>
      </c>
    </row>
    <row r="313" spans="1:8">
      <c r="A313" s="218">
        <v>44196</v>
      </c>
      <c r="B313" s="199" t="s">
        <v>36</v>
      </c>
      <c r="C313" s="199" t="s">
        <v>8</v>
      </c>
      <c r="D313" s="199">
        <v>2020</v>
      </c>
      <c r="E313" s="199" t="s">
        <v>122</v>
      </c>
      <c r="F313" s="199" t="s">
        <v>120</v>
      </c>
      <c r="G313" s="223">
        <v>0</v>
      </c>
      <c r="H313" s="199" t="s">
        <v>276</v>
      </c>
    </row>
    <row r="314" spans="1:8">
      <c r="A314" s="218">
        <v>44196</v>
      </c>
      <c r="B314" s="199" t="s">
        <v>37</v>
      </c>
      <c r="C314" s="199" t="s">
        <v>8</v>
      </c>
      <c r="D314" s="199">
        <v>2020</v>
      </c>
      <c r="E314" s="199" t="s">
        <v>122</v>
      </c>
      <c r="F314" s="199" t="s">
        <v>120</v>
      </c>
      <c r="G314" s="223">
        <v>0</v>
      </c>
      <c r="H314" s="199" t="s">
        <v>276</v>
      </c>
    </row>
    <row r="315" spans="1:8">
      <c r="A315" s="218">
        <v>44196</v>
      </c>
      <c r="B315" s="199" t="s">
        <v>35</v>
      </c>
      <c r="C315" s="199" t="s">
        <v>8</v>
      </c>
      <c r="D315" s="199">
        <v>2020</v>
      </c>
      <c r="E315" s="199" t="s">
        <v>122</v>
      </c>
      <c r="F315" s="199" t="s">
        <v>120</v>
      </c>
      <c r="G315" s="223">
        <v>0</v>
      </c>
      <c r="H315" s="199" t="s">
        <v>276</v>
      </c>
    </row>
    <row r="316" spans="1:8">
      <c r="A316" s="218">
        <v>44196</v>
      </c>
      <c r="B316" s="199" t="s">
        <v>36</v>
      </c>
      <c r="C316" s="199" t="s">
        <v>8</v>
      </c>
      <c r="D316" s="199">
        <v>2019</v>
      </c>
      <c r="E316" s="199" t="s">
        <v>123</v>
      </c>
      <c r="F316" s="199" t="s">
        <v>120</v>
      </c>
      <c r="G316" s="223">
        <v>0</v>
      </c>
      <c r="H316" s="199" t="s">
        <v>276</v>
      </c>
    </row>
    <row r="317" spans="1:8">
      <c r="A317" s="218">
        <v>44196</v>
      </c>
      <c r="B317" s="199" t="s">
        <v>31</v>
      </c>
      <c r="C317" s="199" t="s">
        <v>8</v>
      </c>
      <c r="D317" s="199">
        <v>2019</v>
      </c>
      <c r="E317" s="199" t="s">
        <v>123</v>
      </c>
      <c r="F317" s="199" t="s">
        <v>120</v>
      </c>
      <c r="G317" s="223">
        <v>0</v>
      </c>
      <c r="H317" s="199" t="s">
        <v>276</v>
      </c>
    </row>
    <row r="318" spans="1:8">
      <c r="A318" s="218">
        <v>44196</v>
      </c>
      <c r="B318" s="199" t="s">
        <v>29</v>
      </c>
      <c r="C318" s="199" t="s">
        <v>8</v>
      </c>
      <c r="D318" s="199">
        <v>2019</v>
      </c>
      <c r="E318" s="199" t="s">
        <v>123</v>
      </c>
      <c r="F318" s="199" t="s">
        <v>120</v>
      </c>
      <c r="G318" s="223">
        <v>0</v>
      </c>
      <c r="H318" s="199" t="s">
        <v>276</v>
      </c>
    </row>
    <row r="319" spans="1:8">
      <c r="A319" s="218">
        <v>44196</v>
      </c>
      <c r="B319" s="199" t="s">
        <v>37</v>
      </c>
      <c r="C319" s="199" t="s">
        <v>8</v>
      </c>
      <c r="D319" s="199">
        <v>2020</v>
      </c>
      <c r="E319" s="199" t="s">
        <v>123</v>
      </c>
      <c r="F319" s="199" t="s">
        <v>120</v>
      </c>
      <c r="G319" s="223">
        <v>0</v>
      </c>
      <c r="H319" s="199" t="s">
        <v>276</v>
      </c>
    </row>
    <row r="320" spans="1:8">
      <c r="A320" s="218">
        <v>44196</v>
      </c>
      <c r="B320" s="199" t="s">
        <v>31</v>
      </c>
      <c r="C320" s="199" t="s">
        <v>8</v>
      </c>
      <c r="D320" s="199">
        <v>2020</v>
      </c>
      <c r="E320" s="199" t="s">
        <v>123</v>
      </c>
      <c r="F320" s="199" t="s">
        <v>120</v>
      </c>
      <c r="G320" s="223">
        <v>0</v>
      </c>
      <c r="H320" s="199" t="s">
        <v>276</v>
      </c>
    </row>
    <row r="321" spans="1:8">
      <c r="A321" s="218">
        <v>44196</v>
      </c>
      <c r="B321" s="199" t="s">
        <v>31</v>
      </c>
      <c r="C321" s="199" t="s">
        <v>8</v>
      </c>
      <c r="D321" s="199">
        <v>2019</v>
      </c>
      <c r="E321" s="199" t="s">
        <v>124</v>
      </c>
      <c r="F321" s="199" t="s">
        <v>120</v>
      </c>
      <c r="G321" s="223">
        <v>0</v>
      </c>
      <c r="H321" s="199" t="s">
        <v>276</v>
      </c>
    </row>
    <row r="322" spans="1:8">
      <c r="A322" s="218">
        <v>44196</v>
      </c>
      <c r="B322" s="199" t="s">
        <v>37</v>
      </c>
      <c r="C322" s="199" t="s">
        <v>8</v>
      </c>
      <c r="D322" s="199">
        <v>2019</v>
      </c>
      <c r="E322" s="199" t="s">
        <v>124</v>
      </c>
      <c r="F322" s="199" t="s">
        <v>120</v>
      </c>
      <c r="G322" s="223">
        <v>0</v>
      </c>
      <c r="H322" s="199" t="s">
        <v>276</v>
      </c>
    </row>
    <row r="323" spans="1:8">
      <c r="A323" s="218">
        <v>44196</v>
      </c>
      <c r="B323" s="199" t="s">
        <v>29</v>
      </c>
      <c r="C323" s="199" t="s">
        <v>8</v>
      </c>
      <c r="D323" s="199">
        <v>2019</v>
      </c>
      <c r="E323" s="199" t="s">
        <v>124</v>
      </c>
      <c r="F323" s="199" t="s">
        <v>120</v>
      </c>
      <c r="G323" s="223">
        <v>0</v>
      </c>
      <c r="H323" s="199" t="s">
        <v>276</v>
      </c>
    </row>
    <row r="324" spans="1:8">
      <c r="A324" s="218">
        <v>44196</v>
      </c>
      <c r="B324" s="199" t="s">
        <v>36</v>
      </c>
      <c r="C324" s="199" t="s">
        <v>8</v>
      </c>
      <c r="D324" s="199">
        <v>2019</v>
      </c>
      <c r="E324" s="199" t="s">
        <v>124</v>
      </c>
      <c r="F324" s="199" t="s">
        <v>120</v>
      </c>
      <c r="G324" s="223">
        <v>0</v>
      </c>
      <c r="H324" s="199" t="s">
        <v>276</v>
      </c>
    </row>
    <row r="325" spans="1:8">
      <c r="A325" s="218">
        <v>44196</v>
      </c>
      <c r="B325" s="199" t="s">
        <v>29</v>
      </c>
      <c r="C325" s="199" t="s">
        <v>8</v>
      </c>
      <c r="D325" s="199">
        <v>2020</v>
      </c>
      <c r="E325" s="199" t="s">
        <v>124</v>
      </c>
      <c r="F325" s="199" t="s">
        <v>120</v>
      </c>
      <c r="G325" s="223">
        <v>0</v>
      </c>
      <c r="H325" s="199" t="s">
        <v>276</v>
      </c>
    </row>
    <row r="326" spans="1:8">
      <c r="A326" s="218">
        <v>44196</v>
      </c>
      <c r="B326" s="199" t="s">
        <v>29</v>
      </c>
      <c r="C326" s="199" t="s">
        <v>8</v>
      </c>
      <c r="D326" s="199">
        <v>2019</v>
      </c>
      <c r="E326" s="199" t="s">
        <v>125</v>
      </c>
      <c r="F326" s="199" t="s">
        <v>120</v>
      </c>
      <c r="G326" s="223">
        <v>0</v>
      </c>
      <c r="H326" s="199" t="s">
        <v>276</v>
      </c>
    </row>
    <row r="327" spans="1:8">
      <c r="A327" s="218">
        <v>44196</v>
      </c>
      <c r="B327" s="199" t="s">
        <v>36</v>
      </c>
      <c r="C327" s="199" t="s">
        <v>8</v>
      </c>
      <c r="D327" s="199">
        <v>2019</v>
      </c>
      <c r="E327" s="199" t="s">
        <v>125</v>
      </c>
      <c r="F327" s="199" t="s">
        <v>120</v>
      </c>
      <c r="G327" s="223">
        <v>0</v>
      </c>
      <c r="H327" s="199" t="s">
        <v>276</v>
      </c>
    </row>
    <row r="328" spans="1:8">
      <c r="A328" s="218">
        <v>44196</v>
      </c>
      <c r="B328" s="199" t="s">
        <v>37</v>
      </c>
      <c r="C328" s="199" t="s">
        <v>8</v>
      </c>
      <c r="D328" s="199">
        <v>2019</v>
      </c>
      <c r="E328" s="199" t="s">
        <v>125</v>
      </c>
      <c r="F328" s="199" t="s">
        <v>120</v>
      </c>
      <c r="G328" s="223">
        <v>0</v>
      </c>
      <c r="H328" s="199" t="s">
        <v>276</v>
      </c>
    </row>
    <row r="329" spans="1:8">
      <c r="A329" s="218">
        <v>44196</v>
      </c>
      <c r="B329" s="199" t="s">
        <v>31</v>
      </c>
      <c r="C329" s="199" t="s">
        <v>8</v>
      </c>
      <c r="D329" s="199">
        <v>2019</v>
      </c>
      <c r="E329" s="199" t="s">
        <v>125</v>
      </c>
      <c r="F329" s="199" t="s">
        <v>120</v>
      </c>
      <c r="G329" s="223">
        <v>0</v>
      </c>
      <c r="H329" s="199" t="s">
        <v>276</v>
      </c>
    </row>
    <row r="330" spans="1:8">
      <c r="A330" s="218">
        <v>44196</v>
      </c>
      <c r="B330" s="199" t="s">
        <v>35</v>
      </c>
      <c r="C330" s="199" t="s">
        <v>8</v>
      </c>
      <c r="D330" s="199">
        <v>2019</v>
      </c>
      <c r="E330" s="199" t="s">
        <v>125</v>
      </c>
      <c r="F330" s="199" t="s">
        <v>120</v>
      </c>
      <c r="G330" s="223">
        <v>0</v>
      </c>
      <c r="H330" s="199" t="s">
        <v>276</v>
      </c>
    </row>
    <row r="331" spans="1:8">
      <c r="A331" s="218">
        <v>44196</v>
      </c>
      <c r="B331" s="199" t="s">
        <v>43</v>
      </c>
      <c r="C331" s="199" t="s">
        <v>8</v>
      </c>
      <c r="D331" s="199">
        <v>2019</v>
      </c>
      <c r="E331" s="199" t="s">
        <v>125</v>
      </c>
      <c r="F331" s="199" t="s">
        <v>120</v>
      </c>
      <c r="G331" s="223">
        <v>0</v>
      </c>
      <c r="H331" s="199" t="s">
        <v>276</v>
      </c>
    </row>
    <row r="332" spans="1:8">
      <c r="A332" s="218">
        <v>44196</v>
      </c>
      <c r="B332" s="199" t="s">
        <v>47</v>
      </c>
      <c r="C332" s="199" t="s">
        <v>8</v>
      </c>
      <c r="D332" s="199">
        <v>2019</v>
      </c>
      <c r="E332" s="199" t="s">
        <v>125</v>
      </c>
      <c r="F332" s="199" t="s">
        <v>120</v>
      </c>
      <c r="G332" s="223">
        <v>0</v>
      </c>
      <c r="H332" s="199" t="s">
        <v>276</v>
      </c>
    </row>
    <row r="333" spans="1:8">
      <c r="A333" s="218">
        <v>44196</v>
      </c>
      <c r="B333" s="199" t="s">
        <v>41</v>
      </c>
      <c r="C333" s="199" t="s">
        <v>8</v>
      </c>
      <c r="D333" s="199">
        <v>2019</v>
      </c>
      <c r="E333" s="199" t="s">
        <v>125</v>
      </c>
      <c r="F333" s="199" t="s">
        <v>120</v>
      </c>
      <c r="G333" s="223">
        <v>0</v>
      </c>
      <c r="H333" s="199" t="s">
        <v>276</v>
      </c>
    </row>
    <row r="334" spans="1:8">
      <c r="A334" s="218">
        <v>44196</v>
      </c>
      <c r="B334" s="199" t="s">
        <v>45</v>
      </c>
      <c r="C334" s="199" t="s">
        <v>8</v>
      </c>
      <c r="D334" s="199">
        <v>2019</v>
      </c>
      <c r="E334" s="199" t="s">
        <v>125</v>
      </c>
      <c r="F334" s="199" t="s">
        <v>120</v>
      </c>
      <c r="G334" s="223">
        <v>0</v>
      </c>
      <c r="H334" s="199" t="s">
        <v>276</v>
      </c>
    </row>
    <row r="335" spans="1:8">
      <c r="A335" s="218">
        <v>44196</v>
      </c>
      <c r="B335" s="199" t="s">
        <v>33</v>
      </c>
      <c r="C335" s="199" t="s">
        <v>8</v>
      </c>
      <c r="D335" s="199">
        <v>2019</v>
      </c>
      <c r="E335" s="199" t="s">
        <v>125</v>
      </c>
      <c r="F335" s="199" t="s">
        <v>120</v>
      </c>
      <c r="G335" s="223">
        <v>0</v>
      </c>
      <c r="H335" s="199" t="s">
        <v>276</v>
      </c>
    </row>
    <row r="336" spans="1:8">
      <c r="A336" s="218">
        <v>44196</v>
      </c>
      <c r="B336" s="199" t="s">
        <v>29</v>
      </c>
      <c r="C336" s="199" t="s">
        <v>8</v>
      </c>
      <c r="D336" s="199">
        <v>2020</v>
      </c>
      <c r="E336" s="199" t="s">
        <v>125</v>
      </c>
      <c r="F336" s="199" t="s">
        <v>120</v>
      </c>
      <c r="G336" s="223">
        <v>0</v>
      </c>
      <c r="H336" s="199" t="s">
        <v>276</v>
      </c>
    </row>
    <row r="337" spans="1:8">
      <c r="A337" s="218">
        <v>44196</v>
      </c>
      <c r="B337" s="199" t="s">
        <v>31</v>
      </c>
      <c r="C337" s="199" t="s">
        <v>8</v>
      </c>
      <c r="D337" s="199">
        <v>2020</v>
      </c>
      <c r="E337" s="199" t="s">
        <v>125</v>
      </c>
      <c r="F337" s="199" t="s">
        <v>120</v>
      </c>
      <c r="G337" s="223">
        <v>0</v>
      </c>
      <c r="H337" s="199" t="s">
        <v>276</v>
      </c>
    </row>
    <row r="338" spans="1:8">
      <c r="A338" s="218">
        <v>44196</v>
      </c>
      <c r="B338" s="199" t="s">
        <v>37</v>
      </c>
      <c r="C338" s="199" t="s">
        <v>8</v>
      </c>
      <c r="D338" s="199">
        <v>2020</v>
      </c>
      <c r="E338" s="199" t="s">
        <v>125</v>
      </c>
      <c r="F338" s="199" t="s">
        <v>120</v>
      </c>
      <c r="G338" s="223">
        <v>0</v>
      </c>
      <c r="H338" s="199" t="s">
        <v>276</v>
      </c>
    </row>
    <row r="339" spans="1:8">
      <c r="A339" s="218">
        <v>44196</v>
      </c>
      <c r="B339" s="199" t="s">
        <v>36</v>
      </c>
      <c r="C339" s="199" t="s">
        <v>8</v>
      </c>
      <c r="D339" s="199">
        <v>2020</v>
      </c>
      <c r="E339" s="199" t="s">
        <v>125</v>
      </c>
      <c r="F339" s="199" t="s">
        <v>120</v>
      </c>
      <c r="G339" s="223">
        <v>0</v>
      </c>
      <c r="H339" s="199" t="s">
        <v>276</v>
      </c>
    </row>
    <row r="340" spans="1:8">
      <c r="A340" s="218">
        <v>44196</v>
      </c>
      <c r="B340" s="199" t="s">
        <v>41</v>
      </c>
      <c r="C340" s="199" t="s">
        <v>8</v>
      </c>
      <c r="D340" s="199">
        <v>2020</v>
      </c>
      <c r="E340" s="199" t="s">
        <v>125</v>
      </c>
      <c r="F340" s="199" t="s">
        <v>120</v>
      </c>
      <c r="G340" s="223">
        <v>0</v>
      </c>
      <c r="H340" s="199" t="s">
        <v>276</v>
      </c>
    </row>
    <row r="341" spans="1:8">
      <c r="A341" s="218">
        <v>44196</v>
      </c>
      <c r="B341" s="199" t="s">
        <v>39</v>
      </c>
      <c r="C341" s="199" t="s">
        <v>8</v>
      </c>
      <c r="D341" s="199">
        <v>2020</v>
      </c>
      <c r="E341" s="199" t="s">
        <v>125</v>
      </c>
      <c r="F341" s="199" t="s">
        <v>120</v>
      </c>
      <c r="G341" s="223">
        <v>0</v>
      </c>
      <c r="H341" s="199" t="s">
        <v>276</v>
      </c>
    </row>
    <row r="342" spans="1:8">
      <c r="A342" s="218">
        <v>44196</v>
      </c>
      <c r="B342" s="199" t="s">
        <v>45</v>
      </c>
      <c r="C342" s="199" t="s">
        <v>8</v>
      </c>
      <c r="D342" s="199">
        <v>2020</v>
      </c>
      <c r="E342" s="199" t="s">
        <v>125</v>
      </c>
      <c r="F342" s="199" t="s">
        <v>120</v>
      </c>
      <c r="G342" s="223">
        <v>0</v>
      </c>
      <c r="H342" s="199" t="s">
        <v>276</v>
      </c>
    </row>
    <row r="343" spans="1:8">
      <c r="A343" s="218">
        <v>44196</v>
      </c>
      <c r="B343" s="199" t="s">
        <v>43</v>
      </c>
      <c r="C343" s="199" t="s">
        <v>8</v>
      </c>
      <c r="D343" s="199">
        <v>2020</v>
      </c>
      <c r="E343" s="199" t="s">
        <v>125</v>
      </c>
      <c r="F343" s="199" t="s">
        <v>120</v>
      </c>
      <c r="G343" s="223">
        <v>0</v>
      </c>
      <c r="H343" s="199" t="s">
        <v>276</v>
      </c>
    </row>
    <row r="344" spans="1:8">
      <c r="A344" s="218">
        <v>44196</v>
      </c>
      <c r="B344" s="199" t="s">
        <v>47</v>
      </c>
      <c r="C344" s="199" t="s">
        <v>8</v>
      </c>
      <c r="D344" s="199">
        <v>2020</v>
      </c>
      <c r="E344" s="199" t="s">
        <v>125</v>
      </c>
      <c r="F344" s="199" t="s">
        <v>120</v>
      </c>
      <c r="G344" s="223">
        <v>0</v>
      </c>
      <c r="H344" s="199" t="s">
        <v>276</v>
      </c>
    </row>
    <row r="345" spans="1:8">
      <c r="A345" s="218">
        <v>44196</v>
      </c>
      <c r="B345" s="199" t="s">
        <v>35</v>
      </c>
      <c r="C345" s="199" t="s">
        <v>8</v>
      </c>
      <c r="D345" s="199">
        <v>2020</v>
      </c>
      <c r="E345" s="199" t="s">
        <v>125</v>
      </c>
      <c r="F345" s="199" t="s">
        <v>120</v>
      </c>
      <c r="G345" s="223">
        <v>0</v>
      </c>
      <c r="H345" s="199" t="s">
        <v>276</v>
      </c>
    </row>
    <row r="346" spans="1:8">
      <c r="A346" s="218">
        <v>44196</v>
      </c>
      <c r="B346" s="199" t="s">
        <v>33</v>
      </c>
      <c r="C346" s="199" t="s">
        <v>8</v>
      </c>
      <c r="D346" s="199">
        <v>2020</v>
      </c>
      <c r="E346" s="199" t="s">
        <v>125</v>
      </c>
      <c r="F346" s="199" t="s">
        <v>120</v>
      </c>
      <c r="G346" s="223">
        <v>0</v>
      </c>
      <c r="H346" s="199" t="s">
        <v>276</v>
      </c>
    </row>
    <row r="347" spans="1:8">
      <c r="A347" s="218">
        <v>44196</v>
      </c>
      <c r="B347" s="199" t="s">
        <v>39</v>
      </c>
      <c r="C347" s="199" t="s">
        <v>8</v>
      </c>
      <c r="D347" s="199">
        <v>2019</v>
      </c>
      <c r="E347" s="199" t="s">
        <v>125</v>
      </c>
      <c r="F347" s="199" t="s">
        <v>120</v>
      </c>
      <c r="G347" s="223">
        <v>0</v>
      </c>
      <c r="H347" s="199" t="s">
        <v>276</v>
      </c>
    </row>
    <row r="348" spans="1:8">
      <c r="A348" s="218">
        <v>44196</v>
      </c>
      <c r="B348" s="199" t="s">
        <v>48</v>
      </c>
      <c r="C348" s="199" t="s">
        <v>8</v>
      </c>
      <c r="D348" s="199">
        <v>2020</v>
      </c>
      <c r="E348" s="199" t="s">
        <v>125</v>
      </c>
      <c r="F348" s="199" t="s">
        <v>120</v>
      </c>
      <c r="G348" s="223">
        <v>0</v>
      </c>
      <c r="H348" s="199" t="s">
        <v>276</v>
      </c>
    </row>
    <row r="349" spans="1:8">
      <c r="A349" s="218">
        <v>44196</v>
      </c>
      <c r="B349" s="199" t="s">
        <v>45</v>
      </c>
      <c r="C349" s="199" t="s">
        <v>8</v>
      </c>
      <c r="D349" s="199">
        <v>2019</v>
      </c>
      <c r="E349" s="199" t="s">
        <v>126</v>
      </c>
      <c r="F349" s="199" t="s">
        <v>120</v>
      </c>
      <c r="G349" s="223">
        <v>0</v>
      </c>
      <c r="H349" s="199" t="s">
        <v>276</v>
      </c>
    </row>
    <row r="350" spans="1:8">
      <c r="A350" s="218">
        <v>44196</v>
      </c>
      <c r="B350" s="199" t="s">
        <v>47</v>
      </c>
      <c r="C350" s="199" t="s">
        <v>8</v>
      </c>
      <c r="D350" s="199">
        <v>2020</v>
      </c>
      <c r="E350" s="199" t="s">
        <v>126</v>
      </c>
      <c r="F350" s="199" t="s">
        <v>120</v>
      </c>
      <c r="G350" s="223">
        <v>0</v>
      </c>
      <c r="H350" s="199" t="s">
        <v>276</v>
      </c>
    </row>
    <row r="351" spans="1:8">
      <c r="A351" s="218">
        <v>44196</v>
      </c>
      <c r="B351" s="199" t="s">
        <v>43</v>
      </c>
      <c r="C351" s="199" t="s">
        <v>8</v>
      </c>
      <c r="D351" s="199">
        <v>2020</v>
      </c>
      <c r="E351" s="199" t="s">
        <v>126</v>
      </c>
      <c r="F351" s="199" t="s">
        <v>120</v>
      </c>
      <c r="G351" s="223">
        <v>0</v>
      </c>
      <c r="H351" s="199" t="s">
        <v>276</v>
      </c>
    </row>
    <row r="352" spans="1:8">
      <c r="A352" s="218">
        <v>44196</v>
      </c>
      <c r="B352" s="199" t="s">
        <v>33</v>
      </c>
      <c r="C352" s="199" t="s">
        <v>8</v>
      </c>
      <c r="D352" s="199">
        <v>2020</v>
      </c>
      <c r="E352" s="199" t="s">
        <v>126</v>
      </c>
      <c r="F352" s="199" t="s">
        <v>120</v>
      </c>
      <c r="G352" s="223">
        <v>0</v>
      </c>
      <c r="H352" s="199" t="s">
        <v>276</v>
      </c>
    </row>
    <row r="353" spans="1:8">
      <c r="A353" s="218">
        <v>44196</v>
      </c>
      <c r="B353" s="199" t="s">
        <v>39</v>
      </c>
      <c r="C353" s="199" t="s">
        <v>8</v>
      </c>
      <c r="D353" s="199">
        <v>2020</v>
      </c>
      <c r="E353" s="199" t="s">
        <v>126</v>
      </c>
      <c r="F353" s="199" t="s">
        <v>120</v>
      </c>
      <c r="G353" s="223">
        <v>0</v>
      </c>
      <c r="H353" s="199" t="s">
        <v>276</v>
      </c>
    </row>
    <row r="354" spans="1:8">
      <c r="A354" s="218">
        <v>44196</v>
      </c>
      <c r="B354" s="199" t="s">
        <v>47</v>
      </c>
      <c r="C354" s="199" t="s">
        <v>8</v>
      </c>
      <c r="D354" s="199">
        <v>2019</v>
      </c>
      <c r="E354" s="199" t="s">
        <v>126</v>
      </c>
      <c r="F354" s="199" t="s">
        <v>120</v>
      </c>
      <c r="G354" s="223">
        <v>0</v>
      </c>
      <c r="H354" s="199" t="s">
        <v>276</v>
      </c>
    </row>
    <row r="355" spans="1:8">
      <c r="A355" s="218">
        <v>44196</v>
      </c>
      <c r="B355" s="199" t="s">
        <v>36</v>
      </c>
      <c r="C355" s="199" t="s">
        <v>8</v>
      </c>
      <c r="D355" s="199">
        <v>2019</v>
      </c>
      <c r="E355" s="199" t="s">
        <v>127</v>
      </c>
      <c r="F355" s="199" t="s">
        <v>120</v>
      </c>
      <c r="G355" s="223">
        <v>0</v>
      </c>
      <c r="H355" s="199" t="s">
        <v>276</v>
      </c>
    </row>
    <row r="356" spans="1:8">
      <c r="A356" s="218">
        <v>44196</v>
      </c>
      <c r="B356" s="199" t="s">
        <v>29</v>
      </c>
      <c r="C356" s="199" t="s">
        <v>8</v>
      </c>
      <c r="D356" s="199">
        <v>2019</v>
      </c>
      <c r="E356" s="199" t="s">
        <v>127</v>
      </c>
      <c r="F356" s="199" t="s">
        <v>120</v>
      </c>
      <c r="G356" s="223">
        <v>0</v>
      </c>
      <c r="H356" s="199" t="s">
        <v>276</v>
      </c>
    </row>
    <row r="357" spans="1:8">
      <c r="A357" s="218">
        <v>44196</v>
      </c>
      <c r="B357" s="199" t="s">
        <v>37</v>
      </c>
      <c r="C357" s="199" t="s">
        <v>8</v>
      </c>
      <c r="D357" s="199">
        <v>2019</v>
      </c>
      <c r="E357" s="199" t="s">
        <v>127</v>
      </c>
      <c r="F357" s="199" t="s">
        <v>120</v>
      </c>
      <c r="G357" s="223">
        <v>0</v>
      </c>
      <c r="H357" s="199" t="s">
        <v>276</v>
      </c>
    </row>
    <row r="358" spans="1:8">
      <c r="A358" s="218">
        <v>44196</v>
      </c>
      <c r="B358" s="199" t="s">
        <v>31</v>
      </c>
      <c r="C358" s="199" t="s">
        <v>8</v>
      </c>
      <c r="D358" s="199">
        <v>2019</v>
      </c>
      <c r="E358" s="199" t="s">
        <v>127</v>
      </c>
      <c r="F358" s="199" t="s">
        <v>120</v>
      </c>
      <c r="G358" s="223">
        <v>0</v>
      </c>
      <c r="H358" s="199" t="s">
        <v>276</v>
      </c>
    </row>
    <row r="359" spans="1:8">
      <c r="A359" s="218">
        <v>44196</v>
      </c>
      <c r="B359" s="199" t="s">
        <v>45</v>
      </c>
      <c r="C359" s="199" t="s">
        <v>8</v>
      </c>
      <c r="D359" s="199">
        <v>2019</v>
      </c>
      <c r="E359" s="199" t="s">
        <v>127</v>
      </c>
      <c r="F359" s="199" t="s">
        <v>120</v>
      </c>
      <c r="G359" s="223">
        <v>0</v>
      </c>
      <c r="H359" s="199" t="s">
        <v>276</v>
      </c>
    </row>
    <row r="360" spans="1:8">
      <c r="A360" s="218">
        <v>44196</v>
      </c>
      <c r="B360" s="199" t="s">
        <v>47</v>
      </c>
      <c r="C360" s="199" t="s">
        <v>8</v>
      </c>
      <c r="D360" s="199">
        <v>2019</v>
      </c>
      <c r="E360" s="199" t="s">
        <v>127</v>
      </c>
      <c r="F360" s="199" t="s">
        <v>120</v>
      </c>
      <c r="G360" s="223">
        <v>0</v>
      </c>
      <c r="H360" s="199" t="s">
        <v>276</v>
      </c>
    </row>
    <row r="361" spans="1:8">
      <c r="A361" s="218">
        <v>44196</v>
      </c>
      <c r="B361" s="199" t="s">
        <v>43</v>
      </c>
      <c r="C361" s="199" t="s">
        <v>8</v>
      </c>
      <c r="D361" s="199">
        <v>2019</v>
      </c>
      <c r="E361" s="199" t="s">
        <v>127</v>
      </c>
      <c r="F361" s="199" t="s">
        <v>120</v>
      </c>
      <c r="G361" s="223">
        <v>0</v>
      </c>
      <c r="H361" s="199" t="s">
        <v>276</v>
      </c>
    </row>
    <row r="362" spans="1:8">
      <c r="A362" s="218">
        <v>44196</v>
      </c>
      <c r="B362" s="199" t="s">
        <v>36</v>
      </c>
      <c r="C362" s="199" t="s">
        <v>8</v>
      </c>
      <c r="D362" s="199">
        <v>2020</v>
      </c>
      <c r="E362" s="199" t="s">
        <v>127</v>
      </c>
      <c r="F362" s="199" t="s">
        <v>120</v>
      </c>
      <c r="G362" s="223">
        <v>0</v>
      </c>
      <c r="H362" s="199" t="s">
        <v>276</v>
      </c>
    </row>
    <row r="363" spans="1:8">
      <c r="A363" s="218">
        <v>44196</v>
      </c>
      <c r="B363" s="199" t="s">
        <v>31</v>
      </c>
      <c r="C363" s="199" t="s">
        <v>8</v>
      </c>
      <c r="D363" s="199">
        <v>2020</v>
      </c>
      <c r="E363" s="199" t="s">
        <v>127</v>
      </c>
      <c r="F363" s="199" t="s">
        <v>120</v>
      </c>
      <c r="G363" s="223">
        <v>0</v>
      </c>
      <c r="H363" s="199" t="s">
        <v>276</v>
      </c>
    </row>
    <row r="364" spans="1:8">
      <c r="A364" s="218">
        <v>44196</v>
      </c>
      <c r="B364" s="199" t="s">
        <v>37</v>
      </c>
      <c r="C364" s="199" t="s">
        <v>8</v>
      </c>
      <c r="D364" s="199">
        <v>2020</v>
      </c>
      <c r="E364" s="199" t="s">
        <v>127</v>
      </c>
      <c r="F364" s="199" t="s">
        <v>120</v>
      </c>
      <c r="G364" s="223">
        <v>0</v>
      </c>
      <c r="H364" s="199" t="s">
        <v>276</v>
      </c>
    </row>
    <row r="365" spans="1:8">
      <c r="A365" s="218">
        <v>44196</v>
      </c>
      <c r="B365" s="199" t="s">
        <v>29</v>
      </c>
      <c r="C365" s="199" t="s">
        <v>8</v>
      </c>
      <c r="D365" s="199">
        <v>2020</v>
      </c>
      <c r="E365" s="199" t="s">
        <v>127</v>
      </c>
      <c r="F365" s="199" t="s">
        <v>120</v>
      </c>
      <c r="G365" s="223">
        <v>0</v>
      </c>
      <c r="H365" s="199" t="s">
        <v>276</v>
      </c>
    </row>
    <row r="366" spans="1:8">
      <c r="A366" s="218">
        <v>44196</v>
      </c>
      <c r="B366" s="199" t="s">
        <v>43</v>
      </c>
      <c r="C366" s="199" t="s">
        <v>8</v>
      </c>
      <c r="D366" s="199">
        <v>2020</v>
      </c>
      <c r="E366" s="199" t="s">
        <v>127</v>
      </c>
      <c r="F366" s="199" t="s">
        <v>120</v>
      </c>
      <c r="G366" s="223">
        <v>0</v>
      </c>
      <c r="H366" s="199" t="s">
        <v>276</v>
      </c>
    </row>
    <row r="367" spans="1:8">
      <c r="A367" s="218">
        <v>44196</v>
      </c>
      <c r="B367" s="199" t="s">
        <v>33</v>
      </c>
      <c r="C367" s="199" t="s">
        <v>8</v>
      </c>
      <c r="D367" s="199">
        <v>2019</v>
      </c>
      <c r="E367" s="199" t="s">
        <v>127</v>
      </c>
      <c r="F367" s="199" t="s">
        <v>120</v>
      </c>
      <c r="G367" s="223">
        <v>0</v>
      </c>
      <c r="H367" s="199" t="s">
        <v>276</v>
      </c>
    </row>
    <row r="368" spans="1:8">
      <c r="A368" s="218">
        <v>44196</v>
      </c>
      <c r="B368" s="199" t="s">
        <v>41</v>
      </c>
      <c r="C368" s="199" t="s">
        <v>8</v>
      </c>
      <c r="D368" s="199">
        <v>2019</v>
      </c>
      <c r="E368" s="199" t="s">
        <v>127</v>
      </c>
      <c r="F368" s="199" t="s">
        <v>120</v>
      </c>
      <c r="G368" s="223">
        <v>0</v>
      </c>
      <c r="H368" s="199" t="s">
        <v>276</v>
      </c>
    </row>
    <row r="369" spans="1:8">
      <c r="A369" s="218">
        <v>44196</v>
      </c>
      <c r="B369" s="199" t="s">
        <v>45</v>
      </c>
      <c r="C369" s="199" t="s">
        <v>8</v>
      </c>
      <c r="D369" s="199">
        <v>2020</v>
      </c>
      <c r="E369" s="199" t="s">
        <v>127</v>
      </c>
      <c r="F369" s="199" t="s">
        <v>120</v>
      </c>
      <c r="G369" s="223">
        <v>0</v>
      </c>
      <c r="H369" s="199" t="s">
        <v>276</v>
      </c>
    </row>
    <row r="370" spans="1:8">
      <c r="A370" s="218">
        <v>44196</v>
      </c>
      <c r="B370" s="199" t="s">
        <v>33</v>
      </c>
      <c r="C370" s="199" t="s">
        <v>8</v>
      </c>
      <c r="D370" s="199">
        <v>2020</v>
      </c>
      <c r="E370" s="199" t="s">
        <v>127</v>
      </c>
      <c r="F370" s="199" t="s">
        <v>120</v>
      </c>
      <c r="G370" s="223">
        <v>0</v>
      </c>
      <c r="H370" s="199" t="s">
        <v>276</v>
      </c>
    </row>
    <row r="371" spans="1:8">
      <c r="A371" s="218">
        <v>44196</v>
      </c>
      <c r="B371" s="199" t="s">
        <v>39</v>
      </c>
      <c r="C371" s="199" t="s">
        <v>8</v>
      </c>
      <c r="D371" s="199">
        <v>2020</v>
      </c>
      <c r="E371" s="199" t="s">
        <v>127</v>
      </c>
      <c r="F371" s="199" t="s">
        <v>120</v>
      </c>
      <c r="G371" s="223">
        <v>0</v>
      </c>
      <c r="H371" s="199" t="s">
        <v>276</v>
      </c>
    </row>
    <row r="372" spans="1:8">
      <c r="A372" s="218">
        <v>44196</v>
      </c>
      <c r="B372" s="199" t="s">
        <v>41</v>
      </c>
      <c r="C372" s="199" t="s">
        <v>8</v>
      </c>
      <c r="D372" s="199">
        <v>2020</v>
      </c>
      <c r="E372" s="199" t="s">
        <v>127</v>
      </c>
      <c r="F372" s="199" t="s">
        <v>120</v>
      </c>
      <c r="G372" s="223">
        <v>0</v>
      </c>
      <c r="H372" s="199" t="s">
        <v>276</v>
      </c>
    </row>
    <row r="373" spans="1:8">
      <c r="A373" s="218">
        <v>44196</v>
      </c>
      <c r="B373" s="199" t="s">
        <v>47</v>
      </c>
      <c r="C373" s="199" t="s">
        <v>8</v>
      </c>
      <c r="D373" s="199">
        <v>2020</v>
      </c>
      <c r="E373" s="199" t="s">
        <v>127</v>
      </c>
      <c r="F373" s="199" t="s">
        <v>120</v>
      </c>
      <c r="G373" s="223">
        <v>0</v>
      </c>
      <c r="H373" s="199" t="s">
        <v>276</v>
      </c>
    </row>
    <row r="374" spans="1:8">
      <c r="A374" s="218">
        <v>44196</v>
      </c>
      <c r="B374" s="199" t="s">
        <v>29</v>
      </c>
      <c r="C374" s="199" t="s">
        <v>8</v>
      </c>
      <c r="D374" s="199">
        <v>2019</v>
      </c>
      <c r="E374" s="199" t="s">
        <v>129</v>
      </c>
      <c r="F374" s="199" t="s">
        <v>128</v>
      </c>
      <c r="G374" s="223">
        <v>0</v>
      </c>
      <c r="H374" s="199" t="s">
        <v>276</v>
      </c>
    </row>
    <row r="375" spans="1:8">
      <c r="A375" s="218">
        <v>44196</v>
      </c>
      <c r="B375" s="199" t="s">
        <v>37</v>
      </c>
      <c r="C375" s="199" t="s">
        <v>8</v>
      </c>
      <c r="D375" s="199">
        <v>2019</v>
      </c>
      <c r="E375" s="199" t="s">
        <v>129</v>
      </c>
      <c r="F375" s="199" t="s">
        <v>128</v>
      </c>
      <c r="G375" s="223">
        <v>0</v>
      </c>
      <c r="H375" s="199" t="s">
        <v>276</v>
      </c>
    </row>
    <row r="376" spans="1:8">
      <c r="A376" s="218">
        <v>44196</v>
      </c>
      <c r="B376" s="199" t="s">
        <v>36</v>
      </c>
      <c r="C376" s="199" t="s">
        <v>8</v>
      </c>
      <c r="D376" s="199">
        <v>2019</v>
      </c>
      <c r="E376" s="199" t="s">
        <v>129</v>
      </c>
      <c r="F376" s="199" t="s">
        <v>128</v>
      </c>
      <c r="G376" s="223">
        <v>0</v>
      </c>
      <c r="H376" s="199" t="s">
        <v>276</v>
      </c>
    </row>
    <row r="377" spans="1:8">
      <c r="A377" s="218">
        <v>44196</v>
      </c>
      <c r="B377" s="199" t="s">
        <v>31</v>
      </c>
      <c r="C377" s="199" t="s">
        <v>8</v>
      </c>
      <c r="D377" s="199">
        <v>2019</v>
      </c>
      <c r="E377" s="199" t="s">
        <v>129</v>
      </c>
      <c r="F377" s="199" t="s">
        <v>128</v>
      </c>
      <c r="G377" s="223">
        <v>0</v>
      </c>
      <c r="H377" s="199" t="s">
        <v>276</v>
      </c>
    </row>
    <row r="378" spans="1:8">
      <c r="A378" s="218">
        <v>44196</v>
      </c>
      <c r="B378" s="199" t="s">
        <v>37</v>
      </c>
      <c r="C378" s="199" t="s">
        <v>8</v>
      </c>
      <c r="D378" s="199">
        <v>2020</v>
      </c>
      <c r="E378" s="199" t="s">
        <v>129</v>
      </c>
      <c r="F378" s="199" t="s">
        <v>128</v>
      </c>
      <c r="G378" s="223">
        <v>0</v>
      </c>
      <c r="H378" s="199" t="s">
        <v>276</v>
      </c>
    </row>
    <row r="379" spans="1:8">
      <c r="A379" s="218">
        <v>44196</v>
      </c>
      <c r="B379" s="199" t="s">
        <v>29</v>
      </c>
      <c r="C379" s="199" t="s">
        <v>8</v>
      </c>
      <c r="D379" s="199">
        <v>2020</v>
      </c>
      <c r="E379" s="199" t="s">
        <v>129</v>
      </c>
      <c r="F379" s="199" t="s">
        <v>128</v>
      </c>
      <c r="G379" s="223">
        <v>0</v>
      </c>
      <c r="H379" s="199" t="s">
        <v>276</v>
      </c>
    </row>
    <row r="380" spans="1:8">
      <c r="A380" s="218">
        <v>44196</v>
      </c>
      <c r="B380" s="199" t="s">
        <v>31</v>
      </c>
      <c r="C380" s="199" t="s">
        <v>8</v>
      </c>
      <c r="D380" s="199">
        <v>2020</v>
      </c>
      <c r="E380" s="199" t="s">
        <v>129</v>
      </c>
      <c r="F380" s="199" t="s">
        <v>128</v>
      </c>
      <c r="G380" s="223">
        <v>0</v>
      </c>
      <c r="H380" s="199" t="s">
        <v>276</v>
      </c>
    </row>
    <row r="381" spans="1:8">
      <c r="A381" s="218">
        <v>44196</v>
      </c>
      <c r="B381" s="199" t="s">
        <v>36</v>
      </c>
      <c r="C381" s="199" t="s">
        <v>8</v>
      </c>
      <c r="D381" s="199">
        <v>2020</v>
      </c>
      <c r="E381" s="199" t="s">
        <v>129</v>
      </c>
      <c r="F381" s="199" t="s">
        <v>128</v>
      </c>
      <c r="G381" s="223">
        <v>0</v>
      </c>
      <c r="H381" s="199" t="s">
        <v>276</v>
      </c>
    </row>
    <row r="382" spans="1:8">
      <c r="A382" s="218">
        <v>44196</v>
      </c>
      <c r="B382" s="199" t="s">
        <v>35</v>
      </c>
      <c r="C382" s="199" t="s">
        <v>8</v>
      </c>
      <c r="D382" s="199">
        <v>2020</v>
      </c>
      <c r="E382" s="199" t="s">
        <v>129</v>
      </c>
      <c r="F382" s="199" t="s">
        <v>128</v>
      </c>
      <c r="G382" s="223">
        <v>0</v>
      </c>
      <c r="H382" s="199" t="s">
        <v>276</v>
      </c>
    </row>
    <row r="383" spans="1:8">
      <c r="A383" s="218">
        <v>44196</v>
      </c>
      <c r="B383" s="199" t="s">
        <v>47</v>
      </c>
      <c r="C383" s="199" t="s">
        <v>8</v>
      </c>
      <c r="D383" s="199">
        <v>2020</v>
      </c>
      <c r="E383" s="199" t="s">
        <v>129</v>
      </c>
      <c r="F383" s="199" t="s">
        <v>128</v>
      </c>
      <c r="G383" s="223">
        <v>0</v>
      </c>
      <c r="H383" s="199" t="s">
        <v>276</v>
      </c>
    </row>
    <row r="384" spans="1:8">
      <c r="A384" s="218">
        <v>44196</v>
      </c>
      <c r="B384" s="199" t="s">
        <v>33</v>
      </c>
      <c r="C384" s="199" t="s">
        <v>8</v>
      </c>
      <c r="D384" s="199">
        <v>2019</v>
      </c>
      <c r="E384" s="199" t="s">
        <v>129</v>
      </c>
      <c r="F384" s="199" t="s">
        <v>128</v>
      </c>
      <c r="G384" s="223">
        <v>0</v>
      </c>
      <c r="H384" s="199" t="s">
        <v>276</v>
      </c>
    </row>
    <row r="385" spans="1:8">
      <c r="A385" s="218">
        <v>44196</v>
      </c>
      <c r="B385" s="199" t="s">
        <v>41</v>
      </c>
      <c r="C385" s="199" t="s">
        <v>8</v>
      </c>
      <c r="D385" s="199">
        <v>2019</v>
      </c>
      <c r="E385" s="199" t="s">
        <v>129</v>
      </c>
      <c r="F385" s="199" t="s">
        <v>128</v>
      </c>
      <c r="G385" s="223">
        <v>0</v>
      </c>
      <c r="H385" s="199" t="s">
        <v>276</v>
      </c>
    </row>
    <row r="386" spans="1:8">
      <c r="A386" s="218">
        <v>44196</v>
      </c>
      <c r="B386" s="199" t="s">
        <v>47</v>
      </c>
      <c r="C386" s="199" t="s">
        <v>8</v>
      </c>
      <c r="D386" s="199">
        <v>2019</v>
      </c>
      <c r="E386" s="199" t="s">
        <v>129</v>
      </c>
      <c r="F386" s="199" t="s">
        <v>128</v>
      </c>
      <c r="G386" s="223">
        <v>0</v>
      </c>
      <c r="H386" s="199" t="s">
        <v>276</v>
      </c>
    </row>
    <row r="387" spans="1:8">
      <c r="A387" s="218">
        <v>44196</v>
      </c>
      <c r="B387" s="199" t="s">
        <v>45</v>
      </c>
      <c r="C387" s="199" t="s">
        <v>8</v>
      </c>
      <c r="D387" s="199">
        <v>2020</v>
      </c>
      <c r="E387" s="199" t="s">
        <v>129</v>
      </c>
      <c r="F387" s="199" t="s">
        <v>128</v>
      </c>
      <c r="G387" s="223">
        <v>0</v>
      </c>
      <c r="H387" s="199" t="s">
        <v>276</v>
      </c>
    </row>
    <row r="388" spans="1:8">
      <c r="A388" s="218">
        <v>44196</v>
      </c>
      <c r="B388" s="199" t="s">
        <v>48</v>
      </c>
      <c r="C388" s="199" t="s">
        <v>8</v>
      </c>
      <c r="D388" s="199">
        <v>2020</v>
      </c>
      <c r="E388" s="199" t="s">
        <v>129</v>
      </c>
      <c r="F388" s="199" t="s">
        <v>128</v>
      </c>
      <c r="G388" s="223">
        <v>0</v>
      </c>
      <c r="H388" s="199" t="s">
        <v>276</v>
      </c>
    </row>
    <row r="389" spans="1:8">
      <c r="A389" s="218">
        <v>44196</v>
      </c>
      <c r="B389" s="199" t="s">
        <v>45</v>
      </c>
      <c r="C389" s="199" t="s">
        <v>8</v>
      </c>
      <c r="D389" s="199">
        <v>2019</v>
      </c>
      <c r="E389" s="199" t="s">
        <v>129</v>
      </c>
      <c r="F389" s="199" t="s">
        <v>128</v>
      </c>
      <c r="G389" s="223">
        <v>0</v>
      </c>
      <c r="H389" s="199" t="s">
        <v>276</v>
      </c>
    </row>
    <row r="390" spans="1:8">
      <c r="A390" s="218">
        <v>44196</v>
      </c>
      <c r="B390" s="199" t="s">
        <v>33</v>
      </c>
      <c r="C390" s="199" t="s">
        <v>8</v>
      </c>
      <c r="D390" s="199">
        <v>2020</v>
      </c>
      <c r="E390" s="199" t="s">
        <v>129</v>
      </c>
      <c r="F390" s="199" t="s">
        <v>128</v>
      </c>
      <c r="G390" s="223">
        <v>0</v>
      </c>
      <c r="H390" s="199" t="s">
        <v>276</v>
      </c>
    </row>
    <row r="391" spans="1:8">
      <c r="A391" s="218">
        <v>44196</v>
      </c>
      <c r="B391" s="199" t="s">
        <v>43</v>
      </c>
      <c r="C391" s="199" t="s">
        <v>8</v>
      </c>
      <c r="D391" s="199">
        <v>2020</v>
      </c>
      <c r="E391" s="199" t="s">
        <v>129</v>
      </c>
      <c r="F391" s="199" t="s">
        <v>128</v>
      </c>
      <c r="G391" s="223">
        <v>0</v>
      </c>
      <c r="H391" s="199" t="s">
        <v>276</v>
      </c>
    </row>
    <row r="392" spans="1:8">
      <c r="A392" s="218">
        <v>44196</v>
      </c>
      <c r="B392" s="199" t="s">
        <v>43</v>
      </c>
      <c r="C392" s="199" t="s">
        <v>8</v>
      </c>
      <c r="D392" s="199">
        <v>2019</v>
      </c>
      <c r="E392" s="199" t="s">
        <v>129</v>
      </c>
      <c r="F392" s="199" t="s">
        <v>128</v>
      </c>
      <c r="G392" s="223">
        <v>0</v>
      </c>
      <c r="H392" s="199" t="s">
        <v>276</v>
      </c>
    </row>
    <row r="393" spans="1:8">
      <c r="A393" s="218">
        <v>44196</v>
      </c>
      <c r="B393" s="199" t="s">
        <v>41</v>
      </c>
      <c r="C393" s="199" t="s">
        <v>8</v>
      </c>
      <c r="D393" s="199">
        <v>2020</v>
      </c>
      <c r="E393" s="199" t="s">
        <v>129</v>
      </c>
      <c r="F393" s="199" t="s">
        <v>128</v>
      </c>
      <c r="G393" s="223">
        <v>0</v>
      </c>
      <c r="H393" s="199" t="s">
        <v>276</v>
      </c>
    </row>
    <row r="394" spans="1:8">
      <c r="A394" s="218">
        <v>44196</v>
      </c>
      <c r="B394" s="199" t="s">
        <v>42</v>
      </c>
      <c r="C394" s="199" t="s">
        <v>8</v>
      </c>
      <c r="D394" s="199">
        <v>2020</v>
      </c>
      <c r="E394" s="199" t="s">
        <v>129</v>
      </c>
      <c r="F394" s="199" t="s">
        <v>128</v>
      </c>
      <c r="G394" s="223">
        <v>0</v>
      </c>
      <c r="H394" s="199" t="s">
        <v>276</v>
      </c>
    </row>
    <row r="395" spans="1:8">
      <c r="A395" s="218">
        <v>44196</v>
      </c>
      <c r="B395" s="199" t="s">
        <v>29</v>
      </c>
      <c r="C395" s="199" t="s">
        <v>8</v>
      </c>
      <c r="D395" s="199">
        <v>2019</v>
      </c>
      <c r="E395" s="199" t="s">
        <v>180</v>
      </c>
      <c r="F395" s="199" t="s">
        <v>130</v>
      </c>
      <c r="G395" s="223">
        <v>0</v>
      </c>
      <c r="H395" s="199" t="s">
        <v>276</v>
      </c>
    </row>
    <row r="396" spans="1:8">
      <c r="A396" s="218">
        <v>44196</v>
      </c>
      <c r="B396" s="199" t="s">
        <v>33</v>
      </c>
      <c r="C396" s="199" t="s">
        <v>8</v>
      </c>
      <c r="D396" s="199">
        <v>2019</v>
      </c>
      <c r="E396" s="199" t="s">
        <v>131</v>
      </c>
      <c r="F396" s="199" t="s">
        <v>130</v>
      </c>
      <c r="G396" s="223">
        <v>0</v>
      </c>
      <c r="H396" s="199" t="s">
        <v>276</v>
      </c>
    </row>
    <row r="397" spans="1:8">
      <c r="A397" s="218">
        <v>44196</v>
      </c>
      <c r="B397" s="199" t="s">
        <v>47</v>
      </c>
      <c r="C397" s="199" t="s">
        <v>8</v>
      </c>
      <c r="D397" s="199">
        <v>2020</v>
      </c>
      <c r="E397" s="199" t="s">
        <v>131</v>
      </c>
      <c r="F397" s="199" t="s">
        <v>130</v>
      </c>
      <c r="G397" s="223">
        <v>0</v>
      </c>
      <c r="H397" s="199" t="s">
        <v>276</v>
      </c>
    </row>
    <row r="398" spans="1:8">
      <c r="A398" s="218">
        <v>44196</v>
      </c>
      <c r="B398" s="199" t="s">
        <v>29</v>
      </c>
      <c r="C398" s="199" t="s">
        <v>8</v>
      </c>
      <c r="D398" s="199">
        <v>2020</v>
      </c>
      <c r="E398" s="199" t="s">
        <v>132</v>
      </c>
      <c r="F398" s="199" t="s">
        <v>130</v>
      </c>
      <c r="G398" s="223">
        <v>0</v>
      </c>
      <c r="H398" s="199" t="s">
        <v>276</v>
      </c>
    </row>
    <row r="399" spans="1:8">
      <c r="A399" s="218">
        <v>44196</v>
      </c>
      <c r="B399" s="199" t="s">
        <v>41</v>
      </c>
      <c r="C399" s="199" t="s">
        <v>8</v>
      </c>
      <c r="D399" s="199">
        <v>2020</v>
      </c>
      <c r="E399" s="199" t="s">
        <v>132</v>
      </c>
      <c r="F399" s="199" t="s">
        <v>130</v>
      </c>
      <c r="G399" s="223">
        <v>0</v>
      </c>
      <c r="H399" s="199" t="s">
        <v>276</v>
      </c>
    </row>
    <row r="400" spans="1:8">
      <c r="A400" s="218">
        <v>44196</v>
      </c>
      <c r="B400" s="199" t="s">
        <v>43</v>
      </c>
      <c r="C400" s="199" t="s">
        <v>8</v>
      </c>
      <c r="D400" s="199">
        <v>2020</v>
      </c>
      <c r="E400" s="199" t="s">
        <v>132</v>
      </c>
      <c r="F400" s="199" t="s">
        <v>130</v>
      </c>
      <c r="G400" s="223">
        <v>0</v>
      </c>
      <c r="H400" s="199" t="s">
        <v>276</v>
      </c>
    </row>
    <row r="401" spans="1:8">
      <c r="A401" s="218">
        <v>44196</v>
      </c>
      <c r="B401" s="199" t="s">
        <v>35</v>
      </c>
      <c r="C401" s="199" t="s">
        <v>8</v>
      </c>
      <c r="D401" s="199">
        <v>2020</v>
      </c>
      <c r="E401" s="199" t="s">
        <v>132</v>
      </c>
      <c r="F401" s="199" t="s">
        <v>130</v>
      </c>
      <c r="G401" s="223">
        <v>0</v>
      </c>
      <c r="H401" s="199" t="s">
        <v>276</v>
      </c>
    </row>
    <row r="402" spans="1:8">
      <c r="A402" s="218">
        <v>44196</v>
      </c>
      <c r="B402" s="199" t="s">
        <v>29</v>
      </c>
      <c r="C402" s="199" t="s">
        <v>8</v>
      </c>
      <c r="D402" s="199">
        <v>2019</v>
      </c>
      <c r="E402" s="199" t="s">
        <v>272</v>
      </c>
      <c r="F402" s="199" t="s">
        <v>130</v>
      </c>
      <c r="G402" s="223">
        <v>0</v>
      </c>
      <c r="H402" s="199" t="s">
        <v>276</v>
      </c>
    </row>
    <row r="403" spans="1:8">
      <c r="A403" s="218">
        <v>44196</v>
      </c>
      <c r="B403" s="199" t="s">
        <v>36</v>
      </c>
      <c r="C403" s="199" t="s">
        <v>8</v>
      </c>
      <c r="D403" s="199">
        <v>2020</v>
      </c>
      <c r="E403" s="199" t="s">
        <v>133</v>
      </c>
      <c r="F403" s="199" t="s">
        <v>130</v>
      </c>
      <c r="G403" s="223">
        <v>0</v>
      </c>
      <c r="H403" s="199" t="s">
        <v>276</v>
      </c>
    </row>
    <row r="404" spans="1:8">
      <c r="A404" s="218">
        <v>44196</v>
      </c>
      <c r="B404" s="199" t="s">
        <v>29</v>
      </c>
      <c r="C404" s="199" t="s">
        <v>8</v>
      </c>
      <c r="D404" s="199">
        <v>2020</v>
      </c>
      <c r="E404" s="199" t="s">
        <v>133</v>
      </c>
      <c r="F404" s="199" t="s">
        <v>130</v>
      </c>
      <c r="G404" s="223">
        <v>0</v>
      </c>
      <c r="H404" s="199" t="s">
        <v>276</v>
      </c>
    </row>
    <row r="405" spans="1:8">
      <c r="A405" s="218">
        <v>44196</v>
      </c>
      <c r="B405" s="199" t="s">
        <v>29</v>
      </c>
      <c r="C405" s="199" t="s">
        <v>8</v>
      </c>
      <c r="D405" s="199">
        <v>2019</v>
      </c>
      <c r="E405" s="199" t="s">
        <v>134</v>
      </c>
      <c r="F405" s="199" t="s">
        <v>130</v>
      </c>
      <c r="G405" s="223">
        <v>0</v>
      </c>
      <c r="H405" s="199" t="s">
        <v>276</v>
      </c>
    </row>
    <row r="406" spans="1:8">
      <c r="A406" s="218">
        <v>44196</v>
      </c>
      <c r="B406" s="199" t="s">
        <v>31</v>
      </c>
      <c r="C406" s="199" t="s">
        <v>8</v>
      </c>
      <c r="D406" s="199">
        <v>2019</v>
      </c>
      <c r="E406" s="199" t="s">
        <v>134</v>
      </c>
      <c r="F406" s="199" t="s">
        <v>130</v>
      </c>
      <c r="G406" s="223">
        <v>0</v>
      </c>
      <c r="H406" s="199" t="s">
        <v>276</v>
      </c>
    </row>
    <row r="407" spans="1:8">
      <c r="A407" s="218">
        <v>44196</v>
      </c>
      <c r="B407" s="199" t="s">
        <v>36</v>
      </c>
      <c r="C407" s="199" t="s">
        <v>8</v>
      </c>
      <c r="D407" s="199">
        <v>2019</v>
      </c>
      <c r="E407" s="199" t="s">
        <v>134</v>
      </c>
      <c r="F407" s="199" t="s">
        <v>130</v>
      </c>
      <c r="G407" s="223">
        <v>0</v>
      </c>
      <c r="H407" s="199" t="s">
        <v>276</v>
      </c>
    </row>
    <row r="408" spans="1:8">
      <c r="A408" s="218">
        <v>44196</v>
      </c>
      <c r="B408" s="199" t="s">
        <v>36</v>
      </c>
      <c r="C408" s="199" t="s">
        <v>8</v>
      </c>
      <c r="D408" s="199">
        <v>2020</v>
      </c>
      <c r="E408" s="199" t="s">
        <v>134</v>
      </c>
      <c r="F408" s="199" t="s">
        <v>130</v>
      </c>
      <c r="G408" s="223">
        <v>0</v>
      </c>
      <c r="H408" s="199" t="s">
        <v>276</v>
      </c>
    </row>
    <row r="409" spans="1:8">
      <c r="A409" s="218">
        <v>44196</v>
      </c>
      <c r="B409" s="199" t="s">
        <v>29</v>
      </c>
      <c r="C409" s="199" t="s">
        <v>8</v>
      </c>
      <c r="D409" s="199">
        <v>2020</v>
      </c>
      <c r="E409" s="199" t="s">
        <v>134</v>
      </c>
      <c r="F409" s="199" t="s">
        <v>130</v>
      </c>
      <c r="G409" s="223">
        <v>0</v>
      </c>
      <c r="H409" s="199" t="s">
        <v>276</v>
      </c>
    </row>
    <row r="410" spans="1:8">
      <c r="A410" s="218">
        <v>44196</v>
      </c>
      <c r="B410" s="199" t="s">
        <v>31</v>
      </c>
      <c r="C410" s="199" t="s">
        <v>8</v>
      </c>
      <c r="D410" s="199">
        <v>2020</v>
      </c>
      <c r="E410" s="199" t="s">
        <v>134</v>
      </c>
      <c r="F410" s="199" t="s">
        <v>130</v>
      </c>
      <c r="G410" s="223">
        <v>0</v>
      </c>
      <c r="H410" s="199" t="s">
        <v>276</v>
      </c>
    </row>
    <row r="411" spans="1:8">
      <c r="A411" s="218">
        <v>44196</v>
      </c>
      <c r="B411" s="199" t="s">
        <v>35</v>
      </c>
      <c r="C411" s="199" t="s">
        <v>8</v>
      </c>
      <c r="D411" s="199">
        <v>2019</v>
      </c>
      <c r="E411" s="199" t="s">
        <v>134</v>
      </c>
      <c r="F411" s="199" t="s">
        <v>130</v>
      </c>
      <c r="G411" s="223">
        <v>0</v>
      </c>
      <c r="H411" s="199" t="s">
        <v>276</v>
      </c>
    </row>
    <row r="412" spans="1:8">
      <c r="A412" s="218">
        <v>44196</v>
      </c>
      <c r="B412" s="199" t="s">
        <v>37</v>
      </c>
      <c r="C412" s="199" t="s">
        <v>8</v>
      </c>
      <c r="D412" s="199">
        <v>2020</v>
      </c>
      <c r="E412" s="199" t="s">
        <v>134</v>
      </c>
      <c r="F412" s="199" t="s">
        <v>130</v>
      </c>
      <c r="G412" s="223">
        <v>0</v>
      </c>
      <c r="H412" s="199" t="s">
        <v>276</v>
      </c>
    </row>
    <row r="413" spans="1:8">
      <c r="A413" s="218">
        <v>44196</v>
      </c>
      <c r="B413" s="199" t="s">
        <v>36</v>
      </c>
      <c r="C413" s="199" t="s">
        <v>8</v>
      </c>
      <c r="D413" s="199">
        <v>2019</v>
      </c>
      <c r="E413" s="199" t="s">
        <v>135</v>
      </c>
      <c r="F413" s="199" t="s">
        <v>130</v>
      </c>
      <c r="G413" s="223">
        <v>0</v>
      </c>
      <c r="H413" s="199" t="s">
        <v>276</v>
      </c>
    </row>
    <row r="414" spans="1:8">
      <c r="A414" s="218">
        <v>44196</v>
      </c>
      <c r="B414" s="199" t="s">
        <v>29</v>
      </c>
      <c r="C414" s="199" t="s">
        <v>8</v>
      </c>
      <c r="D414" s="199">
        <v>2020</v>
      </c>
      <c r="E414" s="199" t="s">
        <v>135</v>
      </c>
      <c r="F414" s="199" t="s">
        <v>130</v>
      </c>
      <c r="G414" s="223">
        <v>0</v>
      </c>
      <c r="H414" s="199" t="s">
        <v>276</v>
      </c>
    </row>
    <row r="415" spans="1:8">
      <c r="A415" s="218">
        <v>44196</v>
      </c>
      <c r="B415" s="199" t="s">
        <v>29</v>
      </c>
      <c r="C415" s="199" t="s">
        <v>8</v>
      </c>
      <c r="D415" s="199">
        <v>2019</v>
      </c>
      <c r="E415" s="199" t="s">
        <v>135</v>
      </c>
      <c r="F415" s="199" t="s">
        <v>130</v>
      </c>
      <c r="G415" s="223">
        <v>0</v>
      </c>
      <c r="H415" s="199" t="s">
        <v>276</v>
      </c>
    </row>
    <row r="416" spans="1:8">
      <c r="A416" s="218">
        <v>44196</v>
      </c>
      <c r="B416" s="199" t="s">
        <v>31</v>
      </c>
      <c r="C416" s="199" t="s">
        <v>8</v>
      </c>
      <c r="D416" s="199">
        <v>2019</v>
      </c>
      <c r="E416" s="199" t="s">
        <v>135</v>
      </c>
      <c r="F416" s="199" t="s">
        <v>130</v>
      </c>
      <c r="G416" s="223">
        <v>0</v>
      </c>
      <c r="H416" s="199" t="s">
        <v>276</v>
      </c>
    </row>
    <row r="417" spans="1:8">
      <c r="A417" s="218">
        <v>44196</v>
      </c>
      <c r="B417" s="199" t="s">
        <v>31</v>
      </c>
      <c r="C417" s="199" t="s">
        <v>8</v>
      </c>
      <c r="D417" s="199">
        <v>2020</v>
      </c>
      <c r="E417" s="199" t="s">
        <v>135</v>
      </c>
      <c r="F417" s="199" t="s">
        <v>130</v>
      </c>
      <c r="G417" s="223">
        <v>0</v>
      </c>
      <c r="H417" s="199" t="s">
        <v>276</v>
      </c>
    </row>
    <row r="418" spans="1:8">
      <c r="A418" s="218">
        <v>44196</v>
      </c>
      <c r="B418" s="199" t="s">
        <v>36</v>
      </c>
      <c r="C418" s="199" t="s">
        <v>8</v>
      </c>
      <c r="D418" s="199">
        <v>2020</v>
      </c>
      <c r="E418" s="199" t="s">
        <v>135</v>
      </c>
      <c r="F418" s="199" t="s">
        <v>130</v>
      </c>
      <c r="G418" s="223">
        <v>0</v>
      </c>
      <c r="H418" s="199" t="s">
        <v>276</v>
      </c>
    </row>
    <row r="419" spans="1:8">
      <c r="A419" s="218">
        <v>44196</v>
      </c>
      <c r="B419" s="199" t="s">
        <v>37</v>
      </c>
      <c r="C419" s="199" t="s">
        <v>8</v>
      </c>
      <c r="D419" s="199">
        <v>2019</v>
      </c>
      <c r="E419" s="199" t="s">
        <v>137</v>
      </c>
      <c r="F419" s="199" t="s">
        <v>136</v>
      </c>
      <c r="G419" s="223">
        <v>0</v>
      </c>
      <c r="H419" s="199" t="s">
        <v>276</v>
      </c>
    </row>
    <row r="420" spans="1:8">
      <c r="A420" s="218">
        <v>44196</v>
      </c>
      <c r="B420" s="199" t="s">
        <v>29</v>
      </c>
      <c r="C420" s="199" t="s">
        <v>8</v>
      </c>
      <c r="D420" s="199">
        <v>2020</v>
      </c>
      <c r="E420" s="199" t="s">
        <v>137</v>
      </c>
      <c r="F420" s="199" t="s">
        <v>136</v>
      </c>
      <c r="G420" s="223">
        <v>0</v>
      </c>
      <c r="H420" s="199" t="s">
        <v>276</v>
      </c>
    </row>
    <row r="421" spans="1:8">
      <c r="A421" s="218">
        <v>44196</v>
      </c>
      <c r="B421" s="199" t="s">
        <v>36</v>
      </c>
      <c r="C421" s="199" t="s">
        <v>8</v>
      </c>
      <c r="D421" s="199">
        <v>2019</v>
      </c>
      <c r="E421" s="199" t="s">
        <v>137</v>
      </c>
      <c r="F421" s="199" t="s">
        <v>136</v>
      </c>
      <c r="G421" s="223">
        <v>0</v>
      </c>
      <c r="H421" s="199" t="s">
        <v>276</v>
      </c>
    </row>
    <row r="422" spans="1:8">
      <c r="A422" s="218">
        <v>44196</v>
      </c>
      <c r="B422" s="199" t="s">
        <v>31</v>
      </c>
      <c r="C422" s="199" t="s">
        <v>8</v>
      </c>
      <c r="D422" s="199">
        <v>2020</v>
      </c>
      <c r="E422" s="199" t="s">
        <v>137</v>
      </c>
      <c r="F422" s="199" t="s">
        <v>136</v>
      </c>
      <c r="G422" s="223">
        <v>0</v>
      </c>
      <c r="H422" s="199" t="s">
        <v>276</v>
      </c>
    </row>
    <row r="423" spans="1:8">
      <c r="A423" s="218">
        <v>44196</v>
      </c>
      <c r="B423" s="199" t="s">
        <v>29</v>
      </c>
      <c r="C423" s="199" t="s">
        <v>8</v>
      </c>
      <c r="D423" s="199">
        <v>2019</v>
      </c>
      <c r="E423" s="199" t="s">
        <v>137</v>
      </c>
      <c r="F423" s="199" t="s">
        <v>136</v>
      </c>
      <c r="G423" s="223">
        <v>0</v>
      </c>
      <c r="H423" s="199" t="s">
        <v>276</v>
      </c>
    </row>
    <row r="424" spans="1:8">
      <c r="A424" s="218">
        <v>44196</v>
      </c>
      <c r="B424" s="199" t="s">
        <v>29</v>
      </c>
      <c r="C424" s="199" t="s">
        <v>8</v>
      </c>
      <c r="D424" s="199">
        <v>2019</v>
      </c>
      <c r="E424" s="199" t="s">
        <v>138</v>
      </c>
      <c r="F424" s="199" t="s">
        <v>136</v>
      </c>
      <c r="G424" s="223">
        <v>0</v>
      </c>
      <c r="H424" s="199" t="s">
        <v>276</v>
      </c>
    </row>
    <row r="425" spans="1:8">
      <c r="A425" s="218">
        <v>44196</v>
      </c>
      <c r="B425" s="199" t="s">
        <v>31</v>
      </c>
      <c r="C425" s="199" t="s">
        <v>8</v>
      </c>
      <c r="D425" s="199">
        <v>2019</v>
      </c>
      <c r="E425" s="199" t="s">
        <v>138</v>
      </c>
      <c r="F425" s="199" t="s">
        <v>136</v>
      </c>
      <c r="G425" s="223">
        <v>0</v>
      </c>
      <c r="H425" s="199" t="s">
        <v>276</v>
      </c>
    </row>
    <row r="426" spans="1:8">
      <c r="A426" s="218">
        <v>44196</v>
      </c>
      <c r="B426" s="199" t="s">
        <v>37</v>
      </c>
      <c r="C426" s="199" t="s">
        <v>8</v>
      </c>
      <c r="D426" s="199">
        <v>2019</v>
      </c>
      <c r="E426" s="199" t="s">
        <v>138</v>
      </c>
      <c r="F426" s="199" t="s">
        <v>136</v>
      </c>
      <c r="G426" s="223">
        <v>0</v>
      </c>
      <c r="H426" s="199" t="s">
        <v>276</v>
      </c>
    </row>
    <row r="427" spans="1:8">
      <c r="A427" s="218">
        <v>44196</v>
      </c>
      <c r="B427" s="199" t="s">
        <v>36</v>
      </c>
      <c r="C427" s="199" t="s">
        <v>8</v>
      </c>
      <c r="D427" s="199">
        <v>2019</v>
      </c>
      <c r="E427" s="199" t="s">
        <v>138</v>
      </c>
      <c r="F427" s="199" t="s">
        <v>136</v>
      </c>
      <c r="G427" s="223">
        <v>0</v>
      </c>
      <c r="H427" s="199" t="s">
        <v>276</v>
      </c>
    </row>
    <row r="428" spans="1:8">
      <c r="A428" s="218">
        <v>44196</v>
      </c>
      <c r="B428" s="199" t="s">
        <v>36</v>
      </c>
      <c r="C428" s="199" t="s">
        <v>8</v>
      </c>
      <c r="D428" s="199">
        <v>2020</v>
      </c>
      <c r="E428" s="199" t="s">
        <v>138</v>
      </c>
      <c r="F428" s="199" t="s">
        <v>136</v>
      </c>
      <c r="G428" s="223">
        <v>0</v>
      </c>
      <c r="H428" s="199" t="s">
        <v>276</v>
      </c>
    </row>
    <row r="429" spans="1:8">
      <c r="A429" s="218">
        <v>44196</v>
      </c>
      <c r="B429" s="199" t="s">
        <v>29</v>
      </c>
      <c r="C429" s="199" t="s">
        <v>8</v>
      </c>
      <c r="D429" s="199">
        <v>2020</v>
      </c>
      <c r="E429" s="199" t="s">
        <v>138</v>
      </c>
      <c r="F429" s="199" t="s">
        <v>136</v>
      </c>
      <c r="G429" s="223">
        <v>0</v>
      </c>
      <c r="H429" s="199" t="s">
        <v>276</v>
      </c>
    </row>
    <row r="430" spans="1:8">
      <c r="A430" s="218">
        <v>44196</v>
      </c>
      <c r="B430" s="199" t="s">
        <v>37</v>
      </c>
      <c r="C430" s="199" t="s">
        <v>8</v>
      </c>
      <c r="D430" s="199">
        <v>2020</v>
      </c>
      <c r="E430" s="199" t="s">
        <v>138</v>
      </c>
      <c r="F430" s="199" t="s">
        <v>136</v>
      </c>
      <c r="G430" s="223">
        <v>0</v>
      </c>
      <c r="H430" s="199" t="s">
        <v>276</v>
      </c>
    </row>
    <row r="431" spans="1:8">
      <c r="A431" s="218">
        <v>44196</v>
      </c>
      <c r="B431" s="199" t="s">
        <v>31</v>
      </c>
      <c r="C431" s="199" t="s">
        <v>8</v>
      </c>
      <c r="D431" s="199">
        <v>2020</v>
      </c>
      <c r="E431" s="199" t="s">
        <v>138</v>
      </c>
      <c r="F431" s="199" t="s">
        <v>136</v>
      </c>
      <c r="G431" s="223">
        <v>0</v>
      </c>
      <c r="H431" s="199" t="s">
        <v>276</v>
      </c>
    </row>
    <row r="432" spans="1:8">
      <c r="A432" s="218">
        <v>44196</v>
      </c>
      <c r="B432" s="199" t="s">
        <v>35</v>
      </c>
      <c r="C432" s="199" t="s">
        <v>8</v>
      </c>
      <c r="D432" s="199">
        <v>2019</v>
      </c>
      <c r="E432" s="199" t="s">
        <v>138</v>
      </c>
      <c r="F432" s="199" t="s">
        <v>136</v>
      </c>
      <c r="G432" s="223">
        <v>0</v>
      </c>
      <c r="H432" s="199" t="s">
        <v>276</v>
      </c>
    </row>
    <row r="433" spans="1:8">
      <c r="A433" s="218">
        <v>44196</v>
      </c>
      <c r="B433" s="199" t="s">
        <v>29</v>
      </c>
      <c r="C433" s="199" t="s">
        <v>8</v>
      </c>
      <c r="D433" s="199">
        <v>2020</v>
      </c>
      <c r="E433" s="199" t="s">
        <v>139</v>
      </c>
      <c r="F433" s="199" t="s">
        <v>136</v>
      </c>
      <c r="G433" s="223">
        <v>0</v>
      </c>
      <c r="H433" s="199" t="s">
        <v>276</v>
      </c>
    </row>
    <row r="434" spans="1:8">
      <c r="A434" s="218">
        <v>44196</v>
      </c>
      <c r="B434" s="199" t="s">
        <v>37</v>
      </c>
      <c r="C434" s="199" t="s">
        <v>8</v>
      </c>
      <c r="D434" s="199">
        <v>2019</v>
      </c>
      <c r="E434" s="199" t="s">
        <v>140</v>
      </c>
      <c r="F434" s="199" t="s">
        <v>136</v>
      </c>
      <c r="G434" s="223">
        <v>0</v>
      </c>
      <c r="H434" s="199" t="s">
        <v>276</v>
      </c>
    </row>
    <row r="435" spans="1:8">
      <c r="A435" s="218">
        <v>44196</v>
      </c>
      <c r="B435" s="199" t="s">
        <v>35</v>
      </c>
      <c r="C435" s="199" t="s">
        <v>8</v>
      </c>
      <c r="D435" s="199">
        <v>2019</v>
      </c>
      <c r="E435" s="199" t="s">
        <v>140</v>
      </c>
      <c r="F435" s="199" t="s">
        <v>136</v>
      </c>
      <c r="G435" s="223">
        <v>0</v>
      </c>
      <c r="H435" s="199" t="s">
        <v>276</v>
      </c>
    </row>
    <row r="436" spans="1:8">
      <c r="A436" s="218">
        <v>44196</v>
      </c>
      <c r="B436" s="199" t="s">
        <v>37</v>
      </c>
      <c r="C436" s="199" t="s">
        <v>8</v>
      </c>
      <c r="D436" s="199">
        <v>2020</v>
      </c>
      <c r="E436" s="199" t="s">
        <v>140</v>
      </c>
      <c r="F436" s="199" t="s">
        <v>136</v>
      </c>
      <c r="G436" s="223">
        <v>0</v>
      </c>
      <c r="H436" s="199" t="s">
        <v>276</v>
      </c>
    </row>
    <row r="437" spans="1:8">
      <c r="A437" s="218">
        <v>44196</v>
      </c>
      <c r="B437" s="199" t="s">
        <v>35</v>
      </c>
      <c r="C437" s="199" t="s">
        <v>8</v>
      </c>
      <c r="D437" s="199">
        <v>2020</v>
      </c>
      <c r="E437" s="199" t="s">
        <v>140</v>
      </c>
      <c r="F437" s="199" t="s">
        <v>136</v>
      </c>
      <c r="G437" s="223">
        <v>0</v>
      </c>
      <c r="H437" s="199" t="s">
        <v>276</v>
      </c>
    </row>
    <row r="438" spans="1:8">
      <c r="A438" s="218">
        <v>44196</v>
      </c>
      <c r="B438" s="199" t="s">
        <v>29</v>
      </c>
      <c r="C438" s="199" t="s">
        <v>8</v>
      </c>
      <c r="D438" s="199">
        <v>2020</v>
      </c>
      <c r="E438" s="199" t="s">
        <v>140</v>
      </c>
      <c r="F438" s="199" t="s">
        <v>136</v>
      </c>
      <c r="G438" s="223">
        <v>0</v>
      </c>
      <c r="H438" s="199" t="s">
        <v>276</v>
      </c>
    </row>
    <row r="439" spans="1:8">
      <c r="A439" s="218">
        <v>44196</v>
      </c>
      <c r="B439" s="199" t="s">
        <v>29</v>
      </c>
      <c r="C439" s="199" t="s">
        <v>8</v>
      </c>
      <c r="D439" s="199">
        <v>2019</v>
      </c>
      <c r="E439" s="199" t="s">
        <v>140</v>
      </c>
      <c r="F439" s="199" t="s">
        <v>136</v>
      </c>
      <c r="G439" s="223">
        <v>0</v>
      </c>
      <c r="H439" s="199" t="s">
        <v>276</v>
      </c>
    </row>
    <row r="440" spans="1:8">
      <c r="A440" s="218">
        <v>44196</v>
      </c>
      <c r="B440" s="199" t="s">
        <v>31</v>
      </c>
      <c r="C440" s="199" t="s">
        <v>8</v>
      </c>
      <c r="D440" s="199">
        <v>2019</v>
      </c>
      <c r="E440" s="199" t="s">
        <v>140</v>
      </c>
      <c r="F440" s="199" t="s">
        <v>136</v>
      </c>
      <c r="G440" s="223">
        <v>0</v>
      </c>
      <c r="H440" s="199" t="s">
        <v>276</v>
      </c>
    </row>
    <row r="441" spans="1:8">
      <c r="A441" s="218">
        <v>44196</v>
      </c>
      <c r="B441" s="199" t="s">
        <v>31</v>
      </c>
      <c r="C441" s="199" t="s">
        <v>8</v>
      </c>
      <c r="D441" s="199">
        <v>2020</v>
      </c>
      <c r="E441" s="199" t="s">
        <v>140</v>
      </c>
      <c r="F441" s="199" t="s">
        <v>136</v>
      </c>
      <c r="G441" s="223">
        <v>0</v>
      </c>
      <c r="H441" s="199" t="s">
        <v>276</v>
      </c>
    </row>
    <row r="442" spans="1:8">
      <c r="A442" s="218">
        <v>44196</v>
      </c>
      <c r="B442" s="199" t="s">
        <v>29</v>
      </c>
      <c r="C442" s="199" t="s">
        <v>8</v>
      </c>
      <c r="D442" s="199">
        <v>2019</v>
      </c>
      <c r="E442" s="199" t="s">
        <v>141</v>
      </c>
      <c r="F442" s="199" t="s">
        <v>136</v>
      </c>
      <c r="G442" s="223">
        <v>0</v>
      </c>
      <c r="H442" s="199" t="s">
        <v>276</v>
      </c>
    </row>
    <row r="443" spans="1:8">
      <c r="A443" s="218">
        <v>44196</v>
      </c>
      <c r="B443" s="199" t="s">
        <v>36</v>
      </c>
      <c r="C443" s="199" t="s">
        <v>8</v>
      </c>
      <c r="D443" s="199">
        <v>2019</v>
      </c>
      <c r="E443" s="199" t="s">
        <v>141</v>
      </c>
      <c r="F443" s="199" t="s">
        <v>136</v>
      </c>
      <c r="G443" s="223">
        <v>0</v>
      </c>
      <c r="H443" s="199" t="s">
        <v>276</v>
      </c>
    </row>
    <row r="444" spans="1:8">
      <c r="A444" s="218">
        <v>44196</v>
      </c>
      <c r="B444" s="199" t="s">
        <v>31</v>
      </c>
      <c r="C444" s="199" t="s">
        <v>8</v>
      </c>
      <c r="D444" s="199">
        <v>2019</v>
      </c>
      <c r="E444" s="199" t="s">
        <v>141</v>
      </c>
      <c r="F444" s="199" t="s">
        <v>136</v>
      </c>
      <c r="G444" s="223">
        <v>0</v>
      </c>
      <c r="H444" s="199" t="s">
        <v>276</v>
      </c>
    </row>
    <row r="445" spans="1:8">
      <c r="A445" s="218">
        <v>44196</v>
      </c>
      <c r="B445" s="199" t="s">
        <v>45</v>
      </c>
      <c r="C445" s="199" t="s">
        <v>8</v>
      </c>
      <c r="D445" s="199">
        <v>2019</v>
      </c>
      <c r="E445" s="199" t="s">
        <v>141</v>
      </c>
      <c r="F445" s="199" t="s">
        <v>136</v>
      </c>
      <c r="G445" s="223">
        <v>0</v>
      </c>
      <c r="H445" s="199" t="s">
        <v>276</v>
      </c>
    </row>
    <row r="446" spans="1:8">
      <c r="A446" s="218">
        <v>44196</v>
      </c>
      <c r="B446" s="199" t="s">
        <v>29</v>
      </c>
      <c r="C446" s="199" t="s">
        <v>8</v>
      </c>
      <c r="D446" s="199">
        <v>2020</v>
      </c>
      <c r="E446" s="199" t="s">
        <v>141</v>
      </c>
      <c r="F446" s="199" t="s">
        <v>136</v>
      </c>
      <c r="G446" s="223">
        <v>0</v>
      </c>
      <c r="H446" s="199" t="s">
        <v>276</v>
      </c>
    </row>
    <row r="447" spans="1:8">
      <c r="A447" s="218">
        <v>44196</v>
      </c>
      <c r="B447" s="199" t="s">
        <v>31</v>
      </c>
      <c r="C447" s="199" t="s">
        <v>8</v>
      </c>
      <c r="D447" s="199">
        <v>2020</v>
      </c>
      <c r="E447" s="199" t="s">
        <v>141</v>
      </c>
      <c r="F447" s="199" t="s">
        <v>136</v>
      </c>
      <c r="G447" s="223">
        <v>0</v>
      </c>
      <c r="H447" s="199" t="s">
        <v>276</v>
      </c>
    </row>
    <row r="448" spans="1:8">
      <c r="A448" s="218">
        <v>44196</v>
      </c>
      <c r="B448" s="199" t="s">
        <v>36</v>
      </c>
      <c r="C448" s="199" t="s">
        <v>8</v>
      </c>
      <c r="D448" s="199">
        <v>2020</v>
      </c>
      <c r="E448" s="199" t="s">
        <v>141</v>
      </c>
      <c r="F448" s="199" t="s">
        <v>136</v>
      </c>
      <c r="G448" s="223">
        <v>0</v>
      </c>
      <c r="H448" s="199" t="s">
        <v>276</v>
      </c>
    </row>
    <row r="449" spans="1:8">
      <c r="A449" s="218">
        <v>44196</v>
      </c>
      <c r="B449" s="199" t="s">
        <v>35</v>
      </c>
      <c r="C449" s="199" t="s">
        <v>8</v>
      </c>
      <c r="D449" s="199">
        <v>2019</v>
      </c>
      <c r="E449" s="199" t="s">
        <v>141</v>
      </c>
      <c r="F449" s="199" t="s">
        <v>136</v>
      </c>
      <c r="G449" s="223">
        <v>0</v>
      </c>
      <c r="H449" s="199" t="s">
        <v>276</v>
      </c>
    </row>
    <row r="450" spans="1:8">
      <c r="A450" s="218">
        <v>44196</v>
      </c>
      <c r="B450" s="199" t="s">
        <v>35</v>
      </c>
      <c r="C450" s="199" t="s">
        <v>8</v>
      </c>
      <c r="D450" s="199">
        <v>2020</v>
      </c>
      <c r="E450" s="199" t="s">
        <v>141</v>
      </c>
      <c r="F450" s="199" t="s">
        <v>136</v>
      </c>
      <c r="G450" s="223">
        <v>0</v>
      </c>
      <c r="H450" s="199" t="s">
        <v>276</v>
      </c>
    </row>
    <row r="451" spans="1:8">
      <c r="A451" s="218">
        <v>44196</v>
      </c>
      <c r="B451" s="199" t="s">
        <v>43</v>
      </c>
      <c r="C451" s="199" t="s">
        <v>8</v>
      </c>
      <c r="D451" s="199">
        <v>2019</v>
      </c>
      <c r="E451" s="199" t="s">
        <v>141</v>
      </c>
      <c r="F451" s="199" t="s">
        <v>136</v>
      </c>
      <c r="G451" s="223">
        <v>0</v>
      </c>
      <c r="H451" s="199" t="s">
        <v>276</v>
      </c>
    </row>
    <row r="452" spans="1:8">
      <c r="A452" s="218">
        <v>44196</v>
      </c>
      <c r="B452" s="199" t="s">
        <v>29</v>
      </c>
      <c r="C452" s="199" t="s">
        <v>8</v>
      </c>
      <c r="D452" s="199">
        <v>2019</v>
      </c>
      <c r="E452" s="199" t="s">
        <v>142</v>
      </c>
      <c r="F452" s="199" t="s">
        <v>136</v>
      </c>
      <c r="G452" s="223">
        <v>0</v>
      </c>
      <c r="H452" s="199" t="s">
        <v>276</v>
      </c>
    </row>
    <row r="453" spans="1:8">
      <c r="A453" s="218">
        <v>44196</v>
      </c>
      <c r="B453" s="199" t="s">
        <v>36</v>
      </c>
      <c r="C453" s="199" t="s">
        <v>8</v>
      </c>
      <c r="D453" s="199">
        <v>2019</v>
      </c>
      <c r="E453" s="199" t="s">
        <v>142</v>
      </c>
      <c r="F453" s="199" t="s">
        <v>136</v>
      </c>
      <c r="G453" s="223">
        <v>0</v>
      </c>
      <c r="H453" s="199" t="s">
        <v>276</v>
      </c>
    </row>
    <row r="454" spans="1:8">
      <c r="A454" s="218">
        <v>44196</v>
      </c>
      <c r="B454" s="199" t="s">
        <v>31</v>
      </c>
      <c r="C454" s="199" t="s">
        <v>8</v>
      </c>
      <c r="D454" s="199">
        <v>2019</v>
      </c>
      <c r="E454" s="199" t="s">
        <v>142</v>
      </c>
      <c r="F454" s="199" t="s">
        <v>136</v>
      </c>
      <c r="G454" s="223">
        <v>0</v>
      </c>
      <c r="H454" s="199" t="s">
        <v>276</v>
      </c>
    </row>
    <row r="455" spans="1:8">
      <c r="A455" s="218">
        <v>44196</v>
      </c>
      <c r="B455" s="199" t="s">
        <v>31</v>
      </c>
      <c r="C455" s="199" t="s">
        <v>8</v>
      </c>
      <c r="D455" s="199">
        <v>2020</v>
      </c>
      <c r="E455" s="199" t="s">
        <v>142</v>
      </c>
      <c r="F455" s="199" t="s">
        <v>136</v>
      </c>
      <c r="G455" s="223">
        <v>0</v>
      </c>
      <c r="H455" s="199" t="s">
        <v>276</v>
      </c>
    </row>
    <row r="456" spans="1:8">
      <c r="A456" s="218">
        <v>44196</v>
      </c>
      <c r="B456" s="199" t="s">
        <v>29</v>
      </c>
      <c r="C456" s="199" t="s">
        <v>8</v>
      </c>
      <c r="D456" s="199">
        <v>2020</v>
      </c>
      <c r="E456" s="199" t="s">
        <v>142</v>
      </c>
      <c r="F456" s="199" t="s">
        <v>136</v>
      </c>
      <c r="G456" s="223">
        <v>0</v>
      </c>
      <c r="H456" s="199" t="s">
        <v>276</v>
      </c>
    </row>
    <row r="457" spans="1:8">
      <c r="A457" s="218">
        <v>44196</v>
      </c>
      <c r="B457" s="199" t="s">
        <v>36</v>
      </c>
      <c r="C457" s="199" t="s">
        <v>8</v>
      </c>
      <c r="D457" s="199">
        <v>2020</v>
      </c>
      <c r="E457" s="199" t="s">
        <v>142</v>
      </c>
      <c r="F457" s="199" t="s">
        <v>136</v>
      </c>
      <c r="G457" s="223">
        <v>0</v>
      </c>
      <c r="H457" s="199" t="s">
        <v>276</v>
      </c>
    </row>
    <row r="458" spans="1:8">
      <c r="A458" s="218">
        <v>44196</v>
      </c>
      <c r="B458" s="199" t="s">
        <v>41</v>
      </c>
      <c r="C458" s="199" t="s">
        <v>8</v>
      </c>
      <c r="D458" s="199">
        <v>2020</v>
      </c>
      <c r="E458" s="199" t="s">
        <v>143</v>
      </c>
      <c r="F458" s="199" t="s">
        <v>136</v>
      </c>
      <c r="G458" s="223">
        <v>0</v>
      </c>
      <c r="H458" s="199" t="s">
        <v>276</v>
      </c>
    </row>
    <row r="459" spans="1:8">
      <c r="A459" s="218">
        <v>44196</v>
      </c>
      <c r="B459" s="199" t="s">
        <v>45</v>
      </c>
      <c r="C459" s="199" t="s">
        <v>8</v>
      </c>
      <c r="D459" s="199">
        <v>2020</v>
      </c>
      <c r="E459" s="199" t="s">
        <v>143</v>
      </c>
      <c r="F459" s="199" t="s">
        <v>136</v>
      </c>
      <c r="G459" s="223">
        <v>0</v>
      </c>
      <c r="H459" s="199" t="s">
        <v>276</v>
      </c>
    </row>
    <row r="460" spans="1:8">
      <c r="A460" s="218">
        <v>44196</v>
      </c>
      <c r="B460" s="199" t="s">
        <v>39</v>
      </c>
      <c r="C460" s="199" t="s">
        <v>8</v>
      </c>
      <c r="D460" s="199">
        <v>2020</v>
      </c>
      <c r="E460" s="199" t="s">
        <v>143</v>
      </c>
      <c r="F460" s="199" t="s">
        <v>136</v>
      </c>
      <c r="G460" s="223">
        <v>0</v>
      </c>
      <c r="H460" s="199" t="s">
        <v>276</v>
      </c>
    </row>
    <row r="461" spans="1:8">
      <c r="A461" s="218">
        <v>44196</v>
      </c>
      <c r="B461" s="199" t="s">
        <v>33</v>
      </c>
      <c r="C461" s="199" t="s">
        <v>8</v>
      </c>
      <c r="D461" s="199">
        <v>2020</v>
      </c>
      <c r="E461" s="199" t="s">
        <v>143</v>
      </c>
      <c r="F461" s="199" t="s">
        <v>136</v>
      </c>
      <c r="G461" s="223">
        <v>0</v>
      </c>
      <c r="H461" s="199" t="s">
        <v>276</v>
      </c>
    </row>
    <row r="462" spans="1:8">
      <c r="A462" s="218">
        <v>44196</v>
      </c>
      <c r="B462" s="199" t="s">
        <v>31</v>
      </c>
      <c r="C462" s="199" t="s">
        <v>8</v>
      </c>
      <c r="D462" s="199">
        <v>2020</v>
      </c>
      <c r="E462" s="199" t="s">
        <v>143</v>
      </c>
      <c r="F462" s="199" t="s">
        <v>136</v>
      </c>
      <c r="G462" s="223">
        <v>0</v>
      </c>
      <c r="H462" s="199" t="s">
        <v>276</v>
      </c>
    </row>
    <row r="463" spans="1:8">
      <c r="A463" s="218">
        <v>44196</v>
      </c>
      <c r="B463" s="199" t="s">
        <v>41</v>
      </c>
      <c r="C463" s="199" t="s">
        <v>8</v>
      </c>
      <c r="D463" s="199">
        <v>2019</v>
      </c>
      <c r="E463" s="199" t="s">
        <v>143</v>
      </c>
      <c r="F463" s="199" t="s">
        <v>136</v>
      </c>
      <c r="G463" s="223">
        <v>0</v>
      </c>
      <c r="H463" s="199" t="s">
        <v>276</v>
      </c>
    </row>
    <row r="464" spans="1:8">
      <c r="A464" s="218">
        <v>44196</v>
      </c>
      <c r="B464" s="199" t="s">
        <v>43</v>
      </c>
      <c r="C464" s="199" t="s">
        <v>8</v>
      </c>
      <c r="D464" s="199">
        <v>2020</v>
      </c>
      <c r="E464" s="199" t="s">
        <v>143</v>
      </c>
      <c r="F464" s="199" t="s">
        <v>136</v>
      </c>
      <c r="G464" s="223">
        <v>0</v>
      </c>
      <c r="H464" s="199" t="s">
        <v>276</v>
      </c>
    </row>
    <row r="465" spans="1:8">
      <c r="A465" s="218">
        <v>44196</v>
      </c>
      <c r="B465" s="199" t="s">
        <v>37</v>
      </c>
      <c r="C465" s="199" t="s">
        <v>8</v>
      </c>
      <c r="D465" s="199">
        <v>2019</v>
      </c>
      <c r="E465" s="199" t="s">
        <v>144</v>
      </c>
      <c r="F465" s="199" t="s">
        <v>136</v>
      </c>
      <c r="G465" s="223">
        <v>0</v>
      </c>
      <c r="H465" s="199" t="s">
        <v>276</v>
      </c>
    </row>
    <row r="466" spans="1:8">
      <c r="A466" s="218">
        <v>44196</v>
      </c>
      <c r="B466" s="199" t="s">
        <v>47</v>
      </c>
      <c r="C466" s="199" t="s">
        <v>8</v>
      </c>
      <c r="D466" s="199">
        <v>2019</v>
      </c>
      <c r="E466" s="199" t="s">
        <v>144</v>
      </c>
      <c r="F466" s="199" t="s">
        <v>136</v>
      </c>
      <c r="G466" s="223">
        <v>0</v>
      </c>
      <c r="H466" s="199" t="s">
        <v>276</v>
      </c>
    </row>
    <row r="467" spans="1:8">
      <c r="A467" s="218">
        <v>44196</v>
      </c>
      <c r="B467" s="199" t="s">
        <v>43</v>
      </c>
      <c r="C467" s="199" t="s">
        <v>8</v>
      </c>
      <c r="D467" s="199">
        <v>2019</v>
      </c>
      <c r="E467" s="199" t="s">
        <v>144</v>
      </c>
      <c r="F467" s="199" t="s">
        <v>136</v>
      </c>
      <c r="G467" s="223">
        <v>0</v>
      </c>
      <c r="H467" s="199" t="s">
        <v>276</v>
      </c>
    </row>
    <row r="468" spans="1:8">
      <c r="A468" s="218">
        <v>44196</v>
      </c>
      <c r="B468" s="199" t="s">
        <v>41</v>
      </c>
      <c r="C468" s="199" t="s">
        <v>8</v>
      </c>
      <c r="D468" s="199">
        <v>2019</v>
      </c>
      <c r="E468" s="199" t="s">
        <v>144</v>
      </c>
      <c r="F468" s="199" t="s">
        <v>136</v>
      </c>
      <c r="G468" s="223">
        <v>0</v>
      </c>
      <c r="H468" s="199" t="s">
        <v>276</v>
      </c>
    </row>
    <row r="469" spans="1:8">
      <c r="A469" s="218">
        <v>44196</v>
      </c>
      <c r="B469" s="199" t="s">
        <v>45</v>
      </c>
      <c r="C469" s="199" t="s">
        <v>8</v>
      </c>
      <c r="D469" s="199">
        <v>2019</v>
      </c>
      <c r="E469" s="199" t="s">
        <v>144</v>
      </c>
      <c r="F469" s="199" t="s">
        <v>136</v>
      </c>
      <c r="G469" s="223">
        <v>0</v>
      </c>
      <c r="H469" s="199" t="s">
        <v>276</v>
      </c>
    </row>
    <row r="470" spans="1:8">
      <c r="A470" s="218">
        <v>44196</v>
      </c>
      <c r="B470" s="199" t="s">
        <v>33</v>
      </c>
      <c r="C470" s="199" t="s">
        <v>8</v>
      </c>
      <c r="D470" s="199">
        <v>2019</v>
      </c>
      <c r="E470" s="199" t="s">
        <v>144</v>
      </c>
      <c r="F470" s="199" t="s">
        <v>136</v>
      </c>
      <c r="G470" s="223">
        <v>0</v>
      </c>
      <c r="H470" s="199" t="s">
        <v>276</v>
      </c>
    </row>
    <row r="471" spans="1:8">
      <c r="A471" s="218">
        <v>44196</v>
      </c>
      <c r="B471" s="199" t="s">
        <v>37</v>
      </c>
      <c r="C471" s="199" t="s">
        <v>8</v>
      </c>
      <c r="D471" s="199">
        <v>2020</v>
      </c>
      <c r="E471" s="199" t="s">
        <v>144</v>
      </c>
      <c r="F471" s="199" t="s">
        <v>136</v>
      </c>
      <c r="G471" s="223">
        <v>0</v>
      </c>
      <c r="H471" s="199" t="s">
        <v>276</v>
      </c>
    </row>
    <row r="472" spans="1:8">
      <c r="A472" s="218">
        <v>44196</v>
      </c>
      <c r="B472" s="199" t="s">
        <v>39</v>
      </c>
      <c r="C472" s="199" t="s">
        <v>8</v>
      </c>
      <c r="D472" s="199">
        <v>2019</v>
      </c>
      <c r="E472" s="199" t="s">
        <v>144</v>
      </c>
      <c r="F472" s="199" t="s">
        <v>136</v>
      </c>
      <c r="G472" s="223">
        <v>0</v>
      </c>
      <c r="H472" s="199" t="s">
        <v>276</v>
      </c>
    </row>
    <row r="473" spans="1:8">
      <c r="A473" s="218">
        <v>44196</v>
      </c>
      <c r="B473" s="199" t="s">
        <v>41</v>
      </c>
      <c r="C473" s="199" t="s">
        <v>8</v>
      </c>
      <c r="D473" s="199">
        <v>2020</v>
      </c>
      <c r="E473" s="199" t="s">
        <v>144</v>
      </c>
      <c r="F473" s="199" t="s">
        <v>136</v>
      </c>
      <c r="G473" s="223">
        <v>0</v>
      </c>
      <c r="H473" s="199" t="s">
        <v>276</v>
      </c>
    </row>
    <row r="474" spans="1:8">
      <c r="A474" s="218">
        <v>44196</v>
      </c>
      <c r="B474" s="199" t="s">
        <v>39</v>
      </c>
      <c r="C474" s="199" t="s">
        <v>8</v>
      </c>
      <c r="D474" s="199">
        <v>2020</v>
      </c>
      <c r="E474" s="199" t="s">
        <v>144</v>
      </c>
      <c r="F474" s="199" t="s">
        <v>136</v>
      </c>
      <c r="G474" s="223">
        <v>0</v>
      </c>
      <c r="H474" s="199" t="s">
        <v>276</v>
      </c>
    </row>
    <row r="475" spans="1:8">
      <c r="A475" s="218">
        <v>44196</v>
      </c>
      <c r="B475" s="199" t="s">
        <v>48</v>
      </c>
      <c r="C475" s="199" t="s">
        <v>8</v>
      </c>
      <c r="D475" s="199">
        <v>2020</v>
      </c>
      <c r="E475" s="199" t="s">
        <v>144</v>
      </c>
      <c r="F475" s="199" t="s">
        <v>136</v>
      </c>
      <c r="G475" s="223">
        <v>0</v>
      </c>
      <c r="H475" s="199" t="s">
        <v>276</v>
      </c>
    </row>
    <row r="476" spans="1:8">
      <c r="A476" s="218">
        <v>44196</v>
      </c>
      <c r="B476" s="199" t="s">
        <v>43</v>
      </c>
      <c r="C476" s="199" t="s">
        <v>8</v>
      </c>
      <c r="D476" s="199">
        <v>2020</v>
      </c>
      <c r="E476" s="199" t="s">
        <v>144</v>
      </c>
      <c r="F476" s="199" t="s">
        <v>136</v>
      </c>
      <c r="G476" s="223">
        <v>0</v>
      </c>
      <c r="H476" s="199" t="s">
        <v>276</v>
      </c>
    </row>
    <row r="477" spans="1:8">
      <c r="A477" s="218">
        <v>44196</v>
      </c>
      <c r="B477" s="199" t="s">
        <v>45</v>
      </c>
      <c r="C477" s="199" t="s">
        <v>8</v>
      </c>
      <c r="D477" s="199">
        <v>2020</v>
      </c>
      <c r="E477" s="199" t="s">
        <v>144</v>
      </c>
      <c r="F477" s="199" t="s">
        <v>136</v>
      </c>
      <c r="G477" s="223">
        <v>0</v>
      </c>
      <c r="H477" s="199" t="s">
        <v>276</v>
      </c>
    </row>
    <row r="478" spans="1:8">
      <c r="A478" s="218">
        <v>44196</v>
      </c>
      <c r="B478" s="199" t="s">
        <v>47</v>
      </c>
      <c r="C478" s="199" t="s">
        <v>8</v>
      </c>
      <c r="D478" s="199">
        <v>2020</v>
      </c>
      <c r="E478" s="199" t="s">
        <v>144</v>
      </c>
      <c r="F478" s="199" t="s">
        <v>136</v>
      </c>
      <c r="G478" s="223">
        <v>0</v>
      </c>
      <c r="H478" s="199" t="s">
        <v>276</v>
      </c>
    </row>
    <row r="479" spans="1:8">
      <c r="A479" s="218">
        <v>44196</v>
      </c>
      <c r="B479" s="199" t="s">
        <v>31</v>
      </c>
      <c r="C479" s="199" t="s">
        <v>8</v>
      </c>
      <c r="D479" s="199">
        <v>2020</v>
      </c>
      <c r="E479" s="199" t="s">
        <v>144</v>
      </c>
      <c r="F479" s="199" t="s">
        <v>136</v>
      </c>
      <c r="G479" s="223">
        <v>0</v>
      </c>
      <c r="H479" s="199" t="s">
        <v>276</v>
      </c>
    </row>
    <row r="480" spans="1:8">
      <c r="A480" s="218">
        <v>44196</v>
      </c>
      <c r="B480" s="199" t="s">
        <v>35</v>
      </c>
      <c r="C480" s="199" t="s">
        <v>8</v>
      </c>
      <c r="D480" s="199">
        <v>2020</v>
      </c>
      <c r="E480" s="199" t="s">
        <v>144</v>
      </c>
      <c r="F480" s="199" t="s">
        <v>136</v>
      </c>
      <c r="G480" s="223">
        <v>0</v>
      </c>
      <c r="H480" s="199" t="s">
        <v>276</v>
      </c>
    </row>
    <row r="481" spans="1:8">
      <c r="A481" s="218">
        <v>44196</v>
      </c>
      <c r="B481" s="199" t="s">
        <v>33</v>
      </c>
      <c r="C481" s="199" t="s">
        <v>8</v>
      </c>
      <c r="D481" s="199">
        <v>2020</v>
      </c>
      <c r="E481" s="199" t="s">
        <v>144</v>
      </c>
      <c r="F481" s="199" t="s">
        <v>136</v>
      </c>
      <c r="G481" s="223">
        <v>0</v>
      </c>
      <c r="H481" s="199" t="s">
        <v>276</v>
      </c>
    </row>
    <row r="482" spans="1:8">
      <c r="A482" s="218">
        <v>44196</v>
      </c>
      <c r="B482" s="199" t="s">
        <v>29</v>
      </c>
      <c r="C482" s="199" t="s">
        <v>8</v>
      </c>
      <c r="D482" s="199">
        <v>2020</v>
      </c>
      <c r="E482" s="199" t="s">
        <v>144</v>
      </c>
      <c r="F482" s="199" t="s">
        <v>136</v>
      </c>
      <c r="G482" s="223">
        <v>0</v>
      </c>
      <c r="H482" s="199" t="s">
        <v>276</v>
      </c>
    </row>
    <row r="483" spans="1:8">
      <c r="A483" s="218">
        <v>44196</v>
      </c>
      <c r="B483" s="199" t="s">
        <v>36</v>
      </c>
      <c r="C483" s="199" t="s">
        <v>8</v>
      </c>
      <c r="D483" s="199">
        <v>2020</v>
      </c>
      <c r="E483" s="199" t="s">
        <v>144</v>
      </c>
      <c r="F483" s="199" t="s">
        <v>136</v>
      </c>
      <c r="G483" s="223">
        <v>0</v>
      </c>
      <c r="H483" s="199" t="s">
        <v>276</v>
      </c>
    </row>
    <row r="484" spans="1:8">
      <c r="A484" s="218">
        <v>44196</v>
      </c>
      <c r="B484" s="199" t="s">
        <v>46</v>
      </c>
      <c r="C484" s="199" t="s">
        <v>8</v>
      </c>
      <c r="D484" s="199">
        <v>2020</v>
      </c>
      <c r="E484" s="199" t="s">
        <v>144</v>
      </c>
      <c r="F484" s="199" t="s">
        <v>136</v>
      </c>
      <c r="G484" s="223">
        <v>0</v>
      </c>
      <c r="H484" s="199" t="s">
        <v>276</v>
      </c>
    </row>
    <row r="485" spans="1:8">
      <c r="A485" s="218">
        <v>44196</v>
      </c>
      <c r="B485" s="199" t="s">
        <v>42</v>
      </c>
      <c r="C485" s="199" t="s">
        <v>8</v>
      </c>
      <c r="D485" s="199">
        <v>2020</v>
      </c>
      <c r="E485" s="199" t="s">
        <v>144</v>
      </c>
      <c r="F485" s="199" t="s">
        <v>136</v>
      </c>
      <c r="G485" s="223">
        <v>0</v>
      </c>
      <c r="H485" s="199" t="s">
        <v>276</v>
      </c>
    </row>
    <row r="486" spans="1:8">
      <c r="A486" s="218">
        <v>44196</v>
      </c>
      <c r="B486" s="199" t="s">
        <v>31</v>
      </c>
      <c r="C486" s="199" t="s">
        <v>8</v>
      </c>
      <c r="D486" s="199">
        <v>2019</v>
      </c>
      <c r="E486" s="199" t="s">
        <v>144</v>
      </c>
      <c r="F486" s="199" t="s">
        <v>136</v>
      </c>
      <c r="G486" s="223">
        <v>0</v>
      </c>
      <c r="H486" s="199" t="s">
        <v>276</v>
      </c>
    </row>
    <row r="487" spans="1:8">
      <c r="A487" s="218">
        <v>44196</v>
      </c>
      <c r="B487" s="199" t="s">
        <v>42</v>
      </c>
      <c r="C487" s="199" t="s">
        <v>8</v>
      </c>
      <c r="D487" s="199">
        <v>2019</v>
      </c>
      <c r="E487" s="199" t="s">
        <v>144</v>
      </c>
      <c r="F487" s="199" t="s">
        <v>136</v>
      </c>
      <c r="G487" s="223">
        <v>0</v>
      </c>
      <c r="H487" s="199" t="s">
        <v>276</v>
      </c>
    </row>
    <row r="488" spans="1:8">
      <c r="A488" s="218">
        <v>44196</v>
      </c>
      <c r="B488" s="199" t="s">
        <v>29</v>
      </c>
      <c r="C488" s="199" t="s">
        <v>8</v>
      </c>
      <c r="D488" s="199">
        <v>2019</v>
      </c>
      <c r="E488" s="199" t="s">
        <v>144</v>
      </c>
      <c r="F488" s="199" t="s">
        <v>136</v>
      </c>
      <c r="G488" s="223">
        <v>0</v>
      </c>
      <c r="H488" s="199" t="s">
        <v>276</v>
      </c>
    </row>
    <row r="489" spans="1:8">
      <c r="A489" s="218">
        <v>44196</v>
      </c>
      <c r="B489" s="199" t="s">
        <v>37</v>
      </c>
      <c r="C489" s="199" t="s">
        <v>8</v>
      </c>
      <c r="D489" s="199">
        <v>2019</v>
      </c>
      <c r="E489" s="199" t="s">
        <v>145</v>
      </c>
      <c r="F489" s="199" t="s">
        <v>136</v>
      </c>
      <c r="G489" s="223">
        <v>0</v>
      </c>
      <c r="H489" s="199" t="s">
        <v>276</v>
      </c>
    </row>
    <row r="490" spans="1:8">
      <c r="A490" s="218">
        <v>44196</v>
      </c>
      <c r="B490" s="199" t="s">
        <v>37</v>
      </c>
      <c r="C490" s="199" t="s">
        <v>8</v>
      </c>
      <c r="D490" s="199">
        <v>2020</v>
      </c>
      <c r="E490" s="199" t="s">
        <v>145</v>
      </c>
      <c r="F490" s="199" t="s">
        <v>136</v>
      </c>
      <c r="G490" s="223">
        <v>0</v>
      </c>
      <c r="H490" s="199" t="s">
        <v>276</v>
      </c>
    </row>
    <row r="491" spans="1:8">
      <c r="A491" s="218">
        <v>44196</v>
      </c>
      <c r="B491" s="199" t="s">
        <v>37</v>
      </c>
      <c r="C491" s="199" t="s">
        <v>8</v>
      </c>
      <c r="D491" s="199">
        <v>2020</v>
      </c>
      <c r="E491" s="199" t="s">
        <v>146</v>
      </c>
      <c r="F491" s="199" t="s">
        <v>136</v>
      </c>
      <c r="G491" s="223">
        <v>0</v>
      </c>
      <c r="H491" s="199" t="s">
        <v>276</v>
      </c>
    </row>
    <row r="492" spans="1:8">
      <c r="A492" s="218">
        <v>44196</v>
      </c>
      <c r="B492" s="199" t="s">
        <v>29</v>
      </c>
      <c r="C492" s="199" t="s">
        <v>8</v>
      </c>
      <c r="D492" s="199">
        <v>2019</v>
      </c>
      <c r="E492" s="199" t="s">
        <v>148</v>
      </c>
      <c r="F492" s="199" t="s">
        <v>147</v>
      </c>
      <c r="G492" s="223">
        <v>0</v>
      </c>
      <c r="H492" s="199" t="s">
        <v>276</v>
      </c>
    </row>
    <row r="493" spans="1:8">
      <c r="A493" s="218">
        <v>44196</v>
      </c>
      <c r="B493" s="199" t="s">
        <v>31</v>
      </c>
      <c r="C493" s="199" t="s">
        <v>8</v>
      </c>
      <c r="D493" s="199">
        <v>2019</v>
      </c>
      <c r="E493" s="199" t="s">
        <v>148</v>
      </c>
      <c r="F493" s="199" t="s">
        <v>147</v>
      </c>
      <c r="G493" s="223">
        <v>0</v>
      </c>
      <c r="H493" s="199" t="s">
        <v>276</v>
      </c>
    </row>
    <row r="494" spans="1:8">
      <c r="A494" s="218">
        <v>44196</v>
      </c>
      <c r="B494" s="199" t="s">
        <v>37</v>
      </c>
      <c r="C494" s="199" t="s">
        <v>8</v>
      </c>
      <c r="D494" s="199">
        <v>2019</v>
      </c>
      <c r="E494" s="199" t="s">
        <v>148</v>
      </c>
      <c r="F494" s="199" t="s">
        <v>147</v>
      </c>
      <c r="G494" s="223">
        <v>0</v>
      </c>
      <c r="H494" s="199" t="s">
        <v>276</v>
      </c>
    </row>
    <row r="495" spans="1:8">
      <c r="A495" s="218">
        <v>44196</v>
      </c>
      <c r="B495" s="199" t="s">
        <v>36</v>
      </c>
      <c r="C495" s="199" t="s">
        <v>8</v>
      </c>
      <c r="D495" s="199">
        <v>2019</v>
      </c>
      <c r="E495" s="199" t="s">
        <v>148</v>
      </c>
      <c r="F495" s="199" t="s">
        <v>147</v>
      </c>
      <c r="G495" s="223">
        <v>0</v>
      </c>
      <c r="H495" s="199" t="s">
        <v>276</v>
      </c>
    </row>
    <row r="496" spans="1:8">
      <c r="A496" s="218">
        <v>44196</v>
      </c>
      <c r="B496" s="199" t="s">
        <v>39</v>
      </c>
      <c r="C496" s="199" t="s">
        <v>8</v>
      </c>
      <c r="D496" s="199">
        <v>2019</v>
      </c>
      <c r="E496" s="199" t="s">
        <v>148</v>
      </c>
      <c r="F496" s="199" t="s">
        <v>147</v>
      </c>
      <c r="G496" s="223">
        <v>0</v>
      </c>
      <c r="H496" s="199" t="s">
        <v>276</v>
      </c>
    </row>
    <row r="497" spans="1:8">
      <c r="A497" s="218">
        <v>44196</v>
      </c>
      <c r="B497" s="199" t="s">
        <v>35</v>
      </c>
      <c r="C497" s="199" t="s">
        <v>8</v>
      </c>
      <c r="D497" s="199">
        <v>2019</v>
      </c>
      <c r="E497" s="199" t="s">
        <v>148</v>
      </c>
      <c r="F497" s="199" t="s">
        <v>147</v>
      </c>
      <c r="G497" s="223">
        <v>0</v>
      </c>
      <c r="H497" s="199" t="s">
        <v>276</v>
      </c>
    </row>
    <row r="498" spans="1:8">
      <c r="A498" s="218">
        <v>44196</v>
      </c>
      <c r="B498" s="199" t="s">
        <v>45</v>
      </c>
      <c r="C498" s="199" t="s">
        <v>8</v>
      </c>
      <c r="D498" s="199">
        <v>2019</v>
      </c>
      <c r="E498" s="199" t="s">
        <v>148</v>
      </c>
      <c r="F498" s="199" t="s">
        <v>147</v>
      </c>
      <c r="G498" s="223">
        <v>0</v>
      </c>
      <c r="H498" s="199" t="s">
        <v>276</v>
      </c>
    </row>
    <row r="499" spans="1:8">
      <c r="A499" s="218">
        <v>44196</v>
      </c>
      <c r="B499" s="199" t="s">
        <v>43</v>
      </c>
      <c r="C499" s="199" t="s">
        <v>8</v>
      </c>
      <c r="D499" s="199">
        <v>2019</v>
      </c>
      <c r="E499" s="199" t="s">
        <v>148</v>
      </c>
      <c r="F499" s="199" t="s">
        <v>147</v>
      </c>
      <c r="G499" s="223">
        <v>0</v>
      </c>
      <c r="H499" s="199" t="s">
        <v>276</v>
      </c>
    </row>
    <row r="500" spans="1:8">
      <c r="A500" s="218">
        <v>44196</v>
      </c>
      <c r="B500" s="199" t="s">
        <v>41</v>
      </c>
      <c r="C500" s="199" t="s">
        <v>8</v>
      </c>
      <c r="D500" s="199">
        <v>2019</v>
      </c>
      <c r="E500" s="199" t="s">
        <v>148</v>
      </c>
      <c r="F500" s="199" t="s">
        <v>147</v>
      </c>
      <c r="G500" s="223">
        <v>0</v>
      </c>
      <c r="H500" s="199" t="s">
        <v>276</v>
      </c>
    </row>
    <row r="501" spans="1:8">
      <c r="A501" s="218">
        <v>44196</v>
      </c>
      <c r="B501" s="199" t="s">
        <v>47</v>
      </c>
      <c r="C501" s="199" t="s">
        <v>8</v>
      </c>
      <c r="D501" s="199">
        <v>2019</v>
      </c>
      <c r="E501" s="199" t="s">
        <v>148</v>
      </c>
      <c r="F501" s="199" t="s">
        <v>147</v>
      </c>
      <c r="G501" s="223">
        <v>0</v>
      </c>
      <c r="H501" s="199" t="s">
        <v>276</v>
      </c>
    </row>
    <row r="502" spans="1:8">
      <c r="A502" s="218">
        <v>44196</v>
      </c>
      <c r="B502" s="199" t="s">
        <v>33</v>
      </c>
      <c r="C502" s="199" t="s">
        <v>8</v>
      </c>
      <c r="D502" s="199">
        <v>2019</v>
      </c>
      <c r="E502" s="199" t="s">
        <v>148</v>
      </c>
      <c r="F502" s="199" t="s">
        <v>147</v>
      </c>
      <c r="G502" s="223">
        <v>0</v>
      </c>
      <c r="H502" s="199" t="s">
        <v>276</v>
      </c>
    </row>
    <row r="503" spans="1:8">
      <c r="A503" s="218">
        <v>44196</v>
      </c>
      <c r="B503" s="199" t="s">
        <v>42</v>
      </c>
      <c r="C503" s="199" t="s">
        <v>8</v>
      </c>
      <c r="D503" s="199">
        <v>2019</v>
      </c>
      <c r="E503" s="199" t="s">
        <v>148</v>
      </c>
      <c r="F503" s="199" t="s">
        <v>147</v>
      </c>
      <c r="G503" s="223">
        <v>0</v>
      </c>
      <c r="H503" s="199" t="s">
        <v>276</v>
      </c>
    </row>
    <row r="504" spans="1:8">
      <c r="A504" s="218">
        <v>44196</v>
      </c>
      <c r="B504" s="199" t="s">
        <v>31</v>
      </c>
      <c r="C504" s="199" t="s">
        <v>8</v>
      </c>
      <c r="D504" s="199">
        <v>2020</v>
      </c>
      <c r="E504" s="199" t="s">
        <v>148</v>
      </c>
      <c r="F504" s="199" t="s">
        <v>147</v>
      </c>
      <c r="G504" s="223">
        <v>0</v>
      </c>
      <c r="H504" s="199" t="s">
        <v>276</v>
      </c>
    </row>
    <row r="505" spans="1:8">
      <c r="A505" s="218">
        <v>44196</v>
      </c>
      <c r="B505" s="199" t="s">
        <v>29</v>
      </c>
      <c r="C505" s="199" t="s">
        <v>8</v>
      </c>
      <c r="D505" s="199">
        <v>2020</v>
      </c>
      <c r="E505" s="199" t="s">
        <v>148</v>
      </c>
      <c r="F505" s="199" t="s">
        <v>147</v>
      </c>
      <c r="G505" s="223">
        <v>0</v>
      </c>
      <c r="H505" s="199" t="s">
        <v>276</v>
      </c>
    </row>
    <row r="506" spans="1:8">
      <c r="A506" s="218">
        <v>44196</v>
      </c>
      <c r="B506" s="199" t="s">
        <v>37</v>
      </c>
      <c r="C506" s="199" t="s">
        <v>8</v>
      </c>
      <c r="D506" s="199">
        <v>2020</v>
      </c>
      <c r="E506" s="199" t="s">
        <v>148</v>
      </c>
      <c r="F506" s="199" t="s">
        <v>147</v>
      </c>
      <c r="G506" s="223">
        <v>0</v>
      </c>
      <c r="H506" s="199" t="s">
        <v>276</v>
      </c>
    </row>
    <row r="507" spans="1:8">
      <c r="A507" s="218">
        <v>44196</v>
      </c>
      <c r="B507" s="199" t="s">
        <v>36</v>
      </c>
      <c r="C507" s="199" t="s">
        <v>8</v>
      </c>
      <c r="D507" s="199">
        <v>2020</v>
      </c>
      <c r="E507" s="199" t="s">
        <v>148</v>
      </c>
      <c r="F507" s="199" t="s">
        <v>147</v>
      </c>
      <c r="G507" s="223">
        <v>0</v>
      </c>
      <c r="H507" s="199" t="s">
        <v>276</v>
      </c>
    </row>
    <row r="508" spans="1:8">
      <c r="A508" s="218">
        <v>44196</v>
      </c>
      <c r="B508" s="199" t="s">
        <v>35</v>
      </c>
      <c r="C508" s="199" t="s">
        <v>8</v>
      </c>
      <c r="D508" s="199">
        <v>2020</v>
      </c>
      <c r="E508" s="199" t="s">
        <v>148</v>
      </c>
      <c r="F508" s="199" t="s">
        <v>147</v>
      </c>
      <c r="G508" s="223">
        <v>0</v>
      </c>
      <c r="H508" s="199" t="s">
        <v>276</v>
      </c>
    </row>
    <row r="509" spans="1:8">
      <c r="A509" s="218">
        <v>44196</v>
      </c>
      <c r="B509" s="199" t="s">
        <v>43</v>
      </c>
      <c r="C509" s="199" t="s">
        <v>8</v>
      </c>
      <c r="D509" s="199">
        <v>2020</v>
      </c>
      <c r="E509" s="199" t="s">
        <v>148</v>
      </c>
      <c r="F509" s="199" t="s">
        <v>147</v>
      </c>
      <c r="G509" s="223">
        <v>0</v>
      </c>
      <c r="H509" s="199" t="s">
        <v>276</v>
      </c>
    </row>
    <row r="510" spans="1:8">
      <c r="A510" s="218">
        <v>44196</v>
      </c>
      <c r="B510" s="199" t="s">
        <v>41</v>
      </c>
      <c r="C510" s="199" t="s">
        <v>8</v>
      </c>
      <c r="D510" s="199">
        <v>2020</v>
      </c>
      <c r="E510" s="199" t="s">
        <v>148</v>
      </c>
      <c r="F510" s="199" t="s">
        <v>147</v>
      </c>
      <c r="G510" s="223">
        <v>0</v>
      </c>
      <c r="H510" s="199" t="s">
        <v>276</v>
      </c>
    </row>
    <row r="511" spans="1:8">
      <c r="A511" s="218">
        <v>44196</v>
      </c>
      <c r="B511" s="199" t="s">
        <v>45</v>
      </c>
      <c r="C511" s="199" t="s">
        <v>8</v>
      </c>
      <c r="D511" s="199">
        <v>2020</v>
      </c>
      <c r="E511" s="199" t="s">
        <v>148</v>
      </c>
      <c r="F511" s="199" t="s">
        <v>147</v>
      </c>
      <c r="G511" s="223">
        <v>0</v>
      </c>
      <c r="H511" s="199" t="s">
        <v>276</v>
      </c>
    </row>
    <row r="512" spans="1:8">
      <c r="A512" s="218">
        <v>44196</v>
      </c>
      <c r="B512" s="199" t="s">
        <v>48</v>
      </c>
      <c r="C512" s="199" t="s">
        <v>8</v>
      </c>
      <c r="D512" s="199">
        <v>2020</v>
      </c>
      <c r="E512" s="199" t="s">
        <v>148</v>
      </c>
      <c r="F512" s="199" t="s">
        <v>147</v>
      </c>
      <c r="G512" s="223">
        <v>0</v>
      </c>
      <c r="H512" s="199" t="s">
        <v>276</v>
      </c>
    </row>
    <row r="513" spans="1:8">
      <c r="A513" s="218">
        <v>44196</v>
      </c>
      <c r="B513" s="199" t="s">
        <v>39</v>
      </c>
      <c r="C513" s="199" t="s">
        <v>8</v>
      </c>
      <c r="D513" s="199">
        <v>2020</v>
      </c>
      <c r="E513" s="199" t="s">
        <v>148</v>
      </c>
      <c r="F513" s="199" t="s">
        <v>147</v>
      </c>
      <c r="G513" s="223">
        <v>0</v>
      </c>
      <c r="H513" s="199" t="s">
        <v>276</v>
      </c>
    </row>
    <row r="514" spans="1:8">
      <c r="A514" s="218">
        <v>44196</v>
      </c>
      <c r="B514" s="199" t="s">
        <v>47</v>
      </c>
      <c r="C514" s="199" t="s">
        <v>8</v>
      </c>
      <c r="D514" s="199">
        <v>2020</v>
      </c>
      <c r="E514" s="199" t="s">
        <v>148</v>
      </c>
      <c r="F514" s="199" t="s">
        <v>147</v>
      </c>
      <c r="G514" s="223">
        <v>0</v>
      </c>
      <c r="H514" s="199" t="s">
        <v>276</v>
      </c>
    </row>
    <row r="515" spans="1:8">
      <c r="A515" s="218">
        <v>44196</v>
      </c>
      <c r="B515" s="199" t="s">
        <v>46</v>
      </c>
      <c r="C515" s="199" t="s">
        <v>8</v>
      </c>
      <c r="D515" s="199">
        <v>2020</v>
      </c>
      <c r="E515" s="199" t="s">
        <v>148</v>
      </c>
      <c r="F515" s="199" t="s">
        <v>147</v>
      </c>
      <c r="G515" s="223">
        <v>0</v>
      </c>
      <c r="H515" s="199" t="s">
        <v>276</v>
      </c>
    </row>
    <row r="516" spans="1:8">
      <c r="A516" s="218">
        <v>44196</v>
      </c>
      <c r="B516" s="199" t="s">
        <v>42</v>
      </c>
      <c r="C516" s="199" t="s">
        <v>8</v>
      </c>
      <c r="D516" s="199">
        <v>2020</v>
      </c>
      <c r="E516" s="199" t="s">
        <v>148</v>
      </c>
      <c r="F516" s="199" t="s">
        <v>147</v>
      </c>
      <c r="G516" s="223">
        <v>0</v>
      </c>
      <c r="H516" s="199" t="s">
        <v>276</v>
      </c>
    </row>
    <row r="517" spans="1:8">
      <c r="A517" s="218">
        <v>44196</v>
      </c>
      <c r="B517" s="199" t="s">
        <v>44</v>
      </c>
      <c r="C517" s="199" t="s">
        <v>8</v>
      </c>
      <c r="D517" s="199">
        <v>2020</v>
      </c>
      <c r="E517" s="199" t="s">
        <v>148</v>
      </c>
      <c r="F517" s="199" t="s">
        <v>147</v>
      </c>
      <c r="G517" s="223">
        <v>0</v>
      </c>
      <c r="H517" s="199" t="s">
        <v>276</v>
      </c>
    </row>
    <row r="518" spans="1:8">
      <c r="A518" s="218">
        <v>44196</v>
      </c>
      <c r="B518" s="199" t="s">
        <v>33</v>
      </c>
      <c r="C518" s="199" t="s">
        <v>8</v>
      </c>
      <c r="D518" s="199">
        <v>2020</v>
      </c>
      <c r="E518" s="199" t="s">
        <v>148</v>
      </c>
      <c r="F518" s="199" t="s">
        <v>147</v>
      </c>
      <c r="G518" s="223">
        <v>0</v>
      </c>
      <c r="H518" s="199" t="s">
        <v>276</v>
      </c>
    </row>
    <row r="519" spans="1:8">
      <c r="A519" s="218">
        <v>44196</v>
      </c>
      <c r="B519" s="199" t="s">
        <v>44</v>
      </c>
      <c r="C519" s="199" t="s">
        <v>8</v>
      </c>
      <c r="D519" s="199">
        <v>2019</v>
      </c>
      <c r="E519" s="199" t="s">
        <v>148</v>
      </c>
      <c r="F519" s="199" t="s">
        <v>147</v>
      </c>
      <c r="G519" s="223">
        <v>0</v>
      </c>
      <c r="H519" s="199" t="s">
        <v>276</v>
      </c>
    </row>
    <row r="520" spans="1:8">
      <c r="A520" s="218">
        <v>44196</v>
      </c>
      <c r="B520" s="199" t="s">
        <v>38</v>
      </c>
      <c r="C520" s="199" t="s">
        <v>8</v>
      </c>
      <c r="D520" s="199">
        <v>2020</v>
      </c>
      <c r="E520" s="199" t="s">
        <v>148</v>
      </c>
      <c r="F520" s="199" t="s">
        <v>147</v>
      </c>
      <c r="G520" s="223">
        <v>0</v>
      </c>
      <c r="H520" s="199" t="s">
        <v>276</v>
      </c>
    </row>
    <row r="521" spans="1:8">
      <c r="A521" s="218">
        <v>44196</v>
      </c>
      <c r="B521" s="199" t="s">
        <v>46</v>
      </c>
      <c r="C521" s="199" t="s">
        <v>8</v>
      </c>
      <c r="D521" s="199">
        <v>2019</v>
      </c>
      <c r="E521" s="199" t="s">
        <v>148</v>
      </c>
      <c r="F521" s="199" t="s">
        <v>147</v>
      </c>
      <c r="G521" s="223">
        <v>0</v>
      </c>
      <c r="H521" s="199" t="s">
        <v>276</v>
      </c>
    </row>
    <row r="522" spans="1:8">
      <c r="A522" s="218">
        <v>44196</v>
      </c>
      <c r="B522" s="199" t="s">
        <v>36</v>
      </c>
      <c r="C522" s="199" t="s">
        <v>8</v>
      </c>
      <c r="D522" s="199">
        <v>2019</v>
      </c>
      <c r="E522" s="199" t="s">
        <v>150</v>
      </c>
      <c r="F522" s="199" t="s">
        <v>149</v>
      </c>
      <c r="G522" s="223">
        <v>0</v>
      </c>
      <c r="H522" s="199" t="s">
        <v>276</v>
      </c>
    </row>
    <row r="523" spans="1:8">
      <c r="A523" s="218">
        <v>44196</v>
      </c>
      <c r="B523" s="199" t="s">
        <v>29</v>
      </c>
      <c r="C523" s="199" t="s">
        <v>8</v>
      </c>
      <c r="D523" s="199">
        <v>2019</v>
      </c>
      <c r="E523" s="199" t="s">
        <v>150</v>
      </c>
      <c r="F523" s="199" t="s">
        <v>149</v>
      </c>
      <c r="G523" s="223">
        <v>0</v>
      </c>
      <c r="H523" s="199" t="s">
        <v>276</v>
      </c>
    </row>
    <row r="524" spans="1:8">
      <c r="A524" s="218">
        <v>44196</v>
      </c>
      <c r="B524" s="199" t="s">
        <v>31</v>
      </c>
      <c r="C524" s="199" t="s">
        <v>8</v>
      </c>
      <c r="D524" s="199">
        <v>2019</v>
      </c>
      <c r="E524" s="199" t="s">
        <v>150</v>
      </c>
      <c r="F524" s="199" t="s">
        <v>149</v>
      </c>
      <c r="G524" s="223">
        <v>0</v>
      </c>
      <c r="H524" s="199" t="s">
        <v>276</v>
      </c>
    </row>
    <row r="525" spans="1:8">
      <c r="A525" s="218">
        <v>44196</v>
      </c>
      <c r="B525" s="199" t="s">
        <v>37</v>
      </c>
      <c r="C525" s="199" t="s">
        <v>8</v>
      </c>
      <c r="D525" s="199">
        <v>2019</v>
      </c>
      <c r="E525" s="199" t="s">
        <v>150</v>
      </c>
      <c r="F525" s="199" t="s">
        <v>149</v>
      </c>
      <c r="G525" s="223">
        <v>0</v>
      </c>
      <c r="H525" s="199" t="s">
        <v>276</v>
      </c>
    </row>
    <row r="526" spans="1:8">
      <c r="A526" s="218">
        <v>44196</v>
      </c>
      <c r="B526" s="199" t="s">
        <v>31</v>
      </c>
      <c r="C526" s="199" t="s">
        <v>8</v>
      </c>
      <c r="D526" s="199">
        <v>2020</v>
      </c>
      <c r="E526" s="199" t="s">
        <v>150</v>
      </c>
      <c r="F526" s="199" t="s">
        <v>149</v>
      </c>
      <c r="G526" s="223">
        <v>0</v>
      </c>
      <c r="H526" s="199" t="s">
        <v>276</v>
      </c>
    </row>
    <row r="527" spans="1:8">
      <c r="A527" s="218">
        <v>44196</v>
      </c>
      <c r="B527" s="199" t="s">
        <v>36</v>
      </c>
      <c r="C527" s="199" t="s">
        <v>8</v>
      </c>
      <c r="D527" s="199">
        <v>2020</v>
      </c>
      <c r="E527" s="199" t="s">
        <v>150</v>
      </c>
      <c r="F527" s="199" t="s">
        <v>149</v>
      </c>
      <c r="G527" s="223">
        <v>0</v>
      </c>
      <c r="H527" s="199" t="s">
        <v>276</v>
      </c>
    </row>
    <row r="528" spans="1:8">
      <c r="A528" s="218">
        <v>44196</v>
      </c>
      <c r="B528" s="199" t="s">
        <v>37</v>
      </c>
      <c r="C528" s="199" t="s">
        <v>8</v>
      </c>
      <c r="D528" s="199">
        <v>2020</v>
      </c>
      <c r="E528" s="199" t="s">
        <v>150</v>
      </c>
      <c r="F528" s="199" t="s">
        <v>149</v>
      </c>
      <c r="G528" s="223">
        <v>0</v>
      </c>
      <c r="H528" s="199" t="s">
        <v>276</v>
      </c>
    </row>
    <row r="529" spans="1:8">
      <c r="A529" s="218">
        <v>44196</v>
      </c>
      <c r="B529" s="199" t="s">
        <v>29</v>
      </c>
      <c r="C529" s="199" t="s">
        <v>8</v>
      </c>
      <c r="D529" s="199">
        <v>2020</v>
      </c>
      <c r="E529" s="199" t="s">
        <v>150</v>
      </c>
      <c r="F529" s="199" t="s">
        <v>149</v>
      </c>
      <c r="G529" s="223">
        <v>0</v>
      </c>
      <c r="H529" s="199" t="s">
        <v>276</v>
      </c>
    </row>
    <row r="530" spans="1:8">
      <c r="A530" s="218">
        <v>44196</v>
      </c>
      <c r="B530" s="199" t="s">
        <v>29</v>
      </c>
      <c r="C530" s="199" t="s">
        <v>8</v>
      </c>
      <c r="D530" s="199">
        <v>2019</v>
      </c>
      <c r="E530" s="199" t="s">
        <v>152</v>
      </c>
      <c r="F530" s="199" t="s">
        <v>151</v>
      </c>
      <c r="G530" s="223">
        <v>0</v>
      </c>
      <c r="H530" s="199" t="s">
        <v>276</v>
      </c>
    </row>
    <row r="531" spans="1:8">
      <c r="A531" s="218">
        <v>44196</v>
      </c>
      <c r="B531" s="199" t="s">
        <v>31</v>
      </c>
      <c r="C531" s="199" t="s">
        <v>8</v>
      </c>
      <c r="D531" s="199">
        <v>2019</v>
      </c>
      <c r="E531" s="199" t="s">
        <v>152</v>
      </c>
      <c r="F531" s="199" t="s">
        <v>151</v>
      </c>
      <c r="G531" s="223">
        <v>0</v>
      </c>
      <c r="H531" s="199" t="s">
        <v>276</v>
      </c>
    </row>
    <row r="532" spans="1:8">
      <c r="A532" s="218">
        <v>44196</v>
      </c>
      <c r="B532" s="199" t="s">
        <v>36</v>
      </c>
      <c r="C532" s="199" t="s">
        <v>8</v>
      </c>
      <c r="D532" s="199">
        <v>2019</v>
      </c>
      <c r="E532" s="199" t="s">
        <v>152</v>
      </c>
      <c r="F532" s="199" t="s">
        <v>151</v>
      </c>
      <c r="G532" s="223">
        <v>0</v>
      </c>
      <c r="H532" s="199" t="s">
        <v>276</v>
      </c>
    </row>
    <row r="533" spans="1:8">
      <c r="A533" s="218">
        <v>44196</v>
      </c>
      <c r="B533" s="199" t="s">
        <v>37</v>
      </c>
      <c r="C533" s="199" t="s">
        <v>8</v>
      </c>
      <c r="D533" s="199">
        <v>2019</v>
      </c>
      <c r="E533" s="199" t="s">
        <v>152</v>
      </c>
      <c r="F533" s="199" t="s">
        <v>151</v>
      </c>
      <c r="G533" s="223">
        <v>0</v>
      </c>
      <c r="H533" s="199" t="s">
        <v>276</v>
      </c>
    </row>
    <row r="534" spans="1:8">
      <c r="A534" s="218">
        <v>44196</v>
      </c>
      <c r="B534" s="199" t="s">
        <v>35</v>
      </c>
      <c r="C534" s="199" t="s">
        <v>8</v>
      </c>
      <c r="D534" s="199">
        <v>2019</v>
      </c>
      <c r="E534" s="199" t="s">
        <v>152</v>
      </c>
      <c r="F534" s="199" t="s">
        <v>151</v>
      </c>
      <c r="G534" s="223">
        <v>0</v>
      </c>
      <c r="H534" s="199" t="s">
        <v>276</v>
      </c>
    </row>
    <row r="535" spans="1:8">
      <c r="A535" s="218">
        <v>44196</v>
      </c>
      <c r="B535" s="199" t="s">
        <v>36</v>
      </c>
      <c r="C535" s="199" t="s">
        <v>8</v>
      </c>
      <c r="D535" s="199">
        <v>2020</v>
      </c>
      <c r="E535" s="199" t="s">
        <v>152</v>
      </c>
      <c r="F535" s="199" t="s">
        <v>151</v>
      </c>
      <c r="G535" s="223">
        <v>0</v>
      </c>
      <c r="H535" s="199" t="s">
        <v>276</v>
      </c>
    </row>
    <row r="536" spans="1:8">
      <c r="A536" s="218">
        <v>44196</v>
      </c>
      <c r="B536" s="199" t="s">
        <v>31</v>
      </c>
      <c r="C536" s="199" t="s">
        <v>8</v>
      </c>
      <c r="D536" s="199">
        <v>2020</v>
      </c>
      <c r="E536" s="199" t="s">
        <v>152</v>
      </c>
      <c r="F536" s="199" t="s">
        <v>151</v>
      </c>
      <c r="G536" s="223">
        <v>0</v>
      </c>
      <c r="H536" s="199" t="s">
        <v>276</v>
      </c>
    </row>
    <row r="537" spans="1:8">
      <c r="A537" s="218">
        <v>44196</v>
      </c>
      <c r="B537" s="199" t="s">
        <v>29</v>
      </c>
      <c r="C537" s="199" t="s">
        <v>8</v>
      </c>
      <c r="D537" s="199">
        <v>2020</v>
      </c>
      <c r="E537" s="199" t="s">
        <v>152</v>
      </c>
      <c r="F537" s="199" t="s">
        <v>151</v>
      </c>
      <c r="G537" s="223">
        <v>0</v>
      </c>
      <c r="H537" s="199" t="s">
        <v>276</v>
      </c>
    </row>
    <row r="538" spans="1:8">
      <c r="A538" s="218">
        <v>44196</v>
      </c>
      <c r="B538" s="199" t="s">
        <v>37</v>
      </c>
      <c r="C538" s="199" t="s">
        <v>8</v>
      </c>
      <c r="D538" s="199">
        <v>2020</v>
      </c>
      <c r="E538" s="199" t="s">
        <v>152</v>
      </c>
      <c r="F538" s="199" t="s">
        <v>151</v>
      </c>
      <c r="G538" s="223">
        <v>0</v>
      </c>
      <c r="H538" s="199" t="s">
        <v>276</v>
      </c>
    </row>
    <row r="539" spans="1:8">
      <c r="A539" s="218">
        <v>44196</v>
      </c>
      <c r="B539" s="199" t="s">
        <v>35</v>
      </c>
      <c r="C539" s="199" t="s">
        <v>8</v>
      </c>
      <c r="D539" s="199">
        <v>2020</v>
      </c>
      <c r="E539" s="199" t="s">
        <v>152</v>
      </c>
      <c r="F539" s="199" t="s">
        <v>151</v>
      </c>
      <c r="G539" s="223">
        <v>0</v>
      </c>
      <c r="H539" s="199" t="s">
        <v>276</v>
      </c>
    </row>
    <row r="540" spans="1:8">
      <c r="A540" s="218">
        <v>44196</v>
      </c>
      <c r="B540" s="199" t="s">
        <v>43</v>
      </c>
      <c r="C540" s="199" t="s">
        <v>8</v>
      </c>
      <c r="D540" s="199">
        <v>2019</v>
      </c>
      <c r="E540" s="199" t="s">
        <v>152</v>
      </c>
      <c r="F540" s="199" t="s">
        <v>151</v>
      </c>
      <c r="G540" s="223">
        <v>0</v>
      </c>
      <c r="H540" s="199" t="s">
        <v>276</v>
      </c>
    </row>
    <row r="541" spans="1:8">
      <c r="A541" s="218">
        <v>44196</v>
      </c>
      <c r="B541" s="199" t="s">
        <v>43</v>
      </c>
      <c r="C541" s="199" t="s">
        <v>8</v>
      </c>
      <c r="D541" s="199">
        <v>2020</v>
      </c>
      <c r="E541" s="199" t="s">
        <v>152</v>
      </c>
      <c r="F541" s="199" t="s">
        <v>151</v>
      </c>
      <c r="G541" s="223">
        <v>0</v>
      </c>
      <c r="H541" s="199" t="s">
        <v>276</v>
      </c>
    </row>
    <row r="542" spans="1:8">
      <c r="A542" s="218">
        <v>44196</v>
      </c>
      <c r="B542" s="199" t="s">
        <v>36</v>
      </c>
      <c r="C542" s="199" t="s">
        <v>8</v>
      </c>
      <c r="D542" s="199">
        <v>2019</v>
      </c>
      <c r="E542" s="199" t="s">
        <v>153</v>
      </c>
      <c r="F542" s="199" t="s">
        <v>151</v>
      </c>
      <c r="G542" s="223">
        <v>0</v>
      </c>
      <c r="H542" s="199" t="s">
        <v>276</v>
      </c>
    </row>
    <row r="543" spans="1:8">
      <c r="A543" s="218">
        <v>44196</v>
      </c>
      <c r="B543" s="199" t="s">
        <v>37</v>
      </c>
      <c r="C543" s="199" t="s">
        <v>8</v>
      </c>
      <c r="D543" s="199">
        <v>2019</v>
      </c>
      <c r="E543" s="199" t="s">
        <v>153</v>
      </c>
      <c r="F543" s="199" t="s">
        <v>151</v>
      </c>
      <c r="G543" s="223">
        <v>0</v>
      </c>
      <c r="H543" s="199" t="s">
        <v>276</v>
      </c>
    </row>
    <row r="544" spans="1:8">
      <c r="A544" s="218">
        <v>44196</v>
      </c>
      <c r="B544" s="199" t="s">
        <v>29</v>
      </c>
      <c r="C544" s="199" t="s">
        <v>8</v>
      </c>
      <c r="D544" s="199">
        <v>2019</v>
      </c>
      <c r="E544" s="199" t="s">
        <v>153</v>
      </c>
      <c r="F544" s="199" t="s">
        <v>151</v>
      </c>
      <c r="G544" s="223">
        <v>0</v>
      </c>
      <c r="H544" s="199" t="s">
        <v>276</v>
      </c>
    </row>
    <row r="545" spans="1:8">
      <c r="A545" s="218">
        <v>44196</v>
      </c>
      <c r="B545" s="199" t="s">
        <v>31</v>
      </c>
      <c r="C545" s="199" t="s">
        <v>8</v>
      </c>
      <c r="D545" s="199">
        <v>2019</v>
      </c>
      <c r="E545" s="199" t="s">
        <v>153</v>
      </c>
      <c r="F545" s="199" t="s">
        <v>151</v>
      </c>
      <c r="G545" s="223">
        <v>0</v>
      </c>
      <c r="H545" s="199" t="s">
        <v>276</v>
      </c>
    </row>
    <row r="546" spans="1:8">
      <c r="A546" s="218">
        <v>44196</v>
      </c>
      <c r="B546" s="199" t="s">
        <v>45</v>
      </c>
      <c r="C546" s="199" t="s">
        <v>8</v>
      </c>
      <c r="D546" s="199">
        <v>2019</v>
      </c>
      <c r="E546" s="199" t="s">
        <v>153</v>
      </c>
      <c r="F546" s="199" t="s">
        <v>151</v>
      </c>
      <c r="G546" s="223">
        <v>0</v>
      </c>
      <c r="H546" s="199" t="s">
        <v>276</v>
      </c>
    </row>
    <row r="547" spans="1:8">
      <c r="A547" s="218">
        <v>44196</v>
      </c>
      <c r="B547" s="199" t="s">
        <v>43</v>
      </c>
      <c r="C547" s="199" t="s">
        <v>8</v>
      </c>
      <c r="D547" s="199">
        <v>2019</v>
      </c>
      <c r="E547" s="199" t="s">
        <v>153</v>
      </c>
      <c r="F547" s="199" t="s">
        <v>151</v>
      </c>
      <c r="G547" s="223">
        <v>0</v>
      </c>
      <c r="H547" s="199" t="s">
        <v>276</v>
      </c>
    </row>
    <row r="548" spans="1:8">
      <c r="A548" s="218">
        <v>44196</v>
      </c>
      <c r="B548" s="199" t="s">
        <v>29</v>
      </c>
      <c r="C548" s="199" t="s">
        <v>8</v>
      </c>
      <c r="D548" s="199">
        <v>2020</v>
      </c>
      <c r="E548" s="199" t="s">
        <v>153</v>
      </c>
      <c r="F548" s="199" t="s">
        <v>151</v>
      </c>
      <c r="G548" s="223">
        <v>0</v>
      </c>
      <c r="H548" s="199" t="s">
        <v>276</v>
      </c>
    </row>
    <row r="549" spans="1:8">
      <c r="A549" s="218">
        <v>44196</v>
      </c>
      <c r="B549" s="199" t="s">
        <v>31</v>
      </c>
      <c r="C549" s="199" t="s">
        <v>8</v>
      </c>
      <c r="D549" s="199">
        <v>2020</v>
      </c>
      <c r="E549" s="199" t="s">
        <v>153</v>
      </c>
      <c r="F549" s="199" t="s">
        <v>151</v>
      </c>
      <c r="G549" s="223">
        <v>0</v>
      </c>
      <c r="H549" s="199" t="s">
        <v>276</v>
      </c>
    </row>
    <row r="550" spans="1:8">
      <c r="A550" s="218">
        <v>44196</v>
      </c>
      <c r="B550" s="199" t="s">
        <v>36</v>
      </c>
      <c r="C550" s="199" t="s">
        <v>8</v>
      </c>
      <c r="D550" s="199">
        <v>2020</v>
      </c>
      <c r="E550" s="199" t="s">
        <v>153</v>
      </c>
      <c r="F550" s="199" t="s">
        <v>151</v>
      </c>
      <c r="G550" s="223">
        <v>0</v>
      </c>
      <c r="H550" s="199" t="s">
        <v>276</v>
      </c>
    </row>
    <row r="551" spans="1:8">
      <c r="A551" s="218">
        <v>44196</v>
      </c>
      <c r="B551" s="199" t="s">
        <v>37</v>
      </c>
      <c r="C551" s="199" t="s">
        <v>8</v>
      </c>
      <c r="D551" s="199">
        <v>2020</v>
      </c>
      <c r="E551" s="199" t="s">
        <v>153</v>
      </c>
      <c r="F551" s="199" t="s">
        <v>151</v>
      </c>
      <c r="G551" s="223">
        <v>0</v>
      </c>
      <c r="H551" s="199" t="s">
        <v>276</v>
      </c>
    </row>
    <row r="552" spans="1:8">
      <c r="A552" s="218">
        <v>44196</v>
      </c>
      <c r="B552" s="199" t="s">
        <v>35</v>
      </c>
      <c r="C552" s="199" t="s">
        <v>8</v>
      </c>
      <c r="D552" s="199">
        <v>2019</v>
      </c>
      <c r="E552" s="199" t="s">
        <v>153</v>
      </c>
      <c r="F552" s="199" t="s">
        <v>151</v>
      </c>
      <c r="G552" s="223">
        <v>0</v>
      </c>
      <c r="H552" s="199" t="s">
        <v>276</v>
      </c>
    </row>
    <row r="553" spans="1:8">
      <c r="A553" s="218">
        <v>44196</v>
      </c>
      <c r="B553" s="199" t="s">
        <v>35</v>
      </c>
      <c r="C553" s="199" t="s">
        <v>8</v>
      </c>
      <c r="D553" s="199">
        <v>2020</v>
      </c>
      <c r="E553" s="199" t="s">
        <v>153</v>
      </c>
      <c r="F553" s="199" t="s">
        <v>151</v>
      </c>
      <c r="G553" s="223">
        <v>0</v>
      </c>
      <c r="H553" s="199" t="s">
        <v>276</v>
      </c>
    </row>
    <row r="554" spans="1:8">
      <c r="A554" s="218">
        <v>44196</v>
      </c>
      <c r="B554" s="199" t="s">
        <v>31</v>
      </c>
      <c r="C554" s="199" t="s">
        <v>8</v>
      </c>
      <c r="D554" s="199">
        <v>2019</v>
      </c>
      <c r="E554" s="199" t="s">
        <v>154</v>
      </c>
      <c r="F554" s="199" t="s">
        <v>151</v>
      </c>
      <c r="G554" s="223">
        <v>0</v>
      </c>
      <c r="H554" s="199" t="s">
        <v>276</v>
      </c>
    </row>
    <row r="555" spans="1:8">
      <c r="A555" s="218">
        <v>44196</v>
      </c>
      <c r="B555" s="199" t="s">
        <v>29</v>
      </c>
      <c r="C555" s="199" t="s">
        <v>8</v>
      </c>
      <c r="D555" s="199">
        <v>2019</v>
      </c>
      <c r="E555" s="199" t="s">
        <v>154</v>
      </c>
      <c r="F555" s="199" t="s">
        <v>151</v>
      </c>
      <c r="G555" s="223">
        <v>0</v>
      </c>
      <c r="H555" s="199" t="s">
        <v>276</v>
      </c>
    </row>
    <row r="556" spans="1:8">
      <c r="A556" s="218">
        <v>44196</v>
      </c>
      <c r="B556" s="199" t="s">
        <v>37</v>
      </c>
      <c r="C556" s="199" t="s">
        <v>8</v>
      </c>
      <c r="D556" s="199">
        <v>2019</v>
      </c>
      <c r="E556" s="199" t="s">
        <v>154</v>
      </c>
      <c r="F556" s="199" t="s">
        <v>151</v>
      </c>
      <c r="G556" s="223">
        <v>0</v>
      </c>
      <c r="H556" s="199" t="s">
        <v>276</v>
      </c>
    </row>
    <row r="557" spans="1:8">
      <c r="A557" s="218">
        <v>44196</v>
      </c>
      <c r="B557" s="199" t="s">
        <v>36</v>
      </c>
      <c r="C557" s="199" t="s">
        <v>8</v>
      </c>
      <c r="D557" s="199">
        <v>2019</v>
      </c>
      <c r="E557" s="199" t="s">
        <v>154</v>
      </c>
      <c r="F557" s="199" t="s">
        <v>151</v>
      </c>
      <c r="G557" s="223">
        <v>0</v>
      </c>
      <c r="H557" s="199" t="s">
        <v>276</v>
      </c>
    </row>
    <row r="558" spans="1:8">
      <c r="A558" s="218">
        <v>44196</v>
      </c>
      <c r="B558" s="199" t="s">
        <v>35</v>
      </c>
      <c r="C558" s="199" t="s">
        <v>8</v>
      </c>
      <c r="D558" s="199">
        <v>2019</v>
      </c>
      <c r="E558" s="199" t="s">
        <v>154</v>
      </c>
      <c r="F558" s="199" t="s">
        <v>151</v>
      </c>
      <c r="G558" s="223">
        <v>0</v>
      </c>
      <c r="H558" s="199" t="s">
        <v>276</v>
      </c>
    </row>
    <row r="559" spans="1:8">
      <c r="A559" s="218">
        <v>44196</v>
      </c>
      <c r="B559" s="199" t="s">
        <v>39</v>
      </c>
      <c r="C559" s="199" t="s">
        <v>8</v>
      </c>
      <c r="D559" s="199">
        <v>2019</v>
      </c>
      <c r="E559" s="199" t="s">
        <v>154</v>
      </c>
      <c r="F559" s="199" t="s">
        <v>151</v>
      </c>
      <c r="G559" s="223">
        <v>0</v>
      </c>
      <c r="H559" s="199" t="s">
        <v>276</v>
      </c>
    </row>
    <row r="560" spans="1:8">
      <c r="A560" s="218">
        <v>44196</v>
      </c>
      <c r="B560" s="199" t="s">
        <v>43</v>
      </c>
      <c r="C560" s="199" t="s">
        <v>8</v>
      </c>
      <c r="D560" s="199">
        <v>2019</v>
      </c>
      <c r="E560" s="199" t="s">
        <v>154</v>
      </c>
      <c r="F560" s="199" t="s">
        <v>151</v>
      </c>
      <c r="G560" s="223">
        <v>0</v>
      </c>
      <c r="H560" s="199" t="s">
        <v>276</v>
      </c>
    </row>
    <row r="561" spans="1:8">
      <c r="A561" s="218">
        <v>44196</v>
      </c>
      <c r="B561" s="199" t="s">
        <v>41</v>
      </c>
      <c r="C561" s="199" t="s">
        <v>8</v>
      </c>
      <c r="D561" s="199">
        <v>2019</v>
      </c>
      <c r="E561" s="199" t="s">
        <v>154</v>
      </c>
      <c r="F561" s="199" t="s">
        <v>151</v>
      </c>
      <c r="G561" s="223">
        <v>0</v>
      </c>
      <c r="H561" s="199" t="s">
        <v>276</v>
      </c>
    </row>
    <row r="562" spans="1:8">
      <c r="A562" s="218">
        <v>44196</v>
      </c>
      <c r="B562" s="199" t="s">
        <v>45</v>
      </c>
      <c r="C562" s="199" t="s">
        <v>8</v>
      </c>
      <c r="D562" s="199">
        <v>2019</v>
      </c>
      <c r="E562" s="199" t="s">
        <v>154</v>
      </c>
      <c r="F562" s="199" t="s">
        <v>151</v>
      </c>
      <c r="G562" s="223">
        <v>0</v>
      </c>
      <c r="H562" s="199" t="s">
        <v>276</v>
      </c>
    </row>
    <row r="563" spans="1:8">
      <c r="A563" s="218">
        <v>44196</v>
      </c>
      <c r="B563" s="199" t="s">
        <v>47</v>
      </c>
      <c r="C563" s="199" t="s">
        <v>8</v>
      </c>
      <c r="D563" s="199">
        <v>2019</v>
      </c>
      <c r="E563" s="199" t="s">
        <v>154</v>
      </c>
      <c r="F563" s="199" t="s">
        <v>151</v>
      </c>
      <c r="G563" s="223">
        <v>0</v>
      </c>
      <c r="H563" s="199" t="s">
        <v>276</v>
      </c>
    </row>
    <row r="564" spans="1:8">
      <c r="A564" s="218">
        <v>44196</v>
      </c>
      <c r="B564" s="199" t="s">
        <v>33</v>
      </c>
      <c r="C564" s="199" t="s">
        <v>8</v>
      </c>
      <c r="D564" s="199">
        <v>2019</v>
      </c>
      <c r="E564" s="199" t="s">
        <v>154</v>
      </c>
      <c r="F564" s="199" t="s">
        <v>151</v>
      </c>
      <c r="G564" s="223">
        <v>0</v>
      </c>
      <c r="H564" s="199" t="s">
        <v>276</v>
      </c>
    </row>
    <row r="565" spans="1:8">
      <c r="A565" s="218">
        <v>44196</v>
      </c>
      <c r="B565" s="199" t="s">
        <v>42</v>
      </c>
      <c r="C565" s="199" t="s">
        <v>8</v>
      </c>
      <c r="D565" s="199">
        <v>2019</v>
      </c>
      <c r="E565" s="199" t="s">
        <v>154</v>
      </c>
      <c r="F565" s="199" t="s">
        <v>151</v>
      </c>
      <c r="G565" s="223">
        <v>0</v>
      </c>
      <c r="H565" s="199" t="s">
        <v>276</v>
      </c>
    </row>
    <row r="566" spans="1:8">
      <c r="A566" s="218">
        <v>44196</v>
      </c>
      <c r="B566" s="199" t="s">
        <v>29</v>
      </c>
      <c r="C566" s="199" t="s">
        <v>8</v>
      </c>
      <c r="D566" s="199">
        <v>2020</v>
      </c>
      <c r="E566" s="199" t="s">
        <v>154</v>
      </c>
      <c r="F566" s="199" t="s">
        <v>151</v>
      </c>
      <c r="G566" s="223">
        <v>0</v>
      </c>
      <c r="H566" s="199" t="s">
        <v>276</v>
      </c>
    </row>
    <row r="567" spans="1:8">
      <c r="A567" s="218">
        <v>44196</v>
      </c>
      <c r="B567" s="199" t="s">
        <v>36</v>
      </c>
      <c r="C567" s="199" t="s">
        <v>8</v>
      </c>
      <c r="D567" s="199">
        <v>2020</v>
      </c>
      <c r="E567" s="199" t="s">
        <v>154</v>
      </c>
      <c r="F567" s="199" t="s">
        <v>151</v>
      </c>
      <c r="G567" s="223">
        <v>0</v>
      </c>
      <c r="H567" s="199" t="s">
        <v>276</v>
      </c>
    </row>
    <row r="568" spans="1:8">
      <c r="A568" s="218">
        <v>44196</v>
      </c>
      <c r="B568" s="199" t="s">
        <v>31</v>
      </c>
      <c r="C568" s="199" t="s">
        <v>8</v>
      </c>
      <c r="D568" s="199">
        <v>2020</v>
      </c>
      <c r="E568" s="199" t="s">
        <v>154</v>
      </c>
      <c r="F568" s="199" t="s">
        <v>151</v>
      </c>
      <c r="G568" s="223">
        <v>0</v>
      </c>
      <c r="H568" s="199" t="s">
        <v>276</v>
      </c>
    </row>
    <row r="569" spans="1:8">
      <c r="A569" s="218">
        <v>44196</v>
      </c>
      <c r="B569" s="199" t="s">
        <v>37</v>
      </c>
      <c r="C569" s="199" t="s">
        <v>8</v>
      </c>
      <c r="D569" s="199">
        <v>2020</v>
      </c>
      <c r="E569" s="199" t="s">
        <v>154</v>
      </c>
      <c r="F569" s="199" t="s">
        <v>151</v>
      </c>
      <c r="G569" s="223">
        <v>0</v>
      </c>
      <c r="H569" s="199" t="s">
        <v>276</v>
      </c>
    </row>
    <row r="570" spans="1:8">
      <c r="A570" s="218">
        <v>44196</v>
      </c>
      <c r="B570" s="199" t="s">
        <v>43</v>
      </c>
      <c r="C570" s="199" t="s">
        <v>8</v>
      </c>
      <c r="D570" s="199">
        <v>2020</v>
      </c>
      <c r="E570" s="199" t="s">
        <v>154</v>
      </c>
      <c r="F570" s="199" t="s">
        <v>151</v>
      </c>
      <c r="G570" s="223">
        <v>0</v>
      </c>
      <c r="H570" s="199" t="s">
        <v>276</v>
      </c>
    </row>
    <row r="571" spans="1:8">
      <c r="A571" s="218">
        <v>44196</v>
      </c>
      <c r="B571" s="199" t="s">
        <v>41</v>
      </c>
      <c r="C571" s="199" t="s">
        <v>8</v>
      </c>
      <c r="D571" s="199">
        <v>2020</v>
      </c>
      <c r="E571" s="199" t="s">
        <v>154</v>
      </c>
      <c r="F571" s="199" t="s">
        <v>151</v>
      </c>
      <c r="G571" s="223">
        <v>0</v>
      </c>
      <c r="H571" s="199" t="s">
        <v>276</v>
      </c>
    </row>
    <row r="572" spans="1:8">
      <c r="A572" s="218">
        <v>44196</v>
      </c>
      <c r="B572" s="199" t="s">
        <v>39</v>
      </c>
      <c r="C572" s="199" t="s">
        <v>8</v>
      </c>
      <c r="D572" s="199">
        <v>2020</v>
      </c>
      <c r="E572" s="199" t="s">
        <v>154</v>
      </c>
      <c r="F572" s="199" t="s">
        <v>151</v>
      </c>
      <c r="G572" s="223">
        <v>0</v>
      </c>
      <c r="H572" s="199" t="s">
        <v>276</v>
      </c>
    </row>
    <row r="573" spans="1:8">
      <c r="A573" s="218">
        <v>44196</v>
      </c>
      <c r="B573" s="199" t="s">
        <v>45</v>
      </c>
      <c r="C573" s="199" t="s">
        <v>8</v>
      </c>
      <c r="D573" s="199">
        <v>2020</v>
      </c>
      <c r="E573" s="199" t="s">
        <v>154</v>
      </c>
      <c r="F573" s="199" t="s">
        <v>151</v>
      </c>
      <c r="G573" s="223">
        <v>0</v>
      </c>
      <c r="H573" s="199" t="s">
        <v>276</v>
      </c>
    </row>
    <row r="574" spans="1:8">
      <c r="A574" s="218">
        <v>44196</v>
      </c>
      <c r="B574" s="199" t="s">
        <v>47</v>
      </c>
      <c r="C574" s="199" t="s">
        <v>8</v>
      </c>
      <c r="D574" s="199">
        <v>2020</v>
      </c>
      <c r="E574" s="199" t="s">
        <v>154</v>
      </c>
      <c r="F574" s="199" t="s">
        <v>151</v>
      </c>
      <c r="G574" s="223">
        <v>0</v>
      </c>
      <c r="H574" s="199" t="s">
        <v>276</v>
      </c>
    </row>
    <row r="575" spans="1:8">
      <c r="A575" s="218">
        <v>44196</v>
      </c>
      <c r="B575" s="199" t="s">
        <v>35</v>
      </c>
      <c r="C575" s="199" t="s">
        <v>8</v>
      </c>
      <c r="D575" s="199">
        <v>2020</v>
      </c>
      <c r="E575" s="199" t="s">
        <v>154</v>
      </c>
      <c r="F575" s="199" t="s">
        <v>151</v>
      </c>
      <c r="G575" s="223">
        <v>0</v>
      </c>
      <c r="H575" s="199" t="s">
        <v>276</v>
      </c>
    </row>
    <row r="576" spans="1:8">
      <c r="A576" s="218">
        <v>44196</v>
      </c>
      <c r="B576" s="199" t="s">
        <v>40</v>
      </c>
      <c r="C576" s="199" t="s">
        <v>8</v>
      </c>
      <c r="D576" s="199">
        <v>2020</v>
      </c>
      <c r="E576" s="199" t="s">
        <v>154</v>
      </c>
      <c r="F576" s="199" t="s">
        <v>151</v>
      </c>
      <c r="G576" s="223">
        <v>0</v>
      </c>
      <c r="H576" s="199" t="s">
        <v>276</v>
      </c>
    </row>
    <row r="577" spans="1:8">
      <c r="A577" s="218">
        <v>44196</v>
      </c>
      <c r="B577" s="199" t="s">
        <v>33</v>
      </c>
      <c r="C577" s="199" t="s">
        <v>8</v>
      </c>
      <c r="D577" s="199">
        <v>2020</v>
      </c>
      <c r="E577" s="199" t="s">
        <v>154</v>
      </c>
      <c r="F577" s="199" t="s">
        <v>151</v>
      </c>
      <c r="G577" s="223">
        <v>0</v>
      </c>
      <c r="H577" s="199" t="s">
        <v>276</v>
      </c>
    </row>
    <row r="578" spans="1:8">
      <c r="A578" s="218">
        <v>44196</v>
      </c>
      <c r="B578" s="199" t="s">
        <v>48</v>
      </c>
      <c r="C578" s="199" t="s">
        <v>8</v>
      </c>
      <c r="D578" s="199">
        <v>2020</v>
      </c>
      <c r="E578" s="199" t="s">
        <v>154</v>
      </c>
      <c r="F578" s="199" t="s">
        <v>151</v>
      </c>
      <c r="G578" s="223">
        <v>0</v>
      </c>
      <c r="H578" s="199" t="s">
        <v>276</v>
      </c>
    </row>
    <row r="579" spans="1:8">
      <c r="A579" s="218">
        <v>44196</v>
      </c>
      <c r="B579" s="199" t="s">
        <v>42</v>
      </c>
      <c r="C579" s="199" t="s">
        <v>8</v>
      </c>
      <c r="D579" s="199">
        <v>2020</v>
      </c>
      <c r="E579" s="199" t="s">
        <v>154</v>
      </c>
      <c r="F579" s="199" t="s">
        <v>151</v>
      </c>
      <c r="G579" s="223">
        <v>0</v>
      </c>
      <c r="H579" s="199" t="s">
        <v>276</v>
      </c>
    </row>
    <row r="580" spans="1:8">
      <c r="A580" s="218">
        <v>44196</v>
      </c>
      <c r="B580" s="199" t="s">
        <v>44</v>
      </c>
      <c r="C580" s="199" t="s">
        <v>8</v>
      </c>
      <c r="D580" s="199">
        <v>2019</v>
      </c>
      <c r="E580" s="199" t="s">
        <v>154</v>
      </c>
      <c r="F580" s="199" t="s">
        <v>151</v>
      </c>
      <c r="G580" s="223">
        <v>0</v>
      </c>
      <c r="H580" s="199" t="s">
        <v>276</v>
      </c>
    </row>
    <row r="581" spans="1:8">
      <c r="A581" s="218">
        <v>44196</v>
      </c>
      <c r="B581" s="199" t="s">
        <v>44</v>
      </c>
      <c r="C581" s="199" t="s">
        <v>8</v>
      </c>
      <c r="D581" s="199">
        <v>2020</v>
      </c>
      <c r="E581" s="199" t="s">
        <v>154</v>
      </c>
      <c r="F581" s="199" t="s">
        <v>151</v>
      </c>
      <c r="G581" s="223">
        <v>0</v>
      </c>
      <c r="H581" s="199" t="s">
        <v>276</v>
      </c>
    </row>
    <row r="582" spans="1:8">
      <c r="A582" s="218">
        <v>44196</v>
      </c>
      <c r="B582" s="199" t="s">
        <v>46</v>
      </c>
      <c r="C582" s="199" t="s">
        <v>8</v>
      </c>
      <c r="D582" s="199">
        <v>2020</v>
      </c>
      <c r="E582" s="199" t="s">
        <v>154</v>
      </c>
      <c r="F582" s="199" t="s">
        <v>151</v>
      </c>
      <c r="G582" s="223">
        <v>0</v>
      </c>
      <c r="H582" s="199" t="s">
        <v>276</v>
      </c>
    </row>
    <row r="583" spans="1:8">
      <c r="A583" s="218">
        <v>44196</v>
      </c>
      <c r="B583" s="199" t="s">
        <v>31</v>
      </c>
      <c r="C583" s="199" t="s">
        <v>8</v>
      </c>
      <c r="D583" s="199">
        <v>2019</v>
      </c>
      <c r="E583" s="199" t="s">
        <v>155</v>
      </c>
      <c r="F583" s="199" t="s">
        <v>151</v>
      </c>
      <c r="G583" s="223">
        <v>0</v>
      </c>
      <c r="H583" s="199" t="s">
        <v>276</v>
      </c>
    </row>
    <row r="584" spans="1:8">
      <c r="A584" s="218">
        <v>44196</v>
      </c>
      <c r="B584" s="199" t="s">
        <v>36</v>
      </c>
      <c r="C584" s="199" t="s">
        <v>8</v>
      </c>
      <c r="D584" s="199">
        <v>2019</v>
      </c>
      <c r="E584" s="199" t="s">
        <v>155</v>
      </c>
      <c r="F584" s="199" t="s">
        <v>151</v>
      </c>
      <c r="G584" s="223">
        <v>0</v>
      </c>
      <c r="H584" s="199" t="s">
        <v>276</v>
      </c>
    </row>
    <row r="585" spans="1:8">
      <c r="A585" s="218">
        <v>44196</v>
      </c>
      <c r="B585" s="199" t="s">
        <v>29</v>
      </c>
      <c r="C585" s="199" t="s">
        <v>8</v>
      </c>
      <c r="D585" s="199">
        <v>2019</v>
      </c>
      <c r="E585" s="199" t="s">
        <v>155</v>
      </c>
      <c r="F585" s="199" t="s">
        <v>151</v>
      </c>
      <c r="G585" s="223">
        <v>0</v>
      </c>
      <c r="H585" s="199" t="s">
        <v>276</v>
      </c>
    </row>
    <row r="586" spans="1:8">
      <c r="A586" s="218">
        <v>44196</v>
      </c>
      <c r="B586" s="199" t="s">
        <v>37</v>
      </c>
      <c r="C586" s="199" t="s">
        <v>8</v>
      </c>
      <c r="D586" s="199">
        <v>2019</v>
      </c>
      <c r="E586" s="199" t="s">
        <v>155</v>
      </c>
      <c r="F586" s="199" t="s">
        <v>151</v>
      </c>
      <c r="G586" s="223">
        <v>0</v>
      </c>
      <c r="H586" s="199" t="s">
        <v>276</v>
      </c>
    </row>
    <row r="587" spans="1:8">
      <c r="A587" s="218">
        <v>44196</v>
      </c>
      <c r="B587" s="199" t="s">
        <v>39</v>
      </c>
      <c r="C587" s="199" t="s">
        <v>8</v>
      </c>
      <c r="D587" s="199">
        <v>2019</v>
      </c>
      <c r="E587" s="199" t="s">
        <v>155</v>
      </c>
      <c r="F587" s="199" t="s">
        <v>151</v>
      </c>
      <c r="G587" s="223">
        <v>0</v>
      </c>
      <c r="H587" s="199" t="s">
        <v>276</v>
      </c>
    </row>
    <row r="588" spans="1:8">
      <c r="A588" s="218">
        <v>44196</v>
      </c>
      <c r="B588" s="199" t="s">
        <v>43</v>
      </c>
      <c r="C588" s="199" t="s">
        <v>8</v>
      </c>
      <c r="D588" s="199">
        <v>2019</v>
      </c>
      <c r="E588" s="199" t="s">
        <v>155</v>
      </c>
      <c r="F588" s="199" t="s">
        <v>151</v>
      </c>
      <c r="G588" s="223">
        <v>0</v>
      </c>
      <c r="H588" s="199" t="s">
        <v>276</v>
      </c>
    </row>
    <row r="589" spans="1:8">
      <c r="A589" s="218">
        <v>44196</v>
      </c>
      <c r="B589" s="199" t="s">
        <v>45</v>
      </c>
      <c r="C589" s="199" t="s">
        <v>8</v>
      </c>
      <c r="D589" s="199">
        <v>2019</v>
      </c>
      <c r="E589" s="199" t="s">
        <v>155</v>
      </c>
      <c r="F589" s="199" t="s">
        <v>151</v>
      </c>
      <c r="G589" s="223">
        <v>0</v>
      </c>
      <c r="H589" s="199" t="s">
        <v>276</v>
      </c>
    </row>
    <row r="590" spans="1:8">
      <c r="A590" s="218">
        <v>44196</v>
      </c>
      <c r="B590" s="199" t="s">
        <v>47</v>
      </c>
      <c r="C590" s="199" t="s">
        <v>8</v>
      </c>
      <c r="D590" s="199">
        <v>2019</v>
      </c>
      <c r="E590" s="199" t="s">
        <v>155</v>
      </c>
      <c r="F590" s="199" t="s">
        <v>151</v>
      </c>
      <c r="G590" s="223">
        <v>0</v>
      </c>
      <c r="H590" s="199" t="s">
        <v>276</v>
      </c>
    </row>
    <row r="591" spans="1:8">
      <c r="A591" s="218">
        <v>44196</v>
      </c>
      <c r="B591" s="199" t="s">
        <v>41</v>
      </c>
      <c r="C591" s="199" t="s">
        <v>8</v>
      </c>
      <c r="D591" s="199">
        <v>2019</v>
      </c>
      <c r="E591" s="199" t="s">
        <v>155</v>
      </c>
      <c r="F591" s="199" t="s">
        <v>151</v>
      </c>
      <c r="G591" s="223">
        <v>0</v>
      </c>
      <c r="H591" s="199" t="s">
        <v>276</v>
      </c>
    </row>
    <row r="592" spans="1:8">
      <c r="A592" s="218">
        <v>44196</v>
      </c>
      <c r="B592" s="199" t="s">
        <v>33</v>
      </c>
      <c r="C592" s="199" t="s">
        <v>8</v>
      </c>
      <c r="D592" s="199">
        <v>2019</v>
      </c>
      <c r="E592" s="199" t="s">
        <v>155</v>
      </c>
      <c r="F592" s="199" t="s">
        <v>151</v>
      </c>
      <c r="G592" s="223">
        <v>0</v>
      </c>
      <c r="H592" s="199" t="s">
        <v>276</v>
      </c>
    </row>
    <row r="593" spans="1:8">
      <c r="A593" s="218">
        <v>44196</v>
      </c>
      <c r="B593" s="199" t="s">
        <v>35</v>
      </c>
      <c r="C593" s="199" t="s">
        <v>8</v>
      </c>
      <c r="D593" s="199">
        <v>2019</v>
      </c>
      <c r="E593" s="199" t="s">
        <v>155</v>
      </c>
      <c r="F593" s="199" t="s">
        <v>151</v>
      </c>
      <c r="G593" s="223">
        <v>0</v>
      </c>
      <c r="H593" s="199" t="s">
        <v>276</v>
      </c>
    </row>
    <row r="594" spans="1:8">
      <c r="A594" s="218">
        <v>44196</v>
      </c>
      <c r="B594" s="199" t="s">
        <v>42</v>
      </c>
      <c r="C594" s="199" t="s">
        <v>8</v>
      </c>
      <c r="D594" s="199">
        <v>2019</v>
      </c>
      <c r="E594" s="199" t="s">
        <v>155</v>
      </c>
      <c r="F594" s="199" t="s">
        <v>151</v>
      </c>
      <c r="G594" s="223">
        <v>0</v>
      </c>
      <c r="H594" s="199" t="s">
        <v>276</v>
      </c>
    </row>
    <row r="595" spans="1:8">
      <c r="A595" s="218">
        <v>44196</v>
      </c>
      <c r="B595" s="199" t="s">
        <v>31</v>
      </c>
      <c r="C595" s="199" t="s">
        <v>8</v>
      </c>
      <c r="D595" s="199">
        <v>2020</v>
      </c>
      <c r="E595" s="199" t="s">
        <v>155</v>
      </c>
      <c r="F595" s="199" t="s">
        <v>151</v>
      </c>
      <c r="G595" s="223">
        <v>0</v>
      </c>
      <c r="H595" s="199" t="s">
        <v>276</v>
      </c>
    </row>
    <row r="596" spans="1:8">
      <c r="A596" s="218">
        <v>44196</v>
      </c>
      <c r="B596" s="199" t="s">
        <v>29</v>
      </c>
      <c r="C596" s="199" t="s">
        <v>8</v>
      </c>
      <c r="D596" s="199">
        <v>2020</v>
      </c>
      <c r="E596" s="199" t="s">
        <v>155</v>
      </c>
      <c r="F596" s="199" t="s">
        <v>151</v>
      </c>
      <c r="G596" s="223">
        <v>0</v>
      </c>
      <c r="H596" s="199" t="s">
        <v>276</v>
      </c>
    </row>
    <row r="597" spans="1:8">
      <c r="A597" s="218">
        <v>44196</v>
      </c>
      <c r="B597" s="199" t="s">
        <v>37</v>
      </c>
      <c r="C597" s="199" t="s">
        <v>8</v>
      </c>
      <c r="D597" s="199">
        <v>2020</v>
      </c>
      <c r="E597" s="199" t="s">
        <v>155</v>
      </c>
      <c r="F597" s="199" t="s">
        <v>151</v>
      </c>
      <c r="G597" s="223">
        <v>0</v>
      </c>
      <c r="H597" s="199" t="s">
        <v>276</v>
      </c>
    </row>
    <row r="598" spans="1:8">
      <c r="A598" s="218">
        <v>44196</v>
      </c>
      <c r="B598" s="199" t="s">
        <v>36</v>
      </c>
      <c r="C598" s="199" t="s">
        <v>8</v>
      </c>
      <c r="D598" s="199">
        <v>2020</v>
      </c>
      <c r="E598" s="199" t="s">
        <v>155</v>
      </c>
      <c r="F598" s="199" t="s">
        <v>151</v>
      </c>
      <c r="G598" s="223">
        <v>0</v>
      </c>
      <c r="H598" s="199" t="s">
        <v>276</v>
      </c>
    </row>
    <row r="599" spans="1:8">
      <c r="A599" s="218">
        <v>44196</v>
      </c>
      <c r="B599" s="199" t="s">
        <v>35</v>
      </c>
      <c r="C599" s="199" t="s">
        <v>8</v>
      </c>
      <c r="D599" s="199">
        <v>2020</v>
      </c>
      <c r="E599" s="199" t="s">
        <v>155</v>
      </c>
      <c r="F599" s="199" t="s">
        <v>151</v>
      </c>
      <c r="G599" s="223">
        <v>0</v>
      </c>
      <c r="H599" s="199" t="s">
        <v>276</v>
      </c>
    </row>
    <row r="600" spans="1:8">
      <c r="A600" s="218">
        <v>44196</v>
      </c>
      <c r="B600" s="199" t="s">
        <v>43</v>
      </c>
      <c r="C600" s="199" t="s">
        <v>8</v>
      </c>
      <c r="D600" s="199">
        <v>2020</v>
      </c>
      <c r="E600" s="199" t="s">
        <v>155</v>
      </c>
      <c r="F600" s="199" t="s">
        <v>151</v>
      </c>
      <c r="G600" s="223">
        <v>0</v>
      </c>
      <c r="H600" s="199" t="s">
        <v>276</v>
      </c>
    </row>
    <row r="601" spans="1:8">
      <c r="A601" s="218">
        <v>44196</v>
      </c>
      <c r="B601" s="199" t="s">
        <v>45</v>
      </c>
      <c r="C601" s="199" t="s">
        <v>8</v>
      </c>
      <c r="D601" s="199">
        <v>2020</v>
      </c>
      <c r="E601" s="199" t="s">
        <v>155</v>
      </c>
      <c r="F601" s="199" t="s">
        <v>151</v>
      </c>
      <c r="G601" s="223">
        <v>0</v>
      </c>
      <c r="H601" s="199" t="s">
        <v>276</v>
      </c>
    </row>
    <row r="602" spans="1:8">
      <c r="A602" s="218">
        <v>44196</v>
      </c>
      <c r="B602" s="199" t="s">
        <v>48</v>
      </c>
      <c r="C602" s="199" t="s">
        <v>8</v>
      </c>
      <c r="D602" s="199">
        <v>2020</v>
      </c>
      <c r="E602" s="199" t="s">
        <v>155</v>
      </c>
      <c r="F602" s="199" t="s">
        <v>151</v>
      </c>
      <c r="G602" s="223">
        <v>0</v>
      </c>
      <c r="H602" s="199" t="s">
        <v>276</v>
      </c>
    </row>
    <row r="603" spans="1:8">
      <c r="A603" s="218">
        <v>44196</v>
      </c>
      <c r="B603" s="199" t="s">
        <v>41</v>
      </c>
      <c r="C603" s="199" t="s">
        <v>8</v>
      </c>
      <c r="D603" s="199">
        <v>2020</v>
      </c>
      <c r="E603" s="199" t="s">
        <v>155</v>
      </c>
      <c r="F603" s="199" t="s">
        <v>151</v>
      </c>
      <c r="G603" s="223">
        <v>0</v>
      </c>
      <c r="H603" s="199" t="s">
        <v>276</v>
      </c>
    </row>
    <row r="604" spans="1:8">
      <c r="A604" s="218">
        <v>44196</v>
      </c>
      <c r="B604" s="199" t="s">
        <v>39</v>
      </c>
      <c r="C604" s="199" t="s">
        <v>8</v>
      </c>
      <c r="D604" s="199">
        <v>2020</v>
      </c>
      <c r="E604" s="199" t="s">
        <v>155</v>
      </c>
      <c r="F604" s="199" t="s">
        <v>151</v>
      </c>
      <c r="G604" s="223">
        <v>0</v>
      </c>
      <c r="H604" s="199" t="s">
        <v>276</v>
      </c>
    </row>
    <row r="605" spans="1:8">
      <c r="A605" s="218">
        <v>44196</v>
      </c>
      <c r="B605" s="199" t="s">
        <v>47</v>
      </c>
      <c r="C605" s="199" t="s">
        <v>8</v>
      </c>
      <c r="D605" s="199">
        <v>2020</v>
      </c>
      <c r="E605" s="199" t="s">
        <v>155</v>
      </c>
      <c r="F605" s="199" t="s">
        <v>151</v>
      </c>
      <c r="G605" s="223">
        <v>0</v>
      </c>
      <c r="H605" s="199" t="s">
        <v>276</v>
      </c>
    </row>
    <row r="606" spans="1:8">
      <c r="A606" s="218">
        <v>44196</v>
      </c>
      <c r="B606" s="199" t="s">
        <v>46</v>
      </c>
      <c r="C606" s="199" t="s">
        <v>8</v>
      </c>
      <c r="D606" s="199">
        <v>2020</v>
      </c>
      <c r="E606" s="199" t="s">
        <v>155</v>
      </c>
      <c r="F606" s="199" t="s">
        <v>151</v>
      </c>
      <c r="G606" s="223">
        <v>0</v>
      </c>
      <c r="H606" s="199" t="s">
        <v>276</v>
      </c>
    </row>
    <row r="607" spans="1:8">
      <c r="A607" s="218">
        <v>44196</v>
      </c>
      <c r="B607" s="199" t="s">
        <v>33</v>
      </c>
      <c r="C607" s="199" t="s">
        <v>8</v>
      </c>
      <c r="D607" s="199">
        <v>2020</v>
      </c>
      <c r="E607" s="199" t="s">
        <v>155</v>
      </c>
      <c r="F607" s="199" t="s">
        <v>151</v>
      </c>
      <c r="G607" s="223">
        <v>0</v>
      </c>
      <c r="H607" s="199" t="s">
        <v>276</v>
      </c>
    </row>
    <row r="608" spans="1:8">
      <c r="A608" s="218">
        <v>44196</v>
      </c>
      <c r="B608" s="199" t="s">
        <v>42</v>
      </c>
      <c r="C608" s="199" t="s">
        <v>8</v>
      </c>
      <c r="D608" s="199">
        <v>2020</v>
      </c>
      <c r="E608" s="199" t="s">
        <v>155</v>
      </c>
      <c r="F608" s="199" t="s">
        <v>151</v>
      </c>
      <c r="G608" s="223">
        <v>0</v>
      </c>
      <c r="H608" s="199" t="s">
        <v>276</v>
      </c>
    </row>
    <row r="609" spans="1:8">
      <c r="A609" s="218">
        <v>44196</v>
      </c>
      <c r="B609" s="199" t="s">
        <v>44</v>
      </c>
      <c r="C609" s="199" t="s">
        <v>8</v>
      </c>
      <c r="D609" s="199">
        <v>2019</v>
      </c>
      <c r="E609" s="199" t="s">
        <v>155</v>
      </c>
      <c r="F609" s="199" t="s">
        <v>151</v>
      </c>
      <c r="G609" s="223">
        <v>0</v>
      </c>
      <c r="H609" s="199" t="s">
        <v>276</v>
      </c>
    </row>
    <row r="610" spans="1:8">
      <c r="A610" s="218">
        <v>44196</v>
      </c>
      <c r="B610" s="199" t="s">
        <v>46</v>
      </c>
      <c r="C610" s="199" t="s">
        <v>8</v>
      </c>
      <c r="D610" s="199">
        <v>2019</v>
      </c>
      <c r="E610" s="199" t="s">
        <v>155</v>
      </c>
      <c r="F610" s="199" t="s">
        <v>151</v>
      </c>
      <c r="G610" s="223">
        <v>0</v>
      </c>
      <c r="H610" s="199" t="s">
        <v>276</v>
      </c>
    </row>
    <row r="611" spans="1:8">
      <c r="A611" s="218">
        <v>44196</v>
      </c>
      <c r="B611" s="199" t="s">
        <v>44</v>
      </c>
      <c r="C611" s="199" t="s">
        <v>8</v>
      </c>
      <c r="D611" s="199">
        <v>2020</v>
      </c>
      <c r="E611" s="199" t="s">
        <v>155</v>
      </c>
      <c r="F611" s="199" t="s">
        <v>151</v>
      </c>
      <c r="G611" s="223">
        <v>0</v>
      </c>
      <c r="H611" s="199" t="s">
        <v>276</v>
      </c>
    </row>
    <row r="612" spans="1:8">
      <c r="A612" s="218">
        <v>44196</v>
      </c>
      <c r="B612" s="199" t="s">
        <v>38</v>
      </c>
      <c r="C612" s="199" t="s">
        <v>8</v>
      </c>
      <c r="D612" s="199">
        <v>2020</v>
      </c>
      <c r="E612" s="199" t="s">
        <v>155</v>
      </c>
      <c r="F612" s="199" t="s">
        <v>151</v>
      </c>
      <c r="G612" s="223">
        <v>0</v>
      </c>
      <c r="H612" s="199" t="s">
        <v>276</v>
      </c>
    </row>
    <row r="613" spans="1:8">
      <c r="A613" s="218">
        <v>44196</v>
      </c>
      <c r="B613" s="199" t="s">
        <v>38</v>
      </c>
      <c r="C613" s="199" t="s">
        <v>8</v>
      </c>
      <c r="D613" s="199">
        <v>2019</v>
      </c>
      <c r="E613" s="199" t="s">
        <v>155</v>
      </c>
      <c r="F613" s="199" t="s">
        <v>151</v>
      </c>
      <c r="G613" s="223">
        <v>0</v>
      </c>
      <c r="H613" s="199" t="s">
        <v>276</v>
      </c>
    </row>
    <row r="614" spans="1:8">
      <c r="A614" s="218">
        <v>44196</v>
      </c>
      <c r="B614" s="199" t="s">
        <v>31</v>
      </c>
      <c r="C614" s="199" t="s">
        <v>8</v>
      </c>
      <c r="D614" s="199">
        <v>2019</v>
      </c>
      <c r="E614" s="199" t="s">
        <v>156</v>
      </c>
      <c r="F614" s="199" t="s">
        <v>151</v>
      </c>
      <c r="G614" s="223">
        <v>0</v>
      </c>
      <c r="H614" s="199" t="s">
        <v>276</v>
      </c>
    </row>
    <row r="615" spans="1:8">
      <c r="A615" s="218">
        <v>44196</v>
      </c>
      <c r="B615" s="199" t="s">
        <v>29</v>
      </c>
      <c r="C615" s="199" t="s">
        <v>8</v>
      </c>
      <c r="D615" s="199">
        <v>2019</v>
      </c>
      <c r="E615" s="199" t="s">
        <v>156</v>
      </c>
      <c r="F615" s="199" t="s">
        <v>151</v>
      </c>
      <c r="G615" s="223">
        <v>0</v>
      </c>
      <c r="H615" s="199" t="s">
        <v>276</v>
      </c>
    </row>
    <row r="616" spans="1:8">
      <c r="A616" s="218">
        <v>44196</v>
      </c>
      <c r="B616" s="199" t="s">
        <v>37</v>
      </c>
      <c r="C616" s="199" t="s">
        <v>8</v>
      </c>
      <c r="D616" s="199">
        <v>2019</v>
      </c>
      <c r="E616" s="199" t="s">
        <v>156</v>
      </c>
      <c r="F616" s="199" t="s">
        <v>151</v>
      </c>
      <c r="G616" s="223">
        <v>0</v>
      </c>
      <c r="H616" s="199" t="s">
        <v>276</v>
      </c>
    </row>
    <row r="617" spans="1:8">
      <c r="A617" s="218">
        <v>44196</v>
      </c>
      <c r="B617" s="199" t="s">
        <v>36</v>
      </c>
      <c r="C617" s="199" t="s">
        <v>8</v>
      </c>
      <c r="D617" s="199">
        <v>2019</v>
      </c>
      <c r="E617" s="199" t="s">
        <v>156</v>
      </c>
      <c r="F617" s="199" t="s">
        <v>151</v>
      </c>
      <c r="G617" s="223">
        <v>0</v>
      </c>
      <c r="H617" s="199" t="s">
        <v>276</v>
      </c>
    </row>
    <row r="618" spans="1:8">
      <c r="A618" s="218">
        <v>44196</v>
      </c>
      <c r="B618" s="199" t="s">
        <v>35</v>
      </c>
      <c r="C618" s="199" t="s">
        <v>8</v>
      </c>
      <c r="D618" s="199">
        <v>2019</v>
      </c>
      <c r="E618" s="199" t="s">
        <v>156</v>
      </c>
      <c r="F618" s="199" t="s">
        <v>151</v>
      </c>
      <c r="G618" s="223">
        <v>0</v>
      </c>
      <c r="H618" s="199" t="s">
        <v>276</v>
      </c>
    </row>
    <row r="619" spans="1:8">
      <c r="A619" s="218">
        <v>44196</v>
      </c>
      <c r="B619" s="199" t="s">
        <v>39</v>
      </c>
      <c r="C619" s="199" t="s">
        <v>8</v>
      </c>
      <c r="D619" s="199">
        <v>2019</v>
      </c>
      <c r="E619" s="199" t="s">
        <v>156</v>
      </c>
      <c r="F619" s="199" t="s">
        <v>151</v>
      </c>
      <c r="G619" s="223">
        <v>0</v>
      </c>
      <c r="H619" s="199" t="s">
        <v>276</v>
      </c>
    </row>
    <row r="620" spans="1:8">
      <c r="A620" s="218">
        <v>44196</v>
      </c>
      <c r="B620" s="199" t="s">
        <v>43</v>
      </c>
      <c r="C620" s="199" t="s">
        <v>8</v>
      </c>
      <c r="D620" s="199">
        <v>2019</v>
      </c>
      <c r="E620" s="199" t="s">
        <v>156</v>
      </c>
      <c r="F620" s="199" t="s">
        <v>151</v>
      </c>
      <c r="G620" s="223">
        <v>0</v>
      </c>
      <c r="H620" s="199" t="s">
        <v>276</v>
      </c>
    </row>
    <row r="621" spans="1:8">
      <c r="A621" s="218">
        <v>44196</v>
      </c>
      <c r="B621" s="199" t="s">
        <v>41</v>
      </c>
      <c r="C621" s="199" t="s">
        <v>8</v>
      </c>
      <c r="D621" s="199">
        <v>2019</v>
      </c>
      <c r="E621" s="199" t="s">
        <v>156</v>
      </c>
      <c r="F621" s="199" t="s">
        <v>151</v>
      </c>
      <c r="G621" s="223">
        <v>0</v>
      </c>
      <c r="H621" s="199" t="s">
        <v>276</v>
      </c>
    </row>
    <row r="622" spans="1:8">
      <c r="A622" s="218">
        <v>44196</v>
      </c>
      <c r="B622" s="199" t="s">
        <v>45</v>
      </c>
      <c r="C622" s="199" t="s">
        <v>8</v>
      </c>
      <c r="D622" s="199">
        <v>2019</v>
      </c>
      <c r="E622" s="199" t="s">
        <v>156</v>
      </c>
      <c r="F622" s="199" t="s">
        <v>151</v>
      </c>
      <c r="G622" s="223">
        <v>0</v>
      </c>
      <c r="H622" s="199" t="s">
        <v>276</v>
      </c>
    </row>
    <row r="623" spans="1:8">
      <c r="A623" s="218">
        <v>44196</v>
      </c>
      <c r="B623" s="199" t="s">
        <v>47</v>
      </c>
      <c r="C623" s="199" t="s">
        <v>8</v>
      </c>
      <c r="D623" s="199">
        <v>2019</v>
      </c>
      <c r="E623" s="199" t="s">
        <v>156</v>
      </c>
      <c r="F623" s="199" t="s">
        <v>151</v>
      </c>
      <c r="G623" s="223">
        <v>0</v>
      </c>
      <c r="H623" s="199" t="s">
        <v>276</v>
      </c>
    </row>
    <row r="624" spans="1:8">
      <c r="A624" s="218">
        <v>44196</v>
      </c>
      <c r="B624" s="199" t="s">
        <v>33</v>
      </c>
      <c r="C624" s="199" t="s">
        <v>8</v>
      </c>
      <c r="D624" s="199">
        <v>2019</v>
      </c>
      <c r="E624" s="199" t="s">
        <v>156</v>
      </c>
      <c r="F624" s="199" t="s">
        <v>151</v>
      </c>
      <c r="G624" s="223">
        <v>0</v>
      </c>
      <c r="H624" s="199" t="s">
        <v>276</v>
      </c>
    </row>
    <row r="625" spans="1:8">
      <c r="A625" s="218">
        <v>44196</v>
      </c>
      <c r="B625" s="199" t="s">
        <v>29</v>
      </c>
      <c r="C625" s="199" t="s">
        <v>8</v>
      </c>
      <c r="D625" s="199">
        <v>2020</v>
      </c>
      <c r="E625" s="199" t="s">
        <v>156</v>
      </c>
      <c r="F625" s="199" t="s">
        <v>151</v>
      </c>
      <c r="G625" s="223">
        <v>0</v>
      </c>
      <c r="H625" s="199" t="s">
        <v>276</v>
      </c>
    </row>
    <row r="626" spans="1:8">
      <c r="A626" s="218">
        <v>44196</v>
      </c>
      <c r="B626" s="199" t="s">
        <v>37</v>
      </c>
      <c r="C626" s="199" t="s">
        <v>8</v>
      </c>
      <c r="D626" s="199">
        <v>2020</v>
      </c>
      <c r="E626" s="199" t="s">
        <v>156</v>
      </c>
      <c r="F626" s="199" t="s">
        <v>151</v>
      </c>
      <c r="G626" s="223">
        <v>0</v>
      </c>
      <c r="H626" s="199" t="s">
        <v>276</v>
      </c>
    </row>
    <row r="627" spans="1:8">
      <c r="A627" s="218">
        <v>44196</v>
      </c>
      <c r="B627" s="199" t="s">
        <v>31</v>
      </c>
      <c r="C627" s="199" t="s">
        <v>8</v>
      </c>
      <c r="D627" s="199">
        <v>2020</v>
      </c>
      <c r="E627" s="199" t="s">
        <v>156</v>
      </c>
      <c r="F627" s="199" t="s">
        <v>151</v>
      </c>
      <c r="G627" s="223">
        <v>0</v>
      </c>
      <c r="H627" s="199" t="s">
        <v>276</v>
      </c>
    </row>
    <row r="628" spans="1:8">
      <c r="A628" s="218">
        <v>44196</v>
      </c>
      <c r="B628" s="199" t="s">
        <v>36</v>
      </c>
      <c r="C628" s="199" t="s">
        <v>8</v>
      </c>
      <c r="D628" s="199">
        <v>2020</v>
      </c>
      <c r="E628" s="199" t="s">
        <v>156</v>
      </c>
      <c r="F628" s="199" t="s">
        <v>151</v>
      </c>
      <c r="G628" s="223">
        <v>0</v>
      </c>
      <c r="H628" s="199" t="s">
        <v>276</v>
      </c>
    </row>
    <row r="629" spans="1:8">
      <c r="A629" s="218">
        <v>44196</v>
      </c>
      <c r="B629" s="199" t="s">
        <v>35</v>
      </c>
      <c r="C629" s="199" t="s">
        <v>8</v>
      </c>
      <c r="D629" s="199">
        <v>2020</v>
      </c>
      <c r="E629" s="199" t="s">
        <v>156</v>
      </c>
      <c r="F629" s="199" t="s">
        <v>151</v>
      </c>
      <c r="G629" s="223">
        <v>0</v>
      </c>
      <c r="H629" s="199" t="s">
        <v>276</v>
      </c>
    </row>
    <row r="630" spans="1:8">
      <c r="A630" s="218">
        <v>44196</v>
      </c>
      <c r="B630" s="199" t="s">
        <v>38</v>
      </c>
      <c r="C630" s="199" t="s">
        <v>8</v>
      </c>
      <c r="D630" s="199">
        <v>2019</v>
      </c>
      <c r="E630" s="199" t="s">
        <v>156</v>
      </c>
      <c r="F630" s="199" t="s">
        <v>151</v>
      </c>
      <c r="G630" s="223">
        <v>0</v>
      </c>
      <c r="H630" s="199" t="s">
        <v>276</v>
      </c>
    </row>
    <row r="631" spans="1:8">
      <c r="A631" s="218">
        <v>44196</v>
      </c>
      <c r="B631" s="199" t="s">
        <v>43</v>
      </c>
      <c r="C631" s="199" t="s">
        <v>8</v>
      </c>
      <c r="D631" s="199">
        <v>2020</v>
      </c>
      <c r="E631" s="199" t="s">
        <v>156</v>
      </c>
      <c r="F631" s="199" t="s">
        <v>151</v>
      </c>
      <c r="G631" s="223">
        <v>0</v>
      </c>
      <c r="H631" s="199" t="s">
        <v>276</v>
      </c>
    </row>
    <row r="632" spans="1:8">
      <c r="A632" s="218">
        <v>44196</v>
      </c>
      <c r="B632" s="199" t="s">
        <v>45</v>
      </c>
      <c r="C632" s="199" t="s">
        <v>8</v>
      </c>
      <c r="D632" s="199">
        <v>2020</v>
      </c>
      <c r="E632" s="199" t="s">
        <v>156</v>
      </c>
      <c r="F632" s="199" t="s">
        <v>151</v>
      </c>
      <c r="G632" s="223">
        <v>0</v>
      </c>
      <c r="H632" s="199" t="s">
        <v>276</v>
      </c>
    </row>
    <row r="633" spans="1:8">
      <c r="A633" s="218">
        <v>44196</v>
      </c>
      <c r="B633" s="199" t="s">
        <v>41</v>
      </c>
      <c r="C633" s="199" t="s">
        <v>8</v>
      </c>
      <c r="D633" s="199">
        <v>2020</v>
      </c>
      <c r="E633" s="199" t="s">
        <v>156</v>
      </c>
      <c r="F633" s="199" t="s">
        <v>151</v>
      </c>
      <c r="G633" s="223">
        <v>0</v>
      </c>
      <c r="H633" s="199" t="s">
        <v>276</v>
      </c>
    </row>
    <row r="634" spans="1:8">
      <c r="A634" s="218">
        <v>44196</v>
      </c>
      <c r="B634" s="199" t="s">
        <v>39</v>
      </c>
      <c r="C634" s="199" t="s">
        <v>8</v>
      </c>
      <c r="D634" s="199">
        <v>2020</v>
      </c>
      <c r="E634" s="199" t="s">
        <v>156</v>
      </c>
      <c r="F634" s="199" t="s">
        <v>151</v>
      </c>
      <c r="G634" s="223">
        <v>0</v>
      </c>
      <c r="H634" s="199" t="s">
        <v>276</v>
      </c>
    </row>
    <row r="635" spans="1:8">
      <c r="A635" s="218">
        <v>44196</v>
      </c>
      <c r="B635" s="199" t="s">
        <v>48</v>
      </c>
      <c r="C635" s="199" t="s">
        <v>8</v>
      </c>
      <c r="D635" s="199">
        <v>2020</v>
      </c>
      <c r="E635" s="199" t="s">
        <v>156</v>
      </c>
      <c r="F635" s="199" t="s">
        <v>151</v>
      </c>
      <c r="G635" s="223">
        <v>0</v>
      </c>
      <c r="H635" s="199" t="s">
        <v>276</v>
      </c>
    </row>
    <row r="636" spans="1:8">
      <c r="A636" s="218">
        <v>44196</v>
      </c>
      <c r="B636" s="199" t="s">
        <v>47</v>
      </c>
      <c r="C636" s="199" t="s">
        <v>8</v>
      </c>
      <c r="D636" s="199">
        <v>2020</v>
      </c>
      <c r="E636" s="199" t="s">
        <v>156</v>
      </c>
      <c r="F636" s="199" t="s">
        <v>151</v>
      </c>
      <c r="G636" s="223">
        <v>0</v>
      </c>
      <c r="H636" s="199" t="s">
        <v>276</v>
      </c>
    </row>
    <row r="637" spans="1:8">
      <c r="A637" s="218">
        <v>44196</v>
      </c>
      <c r="B637" s="199" t="s">
        <v>42</v>
      </c>
      <c r="C637" s="199" t="s">
        <v>8</v>
      </c>
      <c r="D637" s="199">
        <v>2020</v>
      </c>
      <c r="E637" s="199" t="s">
        <v>156</v>
      </c>
      <c r="F637" s="199" t="s">
        <v>151</v>
      </c>
      <c r="G637" s="223">
        <v>0</v>
      </c>
      <c r="H637" s="199" t="s">
        <v>276</v>
      </c>
    </row>
    <row r="638" spans="1:8">
      <c r="A638" s="218">
        <v>44196</v>
      </c>
      <c r="B638" s="199" t="s">
        <v>33</v>
      </c>
      <c r="C638" s="199" t="s">
        <v>8</v>
      </c>
      <c r="D638" s="199">
        <v>2020</v>
      </c>
      <c r="E638" s="199" t="s">
        <v>156</v>
      </c>
      <c r="F638" s="199" t="s">
        <v>151</v>
      </c>
      <c r="G638" s="223">
        <v>0</v>
      </c>
      <c r="H638" s="199" t="s">
        <v>276</v>
      </c>
    </row>
    <row r="639" spans="1:8">
      <c r="A639" s="218">
        <v>44196</v>
      </c>
      <c r="B639" s="199" t="s">
        <v>42</v>
      </c>
      <c r="C639" s="199" t="s">
        <v>8</v>
      </c>
      <c r="D639" s="199">
        <v>2019</v>
      </c>
      <c r="E639" s="199" t="s">
        <v>156</v>
      </c>
      <c r="F639" s="199" t="s">
        <v>151</v>
      </c>
      <c r="G639" s="223">
        <v>0</v>
      </c>
      <c r="H639" s="199" t="s">
        <v>276</v>
      </c>
    </row>
    <row r="640" spans="1:8">
      <c r="A640" s="218">
        <v>44196</v>
      </c>
      <c r="B640" s="199" t="s">
        <v>40</v>
      </c>
      <c r="C640" s="199" t="s">
        <v>8</v>
      </c>
      <c r="D640" s="199">
        <v>2019</v>
      </c>
      <c r="E640" s="199" t="s">
        <v>156</v>
      </c>
      <c r="F640" s="199" t="s">
        <v>151</v>
      </c>
      <c r="G640" s="223">
        <v>0</v>
      </c>
      <c r="H640" s="199" t="s">
        <v>276</v>
      </c>
    </row>
    <row r="641" spans="1:8">
      <c r="A641" s="218">
        <v>44196</v>
      </c>
      <c r="B641" s="199" t="s">
        <v>46</v>
      </c>
      <c r="C641" s="199" t="s">
        <v>8</v>
      </c>
      <c r="D641" s="199">
        <v>2020</v>
      </c>
      <c r="E641" s="199" t="s">
        <v>156</v>
      </c>
      <c r="F641" s="199" t="s">
        <v>151</v>
      </c>
      <c r="G641" s="223">
        <v>0</v>
      </c>
      <c r="H641" s="199" t="s">
        <v>276</v>
      </c>
    </row>
    <row r="642" spans="1:8">
      <c r="A642" s="218">
        <v>44196</v>
      </c>
      <c r="B642" s="199" t="s">
        <v>44</v>
      </c>
      <c r="C642" s="199" t="s">
        <v>8</v>
      </c>
      <c r="D642" s="199">
        <v>2019</v>
      </c>
      <c r="E642" s="199" t="s">
        <v>156</v>
      </c>
      <c r="F642" s="199" t="s">
        <v>151</v>
      </c>
      <c r="G642" s="223">
        <v>0</v>
      </c>
      <c r="H642" s="199" t="s">
        <v>276</v>
      </c>
    </row>
    <row r="643" spans="1:8">
      <c r="A643" s="218">
        <v>44196</v>
      </c>
      <c r="B643" s="199" t="s">
        <v>44</v>
      </c>
      <c r="C643" s="199" t="s">
        <v>8</v>
      </c>
      <c r="D643" s="199">
        <v>2020</v>
      </c>
      <c r="E643" s="199" t="s">
        <v>156</v>
      </c>
      <c r="F643" s="199" t="s">
        <v>151</v>
      </c>
      <c r="G643" s="223">
        <v>0</v>
      </c>
      <c r="H643" s="199" t="s">
        <v>276</v>
      </c>
    </row>
    <row r="644" spans="1:8">
      <c r="A644" s="218">
        <v>44196</v>
      </c>
      <c r="B644" s="199" t="s">
        <v>40</v>
      </c>
      <c r="C644" s="199" t="s">
        <v>8</v>
      </c>
      <c r="D644" s="199">
        <v>2020</v>
      </c>
      <c r="E644" s="199" t="s">
        <v>156</v>
      </c>
      <c r="F644" s="199" t="s">
        <v>151</v>
      </c>
      <c r="G644" s="223">
        <v>0</v>
      </c>
      <c r="H644" s="199" t="s">
        <v>276</v>
      </c>
    </row>
    <row r="645" spans="1:8">
      <c r="A645" s="218">
        <v>44196</v>
      </c>
      <c r="B645" s="199" t="s">
        <v>38</v>
      </c>
      <c r="C645" s="199" t="s">
        <v>8</v>
      </c>
      <c r="D645" s="199">
        <v>2020</v>
      </c>
      <c r="E645" s="199" t="s">
        <v>156</v>
      </c>
      <c r="F645" s="199" t="s">
        <v>151</v>
      </c>
      <c r="G645" s="223">
        <v>0</v>
      </c>
      <c r="H645" s="199" t="s">
        <v>276</v>
      </c>
    </row>
    <row r="646" spans="1:8">
      <c r="A646" s="218">
        <v>44196</v>
      </c>
      <c r="B646" s="199" t="s">
        <v>46</v>
      </c>
      <c r="C646" s="199" t="s">
        <v>8</v>
      </c>
      <c r="D646" s="199">
        <v>2019</v>
      </c>
      <c r="E646" s="199" t="s">
        <v>156</v>
      </c>
      <c r="F646" s="199" t="s">
        <v>151</v>
      </c>
      <c r="G646" s="223">
        <v>0</v>
      </c>
      <c r="H646" s="199" t="s">
        <v>276</v>
      </c>
    </row>
    <row r="647" spans="1:8">
      <c r="A647" s="218">
        <v>44196</v>
      </c>
      <c r="B647" s="199" t="s">
        <v>37</v>
      </c>
      <c r="C647" s="199" t="s">
        <v>8</v>
      </c>
      <c r="D647" s="199">
        <v>2019</v>
      </c>
      <c r="E647" s="199" t="s">
        <v>181</v>
      </c>
      <c r="F647" s="199" t="s">
        <v>151</v>
      </c>
      <c r="G647" s="223">
        <v>0</v>
      </c>
      <c r="H647" s="199" t="s">
        <v>276</v>
      </c>
    </row>
    <row r="648" spans="1:8">
      <c r="A648" s="218">
        <v>44196</v>
      </c>
      <c r="B648" s="199" t="s">
        <v>33</v>
      </c>
      <c r="C648" s="199" t="s">
        <v>8</v>
      </c>
      <c r="D648" s="199">
        <v>2020</v>
      </c>
      <c r="E648" s="199" t="s">
        <v>157</v>
      </c>
      <c r="F648" s="199" t="s">
        <v>151</v>
      </c>
      <c r="G648" s="223">
        <v>0</v>
      </c>
      <c r="H648" s="199" t="s">
        <v>276</v>
      </c>
    </row>
    <row r="649" spans="1:8">
      <c r="A649" s="218">
        <v>44196</v>
      </c>
      <c r="B649" s="199" t="s">
        <v>41</v>
      </c>
      <c r="C649" s="199" t="s">
        <v>8</v>
      </c>
      <c r="D649" s="199">
        <v>2019</v>
      </c>
      <c r="E649" s="199" t="s">
        <v>157</v>
      </c>
      <c r="F649" s="199" t="s">
        <v>151</v>
      </c>
      <c r="G649" s="223">
        <v>0</v>
      </c>
      <c r="H649" s="199" t="s">
        <v>276</v>
      </c>
    </row>
    <row r="650" spans="1:8">
      <c r="A650" s="218">
        <v>44196</v>
      </c>
      <c r="B650" s="199" t="s">
        <v>45</v>
      </c>
      <c r="C650" s="199" t="s">
        <v>8</v>
      </c>
      <c r="D650" s="199">
        <v>2020</v>
      </c>
      <c r="E650" s="199" t="s">
        <v>157</v>
      </c>
      <c r="F650" s="199" t="s">
        <v>151</v>
      </c>
      <c r="G650" s="223">
        <v>0</v>
      </c>
      <c r="H650" s="199" t="s">
        <v>276</v>
      </c>
    </row>
    <row r="651" spans="1:8">
      <c r="A651" s="218">
        <v>44196</v>
      </c>
      <c r="B651" s="199" t="s">
        <v>39</v>
      </c>
      <c r="C651" s="199" t="s">
        <v>8</v>
      </c>
      <c r="D651" s="199">
        <v>2020</v>
      </c>
      <c r="E651" s="199" t="s">
        <v>157</v>
      </c>
      <c r="F651" s="199" t="s">
        <v>151</v>
      </c>
      <c r="G651" s="223">
        <v>0</v>
      </c>
      <c r="H651" s="199" t="s">
        <v>276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euil9">
    <tabColor theme="9" tint="0.79998168889431442"/>
  </sheetPr>
  <dimension ref="A1:J75"/>
  <sheetViews>
    <sheetView workbookViewId="0">
      <selection activeCell="F26" sqref="F26"/>
    </sheetView>
  </sheetViews>
  <sheetFormatPr baseColWidth="10" defaultColWidth="11.41015625" defaultRowHeight="14.35"/>
  <cols>
    <col min="1" max="1" width="14.1171875" style="199" bestFit="1" customWidth="1"/>
    <col min="2" max="2" width="11.703125" style="199" bestFit="1" customWidth="1"/>
    <col min="3" max="3" width="41.1171875" style="199" bestFit="1" customWidth="1"/>
    <col min="4" max="10" width="12" style="199" customWidth="1"/>
    <col min="11" max="12" width="11.41015625" style="199" customWidth="1"/>
    <col min="13" max="16384" width="11.41015625" style="199"/>
  </cols>
  <sheetData>
    <row r="1" spans="1:10">
      <c r="A1" s="199" t="s">
        <v>277</v>
      </c>
      <c r="B1" s="199" t="s">
        <v>278</v>
      </c>
      <c r="C1" s="199" t="s">
        <v>279</v>
      </c>
      <c r="D1" s="173" t="s">
        <v>280</v>
      </c>
      <c r="E1" s="173" t="s">
        <v>281</v>
      </c>
      <c r="F1" s="173" t="s">
        <v>282</v>
      </c>
      <c r="G1" s="173" t="s">
        <v>283</v>
      </c>
      <c r="H1" s="173" t="s">
        <v>284</v>
      </c>
      <c r="I1" s="173" t="s">
        <v>285</v>
      </c>
      <c r="J1" s="173" t="s">
        <v>194</v>
      </c>
    </row>
    <row r="2" spans="1:10">
      <c r="A2" s="171" t="s">
        <v>286</v>
      </c>
      <c r="B2" s="200" t="s">
        <v>85</v>
      </c>
      <c r="C2" s="200" t="s">
        <v>86</v>
      </c>
      <c r="D2" s="201">
        <v>14.46</v>
      </c>
      <c r="E2" s="201">
        <v>90</v>
      </c>
      <c r="F2" s="201">
        <v>14.46</v>
      </c>
      <c r="G2" s="201">
        <v>28.92</v>
      </c>
      <c r="H2" s="201">
        <v>28.92</v>
      </c>
      <c r="I2" s="201">
        <v>28.92</v>
      </c>
      <c r="J2" s="201">
        <v>23.9062029501513</v>
      </c>
    </row>
    <row r="3" spans="1:10">
      <c r="A3" s="171" t="s">
        <v>286</v>
      </c>
      <c r="B3" s="200" t="s">
        <v>85</v>
      </c>
      <c r="C3" s="200" t="s">
        <v>172</v>
      </c>
      <c r="D3" s="201">
        <v>50</v>
      </c>
      <c r="E3" s="201">
        <v>50</v>
      </c>
      <c r="F3" s="201">
        <v>50</v>
      </c>
      <c r="G3" s="201">
        <v>50</v>
      </c>
      <c r="H3" s="201">
        <v>50</v>
      </c>
      <c r="I3" s="201">
        <v>50</v>
      </c>
      <c r="J3" s="201">
        <v>50</v>
      </c>
    </row>
    <row r="4" spans="1:10">
      <c r="A4" s="171" t="s">
        <v>286</v>
      </c>
      <c r="B4" s="200" t="s">
        <v>85</v>
      </c>
      <c r="C4" s="200" t="s">
        <v>87</v>
      </c>
      <c r="D4" s="201">
        <v>0.51</v>
      </c>
      <c r="E4" s="201">
        <v>3777</v>
      </c>
      <c r="F4" s="201">
        <v>3.57</v>
      </c>
      <c r="G4" s="201">
        <v>25</v>
      </c>
      <c r="H4" s="201">
        <v>55</v>
      </c>
      <c r="I4" s="201">
        <v>72</v>
      </c>
      <c r="J4" s="201">
        <v>48.374960432029802</v>
      </c>
    </row>
    <row r="5" spans="1:10">
      <c r="A5" s="171" t="s">
        <v>286</v>
      </c>
      <c r="B5" s="200" t="s">
        <v>85</v>
      </c>
      <c r="C5" s="200" t="s">
        <v>88</v>
      </c>
      <c r="D5" s="201">
        <v>0.38</v>
      </c>
      <c r="E5" s="201">
        <v>6500</v>
      </c>
      <c r="F5" s="201">
        <v>12.95</v>
      </c>
      <c r="G5" s="201">
        <v>30</v>
      </c>
      <c r="H5" s="201">
        <v>65</v>
      </c>
      <c r="I5" s="201">
        <v>87.75</v>
      </c>
      <c r="J5" s="201">
        <v>44.813738177642399</v>
      </c>
    </row>
    <row r="6" spans="1:10">
      <c r="A6" s="171" t="s">
        <v>286</v>
      </c>
      <c r="B6" s="200" t="s">
        <v>85</v>
      </c>
      <c r="C6" s="200" t="s">
        <v>89</v>
      </c>
      <c r="D6" s="199">
        <v>23</v>
      </c>
      <c r="E6" s="199">
        <v>600</v>
      </c>
      <c r="F6" s="199">
        <v>24</v>
      </c>
      <c r="G6" s="199">
        <v>180</v>
      </c>
      <c r="H6" s="199">
        <v>600</v>
      </c>
      <c r="I6" s="199">
        <v>600</v>
      </c>
      <c r="J6" s="199">
        <v>206.75</v>
      </c>
    </row>
    <row r="7" spans="1:10">
      <c r="A7" s="171" t="s">
        <v>286</v>
      </c>
      <c r="B7" s="200" t="s">
        <v>85</v>
      </c>
      <c r="C7" s="200" t="s">
        <v>90</v>
      </c>
      <c r="D7" s="199">
        <v>8.01</v>
      </c>
      <c r="E7" s="199">
        <v>165</v>
      </c>
      <c r="F7" s="199">
        <v>50</v>
      </c>
      <c r="G7" s="199">
        <v>55</v>
      </c>
      <c r="H7" s="199">
        <v>60</v>
      </c>
      <c r="I7" s="199">
        <v>70</v>
      </c>
      <c r="J7" s="199">
        <v>57.453221384509902</v>
      </c>
    </row>
    <row r="8" spans="1:10">
      <c r="A8" s="171" t="s">
        <v>286</v>
      </c>
      <c r="B8" s="200" t="s">
        <v>85</v>
      </c>
      <c r="C8" s="200" t="s">
        <v>173</v>
      </c>
      <c r="D8" s="199">
        <v>100</v>
      </c>
      <c r="E8" s="199">
        <v>100</v>
      </c>
      <c r="F8" s="199">
        <v>100</v>
      </c>
      <c r="G8" s="199">
        <v>100</v>
      </c>
      <c r="H8" s="199">
        <v>100</v>
      </c>
      <c r="I8" s="199">
        <v>100</v>
      </c>
      <c r="J8" s="199">
        <v>100</v>
      </c>
    </row>
    <row r="9" spans="1:10">
      <c r="A9" s="171" t="s">
        <v>286</v>
      </c>
      <c r="B9" s="200" t="s">
        <v>85</v>
      </c>
      <c r="C9" s="200" t="s">
        <v>91</v>
      </c>
      <c r="D9" s="199">
        <v>39.9</v>
      </c>
      <c r="E9" s="199">
        <v>2095</v>
      </c>
      <c r="F9" s="199">
        <v>1290</v>
      </c>
      <c r="G9" s="199">
        <v>1395</v>
      </c>
      <c r="H9" s="199">
        <v>1850</v>
      </c>
      <c r="I9" s="199">
        <v>1990</v>
      </c>
      <c r="J9" s="199">
        <v>1505.8754385964901</v>
      </c>
    </row>
    <row r="10" spans="1:10">
      <c r="A10" s="171" t="s">
        <v>286</v>
      </c>
      <c r="B10" s="172" t="s">
        <v>287</v>
      </c>
      <c r="C10" s="172" t="s">
        <v>93</v>
      </c>
      <c r="D10" s="199">
        <v>27</v>
      </c>
      <c r="E10" s="199">
        <v>1341.57</v>
      </c>
      <c r="F10" s="199">
        <v>60</v>
      </c>
      <c r="G10" s="199">
        <v>60</v>
      </c>
      <c r="H10" s="199">
        <v>60</v>
      </c>
      <c r="I10" s="199">
        <v>60</v>
      </c>
      <c r="J10" s="199">
        <v>121.87415730337101</v>
      </c>
    </row>
    <row r="11" spans="1:10">
      <c r="A11" s="171" t="s">
        <v>286</v>
      </c>
      <c r="B11" s="172" t="s">
        <v>287</v>
      </c>
      <c r="C11" s="172" t="s">
        <v>94</v>
      </c>
      <c r="D11" s="199">
        <v>112.27</v>
      </c>
      <c r="E11" s="199">
        <v>1044.8</v>
      </c>
      <c r="F11" s="199">
        <v>255.94</v>
      </c>
      <c r="G11" s="199">
        <v>505.91</v>
      </c>
      <c r="H11" s="199">
        <v>820</v>
      </c>
      <c r="I11" s="199">
        <v>1044.8</v>
      </c>
      <c r="J11" s="199">
        <v>453.45499999999998</v>
      </c>
    </row>
    <row r="12" spans="1:10">
      <c r="A12" s="171" t="s">
        <v>286</v>
      </c>
      <c r="B12" s="200" t="s">
        <v>95</v>
      </c>
      <c r="C12" s="200" t="s">
        <v>96</v>
      </c>
      <c r="D12" s="199">
        <v>20</v>
      </c>
      <c r="E12" s="199">
        <v>1030</v>
      </c>
      <c r="F12" s="199">
        <v>48.2</v>
      </c>
      <c r="G12" s="199">
        <v>81.94</v>
      </c>
      <c r="H12" s="199">
        <v>81.94</v>
      </c>
      <c r="I12" s="199">
        <v>88.41</v>
      </c>
      <c r="J12" s="199">
        <v>85.975456475583599</v>
      </c>
    </row>
    <row r="13" spans="1:10">
      <c r="A13" s="171" t="s">
        <v>286</v>
      </c>
      <c r="B13" s="200" t="s">
        <v>95</v>
      </c>
      <c r="C13" s="200" t="s">
        <v>174</v>
      </c>
      <c r="D13" s="199">
        <v>920</v>
      </c>
      <c r="E13" s="199">
        <v>920</v>
      </c>
      <c r="F13" s="199">
        <v>920</v>
      </c>
      <c r="G13" s="199">
        <v>920</v>
      </c>
      <c r="H13" s="199">
        <v>920</v>
      </c>
      <c r="I13" s="199">
        <v>920</v>
      </c>
      <c r="J13" s="199">
        <v>920</v>
      </c>
    </row>
    <row r="14" spans="1:10">
      <c r="A14" s="171" t="s">
        <v>286</v>
      </c>
      <c r="B14" s="200" t="s">
        <v>95</v>
      </c>
      <c r="C14" s="200" t="s">
        <v>97</v>
      </c>
      <c r="D14" s="199">
        <v>20</v>
      </c>
      <c r="E14" s="199">
        <v>60</v>
      </c>
      <c r="F14" s="199">
        <v>60</v>
      </c>
      <c r="G14" s="199">
        <v>60</v>
      </c>
      <c r="H14" s="199">
        <v>60</v>
      </c>
      <c r="I14" s="199">
        <v>60</v>
      </c>
      <c r="J14" s="199">
        <v>59.056737588652503</v>
      </c>
    </row>
    <row r="15" spans="1:10">
      <c r="A15" s="171" t="s">
        <v>286</v>
      </c>
      <c r="B15" s="200" t="s">
        <v>95</v>
      </c>
      <c r="C15" s="200" t="s">
        <v>98</v>
      </c>
      <c r="D15" s="199">
        <v>30</v>
      </c>
      <c r="E15" s="199">
        <v>200</v>
      </c>
      <c r="F15" s="199">
        <v>50</v>
      </c>
      <c r="G15" s="199">
        <v>60</v>
      </c>
      <c r="H15" s="199">
        <v>70</v>
      </c>
      <c r="I15" s="199">
        <v>100</v>
      </c>
      <c r="J15" s="199">
        <v>70.249192982456094</v>
      </c>
    </row>
    <row r="16" spans="1:10">
      <c r="A16" s="171" t="s">
        <v>286</v>
      </c>
      <c r="B16" s="200" t="s">
        <v>95</v>
      </c>
      <c r="C16" s="200" t="s">
        <v>99</v>
      </c>
      <c r="D16" s="199">
        <v>400</v>
      </c>
      <c r="E16" s="199">
        <v>490</v>
      </c>
      <c r="F16" s="199">
        <v>440</v>
      </c>
      <c r="G16" s="199">
        <v>440</v>
      </c>
      <c r="H16" s="199">
        <v>440</v>
      </c>
      <c r="I16" s="199">
        <v>480</v>
      </c>
      <c r="J16" s="199">
        <v>447.33333333333297</v>
      </c>
    </row>
    <row r="17" spans="1:10">
      <c r="A17" s="171" t="s">
        <v>286</v>
      </c>
      <c r="B17" s="200" t="s">
        <v>95</v>
      </c>
      <c r="C17" s="200" t="s">
        <v>100</v>
      </c>
      <c r="D17" s="199">
        <v>340</v>
      </c>
      <c r="E17" s="199">
        <v>650</v>
      </c>
      <c r="F17" s="199">
        <v>440</v>
      </c>
      <c r="G17" s="199">
        <v>440</v>
      </c>
      <c r="H17" s="199">
        <v>440</v>
      </c>
      <c r="I17" s="199">
        <v>500</v>
      </c>
      <c r="J17" s="199">
        <v>457.70833333333297</v>
      </c>
    </row>
    <row r="18" spans="1:10">
      <c r="A18" s="171" t="s">
        <v>286</v>
      </c>
      <c r="B18" s="200" t="s">
        <v>95</v>
      </c>
      <c r="C18" s="200" t="s">
        <v>101</v>
      </c>
      <c r="D18" s="199">
        <v>40</v>
      </c>
      <c r="E18" s="199">
        <v>2000</v>
      </c>
      <c r="F18" s="199">
        <v>150</v>
      </c>
      <c r="G18" s="199">
        <v>290</v>
      </c>
      <c r="H18" s="199">
        <v>500</v>
      </c>
      <c r="I18" s="199">
        <v>595</v>
      </c>
      <c r="J18" s="199">
        <v>359.35308357348703</v>
      </c>
    </row>
    <row r="19" spans="1:10">
      <c r="A19" s="171" t="s">
        <v>286</v>
      </c>
      <c r="B19" s="200" t="s">
        <v>95</v>
      </c>
      <c r="C19" s="200" t="s">
        <v>175</v>
      </c>
      <c r="D19" s="199">
        <v>72</v>
      </c>
      <c r="E19" s="199">
        <v>1300</v>
      </c>
      <c r="F19" s="199">
        <v>500</v>
      </c>
      <c r="G19" s="199">
        <v>650</v>
      </c>
      <c r="H19" s="199">
        <v>900</v>
      </c>
      <c r="I19" s="199">
        <v>1100</v>
      </c>
      <c r="J19" s="199">
        <v>685.62608695652204</v>
      </c>
    </row>
    <row r="20" spans="1:10">
      <c r="A20" s="171" t="s">
        <v>286</v>
      </c>
      <c r="B20" s="200" t="s">
        <v>95</v>
      </c>
      <c r="C20" s="200" t="s">
        <v>102</v>
      </c>
      <c r="D20" s="199">
        <v>200</v>
      </c>
      <c r="E20" s="199">
        <v>1572</v>
      </c>
      <c r="F20" s="199">
        <v>580</v>
      </c>
      <c r="G20" s="199">
        <v>702.5</v>
      </c>
      <c r="H20" s="199">
        <v>950</v>
      </c>
      <c r="I20" s="199">
        <v>1100</v>
      </c>
      <c r="J20" s="199">
        <v>748.40652173912997</v>
      </c>
    </row>
    <row r="21" spans="1:10">
      <c r="A21" s="171" t="s">
        <v>286</v>
      </c>
      <c r="B21" s="200" t="s">
        <v>95</v>
      </c>
      <c r="C21" s="200" t="s">
        <v>103</v>
      </c>
      <c r="D21" s="199">
        <v>140</v>
      </c>
      <c r="E21" s="199">
        <v>350</v>
      </c>
      <c r="F21" s="199">
        <v>175</v>
      </c>
      <c r="G21" s="199">
        <v>175</v>
      </c>
      <c r="H21" s="199">
        <v>220</v>
      </c>
      <c r="I21" s="199">
        <v>230</v>
      </c>
      <c r="J21" s="199">
        <v>190.46666666666701</v>
      </c>
    </row>
    <row r="22" spans="1:10">
      <c r="A22" s="171" t="s">
        <v>286</v>
      </c>
      <c r="B22" s="200" t="s">
        <v>95</v>
      </c>
      <c r="C22" s="200" t="s">
        <v>104</v>
      </c>
      <c r="D22" s="199">
        <v>130</v>
      </c>
      <c r="E22" s="199">
        <v>230</v>
      </c>
      <c r="F22" s="199">
        <v>175</v>
      </c>
      <c r="G22" s="199">
        <v>175</v>
      </c>
      <c r="H22" s="199">
        <v>230</v>
      </c>
      <c r="I22" s="199">
        <v>230</v>
      </c>
      <c r="J22" s="199">
        <v>190.52032520325201</v>
      </c>
    </row>
    <row r="23" spans="1:10">
      <c r="A23" s="171" t="s">
        <v>286</v>
      </c>
      <c r="B23" s="200" t="s">
        <v>95</v>
      </c>
      <c r="C23" s="200" t="s">
        <v>105</v>
      </c>
      <c r="D23" s="199">
        <v>100</v>
      </c>
      <c r="E23" s="199">
        <v>450</v>
      </c>
      <c r="F23" s="199">
        <v>300</v>
      </c>
      <c r="G23" s="199">
        <v>350</v>
      </c>
      <c r="H23" s="199">
        <v>430</v>
      </c>
      <c r="I23" s="199">
        <v>430</v>
      </c>
      <c r="J23" s="199">
        <v>360.01639344262298</v>
      </c>
    </row>
    <row r="24" spans="1:10">
      <c r="A24" s="171" t="s">
        <v>286</v>
      </c>
      <c r="B24" s="200" t="s">
        <v>95</v>
      </c>
      <c r="C24" s="200" t="s">
        <v>106</v>
      </c>
      <c r="D24" s="199">
        <v>10.75</v>
      </c>
      <c r="E24" s="199">
        <v>2000</v>
      </c>
      <c r="F24" s="199">
        <v>110</v>
      </c>
      <c r="G24" s="199">
        <v>395</v>
      </c>
      <c r="H24" s="199">
        <v>700</v>
      </c>
      <c r="I24" s="199">
        <v>800</v>
      </c>
      <c r="J24" s="199">
        <v>437.65287719298198</v>
      </c>
    </row>
    <row r="25" spans="1:10">
      <c r="A25" s="171" t="s">
        <v>286</v>
      </c>
      <c r="B25" s="200" t="s">
        <v>95</v>
      </c>
      <c r="C25" s="200" t="s">
        <v>107</v>
      </c>
      <c r="D25" s="199">
        <v>75</v>
      </c>
      <c r="E25" s="199">
        <v>2000</v>
      </c>
      <c r="F25" s="199">
        <v>150</v>
      </c>
      <c r="G25" s="199">
        <v>400</v>
      </c>
      <c r="H25" s="199">
        <v>818</v>
      </c>
      <c r="I25" s="199">
        <v>1225</v>
      </c>
      <c r="J25" s="199">
        <v>551.58870967741905</v>
      </c>
    </row>
    <row r="26" spans="1:10">
      <c r="A26" s="171" t="s">
        <v>286</v>
      </c>
      <c r="B26" s="200" t="s">
        <v>95</v>
      </c>
      <c r="C26" s="200" t="s">
        <v>108</v>
      </c>
      <c r="D26" s="199">
        <v>15</v>
      </c>
      <c r="E26" s="199">
        <v>790</v>
      </c>
      <c r="F26" s="199">
        <v>40</v>
      </c>
      <c r="G26" s="199">
        <v>80</v>
      </c>
      <c r="H26" s="199">
        <v>150</v>
      </c>
      <c r="I26" s="199">
        <v>250</v>
      </c>
      <c r="J26" s="199">
        <v>120.73673629242801</v>
      </c>
    </row>
    <row r="27" spans="1:10">
      <c r="A27" s="171" t="s">
        <v>286</v>
      </c>
      <c r="B27" s="200" t="s">
        <v>95</v>
      </c>
      <c r="C27" s="200" t="s">
        <v>176</v>
      </c>
      <c r="D27" s="199">
        <v>40</v>
      </c>
      <c r="E27" s="199">
        <v>41.8</v>
      </c>
      <c r="F27" s="199">
        <v>40</v>
      </c>
      <c r="G27" s="199">
        <v>40</v>
      </c>
      <c r="H27" s="199">
        <v>41.8</v>
      </c>
      <c r="I27" s="199">
        <v>41.8</v>
      </c>
      <c r="J27" s="199">
        <v>40.663157894736798</v>
      </c>
    </row>
    <row r="28" spans="1:10">
      <c r="A28" s="171" t="s">
        <v>286</v>
      </c>
      <c r="B28" s="200" t="s">
        <v>95</v>
      </c>
      <c r="C28" s="200" t="s">
        <v>177</v>
      </c>
      <c r="D28" s="199">
        <v>16.62</v>
      </c>
      <c r="E28" s="199">
        <v>1200</v>
      </c>
      <c r="F28" s="199">
        <v>50</v>
      </c>
      <c r="G28" s="199">
        <v>100</v>
      </c>
      <c r="H28" s="199">
        <v>180</v>
      </c>
      <c r="I28" s="199">
        <v>350</v>
      </c>
      <c r="J28" s="199">
        <v>157.24658227848099</v>
      </c>
    </row>
    <row r="29" spans="1:10">
      <c r="A29" s="171" t="s">
        <v>286</v>
      </c>
      <c r="B29" s="200" t="s">
        <v>95</v>
      </c>
      <c r="C29" s="200" t="s">
        <v>109</v>
      </c>
      <c r="D29" s="199">
        <v>278.5</v>
      </c>
      <c r="E29" s="199">
        <v>860</v>
      </c>
      <c r="F29" s="199">
        <v>300</v>
      </c>
      <c r="G29" s="199">
        <v>370</v>
      </c>
      <c r="H29" s="199">
        <v>500</v>
      </c>
      <c r="I29" s="199">
        <v>800</v>
      </c>
      <c r="J29" s="199">
        <v>434.258620689655</v>
      </c>
    </row>
    <row r="30" spans="1:10">
      <c r="A30" s="171" t="s">
        <v>286</v>
      </c>
      <c r="B30" s="200" t="s">
        <v>95</v>
      </c>
      <c r="C30" s="200" t="s">
        <v>110</v>
      </c>
      <c r="D30" s="199">
        <v>600</v>
      </c>
      <c r="E30" s="199">
        <v>1500</v>
      </c>
      <c r="F30" s="199">
        <v>844.75</v>
      </c>
      <c r="G30" s="199">
        <v>844.75</v>
      </c>
      <c r="H30" s="199">
        <v>850</v>
      </c>
      <c r="I30" s="199">
        <v>1500</v>
      </c>
      <c r="J30" s="199">
        <v>933.47500000000002</v>
      </c>
    </row>
    <row r="31" spans="1:10">
      <c r="A31" s="171" t="s">
        <v>286</v>
      </c>
      <c r="B31" s="200" t="s">
        <v>95</v>
      </c>
      <c r="C31" s="200" t="s">
        <v>111</v>
      </c>
      <c r="D31" s="199">
        <v>280</v>
      </c>
      <c r="E31" s="199">
        <v>1600</v>
      </c>
      <c r="F31" s="199">
        <v>950</v>
      </c>
      <c r="G31" s="199">
        <v>1090</v>
      </c>
      <c r="H31" s="199">
        <v>1240</v>
      </c>
      <c r="I31" s="199">
        <v>1300</v>
      </c>
      <c r="J31" s="199">
        <v>1012.74219512195</v>
      </c>
    </row>
    <row r="32" spans="1:10">
      <c r="A32" s="171" t="s">
        <v>286</v>
      </c>
      <c r="B32" s="200" t="s">
        <v>95</v>
      </c>
      <c r="C32" s="200" t="s">
        <v>112</v>
      </c>
      <c r="D32" s="199">
        <v>60</v>
      </c>
      <c r="E32" s="199">
        <v>2385</v>
      </c>
      <c r="F32" s="199">
        <v>515</v>
      </c>
      <c r="G32" s="199">
        <v>572</v>
      </c>
      <c r="H32" s="199">
        <v>650</v>
      </c>
      <c r="I32" s="199">
        <v>750</v>
      </c>
      <c r="J32" s="199">
        <v>622.69666666666706</v>
      </c>
    </row>
    <row r="33" spans="1:10">
      <c r="A33" s="171" t="s">
        <v>286</v>
      </c>
      <c r="B33" s="200" t="s">
        <v>95</v>
      </c>
      <c r="C33" s="200" t="s">
        <v>113</v>
      </c>
      <c r="D33" s="199">
        <v>250</v>
      </c>
      <c r="E33" s="199">
        <v>870</v>
      </c>
      <c r="F33" s="199">
        <v>290</v>
      </c>
      <c r="G33" s="199">
        <v>290</v>
      </c>
      <c r="H33" s="199">
        <v>320</v>
      </c>
      <c r="I33" s="199">
        <v>320</v>
      </c>
      <c r="J33" s="199">
        <v>329.03125</v>
      </c>
    </row>
    <row r="34" spans="1:10">
      <c r="A34" s="171" t="s">
        <v>286</v>
      </c>
      <c r="B34" s="200" t="s">
        <v>95</v>
      </c>
      <c r="C34" s="200" t="s">
        <v>114</v>
      </c>
      <c r="D34" s="199">
        <v>490</v>
      </c>
      <c r="E34" s="199">
        <v>1465</v>
      </c>
      <c r="F34" s="199">
        <v>500</v>
      </c>
      <c r="G34" s="199">
        <v>530</v>
      </c>
      <c r="H34" s="199">
        <v>530</v>
      </c>
      <c r="I34" s="199">
        <v>530</v>
      </c>
      <c r="J34" s="199">
        <v>594.23061538461604</v>
      </c>
    </row>
    <row r="35" spans="1:10">
      <c r="A35" s="171" t="s">
        <v>286</v>
      </c>
      <c r="B35" s="200" t="s">
        <v>95</v>
      </c>
      <c r="C35" s="200" t="s">
        <v>115</v>
      </c>
      <c r="D35" s="199">
        <v>290</v>
      </c>
      <c r="E35" s="199">
        <v>2100</v>
      </c>
      <c r="F35" s="199">
        <v>505</v>
      </c>
      <c r="G35" s="199">
        <v>550</v>
      </c>
      <c r="H35" s="199">
        <v>600</v>
      </c>
      <c r="I35" s="199">
        <v>1800</v>
      </c>
      <c r="J35" s="199">
        <v>776.88207547169804</v>
      </c>
    </row>
    <row r="36" spans="1:10">
      <c r="A36" s="171" t="s">
        <v>286</v>
      </c>
      <c r="B36" s="200" t="s">
        <v>95</v>
      </c>
      <c r="C36" s="200" t="s">
        <v>116</v>
      </c>
      <c r="D36" s="199">
        <v>3.99</v>
      </c>
      <c r="E36" s="199">
        <v>2500</v>
      </c>
      <c r="F36" s="199">
        <v>25</v>
      </c>
      <c r="G36" s="199">
        <v>35</v>
      </c>
      <c r="H36" s="199">
        <v>230</v>
      </c>
      <c r="I36" s="199">
        <v>540</v>
      </c>
      <c r="J36" s="199">
        <v>169.98781157997999</v>
      </c>
    </row>
    <row r="37" spans="1:10">
      <c r="A37" s="171" t="s">
        <v>286</v>
      </c>
      <c r="B37" s="200" t="s">
        <v>95</v>
      </c>
      <c r="C37" s="200" t="s">
        <v>178</v>
      </c>
      <c r="D37" s="199">
        <v>50</v>
      </c>
      <c r="E37" s="199">
        <v>110</v>
      </c>
      <c r="F37" s="199">
        <v>70</v>
      </c>
      <c r="G37" s="199">
        <v>100</v>
      </c>
      <c r="H37" s="199">
        <v>110</v>
      </c>
      <c r="I37" s="199">
        <v>110</v>
      </c>
      <c r="J37" s="199">
        <v>86.6666666666667</v>
      </c>
    </row>
    <row r="38" spans="1:10">
      <c r="A38" s="171" t="s">
        <v>286</v>
      </c>
      <c r="B38" s="200" t="s">
        <v>95</v>
      </c>
      <c r="C38" s="200" t="s">
        <v>117</v>
      </c>
      <c r="D38" s="199">
        <v>21.5</v>
      </c>
      <c r="E38" s="199">
        <v>91</v>
      </c>
      <c r="F38" s="199">
        <v>55</v>
      </c>
      <c r="G38" s="199">
        <v>73.180000000000007</v>
      </c>
      <c r="H38" s="199">
        <v>91</v>
      </c>
      <c r="I38" s="199">
        <v>91</v>
      </c>
      <c r="J38" s="199">
        <v>64.357500000000002</v>
      </c>
    </row>
    <row r="39" spans="1:10">
      <c r="A39" s="171" t="s">
        <v>286</v>
      </c>
      <c r="B39" s="200" t="s">
        <v>95</v>
      </c>
      <c r="C39" s="200" t="s">
        <v>118</v>
      </c>
      <c r="D39" s="199">
        <v>65</v>
      </c>
      <c r="E39" s="199">
        <v>215</v>
      </c>
      <c r="F39" s="199">
        <v>100</v>
      </c>
      <c r="G39" s="199">
        <v>145</v>
      </c>
      <c r="H39" s="199">
        <v>195</v>
      </c>
      <c r="I39" s="199">
        <v>195</v>
      </c>
      <c r="J39" s="199">
        <v>142.09090909090901</v>
      </c>
    </row>
    <row r="40" spans="1:10">
      <c r="A40" s="171" t="s">
        <v>286</v>
      </c>
      <c r="B40" s="200" t="s">
        <v>95</v>
      </c>
      <c r="C40" s="200" t="s">
        <v>119</v>
      </c>
      <c r="D40" s="199">
        <v>3.99</v>
      </c>
      <c r="E40" s="199">
        <v>600</v>
      </c>
      <c r="F40" s="199">
        <v>28.92</v>
      </c>
      <c r="G40" s="199">
        <v>42</v>
      </c>
      <c r="H40" s="199">
        <v>53</v>
      </c>
      <c r="I40" s="199">
        <v>60.95</v>
      </c>
      <c r="J40" s="199">
        <v>43.2972645962736</v>
      </c>
    </row>
    <row r="41" spans="1:10">
      <c r="A41" s="171" t="s">
        <v>286</v>
      </c>
      <c r="B41" s="200" t="s">
        <v>95</v>
      </c>
      <c r="C41" s="200" t="s">
        <v>179</v>
      </c>
      <c r="D41" s="199">
        <v>200</v>
      </c>
      <c r="E41" s="199">
        <v>200</v>
      </c>
      <c r="F41" s="199">
        <v>200</v>
      </c>
      <c r="G41" s="199">
        <v>200</v>
      </c>
      <c r="H41" s="199">
        <v>200</v>
      </c>
      <c r="I41" s="199">
        <v>200</v>
      </c>
      <c r="J41" s="199">
        <v>200</v>
      </c>
    </row>
    <row r="42" spans="1:10">
      <c r="A42" s="171" t="s">
        <v>286</v>
      </c>
      <c r="B42" s="200" t="s">
        <v>120</v>
      </c>
      <c r="C42" s="200" t="s">
        <v>121</v>
      </c>
      <c r="D42" s="199">
        <v>33.44</v>
      </c>
      <c r="E42" s="199">
        <v>145.01</v>
      </c>
      <c r="F42" s="199">
        <v>33.44</v>
      </c>
      <c r="G42" s="199">
        <v>50.41</v>
      </c>
      <c r="H42" s="199">
        <v>145.01</v>
      </c>
      <c r="I42" s="199">
        <v>145.01</v>
      </c>
      <c r="J42" s="199">
        <v>65.575000000000003</v>
      </c>
    </row>
    <row r="43" spans="1:10">
      <c r="A43" s="171" t="s">
        <v>286</v>
      </c>
      <c r="B43" s="200" t="s">
        <v>120</v>
      </c>
      <c r="C43" s="200" t="s">
        <v>122</v>
      </c>
      <c r="D43" s="199">
        <v>12</v>
      </c>
      <c r="E43" s="199">
        <v>400</v>
      </c>
      <c r="F43" s="199">
        <v>60</v>
      </c>
      <c r="G43" s="199">
        <v>135</v>
      </c>
      <c r="H43" s="199">
        <v>100</v>
      </c>
      <c r="I43" s="199">
        <v>65</v>
      </c>
      <c r="J43" s="199">
        <v>77.760744336569701</v>
      </c>
    </row>
    <row r="44" spans="1:10">
      <c r="A44" s="171" t="s">
        <v>286</v>
      </c>
      <c r="B44" s="200" t="s">
        <v>120</v>
      </c>
      <c r="C44" s="200" t="s">
        <v>123</v>
      </c>
      <c r="D44" s="199">
        <v>39.549999999999997</v>
      </c>
      <c r="E44" s="199">
        <v>885</v>
      </c>
      <c r="F44" s="199">
        <v>40.619999999999997</v>
      </c>
      <c r="G44" s="199">
        <v>60.81</v>
      </c>
      <c r="H44" s="199">
        <v>264.64</v>
      </c>
      <c r="I44" s="199">
        <v>885</v>
      </c>
      <c r="J44" s="199">
        <v>225.81142857142899</v>
      </c>
    </row>
    <row r="45" spans="1:10">
      <c r="A45" s="171" t="s">
        <v>286</v>
      </c>
      <c r="B45" s="200" t="s">
        <v>120</v>
      </c>
      <c r="C45" s="200" t="s">
        <v>124</v>
      </c>
      <c r="D45" s="199">
        <v>13</v>
      </c>
      <c r="E45" s="199">
        <v>60</v>
      </c>
      <c r="F45" s="199">
        <v>50</v>
      </c>
      <c r="G45" s="199">
        <v>60</v>
      </c>
      <c r="H45" s="199">
        <v>13</v>
      </c>
      <c r="I45" s="199">
        <v>22</v>
      </c>
      <c r="J45" s="199">
        <v>32.9375</v>
      </c>
    </row>
    <row r="46" spans="1:10">
      <c r="A46" s="171" t="s">
        <v>286</v>
      </c>
      <c r="B46" s="200" t="s">
        <v>120</v>
      </c>
      <c r="C46" s="200" t="s">
        <v>125</v>
      </c>
      <c r="D46" s="199">
        <v>0.26996336996337</v>
      </c>
      <c r="E46" s="199">
        <v>44460</v>
      </c>
      <c r="F46" s="199">
        <v>24</v>
      </c>
      <c r="G46" s="199">
        <v>33.44</v>
      </c>
      <c r="H46" s="199">
        <v>160</v>
      </c>
      <c r="I46" s="199">
        <v>571.70000000000005</v>
      </c>
      <c r="J46" s="199">
        <v>203.06996599060699</v>
      </c>
    </row>
    <row r="47" spans="1:10">
      <c r="A47" s="171" t="s">
        <v>286</v>
      </c>
      <c r="B47" s="200" t="s">
        <v>120</v>
      </c>
      <c r="C47" s="200" t="s">
        <v>126</v>
      </c>
      <c r="D47" s="199">
        <v>15</v>
      </c>
      <c r="E47" s="199">
        <v>2700</v>
      </c>
      <c r="F47" s="199">
        <v>175</v>
      </c>
      <c r="G47" s="199">
        <v>599.20000000000005</v>
      </c>
      <c r="H47" s="199">
        <v>1797.6</v>
      </c>
      <c r="I47" s="199">
        <v>2700</v>
      </c>
      <c r="J47" s="199">
        <v>986.18857142857098</v>
      </c>
    </row>
    <row r="48" spans="1:10">
      <c r="A48" s="171" t="s">
        <v>286</v>
      </c>
      <c r="B48" s="200" t="s">
        <v>120</v>
      </c>
      <c r="C48" s="200" t="s">
        <v>127</v>
      </c>
      <c r="D48" s="199">
        <v>16.25</v>
      </c>
      <c r="E48" s="199">
        <v>2460</v>
      </c>
      <c r="F48" s="199">
        <v>44.53</v>
      </c>
      <c r="G48" s="199">
        <v>86.04</v>
      </c>
      <c r="H48" s="199">
        <v>143.93</v>
      </c>
      <c r="I48" s="199">
        <v>358.05</v>
      </c>
      <c r="J48" s="199">
        <v>109.34452654073699</v>
      </c>
    </row>
    <row r="49" spans="1:10">
      <c r="A49" s="171" t="s">
        <v>286</v>
      </c>
      <c r="B49" s="200" t="s">
        <v>128</v>
      </c>
      <c r="C49" s="200" t="s">
        <v>129</v>
      </c>
      <c r="D49" s="199">
        <v>2</v>
      </c>
      <c r="E49" s="199">
        <v>1292.48</v>
      </c>
      <c r="F49" s="199">
        <v>38.39</v>
      </c>
      <c r="G49" s="199">
        <v>80</v>
      </c>
      <c r="H49" s="199">
        <v>168.85</v>
      </c>
      <c r="I49" s="199">
        <v>342.8</v>
      </c>
      <c r="J49" s="199">
        <v>116.82140115163099</v>
      </c>
    </row>
    <row r="50" spans="1:10">
      <c r="A50" s="171" t="s">
        <v>286</v>
      </c>
      <c r="B50" s="172" t="s">
        <v>130</v>
      </c>
      <c r="C50" s="172" t="s">
        <v>180</v>
      </c>
      <c r="D50" s="199">
        <v>4.5999999999999996</v>
      </c>
      <c r="E50" s="199">
        <v>4.5999999999999996</v>
      </c>
      <c r="F50" s="199">
        <v>4.5999999999999996</v>
      </c>
      <c r="G50" s="199">
        <v>4.5999999999999996</v>
      </c>
      <c r="H50" s="199">
        <v>4.5999999999999996</v>
      </c>
      <c r="I50" s="199">
        <v>4.5999999999999996</v>
      </c>
      <c r="J50" s="199">
        <v>4.5999999999999996</v>
      </c>
    </row>
    <row r="51" spans="1:10">
      <c r="A51" s="171" t="s">
        <v>286</v>
      </c>
      <c r="B51" s="172" t="s">
        <v>130</v>
      </c>
      <c r="C51" s="172" t="s">
        <v>131</v>
      </c>
      <c r="D51" s="199">
        <v>3342</v>
      </c>
      <c r="E51" s="199">
        <v>3986.5</v>
      </c>
      <c r="F51" s="199">
        <v>3342</v>
      </c>
      <c r="G51" s="199">
        <v>3986.5</v>
      </c>
      <c r="H51" s="199">
        <v>3986.5</v>
      </c>
      <c r="I51" s="199">
        <v>3986.5</v>
      </c>
      <c r="J51" s="199">
        <v>3664.25</v>
      </c>
    </row>
    <row r="52" spans="1:10">
      <c r="A52" s="171" t="s">
        <v>286</v>
      </c>
      <c r="B52" s="172" t="s">
        <v>130</v>
      </c>
      <c r="C52" s="172" t="s">
        <v>132</v>
      </c>
      <c r="D52" s="199">
        <v>39.96</v>
      </c>
      <c r="E52" s="199">
        <v>75</v>
      </c>
      <c r="F52" s="199">
        <v>40</v>
      </c>
      <c r="G52" s="199">
        <v>61</v>
      </c>
      <c r="H52" s="199">
        <v>75</v>
      </c>
      <c r="I52" s="199">
        <v>75</v>
      </c>
      <c r="J52" s="199">
        <v>53.99</v>
      </c>
    </row>
    <row r="53" spans="1:10">
      <c r="A53" s="171" t="s">
        <v>286</v>
      </c>
      <c r="B53" s="172" t="s">
        <v>130</v>
      </c>
      <c r="C53" s="172" t="s">
        <v>272</v>
      </c>
      <c r="D53" s="199">
        <v>19.059999999999999</v>
      </c>
      <c r="E53" s="199">
        <v>19.059999999999999</v>
      </c>
      <c r="F53" s="199">
        <v>19.059999999999999</v>
      </c>
      <c r="G53" s="199">
        <v>19.059999999999999</v>
      </c>
      <c r="H53" s="199">
        <v>19.059999999999999</v>
      </c>
      <c r="I53" s="199">
        <v>19.059999999999999</v>
      </c>
      <c r="J53" s="199">
        <v>19.059999999999999</v>
      </c>
    </row>
    <row r="54" spans="1:10">
      <c r="A54" s="171" t="s">
        <v>286</v>
      </c>
      <c r="B54" s="172" t="s">
        <v>130</v>
      </c>
      <c r="C54" s="172" t="s">
        <v>133</v>
      </c>
      <c r="D54" s="199">
        <v>24</v>
      </c>
      <c r="E54" s="199">
        <v>24</v>
      </c>
      <c r="F54" s="199">
        <v>24</v>
      </c>
      <c r="G54" s="199">
        <v>24</v>
      </c>
      <c r="H54" s="199">
        <v>24</v>
      </c>
      <c r="I54" s="199">
        <v>24</v>
      </c>
      <c r="J54" s="199">
        <v>24</v>
      </c>
    </row>
    <row r="55" spans="1:10">
      <c r="A55" s="171" t="s">
        <v>286</v>
      </c>
      <c r="B55" s="172" t="s">
        <v>130</v>
      </c>
      <c r="C55" s="172" t="s">
        <v>134</v>
      </c>
      <c r="D55" s="199">
        <v>3.78</v>
      </c>
      <c r="E55" s="199">
        <v>5.76</v>
      </c>
      <c r="F55" s="199">
        <v>3.78</v>
      </c>
      <c r="G55" s="199">
        <v>3.78</v>
      </c>
      <c r="H55" s="199">
        <v>3.78</v>
      </c>
      <c r="I55" s="199">
        <v>3.78</v>
      </c>
      <c r="J55" s="199">
        <v>3.85425</v>
      </c>
    </row>
    <row r="56" spans="1:10">
      <c r="A56" s="171" t="s">
        <v>286</v>
      </c>
      <c r="B56" s="172" t="s">
        <v>130</v>
      </c>
      <c r="C56" s="172" t="s">
        <v>135</v>
      </c>
      <c r="D56" s="199">
        <v>58</v>
      </c>
      <c r="E56" s="199">
        <v>205</v>
      </c>
      <c r="F56" s="199">
        <v>95</v>
      </c>
      <c r="G56" s="199">
        <v>108</v>
      </c>
      <c r="H56" s="199">
        <v>150</v>
      </c>
      <c r="I56" s="199">
        <v>160</v>
      </c>
      <c r="J56" s="199">
        <v>114.5</v>
      </c>
    </row>
    <row r="57" spans="1:10">
      <c r="A57" s="171" t="s">
        <v>286</v>
      </c>
      <c r="B57" s="200" t="s">
        <v>136</v>
      </c>
      <c r="C57" s="200" t="s">
        <v>288</v>
      </c>
      <c r="D57" s="199">
        <v>0</v>
      </c>
      <c r="E57" s="199">
        <v>0</v>
      </c>
      <c r="F57" s="199">
        <v>0</v>
      </c>
      <c r="G57" s="199">
        <v>0</v>
      </c>
      <c r="H57" s="199">
        <v>0</v>
      </c>
      <c r="I57" s="199">
        <v>0</v>
      </c>
      <c r="J57" s="199">
        <v>0</v>
      </c>
    </row>
    <row r="58" spans="1:10">
      <c r="A58" s="171" t="s">
        <v>286</v>
      </c>
      <c r="B58" s="200" t="s">
        <v>136</v>
      </c>
      <c r="C58" s="200" t="s">
        <v>138</v>
      </c>
      <c r="D58" s="199">
        <v>13</v>
      </c>
      <c r="E58" s="199">
        <v>490</v>
      </c>
      <c r="F58" s="199">
        <v>38</v>
      </c>
      <c r="G58" s="199">
        <v>65</v>
      </c>
      <c r="H58" s="199">
        <v>92</v>
      </c>
      <c r="I58" s="199">
        <v>119.9</v>
      </c>
      <c r="J58" s="199">
        <v>71.502194860813702</v>
      </c>
    </row>
    <row r="59" spans="1:10">
      <c r="A59" s="171" t="s">
        <v>286</v>
      </c>
      <c r="B59" s="200" t="s">
        <v>136</v>
      </c>
      <c r="C59" s="200" t="s">
        <v>139</v>
      </c>
      <c r="D59" s="199">
        <v>170</v>
      </c>
      <c r="E59" s="199">
        <v>400</v>
      </c>
      <c r="F59" s="199">
        <v>170</v>
      </c>
      <c r="G59" s="199">
        <v>170</v>
      </c>
      <c r="H59" s="199">
        <v>400</v>
      </c>
      <c r="I59" s="199">
        <v>400</v>
      </c>
      <c r="J59" s="199">
        <v>246.666666666667</v>
      </c>
    </row>
    <row r="60" spans="1:10">
      <c r="A60" s="171" t="s">
        <v>286</v>
      </c>
      <c r="B60" s="200" t="s">
        <v>136</v>
      </c>
      <c r="C60" s="200" t="s">
        <v>140</v>
      </c>
      <c r="D60" s="199">
        <v>14</v>
      </c>
      <c r="E60" s="199">
        <v>370</v>
      </c>
      <c r="F60" s="199">
        <v>126.65</v>
      </c>
      <c r="G60" s="199">
        <v>152.1</v>
      </c>
      <c r="H60" s="199">
        <v>186.15</v>
      </c>
      <c r="I60" s="199">
        <v>251</v>
      </c>
      <c r="J60" s="199">
        <v>164.072228915663</v>
      </c>
    </row>
    <row r="61" spans="1:10">
      <c r="A61" s="171" t="s">
        <v>286</v>
      </c>
      <c r="B61" s="200" t="s">
        <v>136</v>
      </c>
      <c r="C61" s="200" t="s">
        <v>141</v>
      </c>
      <c r="D61" s="199">
        <v>45.6</v>
      </c>
      <c r="E61" s="199">
        <v>1533</v>
      </c>
      <c r="F61" s="199">
        <v>336.04</v>
      </c>
      <c r="G61" s="199">
        <v>481</v>
      </c>
      <c r="H61" s="199">
        <v>660</v>
      </c>
      <c r="I61" s="199">
        <v>802.54</v>
      </c>
      <c r="J61" s="199">
        <v>511.61549579832001</v>
      </c>
    </row>
    <row r="62" spans="1:10">
      <c r="A62" s="171" t="s">
        <v>286</v>
      </c>
      <c r="B62" s="200" t="s">
        <v>136</v>
      </c>
      <c r="C62" s="200" t="s">
        <v>142</v>
      </c>
      <c r="D62" s="199">
        <v>95</v>
      </c>
      <c r="E62" s="199">
        <v>800</v>
      </c>
      <c r="F62" s="199">
        <v>250.2</v>
      </c>
      <c r="G62" s="199">
        <v>288</v>
      </c>
      <c r="H62" s="199">
        <v>347.65</v>
      </c>
      <c r="I62" s="199">
        <v>435</v>
      </c>
      <c r="J62" s="199">
        <v>309.28845999999999</v>
      </c>
    </row>
    <row r="63" spans="1:10">
      <c r="A63" s="171" t="s">
        <v>286</v>
      </c>
      <c r="B63" s="200" t="s">
        <v>136</v>
      </c>
      <c r="C63" s="200" t="s">
        <v>143</v>
      </c>
      <c r="D63" s="199">
        <v>1</v>
      </c>
      <c r="E63" s="199">
        <v>420</v>
      </c>
      <c r="F63" s="199">
        <v>32.5</v>
      </c>
      <c r="G63" s="199">
        <v>42.5</v>
      </c>
      <c r="H63" s="199">
        <v>105</v>
      </c>
      <c r="I63" s="199">
        <v>240</v>
      </c>
      <c r="J63" s="199">
        <v>79.581012658227806</v>
      </c>
    </row>
    <row r="64" spans="1:10">
      <c r="A64" s="171" t="s">
        <v>286</v>
      </c>
      <c r="B64" s="200" t="s">
        <v>136</v>
      </c>
      <c r="C64" s="200" t="s">
        <v>144</v>
      </c>
      <c r="D64" s="199">
        <v>9.99</v>
      </c>
      <c r="E64" s="199">
        <v>3000</v>
      </c>
      <c r="F64" s="199">
        <v>99</v>
      </c>
      <c r="G64" s="199">
        <v>152</v>
      </c>
      <c r="H64" s="199">
        <v>230</v>
      </c>
      <c r="I64" s="199">
        <v>324.24</v>
      </c>
      <c r="J64" s="199">
        <v>187.54284355828199</v>
      </c>
    </row>
    <row r="65" spans="1:10">
      <c r="A65" s="171" t="s">
        <v>286</v>
      </c>
      <c r="B65" s="200" t="s">
        <v>136</v>
      </c>
      <c r="C65" s="200" t="s">
        <v>145</v>
      </c>
      <c r="D65" s="199">
        <v>721.2</v>
      </c>
      <c r="E65" s="199">
        <v>790</v>
      </c>
      <c r="F65" s="199">
        <v>721.2</v>
      </c>
      <c r="G65" s="199">
        <v>760</v>
      </c>
      <c r="H65" s="199">
        <v>790</v>
      </c>
      <c r="I65" s="199">
        <v>790</v>
      </c>
      <c r="J65" s="199">
        <v>757.06666666666604</v>
      </c>
    </row>
    <row r="66" spans="1:10">
      <c r="A66" s="171" t="s">
        <v>286</v>
      </c>
      <c r="B66" s="200" t="s">
        <v>136</v>
      </c>
      <c r="C66" s="200" t="s">
        <v>146</v>
      </c>
      <c r="D66" s="199">
        <v>240</v>
      </c>
      <c r="E66" s="199">
        <v>540</v>
      </c>
      <c r="F66" s="199">
        <v>540</v>
      </c>
      <c r="G66" s="199">
        <v>540</v>
      </c>
      <c r="H66" s="199">
        <v>540</v>
      </c>
      <c r="I66" s="199">
        <v>540</v>
      </c>
      <c r="J66" s="199">
        <v>465</v>
      </c>
    </row>
    <row r="67" spans="1:10">
      <c r="A67" s="171" t="s">
        <v>286</v>
      </c>
      <c r="B67" s="200" t="s">
        <v>147</v>
      </c>
      <c r="C67" s="200" t="s">
        <v>148</v>
      </c>
      <c r="D67" s="199">
        <v>0.01</v>
      </c>
      <c r="E67" s="199">
        <v>2588.04</v>
      </c>
      <c r="F67" s="199">
        <v>1.02</v>
      </c>
      <c r="G67" s="199">
        <v>1.55</v>
      </c>
      <c r="H67" s="199">
        <v>3.48</v>
      </c>
      <c r="I67" s="199">
        <v>6.3</v>
      </c>
      <c r="J67" s="199">
        <v>3.72520213825281</v>
      </c>
    </row>
    <row r="68" spans="1:10">
      <c r="A68" s="171" t="s">
        <v>286</v>
      </c>
      <c r="B68" s="200" t="s">
        <v>149</v>
      </c>
      <c r="C68" s="200" t="s">
        <v>150</v>
      </c>
      <c r="D68" s="199">
        <v>7</v>
      </c>
      <c r="E68" s="199">
        <v>85</v>
      </c>
      <c r="F68" s="199">
        <v>35</v>
      </c>
      <c r="G68" s="199">
        <v>40</v>
      </c>
      <c r="H68" s="199">
        <v>50</v>
      </c>
      <c r="I68" s="199">
        <v>60</v>
      </c>
      <c r="J68" s="199">
        <v>43.362931937172803</v>
      </c>
    </row>
    <row r="69" spans="1:10">
      <c r="A69" s="171" t="s">
        <v>286</v>
      </c>
      <c r="B69" s="200" t="s">
        <v>151</v>
      </c>
      <c r="C69" s="200" t="s">
        <v>152</v>
      </c>
      <c r="D69" s="199">
        <v>1</v>
      </c>
      <c r="E69" s="199">
        <v>3500</v>
      </c>
      <c r="F69" s="199">
        <v>17</v>
      </c>
      <c r="G69" s="199">
        <v>26.25</v>
      </c>
      <c r="H69" s="199">
        <v>48.56</v>
      </c>
      <c r="I69" s="199">
        <v>76.8</v>
      </c>
      <c r="J69" s="199">
        <v>44.612150044473999</v>
      </c>
    </row>
    <row r="70" spans="1:10">
      <c r="A70" s="171" t="s">
        <v>286</v>
      </c>
      <c r="B70" s="200" t="s">
        <v>151</v>
      </c>
      <c r="C70" s="200" t="s">
        <v>153</v>
      </c>
      <c r="D70" s="199">
        <v>0.38</v>
      </c>
      <c r="E70" s="199">
        <v>850</v>
      </c>
      <c r="F70" s="199">
        <v>15.96</v>
      </c>
      <c r="G70" s="199">
        <v>29.97</v>
      </c>
      <c r="H70" s="199">
        <v>65.819999999999993</v>
      </c>
      <c r="I70" s="199">
        <v>96.49</v>
      </c>
      <c r="J70" s="199">
        <v>43.1782332233213</v>
      </c>
    </row>
    <row r="71" spans="1:10">
      <c r="A71" s="171" t="s">
        <v>286</v>
      </c>
      <c r="B71" s="200" t="s">
        <v>151</v>
      </c>
      <c r="C71" s="200" t="s">
        <v>154</v>
      </c>
      <c r="D71" s="199">
        <v>0.27</v>
      </c>
      <c r="E71" s="199">
        <v>675</v>
      </c>
      <c r="F71" s="199">
        <v>4.32</v>
      </c>
      <c r="G71" s="199">
        <v>12.96</v>
      </c>
      <c r="H71" s="199">
        <v>34.83</v>
      </c>
      <c r="I71" s="199">
        <v>61.02</v>
      </c>
      <c r="J71" s="199">
        <v>24.253693510165299</v>
      </c>
    </row>
    <row r="72" spans="1:10">
      <c r="A72" s="171" t="s">
        <v>286</v>
      </c>
      <c r="B72" s="200" t="s">
        <v>151</v>
      </c>
      <c r="C72" s="200" t="s">
        <v>155</v>
      </c>
      <c r="D72" s="199">
        <v>0.75</v>
      </c>
      <c r="E72" s="199">
        <v>4502.8</v>
      </c>
      <c r="F72" s="199">
        <v>16.13</v>
      </c>
      <c r="G72" s="199">
        <v>17.7</v>
      </c>
      <c r="H72" s="199">
        <v>25.25</v>
      </c>
      <c r="I72" s="199">
        <v>38</v>
      </c>
      <c r="J72" s="199">
        <v>23.245144333808199</v>
      </c>
    </row>
    <row r="73" spans="1:10">
      <c r="A73" s="171" t="s">
        <v>286</v>
      </c>
      <c r="B73" s="200" t="s">
        <v>151</v>
      </c>
      <c r="C73" s="200" t="s">
        <v>156</v>
      </c>
      <c r="D73" s="199">
        <v>1.35</v>
      </c>
      <c r="E73" s="199">
        <v>5287.65</v>
      </c>
      <c r="F73" s="199">
        <v>5</v>
      </c>
      <c r="G73" s="199">
        <v>25</v>
      </c>
      <c r="H73" s="199">
        <v>26.24</v>
      </c>
      <c r="I73" s="199">
        <v>58</v>
      </c>
      <c r="J73" s="199">
        <v>24.822325362832199</v>
      </c>
    </row>
    <row r="74" spans="1:10">
      <c r="A74" s="171" t="s">
        <v>286</v>
      </c>
      <c r="B74" s="200" t="s">
        <v>151</v>
      </c>
      <c r="C74" s="200" t="s">
        <v>181</v>
      </c>
      <c r="D74" s="199">
        <v>160.41</v>
      </c>
      <c r="E74" s="199">
        <v>160.41</v>
      </c>
      <c r="F74" s="199">
        <v>160.41</v>
      </c>
      <c r="G74" s="199">
        <v>160.41</v>
      </c>
      <c r="H74" s="199">
        <v>160.41</v>
      </c>
      <c r="I74" s="199">
        <v>160.41</v>
      </c>
      <c r="J74" s="199">
        <v>160.41</v>
      </c>
    </row>
    <row r="75" spans="1:10">
      <c r="A75" s="171" t="s">
        <v>286</v>
      </c>
      <c r="B75" s="200" t="s">
        <v>151</v>
      </c>
      <c r="C75" s="200" t="s">
        <v>157</v>
      </c>
      <c r="D75" s="199">
        <v>15</v>
      </c>
      <c r="E75" s="199">
        <v>1750</v>
      </c>
      <c r="F75" s="199">
        <v>1340</v>
      </c>
      <c r="G75" s="199">
        <v>1700</v>
      </c>
      <c r="H75" s="199">
        <v>1750</v>
      </c>
      <c r="I75" s="199">
        <v>1750</v>
      </c>
      <c r="J75" s="199">
        <v>1304.6428571428601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euil10">
    <tabColor theme="9" tint="0.79998168889431442"/>
  </sheetPr>
  <dimension ref="A1:S28"/>
  <sheetViews>
    <sheetView zoomScaleNormal="100" workbookViewId="0">
      <selection activeCell="Q1" sqref="Q1:Q2"/>
    </sheetView>
  </sheetViews>
  <sheetFormatPr baseColWidth="10" defaultColWidth="11.41015625" defaultRowHeight="14.35"/>
  <cols>
    <col min="1" max="1" width="15.64453125" style="275" bestFit="1" customWidth="1"/>
    <col min="2" max="2" width="11.703125" style="275" bestFit="1" customWidth="1"/>
    <col min="3" max="3" width="41.1171875" style="275" bestFit="1" customWidth="1"/>
    <col min="4" max="4" width="2.87890625" style="275" customWidth="1"/>
    <col min="5" max="5" width="17.5859375" style="275" bestFit="1" customWidth="1"/>
    <col min="6" max="6" width="11.703125" style="275" bestFit="1" customWidth="1"/>
    <col min="7" max="12" width="2.17578125" style="275" customWidth="1"/>
    <col min="13" max="13" width="11.703125" style="275" bestFit="1" customWidth="1"/>
    <col min="14" max="14" width="10.703125" style="275" bestFit="1" customWidth="1"/>
    <col min="15" max="15" width="14.29296875" style="275" bestFit="1" customWidth="1"/>
    <col min="16" max="16" width="2.05859375" style="275" customWidth="1"/>
    <col min="17" max="17" width="18" style="275" bestFit="1" customWidth="1"/>
    <col min="18" max="18" width="2.05859375" style="275" customWidth="1"/>
    <col min="19" max="16384" width="11.41015625" style="275"/>
  </cols>
  <sheetData>
    <row r="1" spans="1:19" s="307" customFormat="1">
      <c r="A1" s="306" t="s">
        <v>277</v>
      </c>
      <c r="B1" s="306" t="s">
        <v>278</v>
      </c>
      <c r="C1" s="306" t="s">
        <v>279</v>
      </c>
      <c r="D1" s="306"/>
      <c r="E1" s="306" t="s">
        <v>277</v>
      </c>
      <c r="F1" s="306" t="s">
        <v>278</v>
      </c>
      <c r="M1" s="306" t="s">
        <v>289</v>
      </c>
      <c r="N1" s="306" t="s">
        <v>290</v>
      </c>
      <c r="O1" s="306" t="s">
        <v>291</v>
      </c>
      <c r="Q1" s="306"/>
    </row>
    <row r="2" spans="1:19">
      <c r="A2" s="275" t="s">
        <v>292</v>
      </c>
      <c r="B2" s="275" t="s">
        <v>242</v>
      </c>
      <c r="C2" s="275" t="s">
        <v>241</v>
      </c>
      <c r="E2" s="275" t="s">
        <v>292</v>
      </c>
      <c r="F2" s="275" t="s">
        <v>242</v>
      </c>
      <c r="M2" s="276" t="s">
        <v>306</v>
      </c>
      <c r="N2" s="276" t="s">
        <v>307</v>
      </c>
      <c r="O2" s="276" t="s">
        <v>307</v>
      </c>
      <c r="Q2" s="276"/>
      <c r="S2" s="276" t="s">
        <v>308</v>
      </c>
    </row>
    <row r="3" spans="1:19">
      <c r="A3" s="275" t="s">
        <v>292</v>
      </c>
      <c r="B3" s="275" t="s">
        <v>242</v>
      </c>
      <c r="C3" s="275" t="s">
        <v>91</v>
      </c>
      <c r="E3" s="275" t="s">
        <v>292</v>
      </c>
      <c r="F3" s="275" t="s">
        <v>85</v>
      </c>
    </row>
    <row r="4" spans="1:19">
      <c r="A4" s="275" t="s">
        <v>292</v>
      </c>
      <c r="B4" s="275" t="s">
        <v>85</v>
      </c>
      <c r="E4" s="275" t="s">
        <v>292</v>
      </c>
      <c r="F4" s="275" t="s">
        <v>92</v>
      </c>
    </row>
    <row r="5" spans="1:19">
      <c r="A5" s="275" t="s">
        <v>292</v>
      </c>
      <c r="B5" s="275" t="s">
        <v>92</v>
      </c>
      <c r="C5" s="275" t="s">
        <v>93</v>
      </c>
      <c r="E5" s="275" t="s">
        <v>292</v>
      </c>
      <c r="F5" s="275" t="s">
        <v>95</v>
      </c>
    </row>
    <row r="6" spans="1:19">
      <c r="A6" s="275" t="s">
        <v>292</v>
      </c>
      <c r="B6" s="275" t="s">
        <v>95</v>
      </c>
      <c r="C6" s="275" t="s">
        <v>86</v>
      </c>
      <c r="E6" s="275" t="s">
        <v>292</v>
      </c>
      <c r="F6" s="275" t="s">
        <v>120</v>
      </c>
    </row>
    <row r="7" spans="1:19">
      <c r="A7" s="275" t="s">
        <v>292</v>
      </c>
      <c r="B7" s="275" t="s">
        <v>95</v>
      </c>
      <c r="C7" s="275" t="s">
        <v>245</v>
      </c>
      <c r="E7" s="275" t="s">
        <v>292</v>
      </c>
      <c r="F7" s="275" t="s">
        <v>136</v>
      </c>
    </row>
    <row r="8" spans="1:19">
      <c r="A8" s="275" t="s">
        <v>292</v>
      </c>
      <c r="B8" s="275" t="s">
        <v>95</v>
      </c>
      <c r="C8" s="275" t="s">
        <v>246</v>
      </c>
      <c r="E8" s="275" t="s">
        <v>292</v>
      </c>
      <c r="F8" s="275" t="s">
        <v>149</v>
      </c>
    </row>
    <row r="9" spans="1:19">
      <c r="A9" s="275" t="s">
        <v>292</v>
      </c>
      <c r="B9" s="275" t="s">
        <v>95</v>
      </c>
      <c r="C9" s="275" t="s">
        <v>247</v>
      </c>
      <c r="E9" s="275" t="s">
        <v>292</v>
      </c>
      <c r="F9" s="275" t="s">
        <v>151</v>
      </c>
    </row>
    <row r="10" spans="1:19">
      <c r="A10" s="275" t="s">
        <v>292</v>
      </c>
      <c r="B10" s="275" t="s">
        <v>95</v>
      </c>
      <c r="C10" s="275" t="s">
        <v>248</v>
      </c>
    </row>
    <row r="11" spans="1:19">
      <c r="A11" s="275" t="s">
        <v>292</v>
      </c>
      <c r="B11" s="275" t="s">
        <v>95</v>
      </c>
      <c r="C11" s="275" t="s">
        <v>249</v>
      </c>
    </row>
    <row r="12" spans="1:19">
      <c r="A12" s="275" t="s">
        <v>292</v>
      </c>
      <c r="B12" s="275" t="s">
        <v>95</v>
      </c>
      <c r="C12" s="275" t="s">
        <v>119</v>
      </c>
    </row>
    <row r="13" spans="1:19">
      <c r="A13" s="275" t="s">
        <v>292</v>
      </c>
      <c r="B13" s="275" t="s">
        <v>120</v>
      </c>
      <c r="C13" s="275" t="s">
        <v>122</v>
      </c>
    </row>
    <row r="14" spans="1:19">
      <c r="A14" s="275" t="s">
        <v>292</v>
      </c>
      <c r="B14" s="275" t="s">
        <v>120</v>
      </c>
      <c r="C14" s="275" t="s">
        <v>123</v>
      </c>
    </row>
    <row r="15" spans="1:19">
      <c r="A15" s="275" t="s">
        <v>292</v>
      </c>
      <c r="B15" s="275" t="s">
        <v>120</v>
      </c>
      <c r="C15" s="275" t="s">
        <v>250</v>
      </c>
    </row>
    <row r="16" spans="1:19">
      <c r="A16" s="275" t="s">
        <v>292</v>
      </c>
      <c r="B16" s="275" t="s">
        <v>120</v>
      </c>
      <c r="C16" s="275" t="s">
        <v>125</v>
      </c>
    </row>
    <row r="17" spans="1:3">
      <c r="A17" s="275" t="s">
        <v>292</v>
      </c>
      <c r="B17" s="275" t="s">
        <v>120</v>
      </c>
      <c r="C17" s="275" t="s">
        <v>251</v>
      </c>
    </row>
    <row r="18" spans="1:3">
      <c r="A18" s="275" t="s">
        <v>292</v>
      </c>
      <c r="B18" s="275" t="s">
        <v>120</v>
      </c>
      <c r="C18" s="275" t="s">
        <v>252</v>
      </c>
    </row>
    <row r="19" spans="1:3">
      <c r="A19" s="275" t="s">
        <v>292</v>
      </c>
      <c r="B19" s="275" t="s">
        <v>136</v>
      </c>
      <c r="C19" s="275" t="s">
        <v>253</v>
      </c>
    </row>
    <row r="20" spans="1:3">
      <c r="A20" s="275" t="s">
        <v>292</v>
      </c>
      <c r="B20" s="275" t="s">
        <v>136</v>
      </c>
      <c r="C20" s="275" t="s">
        <v>254</v>
      </c>
    </row>
    <row r="21" spans="1:3">
      <c r="A21" s="275" t="s">
        <v>292</v>
      </c>
      <c r="B21" s="275" t="s">
        <v>136</v>
      </c>
      <c r="C21" s="275" t="s">
        <v>138</v>
      </c>
    </row>
    <row r="22" spans="1:3">
      <c r="A22" s="275" t="s">
        <v>292</v>
      </c>
      <c r="B22" s="275" t="s">
        <v>149</v>
      </c>
      <c r="C22" s="275" t="s">
        <v>90</v>
      </c>
    </row>
    <row r="23" spans="1:3">
      <c r="A23" s="275" t="s">
        <v>292</v>
      </c>
      <c r="B23" s="275" t="s">
        <v>149</v>
      </c>
      <c r="C23" s="275" t="s">
        <v>255</v>
      </c>
    </row>
    <row r="24" spans="1:3">
      <c r="A24" s="275" t="s">
        <v>292</v>
      </c>
      <c r="B24" s="275" t="s">
        <v>151</v>
      </c>
      <c r="C24" s="275" t="s">
        <v>154</v>
      </c>
    </row>
    <row r="25" spans="1:3">
      <c r="A25" s="275" t="s">
        <v>292</v>
      </c>
      <c r="B25" s="275" t="s">
        <v>151</v>
      </c>
      <c r="C25" s="275" t="s">
        <v>155</v>
      </c>
    </row>
    <row r="26" spans="1:3">
      <c r="A26" s="275" t="s">
        <v>292</v>
      </c>
      <c r="B26" s="275" t="s">
        <v>151</v>
      </c>
      <c r="C26" s="275" t="s">
        <v>256</v>
      </c>
    </row>
    <row r="27" spans="1:3">
      <c r="A27" s="275" t="s">
        <v>292</v>
      </c>
      <c r="B27" s="275" t="s">
        <v>151</v>
      </c>
      <c r="C27" s="275" t="s">
        <v>257</v>
      </c>
    </row>
    <row r="28" spans="1:3">
      <c r="A28" s="275" t="s">
        <v>292</v>
      </c>
      <c r="B28" s="275" t="s">
        <v>151</v>
      </c>
      <c r="C28" s="275" t="s">
        <v>148</v>
      </c>
    </row>
  </sheetData>
  <sortState xmlns:xlrd2="http://schemas.microsoft.com/office/spreadsheetml/2017/richdata2" ref="A4:C16">
    <sortCondition ref="A1:A1048549"/>
  </sortState>
  <pageMargins left="0.7" right="0.7" top="0.75" bottom="0.75" header="0.3" footer="0.3"/>
  <pageSetup paperSize="9" orientation="portrait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Feuil1"/>
  <dimension ref="A1:G512"/>
  <sheetViews>
    <sheetView workbookViewId="0">
      <selection activeCell="A3" sqref="A3"/>
    </sheetView>
  </sheetViews>
  <sheetFormatPr baseColWidth="10" defaultColWidth="11.41015625" defaultRowHeight="14.35"/>
  <cols>
    <col min="1" max="1" width="19.5859375" style="89" bestFit="1" customWidth="1"/>
    <col min="2" max="2" width="50.41015625" style="89" bestFit="1" customWidth="1"/>
    <col min="3" max="3" width="16.41015625" style="89" bestFit="1" customWidth="1"/>
    <col min="4" max="8" width="11.41015625" style="89" customWidth="1"/>
    <col min="9" max="16384" width="11.41015625" style="89"/>
  </cols>
  <sheetData>
    <row r="1" spans="1:7">
      <c r="A1" s="89" t="s">
        <v>293</v>
      </c>
      <c r="B1" s="89" t="s">
        <v>294</v>
      </c>
      <c r="C1" s="89" t="s">
        <v>214</v>
      </c>
    </row>
    <row r="2" spans="1:7">
      <c r="A2" s="89" t="s">
        <v>8</v>
      </c>
      <c r="B2" s="89" t="s">
        <v>8</v>
      </c>
      <c r="C2" s="89" t="s">
        <v>276</v>
      </c>
    </row>
    <row r="4" spans="1:7">
      <c r="G4" s="37"/>
    </row>
    <row r="416" spans="1:3">
      <c r="A416" s="155"/>
      <c r="B416" s="155"/>
      <c r="C416" s="155"/>
    </row>
    <row r="438" spans="1:3">
      <c r="A438" s="155"/>
      <c r="B438" s="155"/>
      <c r="C438" s="155"/>
    </row>
    <row r="441" spans="1:3">
      <c r="A441" s="155"/>
      <c r="B441" s="155"/>
      <c r="C441" s="155"/>
    </row>
    <row r="456" spans="1:3">
      <c r="A456" s="155"/>
      <c r="B456" s="155"/>
      <c r="C456" s="155"/>
    </row>
    <row r="478" spans="1:3">
      <c r="A478" s="155"/>
      <c r="B478" s="155"/>
      <c r="C478" s="155"/>
    </row>
    <row r="481" spans="1:3">
      <c r="A481" s="155"/>
      <c r="B481" s="155"/>
      <c r="C481" s="155"/>
    </row>
    <row r="494" spans="1:3">
      <c r="A494" s="51"/>
      <c r="B494" s="51"/>
      <c r="C494" s="51"/>
    </row>
    <row r="495" spans="1:3">
      <c r="A495" s="51"/>
      <c r="B495" s="51"/>
      <c r="C495" s="51"/>
    </row>
    <row r="496" spans="1:3">
      <c r="A496" s="51"/>
      <c r="B496" s="51"/>
      <c r="C496" s="51"/>
    </row>
    <row r="497" spans="1:3">
      <c r="A497" s="51"/>
      <c r="B497" s="51"/>
      <c r="C497" s="51"/>
    </row>
    <row r="498" spans="1:3">
      <c r="A498" s="51"/>
      <c r="B498" s="51"/>
      <c r="C498" s="51"/>
    </row>
    <row r="499" spans="1:3">
      <c r="A499" s="51"/>
      <c r="B499" s="51"/>
      <c r="C499" s="51"/>
    </row>
    <row r="500" spans="1:3">
      <c r="A500" s="51"/>
      <c r="B500" s="51"/>
      <c r="C500" s="51"/>
    </row>
    <row r="501" spans="1:3">
      <c r="A501" s="51"/>
      <c r="B501" s="51"/>
      <c r="C501" s="51"/>
    </row>
    <row r="502" spans="1:3">
      <c r="A502" s="51"/>
      <c r="B502" s="51"/>
      <c r="C502" s="51"/>
    </row>
    <row r="503" spans="1:3">
      <c r="A503" s="51"/>
      <c r="B503" s="51"/>
      <c r="C503" s="51"/>
    </row>
    <row r="504" spans="1:3">
      <c r="A504" s="155"/>
      <c r="B504" s="155"/>
      <c r="C504" s="155"/>
    </row>
    <row r="505" spans="1:3">
      <c r="A505" s="155"/>
      <c r="B505" s="155"/>
      <c r="C505" s="155"/>
    </row>
    <row r="506" spans="1:3">
      <c r="A506" s="155"/>
      <c r="B506" s="155"/>
      <c r="C506" s="155"/>
    </row>
    <row r="507" spans="1:3">
      <c r="A507" s="155"/>
      <c r="B507" s="155"/>
      <c r="C507" s="155"/>
    </row>
    <row r="508" spans="1:3">
      <c r="A508" s="155"/>
      <c r="B508" s="155"/>
      <c r="C508" s="155"/>
    </row>
    <row r="509" spans="1:3">
      <c r="A509" s="155"/>
      <c r="B509" s="155"/>
      <c r="C509" s="155"/>
    </row>
    <row r="512" spans="1:3">
      <c r="C512" s="155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Feuil3">
    <tabColor theme="0"/>
  </sheetPr>
  <dimension ref="A1:E1"/>
  <sheetViews>
    <sheetView workbookViewId="0">
      <selection sqref="A1:XFD2"/>
    </sheetView>
  </sheetViews>
  <sheetFormatPr baseColWidth="10" defaultColWidth="11.41015625" defaultRowHeight="14.35"/>
  <cols>
    <col min="1" max="1" width="21.87890625" style="173" bestFit="1" customWidth="1"/>
    <col min="2" max="2" width="97.87890625" bestFit="1" customWidth="1"/>
    <col min="3" max="3" width="14" bestFit="1" customWidth="1"/>
    <col min="4" max="4" width="38.1171875" bestFit="1" customWidth="1"/>
  </cols>
  <sheetData>
    <row r="1" spans="1:5">
      <c r="A1" s="173" t="s">
        <v>295</v>
      </c>
      <c r="B1" t="s">
        <v>296</v>
      </c>
      <c r="C1" t="s">
        <v>297</v>
      </c>
      <c r="D1" t="s">
        <v>298</v>
      </c>
      <c r="E1" t="s">
        <v>299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28</vt:i4>
      </vt:variant>
      <vt:variant>
        <vt:lpstr>Plages nommées</vt:lpstr>
      </vt:variant>
      <vt:variant>
        <vt:i4>9</vt:i4>
      </vt:variant>
    </vt:vector>
  </HeadingPairs>
  <TitlesOfParts>
    <vt:vector size="37" baseType="lpstr">
      <vt:lpstr>Page de garde</vt:lpstr>
      <vt:lpstr>Résultats</vt:lpstr>
      <vt:lpstr>Evolution effectifs</vt:lpstr>
      <vt:lpstr>Démographie</vt:lpstr>
      <vt:lpstr>Prestations Réglées</vt:lpstr>
      <vt:lpstr>Prestations Réglées Graph</vt:lpstr>
      <vt:lpstr>AIDES</vt:lpstr>
      <vt:lpstr>AUTRE</vt:lpstr>
      <vt:lpstr>CURE</vt:lpstr>
      <vt:lpstr>DENTA</vt:lpstr>
      <vt:lpstr>HOSPI</vt:lpstr>
      <vt:lpstr>OPTIQ</vt:lpstr>
      <vt:lpstr>PREVE</vt:lpstr>
      <vt:lpstr>SOINS</vt:lpstr>
      <vt:lpstr>Prestations Réglées N et N-1</vt:lpstr>
      <vt:lpstr>Prestations Réglées Moyennes</vt:lpstr>
      <vt:lpstr>Quartil garantie_1</vt:lpstr>
      <vt:lpstr>Quartil garantie_2</vt:lpstr>
      <vt:lpstr>Quartil garantie_3</vt:lpstr>
      <vt:lpstr>DATA DEMO</vt:lpstr>
      <vt:lpstr>DATA COT</vt:lpstr>
      <vt:lpstr>DATA PREST</vt:lpstr>
      <vt:lpstr>DATA EXP</vt:lpstr>
      <vt:lpstr>DATA PROV</vt:lpstr>
      <vt:lpstr>DATA QUARTILE</vt:lpstr>
      <vt:lpstr>AFFICHAGE</vt:lpstr>
      <vt:lpstr>COLLEGE</vt:lpstr>
      <vt:lpstr>Erreurs</vt:lpstr>
      <vt:lpstr>Démographie!Zone_d_impression</vt:lpstr>
      <vt:lpstr>'Evolution effectifs'!Zone_d_impression</vt:lpstr>
      <vt:lpstr>'Page de garde'!Zone_d_impression</vt:lpstr>
      <vt:lpstr>'Prestations Réglées'!Zone_d_impression</vt:lpstr>
      <vt:lpstr>'Prestations Réglées Graph'!Zone_d_impression</vt:lpstr>
      <vt:lpstr>'Quartil garantie_1'!Zone_d_impression</vt:lpstr>
      <vt:lpstr>'Quartil garantie_2'!Zone_d_impression</vt:lpstr>
      <vt:lpstr>'Quartil garantie_3'!Zone_d_impression</vt:lpstr>
      <vt:lpstr>Résultats!Zone_d_impression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2022-09-21T10:28:00Z</cp:lastPrinted>
  <dcterms:created xsi:type="dcterms:W3CDTF">2017-05-24T08:26:58Z</dcterms:created>
  <dcterms:modified xsi:type="dcterms:W3CDTF">2022-09-26T16:45:27Z</dcterms:modified>
</cp:coreProperties>
</file>