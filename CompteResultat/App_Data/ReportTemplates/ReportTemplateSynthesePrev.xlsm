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D:\Applications\Kerialis-CR3\App_Data\ReportTemplates\"/>
    </mc:Choice>
  </mc:AlternateContent>
  <xr:revisionPtr revIDLastSave="0" documentId="13_ncr:1_{69692E2B-E2C7-45EA-92D8-DDA5305D4F64}" xr6:coauthVersionLast="47" xr6:coauthVersionMax="47" xr10:uidLastSave="{00000000-0000-0000-0000-000000000000}"/>
  <bookViews>
    <workbookView xWindow="-120" yWindow="-120" windowWidth="25440" windowHeight="14775" xr2:uid="{00000000-000D-0000-FFFF-FFFF00000000}"/>
  </bookViews>
  <sheets>
    <sheet name="Page de garde" sheetId="13" r:id="rId1"/>
    <sheet name="SYNTHESE" sheetId="89" r:id="rId2"/>
    <sheet name="DONNEES PAR PRODUIT" sheetId="105" r:id="rId3"/>
    <sheet name="DONNEES PAR PRODUIT ET RISQUE" sheetId="93" r:id="rId4"/>
    <sheet name="DONNEES GRAPHIQUE PAR PRODUIT" sheetId="92" r:id="rId5"/>
    <sheet name="DONNEES GRAPHIQUE  PROD ET RISQ" sheetId="106" r:id="rId6"/>
    <sheet name="DATA" sheetId="104" r:id="rId7"/>
    <sheet name="DATA_CUMUL" sheetId="95" r:id="rId8"/>
    <sheet name="DATA_GARANTIE" sheetId="96" r:id="rId9"/>
    <sheet name="DATA_CUMUL_GARANTIE" sheetId="97" r:id="rId10"/>
    <sheet name="AFFICHAGE" sheetId="10" r:id="rId11"/>
    <sheet name="Erreurs" sheetId="36" r:id="rId12"/>
  </sheets>
  <functionGroups builtInGroupCount="19"/>
  <definedNames>
    <definedName name="_xlnm._FilterDatabase" localSheetId="6" hidden="1">DATA!$A$1:$P$1</definedName>
    <definedName name="_xlnm._FilterDatabase" localSheetId="9" hidden="1">DATA_CUMUL_GARANTIE!$A$1:$P$76</definedName>
    <definedName name="_xlnm._FilterDatabase" localSheetId="8" hidden="1">DATA_GARANTIE!$A$1:$P$36581</definedName>
    <definedName name="_xlnm.Print_Area" localSheetId="0">'Page de garde'!$A$1:$T$42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89" l="1"/>
</calcChain>
</file>

<file path=xl/sharedStrings.xml><?xml version="1.0" encoding="utf-8"?>
<sst xmlns="http://schemas.openxmlformats.org/spreadsheetml/2006/main" count="303" uniqueCount="85">
  <si>
    <t>MAJ EXCEL</t>
  </si>
  <si>
    <t>MAJ POWERPOINT</t>
  </si>
  <si>
    <t>NON</t>
  </si>
  <si>
    <t>STATISTIQUES SYNTHESE</t>
  </si>
  <si>
    <t>PREVOYANCE</t>
  </si>
  <si>
    <t/>
  </si>
  <si>
    <t xml:space="preserve">Période analysée : </t>
  </si>
  <si>
    <t>Date d'arrêté des comptes :</t>
  </si>
  <si>
    <t>SYNTHESE DES COMPTES DE RESULTATS PREVOYANCE</t>
  </si>
  <si>
    <t>Date d'arrêté :</t>
  </si>
  <si>
    <t>Survenance</t>
  </si>
  <si>
    <t>Garanties</t>
  </si>
  <si>
    <t>Prestations</t>
  </si>
  <si>
    <t>Provisions</t>
  </si>
  <si>
    <t>Cotisations brutes</t>
  </si>
  <si>
    <r>
      <t xml:space="preserve">Chargements </t>
    </r>
    <r>
      <rPr>
        <b/>
        <vertAlign val="superscript"/>
        <sz val="16"/>
        <color theme="0" tint="-0.499984740745262"/>
        <rFont val="DINBek"/>
      </rPr>
      <t>(*)</t>
    </r>
  </si>
  <si>
    <t xml:space="preserve">Cotisations nettes </t>
  </si>
  <si>
    <t>Ratio combiné</t>
  </si>
  <si>
    <t>Gains/Pertes</t>
  </si>
  <si>
    <t>AUTRES</t>
  </si>
  <si>
    <t>DECES</t>
  </si>
  <si>
    <t>INCAPACITE</t>
  </si>
  <si>
    <t>INVALIDITE</t>
  </si>
  <si>
    <t>TOTAL</t>
  </si>
  <si>
    <t>Nombre de Bénéficiaires</t>
  </si>
  <si>
    <t>ASSUREUR</t>
  </si>
  <si>
    <t>Nombre d'Entreprises</t>
  </si>
  <si>
    <t>Ratios Combinés</t>
  </si>
  <si>
    <t>Gains et Pertes</t>
  </si>
  <si>
    <t>numéro société</t>
  </si>
  <si>
    <t>Filiale</t>
  </si>
  <si>
    <t>Année de Survenance</t>
  </si>
  <si>
    <t>TYPE SINISTRE</t>
  </si>
  <si>
    <t>PSI</t>
  </si>
  <si>
    <t>Total Provisions</t>
  </si>
  <si>
    <t>Taux de chargements</t>
  </si>
  <si>
    <t>Ratio</t>
  </si>
  <si>
    <t>Pertes/bénéfices</t>
  </si>
  <si>
    <t>DATE d'ARRETEE</t>
  </si>
  <si>
    <t>PRODUIT</t>
  </si>
  <si>
    <t>CODE SINISTRE</t>
  </si>
  <si>
    <t>LIBELLE SINISTRE</t>
  </si>
  <si>
    <t>DATE DEBUT</t>
  </si>
  <si>
    <t>DATE FIN</t>
  </si>
  <si>
    <t>DATE D'ARRETE</t>
  </si>
  <si>
    <t>TOP_PERTES_GAINS</t>
  </si>
  <si>
    <t>Inaptitude</t>
  </si>
  <si>
    <t>01/01/2020</t>
  </si>
  <si>
    <t>31/12/2020</t>
  </si>
  <si>
    <t>15</t>
  </si>
  <si>
    <t>Perte d'autonomie</t>
  </si>
  <si>
    <t>Perte Totale et Irréversible d'Autonomie</t>
  </si>
  <si>
    <t>Décès assuré</t>
  </si>
  <si>
    <t>Décès conjoint</t>
  </si>
  <si>
    <t>Décès enfant</t>
  </si>
  <si>
    <t>Arrêt de travail</t>
  </si>
  <si>
    <t>Invalidité</t>
  </si>
  <si>
    <t>Numéro chronologique</t>
  </si>
  <si>
    <t>Traitement concerné</t>
  </si>
  <si>
    <t>Libellé Famille</t>
  </si>
  <si>
    <t>Libellé Acte</t>
  </si>
  <si>
    <t>Libellé de l'erreur</t>
  </si>
  <si>
    <t>1 janvier 2020 au 31 décembre 2020</t>
  </si>
  <si>
    <t>31 décembre 2020</t>
  </si>
  <si>
    <t>KERIALIS_PREVOYANCE_ENTREPRISE</t>
  </si>
  <si>
    <t>20200012</t>
  </si>
  <si>
    <t>EKILIBRE</t>
  </si>
  <si>
    <t>17300011</t>
  </si>
  <si>
    <t>EKILIBRE_2</t>
  </si>
  <si>
    <t>EKILIBRE_DECES</t>
  </si>
  <si>
    <t>EKILIBRE_INCAPACITE</t>
  </si>
  <si>
    <t>EKILIBRE_INVALIDITE</t>
  </si>
  <si>
    <t>appel de la Function GRAPHIQUE dans SYNTHESE</t>
  </si>
  <si>
    <t>Erreur : 1004 - Paramètre non valide</t>
  </si>
  <si>
    <t>Produits</t>
  </si>
  <si>
    <t>Pertes ou bénéfices</t>
  </si>
  <si>
    <t>PRODUIT ET RISQUE</t>
  </si>
  <si>
    <t>OUI</t>
  </si>
  <si>
    <t>TOP 15 PERTES</t>
  </si>
  <si>
    <t>Nom</t>
  </si>
  <si>
    <t>Matricule</t>
  </si>
  <si>
    <t>Produit</t>
  </si>
  <si>
    <t>PERTES</t>
  </si>
  <si>
    <t>TOP 15 GAINS</t>
  </si>
  <si>
    <t>GAINS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</si>
</sst>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6" formatCode="#,##0\ &quot;€&quot;;[Red]\-#,##0\ &quot;€&quot;"/>
    <numFmt numFmtId="164" formatCode="&quot;€&quot;#,##0_);[Red]\(&quot;€&quot;#,##0\)"/>
    <numFmt numFmtId="165" formatCode="_(&quot;€&quot;* #,##0.00_);_(&quot;€&quot;* \(#,##0.00\);_(&quot;€&quot;* &quot;-&quot;??_);_(@_)"/>
    <numFmt numFmtId="166" formatCode="#,##0\ &quot;€&quot;"/>
    <numFmt numFmtId="167" formatCode="#,##0.00\ &quot;€&quot;"/>
    <numFmt numFmtId="168" formatCode="_-* #,##0.00\ [$€-40C]_-;\-* #,##0.00\ [$€-40C]_-;_-* &quot;-&quot;??\ [$€-40C]_-;_-@_-"/>
    <numFmt numFmtId="169" formatCode="#,###"/>
  </numFmts>
  <fonts count="3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4"/>
      <color theme="1"/>
      <name val="DINBek"/>
    </font>
    <font>
      <sz val="14"/>
      <color theme="1"/>
      <name val="Calibri"/>
      <family val="2"/>
      <scheme val="minor"/>
    </font>
    <font>
      <b/>
      <sz val="12"/>
      <color theme="0"/>
      <name val="DINBek"/>
    </font>
    <font>
      <sz val="11"/>
      <name val="Calibri"/>
      <family val="2"/>
    </font>
    <font>
      <sz val="11"/>
      <color rgb="FF4FACBE"/>
      <name val="Calibri"/>
      <family val="2"/>
      <scheme val="minor"/>
    </font>
    <font>
      <sz val="26"/>
      <color rgb="FF4FACBE"/>
      <name val="Calibri"/>
      <family val="2"/>
      <scheme val="minor"/>
    </font>
    <font>
      <b/>
      <sz val="26"/>
      <color rgb="FF4FACBE"/>
      <name val="DINBek"/>
    </font>
    <font>
      <sz val="10"/>
      <color rgb="FF4FACBE"/>
      <name val="Arial"/>
      <family val="2"/>
    </font>
    <font>
      <sz val="26"/>
      <color rgb="FF4FACBE"/>
      <name val="Arial"/>
      <family val="2"/>
    </font>
    <font>
      <b/>
      <sz val="14"/>
      <color rgb="FF4FACBE"/>
      <name val="DINBek"/>
    </font>
    <font>
      <b/>
      <sz val="24"/>
      <color rgb="FF4FACBE"/>
      <name val="Calibri"/>
      <family val="2"/>
      <scheme val="minor"/>
    </font>
    <font>
      <sz val="16"/>
      <color theme="1"/>
      <name val="DINBek"/>
    </font>
    <font>
      <b/>
      <sz val="16"/>
      <color theme="1"/>
      <name val="DINBek"/>
    </font>
    <font>
      <b/>
      <sz val="16"/>
      <color rgb="FF004D55"/>
      <name val="DINBek"/>
    </font>
    <font>
      <b/>
      <sz val="28"/>
      <color rgb="FF004D55"/>
      <name val="DINBek"/>
    </font>
    <font>
      <sz val="12"/>
      <color rgb="FF004D55"/>
      <name val="DINBek"/>
    </font>
    <font>
      <b/>
      <sz val="36"/>
      <color rgb="FF004D55"/>
      <name val="DINbek Medium"/>
    </font>
    <font>
      <b/>
      <sz val="26"/>
      <color rgb="FF004D55"/>
      <name val="DINBek"/>
    </font>
    <font>
      <sz val="26"/>
      <color rgb="FF004D55"/>
      <name val="DINBek"/>
    </font>
    <font>
      <b/>
      <sz val="26"/>
      <color rgb="FF004D55"/>
      <name val="Arial"/>
      <family val="2"/>
    </font>
    <font>
      <b/>
      <sz val="11"/>
      <color theme="1"/>
      <name val="Calibri"/>
      <family val="2"/>
      <scheme val="minor"/>
    </font>
    <font>
      <sz val="16"/>
      <color rgb="FF004D55"/>
      <name val="DINBek"/>
    </font>
    <font>
      <b/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vertAlign val="superscript"/>
      <sz val="16"/>
      <color theme="0" tint="-0.499984740745262"/>
      <name val="DINBek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4FACB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</fills>
  <borders count="19">
    <border>
      <left/>
      <right/>
      <top/>
      <bottom/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  <border>
      <left/>
      <right/>
      <top style="thin">
        <color theme="8" tint="-0.24994659260841701"/>
      </top>
      <bottom/>
      <diagonal/>
    </border>
    <border>
      <left/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/>
      <top/>
      <bottom/>
      <diagonal/>
    </border>
    <border>
      <left/>
      <right style="thin">
        <color theme="8" tint="-0.24994659260841701"/>
      </right>
      <top/>
      <bottom/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/>
      <top/>
      <bottom style="thin">
        <color theme="8" tint="-0.24994659260841701"/>
      </bottom>
      <diagonal/>
    </border>
    <border>
      <left/>
      <right style="thin">
        <color theme="8" tint="-0.24994659260841701"/>
      </right>
      <top/>
      <bottom style="thin">
        <color theme="8" tint="-0.2499465926084170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0">
    <xf numFmtId="0" fontId="0" fillId="0" borderId="0"/>
    <xf numFmtId="165" fontId="1" fillId="0" borderId="0"/>
    <xf numFmtId="165" fontId="1" fillId="0" borderId="0"/>
    <xf numFmtId="0" fontId="2" fillId="0" borderId="0"/>
    <xf numFmtId="0" fontId="2" fillId="0" borderId="0"/>
    <xf numFmtId="0" fontId="6" fillId="0" borderId="0"/>
    <xf numFmtId="0" fontId="2" fillId="0" borderId="0"/>
    <xf numFmtId="0" fontId="2" fillId="0" borderId="0"/>
    <xf numFmtId="9" fontId="1" fillId="0" borderId="0"/>
    <xf numFmtId="9" fontId="2" fillId="0" borderId="0"/>
  </cellStyleXfs>
  <cellXfs count="118">
    <xf numFmtId="0" fontId="0" fillId="0" borderId="0" xfId="0" applyNumberFormat="1" applyFont="1" applyFill="1" applyBorder="1"/>
    <xf numFmtId="0" fontId="0" fillId="0" borderId="0" xfId="0" applyNumberFormat="1" applyFont="1" applyFill="1" applyBorder="1"/>
    <xf numFmtId="0" fontId="7" fillId="0" borderId="0" xfId="0" applyNumberFormat="1" applyFont="1" applyFill="1" applyBorder="1"/>
    <xf numFmtId="0" fontId="7" fillId="0" borderId="1" xfId="0" applyNumberFormat="1" applyFont="1" applyFill="1" applyBorder="1"/>
    <xf numFmtId="0" fontId="7" fillId="0" borderId="2" xfId="0" applyNumberFormat="1" applyFont="1" applyFill="1" applyBorder="1"/>
    <xf numFmtId="0" fontId="7" fillId="0" borderId="3" xfId="0" applyNumberFormat="1" applyFont="1" applyFill="1" applyBorder="1"/>
    <xf numFmtId="0" fontId="7" fillId="0" borderId="4" xfId="0" applyNumberFormat="1" applyFont="1" applyFill="1" applyBorder="1"/>
    <xf numFmtId="0" fontId="7" fillId="0" borderId="5" xfId="0" applyNumberFormat="1" applyFont="1" applyFill="1" applyBorder="1"/>
    <xf numFmtId="0" fontId="7" fillId="0" borderId="0" xfId="0" applyNumberFormat="1" applyFont="1" applyFill="1" applyBorder="1" applyAlignment="1">
      <alignment horizontal="left" vertical="center"/>
    </xf>
    <xf numFmtId="0" fontId="8" fillId="0" borderId="0" xfId="0" applyNumberFormat="1" applyFont="1" applyFill="1" applyBorder="1"/>
    <xf numFmtId="0" fontId="7" fillId="0" borderId="4" xfId="0" applyNumberFormat="1" applyFont="1" applyFill="1" applyBorder="1" applyAlignment="1">
      <alignment wrapText="1"/>
    </xf>
    <xf numFmtId="0" fontId="7" fillId="0" borderId="5" xfId="0" applyNumberFormat="1" applyFont="1" applyFill="1" applyBorder="1" applyAlignment="1">
      <alignment wrapText="1"/>
    </xf>
    <xf numFmtId="0" fontId="7" fillId="0" borderId="0" xfId="0" applyNumberFormat="1" applyFont="1" applyFill="1" applyBorder="1"/>
    <xf numFmtId="0" fontId="8" fillId="0" borderId="4" xfId="0" applyNumberFormat="1" applyFont="1" applyFill="1" applyBorder="1"/>
    <xf numFmtId="0" fontId="8" fillId="0" borderId="0" xfId="0" applyNumberFormat="1" applyFont="1" applyFill="1" applyBorder="1" applyAlignment="1">
      <alignment horizontal="left" vertical="center"/>
    </xf>
    <xf numFmtId="0" fontId="9" fillId="0" borderId="0" xfId="7" applyNumberFormat="1" applyFont="1" applyFill="1" applyBorder="1" applyAlignment="1">
      <alignment horizontal="left" vertical="center"/>
    </xf>
    <xf numFmtId="0" fontId="8" fillId="0" borderId="0" xfId="0" applyNumberFormat="1" applyFont="1" applyFill="1" applyBorder="1"/>
    <xf numFmtId="0" fontId="8" fillId="0" borderId="5" xfId="0" applyNumberFormat="1" applyFont="1" applyFill="1" applyBorder="1"/>
    <xf numFmtId="0" fontId="8" fillId="0" borderId="0" xfId="0" applyNumberFormat="1" applyFont="1" applyFill="1" applyBorder="1" applyAlignment="1">
      <alignment vertical="center" wrapText="1"/>
    </xf>
    <xf numFmtId="0" fontId="10" fillId="0" borderId="0" xfId="7" applyNumberFormat="1" applyFont="1" applyFill="1" applyBorder="1" applyAlignment="1">
      <alignment horizontal="left" vertical="center"/>
    </xf>
    <xf numFmtId="0" fontId="8" fillId="0" borderId="4" xfId="0" applyNumberFormat="1" applyFont="1" applyFill="1" applyBorder="1"/>
    <xf numFmtId="0" fontId="11" fillId="0" borderId="0" xfId="7" applyNumberFormat="1" applyFont="1" applyFill="1" applyBorder="1" applyAlignment="1">
      <alignment horizontal="center"/>
    </xf>
    <xf numFmtId="0" fontId="8" fillId="0" borderId="5" xfId="0" applyNumberFormat="1" applyFont="1" applyFill="1" applyBorder="1"/>
    <xf numFmtId="0" fontId="7" fillId="0" borderId="6" xfId="0" applyNumberFormat="1" applyFont="1" applyFill="1" applyBorder="1"/>
    <xf numFmtId="0" fontId="7" fillId="0" borderId="7" xfId="0" applyNumberFormat="1" applyFont="1" applyFill="1" applyBorder="1"/>
    <xf numFmtId="0" fontId="7" fillId="0" borderId="8" xfId="0" applyNumberFormat="1" applyFont="1" applyFill="1" applyBorder="1"/>
    <xf numFmtId="0" fontId="0" fillId="0" borderId="0" xfId="0" applyNumberFormat="1" applyFont="1" applyFill="1" applyBorder="1"/>
    <xf numFmtId="0" fontId="0" fillId="0" borderId="0" xfId="0" applyNumberFormat="1" applyFont="1" applyFill="1" applyBorder="1" applyAlignment="1">
      <alignment horizontal="center"/>
    </xf>
    <xf numFmtId="0" fontId="0" fillId="2" borderId="0" xfId="0" applyNumberFormat="1" applyFont="1" applyFill="1" applyBorder="1"/>
    <xf numFmtId="0" fontId="0" fillId="0" borderId="0" xfId="0" applyNumberFormat="1" applyFont="1" applyFill="1" applyBorder="1"/>
    <xf numFmtId="0" fontId="3" fillId="0" borderId="0" xfId="0" applyNumberFormat="1" applyFont="1" applyFill="1" applyBorder="1" applyAlignment="1">
      <alignment horizontal="left" vertical="center"/>
    </xf>
    <xf numFmtId="166" fontId="3" fillId="0" borderId="0" xfId="0" applyNumberFormat="1" applyFont="1" applyFill="1" applyBorder="1" applyAlignment="1">
      <alignment horizontal="left" vertical="center"/>
    </xf>
    <xf numFmtId="0" fontId="4" fillId="0" borderId="0" xfId="0" applyNumberFormat="1" applyFont="1" applyFill="1" applyBorder="1"/>
    <xf numFmtId="0" fontId="18" fillId="0" borderId="0" xfId="0" applyNumberFormat="1" applyFont="1" applyFill="1" applyBorder="1" applyAlignment="1">
      <alignment horizontal="right" vertical="top"/>
    </xf>
    <xf numFmtId="14" fontId="18" fillId="0" borderId="0" xfId="0" applyNumberFormat="1" applyFont="1" applyFill="1" applyBorder="1" applyAlignment="1">
      <alignment horizontal="left" vertical="top"/>
    </xf>
    <xf numFmtId="0" fontId="19" fillId="0" borderId="0" xfId="7" applyNumberFormat="1" applyFont="1" applyFill="1" applyBorder="1" applyAlignment="1">
      <alignment horizontal="left" vertical="center"/>
    </xf>
    <xf numFmtId="0" fontId="20" fillId="0" borderId="0" xfId="7" applyNumberFormat="1" applyFont="1" applyFill="1" applyBorder="1" applyAlignment="1">
      <alignment horizontal="left" vertical="center"/>
    </xf>
    <xf numFmtId="0" fontId="21" fillId="0" borderId="0" xfId="7" applyNumberFormat="1" applyFont="1" applyFill="1" applyBorder="1" applyAlignment="1">
      <alignment horizontal="left" vertical="center"/>
    </xf>
    <xf numFmtId="0" fontId="22" fillId="0" borderId="0" xfId="7" applyNumberFormat="1" applyFont="1" applyFill="1" applyBorder="1" applyAlignment="1">
      <alignment horizontal="left" vertical="center"/>
    </xf>
    <xf numFmtId="0" fontId="5" fillId="3" borderId="12" xfId="3" applyNumberFormat="1" applyFont="1" applyFill="1" applyBorder="1" applyAlignment="1">
      <alignment horizontal="center" vertical="center" wrapText="1"/>
    </xf>
    <xf numFmtId="167" fontId="5" fillId="3" borderId="12" xfId="3" applyNumberFormat="1" applyFont="1" applyFill="1" applyBorder="1" applyAlignment="1">
      <alignment horizontal="center" vertical="center" wrapText="1"/>
    </xf>
    <xf numFmtId="14" fontId="5" fillId="3" borderId="12" xfId="3" applyNumberFormat="1" applyFont="1" applyFill="1" applyBorder="1" applyAlignment="1">
      <alignment horizontal="center" vertical="center" wrapText="1"/>
    </xf>
    <xf numFmtId="14" fontId="0" fillId="0" borderId="0" xfId="0" applyNumberFormat="1" applyFont="1" applyFill="1" applyBorder="1"/>
    <xf numFmtId="167" fontId="0" fillId="0" borderId="0" xfId="0" applyNumberFormat="1" applyFont="1" applyFill="1" applyBorder="1"/>
    <xf numFmtId="10" fontId="0" fillId="0" borderId="0" xfId="8" applyNumberFormat="1" applyFont="1" applyFill="1" applyBorder="1"/>
    <xf numFmtId="0" fontId="0" fillId="0" borderId="0" xfId="0" applyNumberFormat="1" applyFont="1" applyFill="1" applyBorder="1"/>
    <xf numFmtId="1" fontId="5" fillId="3" borderId="12" xfId="3" applyNumberFormat="1" applyFont="1" applyFill="1" applyBorder="1" applyAlignment="1">
      <alignment horizontal="center" vertical="center" wrapText="1"/>
    </xf>
    <xf numFmtId="0" fontId="23" fillId="0" borderId="0" xfId="0" applyNumberFormat="1" applyFont="1" applyFill="1" applyBorder="1"/>
    <xf numFmtId="0" fontId="0" fillId="0" borderId="0" xfId="0" applyNumberFormat="1" applyFont="1" applyFill="1" applyBorder="1" applyAlignment="1">
      <alignment horizontal="center"/>
    </xf>
    <xf numFmtId="0" fontId="0" fillId="0" borderId="0" xfId="0" applyNumberFormat="1" applyFont="1" applyFill="1" applyBorder="1"/>
    <xf numFmtId="10" fontId="0" fillId="0" borderId="0" xfId="0" applyNumberFormat="1" applyFont="1" applyFill="1" applyBorder="1" applyAlignment="1">
      <alignment horizontal="center"/>
    </xf>
    <xf numFmtId="0" fontId="0" fillId="0" borderId="0" xfId="0" applyNumberFormat="1" applyFont="1" applyFill="1" applyBorder="1" applyAlignment="1">
      <alignment horizontal="center"/>
    </xf>
    <xf numFmtId="168" fontId="0" fillId="0" borderId="0" xfId="0" applyNumberFormat="1" applyFont="1" applyFill="1" applyBorder="1"/>
    <xf numFmtId="10" fontId="5" fillId="3" borderId="12" xfId="8" applyNumberFormat="1" applyFont="1" applyFill="1" applyBorder="1" applyAlignment="1">
      <alignment horizontal="center" vertical="center" wrapText="1"/>
    </xf>
    <xf numFmtId="0" fontId="0" fillId="0" borderId="0" xfId="0" applyNumberFormat="1" applyFont="1" applyFill="1" applyBorder="1"/>
    <xf numFmtId="164" fontId="7" fillId="0" borderId="0" xfId="0" applyNumberFormat="1" applyFont="1" applyFill="1" applyBorder="1"/>
    <xf numFmtId="168" fontId="0" fillId="0" borderId="0" xfId="0" applyNumberFormat="1" applyFont="1" applyFill="1" applyBorder="1"/>
    <xf numFmtId="14" fontId="0" fillId="0" borderId="0" xfId="0" applyNumberFormat="1" applyFont="1" applyFill="1" applyBorder="1"/>
    <xf numFmtId="167" fontId="0" fillId="0" borderId="0" xfId="0" applyNumberFormat="1" applyFont="1" applyFill="1" applyBorder="1"/>
    <xf numFmtId="10" fontId="0" fillId="0" borderId="0" xfId="8" applyNumberFormat="1" applyFont="1" applyFill="1" applyBorder="1"/>
    <xf numFmtId="0" fontId="3" fillId="0" borderId="0" xfId="0" applyNumberFormat="1" applyFont="1" applyFill="1" applyBorder="1" applyAlignment="1">
      <alignment horizontal="left" vertical="center"/>
    </xf>
    <xf numFmtId="1" fontId="16" fillId="0" borderId="12" xfId="3" applyNumberFormat="1" applyFont="1" applyFill="1" applyBorder="1" applyAlignment="1">
      <alignment horizontal="center" vertical="center" wrapText="1"/>
    </xf>
    <xf numFmtId="166" fontId="16" fillId="0" borderId="12" xfId="3" applyNumberFormat="1" applyFont="1" applyFill="1" applyBorder="1" applyAlignment="1">
      <alignment horizontal="center" vertical="center" wrapText="1"/>
    </xf>
    <xf numFmtId="0" fontId="4" fillId="0" borderId="0" xfId="0" applyNumberFormat="1" applyFont="1" applyFill="1" applyBorder="1"/>
    <xf numFmtId="0" fontId="0" fillId="4" borderId="0" xfId="0" applyNumberFormat="1" applyFont="1" applyFill="1" applyBorder="1"/>
    <xf numFmtId="0" fontId="24" fillId="0" borderId="12" xfId="3" applyNumberFormat="1" applyFont="1" applyFill="1" applyBorder="1" applyAlignment="1">
      <alignment horizontal="center" vertical="center"/>
    </xf>
    <xf numFmtId="166" fontId="14" fillId="0" borderId="12" xfId="3" applyNumberFormat="1" applyFont="1" applyFill="1" applyBorder="1" applyAlignment="1">
      <alignment horizontal="center" vertical="center"/>
    </xf>
    <xf numFmtId="9" fontId="14" fillId="0" borderId="12" xfId="8" applyNumberFormat="1" applyFont="1" applyFill="1" applyBorder="1" applyAlignment="1">
      <alignment horizontal="center" vertical="center"/>
    </xf>
    <xf numFmtId="9" fontId="15" fillId="0" borderId="12" xfId="8" applyNumberFormat="1" applyFont="1" applyFill="1" applyBorder="1" applyAlignment="1">
      <alignment horizontal="center" vertical="center"/>
    </xf>
    <xf numFmtId="0" fontId="23" fillId="0" borderId="0" xfId="0" applyNumberFormat="1" applyFont="1" applyFill="1" applyBorder="1"/>
    <xf numFmtId="0" fontId="16" fillId="0" borderId="12" xfId="3" applyNumberFormat="1" applyFont="1" applyFill="1" applyBorder="1" applyAlignment="1">
      <alignment horizontal="center" vertical="center"/>
    </xf>
    <xf numFmtId="166" fontId="15" fillId="0" borderId="12" xfId="3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/>
    <xf numFmtId="3" fontId="5" fillId="3" borderId="12" xfId="3" applyNumberFormat="1" applyFont="1" applyFill="1" applyBorder="1" applyAlignment="1">
      <alignment horizontal="center" vertical="center" wrapText="1"/>
    </xf>
    <xf numFmtId="3" fontId="0" fillId="0" borderId="0" xfId="0" applyNumberFormat="1" applyFont="1" applyFill="1" applyBorder="1" applyAlignment="1">
      <alignment horizontal="center"/>
    </xf>
    <xf numFmtId="164" fontId="14" fillId="0" borderId="12" xfId="3" applyNumberFormat="1" applyFont="1" applyFill="1" applyBorder="1" applyAlignment="1">
      <alignment horizontal="center" vertical="center"/>
    </xf>
    <xf numFmtId="164" fontId="15" fillId="0" borderId="12" xfId="3" applyNumberFormat="1" applyFont="1" applyFill="1" applyBorder="1" applyAlignment="1">
      <alignment horizontal="center" vertical="center"/>
    </xf>
    <xf numFmtId="0" fontId="25" fillId="0" borderId="0" xfId="0" applyNumberFormat="1" applyFont="1" applyFill="1" applyBorder="1"/>
    <xf numFmtId="14" fontId="26" fillId="0" borderId="0" xfId="0" applyNumberFormat="1" applyFont="1" applyFill="1" applyBorder="1"/>
    <xf numFmtId="0" fontId="26" fillId="0" borderId="0" xfId="0" applyNumberFormat="1" applyFont="1" applyFill="1" applyBorder="1"/>
    <xf numFmtId="0" fontId="29" fillId="0" borderId="0" xfId="0" applyNumberFormat="1" applyFont="1" applyFill="1" applyBorder="1"/>
    <xf numFmtId="0" fontId="0" fillId="0" borderId="0" xfId="0"/>
    <xf numFmtId="0" fontId="0" fillId="0" borderId="0" xfId="0" applyAlignment="1">
      <alignment horizontal="center"/>
    </xf>
    <xf numFmtId="167" fontId="0" fillId="0" borderId="0" xfId="0" applyNumberFormat="1"/>
    <xf numFmtId="10" fontId="0" fillId="0" borderId="0" xfId="8" applyNumberFormat="1" applyFont="1"/>
    <xf numFmtId="14" fontId="0" fillId="0" borderId="0" xfId="0" applyNumberFormat="1"/>
    <xf numFmtId="168" fontId="0" fillId="0" borderId="0" xfId="0" applyNumberFormat="1"/>
    <xf numFmtId="0" fontId="0" fillId="2" borderId="0" xfId="0" applyFill="1"/>
    <xf numFmtId="0" fontId="0" fillId="2" borderId="0" xfId="0" applyFill="1" applyAlignment="1">
      <alignment horizontal="center"/>
    </xf>
    <xf numFmtId="167" fontId="0" fillId="2" borderId="0" xfId="0" applyNumberFormat="1" applyFill="1"/>
    <xf numFmtId="10" fontId="0" fillId="2" borderId="0" xfId="8" applyNumberFormat="1" applyFont="1" applyFill="1"/>
    <xf numFmtId="14" fontId="0" fillId="2" borderId="0" xfId="0" applyNumberFormat="1" applyFill="1"/>
    <xf numFmtId="168" fontId="0" fillId="2" borderId="0" xfId="0" applyNumberFormat="1" applyFill="1"/>
    <xf numFmtId="0" fontId="0" fillId="0" borderId="0" xfId="0" applyNumberFormat="1" applyFont="1" applyFill="1" applyBorder="1" applyAlignment="1">
      <alignment horizontal="center"/>
    </xf>
    <xf numFmtId="0" fontId="0" fillId="5" borderId="0" xfId="0" applyFill="1"/>
    <xf numFmtId="14" fontId="0" fillId="5" borderId="0" xfId="0" applyNumberFormat="1" applyFill="1"/>
    <xf numFmtId="0" fontId="0" fillId="0" borderId="0" xfId="0" applyNumberFormat="1" applyFont="1" applyFill="1" applyBorder="1" applyAlignment="1">
      <alignment horizontal="center"/>
    </xf>
    <xf numFmtId="6" fontId="0" fillId="0" borderId="0" xfId="0" applyNumberFormat="1" applyFont="1" applyFill="1" applyBorder="1" applyAlignment="1">
      <alignment horizontal="center"/>
    </xf>
    <xf numFmtId="3" fontId="0" fillId="0" borderId="0" xfId="0" applyNumberFormat="1" applyFont="1" applyFill="1" applyBorder="1"/>
    <xf numFmtId="0" fontId="0" fillId="0" borderId="12" xfId="0" applyNumberFormat="1" applyFont="1" applyFill="1" applyBorder="1"/>
    <xf numFmtId="6" fontId="0" fillId="0" borderId="12" xfId="0" applyNumberFormat="1" applyFont="1" applyFill="1" applyBorder="1" applyAlignment="1">
      <alignment horizontal="center"/>
    </xf>
    <xf numFmtId="169" fontId="0" fillId="0" borderId="12" xfId="0" applyNumberFormat="1" applyFont="1" applyFill="1" applyBorder="1" applyAlignment="1">
      <alignment horizontal="center"/>
    </xf>
    <xf numFmtId="0" fontId="23" fillId="0" borderId="12" xfId="0" applyNumberFormat="1" applyFont="1" applyFill="1" applyBorder="1" applyAlignment="1">
      <alignment horizontal="center"/>
    </xf>
    <xf numFmtId="0" fontId="13" fillId="0" borderId="0" xfId="0" applyNumberFormat="1" applyFont="1" applyFill="1" applyBorder="1" applyAlignment="1">
      <alignment horizontal="left" vertical="center" wrapText="1"/>
    </xf>
    <xf numFmtId="0" fontId="12" fillId="0" borderId="0" xfId="7" applyNumberFormat="1" applyFont="1" applyFill="1" applyBorder="1" applyAlignment="1">
      <alignment horizontal="left" vertical="center" wrapText="1"/>
    </xf>
    <xf numFmtId="0" fontId="23" fillId="0" borderId="12" xfId="0" applyNumberFormat="1" applyFont="1" applyFill="1" applyBorder="1" applyAlignment="1">
      <alignment horizontal="center"/>
    </xf>
    <xf numFmtId="0" fontId="0" fillId="0" borderId="0" xfId="0" applyNumberFormat="1" applyFont="1" applyFill="1" applyBorder="1" applyAlignment="1">
      <alignment horizontal="center"/>
    </xf>
    <xf numFmtId="1" fontId="17" fillId="0" borderId="9" xfId="6" applyNumberFormat="1" applyFont="1" applyFill="1" applyBorder="1" applyAlignment="1">
      <alignment horizontal="center" vertical="center" wrapText="1"/>
    </xf>
    <xf numFmtId="1" fontId="17" fillId="0" borderId="10" xfId="6" applyNumberFormat="1" applyFont="1" applyFill="1" applyBorder="1" applyAlignment="1">
      <alignment horizontal="center" vertical="center" wrapText="1"/>
    </xf>
    <xf numFmtId="1" fontId="17" fillId="0" borderId="11" xfId="6" applyNumberFormat="1" applyFont="1" applyFill="1" applyBorder="1" applyAlignment="1">
      <alignment horizontal="center" vertical="center" wrapText="1"/>
    </xf>
    <xf numFmtId="3" fontId="5" fillId="3" borderId="13" xfId="3" applyNumberFormat="1" applyFont="1" applyFill="1" applyBorder="1" applyAlignment="1">
      <alignment horizontal="center" vertical="center" wrapText="1"/>
    </xf>
    <xf numFmtId="3" fontId="5" fillId="3" borderId="14" xfId="3" applyNumberFormat="1" applyFont="1" applyFill="1" applyBorder="1" applyAlignment="1">
      <alignment horizontal="center" vertical="center" wrapText="1"/>
    </xf>
    <xf numFmtId="14" fontId="5" fillId="3" borderId="13" xfId="3" applyNumberFormat="1" applyFont="1" applyFill="1" applyBorder="1" applyAlignment="1">
      <alignment horizontal="center" vertical="center" wrapText="1"/>
    </xf>
    <xf numFmtId="14" fontId="5" fillId="3" borderId="14" xfId="3" applyNumberFormat="1" applyFont="1" applyFill="1" applyBorder="1" applyAlignment="1">
      <alignment horizontal="center" vertical="center" wrapText="1"/>
    </xf>
    <xf numFmtId="6" fontId="5" fillId="3" borderId="15" xfId="3" applyNumberFormat="1" applyFont="1" applyFill="1" applyBorder="1" applyAlignment="1">
      <alignment horizontal="center" vertical="center" wrapText="1"/>
    </xf>
    <xf numFmtId="6" fontId="5" fillId="3" borderId="16" xfId="3" applyNumberFormat="1" applyFont="1" applyFill="1" applyBorder="1" applyAlignment="1">
      <alignment horizontal="center" vertical="center" wrapText="1"/>
    </xf>
    <xf numFmtId="0" fontId="5" fillId="3" borderId="17" xfId="3" applyNumberFormat="1" applyFont="1" applyFill="1" applyBorder="1" applyAlignment="1">
      <alignment horizontal="center" vertical="center" wrapText="1"/>
    </xf>
    <xf numFmtId="0" fontId="5" fillId="3" borderId="18" xfId="3" applyNumberFormat="1" applyFont="1" applyFill="1" applyBorder="1" applyAlignment="1">
      <alignment horizontal="center" vertical="center" wrapText="1"/>
    </xf>
  </cellXfs>
  <cellStyles count="10">
    <cellStyle name="Monétaire 2" xfId="1" xr:uid="{00000000-0005-0000-0000-000001000000}"/>
    <cellStyle name="Monétaire 3" xfId="2" xr:uid="{00000000-0005-0000-0000-000002000000}"/>
    <cellStyle name="Normal" xfId="0" builtinId="0"/>
    <cellStyle name="Normal 2" xfId="3" xr:uid="{00000000-0005-0000-0000-000004000000}"/>
    <cellStyle name="Normal 2 2" xfId="4" xr:uid="{00000000-0005-0000-0000-000005000000}"/>
    <cellStyle name="Normal 3" xfId="5" xr:uid="{00000000-0005-0000-0000-000006000000}"/>
    <cellStyle name="Normal 4" xfId="6" xr:uid="{00000000-0005-0000-0000-000007000000}"/>
    <cellStyle name="Normal_Book 2004 feuille sommaire 2" xfId="7" xr:uid="{00000000-0005-0000-0000-000008000000}"/>
    <cellStyle name="Pourcentage" xfId="8" builtinId="5"/>
    <cellStyle name="Pourcentage 2" xfId="9" xr:uid="{00000000-0005-0000-0000-00000A000000}"/>
  </cellStyles>
  <dxfs count="0"/>
  <tableStyles count="0" defaultTableStyle="TableStyleMedium2" defaultPivotStyle="PivotStyleLight16"/>
  <colors>
    <mruColors>
      <color rgb="FF4FACBE"/>
      <color rgb="FF004D55"/>
      <color rgb="FFA6A6A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Nombre d'Entreprises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2020</c:v>
          </c:tx>
          <c:invertIfNegative val="0"/>
          <c:val>
            <c:numRef>
              <c:f>'DONNEES GRAPHIQUE PAR PRODUIT'!$C$3:$D$3</c:f>
              <c:numCache>
                <c:formatCode>#,##0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A50-4E1F-B68C-DDB5D9D635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47284783"/>
        <c:axId val="1647286031"/>
      </c:barChart>
      <c:catAx>
        <c:axId val="1647284783"/>
        <c:scaling>
          <c:orientation val="minMax"/>
        </c:scaling>
        <c:delete val="0"/>
        <c:axPos val="b"/>
        <c:majorTickMark val="out"/>
        <c:minorTickMark val="none"/>
        <c:tickLblPos val="nextTo"/>
        <c:crossAx val="1647286031"/>
        <c:crosses val="autoZero"/>
        <c:auto val="1"/>
        <c:lblAlgn val="ctr"/>
        <c:lblOffset val="100"/>
        <c:noMultiLvlLbl val="0"/>
      </c:catAx>
      <c:valAx>
        <c:axId val="1647286031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164728478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Ratios Combinés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2020</c:v>
          </c:tx>
          <c:invertIfNegative val="0"/>
          <c:val>
            <c:numRef>
              <c:f>'DONNEES GRAPHIQUE PAR PRODUIT'!$G$3:$H$3</c:f>
              <c:numCache>
                <c:formatCode>0.00%</c:formatCode>
                <c:ptCount val="2"/>
                <c:pt idx="0">
                  <c:v>0.91690000000000005</c:v>
                </c:pt>
                <c:pt idx="1">
                  <c:v>0.91690000000000005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DE-41A2-A68D-C7A251D8DE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47287695"/>
        <c:axId val="1647287279"/>
      </c:barChart>
      <c:catAx>
        <c:axId val="1647287695"/>
        <c:scaling>
          <c:orientation val="minMax"/>
        </c:scaling>
        <c:delete val="0"/>
        <c:axPos val="b"/>
        <c:majorTickMark val="out"/>
        <c:minorTickMark val="none"/>
        <c:tickLblPos val="nextTo"/>
        <c:crossAx val="1647287279"/>
        <c:crosses val="autoZero"/>
        <c:auto val="1"/>
        <c:lblAlgn val="ctr"/>
        <c:lblOffset val="100"/>
        <c:noMultiLvlLbl val="0"/>
      </c:catAx>
      <c:valAx>
        <c:axId val="1647287279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64728769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Gains et Pertes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2020</c:v>
          </c:tx>
          <c:invertIfNegative val="0"/>
          <c:val>
            <c:numRef>
              <c:f>'DONNEES GRAPHIQUE PAR PRODUIT'!$I$3:$J$3</c:f>
              <c:numCache>
                <c:formatCode>"€"#,##0_);[Red]\("€"#,##0\)</c:formatCode>
                <c:ptCount val="2"/>
                <c:pt idx="0">
                  <c:v>180.06999999999994</c:v>
                </c:pt>
                <c:pt idx="1">
                  <c:v>180.06999999999994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81-4467-B371-D5CB992BCB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07402287"/>
        <c:axId val="707401039"/>
      </c:barChart>
      <c:catAx>
        <c:axId val="707402287"/>
        <c:scaling>
          <c:orientation val="minMax"/>
        </c:scaling>
        <c:delete val="0"/>
        <c:axPos val="b"/>
        <c:majorTickMark val="out"/>
        <c:minorTickMark val="none"/>
        <c:tickLblPos val="nextTo"/>
        <c:crossAx val="707401039"/>
        <c:crosses val="autoZero"/>
        <c:auto val="1"/>
        <c:lblAlgn val="ctr"/>
        <c:lblOffset val="100"/>
        <c:noMultiLvlLbl val="0"/>
      </c:catAx>
      <c:valAx>
        <c:axId val="707401039"/>
        <c:scaling>
          <c:orientation val="minMax"/>
        </c:scaling>
        <c:delete val="0"/>
        <c:axPos val="l"/>
        <c:majorGridlines/>
        <c:numFmt formatCode="&quot;€&quot;#,##0_);[Red]\(&quot;€&quot;#,##0\)" sourceLinked="1"/>
        <c:majorTickMark val="out"/>
        <c:minorTickMark val="none"/>
        <c:tickLblPos val="nextTo"/>
        <c:crossAx val="70740228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jpg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704850</xdr:colOff>
      <xdr:row>18</xdr:row>
      <xdr:rowOff>85725</xdr:rowOff>
    </xdr:from>
    <xdr:to>
      <xdr:col>2</xdr:col>
      <xdr:colOff>723900</xdr:colOff>
      <xdr:row>22</xdr:row>
      <xdr:rowOff>342900</xdr:rowOff>
    </xdr:to>
    <xdr:sp macro="" textlink="">
      <xdr:nvSpPr>
        <xdr:cNvPr id="3" name="Line 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ShapeType="1"/>
        </xdr:cNvSpPr>
      </xdr:nvSpPr>
      <xdr:spPr bwMode="auto">
        <a:xfrm flipH="1">
          <a:off x="1657350" y="4657725"/>
          <a:ext cx="19050" cy="173355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361950</xdr:colOff>
      <xdr:row>20</xdr:row>
      <xdr:rowOff>114300</xdr:rowOff>
    </xdr:from>
    <xdr:to>
      <xdr:col>17</xdr:col>
      <xdr:colOff>561975</xdr:colOff>
      <xdr:row>20</xdr:row>
      <xdr:rowOff>114300</xdr:rowOff>
    </xdr:to>
    <xdr:sp macro="" textlink="">
      <xdr:nvSpPr>
        <xdr:cNvPr id="4" name="Line 5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ShapeType="1"/>
        </xdr:cNvSpPr>
      </xdr:nvSpPr>
      <xdr:spPr bwMode="auto">
        <a:xfrm>
          <a:off x="552450" y="5543550"/>
          <a:ext cx="12392025" cy="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704850</xdr:colOff>
          <xdr:row>5</xdr:row>
          <xdr:rowOff>28575</xdr:rowOff>
        </xdr:from>
        <xdr:to>
          <xdr:col>22</xdr:col>
          <xdr:colOff>619125</xdr:colOff>
          <xdr:row>8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de tous les onglets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714375</xdr:colOff>
          <xdr:row>8</xdr:row>
          <xdr:rowOff>219075</xdr:rowOff>
        </xdr:from>
        <xdr:to>
          <xdr:col>22</xdr:col>
          <xdr:colOff>628650</xdr:colOff>
          <xdr:row>9</xdr:row>
          <xdr:rowOff>190500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0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du document PowerPoint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299358</xdr:colOff>
      <xdr:row>2</xdr:row>
      <xdr:rowOff>40822</xdr:rowOff>
    </xdr:from>
    <xdr:to>
      <xdr:col>18</xdr:col>
      <xdr:colOff>66675</xdr:colOff>
      <xdr:row>5</xdr:row>
      <xdr:rowOff>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29608" y="421822"/>
          <a:ext cx="530678" cy="53067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802771</xdr:colOff>
      <xdr:row>2</xdr:row>
      <xdr:rowOff>0</xdr:rowOff>
    </xdr:from>
    <xdr:to>
      <xdr:col>11</xdr:col>
      <xdr:colOff>1333500</xdr:colOff>
      <xdr:row>3</xdr:row>
      <xdr:rowOff>0</xdr:rowOff>
    </xdr:to>
    <xdr:pic>
      <xdr:nvPicPr>
        <xdr:cNvPr id="122" name="Picture 4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63950" y="394607"/>
          <a:ext cx="529317" cy="530678"/>
        </a:xfrm>
        <a:prstGeom prst="rect">
          <a:avLst/>
        </a:prstGeom>
      </xdr:spPr>
    </xdr:pic>
    <xdr:clientData/>
  </xdr:twoCellAnchor>
  <xdr:twoCellAnchor editAs="oneCell">
    <xdr:from>
      <xdr:col>11</xdr:col>
      <xdr:colOff>802771</xdr:colOff>
      <xdr:row>2</xdr:row>
      <xdr:rowOff>0</xdr:rowOff>
    </xdr:from>
    <xdr:to>
      <xdr:col>11</xdr:col>
      <xdr:colOff>1333500</xdr:colOff>
      <xdr:row>3</xdr:row>
      <xdr:rowOff>0</xdr:rowOff>
    </xdr:to>
    <xdr:pic>
      <xdr:nvPicPr>
        <xdr:cNvPr id="71" name="Picture 4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47621" y="381000"/>
          <a:ext cx="530729" cy="533400"/>
        </a:xfrm>
        <a:prstGeom prst="rect">
          <a:avLst/>
        </a:prstGeom>
      </xdr:spPr>
    </xdr:pic>
    <xdr:clientData/>
  </xdr:twoCellAnchor>
  <xdr:twoCellAnchor>
    <xdr:from>
      <xdr:col>1</xdr:col>
      <xdr:colOff>57150</xdr:colOff>
      <xdr:row>17</xdr:row>
      <xdr:rowOff>0</xdr:rowOff>
    </xdr:from>
    <xdr:to>
      <xdr:col>11</xdr:col>
      <xdr:colOff>1327150</xdr:colOff>
      <xdr:row>37</xdr:row>
      <xdr:rowOff>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3A35E4DB-7BDF-4DD8-9104-01F2E57FAA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57150</xdr:colOff>
      <xdr:row>37</xdr:row>
      <xdr:rowOff>0</xdr:rowOff>
    </xdr:from>
    <xdr:to>
      <xdr:col>11</xdr:col>
      <xdr:colOff>1327150</xdr:colOff>
      <xdr:row>57</xdr:row>
      <xdr:rowOff>0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6C69AB75-CA2B-4AC4-8A81-DBA3ED334F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57150</xdr:colOff>
      <xdr:row>57</xdr:row>
      <xdr:rowOff>0</xdr:rowOff>
    </xdr:from>
    <xdr:to>
      <xdr:col>11</xdr:col>
      <xdr:colOff>1327150</xdr:colOff>
      <xdr:row>77</xdr:row>
      <xdr:rowOff>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81E06380-28BE-404B-8BF4-6B3CD52217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2">
    <tabColor theme="4" tint="0.79998168889431442"/>
    <pageSetUpPr fitToPage="1"/>
  </sheetPr>
  <dimension ref="A1:AE62"/>
  <sheetViews>
    <sheetView showGridLines="0" tabSelected="1" topLeftCell="D1" zoomScale="70" zoomScaleNormal="70" workbookViewId="0">
      <selection activeCell="AD4" sqref="AD4"/>
    </sheetView>
  </sheetViews>
  <sheetFormatPr baseColWidth="10" defaultColWidth="11.42578125" defaultRowHeight="15"/>
  <cols>
    <col min="1" max="1" width="2.85546875" style="2" customWidth="1"/>
    <col min="2" max="2" width="4.28515625" style="2" customWidth="1"/>
    <col min="3" max="3" width="11.42578125" style="2" customWidth="1"/>
    <col min="4" max="4" width="15.28515625" style="2" customWidth="1"/>
    <col min="5" max="9" width="11.42578125" style="2" customWidth="1"/>
    <col min="10" max="11" width="22.85546875" style="2" customWidth="1"/>
    <col min="12" max="18" width="11.42578125" style="2" customWidth="1"/>
    <col min="19" max="19" width="4.28515625" style="2" customWidth="1"/>
    <col min="20" max="20" width="2.85546875" style="2" customWidth="1"/>
    <col min="21" max="34" width="11.42578125" style="2" customWidth="1"/>
    <col min="35" max="16384" width="11.42578125" style="2"/>
  </cols>
  <sheetData>
    <row r="1" spans="1:31">
      <c r="A1" s="2">
        <v>1</v>
      </c>
      <c r="B1" s="2">
        <v>2</v>
      </c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2" t="s">
        <v>0</v>
      </c>
      <c r="AE1" s="2" t="s">
        <v>1</v>
      </c>
    </row>
    <row r="2" spans="1:31">
      <c r="B2" s="3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5"/>
      <c r="AD2" s="2" t="s">
        <v>77</v>
      </c>
      <c r="AE2" s="2" t="s">
        <v>2</v>
      </c>
    </row>
    <row r="3" spans="1:31">
      <c r="B3" s="6"/>
      <c r="S3" s="7"/>
    </row>
    <row r="4" spans="1:31">
      <c r="B4" s="6"/>
      <c r="S4" s="7"/>
    </row>
    <row r="5" spans="1:31">
      <c r="B5" s="6"/>
      <c r="S5" s="7"/>
    </row>
    <row r="6" spans="1:31">
      <c r="B6" s="6"/>
      <c r="S6" s="7"/>
    </row>
    <row r="7" spans="1:31">
      <c r="B7" s="6"/>
      <c r="S7" s="7"/>
    </row>
    <row r="8" spans="1:31">
      <c r="B8" s="6"/>
      <c r="S8" s="7"/>
    </row>
    <row r="9" spans="1:31" ht="45">
      <c r="B9" s="6"/>
      <c r="C9" s="35" t="s">
        <v>3</v>
      </c>
      <c r="D9" s="8"/>
      <c r="E9" s="8"/>
      <c r="F9" s="8"/>
      <c r="G9" s="8"/>
      <c r="H9" s="8"/>
      <c r="I9" s="8"/>
      <c r="S9" s="7"/>
    </row>
    <row r="10" spans="1:31" ht="45">
      <c r="B10" s="6"/>
      <c r="C10" s="35" t="s">
        <v>4</v>
      </c>
      <c r="D10" s="8"/>
      <c r="E10" s="8"/>
      <c r="F10" s="8"/>
      <c r="G10" s="8"/>
      <c r="H10" s="8"/>
      <c r="I10" s="8"/>
      <c r="S10" s="7"/>
    </row>
    <row r="11" spans="1:31">
      <c r="B11" s="6"/>
      <c r="C11" s="8"/>
      <c r="D11" s="8"/>
      <c r="E11" s="8"/>
      <c r="F11" s="8"/>
      <c r="G11" s="8"/>
      <c r="H11" s="8"/>
      <c r="I11" s="8"/>
      <c r="S11" s="7"/>
      <c r="V11" s="77"/>
    </row>
    <row r="12" spans="1:31" ht="15" customHeight="1">
      <c r="B12" s="6"/>
      <c r="C12" s="8"/>
      <c r="D12" s="8"/>
      <c r="E12" s="8"/>
      <c r="F12" s="8"/>
      <c r="G12" s="8"/>
      <c r="H12" s="8"/>
      <c r="I12" s="8"/>
      <c r="J12" s="9"/>
      <c r="S12" s="7"/>
    </row>
    <row r="13" spans="1:31" ht="90" customHeight="1">
      <c r="B13" s="10"/>
      <c r="C13" s="103">
        <v>20200012</v>
      </c>
      <c r="D13" s="103"/>
      <c r="E13" s="103"/>
      <c r="F13" s="103"/>
      <c r="G13" s="103"/>
      <c r="H13" s="103"/>
      <c r="I13" s="103"/>
      <c r="J13" s="103"/>
      <c r="K13" s="103"/>
      <c r="L13" s="103"/>
      <c r="M13" s="103"/>
      <c r="N13" s="103"/>
      <c r="O13" s="103"/>
      <c r="P13" s="103"/>
      <c r="Q13" s="103"/>
      <c r="R13" s="103"/>
      <c r="S13" s="11"/>
      <c r="W13" s="12"/>
      <c r="X13" s="12"/>
    </row>
    <row r="14" spans="1:31">
      <c r="B14" s="6"/>
      <c r="C14" s="8"/>
      <c r="D14" s="8"/>
      <c r="E14" s="8"/>
      <c r="F14" s="8"/>
      <c r="G14" s="8"/>
      <c r="H14" s="8"/>
      <c r="I14" s="8"/>
      <c r="S14" s="7"/>
      <c r="W14" s="12"/>
      <c r="X14" s="12"/>
    </row>
    <row r="15" spans="1:31">
      <c r="B15" s="6"/>
      <c r="C15" s="8"/>
      <c r="D15" s="8"/>
      <c r="E15" s="8"/>
      <c r="F15" s="8"/>
      <c r="G15" s="8"/>
      <c r="H15" s="8"/>
      <c r="I15" s="8"/>
      <c r="S15" s="7"/>
      <c r="W15" s="12"/>
    </row>
    <row r="16" spans="1:31">
      <c r="B16" s="6"/>
      <c r="S16" s="7"/>
      <c r="W16" s="12"/>
      <c r="X16" s="12"/>
    </row>
    <row r="17" spans="1:24">
      <c r="B17" s="6"/>
      <c r="S17" s="7"/>
      <c r="W17" s="12"/>
      <c r="X17" s="12"/>
    </row>
    <row r="18" spans="1:24">
      <c r="B18" s="6"/>
      <c r="S18" s="7"/>
      <c r="W18" s="12"/>
      <c r="X18" s="12"/>
    </row>
    <row r="19" spans="1:24" s="16" customFormat="1" ht="67.5" customHeight="1">
      <c r="A19" s="12"/>
      <c r="B19" s="13"/>
      <c r="C19" s="14"/>
      <c r="D19" s="36"/>
      <c r="F19" s="14" t="s">
        <v>5</v>
      </c>
      <c r="G19" s="104"/>
      <c r="H19" s="104"/>
      <c r="I19" s="104"/>
      <c r="J19" s="104"/>
      <c r="K19" s="104"/>
      <c r="L19" s="104"/>
      <c r="M19" s="104"/>
      <c r="N19" s="104"/>
      <c r="O19" s="104"/>
      <c r="P19" s="104"/>
      <c r="Q19" s="104"/>
      <c r="R19" s="104"/>
      <c r="S19" s="17"/>
    </row>
    <row r="20" spans="1:24" s="16" customFormat="1" ht="67.5" customHeight="1">
      <c r="A20" s="12"/>
      <c r="B20" s="13"/>
      <c r="C20" s="14"/>
      <c r="D20" s="36"/>
      <c r="F20" s="18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7"/>
    </row>
    <row r="21" spans="1:24">
      <c r="B21" s="6"/>
      <c r="C21" s="8"/>
      <c r="D21" s="19"/>
      <c r="E21" s="8"/>
      <c r="F21" s="8"/>
      <c r="G21" s="8"/>
      <c r="H21" s="8"/>
      <c r="I21" s="8"/>
      <c r="S21" s="7"/>
    </row>
    <row r="22" spans="1:24" s="9" customFormat="1" ht="33.75">
      <c r="A22" s="2"/>
      <c r="B22" s="20"/>
      <c r="C22" s="14"/>
      <c r="D22" s="37" t="s">
        <v>6</v>
      </c>
      <c r="E22" s="14"/>
      <c r="G22" s="14"/>
      <c r="H22" s="38" t="s">
        <v>62</v>
      </c>
      <c r="I22" s="21"/>
      <c r="S22" s="22"/>
    </row>
    <row r="23" spans="1:24" s="9" customFormat="1" ht="33.75">
      <c r="A23" s="2"/>
      <c r="B23" s="20"/>
      <c r="C23" s="14"/>
      <c r="D23" s="37" t="s">
        <v>7</v>
      </c>
      <c r="E23" s="14"/>
      <c r="F23" s="14"/>
      <c r="H23" s="14"/>
      <c r="J23" s="38" t="s">
        <v>63</v>
      </c>
      <c r="S23" s="22"/>
    </row>
    <row r="24" spans="1:24">
      <c r="B24" s="6"/>
      <c r="S24" s="7"/>
    </row>
    <row r="25" spans="1:24">
      <c r="B25" s="6"/>
      <c r="S25" s="7"/>
    </row>
    <row r="26" spans="1:24" ht="15" hidden="1" customHeight="1">
      <c r="B26" s="6"/>
      <c r="S26" s="7"/>
    </row>
    <row r="27" spans="1:24" ht="15" hidden="1" customHeight="1">
      <c r="B27" s="6"/>
      <c r="S27" s="7"/>
    </row>
    <row r="28" spans="1:24">
      <c r="B28" s="6"/>
      <c r="S28" s="7"/>
    </row>
    <row r="29" spans="1:24">
      <c r="B29" s="6"/>
      <c r="S29" s="7"/>
    </row>
    <row r="30" spans="1:24" hidden="1">
      <c r="B30" s="6"/>
      <c r="S30" s="7"/>
    </row>
    <row r="31" spans="1:24" hidden="1">
      <c r="B31" s="6"/>
      <c r="S31" s="7"/>
    </row>
    <row r="32" spans="1:24" hidden="1">
      <c r="B32" s="6"/>
      <c r="S32" s="7"/>
    </row>
    <row r="33" spans="2:19">
      <c r="B33" s="6"/>
      <c r="S33" s="7"/>
    </row>
    <row r="34" spans="2:19" hidden="1">
      <c r="B34" s="6"/>
      <c r="S34" s="7"/>
    </row>
    <row r="35" spans="2:19" hidden="1">
      <c r="B35" s="6"/>
      <c r="S35" s="7"/>
    </row>
    <row r="36" spans="2:19" hidden="1">
      <c r="B36" s="6"/>
      <c r="S36" s="7"/>
    </row>
    <row r="37" spans="2:19" hidden="1">
      <c r="B37" s="6"/>
      <c r="S37" s="7"/>
    </row>
    <row r="38" spans="2:19">
      <c r="B38" s="6"/>
      <c r="S38" s="7"/>
    </row>
    <row r="39" spans="2:19">
      <c r="B39" s="6"/>
      <c r="S39" s="7"/>
    </row>
    <row r="40" spans="2:19" ht="7.5" customHeight="1">
      <c r="B40" s="6"/>
      <c r="S40" s="7"/>
    </row>
    <row r="41" spans="2:19">
      <c r="B41" s="23"/>
      <c r="C41" s="24"/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5"/>
    </row>
    <row r="62" spans="6:6">
      <c r="F62" s="55"/>
    </row>
  </sheetData>
  <mergeCells count="2">
    <mergeCell ref="C13:R13"/>
    <mergeCell ref="G19:R19"/>
  </mergeCells>
  <pageMargins left="0.70866141732283472" right="0.70866141732283472" top="0.74803149606299213" bottom="0.74803149606299213" header="0.31496062992125984" footer="0.31496062992125984"/>
  <pageSetup paperSize="9" scale="5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4" name="Button 4">
              <controlPr defaultSize="0" print="0" autoFill="0" autoPict="0" macro="[0]!FULL.FULL">
                <anchor moveWithCells="1" sizeWithCells="1">
                  <from>
                    <xdr:col>20</xdr:col>
                    <xdr:colOff>704850</xdr:colOff>
                    <xdr:row>5</xdr:row>
                    <xdr:rowOff>28575</xdr:rowOff>
                  </from>
                  <to>
                    <xdr:col>22</xdr:col>
                    <xdr:colOff>619125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5" name="Button 6">
              <controlPr defaultSize="0" print="0" autoFill="0" autoPict="0" macro="[0]!exportFile">
                <anchor moveWithCells="1" sizeWithCells="1">
                  <from>
                    <xdr:col>20</xdr:col>
                    <xdr:colOff>714375</xdr:colOff>
                    <xdr:row>8</xdr:row>
                    <xdr:rowOff>219075</xdr:rowOff>
                  </from>
                  <to>
                    <xdr:col>22</xdr:col>
                    <xdr:colOff>628650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1">
    <tabColor theme="9" tint="-0.499984740745262"/>
    <pageSetUpPr fitToPage="1"/>
  </sheetPr>
  <dimension ref="A1:N114"/>
  <sheetViews>
    <sheetView showGridLines="0" zoomScale="85" zoomScaleNormal="85" workbookViewId="0">
      <selection activeCell="J100" sqref="J100:J114"/>
    </sheetView>
  </sheetViews>
  <sheetFormatPr baseColWidth="10" defaultColWidth="21" defaultRowHeight="15"/>
  <cols>
    <col min="1" max="1" width="4.85546875" style="49" customWidth="1"/>
    <col min="2" max="4" width="21" style="49" customWidth="1"/>
    <col min="5" max="5" width="28.42578125" style="49" customWidth="1"/>
    <col min="6" max="6" width="25.28515625" style="49" customWidth="1"/>
    <col min="7" max="8" width="21" style="49" customWidth="1"/>
    <col min="9" max="9" width="26.42578125" style="49" customWidth="1"/>
    <col min="10" max="10" width="28.7109375" style="49" customWidth="1"/>
    <col min="11" max="11" width="20.42578125" style="49" customWidth="1"/>
    <col min="12" max="12" width="21" style="49" customWidth="1"/>
    <col min="13" max="13" width="3.85546875" style="49" customWidth="1"/>
    <col min="14" max="19" width="21" style="49" customWidth="1"/>
    <col min="20" max="16384" width="21" style="49"/>
  </cols>
  <sheetData>
    <row r="1" spans="1:14">
      <c r="B1" s="106"/>
      <c r="C1" s="106"/>
      <c r="D1" s="106"/>
      <c r="E1" s="106"/>
      <c r="F1" s="106"/>
      <c r="G1" s="106"/>
      <c r="H1" s="106"/>
      <c r="I1" s="106"/>
      <c r="J1" s="106"/>
      <c r="K1" s="106"/>
      <c r="L1" s="106"/>
    </row>
    <row r="3" spans="1:14" ht="42" customHeight="1">
      <c r="B3" s="107" t="s">
        <v>8</v>
      </c>
      <c r="C3" s="108"/>
      <c r="D3" s="108"/>
      <c r="E3" s="108"/>
      <c r="F3" s="108"/>
      <c r="G3" s="108"/>
      <c r="H3" s="108"/>
      <c r="I3" s="108"/>
      <c r="J3" s="108"/>
      <c r="K3" s="108"/>
      <c r="L3" s="109"/>
    </row>
    <row r="4" spans="1:14" ht="39" customHeight="1">
      <c r="A4" s="30"/>
      <c r="B4" s="33" t="s">
        <v>9</v>
      </c>
      <c r="C4" s="34" t="str">
        <f>'Page de garde'!J23</f>
        <v>31 décembre 2020</v>
      </c>
      <c r="D4" s="30"/>
      <c r="E4" s="31"/>
      <c r="F4" s="31"/>
      <c r="G4" s="31"/>
      <c r="H4" s="31"/>
      <c r="I4" s="31"/>
      <c r="J4" s="31"/>
      <c r="K4" s="30"/>
      <c r="L4" s="30"/>
      <c r="M4" s="32"/>
    </row>
    <row r="5" spans="1:14" s="54" customFormat="1" ht="56.25" customHeight="1">
      <c r="A5" s="60"/>
      <c r="C5" s="61" t="s">
        <v>10</v>
      </c>
      <c r="D5" s="62" t="s">
        <v>11</v>
      </c>
      <c r="E5" s="62" t="s">
        <v>12</v>
      </c>
      <c r="F5" s="62" t="s">
        <v>13</v>
      </c>
      <c r="G5" s="62" t="s">
        <v>14</v>
      </c>
      <c r="H5" s="62" t="s">
        <v>15</v>
      </c>
      <c r="I5" s="62" t="s">
        <v>16</v>
      </c>
      <c r="J5" s="62" t="s">
        <v>17</v>
      </c>
      <c r="K5" s="62" t="s">
        <v>18</v>
      </c>
      <c r="M5" s="63"/>
      <c r="N5" s="64"/>
    </row>
    <row r="6" spans="1:14" s="54" customFormat="1" ht="20.25">
      <c r="C6" s="65">
        <v>2020</v>
      </c>
      <c r="D6" s="65" t="s">
        <v>19</v>
      </c>
      <c r="E6" s="66">
        <v>0</v>
      </c>
      <c r="F6" s="66">
        <v>0</v>
      </c>
      <c r="G6" s="66">
        <v>0</v>
      </c>
      <c r="H6" s="67">
        <v>0</v>
      </c>
      <c r="I6" s="66">
        <v>0</v>
      </c>
      <c r="J6" s="68"/>
      <c r="K6" s="75">
        <v>0</v>
      </c>
    </row>
    <row r="7" spans="1:14" s="72" customFormat="1" ht="20.25">
      <c r="C7" s="65">
        <v>2020</v>
      </c>
      <c r="D7" s="65" t="s">
        <v>20</v>
      </c>
      <c r="E7" s="66">
        <v>0</v>
      </c>
      <c r="F7" s="66">
        <v>0</v>
      </c>
      <c r="G7" s="66">
        <v>648.66</v>
      </c>
      <c r="H7" s="67">
        <v>0</v>
      </c>
      <c r="I7" s="66">
        <v>648.66</v>
      </c>
      <c r="J7" s="68">
        <v>0</v>
      </c>
      <c r="K7" s="75">
        <v>648.66</v>
      </c>
    </row>
    <row r="8" spans="1:14" s="72" customFormat="1" ht="20.25">
      <c r="C8" s="65">
        <v>2020</v>
      </c>
      <c r="D8" s="65" t="s">
        <v>21</v>
      </c>
      <c r="E8" s="66">
        <v>1987.7</v>
      </c>
      <c r="F8" s="66">
        <v>0</v>
      </c>
      <c r="G8" s="66">
        <v>958.59</v>
      </c>
      <c r="H8" s="67">
        <v>0</v>
      </c>
      <c r="I8" s="66">
        <v>958.59</v>
      </c>
      <c r="J8" s="68">
        <v>2.0735999999999999</v>
      </c>
      <c r="K8" s="75">
        <v>-1029.1100000000001</v>
      </c>
    </row>
    <row r="9" spans="1:14" s="72" customFormat="1" ht="20.25">
      <c r="C9" s="65">
        <v>2020</v>
      </c>
      <c r="D9" s="65" t="s">
        <v>22</v>
      </c>
      <c r="E9" s="66">
        <v>0</v>
      </c>
      <c r="F9" s="66">
        <v>0</v>
      </c>
      <c r="G9" s="66">
        <v>560.52</v>
      </c>
      <c r="H9" s="67">
        <v>0</v>
      </c>
      <c r="I9" s="66">
        <v>560.52</v>
      </c>
      <c r="J9" s="68">
        <v>0</v>
      </c>
      <c r="K9" s="75">
        <v>560.52</v>
      </c>
    </row>
    <row r="10" spans="1:14" s="69" customFormat="1" ht="20.25">
      <c r="C10" s="70">
        <v>2020</v>
      </c>
      <c r="D10" s="70" t="s">
        <v>23</v>
      </c>
      <c r="E10" s="71">
        <v>1987.7</v>
      </c>
      <c r="F10" s="71">
        <v>0</v>
      </c>
      <c r="G10" s="71">
        <v>2167.77</v>
      </c>
      <c r="H10" s="68">
        <v>0</v>
      </c>
      <c r="I10" s="71">
        <v>2167.77</v>
      </c>
      <c r="J10" s="68">
        <v>0.91690000000000005</v>
      </c>
      <c r="K10" s="76">
        <v>180.06999999999994</v>
      </c>
    </row>
    <row r="11" spans="1:14" s="72" customFormat="1" ht="20.25">
      <c r="C11" s="65">
        <v>2020</v>
      </c>
      <c r="D11" s="65" t="s">
        <v>19</v>
      </c>
      <c r="E11" s="66">
        <v>0</v>
      </c>
      <c r="F11" s="66">
        <v>0</v>
      </c>
      <c r="G11" s="66">
        <v>0</v>
      </c>
      <c r="H11" s="67">
        <v>0</v>
      </c>
      <c r="I11" s="66">
        <v>0</v>
      </c>
      <c r="J11" s="68"/>
      <c r="K11" s="75">
        <v>0</v>
      </c>
    </row>
    <row r="12" spans="1:14" s="72" customFormat="1" ht="20.25">
      <c r="C12" s="65">
        <v>2020</v>
      </c>
      <c r="D12" s="65" t="s">
        <v>20</v>
      </c>
      <c r="E12" s="66">
        <v>0</v>
      </c>
      <c r="F12" s="66">
        <v>0</v>
      </c>
      <c r="G12" s="66">
        <v>648.66</v>
      </c>
      <c r="H12" s="67">
        <v>0</v>
      </c>
      <c r="I12" s="66">
        <v>648.66</v>
      </c>
      <c r="J12" s="68">
        <v>0</v>
      </c>
      <c r="K12" s="75">
        <v>648.66</v>
      </c>
    </row>
    <row r="13" spans="1:14" s="72" customFormat="1" ht="20.25">
      <c r="C13" s="65">
        <v>2020</v>
      </c>
      <c r="D13" s="65" t="s">
        <v>21</v>
      </c>
      <c r="E13" s="66">
        <v>1987.7</v>
      </c>
      <c r="F13" s="66">
        <v>0</v>
      </c>
      <c r="G13" s="66">
        <v>958.59</v>
      </c>
      <c r="H13" s="67">
        <v>0</v>
      </c>
      <c r="I13" s="66">
        <v>958.59</v>
      </c>
      <c r="J13" s="68">
        <v>2.0735999999999999</v>
      </c>
      <c r="K13" s="75">
        <v>-1029.1100000000001</v>
      </c>
    </row>
    <row r="14" spans="1:14" s="72" customFormat="1" ht="20.25">
      <c r="C14" s="65">
        <v>2020</v>
      </c>
      <c r="D14" s="65" t="s">
        <v>22</v>
      </c>
      <c r="E14" s="66">
        <v>0</v>
      </c>
      <c r="F14" s="66">
        <v>0</v>
      </c>
      <c r="G14" s="66">
        <v>560.52</v>
      </c>
      <c r="H14" s="67">
        <v>0</v>
      </c>
      <c r="I14" s="66">
        <v>560.52</v>
      </c>
      <c r="J14" s="68">
        <v>0</v>
      </c>
      <c r="K14" s="75">
        <v>560.52</v>
      </c>
    </row>
    <row r="15" spans="1:14" s="69" customFormat="1" ht="20.25">
      <c r="C15" s="70">
        <v>2020</v>
      </c>
      <c r="D15" s="70" t="s">
        <v>23</v>
      </c>
      <c r="E15" s="71">
        <v>1987.7</v>
      </c>
      <c r="F15" s="71">
        <v>0</v>
      </c>
      <c r="G15" s="71">
        <v>2167.77</v>
      </c>
      <c r="H15" s="68">
        <v>0</v>
      </c>
      <c r="I15" s="71">
        <v>2167.77</v>
      </c>
      <c r="J15" s="68">
        <v>0.91690000000000005</v>
      </c>
      <c r="K15" s="76">
        <v>180.06999999999994</v>
      </c>
    </row>
    <row r="79" spans="2:12">
      <c r="B79" s="105" t="s">
        <v>78</v>
      </c>
      <c r="C79" s="105"/>
      <c r="D79" s="105"/>
      <c r="E79" s="105"/>
      <c r="F79" s="105"/>
      <c r="G79" s="105"/>
      <c r="H79" s="105"/>
      <c r="I79" s="105"/>
      <c r="J79" s="105"/>
      <c r="K79" s="105"/>
      <c r="L79" s="105"/>
    </row>
    <row r="80" spans="2:12">
      <c r="B80" s="105">
        <v>2020</v>
      </c>
      <c r="C80" s="105"/>
      <c r="D80" s="105"/>
      <c r="E80" s="105"/>
      <c r="F80" s="105"/>
      <c r="G80" s="105">
        <v>2020</v>
      </c>
      <c r="H80" s="105"/>
      <c r="I80" s="105"/>
      <c r="J80" s="105"/>
      <c r="K80" s="105"/>
      <c r="L80" s="105"/>
    </row>
    <row r="81" spans="2:12">
      <c r="B81" s="102" t="s">
        <v>79</v>
      </c>
      <c r="C81" s="102" t="s">
        <v>80</v>
      </c>
      <c r="D81" s="102" t="s">
        <v>81</v>
      </c>
      <c r="E81" s="102" t="s">
        <v>24</v>
      </c>
      <c r="F81" s="102" t="s">
        <v>82</v>
      </c>
      <c r="G81" s="102" t="s">
        <v>79</v>
      </c>
      <c r="H81" s="102" t="s">
        <v>80</v>
      </c>
      <c r="I81" s="102" t="s">
        <v>81</v>
      </c>
      <c r="J81" s="102" t="s">
        <v>24</v>
      </c>
      <c r="K81" s="102" t="s">
        <v>82</v>
      </c>
      <c r="L81" s="102"/>
    </row>
    <row r="82" spans="2:12">
      <c r="B82" s="99" t="s">
        <v>67</v>
      </c>
      <c r="C82" s="99"/>
      <c r="D82" s="99" t="s">
        <v>66</v>
      </c>
      <c r="E82" s="101"/>
      <c r="F82" s="100">
        <v>-32783.58</v>
      </c>
      <c r="G82" s="99" t="s">
        <v>67</v>
      </c>
      <c r="H82" s="99"/>
      <c r="I82" s="99" t="s">
        <v>66</v>
      </c>
      <c r="J82" s="101"/>
      <c r="K82" s="100">
        <v>-32783.58</v>
      </c>
      <c r="L82" s="99"/>
    </row>
    <row r="83" spans="2:12">
      <c r="B83" s="99" t="s">
        <v>65</v>
      </c>
      <c r="C83" s="99"/>
      <c r="D83" s="99" t="s">
        <v>66</v>
      </c>
      <c r="E83" s="101"/>
      <c r="F83" s="100">
        <v>-1029.1099999999999</v>
      </c>
      <c r="G83" s="99" t="s">
        <v>65</v>
      </c>
      <c r="H83" s="99"/>
      <c r="I83" s="99" t="s">
        <v>66</v>
      </c>
      <c r="J83" s="101"/>
      <c r="K83" s="100">
        <v>-1029.1099999999999</v>
      </c>
      <c r="L83" s="99"/>
    </row>
    <row r="84" spans="2:12">
      <c r="B84" s="99"/>
      <c r="C84" s="99"/>
      <c r="D84" s="99"/>
      <c r="E84" s="101"/>
      <c r="F84" s="100"/>
      <c r="G84" s="99"/>
      <c r="H84" s="99"/>
      <c r="I84" s="99"/>
      <c r="J84" s="101"/>
      <c r="K84" s="100"/>
      <c r="L84" s="99"/>
    </row>
    <row r="85" spans="2:12">
      <c r="B85" s="99"/>
      <c r="C85" s="99"/>
      <c r="D85" s="99"/>
      <c r="E85" s="101"/>
      <c r="F85" s="100"/>
      <c r="G85" s="99"/>
      <c r="H85" s="99"/>
      <c r="I85" s="99"/>
      <c r="J85" s="101"/>
      <c r="K85" s="100"/>
      <c r="L85" s="99"/>
    </row>
    <row r="86" spans="2:12">
      <c r="B86" s="99"/>
      <c r="C86" s="99"/>
      <c r="D86" s="99"/>
      <c r="E86" s="101"/>
      <c r="F86" s="100"/>
      <c r="G86" s="99"/>
      <c r="H86" s="99"/>
      <c r="I86" s="99"/>
      <c r="J86" s="101"/>
      <c r="K86" s="100"/>
      <c r="L86" s="99"/>
    </row>
    <row r="87" spans="2:12">
      <c r="B87" s="99"/>
      <c r="C87" s="99"/>
      <c r="D87" s="99"/>
      <c r="E87" s="101"/>
      <c r="F87" s="100"/>
      <c r="G87" s="99"/>
      <c r="H87" s="99"/>
      <c r="I87" s="99"/>
      <c r="J87" s="101"/>
      <c r="K87" s="100"/>
      <c r="L87" s="99"/>
    </row>
    <row r="88" spans="2:12">
      <c r="B88" s="99"/>
      <c r="C88" s="99"/>
      <c r="D88" s="99"/>
      <c r="E88" s="101"/>
      <c r="F88" s="100"/>
      <c r="G88" s="99"/>
      <c r="H88" s="99"/>
      <c r="I88" s="99"/>
      <c r="J88" s="101"/>
      <c r="K88" s="100"/>
      <c r="L88" s="99"/>
    </row>
    <row r="89" spans="2:12">
      <c r="B89" s="99"/>
      <c r="C89" s="99"/>
      <c r="D89" s="99"/>
      <c r="E89" s="101"/>
      <c r="F89" s="100"/>
      <c r="G89" s="99"/>
      <c r="H89" s="99"/>
      <c r="I89" s="99"/>
      <c r="J89" s="101"/>
      <c r="K89" s="100"/>
      <c r="L89" s="99"/>
    </row>
    <row r="90" spans="2:12">
      <c r="B90" s="99"/>
      <c r="C90" s="99"/>
      <c r="D90" s="99"/>
      <c r="E90" s="101"/>
      <c r="F90" s="100"/>
      <c r="G90" s="99"/>
      <c r="H90" s="99"/>
      <c r="I90" s="99"/>
      <c r="J90" s="101"/>
      <c r="K90" s="100"/>
      <c r="L90" s="99"/>
    </row>
    <row r="91" spans="2:12">
      <c r="B91" s="99"/>
      <c r="C91" s="99"/>
      <c r="D91" s="99"/>
      <c r="E91" s="101"/>
      <c r="F91" s="100"/>
      <c r="G91" s="99"/>
      <c r="H91" s="99"/>
      <c r="I91" s="99"/>
      <c r="J91" s="101"/>
      <c r="K91" s="100"/>
      <c r="L91" s="99"/>
    </row>
    <row r="92" spans="2:12">
      <c r="B92" s="99"/>
      <c r="C92" s="99"/>
      <c r="D92" s="99"/>
      <c r="E92" s="101"/>
      <c r="F92" s="100"/>
      <c r="G92" s="99"/>
      <c r="H92" s="99"/>
      <c r="I92" s="99"/>
      <c r="J92" s="101"/>
      <c r="K92" s="100"/>
      <c r="L92" s="99"/>
    </row>
    <row r="93" spans="2:12">
      <c r="B93" s="99"/>
      <c r="C93" s="99"/>
      <c r="D93" s="99"/>
      <c r="E93" s="101"/>
      <c r="F93" s="100"/>
      <c r="G93" s="99"/>
      <c r="H93" s="99"/>
      <c r="I93" s="99"/>
      <c r="J93" s="101"/>
      <c r="K93" s="100"/>
      <c r="L93" s="99"/>
    </row>
    <row r="94" spans="2:12">
      <c r="B94" s="99"/>
      <c r="C94" s="99"/>
      <c r="D94" s="99"/>
      <c r="E94" s="101"/>
      <c r="F94" s="100"/>
      <c r="G94" s="99"/>
      <c r="H94" s="99"/>
      <c r="I94" s="99"/>
      <c r="J94" s="101"/>
      <c r="K94" s="100"/>
      <c r="L94" s="99"/>
    </row>
    <row r="95" spans="2:12">
      <c r="B95" s="99"/>
      <c r="C95" s="99"/>
      <c r="D95" s="99"/>
      <c r="E95" s="101"/>
      <c r="F95" s="100"/>
      <c r="G95" s="99"/>
      <c r="H95" s="99"/>
      <c r="I95" s="99"/>
      <c r="J95" s="101"/>
      <c r="K95" s="100"/>
      <c r="L95" s="99"/>
    </row>
    <row r="96" spans="2:12">
      <c r="B96" s="99"/>
      <c r="C96" s="99"/>
      <c r="D96" s="99"/>
      <c r="E96" s="101"/>
      <c r="F96" s="100"/>
      <c r="G96" s="99"/>
      <c r="H96" s="99"/>
      <c r="I96" s="99"/>
      <c r="J96" s="101"/>
      <c r="K96" s="100"/>
      <c r="L96" s="99"/>
    </row>
    <row r="97" spans="2:12">
      <c r="B97" s="105" t="s">
        <v>83</v>
      </c>
      <c r="C97" s="105"/>
      <c r="D97" s="105"/>
      <c r="E97" s="105"/>
      <c r="F97" s="105"/>
      <c r="G97" s="105"/>
      <c r="H97" s="105"/>
      <c r="I97" s="105"/>
      <c r="J97" s="105"/>
      <c r="K97" s="105"/>
      <c r="L97" s="105"/>
    </row>
    <row r="98" spans="2:12">
      <c r="B98" s="105">
        <v>2020</v>
      </c>
      <c r="C98" s="105"/>
      <c r="D98" s="105"/>
      <c r="E98" s="105"/>
      <c r="F98" s="105"/>
      <c r="G98" s="105">
        <v>2020</v>
      </c>
      <c r="H98" s="105"/>
      <c r="I98" s="105"/>
      <c r="J98" s="105"/>
      <c r="K98" s="105"/>
      <c r="L98" s="105"/>
    </row>
    <row r="99" spans="2:12">
      <c r="B99" s="102" t="s">
        <v>79</v>
      </c>
      <c r="C99" s="102" t="s">
        <v>80</v>
      </c>
      <c r="D99" s="102" t="s">
        <v>81</v>
      </c>
      <c r="E99" s="102" t="s">
        <v>24</v>
      </c>
      <c r="F99" s="102" t="s">
        <v>84</v>
      </c>
      <c r="G99" s="102" t="s">
        <v>79</v>
      </c>
      <c r="H99" s="102" t="s">
        <v>80</v>
      </c>
      <c r="I99" s="102" t="s">
        <v>81</v>
      </c>
      <c r="J99" s="102" t="s">
        <v>24</v>
      </c>
      <c r="K99" s="102" t="s">
        <v>84</v>
      </c>
      <c r="L99" s="102"/>
    </row>
    <row r="100" spans="2:12">
      <c r="B100" s="99" t="s">
        <v>65</v>
      </c>
      <c r="C100" s="99"/>
      <c r="D100" s="99" t="s">
        <v>68</v>
      </c>
      <c r="E100" s="101"/>
      <c r="F100" s="100">
        <v>648.66</v>
      </c>
      <c r="G100" s="99" t="s">
        <v>65</v>
      </c>
      <c r="H100" s="99"/>
      <c r="I100" s="99" t="s">
        <v>68</v>
      </c>
      <c r="J100" s="101"/>
      <c r="K100" s="100">
        <v>648.66</v>
      </c>
      <c r="L100" s="99"/>
    </row>
    <row r="101" spans="2:12">
      <c r="B101" s="99" t="s">
        <v>65</v>
      </c>
      <c r="C101" s="99"/>
      <c r="D101" s="99" t="s">
        <v>66</v>
      </c>
      <c r="E101" s="101"/>
      <c r="F101" s="100">
        <v>560.52</v>
      </c>
      <c r="G101" s="99" t="s">
        <v>65</v>
      </c>
      <c r="H101" s="99"/>
      <c r="I101" s="99" t="s">
        <v>66</v>
      </c>
      <c r="J101" s="101"/>
      <c r="K101" s="100">
        <v>560.52</v>
      </c>
      <c r="L101" s="99"/>
    </row>
    <row r="102" spans="2:12">
      <c r="B102" s="99" t="s">
        <v>67</v>
      </c>
      <c r="C102" s="99"/>
      <c r="D102" s="99" t="s">
        <v>68</v>
      </c>
      <c r="E102" s="101"/>
      <c r="F102" s="100">
        <v>442.67</v>
      </c>
      <c r="G102" s="99" t="s">
        <v>67</v>
      </c>
      <c r="H102" s="99"/>
      <c r="I102" s="99" t="s">
        <v>68</v>
      </c>
      <c r="J102" s="101"/>
      <c r="K102" s="100">
        <v>442.67</v>
      </c>
      <c r="L102" s="99"/>
    </row>
    <row r="103" spans="2:12">
      <c r="B103" s="99" t="s">
        <v>67</v>
      </c>
      <c r="C103" s="99"/>
      <c r="D103" s="99" t="s">
        <v>66</v>
      </c>
      <c r="E103" s="101"/>
      <c r="F103" s="100">
        <v>394.67</v>
      </c>
      <c r="G103" s="99" t="s">
        <v>67</v>
      </c>
      <c r="H103" s="99"/>
      <c r="I103" s="99" t="s">
        <v>66</v>
      </c>
      <c r="J103" s="101"/>
      <c r="K103" s="100">
        <v>394.67</v>
      </c>
      <c r="L103" s="99"/>
    </row>
    <row r="104" spans="2:12">
      <c r="B104" s="99" t="s">
        <v>67</v>
      </c>
      <c r="C104" s="99"/>
      <c r="D104" s="99" t="s">
        <v>66</v>
      </c>
      <c r="E104" s="101"/>
      <c r="F104" s="100">
        <v>312.44</v>
      </c>
      <c r="G104" s="99" t="s">
        <v>67</v>
      </c>
      <c r="H104" s="99"/>
      <c r="I104" s="99" t="s">
        <v>66</v>
      </c>
      <c r="J104" s="101"/>
      <c r="K104" s="100">
        <v>312.44</v>
      </c>
      <c r="L104" s="99"/>
    </row>
    <row r="105" spans="2:12">
      <c r="B105" s="99"/>
      <c r="C105" s="99"/>
      <c r="D105" s="99"/>
      <c r="E105" s="101"/>
      <c r="F105" s="100"/>
      <c r="G105" s="99"/>
      <c r="H105" s="99"/>
      <c r="I105" s="99"/>
      <c r="J105" s="101"/>
      <c r="K105" s="100"/>
      <c r="L105" s="99"/>
    </row>
    <row r="106" spans="2:12">
      <c r="B106" s="99"/>
      <c r="C106" s="99"/>
      <c r="D106" s="99"/>
      <c r="E106" s="101"/>
      <c r="F106" s="100"/>
      <c r="G106" s="99"/>
      <c r="H106" s="99"/>
      <c r="I106" s="99"/>
      <c r="J106" s="101"/>
      <c r="K106" s="100"/>
      <c r="L106" s="99"/>
    </row>
    <row r="107" spans="2:12">
      <c r="B107" s="99"/>
      <c r="C107" s="99"/>
      <c r="D107" s="99"/>
      <c r="E107" s="101"/>
      <c r="F107" s="100"/>
      <c r="G107" s="99"/>
      <c r="H107" s="99"/>
      <c r="I107" s="99"/>
      <c r="J107" s="101"/>
      <c r="K107" s="100"/>
      <c r="L107" s="99"/>
    </row>
    <row r="108" spans="2:12">
      <c r="B108" s="99"/>
      <c r="C108" s="99"/>
      <c r="D108" s="99"/>
      <c r="E108" s="101"/>
      <c r="F108" s="100"/>
      <c r="G108" s="99"/>
      <c r="H108" s="99"/>
      <c r="I108" s="99"/>
      <c r="J108" s="101"/>
      <c r="K108" s="100"/>
      <c r="L108" s="99"/>
    </row>
    <row r="109" spans="2:12">
      <c r="B109" s="99"/>
      <c r="C109" s="99"/>
      <c r="D109" s="99"/>
      <c r="E109" s="101"/>
      <c r="F109" s="100"/>
      <c r="G109" s="99"/>
      <c r="H109" s="99"/>
      <c r="I109" s="99"/>
      <c r="J109" s="101"/>
      <c r="K109" s="100"/>
      <c r="L109" s="99"/>
    </row>
    <row r="110" spans="2:12">
      <c r="B110" s="99"/>
      <c r="C110" s="99"/>
      <c r="D110" s="99"/>
      <c r="E110" s="101"/>
      <c r="F110" s="100"/>
      <c r="G110" s="99"/>
      <c r="H110" s="99"/>
      <c r="I110" s="99"/>
      <c r="J110" s="101"/>
      <c r="K110" s="100"/>
      <c r="L110" s="99"/>
    </row>
    <row r="111" spans="2:12">
      <c r="B111" s="99"/>
      <c r="C111" s="99"/>
      <c r="D111" s="99"/>
      <c r="E111" s="101"/>
      <c r="F111" s="100"/>
      <c r="G111" s="99"/>
      <c r="H111" s="99"/>
      <c r="I111" s="99"/>
      <c r="J111" s="101"/>
      <c r="K111" s="100"/>
      <c r="L111" s="99"/>
    </row>
    <row r="112" spans="2:12">
      <c r="B112" s="99"/>
      <c r="C112" s="99"/>
      <c r="D112" s="99"/>
      <c r="E112" s="101"/>
      <c r="F112" s="100"/>
      <c r="G112" s="99"/>
      <c r="H112" s="99"/>
      <c r="I112" s="99"/>
      <c r="J112" s="101"/>
      <c r="K112" s="100"/>
      <c r="L112" s="99"/>
    </row>
    <row r="113" spans="2:12">
      <c r="B113" s="99"/>
      <c r="C113" s="99"/>
      <c r="D113" s="99"/>
      <c r="E113" s="101"/>
      <c r="F113" s="100"/>
      <c r="G113" s="99"/>
      <c r="H113" s="99"/>
      <c r="I113" s="99"/>
      <c r="J113" s="101"/>
      <c r="K113" s="100"/>
      <c r="L113" s="99"/>
    </row>
    <row r="114" spans="2:12">
      <c r="B114" s="99"/>
      <c r="C114" s="99"/>
      <c r="D114" s="99"/>
      <c r="E114" s="101"/>
      <c r="F114" s="100"/>
      <c r="G114" s="99"/>
      <c r="H114" s="99"/>
      <c r="I114" s="99"/>
      <c r="J114" s="101"/>
      <c r="K114" s="100"/>
      <c r="L114" s="99"/>
    </row>
  </sheetData>
  <mergeCells count="8">
    <mergeCell ref="B97:L97"/>
    <mergeCell ref="B98:F98"/>
    <mergeCell ref="G98:L98"/>
    <mergeCell ref="B1:L1"/>
    <mergeCell ref="B3:L3"/>
    <mergeCell ref="B79:L79"/>
    <mergeCell ref="B80:F80"/>
    <mergeCell ref="G80:L80"/>
  </mergeCells>
  <phoneticPr fontId="0" type="noConversion"/>
  <pageMargins left="0.70866141732283472" right="0.70866141732283472" top="0.74803149606299213" bottom="0.74803149606299213" header="0.31496062992125984" footer="0.31496062992125984"/>
  <pageSetup paperSize="9" scale="30" orientation="portrait"/>
  <headerFooter>
    <oddFooter>&amp;C&amp;A  &amp;D</oddFooter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EE065-15FF-4EF7-B063-184C382AFF63}">
  <sheetPr codeName="Feuil4"/>
  <dimension ref="A1:Q2"/>
  <sheetViews>
    <sheetView topLeftCell="B1" zoomScale="85" zoomScaleNormal="85" workbookViewId="0">
      <selection activeCell="A2" sqref="A2:XFD2"/>
    </sheetView>
  </sheetViews>
  <sheetFormatPr baseColWidth="10" defaultColWidth="9.140625" defaultRowHeight="15"/>
  <cols>
    <col min="1" max="1" width="33.42578125" style="72" bestFit="1" customWidth="1"/>
    <col min="2" max="3" width="17.5703125" style="72" customWidth="1"/>
    <col min="4" max="5" width="20" style="96" customWidth="1"/>
    <col min="6" max="6" width="22.85546875" style="58" bestFit="1" customWidth="1"/>
    <col min="7" max="8" width="22.85546875" style="58" customWidth="1"/>
    <col min="9" max="10" width="19.85546875" style="58" customWidth="1"/>
    <col min="11" max="11" width="15.5703125" style="59" bestFit="1" customWidth="1"/>
    <col min="12" max="12" width="19.85546875" style="58" customWidth="1"/>
    <col min="13" max="13" width="16.5703125" style="59" customWidth="1"/>
    <col min="14" max="14" width="21.140625" style="58" bestFit="1" customWidth="1"/>
    <col min="15" max="15" width="14.42578125" style="57" bestFit="1" customWidth="1"/>
    <col min="16" max="16" width="23.85546875" style="56" customWidth="1"/>
    <col min="17" max="17" width="17.140625" style="98" bestFit="1" customWidth="1"/>
    <col min="18" max="16384" width="9.140625" style="72"/>
  </cols>
  <sheetData>
    <row r="1" spans="1:17" ht="31.5">
      <c r="A1" s="39" t="s">
        <v>25</v>
      </c>
      <c r="B1" s="39" t="s">
        <v>76</v>
      </c>
      <c r="C1" s="39" t="s">
        <v>30</v>
      </c>
      <c r="D1" s="39" t="s">
        <v>31</v>
      </c>
      <c r="E1" s="40" t="s">
        <v>32</v>
      </c>
      <c r="F1" s="40" t="s">
        <v>12</v>
      </c>
      <c r="G1" s="40" t="s">
        <v>13</v>
      </c>
      <c r="H1" s="40" t="s">
        <v>33</v>
      </c>
      <c r="I1" s="40" t="s">
        <v>34</v>
      </c>
      <c r="J1" s="40" t="s">
        <v>14</v>
      </c>
      <c r="K1" s="53" t="s">
        <v>35</v>
      </c>
      <c r="L1" s="40" t="s">
        <v>16</v>
      </c>
      <c r="M1" s="53" t="s">
        <v>36</v>
      </c>
      <c r="N1" s="40" t="s">
        <v>75</v>
      </c>
      <c r="O1" s="41" t="s">
        <v>38</v>
      </c>
      <c r="P1" s="40" t="s">
        <v>39</v>
      </c>
      <c r="Q1" s="73" t="s">
        <v>26</v>
      </c>
    </row>
    <row r="2" spans="1:17">
      <c r="A2" s="72" t="s">
        <v>64</v>
      </c>
      <c r="B2" s="72" t="s">
        <v>66</v>
      </c>
      <c r="D2" s="96">
        <v>2020</v>
      </c>
      <c r="F2" s="58">
        <v>1987.7</v>
      </c>
      <c r="G2" s="58">
        <v>0</v>
      </c>
      <c r="H2" s="58">
        <v>0</v>
      </c>
      <c r="I2" s="58">
        <v>0</v>
      </c>
      <c r="J2" s="58">
        <v>2167.77</v>
      </c>
      <c r="K2" s="59">
        <v>0</v>
      </c>
      <c r="L2" s="58">
        <v>2167.77</v>
      </c>
      <c r="M2" s="59">
        <v>0.91690000000000005</v>
      </c>
      <c r="N2" s="58">
        <v>180.07</v>
      </c>
      <c r="P2" s="56" t="s">
        <v>66</v>
      </c>
      <c r="Q2" s="98">
        <v>5</v>
      </c>
    </row>
  </sheetData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A1:Q4"/>
  <sheetViews>
    <sheetView zoomScale="85" zoomScaleNormal="85" workbookViewId="0">
      <selection activeCell="A2" sqref="A2:XFD4"/>
    </sheetView>
  </sheetViews>
  <sheetFormatPr baseColWidth="10" defaultColWidth="9.140625" defaultRowHeight="15"/>
  <cols>
    <col min="1" max="1" width="33.42578125" style="72" bestFit="1" customWidth="1"/>
    <col min="2" max="2" width="20.140625" style="72" bestFit="1" customWidth="1"/>
    <col min="3" max="3" width="17.5703125" style="72" customWidth="1"/>
    <col min="4" max="5" width="20" style="96" customWidth="1"/>
    <col min="6" max="6" width="22.85546875" style="58" bestFit="1" customWidth="1"/>
    <col min="7" max="8" width="22.85546875" style="58" customWidth="1"/>
    <col min="9" max="10" width="19.85546875" style="58" customWidth="1"/>
    <col min="11" max="11" width="15.5703125" style="59" bestFit="1" customWidth="1"/>
    <col min="12" max="12" width="19.85546875" style="58" customWidth="1"/>
    <col min="13" max="13" width="16.5703125" style="59" customWidth="1"/>
    <col min="14" max="14" width="21.140625" style="58" bestFit="1" customWidth="1"/>
    <col min="15" max="15" width="14.42578125" style="57" bestFit="1" customWidth="1"/>
    <col min="16" max="16" width="23.85546875" style="56" customWidth="1"/>
    <col min="17" max="17" width="17.140625" style="98" bestFit="1" customWidth="1"/>
    <col min="18" max="16384" width="9.140625" style="72"/>
  </cols>
  <sheetData>
    <row r="1" spans="1:17" ht="31.5">
      <c r="A1" s="39" t="s">
        <v>25</v>
      </c>
      <c r="B1" s="39" t="s">
        <v>76</v>
      </c>
      <c r="C1" s="39" t="s">
        <v>30</v>
      </c>
      <c r="D1" s="39" t="s">
        <v>31</v>
      </c>
      <c r="E1" s="40" t="s">
        <v>32</v>
      </c>
      <c r="F1" s="40" t="s">
        <v>12</v>
      </c>
      <c r="G1" s="40" t="s">
        <v>13</v>
      </c>
      <c r="H1" s="40" t="s">
        <v>33</v>
      </c>
      <c r="I1" s="40" t="s">
        <v>34</v>
      </c>
      <c r="J1" s="40" t="s">
        <v>14</v>
      </c>
      <c r="K1" s="53" t="s">
        <v>35</v>
      </c>
      <c r="L1" s="40" t="s">
        <v>16</v>
      </c>
      <c r="M1" s="53" t="s">
        <v>36</v>
      </c>
      <c r="N1" s="40" t="s">
        <v>75</v>
      </c>
      <c r="O1" s="41" t="s">
        <v>38</v>
      </c>
      <c r="P1" s="40" t="s">
        <v>39</v>
      </c>
      <c r="Q1" s="73" t="s">
        <v>26</v>
      </c>
    </row>
    <row r="2" spans="1:17">
      <c r="A2" s="72" t="s">
        <v>64</v>
      </c>
      <c r="B2" s="72" t="s">
        <v>69</v>
      </c>
      <c r="D2" s="96">
        <v>2020</v>
      </c>
      <c r="F2" s="58">
        <v>0</v>
      </c>
      <c r="G2" s="58">
        <v>0</v>
      </c>
      <c r="H2" s="58">
        <v>0</v>
      </c>
      <c r="I2" s="58">
        <v>0</v>
      </c>
      <c r="J2" s="58">
        <v>648.66</v>
      </c>
      <c r="K2" s="59">
        <v>0</v>
      </c>
      <c r="L2" s="58">
        <v>648.66</v>
      </c>
      <c r="M2" s="59">
        <v>0</v>
      </c>
      <c r="N2" s="58">
        <v>648.66</v>
      </c>
      <c r="P2" s="56" t="s">
        <v>69</v>
      </c>
      <c r="Q2" s="98">
        <v>1</v>
      </c>
    </row>
    <row r="3" spans="1:17">
      <c r="A3" s="72" t="s">
        <v>64</v>
      </c>
      <c r="B3" s="72" t="s">
        <v>70</v>
      </c>
      <c r="D3" s="96">
        <v>2020</v>
      </c>
      <c r="F3" s="58">
        <v>1987.7</v>
      </c>
      <c r="G3" s="58">
        <v>0</v>
      </c>
      <c r="H3" s="58">
        <v>0</v>
      </c>
      <c r="I3" s="58">
        <v>0</v>
      </c>
      <c r="J3" s="58">
        <v>958.59</v>
      </c>
      <c r="K3" s="59">
        <v>0</v>
      </c>
      <c r="L3" s="58">
        <v>958.59</v>
      </c>
      <c r="M3" s="59">
        <v>2.0735999999999999</v>
      </c>
      <c r="N3" s="58">
        <v>-1029.1099999999999</v>
      </c>
      <c r="P3" s="56" t="s">
        <v>70</v>
      </c>
      <c r="Q3" s="98">
        <v>2</v>
      </c>
    </row>
    <row r="4" spans="1:17">
      <c r="A4" s="72" t="s">
        <v>64</v>
      </c>
      <c r="B4" s="72" t="s">
        <v>71</v>
      </c>
      <c r="D4" s="96">
        <v>2020</v>
      </c>
      <c r="F4" s="58">
        <v>0</v>
      </c>
      <c r="G4" s="58">
        <v>0</v>
      </c>
      <c r="H4" s="58">
        <v>0</v>
      </c>
      <c r="I4" s="58">
        <v>0</v>
      </c>
      <c r="J4" s="58">
        <v>560.52</v>
      </c>
      <c r="K4" s="59">
        <v>0</v>
      </c>
      <c r="L4" s="58">
        <v>560.52</v>
      </c>
      <c r="M4" s="59">
        <v>0</v>
      </c>
      <c r="N4" s="58">
        <v>560.52</v>
      </c>
      <c r="P4" s="56" t="s">
        <v>71</v>
      </c>
      <c r="Q4" s="98">
        <v>2</v>
      </c>
    </row>
  </sheetData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1"/>
  <dimension ref="A1:J3"/>
  <sheetViews>
    <sheetView zoomScale="85" zoomScaleNormal="85" workbookViewId="0">
      <selection activeCell="A3" sqref="A3:XFD3"/>
    </sheetView>
  </sheetViews>
  <sheetFormatPr baseColWidth="10" defaultColWidth="11.42578125" defaultRowHeight="15"/>
  <cols>
    <col min="1" max="1" width="36.42578125" bestFit="1" customWidth="1"/>
    <col min="2" max="2" width="21.85546875" customWidth="1"/>
    <col min="3" max="3" width="19.7109375" style="74" bestFit="1" customWidth="1"/>
    <col min="4" max="4" width="19.7109375" style="74" customWidth="1"/>
    <col min="5" max="6" width="16.140625" style="48" customWidth="1"/>
    <col min="7" max="8" width="11.140625" style="50" bestFit="1" customWidth="1"/>
    <col min="9" max="10" width="16.140625" style="97" customWidth="1"/>
    <col min="14" max="14" width="14" customWidth="1"/>
    <col min="15" max="15" width="12.85546875" bestFit="1" customWidth="1"/>
  </cols>
  <sheetData>
    <row r="1" spans="1:10" s="47" customFormat="1" ht="31.5" customHeight="1">
      <c r="A1" s="116" t="s">
        <v>25</v>
      </c>
      <c r="B1" s="116" t="s">
        <v>74</v>
      </c>
      <c r="C1" s="110" t="s">
        <v>26</v>
      </c>
      <c r="D1" s="111"/>
      <c r="E1" s="112" t="s">
        <v>24</v>
      </c>
      <c r="F1" s="113"/>
      <c r="G1" s="112" t="s">
        <v>27</v>
      </c>
      <c r="H1" s="113"/>
      <c r="I1" s="114" t="s">
        <v>28</v>
      </c>
      <c r="J1" s="115"/>
    </row>
    <row r="2" spans="1:10" s="29" customFormat="1" ht="15.75">
      <c r="A2" s="117"/>
      <c r="B2" s="117"/>
      <c r="C2" s="73">
        <v>2020</v>
      </c>
      <c r="D2" s="73">
        <v>2020</v>
      </c>
      <c r="E2" s="46">
        <v>2020</v>
      </c>
      <c r="F2" s="46">
        <v>2020</v>
      </c>
      <c r="G2" s="46">
        <v>2020</v>
      </c>
      <c r="H2" s="46">
        <v>2020</v>
      </c>
      <c r="I2" s="46">
        <v>2020</v>
      </c>
      <c r="J2" s="46">
        <v>2020</v>
      </c>
    </row>
    <row r="3" spans="1:10">
      <c r="A3" t="s">
        <v>64</v>
      </c>
      <c r="B3" t="s">
        <v>66</v>
      </c>
      <c r="C3" s="74">
        <v>5</v>
      </c>
      <c r="D3" s="74">
        <v>5</v>
      </c>
      <c r="G3" s="50">
        <v>0.91690000000000005</v>
      </c>
      <c r="H3" s="50">
        <v>0.91690000000000005</v>
      </c>
      <c r="I3" s="97">
        <v>180.06999999999994</v>
      </c>
      <c r="J3" s="97">
        <v>180.06999999999994</v>
      </c>
    </row>
  </sheetData>
  <mergeCells count="6">
    <mergeCell ref="C1:D1"/>
    <mergeCell ref="E1:F1"/>
    <mergeCell ref="G1:H1"/>
    <mergeCell ref="I1:J1"/>
    <mergeCell ref="A1:A2"/>
    <mergeCell ref="B1:B2"/>
  </mergeCells>
  <pageMargins left="0.7" right="0.7" top="0.75" bottom="0.75" header="0.3" footer="0.3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2FAA16-44D6-4D76-94B1-69EC7B5E746D}">
  <sheetPr codeName="Feuil5"/>
  <dimension ref="A1:J5"/>
  <sheetViews>
    <sheetView zoomScale="85" zoomScaleNormal="85" workbookViewId="0">
      <selection activeCell="A3" sqref="A3:XFD3"/>
    </sheetView>
  </sheetViews>
  <sheetFormatPr baseColWidth="10" defaultColWidth="11.42578125" defaultRowHeight="15"/>
  <cols>
    <col min="1" max="1" width="36.42578125" style="72" bestFit="1" customWidth="1"/>
    <col min="2" max="2" width="21.85546875" style="72" customWidth="1"/>
    <col min="3" max="3" width="19.7109375" style="74" bestFit="1" customWidth="1"/>
    <col min="4" max="4" width="19.7109375" style="74" customWidth="1"/>
    <col min="5" max="6" width="16.140625" style="96" customWidth="1"/>
    <col min="7" max="8" width="11.140625" style="50" bestFit="1" customWidth="1"/>
    <col min="9" max="10" width="16.140625" style="97" customWidth="1"/>
    <col min="11" max="13" width="11.42578125" style="72"/>
    <col min="14" max="14" width="14" style="72" customWidth="1"/>
    <col min="15" max="15" width="12.85546875" style="72" bestFit="1" customWidth="1"/>
    <col min="16" max="16384" width="11.42578125" style="72"/>
  </cols>
  <sheetData>
    <row r="1" spans="1:10" s="69" customFormat="1" ht="31.5" customHeight="1">
      <c r="A1" s="116" t="s">
        <v>25</v>
      </c>
      <c r="B1" s="116" t="s">
        <v>74</v>
      </c>
      <c r="C1" s="110" t="s">
        <v>26</v>
      </c>
      <c r="D1" s="111"/>
      <c r="E1" s="112" t="s">
        <v>24</v>
      </c>
      <c r="F1" s="113"/>
      <c r="G1" s="112" t="s">
        <v>27</v>
      </c>
      <c r="H1" s="113"/>
      <c r="I1" s="114" t="s">
        <v>28</v>
      </c>
      <c r="J1" s="115"/>
    </row>
    <row r="2" spans="1:10" ht="15.75">
      <c r="A2" s="117"/>
      <c r="B2" s="117"/>
      <c r="C2" s="73">
        <v>2020</v>
      </c>
      <c r="D2" s="73">
        <v>2020</v>
      </c>
      <c r="E2" s="46">
        <v>2020</v>
      </c>
      <c r="F2" s="46">
        <v>2020</v>
      </c>
      <c r="G2" s="46">
        <v>2020</v>
      </c>
      <c r="H2" s="46">
        <v>2020</v>
      </c>
      <c r="I2" s="46">
        <v>2020</v>
      </c>
      <c r="J2" s="46">
        <v>2020</v>
      </c>
    </row>
    <row r="3" spans="1:10">
      <c r="A3" s="72" t="s">
        <v>64</v>
      </c>
      <c r="B3" s="72" t="s">
        <v>69</v>
      </c>
      <c r="C3" s="74">
        <v>1</v>
      </c>
      <c r="D3" s="74">
        <v>1</v>
      </c>
      <c r="G3" s="50">
        <v>0</v>
      </c>
      <c r="H3" s="50">
        <v>0</v>
      </c>
      <c r="I3" s="97">
        <v>648.66</v>
      </c>
      <c r="J3" s="97">
        <v>648.66</v>
      </c>
    </row>
    <row r="4" spans="1:10">
      <c r="A4" s="72" t="s">
        <v>64</v>
      </c>
      <c r="B4" s="72" t="s">
        <v>70</v>
      </c>
      <c r="C4" s="74">
        <v>2</v>
      </c>
      <c r="D4" s="74">
        <v>2</v>
      </c>
      <c r="G4" s="50">
        <v>2.0735999999999999</v>
      </c>
      <c r="H4" s="50">
        <v>2.0735999999999999</v>
      </c>
      <c r="I4" s="97">
        <v>-1029.1100000000001</v>
      </c>
      <c r="J4" s="97">
        <v>-1029.1100000000001</v>
      </c>
    </row>
    <row r="5" spans="1:10">
      <c r="A5" s="72" t="s">
        <v>64</v>
      </c>
      <c r="B5" s="72" t="s">
        <v>71</v>
      </c>
      <c r="C5" s="74">
        <v>2</v>
      </c>
      <c r="D5" s="74">
        <v>2</v>
      </c>
      <c r="G5" s="50">
        <v>0</v>
      </c>
      <c r="H5" s="50">
        <v>0</v>
      </c>
      <c r="I5" s="97">
        <v>560.52</v>
      </c>
      <c r="J5" s="97">
        <v>560.52</v>
      </c>
    </row>
  </sheetData>
  <mergeCells count="6">
    <mergeCell ref="C1:D1"/>
    <mergeCell ref="E1:F1"/>
    <mergeCell ref="G1:H1"/>
    <mergeCell ref="I1:J1"/>
    <mergeCell ref="A1:A2"/>
    <mergeCell ref="B1:B2"/>
  </mergeCells>
  <pageMargins left="0.7" right="0.7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F5FD0-15A6-45D5-86A8-F1E03F3A812F}">
  <sheetPr codeName="Sheet2"/>
  <dimension ref="A1:Q2"/>
  <sheetViews>
    <sheetView zoomScale="70" zoomScaleNormal="70" workbookViewId="0">
      <selection activeCell="B45" sqref="B45"/>
    </sheetView>
  </sheetViews>
  <sheetFormatPr baseColWidth="10" defaultColWidth="9.140625" defaultRowHeight="15"/>
  <cols>
    <col min="1" max="1" width="33.42578125" style="72" bestFit="1" customWidth="1"/>
    <col min="2" max="2" width="48.140625" style="72" customWidth="1"/>
    <col min="3" max="3" width="17.5703125" style="72" customWidth="1"/>
    <col min="4" max="5" width="20" style="93" customWidth="1"/>
    <col min="6" max="6" width="22.85546875" style="58" bestFit="1" customWidth="1"/>
    <col min="7" max="8" width="22.85546875" style="58" customWidth="1"/>
    <col min="9" max="10" width="19.85546875" style="58" customWidth="1"/>
    <col min="11" max="11" width="15.5703125" style="50" bestFit="1" customWidth="1"/>
    <col min="12" max="12" width="19.85546875" style="58" customWidth="1"/>
    <col min="13" max="13" width="10.28515625" style="59" customWidth="1"/>
    <col min="14" max="14" width="20" style="58" customWidth="1"/>
    <col min="15" max="15" width="17" style="57" customWidth="1"/>
    <col min="16" max="16" width="40.42578125" style="56" customWidth="1"/>
    <col min="17" max="17" width="19" style="57" customWidth="1"/>
    <col min="18" max="16384" width="9.140625" style="72"/>
  </cols>
  <sheetData>
    <row r="1" spans="1:17" s="79" customFormat="1" ht="31.5">
      <c r="A1" s="40" t="s">
        <v>25</v>
      </c>
      <c r="B1" s="40" t="s">
        <v>29</v>
      </c>
      <c r="C1" s="40" t="s">
        <v>30</v>
      </c>
      <c r="D1" s="40" t="s">
        <v>31</v>
      </c>
      <c r="E1" s="40" t="s">
        <v>32</v>
      </c>
      <c r="F1" s="40" t="s">
        <v>12</v>
      </c>
      <c r="G1" s="40" t="s">
        <v>13</v>
      </c>
      <c r="H1" s="40" t="s">
        <v>33</v>
      </c>
      <c r="I1" s="40" t="s">
        <v>34</v>
      </c>
      <c r="J1" s="40" t="s">
        <v>14</v>
      </c>
      <c r="K1" s="40" t="s">
        <v>35</v>
      </c>
      <c r="L1" s="40" t="s">
        <v>16</v>
      </c>
      <c r="M1" s="40" t="s">
        <v>36</v>
      </c>
      <c r="N1" s="40" t="s">
        <v>37</v>
      </c>
      <c r="O1" s="40" t="s">
        <v>38</v>
      </c>
      <c r="P1" s="40" t="s">
        <v>39</v>
      </c>
      <c r="Q1" s="78"/>
    </row>
    <row r="2" spans="1:17" s="81" customFormat="1">
      <c r="A2" s="81" t="s">
        <v>64</v>
      </c>
      <c r="B2" s="81" t="s">
        <v>67</v>
      </c>
      <c r="D2" s="82">
        <v>2020</v>
      </c>
      <c r="E2" s="82" t="s">
        <v>20</v>
      </c>
      <c r="F2" s="83">
        <v>0</v>
      </c>
      <c r="G2" s="83">
        <v>0</v>
      </c>
      <c r="H2" s="83">
        <v>0</v>
      </c>
      <c r="I2" s="83">
        <v>0</v>
      </c>
      <c r="J2" s="83">
        <v>394.67</v>
      </c>
      <c r="K2" s="84">
        <v>0</v>
      </c>
      <c r="L2" s="83">
        <v>394.67</v>
      </c>
      <c r="M2" s="84">
        <v>0</v>
      </c>
      <c r="N2" s="83">
        <v>394.67</v>
      </c>
      <c r="O2" s="85">
        <v>44196</v>
      </c>
      <c r="P2" s="86" t="s">
        <v>66</v>
      </c>
      <c r="Q2" s="85"/>
    </row>
  </sheetData>
  <sortState xmlns:xlrd2="http://schemas.microsoft.com/office/spreadsheetml/2017/richdata2" ref="A2:Q2">
    <sortCondition ref="A1:A1048576"/>
    <sortCondition ref="B1:B1048576"/>
    <sortCondition ref="D1:D1048576"/>
    <sortCondition ref="N1:N1048576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Q1"/>
  <sheetViews>
    <sheetView workbookViewId="0">
      <selection activeCell="C21" sqref="C21"/>
    </sheetView>
  </sheetViews>
  <sheetFormatPr baseColWidth="10" defaultColWidth="9.140625" defaultRowHeight="15"/>
  <cols>
    <col min="1" max="1" width="33.42578125" style="45" bestFit="1" customWidth="1"/>
    <col min="2" max="3" width="17.5703125" style="45" customWidth="1"/>
    <col min="4" max="5" width="20" style="51" customWidth="1"/>
    <col min="6" max="6" width="22.85546875" style="43" bestFit="1" customWidth="1"/>
    <col min="7" max="8" width="22.85546875" style="58" customWidth="1"/>
    <col min="9" max="10" width="19.85546875" style="43" customWidth="1"/>
    <col min="11" max="11" width="15.5703125" style="59" bestFit="1" customWidth="1"/>
    <col min="12" max="12" width="19.85546875" style="43" customWidth="1"/>
    <col min="13" max="13" width="13.5703125" style="44" customWidth="1"/>
    <col min="14" max="14" width="20" style="43" customWidth="1"/>
    <col min="15" max="15" width="17" style="42" customWidth="1"/>
    <col min="16" max="16" width="23.85546875" style="52" customWidth="1"/>
    <col min="17" max="17" width="19" style="42" customWidth="1"/>
    <col min="18" max="21" width="9.140625" style="45" customWidth="1"/>
    <col min="22" max="16384" width="9.140625" style="45"/>
  </cols>
  <sheetData>
    <row r="1" spans="1:16" ht="31.5">
      <c r="A1" s="39" t="s">
        <v>25</v>
      </c>
      <c r="B1" s="39" t="s">
        <v>29</v>
      </c>
      <c r="C1" s="39" t="s">
        <v>30</v>
      </c>
      <c r="D1" s="39" t="s">
        <v>31</v>
      </c>
      <c r="E1" s="40" t="s">
        <v>32</v>
      </c>
      <c r="F1" s="40" t="s">
        <v>12</v>
      </c>
      <c r="G1" s="40" t="s">
        <v>13</v>
      </c>
      <c r="H1" s="40" t="s">
        <v>33</v>
      </c>
      <c r="I1" s="40" t="s">
        <v>34</v>
      </c>
      <c r="J1" s="40" t="s">
        <v>14</v>
      </c>
      <c r="K1" s="53" t="s">
        <v>35</v>
      </c>
      <c r="L1" s="40" t="s">
        <v>16</v>
      </c>
      <c r="M1" s="53" t="s">
        <v>36</v>
      </c>
      <c r="N1" s="40" t="s">
        <v>37</v>
      </c>
      <c r="O1" s="41" t="s">
        <v>38</v>
      </c>
      <c r="P1" s="40" t="s">
        <v>39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T11"/>
  <sheetViews>
    <sheetView topLeftCell="B1" workbookViewId="0">
      <selection activeCell="G19" sqref="G19"/>
    </sheetView>
  </sheetViews>
  <sheetFormatPr baseColWidth="10" defaultColWidth="9.140625" defaultRowHeight="15"/>
  <cols>
    <col min="1" max="1" width="33.42578125" style="72" bestFit="1" customWidth="1"/>
    <col min="2" max="2" width="10.5703125" style="72" customWidth="1"/>
    <col min="3" max="3" width="7.5703125" style="72" bestFit="1" customWidth="1"/>
    <col min="4" max="5" width="20" style="93" customWidth="1"/>
    <col min="6" max="6" width="22.85546875" style="58" bestFit="1" customWidth="1"/>
    <col min="7" max="8" width="22.85546875" style="58" customWidth="1"/>
    <col min="9" max="10" width="19.85546875" style="58" customWidth="1"/>
    <col min="11" max="11" width="15.5703125" style="59" bestFit="1" customWidth="1"/>
    <col min="12" max="12" width="19.85546875" style="58" customWidth="1"/>
    <col min="13" max="13" width="11.85546875" style="59" customWidth="1"/>
    <col min="14" max="14" width="20" style="58" customWidth="1"/>
    <col min="15" max="15" width="17" style="57" customWidth="1"/>
    <col min="16" max="16" width="23.85546875" style="56" customWidth="1"/>
    <col min="17" max="17" width="19" style="57" customWidth="1"/>
    <col min="18" max="16384" width="9.140625" style="72"/>
  </cols>
  <sheetData>
    <row r="1" spans="1:20" s="79" customFormat="1" ht="31.5">
      <c r="A1" s="40" t="s">
        <v>25</v>
      </c>
      <c r="B1" s="40" t="s">
        <v>29</v>
      </c>
      <c r="C1" s="40" t="s">
        <v>30</v>
      </c>
      <c r="D1" s="40" t="s">
        <v>31</v>
      </c>
      <c r="E1" s="40" t="s">
        <v>32</v>
      </c>
      <c r="F1" s="40" t="s">
        <v>12</v>
      </c>
      <c r="G1" s="40" t="s">
        <v>13</v>
      </c>
      <c r="H1" s="40" t="s">
        <v>33</v>
      </c>
      <c r="I1" s="40" t="s">
        <v>34</v>
      </c>
      <c r="J1" s="40" t="s">
        <v>14</v>
      </c>
      <c r="K1" s="40" t="s">
        <v>35</v>
      </c>
      <c r="L1" s="40" t="s">
        <v>16</v>
      </c>
      <c r="M1" s="40" t="s">
        <v>36</v>
      </c>
      <c r="N1" s="40" t="s">
        <v>37</v>
      </c>
      <c r="O1" s="40" t="s">
        <v>38</v>
      </c>
      <c r="P1" s="40" t="s">
        <v>39</v>
      </c>
      <c r="Q1" s="78"/>
    </row>
    <row r="2" spans="1:20" s="81" customFormat="1">
      <c r="A2" s="87" t="s">
        <v>64</v>
      </c>
      <c r="B2" s="87" t="s">
        <v>67</v>
      </c>
      <c r="C2" s="87"/>
      <c r="D2" s="88">
        <v>2020</v>
      </c>
      <c r="E2" s="88" t="s">
        <v>21</v>
      </c>
      <c r="F2" s="89">
        <v>30</v>
      </c>
      <c r="G2" s="89">
        <v>0</v>
      </c>
      <c r="H2" s="89">
        <v>0</v>
      </c>
      <c r="I2" s="89">
        <v>70</v>
      </c>
      <c r="J2" s="89">
        <v>542.66999999999996</v>
      </c>
      <c r="K2" s="90">
        <v>0</v>
      </c>
      <c r="L2" s="89">
        <v>542.66999999999996</v>
      </c>
      <c r="M2" s="90">
        <v>0.18429999999999999</v>
      </c>
      <c r="N2" s="89">
        <v>442.67</v>
      </c>
      <c r="O2" s="91">
        <v>44196</v>
      </c>
      <c r="P2" s="92" t="s">
        <v>68</v>
      </c>
      <c r="Q2" s="85"/>
    </row>
    <row r="3" spans="1:20" s="81" customFormat="1">
      <c r="A3" s="81" t="s">
        <v>64</v>
      </c>
      <c r="B3" s="81" t="s">
        <v>67</v>
      </c>
      <c r="D3" s="82">
        <v>2020</v>
      </c>
      <c r="E3" s="82" t="s">
        <v>20</v>
      </c>
      <c r="F3" s="83">
        <v>0</v>
      </c>
      <c r="G3" s="83">
        <v>0</v>
      </c>
      <c r="H3" s="83">
        <v>0</v>
      </c>
      <c r="I3" s="83">
        <v>0</v>
      </c>
      <c r="J3" s="83">
        <v>394.67</v>
      </c>
      <c r="K3" s="84">
        <v>0</v>
      </c>
      <c r="L3" s="83">
        <v>394.67</v>
      </c>
      <c r="M3" s="84">
        <v>0</v>
      </c>
      <c r="N3" s="83">
        <v>394.67</v>
      </c>
      <c r="O3" s="85">
        <v>44196</v>
      </c>
      <c r="P3" s="86" t="s">
        <v>66</v>
      </c>
      <c r="Q3" s="85"/>
    </row>
    <row r="4" spans="1:20" s="87" customFormat="1">
      <c r="A4" s="81" t="s">
        <v>64</v>
      </c>
      <c r="B4" s="81" t="s">
        <v>67</v>
      </c>
      <c r="C4" s="81"/>
      <c r="D4" s="82">
        <v>2020</v>
      </c>
      <c r="E4" s="82" t="s">
        <v>22</v>
      </c>
      <c r="F4" s="83">
        <v>0</v>
      </c>
      <c r="G4" s="83">
        <v>0</v>
      </c>
      <c r="H4" s="83">
        <v>0</v>
      </c>
      <c r="I4" s="83">
        <v>0</v>
      </c>
      <c r="J4" s="83">
        <v>312.44</v>
      </c>
      <c r="K4" s="84">
        <v>0</v>
      </c>
      <c r="L4" s="83">
        <v>312.44</v>
      </c>
      <c r="M4" s="84">
        <v>0</v>
      </c>
      <c r="N4" s="83">
        <v>312.44</v>
      </c>
      <c r="O4" s="85">
        <v>44196</v>
      </c>
      <c r="P4" s="86" t="s">
        <v>66</v>
      </c>
      <c r="Q4" s="85"/>
    </row>
    <row r="5" spans="1:20" s="87" customFormat="1">
      <c r="A5" s="81" t="s">
        <v>64</v>
      </c>
      <c r="B5" s="81" t="s">
        <v>67</v>
      </c>
      <c r="C5" s="81"/>
      <c r="D5" s="82">
        <v>2020</v>
      </c>
      <c r="E5" s="82" t="s">
        <v>21</v>
      </c>
      <c r="F5" s="83">
        <v>11646.92</v>
      </c>
      <c r="G5" s="83">
        <v>0</v>
      </c>
      <c r="H5" s="83">
        <v>0</v>
      </c>
      <c r="I5" s="83">
        <v>22222</v>
      </c>
      <c r="J5" s="83">
        <v>1085.3399999999999</v>
      </c>
      <c r="K5" s="84">
        <v>0</v>
      </c>
      <c r="L5" s="83">
        <v>1085.3399999999999</v>
      </c>
      <c r="M5" s="84">
        <v>31.2058</v>
      </c>
      <c r="N5" s="83">
        <v>-32783.58</v>
      </c>
      <c r="O5" s="85">
        <v>44196</v>
      </c>
      <c r="P5" s="86" t="s">
        <v>66</v>
      </c>
      <c r="Q5" s="85"/>
      <c r="R5" s="81"/>
      <c r="S5" s="81"/>
      <c r="T5" s="81"/>
    </row>
    <row r="6" spans="1:20" s="81" customFormat="1">
      <c r="A6" s="81" t="s">
        <v>64</v>
      </c>
      <c r="B6" s="81" t="s">
        <v>65</v>
      </c>
      <c r="D6" s="82">
        <v>2020</v>
      </c>
      <c r="E6" s="82" t="s">
        <v>20</v>
      </c>
      <c r="F6" s="83">
        <v>0</v>
      </c>
      <c r="G6" s="83">
        <v>0</v>
      </c>
      <c r="H6" s="83">
        <v>0</v>
      </c>
      <c r="I6" s="83">
        <v>0</v>
      </c>
      <c r="J6" s="83">
        <v>648.66</v>
      </c>
      <c r="K6" s="84">
        <v>0</v>
      </c>
      <c r="L6" s="83">
        <v>648.66</v>
      </c>
      <c r="M6" s="84">
        <v>0</v>
      </c>
      <c r="N6" s="83">
        <v>648.66</v>
      </c>
      <c r="O6" s="85">
        <v>44196</v>
      </c>
      <c r="P6" s="86" t="s">
        <v>68</v>
      </c>
      <c r="Q6" s="85"/>
    </row>
    <row r="7" spans="1:20" s="81" customFormat="1">
      <c r="A7" s="81" t="s">
        <v>64</v>
      </c>
      <c r="B7" s="81" t="s">
        <v>65</v>
      </c>
      <c r="D7" s="82">
        <v>2020</v>
      </c>
      <c r="E7" s="82" t="s">
        <v>22</v>
      </c>
      <c r="F7" s="83">
        <v>0</v>
      </c>
      <c r="G7" s="83">
        <v>0</v>
      </c>
      <c r="H7" s="83">
        <v>0</v>
      </c>
      <c r="I7" s="83">
        <v>0</v>
      </c>
      <c r="J7" s="83">
        <v>560.52</v>
      </c>
      <c r="K7" s="84">
        <v>0</v>
      </c>
      <c r="L7" s="83">
        <v>560.52</v>
      </c>
      <c r="M7" s="84">
        <v>0</v>
      </c>
      <c r="N7" s="83">
        <v>560.52</v>
      </c>
      <c r="O7" s="85">
        <v>44196</v>
      </c>
      <c r="P7" s="86" t="s">
        <v>66</v>
      </c>
      <c r="Q7" s="95"/>
      <c r="R7" s="94"/>
      <c r="S7" s="94"/>
      <c r="T7" s="94"/>
    </row>
    <row r="8" spans="1:20" s="94" customFormat="1">
      <c r="A8" s="81" t="s">
        <v>64</v>
      </c>
      <c r="B8" s="81" t="s">
        <v>65</v>
      </c>
      <c r="C8" s="81"/>
      <c r="D8" s="82">
        <v>2020</v>
      </c>
      <c r="E8" s="82" t="s">
        <v>21</v>
      </c>
      <c r="F8" s="83">
        <v>1987.7</v>
      </c>
      <c r="G8" s="83">
        <v>0</v>
      </c>
      <c r="H8" s="83">
        <v>0</v>
      </c>
      <c r="I8" s="83">
        <v>0</v>
      </c>
      <c r="J8" s="83">
        <v>958.59</v>
      </c>
      <c r="K8" s="84">
        <v>0</v>
      </c>
      <c r="L8" s="83">
        <v>958.59</v>
      </c>
      <c r="M8" s="84">
        <v>2.0735999999999999</v>
      </c>
      <c r="N8" s="83">
        <v>-1029.1099999999999</v>
      </c>
      <c r="O8" s="85">
        <v>44196</v>
      </c>
      <c r="P8" s="86" t="s">
        <v>66</v>
      </c>
      <c r="Q8" s="85"/>
      <c r="R8" s="81"/>
      <c r="S8" s="81"/>
      <c r="T8" s="81"/>
    </row>
    <row r="9" spans="1:20" s="94" customFormat="1">
      <c r="A9" s="81"/>
      <c r="B9" s="81"/>
      <c r="C9" s="81"/>
      <c r="D9" s="82"/>
      <c r="E9" s="82"/>
      <c r="F9" s="83"/>
      <c r="G9" s="83"/>
      <c r="H9" s="83"/>
      <c r="I9" s="83"/>
      <c r="J9" s="83"/>
      <c r="K9" s="84"/>
      <c r="L9" s="83"/>
      <c r="M9" s="84"/>
      <c r="N9" s="83"/>
      <c r="O9" s="85"/>
      <c r="P9" s="86"/>
      <c r="Q9" s="95"/>
    </row>
    <row r="10" spans="1:20" s="81" customFormat="1">
      <c r="D10" s="82"/>
      <c r="E10" s="82"/>
      <c r="F10" s="83"/>
      <c r="G10" s="83"/>
      <c r="H10" s="83"/>
      <c r="I10" s="83"/>
      <c r="J10" s="83"/>
      <c r="K10" s="84"/>
      <c r="L10" s="83"/>
      <c r="M10" s="84"/>
      <c r="N10" s="83"/>
      <c r="O10" s="85"/>
      <c r="P10" s="86"/>
      <c r="Q10" s="85"/>
    </row>
    <row r="11" spans="1:20" s="81" customFormat="1">
      <c r="D11" s="82"/>
      <c r="E11" s="82"/>
      <c r="F11" s="83"/>
      <c r="G11" s="83"/>
      <c r="H11" s="83"/>
      <c r="I11" s="83"/>
      <c r="J11" s="83"/>
      <c r="K11" s="84"/>
      <c r="L11" s="83"/>
      <c r="M11" s="84"/>
      <c r="N11" s="83"/>
      <c r="O11" s="85"/>
      <c r="P11" s="86"/>
      <c r="Q11" s="85"/>
    </row>
  </sheetData>
  <sortState xmlns:xlrd2="http://schemas.microsoft.com/office/spreadsheetml/2017/richdata2" ref="A2:T13">
    <sortCondition ref="A1:A1048576"/>
    <sortCondition ref="B1:B1048576"/>
    <sortCondition ref="D1:D1048576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Q5"/>
  <sheetViews>
    <sheetView zoomScale="85" zoomScaleNormal="85" workbookViewId="0">
      <selection activeCell="A4" sqref="A4:XFD5"/>
    </sheetView>
  </sheetViews>
  <sheetFormatPr baseColWidth="10" defaultColWidth="9.140625" defaultRowHeight="15"/>
  <cols>
    <col min="1" max="1" width="33.42578125" style="45" bestFit="1" customWidth="1"/>
    <col min="2" max="3" width="17.5703125" style="45" customWidth="1"/>
    <col min="4" max="5" width="20" style="51" customWidth="1"/>
    <col min="6" max="6" width="22.85546875" style="43" bestFit="1" customWidth="1"/>
    <col min="7" max="8" width="22.85546875" style="58" customWidth="1"/>
    <col min="9" max="10" width="19.85546875" style="43" customWidth="1"/>
    <col min="11" max="11" width="15.5703125" style="59" bestFit="1" customWidth="1"/>
    <col min="12" max="12" width="19.85546875" style="43" customWidth="1"/>
    <col min="13" max="13" width="16.5703125" style="59" customWidth="1"/>
    <col min="14" max="14" width="21.140625" style="43" bestFit="1" customWidth="1"/>
    <col min="15" max="15" width="14.42578125" style="42" bestFit="1" customWidth="1"/>
    <col min="16" max="16" width="23.85546875" style="52" customWidth="1"/>
    <col min="17" max="17" width="19" style="42" customWidth="1"/>
    <col min="18" max="22" width="9.140625" style="45" customWidth="1"/>
    <col min="23" max="16384" width="9.140625" style="45"/>
  </cols>
  <sheetData>
    <row r="1" spans="1:17" ht="31.5">
      <c r="A1" s="39" t="s">
        <v>25</v>
      </c>
      <c r="B1" s="39" t="s">
        <v>29</v>
      </c>
      <c r="C1" s="39" t="s">
        <v>30</v>
      </c>
      <c r="D1" s="39" t="s">
        <v>31</v>
      </c>
      <c r="E1" s="40" t="s">
        <v>32</v>
      </c>
      <c r="F1" s="40" t="s">
        <v>12</v>
      </c>
      <c r="G1" s="40" t="s">
        <v>13</v>
      </c>
      <c r="H1" s="40" t="s">
        <v>33</v>
      </c>
      <c r="I1" s="40" t="s">
        <v>34</v>
      </c>
      <c r="J1" s="40" t="s">
        <v>14</v>
      </c>
      <c r="K1" s="53" t="s">
        <v>35</v>
      </c>
      <c r="L1" s="40" t="s">
        <v>16</v>
      </c>
      <c r="M1" s="53" t="s">
        <v>36</v>
      </c>
      <c r="N1" s="40" t="s">
        <v>37</v>
      </c>
      <c r="O1" s="41" t="s">
        <v>38</v>
      </c>
      <c r="P1" s="40" t="s">
        <v>39</v>
      </c>
    </row>
    <row r="2" spans="1:17" s="81" customFormat="1">
      <c r="A2" s="81" t="s">
        <v>64</v>
      </c>
      <c r="B2" s="81" t="s">
        <v>65</v>
      </c>
      <c r="D2" s="82">
        <v>2020</v>
      </c>
      <c r="E2" s="82" t="s">
        <v>20</v>
      </c>
      <c r="F2" s="83">
        <v>0</v>
      </c>
      <c r="G2" s="83">
        <v>0</v>
      </c>
      <c r="H2" s="83">
        <v>0</v>
      </c>
      <c r="I2" s="83">
        <v>0</v>
      </c>
      <c r="J2" s="83">
        <v>648.66</v>
      </c>
      <c r="K2" s="84">
        <v>0</v>
      </c>
      <c r="L2" s="83">
        <v>648.66</v>
      </c>
      <c r="M2" s="84">
        <v>0</v>
      </c>
      <c r="N2" s="83">
        <v>648.66</v>
      </c>
      <c r="O2" s="85">
        <v>44196</v>
      </c>
      <c r="P2" s="86" t="s">
        <v>66</v>
      </c>
      <c r="Q2" s="85"/>
    </row>
    <row r="3" spans="1:17" s="81" customFormat="1">
      <c r="A3" s="81" t="s">
        <v>64</v>
      </c>
      <c r="B3" s="81" t="s">
        <v>65</v>
      </c>
      <c r="D3" s="82">
        <v>2020</v>
      </c>
      <c r="E3" s="82" t="s">
        <v>21</v>
      </c>
      <c r="F3" s="83">
        <v>0</v>
      </c>
      <c r="G3" s="83">
        <v>0</v>
      </c>
      <c r="H3" s="83">
        <v>0</v>
      </c>
      <c r="I3" s="83">
        <v>0</v>
      </c>
      <c r="J3" s="83">
        <v>958.59</v>
      </c>
      <c r="K3" s="84">
        <v>0</v>
      </c>
      <c r="L3" s="83">
        <v>958.59</v>
      </c>
      <c r="M3" s="84">
        <v>0</v>
      </c>
      <c r="N3" s="83">
        <v>958.59</v>
      </c>
      <c r="O3" s="85">
        <v>44196</v>
      </c>
      <c r="P3" s="86" t="s">
        <v>66</v>
      </c>
      <c r="Q3" s="85"/>
    </row>
    <row r="4" spans="1:17" s="81" customFormat="1">
      <c r="A4" s="81" t="s">
        <v>64</v>
      </c>
      <c r="B4" s="81" t="s">
        <v>65</v>
      </c>
      <c r="D4" s="82">
        <v>2020</v>
      </c>
      <c r="E4" s="82" t="s">
        <v>21</v>
      </c>
      <c r="F4" s="83">
        <v>1987.7</v>
      </c>
      <c r="G4" s="83">
        <v>0</v>
      </c>
      <c r="H4" s="83">
        <v>0</v>
      </c>
      <c r="I4" s="83">
        <v>0</v>
      </c>
      <c r="J4" s="83">
        <v>0</v>
      </c>
      <c r="K4" s="84">
        <v>0</v>
      </c>
      <c r="L4" s="83">
        <v>0</v>
      </c>
      <c r="M4" s="84">
        <v>0</v>
      </c>
      <c r="N4" s="83">
        <v>-1987.7</v>
      </c>
      <c r="O4" s="85">
        <v>44196</v>
      </c>
      <c r="P4" s="86" t="s">
        <v>66</v>
      </c>
      <c r="Q4" s="85"/>
    </row>
    <row r="5" spans="1:17" s="81" customFormat="1">
      <c r="A5" s="81" t="s">
        <v>64</v>
      </c>
      <c r="B5" s="81" t="s">
        <v>65</v>
      </c>
      <c r="D5" s="82">
        <v>2020</v>
      </c>
      <c r="E5" s="82" t="s">
        <v>22</v>
      </c>
      <c r="F5" s="83">
        <v>0</v>
      </c>
      <c r="G5" s="83">
        <v>0</v>
      </c>
      <c r="H5" s="83">
        <v>0</v>
      </c>
      <c r="I5" s="83">
        <v>0</v>
      </c>
      <c r="J5" s="83">
        <v>560.52</v>
      </c>
      <c r="K5" s="84">
        <v>0</v>
      </c>
      <c r="L5" s="83">
        <v>560.52</v>
      </c>
      <c r="M5" s="84">
        <v>0</v>
      </c>
      <c r="N5" s="83">
        <v>560.52</v>
      </c>
      <c r="O5" s="85">
        <v>44196</v>
      </c>
      <c r="P5" s="86" t="s">
        <v>66</v>
      </c>
      <c r="Q5" s="85"/>
    </row>
  </sheetData>
  <sortState xmlns:xlrd2="http://schemas.microsoft.com/office/spreadsheetml/2017/richdata2" ref="A2:V10">
    <sortCondition ref="B1:B1048576"/>
  </sortState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10">
    <tabColor theme="9" tint="0.79998168889431442"/>
  </sheetPr>
  <dimension ref="A1:Q12"/>
  <sheetViews>
    <sheetView zoomScaleNormal="100" workbookViewId="0">
      <selection activeCell="B31" sqref="B31"/>
    </sheetView>
  </sheetViews>
  <sheetFormatPr baseColWidth="10" defaultColWidth="11.42578125" defaultRowHeight="15"/>
  <cols>
    <col min="1" max="1" width="14" style="26" bestFit="1" customWidth="1"/>
    <col min="2" max="2" width="37.5703125" style="26" bestFit="1" customWidth="1"/>
    <col min="3" max="3" width="16.85546875" style="26" customWidth="1"/>
    <col min="4" max="4" width="2.85546875" style="26" customWidth="1"/>
    <col min="5" max="11" width="22.140625" style="26" hidden="1" customWidth="1"/>
    <col min="12" max="12" width="2.85546875" style="1" customWidth="1"/>
    <col min="13" max="13" width="11.7109375" style="1" bestFit="1" customWidth="1"/>
    <col min="14" max="14" width="10.7109375" style="1" bestFit="1" customWidth="1"/>
    <col min="15" max="15" width="14.28515625" style="1" bestFit="1" customWidth="1"/>
    <col min="16" max="16" width="2.85546875" style="1" customWidth="1"/>
    <col min="17" max="17" width="18" style="1" bestFit="1" customWidth="1"/>
    <col min="18" max="26" width="11.42578125" style="1" customWidth="1"/>
    <col min="27" max="16384" width="11.42578125" style="1"/>
  </cols>
  <sheetData>
    <row r="1" spans="1:17">
      <c r="A1" s="26" t="s">
        <v>40</v>
      </c>
      <c r="B1" s="26" t="s">
        <v>41</v>
      </c>
      <c r="M1" s="1" t="s">
        <v>42</v>
      </c>
      <c r="N1" s="1" t="s">
        <v>43</v>
      </c>
      <c r="O1" s="1" t="s">
        <v>44</v>
      </c>
      <c r="Q1" s="28" t="s">
        <v>45</v>
      </c>
    </row>
    <row r="2" spans="1:17">
      <c r="A2" s="26" t="s">
        <v>19</v>
      </c>
      <c r="B2" s="26" t="s">
        <v>46</v>
      </c>
      <c r="M2" s="1" t="s">
        <v>47</v>
      </c>
      <c r="N2" s="1" t="s">
        <v>48</v>
      </c>
      <c r="O2" s="1" t="s">
        <v>48</v>
      </c>
      <c r="Q2" s="28" t="s">
        <v>49</v>
      </c>
    </row>
    <row r="3" spans="1:17">
      <c r="A3" s="26" t="s">
        <v>19</v>
      </c>
      <c r="B3" s="26" t="s">
        <v>50</v>
      </c>
    </row>
    <row r="4" spans="1:17">
      <c r="A4" s="26" t="s">
        <v>19</v>
      </c>
      <c r="B4" s="26" t="s">
        <v>51</v>
      </c>
    </row>
    <row r="5" spans="1:17">
      <c r="A5" s="26" t="s">
        <v>20</v>
      </c>
      <c r="B5" s="26" t="s">
        <v>20</v>
      </c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</row>
    <row r="6" spans="1:17">
      <c r="A6" s="26" t="s">
        <v>20</v>
      </c>
      <c r="B6" s="26" t="s">
        <v>52</v>
      </c>
    </row>
    <row r="7" spans="1:17">
      <c r="A7" s="26" t="s">
        <v>20</v>
      </c>
      <c r="B7" s="26" t="s">
        <v>53</v>
      </c>
    </row>
    <row r="8" spans="1:17">
      <c r="A8" s="26" t="s">
        <v>20</v>
      </c>
      <c r="B8" s="26" t="s">
        <v>54</v>
      </c>
    </row>
    <row r="9" spans="1:17">
      <c r="A9" s="26" t="s">
        <v>21</v>
      </c>
      <c r="B9" s="26" t="s">
        <v>55</v>
      </c>
    </row>
    <row r="10" spans="1:17">
      <c r="A10" s="26" t="s">
        <v>21</v>
      </c>
      <c r="B10" s="26" t="s">
        <v>21</v>
      </c>
    </row>
    <row r="11" spans="1:17">
      <c r="A11" s="26" t="s">
        <v>22</v>
      </c>
      <c r="B11" s="26" t="s">
        <v>22</v>
      </c>
    </row>
    <row r="12" spans="1:17">
      <c r="A12" s="26" t="s">
        <v>22</v>
      </c>
      <c r="B12" s="26" t="s">
        <v>56</v>
      </c>
    </row>
  </sheetData>
  <sortState xmlns:xlrd2="http://schemas.microsoft.com/office/spreadsheetml/2017/richdata2" ref="A2:B12">
    <sortCondition ref="A1:A1048576"/>
    <sortCondition ref="B1:B1048576"/>
  </sortState>
  <pageMargins left="0.7" right="0.7" top="0.75" bottom="0.75" header="0.3" footer="0.3"/>
  <pageSetup paperSize="9"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3">
    <tabColor theme="0"/>
  </sheetPr>
  <dimension ref="A1:E4"/>
  <sheetViews>
    <sheetView workbookViewId="0">
      <selection sqref="A1:XFD5"/>
    </sheetView>
  </sheetViews>
  <sheetFormatPr baseColWidth="10" defaultColWidth="11.42578125" defaultRowHeight="15"/>
  <cols>
    <col min="1" max="1" width="21.85546875" style="27" bestFit="1" customWidth="1"/>
    <col min="2" max="2" width="97.85546875" bestFit="1" customWidth="1"/>
    <col min="3" max="3" width="47.140625" bestFit="1" customWidth="1"/>
    <col min="4" max="4" width="38.140625" bestFit="1" customWidth="1"/>
  </cols>
  <sheetData>
    <row r="1" spans="1:5">
      <c r="A1" s="27" t="s">
        <v>57</v>
      </c>
      <c r="B1" t="s">
        <v>58</v>
      </c>
      <c r="C1" t="s">
        <v>59</v>
      </c>
      <c r="D1" t="s">
        <v>60</v>
      </c>
      <c r="E1" t="s">
        <v>61</v>
      </c>
    </row>
    <row r="2" spans="1:5">
      <c r="A2" s="27">
        <v>1</v>
      </c>
      <c r="B2" t="s">
        <v>72</v>
      </c>
      <c r="E2" s="80" t="s">
        <v>73</v>
      </c>
    </row>
    <row r="3" spans="1:5">
      <c r="A3" s="27">
        <v>2</v>
      </c>
      <c r="B3" t="s">
        <v>72</v>
      </c>
      <c r="E3" s="80" t="s">
        <v>73</v>
      </c>
    </row>
    <row r="4" spans="1:5">
      <c r="A4" s="27">
        <v>3</v>
      </c>
      <c r="B4" t="s">
        <v>72</v>
      </c>
      <c r="E4" s="80" t="s">
        <v>73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12</vt:i4>
      </vt:variant>
      <vt:variant>
        <vt:lpstr>Plages nommées</vt:lpstr>
      </vt:variant>
      <vt:variant>
        <vt:i4>1</vt:i4>
      </vt:variant>
    </vt:vector>
  </HeadingPairs>
  <TitlesOfParts>
    <vt:vector size="13" baseType="lpstr">
      <vt:lpstr>Page de garde</vt:lpstr>
      <vt:lpstr>SYNTHESE</vt:lpstr>
      <vt:lpstr>DONNEES PAR PRODUIT</vt:lpstr>
      <vt:lpstr>DONNEES PAR PRODUIT ET RISQUE</vt:lpstr>
      <vt:lpstr>DONNEES GRAPHIQUE PAR PRODUIT</vt:lpstr>
      <vt:lpstr>DONNEES GRAPHIQUE  PROD ET RISQ</vt:lpstr>
      <vt:lpstr>DATA</vt:lpstr>
      <vt:lpstr>DATA_CUMUL</vt:lpstr>
      <vt:lpstr>DATA_GARANTIE</vt:lpstr>
      <vt:lpstr>DATA_CUMUL_GARANTIE</vt:lpstr>
      <vt:lpstr>AFFICHAGE</vt:lpstr>
      <vt:lpstr>Erreurs</vt:lpstr>
      <vt:lpstr>'Page de garde'!Zone_d_impression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patricia biasioli</dc:creator>
  <cp:lastModifiedBy>alain moeglin</cp:lastModifiedBy>
  <cp:lastPrinted>2021-08-10T10:39:22Z</cp:lastPrinted>
  <dcterms:created xsi:type="dcterms:W3CDTF">2017-05-24T08:26:58Z</dcterms:created>
  <dcterms:modified xsi:type="dcterms:W3CDTF">2021-10-13T15:38:26Z</dcterms:modified>
</cp:coreProperties>
</file>