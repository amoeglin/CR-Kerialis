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_ROBERT\_DEV\PROJECTS\DOT-NET\CompteResultat\CompteResultat-Kerialis\CompteResultat\App_Data\ReportTemplates\"/>
    </mc:Choice>
  </mc:AlternateContent>
  <bookViews>
    <workbookView xWindow="0" yWindow="0" windowWidth="38400" windowHeight="17205" activeTab="8"/>
  </bookViews>
  <sheets>
    <sheet name="Page de garde" sheetId="13" r:id="rId1"/>
    <sheet name="Résultats" sheetId="14" r:id="rId2"/>
    <sheet name="IJ" sheetId="18" r:id="rId3"/>
    <sheet name="Evolution IJ" sheetId="28" r:id="rId4"/>
    <sheet name="liste des arrêts en cours" sheetId="31" r:id="rId5"/>
    <sheet name="liste des arrêts non mouvementé" sheetId="30" r:id="rId6"/>
    <sheet name="INVAL" sheetId="38" r:id="rId7"/>
    <sheet name="DECES" sheetId="39" r:id="rId8"/>
    <sheet name="DATA COT" sheetId="5" r:id="rId9"/>
    <sheet name="DATA PREV" sheetId="33" r:id="rId10"/>
    <sheet name="DATA INCAP" sheetId="34" r:id="rId11"/>
    <sheet name="DATA INVAL" sheetId="35" r:id="rId12"/>
    <sheet name="DATA DECES" sheetId="36" r:id="rId13"/>
    <sheet name="DATA AUTRES" sheetId="37" r:id="rId14"/>
    <sheet name="AFFICHAGE" sheetId="27" r:id="rId15"/>
  </sheets>
  <definedNames>
    <definedName name="_xlnm._FilterDatabase" localSheetId="13" hidden="1">'DATA AUTRES'!$A$1:$AG$763</definedName>
    <definedName name="_xlnm._FilterDatabase" localSheetId="12" hidden="1">'DATA DECES'!$A$1:$AG$763</definedName>
    <definedName name="_xlnm._FilterDatabase" localSheetId="10" hidden="1">'DATA INCAP'!$A$1:$AG$103</definedName>
    <definedName name="_xlnm._FilterDatabase" localSheetId="11" hidden="1">'DATA INVAL'!$A$1:$AG$763</definedName>
    <definedName name="_xlnm._FilterDatabase" localSheetId="9" hidden="1">'DATA PREV'!$A$1:$AG$763</definedName>
    <definedName name="ANNEE">Résultats!$C$17</definedName>
    <definedName name="ANNEE_1">Résultats!$C$17</definedName>
    <definedName name="ANNEE_2" localSheetId="13">Résultats!#REF!</definedName>
    <definedName name="ANNEE_2" localSheetId="12">Résultats!#REF!</definedName>
    <definedName name="ANNEE_2" localSheetId="10">Résultats!#REF!</definedName>
    <definedName name="ANNEE_2" localSheetId="11">Résultats!#REF!</definedName>
    <definedName name="ANNEE_2" localSheetId="7">Résultats!#REF!</definedName>
    <definedName name="ANNEE_2" localSheetId="3">Résultats!#REF!</definedName>
    <definedName name="ANNEE_2" localSheetId="6">Résultats!#REF!</definedName>
    <definedName name="ANNEE_2" localSheetId="4">Résultats!#REF!</definedName>
    <definedName name="ANNEE_2" localSheetId="5">Résultats!#REF!</definedName>
    <definedName name="ANNEE_2">Résultats!#REF!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39" l="1"/>
  <c r="G27" i="14" l="1"/>
  <c r="K27" i="14"/>
  <c r="I27" i="14"/>
  <c r="C8" i="38"/>
  <c r="E27" i="14" l="1"/>
  <c r="C8" i="30"/>
  <c r="C8" i="31"/>
  <c r="C8" i="28"/>
  <c r="C8" i="18"/>
  <c r="E13" i="14"/>
  <c r="C8" i="14"/>
</calcChain>
</file>

<file path=xl/sharedStrings.xml><?xml version="1.0" encoding="utf-8"?>
<sst xmlns="http://schemas.openxmlformats.org/spreadsheetml/2006/main" count="318" uniqueCount="107">
  <si>
    <t xml:space="preserve">I. Nombre et durée d'arrêts </t>
  </si>
  <si>
    <t>Année</t>
  </si>
  <si>
    <t>Nombre d 'arrêts</t>
  </si>
  <si>
    <t>Age moyen à l'arrêt</t>
  </si>
  <si>
    <t>Durée moyenne d'arrêts en jours</t>
  </si>
  <si>
    <t>TOTAL</t>
  </si>
  <si>
    <t>II. Nombre d'arrêts par nature du risque</t>
  </si>
  <si>
    <t>III. Valeur en Euros des arrêts par nature du risque</t>
  </si>
  <si>
    <t xml:space="preserve">Date d'arrêté : </t>
  </si>
  <si>
    <t>Cotisations nettes 
(1)</t>
  </si>
  <si>
    <t>Prestations
(2)</t>
  </si>
  <si>
    <t>Provisions* 
(3)</t>
  </si>
  <si>
    <t>Rapport 
(2)+(3) / (1)</t>
  </si>
  <si>
    <t>Les prestations correspondent aux actes engagés dans l'exercice étudié, payées jusqu'à la date d'arrêté des comptes.</t>
  </si>
  <si>
    <t>Les provisions correspondent aux prestations non réglées à la date d'arrêté des comptes.</t>
  </si>
  <si>
    <t>Les cotisations sont exprimées hors taxe sur les conventions d'assurance, CMU et dotations de services de gestion, commercialisation et assurances.</t>
  </si>
  <si>
    <r>
      <t>§</t>
    </r>
    <r>
      <rPr>
        <sz val="12"/>
        <color rgb="FF4FACBE"/>
        <rFont val="Arial"/>
        <family val="2"/>
      </rPr>
      <t xml:space="preserve"> </t>
    </r>
    <r>
      <rPr>
        <sz val="12"/>
        <color rgb="FF4FACBE"/>
        <rFont val="DINBek"/>
      </rPr>
      <t>Nombre d'assurés</t>
    </r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</si>
  <si>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assurés</t>
    </r>
  </si>
  <si>
    <t>Sexe</t>
  </si>
  <si>
    <t>Nombre d'arrêts</t>
  </si>
  <si>
    <t>Age Moyen à l'arrêt</t>
  </si>
  <si>
    <t>Durée moyenne d'arrêts</t>
  </si>
  <si>
    <t>Tranche</t>
  </si>
  <si>
    <t>Nombre d'arrêts (en%)</t>
  </si>
  <si>
    <t>Féminin</t>
  </si>
  <si>
    <t>Inférieur à 25 ans</t>
  </si>
  <si>
    <t>Masculin</t>
  </si>
  <si>
    <t>Tranche 25 à 29 ans</t>
  </si>
  <si>
    <t>Total général</t>
  </si>
  <si>
    <t>Tranche 30 à 34 ans</t>
  </si>
  <si>
    <t>Tranche 35 à 39 ans</t>
  </si>
  <si>
    <t>Tranche 40 à 44 ans</t>
  </si>
  <si>
    <t>Tranche 45 à 49 ans</t>
  </si>
  <si>
    <t>Tranche 50 à 54 ans</t>
  </si>
  <si>
    <t>Tranche 55 à 59 ans</t>
  </si>
  <si>
    <t>Supérieur ou égal à 60 ans</t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</si>
  <si>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d'ayant droits</t>
    </r>
  </si>
  <si>
    <t>MAJ EXCEL</t>
  </si>
  <si>
    <t>MAJ POWERPOINT</t>
  </si>
  <si>
    <t>NON</t>
  </si>
  <si>
    <t>STATISTIQUES</t>
  </si>
  <si>
    <t>PREVOYANCE</t>
  </si>
  <si>
    <t>Contrat(s)</t>
  </si>
  <si>
    <t>Collège</t>
  </si>
  <si>
    <t xml:space="preserve">Période analysée : </t>
  </si>
  <si>
    <t>Date d'arreté des comptes :</t>
  </si>
  <si>
    <t>CALCUL DES PROVISIONS</t>
  </si>
  <si>
    <t>DATE DEBUT</t>
  </si>
  <si>
    <t>DATE FIN</t>
  </si>
  <si>
    <t>DATE D'ARRETE</t>
  </si>
  <si>
    <t>01/01/2018</t>
  </si>
  <si>
    <t>31/12/2018</t>
  </si>
  <si>
    <t>CLIENT</t>
  </si>
  <si>
    <t>CONTRAT</t>
  </si>
  <si>
    <t>COLLEGE</t>
  </si>
  <si>
    <t>DATE SINISTRE</t>
  </si>
  <si>
    <t>ANNEE SINISTRE</t>
  </si>
  <si>
    <t>TYPE SINISTRE</t>
  </si>
  <si>
    <t>DATE NAISSANCE</t>
  </si>
  <si>
    <t>AGE AU SINISTRE</t>
  </si>
  <si>
    <t>TRANCHE AGE AU SINISTRE</t>
  </si>
  <si>
    <t>SEXE</t>
  </si>
  <si>
    <t>DATE CLOTURE</t>
  </si>
  <si>
    <t>MOTIF CLOTURE</t>
  </si>
  <si>
    <t>NBJ INCAP</t>
  </si>
  <si>
    <t>AGE ENTREE INVAL</t>
  </si>
  <si>
    <t>NBJ INVAL</t>
  </si>
  <si>
    <t>PRESTATION</t>
  </si>
  <si>
    <t>PROVISION</t>
  </si>
  <si>
    <t>Contrat</t>
  </si>
  <si>
    <t>Nom</t>
  </si>
  <si>
    <t>Prénom</t>
  </si>
  <si>
    <t>Sexe (H/F)</t>
  </si>
  <si>
    <t>Date de Résiliation</t>
  </si>
  <si>
    <t>Date de Naissance</t>
  </si>
  <si>
    <t>Date d'entrée en Incapacité</t>
  </si>
  <si>
    <t>Franchise en Mois pour l'incapacité</t>
  </si>
  <si>
    <t>Durée de la prestation d'incapacité en mois</t>
  </si>
  <si>
    <t>incapacité avec Passage en invalidité Oui/Non (O/N)</t>
  </si>
  <si>
    <t>Date d'entrée en Invalidité</t>
  </si>
  <si>
    <t>Prestation annualisée pour l'incapacité ou l'invalidité</t>
  </si>
  <si>
    <t>Franchise en années pour l'invalidité</t>
  </si>
  <si>
    <t>Montant du Capital Décès</t>
  </si>
  <si>
    <t>Catégorie d'invalidité(1 , 2 ou 3)</t>
  </si>
  <si>
    <t>Date Max</t>
  </si>
  <si>
    <t>Invalidité</t>
  </si>
  <si>
    <t>DOSSIER</t>
  </si>
  <si>
    <t>DEBPRIME</t>
  </si>
  <si>
    <t>FINPRIME</t>
  </si>
  <si>
    <t>CODCOL</t>
  </si>
  <si>
    <t>ANNEE</t>
  </si>
  <si>
    <t>COTISATION</t>
  </si>
  <si>
    <t>Incapacité</t>
  </si>
  <si>
    <t>Décès</t>
  </si>
  <si>
    <t>Total</t>
  </si>
  <si>
    <t>Autres</t>
  </si>
  <si>
    <t>Nombre d'invalides</t>
  </si>
  <si>
    <t>Age Moyen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</si>
  <si>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invalides</t>
    </r>
  </si>
  <si>
    <t>Durée moyenne</t>
  </si>
  <si>
    <r>
      <rPr>
        <sz val="12"/>
        <color rgb="FF4FACBE"/>
        <rFont val="Wingdings"/>
        <charset val="2"/>
      </rPr>
      <t>§</t>
    </r>
    <r>
      <rPr>
        <sz val="12"/>
        <color rgb="FF4FACBE"/>
        <rFont val="DINBek"/>
      </rPr>
      <t xml:space="preserve"> Pyramide des âges des décès</t>
    </r>
  </si>
  <si>
    <r>
      <rPr>
        <sz val="12"/>
        <rFont val="Wingdings"/>
        <charset val="2"/>
      </rPr>
      <t>§</t>
    </r>
    <r>
      <rPr>
        <sz val="12"/>
        <rFont val="DINBek"/>
      </rPr>
      <t xml:space="preserve"> Nombre de décès</t>
    </r>
  </si>
  <si>
    <t>Nombre de décès</t>
  </si>
  <si>
    <t>Nombre de dèces</t>
  </si>
  <si>
    <t>Nombre décès (en%)</t>
  </si>
  <si>
    <t>1 January 2018 au 31 December 2018</t>
  </si>
  <si>
    <t>COTISATION_BRUTE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</si>
</sst>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0.0"/>
    <numFmt numFmtId="167" formatCode="#,##0\ &quot;€&quot;"/>
    <numFmt numFmtId="168" formatCode="_-* #,##0\ &quot;€&quot;_-;\-* #,##0\ &quot;€&quot;_-;_-* &quot;-&quot;??\ &quot;€&quot;_-;_-@_-"/>
  </numFmts>
  <fonts count="4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24"/>
      <color rgb="FF92D050"/>
      <name val="DINbek Medium"/>
    </font>
    <font>
      <b/>
      <sz val="36"/>
      <color rgb="FF92D050"/>
      <name val="DINbek Medium"/>
    </font>
    <font>
      <b/>
      <sz val="24"/>
      <color theme="3"/>
      <name val="DINBek"/>
    </font>
    <font>
      <sz val="12"/>
      <name val="Wingdings"/>
      <charset val="2"/>
    </font>
    <font>
      <sz val="12"/>
      <name val="DINBek"/>
    </font>
    <font>
      <b/>
      <sz val="12"/>
      <color theme="0"/>
      <name val="DINBek"/>
    </font>
    <font>
      <sz val="12"/>
      <color theme="0"/>
      <name val="DINBek"/>
    </font>
    <font>
      <sz val="11"/>
      <name val="DINBek"/>
    </font>
    <font>
      <sz val="11"/>
      <color theme="1"/>
      <name val="DINBek"/>
    </font>
    <font>
      <b/>
      <sz val="11"/>
      <color theme="0"/>
      <name val="DINBek"/>
    </font>
    <font>
      <sz val="12"/>
      <color theme="1"/>
      <name val="DINBek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DINBek"/>
    </font>
    <font>
      <b/>
      <sz val="14"/>
      <name val="DINBek"/>
    </font>
    <font>
      <sz val="14"/>
      <name val="DINBek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DINBek"/>
    </font>
    <font>
      <b/>
      <sz val="14"/>
      <color theme="1"/>
      <name val="DINBek"/>
    </font>
    <font>
      <b/>
      <sz val="14"/>
      <color indexed="56"/>
      <name val="DINBek"/>
    </font>
    <font>
      <b/>
      <sz val="36"/>
      <color rgb="FF4FACBE"/>
      <name val="DINbek Medium"/>
    </font>
    <font>
      <b/>
      <sz val="26"/>
      <color rgb="FF4FACBE"/>
      <name val="DINBek"/>
    </font>
    <font>
      <sz val="11"/>
      <color rgb="FF4FACBE"/>
      <name val="Calibri"/>
      <family val="2"/>
      <scheme val="minor"/>
    </font>
    <font>
      <sz val="26"/>
      <color rgb="FF4FACBE"/>
      <name val="Calibri"/>
      <family val="2"/>
      <scheme val="minor"/>
    </font>
    <font>
      <b/>
      <sz val="26"/>
      <color rgb="FF4FACBE"/>
      <name val="Arial"/>
      <family val="2"/>
    </font>
    <font>
      <sz val="10"/>
      <color rgb="FF4FACBE"/>
      <name val="Arial"/>
      <family val="2"/>
    </font>
    <font>
      <sz val="26"/>
      <color rgb="FF4FACBE"/>
      <name val="DINBek"/>
    </font>
    <font>
      <sz val="26"/>
      <color rgb="FF4FACBE"/>
      <name val="Arial"/>
      <family val="2"/>
    </font>
    <font>
      <b/>
      <sz val="24"/>
      <color rgb="FF4FACBE"/>
      <name val="DINBek"/>
    </font>
    <font>
      <sz val="14"/>
      <color rgb="FF4FACBE"/>
      <name val="DINBek"/>
    </font>
    <font>
      <b/>
      <sz val="14"/>
      <color rgb="FF4FACBE"/>
      <name val="DINBek"/>
    </font>
    <font>
      <sz val="12"/>
      <color rgb="FF4FACBE"/>
      <name val="Calibri"/>
      <family val="2"/>
      <scheme val="minor"/>
    </font>
    <font>
      <sz val="12"/>
      <color rgb="FF4FACBE"/>
      <name val="DINBek"/>
    </font>
    <font>
      <b/>
      <sz val="12"/>
      <color rgb="FF4FACBE"/>
      <name val="DINBek"/>
    </font>
    <font>
      <b/>
      <sz val="24"/>
      <color rgb="FF4FACBE"/>
      <name val="DINbek Medium"/>
    </font>
    <font>
      <sz val="12"/>
      <color rgb="FF4FACBE"/>
      <name val="Wingdings"/>
      <charset val="2"/>
    </font>
    <font>
      <b/>
      <sz val="11"/>
      <color rgb="FF4FACBE"/>
      <name val="Georgia"/>
      <family val="1"/>
    </font>
    <font>
      <sz val="12"/>
      <color rgb="FF4FACBE"/>
      <name val="Arial"/>
      <family val="2"/>
    </font>
    <font>
      <sz val="11"/>
      <color rgb="FF000000"/>
      <name val="Calibri"/>
      <family val="2"/>
    </font>
    <font>
      <sz val="12"/>
      <color rgb="FFFF0000"/>
      <name val="DINBek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</fills>
  <borders count="31">
    <border>
      <left/>
      <right/>
      <top/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medium">
        <color theme="8" tint="-0.499984740745262"/>
      </left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/>
      <top style="medium">
        <color theme="8" tint="-0.499984740745262"/>
      </top>
      <bottom style="medium">
        <color theme="8" tint="-0.499984740745262"/>
      </bottom>
      <diagonal/>
    </border>
    <border>
      <left/>
      <right style="medium">
        <color theme="8" tint="-0.499984740745262"/>
      </right>
      <top style="medium">
        <color theme="8" tint="-0.499984740745262"/>
      </top>
      <bottom style="medium">
        <color theme="8" tint="-0.499984740745262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dotted">
        <color theme="3"/>
      </right>
      <top style="medium">
        <color theme="3"/>
      </top>
      <bottom style="hair">
        <color theme="3"/>
      </bottom>
      <diagonal/>
    </border>
    <border>
      <left/>
      <right style="medium">
        <color theme="3"/>
      </right>
      <top style="medium">
        <color theme="3"/>
      </top>
      <bottom style="hair">
        <color theme="3"/>
      </bottom>
      <diagonal/>
    </border>
    <border>
      <left style="medium">
        <color theme="3"/>
      </left>
      <right style="medium">
        <color theme="3"/>
      </right>
      <top style="hair">
        <color theme="3"/>
      </top>
      <bottom/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 style="medium">
        <color theme="3"/>
      </left>
      <right style="dashed">
        <color theme="3"/>
      </right>
      <top style="medium">
        <color theme="3"/>
      </top>
      <bottom style="dashed">
        <color theme="3"/>
      </bottom>
      <diagonal/>
    </border>
    <border>
      <left style="dashed">
        <color theme="3"/>
      </left>
      <right style="dashed">
        <color theme="3"/>
      </right>
      <top style="medium">
        <color theme="3"/>
      </top>
      <bottom style="dashed">
        <color theme="3"/>
      </bottom>
      <diagonal/>
    </border>
    <border>
      <left style="dashed">
        <color theme="3"/>
      </left>
      <right style="medium">
        <color theme="3"/>
      </right>
      <top style="medium">
        <color theme="3"/>
      </top>
      <bottom style="dashed">
        <color theme="3"/>
      </bottom>
      <diagonal/>
    </border>
    <border>
      <left style="medium">
        <color theme="3"/>
      </left>
      <right style="dashed">
        <color theme="3"/>
      </right>
      <top style="dashed">
        <color theme="3"/>
      </top>
      <bottom style="dashed">
        <color theme="3"/>
      </bottom>
      <diagonal/>
    </border>
    <border>
      <left style="dashed">
        <color theme="3"/>
      </left>
      <right style="dashed">
        <color theme="3"/>
      </right>
      <top style="dashed">
        <color theme="3"/>
      </top>
      <bottom style="dashed">
        <color theme="3"/>
      </bottom>
      <diagonal/>
    </border>
    <border>
      <left style="dashed">
        <color theme="3"/>
      </left>
      <right style="medium">
        <color theme="3"/>
      </right>
      <top style="dashed">
        <color theme="3"/>
      </top>
      <bottom style="dashed">
        <color theme="3"/>
      </bottom>
      <diagonal/>
    </border>
    <border>
      <left style="medium">
        <color theme="3"/>
      </left>
      <right style="dashed">
        <color theme="3"/>
      </right>
      <top style="dashed">
        <color theme="3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8">
    <xf numFmtId="0" fontId="0" fillId="0" borderId="0"/>
    <xf numFmtId="164" fontId="1" fillId="0" borderId="0"/>
    <xf numFmtId="165" fontId="1" fillId="0" borderId="0"/>
    <xf numFmtId="0" fontId="3" fillId="0" borderId="0"/>
    <xf numFmtId="0" fontId="3" fillId="0" borderId="0"/>
    <xf numFmtId="0" fontId="3" fillId="0" borderId="0"/>
    <xf numFmtId="9" fontId="1" fillId="0" borderId="0"/>
    <xf numFmtId="9" fontId="3" fillId="0" borderId="0"/>
  </cellStyleXfs>
  <cellXfs count="177"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1" fontId="4" fillId="0" borderId="0" xfId="5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2" fillId="0" borderId="0" xfId="0" applyNumberFormat="1" applyFont="1" applyFill="1" applyBorder="1"/>
    <xf numFmtId="1" fontId="5" fillId="0" borderId="0" xfId="5" applyNumberFormat="1" applyFont="1" applyFill="1" applyBorder="1" applyAlignment="1">
      <alignment horizontal="center" vertical="center"/>
    </xf>
    <xf numFmtId="0" fontId="2" fillId="0" borderId="0" xfId="0" applyNumberFormat="1" applyFont="1" applyFill="1" applyBorder="1"/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0" fillId="0" borderId="9" xfId="0" applyNumberFormat="1" applyFont="1" applyFill="1" applyBorder="1"/>
    <xf numFmtId="0" fontId="0" fillId="0" borderId="11" xfId="0" applyNumberFormat="1" applyFont="1" applyFill="1" applyBorder="1"/>
    <xf numFmtId="0" fontId="0" fillId="0" borderId="12" xfId="0" applyNumberFormat="1" applyFont="1" applyFill="1" applyBorder="1"/>
    <xf numFmtId="0" fontId="8" fillId="0" borderId="0" xfId="3" applyNumberFormat="1" applyFont="1" applyFill="1" applyBorder="1"/>
    <xf numFmtId="1" fontId="0" fillId="0" borderId="0" xfId="0" applyNumberFormat="1" applyFont="1" applyFill="1" applyBorder="1"/>
    <xf numFmtId="14" fontId="0" fillId="0" borderId="0" xfId="0" applyNumberFormat="1" applyFont="1" applyFill="1" applyBorder="1"/>
    <xf numFmtId="1" fontId="0" fillId="0" borderId="0" xfId="0" applyNumberFormat="1" applyFont="1" applyFill="1" applyBorder="1"/>
    <xf numFmtId="0" fontId="0" fillId="0" borderId="25" xfId="0" applyNumberFormat="1" applyFont="1" applyFill="1" applyBorder="1"/>
    <xf numFmtId="1" fontId="6" fillId="0" borderId="11" xfId="4" applyNumberFormat="1" applyFont="1" applyFill="1" applyBorder="1" applyAlignment="1">
      <alignment horizontal="left" vertical="center"/>
    </xf>
    <xf numFmtId="0" fontId="8" fillId="0" borderId="0" xfId="3" applyNumberFormat="1" applyFont="1" applyFill="1" applyBorder="1" applyAlignment="1">
      <alignment horizontal="center"/>
    </xf>
    <xf numFmtId="1" fontId="8" fillId="0" borderId="0" xfId="3" applyNumberFormat="1" applyFont="1" applyFill="1" applyBorder="1" applyAlignment="1">
      <alignment horizontal="center"/>
    </xf>
    <xf numFmtId="0" fontId="0" fillId="0" borderId="5" xfId="0" applyNumberFormat="1" applyFont="1" applyFill="1" applyBorder="1"/>
    <xf numFmtId="0" fontId="0" fillId="0" borderId="0" xfId="0" applyNumberFormat="1" applyFont="1" applyFill="1" applyBorder="1" applyAlignment="1">
      <alignment horizontal="left" vertical="center"/>
    </xf>
    <xf numFmtId="0" fontId="0" fillId="0" borderId="0" xfId="0" applyNumberFormat="1" applyFont="1" applyFill="1" applyBorder="1"/>
    <xf numFmtId="0" fontId="0" fillId="0" borderId="6" xfId="0" applyNumberFormat="1" applyFont="1" applyFill="1" applyBorder="1"/>
    <xf numFmtId="0" fontId="0" fillId="0" borderId="0" xfId="0" applyNumberFormat="1" applyFont="1" applyFill="1" applyBorder="1"/>
    <xf numFmtId="0" fontId="0" fillId="0" borderId="0" xfId="0" applyNumberFormat="1" applyFont="1" applyFill="1" applyBorder="1"/>
    <xf numFmtId="0" fontId="0" fillId="0" borderId="5" xfId="0" applyNumberFormat="1" applyFont="1" applyFill="1" applyBorder="1"/>
    <xf numFmtId="0" fontId="0" fillId="0" borderId="0" xfId="0" applyNumberFormat="1" applyFont="1" applyFill="1" applyBorder="1"/>
    <xf numFmtId="0" fontId="12" fillId="0" borderId="0" xfId="0" applyNumberFormat="1" applyFont="1" applyFill="1" applyBorder="1" applyAlignment="1">
      <alignment horizontal="left" vertical="center"/>
    </xf>
    <xf numFmtId="0" fontId="11" fillId="2" borderId="0" xfId="4" applyNumberFormat="1" applyFont="1" applyFill="1" applyBorder="1"/>
    <xf numFmtId="3" fontId="11" fillId="2" borderId="0" xfId="4" applyNumberFormat="1" applyFont="1" applyFill="1" applyBorder="1" applyAlignment="1">
      <alignment horizontal="center"/>
    </xf>
    <xf numFmtId="0" fontId="13" fillId="2" borderId="0" xfId="4" applyNumberFormat="1" applyFont="1" applyFill="1" applyBorder="1" applyAlignment="1">
      <alignment vertical="center"/>
    </xf>
    <xf numFmtId="9" fontId="13" fillId="2" borderId="0" xfId="6" applyNumberFormat="1" applyFont="1" applyFill="1" applyBorder="1" applyAlignment="1">
      <alignment horizontal="center" vertical="center" wrapText="1"/>
    </xf>
    <xf numFmtId="0" fontId="0" fillId="0" borderId="7" xfId="0" applyNumberFormat="1" applyFont="1" applyFill="1" applyBorder="1"/>
    <xf numFmtId="0" fontId="0" fillId="0" borderId="8" xfId="0" applyNumberFormat="1" applyFont="1" applyFill="1" applyBorder="1"/>
    <xf numFmtId="0" fontId="14" fillId="0" borderId="0" xfId="0" applyNumberFormat="1" applyFont="1" applyFill="1" applyBorder="1" applyAlignment="1">
      <alignment horizontal="left" vertical="center"/>
    </xf>
    <xf numFmtId="0" fontId="15" fillId="0" borderId="0" xfId="0" applyNumberFormat="1" applyFont="1" applyFill="1" applyBorder="1"/>
    <xf numFmtId="0" fontId="16" fillId="0" borderId="5" xfId="0" applyNumberFormat="1" applyFont="1" applyFill="1" applyBorder="1"/>
    <xf numFmtId="0" fontId="16" fillId="0" borderId="0" xfId="0" applyNumberFormat="1" applyFont="1" applyFill="1" applyBorder="1"/>
    <xf numFmtId="0" fontId="16" fillId="0" borderId="0" xfId="0" applyNumberFormat="1" applyFont="1" applyFill="1" applyBorder="1"/>
    <xf numFmtId="0" fontId="16" fillId="0" borderId="0" xfId="0" applyNumberFormat="1" applyFont="1" applyFill="1" applyBorder="1"/>
    <xf numFmtId="0" fontId="8" fillId="2" borderId="0" xfId="4" applyNumberFormat="1" applyFont="1" applyFill="1" applyBorder="1"/>
    <xf numFmtId="3" fontId="8" fillId="2" borderId="0" xfId="4" applyNumberFormat="1" applyFont="1" applyFill="1" applyBorder="1" applyAlignment="1">
      <alignment horizontal="center"/>
    </xf>
    <xf numFmtId="0" fontId="9" fillId="2" borderId="0" xfId="4" applyNumberFormat="1" applyFont="1" applyFill="1" applyBorder="1" applyAlignment="1">
      <alignment vertical="center"/>
    </xf>
    <xf numFmtId="9" fontId="9" fillId="2" borderId="0" xfId="6" applyNumberFormat="1" applyFont="1" applyFill="1" applyBorder="1" applyAlignment="1">
      <alignment horizontal="center" vertical="center" wrapText="1"/>
    </xf>
    <xf numFmtId="0" fontId="0" fillId="0" borderId="2" xfId="0" applyNumberFormat="1" applyFont="1" applyFill="1" applyBorder="1"/>
    <xf numFmtId="0" fontId="0" fillId="0" borderId="3" xfId="0" applyNumberFormat="1" applyFont="1" applyFill="1" applyBorder="1"/>
    <xf numFmtId="0" fontId="0" fillId="0" borderId="4" xfId="0" applyNumberFormat="1" applyFont="1" applyFill="1" applyBorder="1"/>
    <xf numFmtId="0" fontId="16" fillId="0" borderId="6" xfId="0" applyNumberFormat="1" applyFont="1" applyFill="1" applyBorder="1"/>
    <xf numFmtId="0" fontId="0" fillId="0" borderId="9" xfId="0" applyNumberFormat="1" applyFont="1" applyFill="1" applyBorder="1"/>
    <xf numFmtId="14" fontId="0" fillId="0" borderId="25" xfId="0" applyNumberFormat="1" applyFont="1" applyFill="1" applyBorder="1"/>
    <xf numFmtId="14" fontId="0" fillId="0" borderId="0" xfId="0" applyNumberFormat="1" applyFont="1" applyFill="1" applyBorder="1"/>
    <xf numFmtId="168" fontId="0" fillId="0" borderId="25" xfId="2" applyNumberFormat="1" applyFont="1" applyFill="1" applyBorder="1"/>
    <xf numFmtId="168" fontId="0" fillId="0" borderId="0" xfId="2" applyNumberFormat="1" applyFont="1" applyFill="1" applyBorder="1"/>
    <xf numFmtId="0" fontId="17" fillId="0" borderId="0" xfId="0" applyNumberFormat="1" applyFont="1" applyFill="1" applyBorder="1" applyAlignment="1">
      <alignment horizontal="left" vertical="center"/>
    </xf>
    <xf numFmtId="0" fontId="20" fillId="0" borderId="0" xfId="0" applyNumberFormat="1" applyFont="1" applyFill="1" applyBorder="1"/>
    <xf numFmtId="0" fontId="21" fillId="0" borderId="5" xfId="0" applyNumberFormat="1" applyFont="1" applyFill="1" applyBorder="1"/>
    <xf numFmtId="0" fontId="21" fillId="0" borderId="0" xfId="0" applyNumberFormat="1" applyFont="1" applyFill="1" applyBorder="1"/>
    <xf numFmtId="0" fontId="21" fillId="0" borderId="6" xfId="0" applyNumberFormat="1" applyFont="1" applyFill="1" applyBorder="1"/>
    <xf numFmtId="0" fontId="21" fillId="0" borderId="0" xfId="0" applyNumberFormat="1" applyFont="1" applyFill="1" applyBorder="1"/>
    <xf numFmtId="0" fontId="21" fillId="0" borderId="0" xfId="0" applyNumberFormat="1" applyFont="1" applyFill="1" applyBorder="1"/>
    <xf numFmtId="0" fontId="17" fillId="0" borderId="0" xfId="3" applyNumberFormat="1" applyFont="1" applyFill="1" applyBorder="1" applyAlignment="1">
      <alignment horizontal="center" vertical="center"/>
    </xf>
    <xf numFmtId="167" fontId="23" fillId="0" borderId="1" xfId="3" applyNumberFormat="1" applyFont="1" applyFill="1" applyBorder="1" applyAlignment="1">
      <alignment horizontal="center" vertical="center"/>
    </xf>
    <xf numFmtId="0" fontId="23" fillId="0" borderId="0" xfId="3" applyNumberFormat="1" applyFont="1" applyFill="1" applyBorder="1" applyAlignment="1">
      <alignment horizontal="center" vertical="center"/>
    </xf>
    <xf numFmtId="9" fontId="23" fillId="0" borderId="1" xfId="6" applyNumberFormat="1" applyFont="1" applyFill="1" applyBorder="1" applyAlignment="1">
      <alignment horizontal="center" vertical="center"/>
    </xf>
    <xf numFmtId="0" fontId="19" fillId="2" borderId="0" xfId="4" applyNumberFormat="1" applyFont="1" applyFill="1" applyBorder="1"/>
    <xf numFmtId="0" fontId="18" fillId="2" borderId="0" xfId="4" applyNumberFormat="1" applyFont="1" applyFill="1" applyBorder="1"/>
    <xf numFmtId="0" fontId="24" fillId="2" borderId="0" xfId="4" applyNumberFormat="1" applyFont="1" applyFill="1" applyBorder="1" applyAlignment="1">
      <alignment horizontal="center"/>
    </xf>
    <xf numFmtId="3" fontId="19" fillId="2" borderId="0" xfId="4" applyNumberFormat="1" applyFont="1" applyFill="1" applyBorder="1" applyAlignment="1">
      <alignment horizontal="center"/>
    </xf>
    <xf numFmtId="9" fontId="19" fillId="2" borderId="0" xfId="6" applyNumberFormat="1" applyFont="1" applyFill="1" applyBorder="1"/>
    <xf numFmtId="0" fontId="22" fillId="2" borderId="0" xfId="4" applyNumberFormat="1" applyFont="1" applyFill="1" applyBorder="1" applyAlignment="1">
      <alignment vertical="center"/>
    </xf>
    <xf numFmtId="9" fontId="22" fillId="2" borderId="0" xfId="6" applyNumberFormat="1" applyFont="1" applyFill="1" applyBorder="1" applyAlignment="1">
      <alignment horizontal="center" vertical="center" wrapText="1"/>
    </xf>
    <xf numFmtId="1" fontId="0" fillId="4" borderId="0" xfId="0" applyNumberFormat="1" applyFont="1" applyFill="1" applyBorder="1" applyAlignment="1">
      <alignment horizontal="center" vertical="center" wrapText="1"/>
    </xf>
    <xf numFmtId="1" fontId="0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Font="1" applyFill="1" applyBorder="1"/>
    <xf numFmtId="14" fontId="0" fillId="6" borderId="0" xfId="0" applyNumberFormat="1" applyFont="1" applyFill="1" applyBorder="1"/>
    <xf numFmtId="0" fontId="25" fillId="0" borderId="0" xfId="5" applyNumberFormat="1" applyFont="1" applyFill="1" applyBorder="1" applyAlignment="1">
      <alignment horizontal="left" vertical="center"/>
    </xf>
    <xf numFmtId="0" fontId="26" fillId="0" borderId="0" xfId="5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/>
    <xf numFmtId="0" fontId="28" fillId="0" borderId="5" xfId="0" applyNumberFormat="1" applyFont="1" applyFill="1" applyBorder="1"/>
    <xf numFmtId="0" fontId="28" fillId="0" borderId="0" xfId="0" applyNumberFormat="1" applyFont="1" applyFill="1" applyBorder="1" applyAlignment="1">
      <alignment horizontal="left" vertical="center"/>
    </xf>
    <xf numFmtId="0" fontId="28" fillId="0" borderId="0" xfId="0" applyNumberFormat="1" applyFont="1" applyFill="1" applyBorder="1"/>
    <xf numFmtId="0" fontId="29" fillId="0" borderId="0" xfId="5" applyNumberFormat="1" applyFont="1" applyFill="1" applyBorder="1"/>
    <xf numFmtId="0" fontId="28" fillId="0" borderId="0" xfId="0" applyNumberFormat="1" applyFont="1" applyFill="1" applyBorder="1"/>
    <xf numFmtId="0" fontId="28" fillId="0" borderId="6" xfId="0" applyNumberFormat="1" applyFont="1" applyFill="1" applyBorder="1"/>
    <xf numFmtId="0" fontId="26" fillId="0" borderId="0" xfId="5" applyNumberFormat="1" applyFont="1" applyFill="1" applyBorder="1" applyAlignment="1">
      <alignment horizontal="left" vertical="center"/>
    </xf>
    <xf numFmtId="0" fontId="27" fillId="0" borderId="5" xfId="0" applyNumberFormat="1" applyFont="1" applyFill="1" applyBorder="1"/>
    <xf numFmtId="0" fontId="27" fillId="0" borderId="0" xfId="0" applyNumberFormat="1" applyFont="1" applyFill="1" applyBorder="1" applyAlignment="1">
      <alignment horizontal="left" vertical="center"/>
    </xf>
    <xf numFmtId="0" fontId="30" fillId="0" borderId="0" xfId="5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/>
    <xf numFmtId="0" fontId="27" fillId="0" borderId="6" xfId="0" applyNumberFormat="1" applyFont="1" applyFill="1" applyBorder="1"/>
    <xf numFmtId="0" fontId="31" fillId="0" borderId="0" xfId="5" applyNumberFormat="1" applyFont="1" applyFill="1" applyBorder="1" applyAlignment="1">
      <alignment horizontal="left" vertical="center"/>
    </xf>
    <xf numFmtId="0" fontId="29" fillId="0" borderId="0" xfId="5" applyNumberFormat="1" applyFont="1" applyFill="1" applyBorder="1" applyAlignment="1">
      <alignment horizontal="left" vertical="center"/>
    </xf>
    <xf numFmtId="0" fontId="32" fillId="0" borderId="0" xfId="5" applyNumberFormat="1" applyFont="1" applyFill="1" applyBorder="1" applyAlignment="1">
      <alignment horizontal="center"/>
    </xf>
    <xf numFmtId="0" fontId="27" fillId="0" borderId="0" xfId="0" applyNumberFormat="1" applyFont="1" applyFill="1" applyBorder="1"/>
    <xf numFmtId="0" fontId="27" fillId="0" borderId="5" xfId="0" applyNumberFormat="1" applyFont="1" applyFill="1" applyBorder="1"/>
    <xf numFmtId="0" fontId="27" fillId="0" borderId="0" xfId="0" applyNumberFormat="1" applyFont="1" applyFill="1" applyBorder="1"/>
    <xf numFmtId="1" fontId="33" fillId="0" borderId="10" xfId="4" applyNumberFormat="1" applyFont="1" applyFill="1" applyBorder="1" applyAlignment="1">
      <alignment horizontal="left" vertical="center"/>
    </xf>
    <xf numFmtId="0" fontId="27" fillId="0" borderId="11" xfId="0" applyNumberFormat="1" applyFont="1" applyFill="1" applyBorder="1"/>
    <xf numFmtId="0" fontId="27" fillId="0" borderId="12" xfId="0" applyNumberFormat="1" applyFont="1" applyFill="1" applyBorder="1"/>
    <xf numFmtId="0" fontId="34" fillId="0" borderId="0" xfId="0" applyNumberFormat="1" applyFont="1" applyFill="1" applyBorder="1"/>
    <xf numFmtId="0" fontId="34" fillId="0" borderId="5" xfId="0" applyNumberFormat="1" applyFont="1" applyFill="1" applyBorder="1"/>
    <xf numFmtId="0" fontId="35" fillId="0" borderId="0" xfId="4" quotePrefix="1" applyNumberFormat="1" applyFont="1" applyFill="1" applyBorder="1"/>
    <xf numFmtId="0" fontId="34" fillId="0" borderId="0" xfId="4" applyNumberFormat="1" applyFont="1" applyFill="1" applyBorder="1"/>
    <xf numFmtId="14" fontId="35" fillId="0" borderId="0" xfId="4" applyNumberFormat="1" applyFont="1" applyFill="1" applyBorder="1" applyAlignment="1">
      <alignment horizontal="left"/>
    </xf>
    <xf numFmtId="0" fontId="34" fillId="0" borderId="0" xfId="0" applyNumberFormat="1" applyFont="1" applyFill="1" applyBorder="1" applyAlignment="1">
      <alignment horizontal="left" vertical="center"/>
    </xf>
    <xf numFmtId="14" fontId="34" fillId="0" borderId="0" xfId="4" applyNumberFormat="1" applyFont="1" applyFill="1" applyBorder="1" applyAlignment="1">
      <alignment horizontal="left"/>
    </xf>
    <xf numFmtId="0" fontId="34" fillId="0" borderId="0" xfId="0" applyNumberFormat="1" applyFont="1" applyFill="1" applyBorder="1"/>
    <xf numFmtId="0" fontId="34" fillId="0" borderId="6" xfId="0" applyNumberFormat="1" applyFont="1" applyFill="1" applyBorder="1"/>
    <xf numFmtId="0" fontId="34" fillId="0" borderId="0" xfId="0" applyNumberFormat="1" applyFont="1" applyFill="1" applyBorder="1"/>
    <xf numFmtId="0" fontId="36" fillId="0" borderId="0" xfId="0" applyNumberFormat="1" applyFont="1" applyFill="1" applyBorder="1"/>
    <xf numFmtId="0" fontId="36" fillId="0" borderId="5" xfId="0" applyNumberFormat="1" applyFont="1" applyFill="1" applyBorder="1"/>
    <xf numFmtId="0" fontId="37" fillId="2" borderId="0" xfId="4" applyNumberFormat="1" applyFont="1" applyFill="1" applyBorder="1"/>
    <xf numFmtId="0" fontId="37" fillId="0" borderId="0" xfId="0" applyNumberFormat="1" applyFont="1" applyFill="1" applyBorder="1" applyAlignment="1">
      <alignment horizontal="left" vertical="center"/>
    </xf>
    <xf numFmtId="3" fontId="37" fillId="2" borderId="0" xfId="4" applyNumberFormat="1" applyFont="1" applyFill="1" applyBorder="1" applyAlignment="1">
      <alignment horizontal="center"/>
    </xf>
    <xf numFmtId="0" fontId="38" fillId="2" borderId="0" xfId="4" applyNumberFormat="1" applyFont="1" applyFill="1" applyBorder="1" applyAlignment="1">
      <alignment vertical="center"/>
    </xf>
    <xf numFmtId="9" fontId="38" fillId="2" borderId="0" xfId="6" applyNumberFormat="1" applyFont="1" applyFill="1" applyBorder="1" applyAlignment="1">
      <alignment horizontal="center" vertical="center" wrapText="1"/>
    </xf>
    <xf numFmtId="0" fontId="36" fillId="0" borderId="0" xfId="0" applyNumberFormat="1" applyFont="1" applyFill="1" applyBorder="1"/>
    <xf numFmtId="0" fontId="36" fillId="0" borderId="6" xfId="0" applyNumberFormat="1" applyFont="1" applyFill="1" applyBorder="1"/>
    <xf numFmtId="0" fontId="36" fillId="0" borderId="0" xfId="0" applyNumberFormat="1" applyFont="1" applyFill="1" applyBorder="1"/>
    <xf numFmtId="167" fontId="22" fillId="7" borderId="1" xfId="3" applyNumberFormat="1" applyFont="1" applyFill="1" applyBorder="1" applyAlignment="1">
      <alignment horizontal="center" vertical="center" wrapText="1"/>
    </xf>
    <xf numFmtId="0" fontId="38" fillId="2" borderId="0" xfId="4" applyNumberFormat="1" applyFont="1" applyFill="1" applyBorder="1"/>
    <xf numFmtId="0" fontId="39" fillId="0" borderId="27" xfId="5" applyNumberFormat="1" applyFont="1" applyFill="1" applyBorder="1" applyAlignment="1">
      <alignment horizontal="left" vertical="center"/>
    </xf>
    <xf numFmtId="0" fontId="1" fillId="0" borderId="28" xfId="0" applyNumberFormat="1" applyFont="1" applyFill="1" applyBorder="1"/>
    <xf numFmtId="0" fontId="1" fillId="0" borderId="29" xfId="0" applyNumberFormat="1" applyFont="1" applyFill="1" applyBorder="1"/>
    <xf numFmtId="0" fontId="10" fillId="7" borderId="18" xfId="3" applyNumberFormat="1" applyFont="1" applyFill="1" applyBorder="1" applyAlignment="1">
      <alignment horizontal="center" vertical="center" wrapText="1"/>
    </xf>
    <xf numFmtId="0" fontId="10" fillId="7" borderId="19" xfId="3" applyNumberFormat="1" applyFont="1" applyFill="1" applyBorder="1" applyAlignment="1">
      <alignment horizontal="center" vertical="center" wrapText="1"/>
    </xf>
    <xf numFmtId="0" fontId="10" fillId="7" borderId="20" xfId="3" applyNumberFormat="1" applyFont="1" applyFill="1" applyBorder="1" applyAlignment="1">
      <alignment horizontal="center" vertical="center" wrapText="1"/>
    </xf>
    <xf numFmtId="0" fontId="40" fillId="0" borderId="0" xfId="3" applyNumberFormat="1" applyFont="1" applyFill="1" applyBorder="1"/>
    <xf numFmtId="0" fontId="37" fillId="0" borderId="13" xfId="3" applyNumberFormat="1" applyFont="1" applyFill="1" applyBorder="1" applyAlignment="1">
      <alignment horizontal="center" vertical="center"/>
    </xf>
    <xf numFmtId="1" fontId="37" fillId="0" borderId="21" xfId="3" applyNumberFormat="1" applyFont="1" applyFill="1" applyBorder="1" applyAlignment="1">
      <alignment horizontal="center" vertical="center"/>
    </xf>
    <xf numFmtId="166" fontId="37" fillId="0" borderId="22" xfId="3" applyNumberFormat="1" applyFont="1" applyFill="1" applyBorder="1" applyAlignment="1">
      <alignment horizontal="center" vertical="center"/>
    </xf>
    <xf numFmtId="166" fontId="37" fillId="3" borderId="23" xfId="1" applyNumberFormat="1" applyFont="1" applyFill="1" applyBorder="1" applyAlignment="1">
      <alignment horizontal="center" vertical="center"/>
    </xf>
    <xf numFmtId="0" fontId="37" fillId="0" borderId="16" xfId="3" applyNumberFormat="1" applyFont="1" applyFill="1" applyBorder="1" applyAlignment="1">
      <alignment horizontal="center" vertical="center"/>
    </xf>
    <xf numFmtId="1" fontId="37" fillId="0" borderId="24" xfId="3" applyNumberFormat="1" applyFont="1" applyFill="1" applyBorder="1" applyAlignment="1">
      <alignment horizontal="center" vertical="center"/>
    </xf>
    <xf numFmtId="0" fontId="37" fillId="0" borderId="14" xfId="3" applyNumberFormat="1" applyFont="1" applyFill="1" applyBorder="1" applyAlignment="1">
      <alignment horizontal="center" vertical="center"/>
    </xf>
    <xf numFmtId="9" fontId="37" fillId="3" borderId="15" xfId="6" applyNumberFormat="1" applyFont="1" applyFill="1" applyBorder="1" applyAlignment="1">
      <alignment horizontal="center" vertical="center"/>
    </xf>
    <xf numFmtId="0" fontId="37" fillId="0" borderId="13" xfId="3" applyNumberFormat="1" applyFont="1" applyFill="1" applyBorder="1"/>
    <xf numFmtId="0" fontId="37" fillId="0" borderId="1" xfId="3" applyNumberFormat="1" applyFont="1" applyFill="1" applyBorder="1" applyAlignment="1">
      <alignment horizontal="center"/>
    </xf>
    <xf numFmtId="1" fontId="37" fillId="0" borderId="1" xfId="3" applyNumberFormat="1" applyFont="1" applyFill="1" applyBorder="1" applyAlignment="1">
      <alignment horizontal="center"/>
    </xf>
    <xf numFmtId="0" fontId="37" fillId="0" borderId="17" xfId="3" applyNumberFormat="1" applyFont="1" applyFill="1" applyBorder="1"/>
    <xf numFmtId="0" fontId="37" fillId="0" borderId="0" xfId="3" applyNumberFormat="1" applyFont="1" applyFill="1" applyBorder="1"/>
    <xf numFmtId="0" fontId="41" fillId="0" borderId="0" xfId="3" applyNumberFormat="1" applyFont="1" applyFill="1" applyBorder="1"/>
    <xf numFmtId="0" fontId="27" fillId="0" borderId="6" xfId="0" applyNumberFormat="1" applyFont="1" applyFill="1" applyBorder="1"/>
    <xf numFmtId="0" fontId="37" fillId="2" borderId="26" xfId="3" applyNumberFormat="1" applyFont="1" applyFill="1" applyBorder="1" applyAlignment="1">
      <alignment horizontal="center" vertical="center"/>
    </xf>
    <xf numFmtId="3" fontId="37" fillId="2" borderId="26" xfId="3" applyNumberFormat="1" applyFont="1" applyFill="1" applyBorder="1" applyAlignment="1">
      <alignment horizontal="center" vertical="center"/>
    </xf>
    <xf numFmtId="167" fontId="37" fillId="2" borderId="26" xfId="3" applyNumberFormat="1" applyFont="1" applyFill="1" applyBorder="1" applyAlignment="1">
      <alignment horizontal="center" vertical="center"/>
    </xf>
    <xf numFmtId="3" fontId="10" fillId="7" borderId="18" xfId="3" applyNumberFormat="1" applyFont="1" applyFill="1" applyBorder="1" applyAlignment="1">
      <alignment horizontal="center" vertical="center" wrapText="1"/>
    </xf>
    <xf numFmtId="0" fontId="10" fillId="7" borderId="25" xfId="3" applyNumberFormat="1" applyFont="1" applyFill="1" applyBorder="1" applyAlignment="1">
      <alignment horizontal="center" vertical="center" wrapText="1"/>
    </xf>
    <xf numFmtId="0" fontId="38" fillId="2" borderId="0" xfId="4" applyNumberFormat="1" applyFont="1" applyFill="1" applyBorder="1" applyAlignment="1">
      <alignment horizontal="center" vertical="center"/>
    </xf>
    <xf numFmtId="1" fontId="22" fillId="7" borderId="1" xfId="3" applyNumberFormat="1" applyFont="1" applyFill="1" applyBorder="1" applyAlignment="1">
      <alignment horizontal="center" vertical="center" wrapText="1"/>
    </xf>
    <xf numFmtId="166" fontId="10" fillId="7" borderId="18" xfId="3" applyNumberFormat="1" applyFont="1" applyFill="1" applyBorder="1" applyAlignment="1">
      <alignment horizontal="center" vertical="center" wrapText="1"/>
    </xf>
    <xf numFmtId="0" fontId="44" fillId="7" borderId="20" xfId="3" applyNumberFormat="1" applyFont="1" applyFill="1" applyBorder="1" applyAlignment="1">
      <alignment horizontal="center" vertical="center" wrapText="1"/>
    </xf>
    <xf numFmtId="166" fontId="44" fillId="3" borderId="23" xfId="1" applyNumberFormat="1" applyFont="1" applyFill="1" applyBorder="1" applyAlignment="1">
      <alignment horizontal="center" vertical="center"/>
    </xf>
    <xf numFmtId="166" fontId="44" fillId="7" borderId="18" xfId="3" applyNumberFormat="1" applyFont="1" applyFill="1" applyBorder="1" applyAlignment="1">
      <alignment horizontal="center" vertical="center" wrapText="1"/>
    </xf>
    <xf numFmtId="164" fontId="1" fillId="0" borderId="0" xfId="1"/>
    <xf numFmtId="0" fontId="37" fillId="2" borderId="0" xfId="4" applyNumberFormat="1" applyFont="1" applyFill="1" applyBorder="1" applyAlignment="1">
      <alignment horizontal="center"/>
    </xf>
    <xf numFmtId="15" fontId="29" fillId="0" borderId="0" xfId="5" applyNumberFormat="1" applyFont="1" applyFill="1" applyBorder="1" applyAlignment="1">
      <alignment horizontal="left" vertical="center"/>
    </xf>
    <xf numFmtId="0" fontId="0" fillId="0" borderId="30" xfId="0" applyNumberFormat="1" applyFont="1" applyFill="1" applyBorder="1"/>
    <xf numFmtId="14" fontId="0" fillId="0" borderId="30" xfId="0" applyNumberFormat="1" applyFont="1" applyFill="1" applyBorder="1"/>
    <xf numFmtId="168" fontId="0" fillId="0" borderId="30" xfId="2" applyNumberFormat="1" applyFont="1" applyFill="1" applyBorder="1"/>
  </cellXfs>
  <cellStyles count="8">
    <cellStyle name="Comma" xfId="1" builtinId="3"/>
    <cellStyle name="Currency" xfId="2" builtinId="4"/>
    <cellStyle name="Normal" xfId="0" builtinId="0"/>
    <cellStyle name="Normal 2" xfId="3"/>
    <cellStyle name="Normal 4" xfId="4"/>
    <cellStyle name="Normal_Book 2004 feuille sommaire 2" xfId="5"/>
    <cellStyle name="Percent" xfId="6" builtinId="5"/>
    <cellStyle name="Pourcentage 2" xfId="7"/>
  </cellStyles>
  <dxfs count="0"/>
  <tableStyles count="0" defaultTableStyle="TableStyleMedium2" defaultPivotStyle="PivotStyleLight16"/>
  <colors>
    <mruColors>
      <color rgb="FF4FACB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d'arrêts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IJ!$D$13</c:f>
              <c:strCache>
                <c:ptCount val="1"/>
                <c:pt idx="0">
                  <c:v>Nombre d'arrêts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IJ!$C$14:$C$15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IJ!$D$14:$D$15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4656752"/>
        <c:axId val="1084666544"/>
        <c:axId val="0"/>
      </c:bar3DChart>
      <c:catAx>
        <c:axId val="108465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66544"/>
        <c:crosses val="autoZero"/>
        <c:auto val="1"/>
        <c:lblAlgn val="ctr"/>
        <c:lblOffset val="100"/>
        <c:noMultiLvlLbl val="0"/>
      </c:catAx>
      <c:valAx>
        <c:axId val="108466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56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IJ!$L$13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IJ!$K$14:$K$22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IJ!$L$14:$L$22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664912"/>
        <c:axId val="1084653488"/>
      </c:lineChart>
      <c:catAx>
        <c:axId val="108466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53488"/>
        <c:crosses val="autoZero"/>
        <c:auto val="1"/>
        <c:lblAlgn val="ctr"/>
        <c:lblOffset val="100"/>
        <c:noMultiLvlLbl val="0"/>
      </c:catAx>
      <c:valAx>
        <c:axId val="108465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6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d'invalides par sexe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INVAL!$D$13</c:f>
              <c:strCache>
                <c:ptCount val="1"/>
                <c:pt idx="0">
                  <c:v>Nombre d'invalides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INVAL!$C$14:$C$15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INVAL!$D$14:$D$15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4654576"/>
        <c:axId val="1084662192"/>
        <c:axId val="0"/>
      </c:bar3DChart>
      <c:catAx>
        <c:axId val="108465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62192"/>
        <c:crosses val="autoZero"/>
        <c:auto val="1"/>
        <c:lblAlgn val="ctr"/>
        <c:lblOffset val="100"/>
        <c:noMultiLvlLbl val="0"/>
      </c:catAx>
      <c:valAx>
        <c:axId val="108466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5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d'invalides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INVAL!$L$13</c:f>
              <c:strCache>
                <c:ptCount val="1"/>
                <c:pt idx="0">
                  <c:v>Nombre d'arrêts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INVAL!$K$14:$K$22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INVAL!$L$14:$L$22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658384"/>
        <c:axId val="1084658928"/>
      </c:lineChart>
      <c:catAx>
        <c:axId val="1084658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58928"/>
        <c:crosses val="autoZero"/>
        <c:auto val="1"/>
        <c:lblAlgn val="ctr"/>
        <c:lblOffset val="100"/>
        <c:noMultiLvlLbl val="0"/>
      </c:catAx>
      <c:valAx>
        <c:axId val="108465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58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rgbClr val="4FACBE"/>
                </a:solidFill>
              </a:rPr>
              <a:t>Nombre de</a:t>
            </a:r>
            <a:r>
              <a:rPr lang="en-US" baseline="0">
                <a:solidFill>
                  <a:srgbClr val="4FACBE"/>
                </a:solidFill>
              </a:rPr>
              <a:t> décès</a:t>
            </a:r>
            <a:r>
              <a:rPr lang="en-US">
                <a:solidFill>
                  <a:srgbClr val="4FACBE"/>
                </a:solidFill>
              </a:rPr>
              <a:t> par sexe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DECES!$D$13</c:f>
              <c:strCache>
                <c:ptCount val="1"/>
                <c:pt idx="0">
                  <c:v>Nombre de décès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DECES!$C$14:$C$15</c:f>
              <c:strCache>
                <c:ptCount val="2"/>
                <c:pt idx="0">
                  <c:v>Féminin</c:v>
                </c:pt>
                <c:pt idx="1">
                  <c:v>Masculin</c:v>
                </c:pt>
              </c:strCache>
            </c:strRef>
          </c:cat>
          <c:val>
            <c:numRef>
              <c:f>DECES!$D$14:$D$15</c:f>
              <c:numCache>
                <c:formatCode>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84663280"/>
        <c:axId val="1084663824"/>
        <c:axId val="0"/>
      </c:bar3DChart>
      <c:catAx>
        <c:axId val="108466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63824"/>
        <c:crosses val="autoZero"/>
        <c:auto val="1"/>
        <c:lblAlgn val="ctr"/>
        <c:lblOffset val="100"/>
        <c:noMultiLvlLbl val="0"/>
      </c:catAx>
      <c:valAx>
        <c:axId val="108466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6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4FACBE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Nombre de décès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4FACBE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DECES!$L$13</c:f>
              <c:strCache>
                <c:ptCount val="1"/>
                <c:pt idx="0">
                  <c:v>Nombre de dèces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DECES!$K$14:$K$22</c:f>
              <c:strCache>
                <c:ptCount val="9"/>
                <c:pt idx="0">
                  <c:v>Inférieur à 25 ans</c:v>
                </c:pt>
                <c:pt idx="1">
                  <c:v>Tranche 25 à 29 ans</c:v>
                </c:pt>
                <c:pt idx="2">
                  <c:v>Tranche 30 à 34 ans</c:v>
                </c:pt>
                <c:pt idx="3">
                  <c:v>Tranche 35 à 39 ans</c:v>
                </c:pt>
                <c:pt idx="4">
                  <c:v>Tranche 40 à 44 ans</c:v>
                </c:pt>
                <c:pt idx="5">
                  <c:v>Tranche 45 à 49 ans</c:v>
                </c:pt>
                <c:pt idx="6">
                  <c:v>Tranche 50 à 54 ans</c:v>
                </c:pt>
                <c:pt idx="7">
                  <c:v>Tranche 55 à 59 ans</c:v>
                </c:pt>
                <c:pt idx="8">
                  <c:v>Supérieur ou égal à 60 ans</c:v>
                </c:pt>
              </c:strCache>
            </c:strRef>
          </c:cat>
          <c:val>
            <c:numRef>
              <c:f>DECES!$L$14:$L$22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4666000"/>
        <c:axId val="1047316240"/>
      </c:lineChart>
      <c:catAx>
        <c:axId val="1084666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7316240"/>
        <c:crosses val="autoZero"/>
        <c:auto val="1"/>
        <c:lblAlgn val="ctr"/>
        <c:lblOffset val="100"/>
        <c:noMultiLvlLbl val="0"/>
      </c:catAx>
      <c:valAx>
        <c:axId val="104731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466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704850</xdr:colOff>
      <xdr:row>18</xdr:row>
      <xdr:rowOff>85725</xdr:rowOff>
    </xdr:from>
    <xdr:to>
      <xdr:col>2</xdr:col>
      <xdr:colOff>723900</xdr:colOff>
      <xdr:row>22</xdr:row>
      <xdr:rowOff>342900</xdr:rowOff>
    </xdr:to>
    <xdr:sp macro="" textlink="">
      <xdr:nvSpPr>
        <xdr:cNvPr id="3" name="Line 4"/>
        <xdr:cNvSpPr>
          <a:spLocks noChangeShapeType="1"/>
        </xdr:cNvSpPr>
      </xdr:nvSpPr>
      <xdr:spPr bwMode="auto">
        <a:xfrm flipH="1">
          <a:off x="1657350" y="4657725"/>
          <a:ext cx="19050" cy="173355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361950</xdr:colOff>
      <xdr:row>20</xdr:row>
      <xdr:rowOff>114300</xdr:rowOff>
    </xdr:from>
    <xdr:to>
      <xdr:col>18</xdr:col>
      <xdr:colOff>561975</xdr:colOff>
      <xdr:row>20</xdr:row>
      <xdr:rowOff>114300</xdr:rowOff>
    </xdr:to>
    <xdr:sp macro="" textlink="">
      <xdr:nvSpPr>
        <xdr:cNvPr id="4" name="Line 5"/>
        <xdr:cNvSpPr>
          <a:spLocks noChangeShapeType="1"/>
        </xdr:cNvSpPr>
      </xdr:nvSpPr>
      <xdr:spPr bwMode="auto">
        <a:xfrm>
          <a:off x="552450" y="5543550"/>
          <a:ext cx="1239202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95250</xdr:colOff>
          <xdr:row>5</xdr:row>
          <xdr:rowOff>152400</xdr:rowOff>
        </xdr:from>
        <xdr:to>
          <xdr:col>24</xdr:col>
          <xdr:colOff>9525</xdr:colOff>
          <xdr:row>8</xdr:row>
          <xdr:rowOff>123825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104775</xdr:colOff>
          <xdr:row>8</xdr:row>
          <xdr:rowOff>342900</xdr:rowOff>
        </xdr:from>
        <xdr:to>
          <xdr:col>24</xdr:col>
          <xdr:colOff>19050</xdr:colOff>
          <xdr:row>9</xdr:row>
          <xdr:rowOff>314325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du document PowerPoint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85725</xdr:colOff>
          <xdr:row>1</xdr:row>
          <xdr:rowOff>114300</xdr:rowOff>
        </xdr:from>
        <xdr:to>
          <xdr:col>24</xdr:col>
          <xdr:colOff>0</xdr:colOff>
          <xdr:row>4</xdr:row>
          <xdr:rowOff>85725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 des provisions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247650</xdr:colOff>
          <xdr:row>1</xdr:row>
          <xdr:rowOff>104775</xdr:rowOff>
        </xdr:from>
        <xdr:to>
          <xdr:col>26</xdr:col>
          <xdr:colOff>161925</xdr:colOff>
          <xdr:row>4</xdr:row>
          <xdr:rowOff>76200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lmport des provisions déjà calculées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761999</xdr:colOff>
      <xdr:row>2</xdr:row>
      <xdr:rowOff>190499</xdr:rowOff>
    </xdr:from>
    <xdr:to>
      <xdr:col>18</xdr:col>
      <xdr:colOff>704850</xdr:colOff>
      <xdr:row>6</xdr:row>
      <xdr:rowOff>133350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73852" y="571499"/>
          <a:ext cx="705972" cy="70597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3</xdr:row>
      <xdr:rowOff>0</xdr:rowOff>
    </xdr:from>
    <xdr:to>
      <xdr:col>10</xdr:col>
      <xdr:colOff>704850</xdr:colOff>
      <xdr:row>6</xdr:row>
      <xdr:rowOff>133350</xdr:rowOff>
    </xdr:to>
    <xdr:pic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3</xdr:row>
      <xdr:rowOff>0</xdr:rowOff>
    </xdr:from>
    <xdr:to>
      <xdr:col>15</xdr:col>
      <xdr:colOff>704850</xdr:colOff>
      <xdr:row>6</xdr:row>
      <xdr:rowOff>133350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49250" y="571500"/>
          <a:ext cx="705972" cy="70597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271740</xdr:colOff>
      <xdr:row>17</xdr:row>
      <xdr:rowOff>22971</xdr:rowOff>
    </xdr:from>
    <xdr:to>
      <xdr:col>6</xdr:col>
      <xdr:colOff>280146</xdr:colOff>
      <xdr:row>30</xdr:row>
      <xdr:rowOff>44823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1315010</xdr:colOff>
      <xdr:row>24</xdr:row>
      <xdr:rowOff>38100</xdr:rowOff>
    </xdr:from>
    <xdr:to>
      <xdr:col>14</xdr:col>
      <xdr:colOff>369794</xdr:colOff>
      <xdr:row>41</xdr:row>
      <xdr:rowOff>168088</xdr:rowOff>
    </xdr:to>
    <xdr:graphicFrame macro="">
      <xdr:nvGraphicFramePr>
        <xdr:cNvPr id="3" name="Graphique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704850</xdr:colOff>
      <xdr:row>6</xdr:row>
      <xdr:rowOff>133350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68275" y="571500"/>
          <a:ext cx="704850" cy="704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2">
    <tabColor theme="4" tint="0.79998168889431442"/>
  </sheetPr>
  <dimension ref="A1:AE37"/>
  <sheetViews>
    <sheetView showGridLines="0" zoomScale="85" zoomScaleNormal="85" workbookViewId="0">
      <selection activeCell="Z13" sqref="Z13"/>
    </sheetView>
  </sheetViews>
  <sheetFormatPr defaultColWidth="11.42578125" defaultRowHeight="15"/>
  <cols>
    <col min="1" max="1" width="2.85546875" style="15" customWidth="1"/>
    <col min="2" max="2" width="4.28515625" style="1" customWidth="1"/>
    <col min="3" max="18" width="11.42578125" style="1" customWidth="1"/>
    <col min="19" max="19" width="16.7109375" style="1" customWidth="1"/>
    <col min="20" max="20" width="4.28515625" style="1" customWidth="1"/>
    <col min="21" max="21" width="2.85546875" style="1" customWidth="1"/>
    <col min="22" max="25" width="11.42578125" style="1" customWidth="1"/>
    <col min="26" max="26" width="12.140625" style="1" bestFit="1" customWidth="1"/>
    <col min="27" max="29" width="11.42578125" style="1" customWidth="1"/>
    <col min="30" max="30" width="16.7109375" style="1" bestFit="1" customWidth="1"/>
    <col min="31" max="31" width="17.42578125" style="1" bestFit="1" customWidth="1"/>
    <col min="32" max="32" width="11.42578125" style="1" customWidth="1"/>
    <col min="33" max="16384" width="11.42578125" style="1"/>
  </cols>
  <sheetData>
    <row r="1" spans="1:3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AD1" s="1" t="s">
        <v>37</v>
      </c>
      <c r="AE1" s="1" t="s">
        <v>38</v>
      </c>
    </row>
    <row r="2" spans="1:31">
      <c r="B2" s="16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8"/>
      <c r="AD2" s="1" t="s">
        <v>39</v>
      </c>
      <c r="AE2" s="1" t="s">
        <v>39</v>
      </c>
    </row>
    <row r="3" spans="1:31">
      <c r="B3" s="19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1"/>
    </row>
    <row r="4" spans="1:31">
      <c r="B4" s="19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1"/>
    </row>
    <row r="5" spans="1:31">
      <c r="B5" s="19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1"/>
    </row>
    <row r="6" spans="1:31">
      <c r="B6" s="19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1"/>
    </row>
    <row r="7" spans="1:31">
      <c r="B7" s="19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1"/>
    </row>
    <row r="8" spans="1:31">
      <c r="B8" s="19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1"/>
    </row>
    <row r="9" spans="1:31" ht="45">
      <c r="B9" s="19"/>
      <c r="C9" s="92" t="s">
        <v>40</v>
      </c>
      <c r="D9" s="92"/>
      <c r="E9" s="2"/>
      <c r="F9" s="2"/>
      <c r="G9" s="2"/>
      <c r="H9" s="2"/>
      <c r="I9" s="2"/>
      <c r="J9" s="20"/>
      <c r="K9" s="20"/>
      <c r="L9" s="20"/>
      <c r="M9" s="20"/>
      <c r="N9" s="20"/>
      <c r="O9" s="20"/>
      <c r="P9" s="20"/>
      <c r="Q9" s="20"/>
      <c r="R9" s="20"/>
      <c r="S9" s="20"/>
      <c r="T9" s="21"/>
    </row>
    <row r="10" spans="1:31" ht="45">
      <c r="B10" s="19"/>
      <c r="C10" s="92" t="s">
        <v>41</v>
      </c>
      <c r="D10" s="2"/>
      <c r="E10" s="2"/>
      <c r="F10" s="2"/>
      <c r="G10" s="2"/>
      <c r="H10" s="2"/>
      <c r="I10" s="2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1"/>
    </row>
    <row r="11" spans="1:31">
      <c r="B11" s="19"/>
      <c r="C11" s="2"/>
      <c r="D11" s="2"/>
      <c r="E11" s="2"/>
      <c r="F11" s="2"/>
      <c r="G11" s="2"/>
      <c r="H11" s="2"/>
      <c r="I11" s="2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1"/>
    </row>
    <row r="12" spans="1:31" s="39" customFormat="1">
      <c r="A12" s="15"/>
      <c r="B12" s="35"/>
      <c r="C12" s="36"/>
      <c r="D12" s="36"/>
      <c r="E12" s="36"/>
      <c r="F12" s="36"/>
      <c r="G12" s="36"/>
      <c r="H12" s="36"/>
      <c r="I12" s="36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8"/>
    </row>
    <row r="13" spans="1:31" ht="45">
      <c r="B13" s="19"/>
      <c r="C13" s="2"/>
      <c r="D13" s="2"/>
      <c r="E13" s="2"/>
      <c r="G13" s="2"/>
      <c r="H13" s="3"/>
      <c r="I13" s="2"/>
      <c r="J13" s="14"/>
      <c r="K13" s="20"/>
      <c r="L13" s="20"/>
      <c r="M13" s="20"/>
      <c r="N13" s="20"/>
      <c r="O13" s="20"/>
      <c r="P13" s="20"/>
      <c r="Q13" s="20"/>
      <c r="R13" s="20"/>
      <c r="S13" s="20"/>
      <c r="T13" s="21"/>
    </row>
    <row r="14" spans="1:31">
      <c r="B14" s="19"/>
      <c r="C14" s="2"/>
      <c r="D14" s="2"/>
      <c r="E14" s="2"/>
      <c r="F14" s="2"/>
      <c r="G14" s="2"/>
      <c r="H14" s="2"/>
      <c r="I14" s="2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1"/>
    </row>
    <row r="15" spans="1:31">
      <c r="B15" s="19"/>
      <c r="C15" s="2"/>
      <c r="D15" s="2"/>
      <c r="E15" s="2"/>
      <c r="F15" s="2"/>
      <c r="G15" s="2"/>
      <c r="H15" s="2"/>
      <c r="I15" s="2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1"/>
    </row>
    <row r="16" spans="1:31">
      <c r="B16" s="19"/>
      <c r="L16" s="20"/>
      <c r="M16" s="20"/>
      <c r="N16" s="20"/>
      <c r="O16" s="20"/>
      <c r="P16" s="20"/>
      <c r="Q16" s="20"/>
      <c r="R16" s="20"/>
      <c r="S16" s="20"/>
      <c r="T16" s="21"/>
    </row>
    <row r="17" spans="1:20">
      <c r="B17" s="19"/>
      <c r="L17" s="20"/>
      <c r="M17" s="20"/>
      <c r="N17" s="20"/>
      <c r="O17" s="20"/>
      <c r="P17" s="20"/>
      <c r="Q17" s="20"/>
      <c r="R17" s="20"/>
      <c r="S17" s="20"/>
      <c r="T17" s="21"/>
    </row>
    <row r="18" spans="1:20">
      <c r="B18" s="19"/>
      <c r="L18" s="20"/>
      <c r="M18" s="20"/>
      <c r="N18" s="20"/>
      <c r="O18" s="20"/>
      <c r="P18" s="20"/>
      <c r="Q18" s="20"/>
      <c r="R18" s="20"/>
      <c r="S18" s="20"/>
      <c r="T18" s="21"/>
    </row>
    <row r="19" spans="1:20" s="97" customFormat="1" ht="33.75">
      <c r="A19" s="94"/>
      <c r="B19" s="95"/>
      <c r="C19" s="96"/>
      <c r="D19" s="93" t="s">
        <v>42</v>
      </c>
      <c r="F19" s="96"/>
      <c r="G19" s="98"/>
      <c r="H19" s="96"/>
      <c r="I19" s="96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100"/>
    </row>
    <row r="20" spans="1:20" s="97" customFormat="1" ht="33.75">
      <c r="A20" s="94"/>
      <c r="B20" s="95"/>
      <c r="C20" s="96"/>
      <c r="D20" s="101" t="s">
        <v>43</v>
      </c>
      <c r="F20" s="96"/>
      <c r="G20" s="98"/>
      <c r="H20" s="96"/>
      <c r="I20" s="96"/>
      <c r="J20" s="99"/>
      <c r="K20" s="99"/>
      <c r="L20" s="99"/>
      <c r="M20" s="99"/>
      <c r="N20" s="99"/>
      <c r="O20" s="99"/>
      <c r="P20" s="99"/>
      <c r="Q20" s="99"/>
      <c r="R20" s="99"/>
      <c r="S20" s="99"/>
      <c r="T20" s="100"/>
    </row>
    <row r="21" spans="1:20" s="94" customFormat="1">
      <c r="B21" s="102"/>
      <c r="C21" s="103"/>
      <c r="D21" s="104"/>
      <c r="E21" s="103"/>
      <c r="F21" s="103"/>
      <c r="G21" s="103"/>
      <c r="H21" s="103"/>
      <c r="I21" s="103"/>
      <c r="J21" s="105"/>
      <c r="K21" s="105"/>
      <c r="L21" s="105"/>
      <c r="M21" s="105"/>
      <c r="N21" s="105"/>
      <c r="O21" s="105"/>
      <c r="P21" s="105"/>
      <c r="Q21" s="105"/>
      <c r="R21" s="105"/>
      <c r="S21" s="105"/>
      <c r="T21" s="106"/>
    </row>
    <row r="22" spans="1:20" s="97" customFormat="1" ht="33.75">
      <c r="A22" s="94"/>
      <c r="B22" s="95"/>
      <c r="C22" s="96"/>
      <c r="D22" s="107" t="s">
        <v>44</v>
      </c>
      <c r="E22" s="96"/>
      <c r="G22" s="96"/>
      <c r="H22" s="108" t="s">
        <v>105</v>
      </c>
      <c r="I22" s="109"/>
      <c r="J22" s="99"/>
      <c r="K22" s="99"/>
      <c r="L22" s="99"/>
      <c r="M22" s="99"/>
      <c r="N22" s="99"/>
      <c r="O22" s="99"/>
      <c r="P22" s="99"/>
      <c r="Q22" s="99"/>
      <c r="R22" s="99"/>
      <c r="S22" s="99"/>
      <c r="T22" s="100"/>
    </row>
    <row r="23" spans="1:20" s="97" customFormat="1" ht="33.75">
      <c r="A23" s="94"/>
      <c r="B23" s="95"/>
      <c r="C23" s="96"/>
      <c r="D23" s="107" t="s">
        <v>45</v>
      </c>
      <c r="E23" s="96"/>
      <c r="F23" s="96"/>
      <c r="H23" s="96"/>
      <c r="J23" s="173">
        <v>43465</v>
      </c>
      <c r="L23" s="99"/>
      <c r="M23" s="99"/>
      <c r="N23" s="99"/>
      <c r="O23" s="99"/>
      <c r="P23" s="99"/>
      <c r="Q23" s="99"/>
      <c r="R23" s="99"/>
      <c r="S23" s="99"/>
      <c r="T23" s="100"/>
    </row>
    <row r="24" spans="1:20">
      <c r="B24" s="19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1"/>
    </row>
    <row r="25" spans="1:20">
      <c r="B25" s="19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1"/>
    </row>
    <row r="26" spans="1:20">
      <c r="B26" s="19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1"/>
    </row>
    <row r="27" spans="1:20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1"/>
    </row>
    <row r="28" spans="1:20">
      <c r="B28" s="19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1"/>
    </row>
    <row r="29" spans="1:20">
      <c r="B29" s="19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1"/>
    </row>
    <row r="30" spans="1:20">
      <c r="B30" s="19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1"/>
    </row>
    <row r="31" spans="1:20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1"/>
    </row>
    <row r="32" spans="1:20">
      <c r="B32" s="19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1"/>
    </row>
    <row r="33" spans="2:20">
      <c r="B33" s="19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1"/>
    </row>
    <row r="34" spans="2:20">
      <c r="B34" s="19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1"/>
    </row>
    <row r="35" spans="2:20" ht="26.25" customHeight="1">
      <c r="B35" s="19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1"/>
    </row>
    <row r="36" spans="2:20">
      <c r="B36" s="19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1"/>
    </row>
    <row r="37" spans="2:20">
      <c r="B37" s="22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FULL.FULL">
                <anchor moveWithCells="1" sizeWithCells="1">
                  <from>
                    <xdr:col>22</xdr:col>
                    <xdr:colOff>95250</xdr:colOff>
                    <xdr:row>5</xdr:row>
                    <xdr:rowOff>152400</xdr:rowOff>
                  </from>
                  <to>
                    <xdr:col>24</xdr:col>
                    <xdr:colOff>9525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exportFile">
                <anchor moveWithCells="1" sizeWithCells="1">
                  <from>
                    <xdr:col>22</xdr:col>
                    <xdr:colOff>104775</xdr:colOff>
                    <xdr:row>8</xdr:row>
                    <xdr:rowOff>342900</xdr:rowOff>
                  </from>
                  <to>
                    <xdr:col>24</xdr:col>
                    <xdr:colOff>19050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PROVISIONCALCUL.PROVISIONCALCUL">
                <anchor moveWithCells="1" sizeWithCells="1">
                  <from>
                    <xdr:col>22</xdr:col>
                    <xdr:colOff>85725</xdr:colOff>
                    <xdr:row>1</xdr:row>
                    <xdr:rowOff>114300</xdr:rowOff>
                  </from>
                  <to>
                    <xdr:col>24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Button 6">
              <controlPr defaultSize="0" print="0" autoFill="0" autoPict="0" macro="[0]!PROVISIONIMPORT.PROVISIONIMPORT">
                <anchor moveWithCells="1" sizeWithCells="1">
                  <from>
                    <xdr:col>24</xdr:col>
                    <xdr:colOff>247650</xdr:colOff>
                    <xdr:row>1</xdr:row>
                    <xdr:rowOff>104775</xdr:rowOff>
                  </from>
                  <to>
                    <xdr:col>26</xdr:col>
                    <xdr:colOff>161925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4" tint="0.79998168889431442"/>
  </sheetPr>
  <dimension ref="A1:Q46"/>
  <sheetViews>
    <sheetView showGridLines="0" zoomScaleNormal="100" workbookViewId="0">
      <selection activeCell="G17" sqref="G17"/>
    </sheetView>
  </sheetViews>
  <sheetFormatPr defaultColWidth="11.42578125" defaultRowHeight="15"/>
  <cols>
    <col min="1" max="1" width="2.85546875" style="15" customWidth="1"/>
    <col min="2" max="2" width="4.28515625" style="1" customWidth="1"/>
    <col min="3" max="3" width="17.140625" style="1" customWidth="1"/>
    <col min="4" max="4" width="4.28515625" style="1" customWidth="1"/>
    <col min="5" max="5" width="25.7109375" style="1" customWidth="1"/>
    <col min="6" max="6" width="4.28515625" style="1" customWidth="1"/>
    <col min="7" max="7" width="25.7109375" style="1" customWidth="1"/>
    <col min="8" max="8" width="4.28515625" style="1" customWidth="1"/>
    <col min="9" max="9" width="25.7109375" style="1" customWidth="1"/>
    <col min="10" max="10" width="4.28515625" style="1" customWidth="1"/>
    <col min="11" max="11" width="25.7109375" style="1" customWidth="1"/>
    <col min="12" max="12" width="4.28515625" style="1" customWidth="1"/>
    <col min="13" max="13" width="25.7109375" style="1" customWidth="1"/>
    <col min="14" max="14" width="12.85546875" style="1" customWidth="1"/>
    <col min="15" max="15" width="20" style="1" customWidth="1"/>
    <col min="16" max="16" width="4.28515625" style="1" customWidth="1"/>
    <col min="17" max="17" width="2.85546875" style="1" customWidth="1"/>
    <col min="18" max="18" width="11.42578125" style="1" customWidth="1"/>
    <col min="19" max="16384" width="11.42578125" style="1"/>
  </cols>
  <sheetData>
    <row r="1" spans="1:17" s="39" customFormat="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5"/>
      <c r="Q1" s="13"/>
    </row>
    <row r="2" spans="1:17" s="39" customFormat="1" ht="15" customHeight="1">
      <c r="A2" s="15"/>
      <c r="B2" s="60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2"/>
    </row>
    <row r="3" spans="1:17" s="39" customFormat="1" ht="15" customHeight="1">
      <c r="A3" s="13"/>
      <c r="B3" s="41"/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38"/>
      <c r="Q3" s="40"/>
    </row>
    <row r="4" spans="1:17" s="39" customFormat="1" ht="15" customHeight="1">
      <c r="A4" s="13"/>
      <c r="B4" s="41"/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38"/>
      <c r="Q4" s="40"/>
    </row>
    <row r="5" spans="1:17" s="39" customFormat="1" ht="15" customHeight="1">
      <c r="A5" s="13"/>
      <c r="B5" s="41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38"/>
      <c r="Q5" s="40"/>
    </row>
    <row r="6" spans="1:17" s="39" customFormat="1" ht="15" customHeight="1">
      <c r="A6" s="13"/>
      <c r="B6" s="41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38"/>
      <c r="Q6" s="40"/>
    </row>
    <row r="7" spans="1:17" s="39" customFormat="1" ht="15" customHeight="1">
      <c r="A7" s="13"/>
      <c r="B7" s="41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38"/>
      <c r="Q7" s="40"/>
    </row>
    <row r="8" spans="1:17" ht="30">
      <c r="A8" s="13"/>
      <c r="B8" s="7"/>
      <c r="C8" s="138" t="str">
        <f>'Page de garde'!J13&amp;" : Résultats"</f>
        <v xml:space="preserve"> : Résultats</v>
      </c>
      <c r="D8" s="139"/>
      <c r="E8" s="139"/>
      <c r="F8" s="139"/>
      <c r="G8" s="139"/>
      <c r="H8" s="140"/>
      <c r="I8" s="8"/>
      <c r="J8" s="8"/>
      <c r="K8" s="8"/>
      <c r="L8" s="8"/>
      <c r="M8" s="8"/>
      <c r="N8" s="8"/>
      <c r="O8" s="8"/>
      <c r="P8" s="21"/>
    </row>
    <row r="9" spans="1:17" s="39" customFormat="1" ht="14.25" customHeight="1">
      <c r="A9" s="13"/>
      <c r="B9" s="41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38"/>
      <c r="Q9" s="40"/>
    </row>
    <row r="10" spans="1:17" s="39" customFormat="1" ht="15" customHeight="1">
      <c r="A10" s="13"/>
      <c r="B10" s="41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38"/>
      <c r="Q10" s="40"/>
    </row>
    <row r="11" spans="1:17" s="39" customFormat="1" ht="15" customHeight="1">
      <c r="A11" s="13"/>
      <c r="B11" s="41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38"/>
      <c r="Q11" s="40"/>
    </row>
    <row r="12" spans="1:17" s="39" customFormat="1" ht="15" customHeight="1">
      <c r="A12" s="13"/>
      <c r="B12" s="41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38"/>
      <c r="Q12" s="40"/>
    </row>
    <row r="13" spans="1:17" s="125" customFormat="1" ht="18">
      <c r="A13" s="116"/>
      <c r="B13" s="117"/>
      <c r="C13" s="118" t="s">
        <v>8</v>
      </c>
      <c r="D13" s="119"/>
      <c r="E13" s="120">
        <f>'Page de garde'!J23</f>
        <v>43465</v>
      </c>
      <c r="F13" s="121"/>
      <c r="G13" s="122"/>
      <c r="H13" s="122"/>
      <c r="I13" s="121"/>
      <c r="J13" s="121"/>
      <c r="K13" s="121"/>
      <c r="L13" s="121"/>
      <c r="M13" s="121"/>
      <c r="N13" s="123"/>
      <c r="O13" s="123"/>
      <c r="P13" s="124"/>
      <c r="Q13" s="116"/>
    </row>
    <row r="14" spans="1:17" s="75" customFormat="1" ht="15" customHeight="1" thickBot="1">
      <c r="A14" s="70"/>
      <c r="B14" s="71"/>
      <c r="C14" s="69"/>
      <c r="D14" s="69"/>
      <c r="E14" s="69"/>
      <c r="F14" s="69"/>
      <c r="G14" s="69"/>
      <c r="H14" s="69"/>
      <c r="I14" s="69"/>
      <c r="J14" s="69"/>
      <c r="K14" s="69"/>
      <c r="L14" s="69"/>
      <c r="M14" s="69"/>
      <c r="N14" s="72"/>
      <c r="O14" s="72"/>
      <c r="P14" s="73"/>
      <c r="Q14" s="74"/>
    </row>
    <row r="15" spans="1:17" s="75" customFormat="1" ht="45" customHeight="1" thickBot="1">
      <c r="A15" s="70"/>
      <c r="B15" s="71"/>
      <c r="C15" s="69"/>
      <c r="D15" s="69"/>
      <c r="E15" s="166"/>
      <c r="F15" s="76"/>
      <c r="G15" s="136" t="s">
        <v>9</v>
      </c>
      <c r="H15" s="76"/>
      <c r="I15" s="136" t="s">
        <v>10</v>
      </c>
      <c r="J15" s="76"/>
      <c r="K15" s="136" t="s">
        <v>11</v>
      </c>
      <c r="L15" s="76"/>
      <c r="M15" s="136" t="s">
        <v>12</v>
      </c>
      <c r="N15" s="72"/>
      <c r="O15" s="72"/>
      <c r="P15" s="73"/>
      <c r="Q15" s="74"/>
    </row>
    <row r="16" spans="1:17" s="75" customFormat="1" ht="22.5" customHeight="1" thickBot="1">
      <c r="A16" s="70"/>
      <c r="B16" s="71"/>
      <c r="C16" s="69"/>
      <c r="D16" s="69"/>
      <c r="E16" s="69"/>
      <c r="F16" s="69"/>
      <c r="G16" s="69"/>
      <c r="H16" s="69"/>
      <c r="I16" s="69"/>
      <c r="J16" s="69"/>
      <c r="K16" s="69"/>
      <c r="L16" s="69"/>
      <c r="M16" s="69"/>
      <c r="N16" s="72"/>
      <c r="O16" s="72"/>
      <c r="P16" s="73"/>
      <c r="Q16" s="74"/>
    </row>
    <row r="17" spans="1:17" s="75" customFormat="1" ht="45" customHeight="1" thickBot="1">
      <c r="A17" s="70"/>
      <c r="B17" s="71"/>
      <c r="C17" s="165"/>
      <c r="D17" s="69"/>
      <c r="E17" s="136" t="s">
        <v>92</v>
      </c>
      <c r="F17" s="69"/>
      <c r="G17" s="77">
        <v>0</v>
      </c>
      <c r="H17" s="78"/>
      <c r="I17" s="77">
        <v>0</v>
      </c>
      <c r="J17" s="78"/>
      <c r="K17" s="77">
        <v>0</v>
      </c>
      <c r="L17" s="78"/>
      <c r="M17" s="79"/>
      <c r="N17" s="72"/>
      <c r="O17" s="72"/>
      <c r="P17" s="73"/>
      <c r="Q17" s="74"/>
    </row>
    <row r="18" spans="1:17" s="75" customFormat="1" ht="15" customHeight="1" thickBot="1">
      <c r="A18" s="70"/>
      <c r="B18" s="71"/>
      <c r="C18" s="80"/>
      <c r="D18" s="69"/>
      <c r="E18" s="81"/>
      <c r="F18" s="69"/>
      <c r="G18" s="80"/>
      <c r="H18" s="80"/>
      <c r="I18" s="80"/>
      <c r="J18" s="82"/>
      <c r="K18" s="83"/>
      <c r="L18" s="81"/>
      <c r="M18" s="84"/>
      <c r="N18" s="72"/>
      <c r="O18" s="72"/>
      <c r="P18" s="73"/>
      <c r="Q18" s="74"/>
    </row>
    <row r="19" spans="1:17" s="75" customFormat="1" ht="45" customHeight="1" thickBot="1">
      <c r="A19" s="70"/>
      <c r="B19" s="71"/>
      <c r="C19" s="165"/>
      <c r="D19" s="69"/>
      <c r="E19" s="136" t="s">
        <v>85</v>
      </c>
      <c r="F19" s="69"/>
      <c r="G19" s="77">
        <v>0</v>
      </c>
      <c r="H19" s="78"/>
      <c r="I19" s="77">
        <v>0</v>
      </c>
      <c r="J19" s="78"/>
      <c r="K19" s="77">
        <v>0</v>
      </c>
      <c r="L19" s="78"/>
      <c r="M19" s="79"/>
      <c r="P19" s="73"/>
    </row>
    <row r="20" spans="1:17" s="75" customFormat="1" ht="15" customHeight="1" thickBot="1">
      <c r="A20" s="70"/>
      <c r="B20" s="71"/>
      <c r="D20" s="69"/>
      <c r="E20" s="80"/>
      <c r="F20" s="69"/>
      <c r="G20" s="80"/>
      <c r="H20" s="80"/>
      <c r="I20" s="80"/>
      <c r="J20" s="80"/>
      <c r="K20" s="83"/>
      <c r="L20" s="85"/>
      <c r="M20" s="86"/>
      <c r="N20" s="72"/>
      <c r="O20" s="72"/>
      <c r="P20" s="73"/>
      <c r="Q20" s="74"/>
    </row>
    <row r="21" spans="1:17" s="75" customFormat="1" ht="45" customHeight="1" thickBot="1">
      <c r="A21" s="70"/>
      <c r="B21" s="71"/>
      <c r="C21" s="165"/>
      <c r="D21" s="69"/>
      <c r="E21" s="136" t="s">
        <v>93</v>
      </c>
      <c r="F21" s="69"/>
      <c r="G21" s="77">
        <v>0</v>
      </c>
      <c r="H21" s="78"/>
      <c r="I21" s="77">
        <v>0</v>
      </c>
      <c r="J21" s="78"/>
      <c r="K21" s="77">
        <v>0</v>
      </c>
      <c r="L21" s="78"/>
      <c r="M21" s="79"/>
      <c r="P21" s="73"/>
    </row>
    <row r="22" spans="1:17" s="135" customFormat="1" ht="15" customHeight="1" thickBot="1">
      <c r="A22" s="126"/>
      <c r="B22" s="127"/>
      <c r="C22" s="137"/>
      <c r="D22" s="129"/>
      <c r="E22" s="128"/>
      <c r="F22" s="129"/>
      <c r="G22" s="128"/>
      <c r="H22" s="128"/>
      <c r="I22" s="128"/>
      <c r="J22" s="128"/>
      <c r="K22" s="130"/>
      <c r="L22" s="131"/>
      <c r="M22" s="132"/>
      <c r="N22" s="133"/>
      <c r="O22" s="133"/>
      <c r="P22" s="134"/>
      <c r="Q22" s="126"/>
    </row>
    <row r="23" spans="1:17" s="75" customFormat="1" ht="45" customHeight="1" thickBot="1">
      <c r="A23" s="70"/>
      <c r="B23" s="71"/>
      <c r="C23" s="165"/>
      <c r="D23" s="69"/>
      <c r="E23" s="136" t="s">
        <v>95</v>
      </c>
      <c r="F23" s="69"/>
      <c r="G23" s="77">
        <v>0</v>
      </c>
      <c r="H23" s="78"/>
      <c r="I23" s="77">
        <v>0</v>
      </c>
      <c r="J23" s="78"/>
      <c r="K23" s="77">
        <v>0</v>
      </c>
      <c r="L23" s="78"/>
      <c r="M23" s="79"/>
      <c r="P23" s="73"/>
    </row>
    <row r="24" spans="1:17" s="135" customFormat="1" ht="15" customHeight="1" thickBot="1">
      <c r="A24" s="126"/>
      <c r="B24" s="127"/>
      <c r="C24" s="137"/>
      <c r="D24" s="129"/>
      <c r="E24" s="128"/>
      <c r="F24" s="129"/>
      <c r="G24" s="128"/>
      <c r="H24" s="128"/>
      <c r="I24" s="128"/>
      <c r="J24" s="128"/>
      <c r="K24" s="130"/>
      <c r="L24" s="131"/>
      <c r="M24" s="132"/>
      <c r="N24" s="133"/>
      <c r="O24" s="133"/>
      <c r="P24" s="134"/>
      <c r="Q24" s="126"/>
    </row>
    <row r="25" spans="1:17" s="75" customFormat="1" ht="45" customHeight="1" thickBot="1">
      <c r="A25" s="70"/>
      <c r="B25" s="71"/>
      <c r="C25" s="165"/>
      <c r="D25" s="69"/>
      <c r="E25" s="136" t="s">
        <v>94</v>
      </c>
      <c r="F25" s="69"/>
      <c r="G25" s="77">
        <v>0</v>
      </c>
      <c r="H25" s="78"/>
      <c r="I25" s="77">
        <v>0</v>
      </c>
      <c r="J25" s="78"/>
      <c r="K25" s="77">
        <v>0</v>
      </c>
      <c r="L25" s="78"/>
      <c r="M25" s="79"/>
      <c r="P25" s="73"/>
    </row>
    <row r="26" spans="1:17" s="135" customFormat="1" ht="15" customHeight="1">
      <c r="A26" s="126"/>
      <c r="B26" s="127"/>
      <c r="C26" s="137"/>
      <c r="D26" s="129"/>
      <c r="E26" s="128"/>
      <c r="F26" s="129"/>
      <c r="G26" s="128"/>
      <c r="H26" s="128"/>
      <c r="I26" s="128"/>
      <c r="J26" s="128"/>
      <c r="K26" s="130"/>
      <c r="L26" s="131"/>
      <c r="M26" s="132"/>
      <c r="N26" s="133"/>
      <c r="O26" s="133"/>
      <c r="P26" s="134"/>
      <c r="Q26" s="126"/>
    </row>
    <row r="27" spans="1:17" s="135" customFormat="1" ht="15" customHeight="1">
      <c r="B27" s="127"/>
      <c r="C27" s="137"/>
      <c r="D27" s="129"/>
      <c r="E27" s="172" t="str">
        <f>IF(SUM(G27:K27)&lt;&gt;0," ECART -&gt; ","")</f>
        <v/>
      </c>
      <c r="F27" s="129"/>
      <c r="G27" s="171">
        <f>SUM(G17:G23)-G25</f>
        <v>0</v>
      </c>
      <c r="H27" s="128"/>
      <c r="I27" s="171">
        <f>SUM(I17:I23)-I25</f>
        <v>0</v>
      </c>
      <c r="J27" s="128"/>
      <c r="K27" s="171">
        <f>SUM(K17:K23)-K25</f>
        <v>0</v>
      </c>
      <c r="L27" s="131"/>
      <c r="M27" s="132"/>
      <c r="P27" s="134"/>
    </row>
    <row r="28" spans="1:17" s="135" customFormat="1" ht="15" customHeight="1">
      <c r="B28" s="127"/>
      <c r="C28" s="137"/>
      <c r="D28" s="129"/>
      <c r="E28" s="128"/>
      <c r="F28" s="129"/>
      <c r="G28" s="128"/>
      <c r="H28" s="128"/>
      <c r="I28" s="128"/>
      <c r="J28" s="128"/>
      <c r="K28" s="130"/>
      <c r="L28" s="131"/>
      <c r="M28" s="132"/>
      <c r="P28" s="134"/>
    </row>
    <row r="29" spans="1:17" s="135" customFormat="1" ht="15" customHeight="1">
      <c r="B29" s="127"/>
      <c r="C29" s="137"/>
      <c r="D29" s="129"/>
      <c r="E29" s="128"/>
      <c r="F29" s="129"/>
      <c r="G29" s="128"/>
      <c r="H29" s="128"/>
      <c r="I29" s="128"/>
      <c r="J29" s="128"/>
      <c r="K29" s="130"/>
      <c r="L29" s="131"/>
      <c r="M29" s="132"/>
      <c r="P29" s="134"/>
    </row>
    <row r="30" spans="1:17" s="135" customFormat="1" ht="15" customHeight="1">
      <c r="B30" s="127"/>
      <c r="C30" s="137"/>
      <c r="D30" s="129"/>
      <c r="E30" s="128"/>
      <c r="F30" s="129"/>
      <c r="G30" s="128"/>
      <c r="H30" s="128"/>
      <c r="I30" s="128"/>
      <c r="J30" s="128"/>
      <c r="K30" s="130"/>
      <c r="L30" s="131"/>
      <c r="M30" s="132"/>
      <c r="P30" s="134"/>
    </row>
    <row r="31" spans="1:17" s="55" customFormat="1" ht="15" customHeight="1">
      <c r="A31" s="51"/>
      <c r="B31" s="52"/>
      <c r="C31" s="56"/>
      <c r="D31" s="50"/>
      <c r="E31" s="56"/>
      <c r="F31" s="50"/>
      <c r="G31" s="56"/>
      <c r="H31" s="56"/>
      <c r="I31" s="56"/>
      <c r="J31" s="56"/>
      <c r="K31" s="57"/>
      <c r="L31" s="58"/>
      <c r="M31" s="59"/>
      <c r="N31" s="53"/>
      <c r="O31" s="53"/>
      <c r="P31" s="63"/>
      <c r="Q31" s="54"/>
    </row>
    <row r="32" spans="1:17" s="39" customFormat="1" ht="15" customHeight="1">
      <c r="A32" s="13"/>
      <c r="B32" s="41"/>
      <c r="C32" s="44"/>
      <c r="D32" s="43"/>
      <c r="E32" s="44"/>
      <c r="F32" s="43"/>
      <c r="G32" s="44"/>
      <c r="H32" s="44"/>
      <c r="I32" s="44"/>
      <c r="J32" s="44"/>
      <c r="K32" s="45"/>
      <c r="L32" s="46"/>
      <c r="M32" s="47"/>
      <c r="N32" s="42"/>
      <c r="O32" s="42"/>
      <c r="P32" s="38"/>
      <c r="Q32" s="40"/>
    </row>
    <row r="33" spans="1:17" s="39" customFormat="1" ht="15" customHeight="1">
      <c r="A33" s="13"/>
      <c r="B33" s="41"/>
      <c r="C33" s="137" t="s">
        <v>13</v>
      </c>
      <c r="D33" s="43"/>
      <c r="E33" s="44"/>
      <c r="F33" s="43"/>
      <c r="G33" s="44"/>
      <c r="H33" s="44"/>
      <c r="I33" s="44"/>
      <c r="J33" s="44"/>
      <c r="K33" s="45"/>
      <c r="L33" s="46"/>
      <c r="M33" s="47"/>
      <c r="N33" s="42"/>
      <c r="O33" s="42"/>
      <c r="P33" s="38"/>
      <c r="Q33" s="40"/>
    </row>
    <row r="34" spans="1:17" s="39" customFormat="1" ht="15" customHeight="1">
      <c r="A34" s="13"/>
      <c r="B34" s="41"/>
      <c r="C34" s="128"/>
      <c r="D34" s="43"/>
      <c r="E34" s="44"/>
      <c r="F34" s="43"/>
      <c r="G34" s="44"/>
      <c r="H34" s="44"/>
      <c r="I34" s="44"/>
      <c r="J34" s="44"/>
      <c r="K34" s="45"/>
      <c r="L34" s="46"/>
      <c r="M34" s="47"/>
      <c r="N34" s="42"/>
      <c r="O34" s="42"/>
      <c r="P34" s="38"/>
      <c r="Q34" s="40"/>
    </row>
    <row r="35" spans="1:17" s="39" customFormat="1" ht="15" customHeight="1">
      <c r="A35" s="13"/>
      <c r="B35" s="41"/>
      <c r="C35" s="137" t="s">
        <v>14</v>
      </c>
      <c r="D35" s="43"/>
      <c r="E35" s="44"/>
      <c r="F35" s="43"/>
      <c r="G35" s="44"/>
      <c r="H35" s="44"/>
      <c r="I35" s="44"/>
      <c r="J35" s="44"/>
      <c r="K35" s="45"/>
      <c r="L35" s="46"/>
      <c r="M35" s="47"/>
      <c r="N35" s="42"/>
      <c r="O35" s="42"/>
      <c r="P35" s="38"/>
      <c r="Q35" s="40"/>
    </row>
    <row r="36" spans="1:17" s="39" customFormat="1" ht="15" customHeight="1">
      <c r="A36" s="13"/>
      <c r="B36" s="41"/>
      <c r="C36" s="137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2"/>
      <c r="O36" s="42"/>
      <c r="P36" s="38"/>
      <c r="Q36" s="40"/>
    </row>
    <row r="37" spans="1:17" s="39" customFormat="1" ht="15" customHeight="1">
      <c r="A37" s="13"/>
      <c r="B37" s="41"/>
      <c r="C37" s="137" t="s">
        <v>15</v>
      </c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2"/>
      <c r="O37" s="42"/>
      <c r="P37" s="38"/>
      <c r="Q37" s="40"/>
    </row>
    <row r="38" spans="1:17" s="39" customFormat="1" ht="15" customHeight="1">
      <c r="A38" s="13"/>
      <c r="B38" s="41"/>
      <c r="C38" s="137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2"/>
      <c r="O38" s="42"/>
      <c r="P38" s="38"/>
      <c r="Q38" s="40"/>
    </row>
    <row r="39" spans="1:17" s="39" customFormat="1" ht="15" customHeight="1">
      <c r="A39" s="13"/>
      <c r="B39" s="41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2"/>
      <c r="O39" s="42"/>
      <c r="P39" s="38"/>
      <c r="Q39" s="40"/>
    </row>
    <row r="40" spans="1:17" s="39" customFormat="1" ht="15" customHeight="1">
      <c r="A40" s="13"/>
      <c r="B40" s="41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2"/>
      <c r="O40" s="42"/>
      <c r="P40" s="38"/>
      <c r="Q40" s="40"/>
    </row>
    <row r="41" spans="1:17" s="39" customFormat="1" ht="15" customHeight="1">
      <c r="A41" s="13"/>
      <c r="B41" s="41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2"/>
      <c r="O41" s="42"/>
      <c r="P41" s="38"/>
      <c r="Q41" s="40"/>
    </row>
    <row r="42" spans="1:17" s="39" customFormat="1" ht="15" customHeight="1">
      <c r="A42" s="13"/>
      <c r="B42" s="41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2"/>
      <c r="O42" s="42"/>
      <c r="P42" s="38"/>
      <c r="Q42" s="40"/>
    </row>
    <row r="43" spans="1:17" s="39" customFormat="1" ht="15" customHeight="1">
      <c r="A43" s="13"/>
      <c r="B43" s="41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2"/>
      <c r="O43" s="42"/>
      <c r="P43" s="38"/>
      <c r="Q43" s="40"/>
    </row>
    <row r="44" spans="1:17" s="39" customFormat="1" ht="15" customHeight="1">
      <c r="A44" s="13"/>
      <c r="B44" s="41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38"/>
      <c r="Q44" s="40"/>
    </row>
    <row r="45" spans="1:17" s="39" customFormat="1" ht="15" customHeight="1">
      <c r="A45" s="13"/>
      <c r="B45" s="48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64"/>
      <c r="Q45" s="40"/>
    </row>
    <row r="46" spans="1:17" s="39" customFormat="1" ht="15" customHeight="1">
      <c r="A46" s="13"/>
      <c r="B46" s="40"/>
      <c r="C46" s="40"/>
      <c r="D46" s="40"/>
      <c r="E46" s="40"/>
      <c r="F46" s="40"/>
      <c r="G46" s="40"/>
      <c r="H46" s="40"/>
      <c r="I46" s="40"/>
      <c r="J46" s="40"/>
      <c r="K46" s="40"/>
      <c r="L46" s="40"/>
      <c r="M46" s="40"/>
      <c r="N46" s="40"/>
      <c r="O46" s="40"/>
      <c r="Q46" s="4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4" tint="0.79998168889431442"/>
    <pageSetUpPr fitToPage="1"/>
  </sheetPr>
  <dimension ref="A1:U47"/>
  <sheetViews>
    <sheetView showGridLines="0" zoomScaleNormal="100" workbookViewId="0">
      <selection activeCell="I13" sqref="I13"/>
    </sheetView>
  </sheetViews>
  <sheetFormatPr defaultColWidth="11.42578125" defaultRowHeight="15"/>
  <cols>
    <col min="1" max="1" width="2.85546875" style="15" customWidth="1"/>
    <col min="2" max="2" width="4.28515625" style="1" customWidth="1"/>
    <col min="3" max="3" width="28.7109375" style="1" customWidth="1"/>
    <col min="4" max="9" width="11.42578125" style="1" customWidth="1"/>
    <col min="10" max="10" width="20" style="1" customWidth="1"/>
    <col min="11" max="11" width="34.28515625" style="1" customWidth="1"/>
    <col min="12" max="15" width="11.42578125" style="1" customWidth="1"/>
    <col min="16" max="16" width="2.5703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2" width="11.42578125" style="1" customWidth="1"/>
    <col min="23" max="16384" width="11.42578125" style="1"/>
  </cols>
  <sheetData>
    <row r="1" spans="1:2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1" ht="15" customHeight="1">
      <c r="A2" s="13"/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U2" s="28"/>
    </row>
    <row r="3" spans="1:21" ht="15" customHeight="1">
      <c r="A3" s="13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9"/>
    </row>
    <row r="4" spans="1:21" ht="15" customHeight="1">
      <c r="A4" s="13"/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9"/>
    </row>
    <row r="5" spans="1:21" ht="15" customHeight="1">
      <c r="A5" s="13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1:21" ht="15" customHeight="1">
      <c r="A6" s="13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1:21" ht="15" customHeight="1">
      <c r="A7" s="13"/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1:21" ht="30">
      <c r="A8" s="13"/>
      <c r="B8" s="7"/>
      <c r="C8" s="113" t="str">
        <f>'Page de garde'!J13&amp;" : Statistiques INDEMNITES JOURNALIERES au "&amp;'Page de garde'!J23</f>
        <v xml:space="preserve"> : Statistiques INDEMNITES JOURNALIERES au 43465</v>
      </c>
      <c r="D8" s="114"/>
      <c r="E8" s="114"/>
      <c r="F8" s="114"/>
      <c r="G8" s="114"/>
      <c r="H8" s="114"/>
      <c r="I8" s="114"/>
      <c r="J8" s="114"/>
      <c r="K8" s="114"/>
      <c r="L8" s="114"/>
      <c r="M8" s="115"/>
      <c r="N8" s="8"/>
      <c r="O8" s="8"/>
      <c r="P8" s="8"/>
      <c r="Q8" s="9"/>
    </row>
    <row r="9" spans="1:21" ht="14.25" customHeight="1">
      <c r="A9" s="13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1:21" ht="15" customHeight="1">
      <c r="A10" s="13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1:21" ht="15" customHeight="1">
      <c r="A11" s="13"/>
      <c r="B11" s="7"/>
      <c r="C11" s="144" t="s">
        <v>16</v>
      </c>
      <c r="D11" s="8"/>
      <c r="E11" s="8"/>
      <c r="F11" s="8"/>
      <c r="G11" s="8"/>
      <c r="H11" s="8"/>
      <c r="I11" s="8"/>
      <c r="J11" s="8"/>
      <c r="K11" s="157" t="s">
        <v>17</v>
      </c>
      <c r="L11" s="8"/>
      <c r="M11" s="8"/>
      <c r="N11" s="8"/>
      <c r="O11" s="8"/>
      <c r="P11" s="8"/>
      <c r="Q11" s="9"/>
    </row>
    <row r="12" spans="1:21" ht="13.5" customHeight="1">
      <c r="A12" s="13"/>
      <c r="B12" s="7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9"/>
    </row>
    <row r="13" spans="1:21" ht="45">
      <c r="A13" s="13"/>
      <c r="B13" s="7"/>
      <c r="C13" s="141" t="s">
        <v>18</v>
      </c>
      <c r="D13" s="141" t="s">
        <v>19</v>
      </c>
      <c r="E13" s="142" t="s">
        <v>20</v>
      </c>
      <c r="F13" s="143" t="s">
        <v>21</v>
      </c>
      <c r="I13" s="8"/>
      <c r="J13" s="8"/>
      <c r="K13" s="141" t="s">
        <v>22</v>
      </c>
      <c r="L13" s="141" t="s">
        <v>19</v>
      </c>
      <c r="M13" s="141" t="s">
        <v>23</v>
      </c>
      <c r="P13" s="8"/>
      <c r="Q13" s="9"/>
    </row>
    <row r="14" spans="1:21" ht="15" customHeight="1">
      <c r="A14" s="13"/>
      <c r="B14" s="7"/>
      <c r="C14" s="145" t="s">
        <v>24</v>
      </c>
      <c r="D14" s="146">
        <v>0</v>
      </c>
      <c r="E14" s="147"/>
      <c r="F14" s="148"/>
      <c r="I14" s="8"/>
      <c r="J14" s="8"/>
      <c r="K14" s="145" t="s">
        <v>25</v>
      </c>
      <c r="L14" s="151">
        <v>0</v>
      </c>
      <c r="M14" s="152"/>
      <c r="P14" s="8"/>
      <c r="Q14" s="9"/>
    </row>
    <row r="15" spans="1:21" ht="15" customHeight="1">
      <c r="A15" s="13"/>
      <c r="B15" s="7"/>
      <c r="C15" s="149" t="s">
        <v>26</v>
      </c>
      <c r="D15" s="150">
        <v>0</v>
      </c>
      <c r="E15" s="147"/>
      <c r="F15" s="148"/>
      <c r="I15" s="8"/>
      <c r="J15" s="8"/>
      <c r="K15" s="145" t="s">
        <v>27</v>
      </c>
      <c r="L15" s="151">
        <v>0</v>
      </c>
      <c r="M15" s="152"/>
      <c r="P15" s="8"/>
      <c r="Q15" s="9"/>
    </row>
    <row r="16" spans="1:21" ht="15" customHeight="1">
      <c r="A16" s="13"/>
      <c r="B16" s="7"/>
      <c r="C16" s="141" t="s">
        <v>28</v>
      </c>
      <c r="D16" s="141">
        <v>0</v>
      </c>
      <c r="E16" s="167"/>
      <c r="F16" s="167"/>
      <c r="I16" s="8"/>
      <c r="J16" s="8"/>
      <c r="K16" s="145" t="s">
        <v>29</v>
      </c>
      <c r="L16" s="151">
        <v>0</v>
      </c>
      <c r="M16" s="152"/>
      <c r="P16" s="8"/>
      <c r="Q16" s="9"/>
    </row>
    <row r="17" spans="1:17" ht="15" customHeight="1">
      <c r="A17" s="13"/>
      <c r="B17" s="7"/>
      <c r="C17" s="8"/>
      <c r="D17" s="8"/>
      <c r="E17" s="8"/>
      <c r="F17" s="8"/>
      <c r="G17" s="8"/>
      <c r="H17" s="8"/>
      <c r="I17" s="8"/>
      <c r="J17" s="20"/>
      <c r="K17" s="145" t="s">
        <v>30</v>
      </c>
      <c r="L17" s="151">
        <v>0</v>
      </c>
      <c r="M17" s="152"/>
      <c r="P17" s="8"/>
      <c r="Q17" s="9"/>
    </row>
    <row r="18" spans="1:17" ht="15" customHeight="1">
      <c r="A18" s="13"/>
      <c r="B18" s="7"/>
      <c r="C18" s="8"/>
      <c r="D18" s="8"/>
      <c r="E18" s="8"/>
      <c r="F18" s="8"/>
      <c r="G18" s="8"/>
      <c r="H18" s="8"/>
      <c r="I18" s="8"/>
      <c r="J18" s="8"/>
      <c r="K18" s="145" t="s">
        <v>31</v>
      </c>
      <c r="L18" s="151">
        <v>0</v>
      </c>
      <c r="M18" s="152"/>
      <c r="P18" s="8"/>
      <c r="Q18" s="9"/>
    </row>
    <row r="19" spans="1:17" ht="15" customHeight="1">
      <c r="A19" s="13"/>
      <c r="B19" s="7"/>
      <c r="C19" s="8"/>
      <c r="D19" s="8"/>
      <c r="E19" s="8"/>
      <c r="F19" s="8"/>
      <c r="G19" s="8"/>
      <c r="H19" s="8"/>
      <c r="I19" s="8"/>
      <c r="J19" s="20"/>
      <c r="K19" s="145" t="s">
        <v>32</v>
      </c>
      <c r="L19" s="151">
        <v>0</v>
      </c>
      <c r="M19" s="152"/>
      <c r="P19" s="8"/>
      <c r="Q19" s="9"/>
    </row>
    <row r="20" spans="1:17" ht="15" customHeight="1">
      <c r="A20" s="13"/>
      <c r="B20" s="7"/>
      <c r="C20" s="8"/>
      <c r="D20" s="8"/>
      <c r="E20" s="8"/>
      <c r="F20" s="8"/>
      <c r="G20" s="8"/>
      <c r="H20" s="8"/>
      <c r="I20" s="8"/>
      <c r="J20" s="8"/>
      <c r="K20" s="145" t="s">
        <v>33</v>
      </c>
      <c r="L20" s="151">
        <v>0</v>
      </c>
      <c r="M20" s="152"/>
      <c r="P20" s="8"/>
      <c r="Q20" s="9"/>
    </row>
    <row r="21" spans="1:17" ht="15" customHeight="1">
      <c r="A21" s="13"/>
      <c r="B21" s="7"/>
      <c r="C21" s="8"/>
      <c r="D21" s="8"/>
      <c r="E21" s="8"/>
      <c r="F21" s="8"/>
      <c r="G21" s="8"/>
      <c r="H21" s="8"/>
      <c r="I21" s="8"/>
      <c r="J21" s="20"/>
      <c r="K21" s="145" t="s">
        <v>34</v>
      </c>
      <c r="L21" s="151">
        <v>0</v>
      </c>
      <c r="M21" s="152"/>
      <c r="P21" s="8"/>
      <c r="Q21" s="9"/>
    </row>
    <row r="22" spans="1:17" ht="15" customHeight="1">
      <c r="A22" s="13"/>
      <c r="B22" s="7"/>
      <c r="C22" s="8"/>
      <c r="D22" s="8"/>
      <c r="E22" s="8"/>
      <c r="F22" s="8"/>
      <c r="G22" s="8"/>
      <c r="H22" s="8"/>
      <c r="I22" s="8"/>
      <c r="J22" s="20"/>
      <c r="K22" s="145" t="s">
        <v>35</v>
      </c>
      <c r="L22" s="151">
        <v>0</v>
      </c>
      <c r="M22" s="152"/>
      <c r="P22" s="8"/>
      <c r="Q22" s="9"/>
    </row>
    <row r="23" spans="1:17" ht="15" customHeight="1">
      <c r="A23" s="13"/>
      <c r="B23" s="7"/>
      <c r="C23" s="8"/>
      <c r="D23" s="8"/>
      <c r="E23" s="8"/>
      <c r="F23" s="8"/>
      <c r="G23" s="8"/>
      <c r="H23" s="8"/>
      <c r="I23" s="8"/>
      <c r="J23" s="8"/>
      <c r="K23" s="141" t="s">
        <v>28</v>
      </c>
      <c r="L23" s="141">
        <v>0</v>
      </c>
      <c r="M23" s="141"/>
      <c r="P23" s="8"/>
      <c r="Q23" s="9"/>
    </row>
    <row r="24" spans="1:17" ht="15" customHeight="1">
      <c r="A24" s="13"/>
      <c r="B24" s="7"/>
      <c r="C24" s="8"/>
      <c r="D24" s="8"/>
      <c r="E24" s="8"/>
      <c r="F24" s="8"/>
      <c r="G24" s="8"/>
      <c r="H24" s="8"/>
      <c r="I24" s="8"/>
      <c r="J24" s="8"/>
      <c r="P24" s="8"/>
      <c r="Q24" s="9"/>
    </row>
    <row r="25" spans="1:17" ht="15" customHeight="1">
      <c r="A25" s="13"/>
      <c r="B25" s="7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9"/>
    </row>
    <row r="26" spans="1:17" ht="15" customHeight="1">
      <c r="A26" s="13"/>
      <c r="B26" s="7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9"/>
    </row>
    <row r="27" spans="1:17" ht="15" customHeight="1">
      <c r="A27" s="13"/>
      <c r="B27" s="7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9"/>
    </row>
    <row r="28" spans="1:17" ht="15" customHeight="1">
      <c r="A28" s="13"/>
      <c r="B28" s="7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9"/>
    </row>
    <row r="29" spans="1:17" ht="15" customHeight="1">
      <c r="A29" s="13"/>
      <c r="B29" s="7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9"/>
    </row>
    <row r="30" spans="1:17">
      <c r="A30" s="13"/>
      <c r="B30" s="7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9"/>
    </row>
    <row r="31" spans="1:17" ht="12" customHeight="1">
      <c r="A31" s="13"/>
      <c r="B31" s="7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9"/>
    </row>
    <row r="32" spans="1:17" ht="15" customHeight="1">
      <c r="A32" s="13"/>
      <c r="B32" s="7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9"/>
    </row>
    <row r="33" spans="1:17" ht="15" customHeight="1">
      <c r="A33" s="13"/>
      <c r="B33" s="7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9"/>
    </row>
    <row r="34" spans="1:17" ht="15" customHeight="1">
      <c r="A34" s="13"/>
      <c r="B34" s="7"/>
      <c r="C34" s="27" t="s">
        <v>36</v>
      </c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9"/>
    </row>
    <row r="35" spans="1:17" ht="15" customHeight="1">
      <c r="A35" s="13"/>
      <c r="B35" s="7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9"/>
    </row>
    <row r="36" spans="1:17" ht="15" customHeight="1">
      <c r="A36" s="13"/>
      <c r="B36" s="7"/>
      <c r="C36" s="27"/>
      <c r="D36" s="141" t="s">
        <v>19</v>
      </c>
      <c r="E36" s="141" t="s">
        <v>20</v>
      </c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9"/>
    </row>
    <row r="37" spans="1:17" ht="15" customHeight="1">
      <c r="A37" s="13"/>
      <c r="B37" s="7"/>
      <c r="C37" s="153"/>
      <c r="D37" s="154">
        <v>0</v>
      </c>
      <c r="E37" s="155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9"/>
    </row>
    <row r="38" spans="1:17" ht="15" customHeight="1">
      <c r="A38" s="13"/>
      <c r="B38" s="7"/>
      <c r="C38" s="156" t="s">
        <v>28</v>
      </c>
      <c r="D38" s="154">
        <v>0</v>
      </c>
      <c r="E38" s="155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9"/>
    </row>
    <row r="39" spans="1:17" ht="15" customHeight="1">
      <c r="A39" s="13"/>
      <c r="B39" s="7"/>
      <c r="C39" s="27"/>
      <c r="D39" s="33"/>
      <c r="E39" s="34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9"/>
    </row>
    <row r="40" spans="1:17" ht="15" customHeight="1">
      <c r="A40" s="13"/>
      <c r="B40" s="7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9"/>
    </row>
    <row r="41" spans="1:17" ht="15" customHeight="1">
      <c r="A41" s="13"/>
      <c r="B41" s="7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9"/>
    </row>
    <row r="42" spans="1:17" ht="15" customHeight="1">
      <c r="A42" s="13"/>
      <c r="B42" s="7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9"/>
    </row>
    <row r="43" spans="1:17" ht="15" customHeight="1">
      <c r="A43" s="13"/>
      <c r="B43" s="7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9"/>
    </row>
    <row r="44" spans="1:17" ht="15" customHeight="1">
      <c r="A44" s="13"/>
      <c r="B44" s="7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9"/>
    </row>
    <row r="45" spans="1:17" ht="15" customHeight="1">
      <c r="A45" s="13"/>
      <c r="B45" s="7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9"/>
    </row>
    <row r="46" spans="1:17" ht="15" customHeight="1">
      <c r="A46" s="13"/>
      <c r="B46" s="10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2"/>
    </row>
    <row r="47" spans="1:17" ht="15" customHeight="1">
      <c r="A47" s="13"/>
    </row>
  </sheetData>
  <pageMargins left="0.7" right="0.7" top="0.75" bottom="0.75" header="0.3" footer="0.3"/>
  <pageSetup paperSize="9" scale="34" orientation="portrait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7">
    <tabColor theme="4" tint="0.79998168889431442"/>
    <pageSetUpPr fitToPage="1"/>
  </sheetPr>
  <dimension ref="A1:L48"/>
  <sheetViews>
    <sheetView showGridLines="0" topLeftCell="A7" zoomScaleNormal="100" workbookViewId="0">
      <selection activeCell="C8" sqref="C8:I8"/>
    </sheetView>
  </sheetViews>
  <sheetFormatPr defaultColWidth="11.42578125" defaultRowHeight="15"/>
  <cols>
    <col min="1" max="1" width="2.85546875" style="15" customWidth="1"/>
    <col min="2" max="2" width="4.28515625" style="1" customWidth="1"/>
    <col min="3" max="3" width="28.7109375" style="1" customWidth="1"/>
    <col min="4" max="10" width="21" style="1" customWidth="1"/>
    <col min="11" max="11" width="28.140625" style="1" customWidth="1"/>
    <col min="12" max="12" width="2.85546875" style="1" customWidth="1"/>
    <col min="13" max="13" width="11.42578125" style="1" customWidth="1"/>
    <col min="14" max="16384" width="11.42578125" style="1"/>
  </cols>
  <sheetData>
    <row r="1" spans="1:12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 ht="15" customHeight="1">
      <c r="A2" s="13"/>
      <c r="B2" s="4"/>
      <c r="C2" s="5"/>
      <c r="D2" s="5"/>
      <c r="E2" s="5"/>
      <c r="F2" s="5"/>
      <c r="G2" s="5"/>
      <c r="H2" s="5"/>
      <c r="I2" s="5"/>
      <c r="J2" s="5"/>
      <c r="K2" s="6"/>
    </row>
    <row r="3" spans="1:12" ht="15" customHeight="1">
      <c r="A3" s="13"/>
      <c r="B3" s="7"/>
      <c r="C3" s="8"/>
      <c r="D3" s="8"/>
      <c r="E3" s="8"/>
      <c r="F3" s="8"/>
      <c r="G3" s="8"/>
      <c r="H3" s="8"/>
      <c r="I3" s="8"/>
      <c r="J3" s="8"/>
      <c r="K3" s="9"/>
    </row>
    <row r="4" spans="1:12" ht="15" customHeight="1">
      <c r="A4" s="13"/>
      <c r="B4" s="7"/>
      <c r="C4" s="8"/>
      <c r="D4" s="8"/>
      <c r="E4" s="8"/>
      <c r="F4" s="8"/>
      <c r="G4" s="8"/>
      <c r="H4" s="8"/>
      <c r="I4" s="8"/>
      <c r="J4" s="8"/>
      <c r="K4" s="9"/>
    </row>
    <row r="5" spans="1:12" ht="15" customHeight="1">
      <c r="A5" s="13"/>
      <c r="B5" s="7"/>
      <c r="C5" s="8"/>
      <c r="D5" s="8"/>
      <c r="E5" s="8"/>
      <c r="F5" s="8"/>
      <c r="G5" s="8"/>
      <c r="H5" s="8"/>
      <c r="I5" s="8"/>
      <c r="J5" s="8"/>
      <c r="K5" s="9"/>
    </row>
    <row r="6" spans="1:12" ht="15" customHeight="1">
      <c r="A6" s="13"/>
      <c r="B6" s="7"/>
      <c r="C6" s="8"/>
      <c r="D6" s="8"/>
      <c r="E6" s="8"/>
      <c r="F6" s="8"/>
      <c r="G6" s="8"/>
      <c r="H6" s="8"/>
      <c r="I6" s="8"/>
      <c r="J6" s="8"/>
      <c r="K6" s="9"/>
    </row>
    <row r="7" spans="1:12" ht="15" customHeight="1" thickBot="1">
      <c r="A7" s="13"/>
      <c r="B7" s="7"/>
      <c r="C7" s="8"/>
      <c r="D7" s="8"/>
      <c r="E7" s="8"/>
      <c r="F7" s="8"/>
      <c r="G7" s="8"/>
      <c r="H7" s="8"/>
      <c r="I7" s="8"/>
      <c r="J7" s="8"/>
      <c r="K7" s="9"/>
    </row>
    <row r="8" spans="1:12" ht="30.75" thickBot="1">
      <c r="A8" s="13"/>
      <c r="B8" s="7"/>
      <c r="C8" s="113" t="str">
        <f>'Page de garde'!J13&amp;" : Statistiques INDEMNITES JOURNALIERES au "&amp;'Page de garde'!J23</f>
        <v xml:space="preserve"> : Statistiques INDEMNITES JOURNALIERES au 43465</v>
      </c>
      <c r="D8" s="32"/>
      <c r="E8" s="25"/>
      <c r="F8" s="25"/>
      <c r="G8" s="25"/>
      <c r="H8" s="25"/>
      <c r="I8" s="26"/>
      <c r="J8" s="26"/>
      <c r="K8" s="9"/>
    </row>
    <row r="9" spans="1:12" ht="15" customHeight="1">
      <c r="A9" s="13"/>
      <c r="B9" s="7"/>
      <c r="C9" s="8"/>
      <c r="D9" s="8"/>
      <c r="E9" s="8"/>
      <c r="F9" s="8"/>
      <c r="G9" s="8"/>
      <c r="H9" s="8"/>
      <c r="I9" s="8"/>
      <c r="J9" s="8"/>
      <c r="K9" s="9"/>
    </row>
    <row r="10" spans="1:12" ht="15" customHeight="1">
      <c r="A10" s="13"/>
      <c r="B10" s="7"/>
      <c r="C10" s="8"/>
      <c r="D10" s="8"/>
      <c r="E10" s="8"/>
      <c r="F10" s="8"/>
      <c r="G10" s="8"/>
      <c r="H10" s="8"/>
      <c r="I10" s="8"/>
      <c r="J10" s="8"/>
      <c r="K10" s="9"/>
    </row>
    <row r="11" spans="1:12" s="94" customFormat="1" ht="15" customHeight="1">
      <c r="A11" s="110"/>
      <c r="B11" s="111"/>
      <c r="C11" s="158" t="s">
        <v>0</v>
      </c>
      <c r="D11" s="158"/>
      <c r="E11" s="112"/>
      <c r="F11" s="112"/>
      <c r="G11" s="112"/>
      <c r="I11" s="112"/>
      <c r="J11" s="112"/>
      <c r="K11" s="159"/>
      <c r="L11" s="110"/>
    </row>
    <row r="12" spans="1:12" ht="15" customHeight="1" thickBot="1">
      <c r="A12" s="13"/>
      <c r="B12" s="7"/>
      <c r="C12" s="8"/>
      <c r="D12" s="8"/>
      <c r="F12" s="8"/>
      <c r="G12" s="8"/>
      <c r="I12" s="8"/>
      <c r="J12" s="8"/>
      <c r="K12" s="9"/>
    </row>
    <row r="13" spans="1:12" ht="30">
      <c r="A13" s="13"/>
      <c r="B13" s="7"/>
      <c r="C13" s="141" t="s">
        <v>1</v>
      </c>
      <c r="D13" s="163" t="s">
        <v>2</v>
      </c>
      <c r="E13" s="163" t="s">
        <v>3</v>
      </c>
      <c r="F13" s="163" t="s">
        <v>4</v>
      </c>
      <c r="I13" s="8"/>
      <c r="J13" s="8"/>
      <c r="K13" s="9"/>
    </row>
    <row r="14" spans="1:12" ht="15" customHeight="1" thickBot="1">
      <c r="A14" s="13"/>
      <c r="B14" s="7"/>
      <c r="C14" s="160">
        <v>0</v>
      </c>
      <c r="D14" s="161">
        <v>0</v>
      </c>
      <c r="E14" s="161"/>
      <c r="F14" s="161"/>
      <c r="I14" s="8"/>
      <c r="J14" s="8"/>
      <c r="K14" s="9"/>
    </row>
    <row r="15" spans="1:12" ht="15" customHeight="1">
      <c r="A15" s="13"/>
      <c r="B15" s="7"/>
      <c r="C15" s="141" t="s">
        <v>5</v>
      </c>
      <c r="D15" s="163">
        <v>0</v>
      </c>
      <c r="E15" s="163"/>
      <c r="F15" s="163"/>
      <c r="G15" s="8"/>
      <c r="I15" s="8"/>
      <c r="J15" s="8"/>
      <c r="K15" s="9"/>
    </row>
    <row r="16" spans="1:12" ht="15" customHeight="1">
      <c r="A16" s="13"/>
      <c r="B16" s="7"/>
      <c r="E16" s="8"/>
      <c r="F16" s="8"/>
      <c r="G16" s="8"/>
      <c r="I16" s="8"/>
      <c r="J16" s="8"/>
      <c r="K16" s="9"/>
    </row>
    <row r="17" spans="1:12" ht="15" customHeight="1">
      <c r="A17" s="13"/>
      <c r="B17" s="7"/>
      <c r="C17" s="8"/>
      <c r="D17" s="8"/>
      <c r="E17" s="8"/>
      <c r="F17" s="8"/>
      <c r="G17" s="8"/>
      <c r="I17" s="8"/>
      <c r="J17" s="8"/>
      <c r="K17" s="9"/>
    </row>
    <row r="18" spans="1:12" s="94" customFormat="1" ht="15" customHeight="1">
      <c r="A18" s="110"/>
      <c r="B18" s="111"/>
      <c r="C18" s="158" t="s">
        <v>6</v>
      </c>
      <c r="D18" s="158"/>
      <c r="E18" s="112"/>
      <c r="F18" s="112"/>
      <c r="G18" s="112"/>
      <c r="I18" s="112"/>
      <c r="J18" s="112"/>
      <c r="K18" s="159"/>
      <c r="L18" s="110"/>
    </row>
    <row r="19" spans="1:12" ht="15" customHeight="1">
      <c r="A19" s="13"/>
      <c r="B19" s="7"/>
      <c r="C19" s="8"/>
      <c r="D19" s="8"/>
      <c r="E19" s="8"/>
      <c r="F19" s="8"/>
      <c r="G19" s="8"/>
      <c r="I19" s="8"/>
      <c r="J19" s="8"/>
      <c r="K19" s="9"/>
    </row>
    <row r="20" spans="1:12">
      <c r="A20" s="13"/>
      <c r="B20" s="7"/>
      <c r="C20" s="141" t="s">
        <v>1</v>
      </c>
      <c r="D20" s="141"/>
      <c r="E20" s="141" t="s">
        <v>5</v>
      </c>
      <c r="F20" s="8"/>
      <c r="G20" s="8"/>
      <c r="I20" s="8"/>
      <c r="J20" s="8"/>
      <c r="K20" s="9"/>
    </row>
    <row r="21" spans="1:12" ht="15" customHeight="1">
      <c r="A21" s="13"/>
      <c r="B21" s="7"/>
      <c r="C21" s="160">
        <v>0</v>
      </c>
      <c r="D21" s="161">
        <v>0</v>
      </c>
      <c r="E21" s="161">
        <v>0</v>
      </c>
      <c r="F21" s="8"/>
      <c r="G21" s="8"/>
      <c r="H21" s="8"/>
      <c r="I21" s="8"/>
      <c r="J21" s="8"/>
      <c r="K21" s="9"/>
    </row>
    <row r="22" spans="1:12" ht="15" customHeight="1">
      <c r="A22" s="13"/>
      <c r="B22" s="7"/>
      <c r="C22" s="141" t="s">
        <v>5</v>
      </c>
      <c r="D22" s="141">
        <v>0</v>
      </c>
      <c r="E22" s="141">
        <v>0</v>
      </c>
      <c r="F22" s="8"/>
      <c r="G22" s="8"/>
      <c r="I22" s="8"/>
      <c r="J22" s="8"/>
      <c r="K22" s="9"/>
    </row>
    <row r="23" spans="1:12" ht="15" customHeight="1">
      <c r="A23" s="13"/>
      <c r="B23" s="7"/>
      <c r="C23" s="8"/>
      <c r="D23" s="8"/>
      <c r="E23" s="8"/>
      <c r="F23" s="8"/>
      <c r="G23" s="8"/>
      <c r="I23" s="8"/>
      <c r="J23" s="8"/>
      <c r="K23" s="9"/>
    </row>
    <row r="24" spans="1:12" ht="15" customHeight="1">
      <c r="A24" s="13"/>
      <c r="B24" s="7"/>
      <c r="C24" s="8"/>
      <c r="D24" s="8"/>
      <c r="E24" s="8"/>
      <c r="F24" s="8"/>
      <c r="G24" s="8"/>
      <c r="I24" s="8"/>
      <c r="J24" s="8"/>
      <c r="K24" s="9"/>
    </row>
    <row r="25" spans="1:12" s="94" customFormat="1" ht="15" customHeight="1">
      <c r="A25" s="110"/>
      <c r="B25" s="111"/>
      <c r="C25" s="158" t="s">
        <v>7</v>
      </c>
      <c r="D25" s="158"/>
      <c r="E25" s="112"/>
      <c r="F25" s="112"/>
      <c r="G25" s="112"/>
      <c r="I25" s="112"/>
      <c r="J25" s="112"/>
      <c r="K25" s="159"/>
      <c r="L25" s="110"/>
    </row>
    <row r="26" spans="1:12">
      <c r="A26" s="13"/>
      <c r="B26" s="7"/>
      <c r="C26" s="8"/>
      <c r="D26" s="8"/>
      <c r="E26" s="8"/>
      <c r="F26" s="8"/>
      <c r="G26" s="8"/>
      <c r="I26" s="8"/>
      <c r="J26" s="8"/>
      <c r="K26" s="9"/>
    </row>
    <row r="27" spans="1:12">
      <c r="A27" s="13"/>
      <c r="B27" s="7"/>
      <c r="C27" s="141" t="s">
        <v>1</v>
      </c>
      <c r="D27" s="141"/>
      <c r="E27" s="141" t="s">
        <v>5</v>
      </c>
      <c r="F27" s="8"/>
      <c r="G27" s="8"/>
      <c r="I27" s="8"/>
      <c r="J27" s="8"/>
      <c r="K27" s="9"/>
    </row>
    <row r="28" spans="1:12" ht="15" customHeight="1">
      <c r="A28" s="13"/>
      <c r="B28" s="7"/>
      <c r="C28" s="160">
        <v>0</v>
      </c>
      <c r="D28" s="162">
        <v>0</v>
      </c>
      <c r="E28" s="162">
        <v>0</v>
      </c>
      <c r="F28" s="8"/>
      <c r="G28" s="8"/>
      <c r="H28" s="8"/>
      <c r="I28" s="8"/>
      <c r="J28" s="8"/>
      <c r="K28" s="9"/>
    </row>
    <row r="29" spans="1:12">
      <c r="A29" s="13"/>
      <c r="B29" s="7"/>
      <c r="C29" s="141" t="s">
        <v>5</v>
      </c>
      <c r="D29" s="141">
        <v>0</v>
      </c>
      <c r="E29" s="141">
        <v>0</v>
      </c>
      <c r="F29" s="8"/>
      <c r="G29" s="8"/>
      <c r="H29" s="8"/>
      <c r="I29" s="8"/>
      <c r="J29" s="8"/>
      <c r="K29" s="9"/>
    </row>
    <row r="30" spans="1:12">
      <c r="A30" s="13"/>
      <c r="B30" s="7"/>
      <c r="C30" s="8"/>
      <c r="D30" s="8"/>
      <c r="E30" s="8"/>
      <c r="F30" s="8"/>
      <c r="G30" s="8"/>
      <c r="H30" s="8"/>
      <c r="I30" s="8"/>
      <c r="J30" s="8"/>
      <c r="K30" s="9"/>
    </row>
    <row r="31" spans="1:12">
      <c r="A31" s="13"/>
      <c r="B31" s="7"/>
      <c r="C31" s="8"/>
      <c r="D31" s="8"/>
      <c r="E31" s="8"/>
      <c r="F31" s="8"/>
      <c r="G31" s="8"/>
      <c r="H31" s="8"/>
      <c r="I31" s="8"/>
      <c r="J31" s="8"/>
      <c r="K31" s="9"/>
    </row>
    <row r="32" spans="1:12">
      <c r="A32" s="13"/>
      <c r="B32" s="7"/>
      <c r="C32" s="8"/>
      <c r="D32" s="8"/>
      <c r="E32" s="8"/>
      <c r="F32" s="8"/>
      <c r="G32" s="8"/>
      <c r="H32" s="8"/>
      <c r="I32" s="8"/>
      <c r="J32" s="8"/>
      <c r="K32" s="9"/>
    </row>
    <row r="33" spans="1:11">
      <c r="A33" s="13"/>
      <c r="B33" s="7"/>
      <c r="C33" s="8"/>
      <c r="D33" s="8"/>
      <c r="E33" s="8"/>
      <c r="F33" s="8"/>
      <c r="G33" s="8"/>
      <c r="H33" s="8"/>
      <c r="I33" s="8"/>
      <c r="J33" s="8"/>
      <c r="K33" s="9"/>
    </row>
    <row r="34" spans="1:11">
      <c r="A34" s="13"/>
      <c r="B34" s="7"/>
      <c r="C34" s="8"/>
      <c r="D34" s="8"/>
      <c r="E34" s="8"/>
      <c r="F34" s="8"/>
      <c r="G34" s="8"/>
      <c r="H34" s="8"/>
      <c r="I34" s="8"/>
      <c r="J34" s="8"/>
      <c r="K34" s="9"/>
    </row>
    <row r="35" spans="1:11">
      <c r="A35" s="13"/>
      <c r="B35" s="7"/>
      <c r="C35" s="8"/>
      <c r="D35" s="8"/>
      <c r="E35" s="8"/>
      <c r="F35" s="8"/>
      <c r="G35" s="8"/>
      <c r="H35" s="8"/>
      <c r="I35" s="8"/>
      <c r="J35" s="8"/>
      <c r="K35" s="9"/>
    </row>
    <row r="36" spans="1:11">
      <c r="A36" s="13"/>
      <c r="B36" s="7"/>
      <c r="C36" s="8"/>
      <c r="D36" s="8"/>
      <c r="E36" s="8"/>
      <c r="F36" s="8"/>
      <c r="G36" s="8"/>
      <c r="H36" s="8"/>
      <c r="I36" s="8"/>
      <c r="J36" s="8"/>
      <c r="K36" s="9"/>
    </row>
    <row r="37" spans="1:11">
      <c r="A37" s="13"/>
      <c r="B37" s="7"/>
      <c r="C37" s="8"/>
      <c r="D37" s="8"/>
      <c r="E37" s="8"/>
      <c r="F37" s="8"/>
      <c r="G37" s="8"/>
      <c r="H37" s="8"/>
      <c r="I37" s="8"/>
      <c r="J37" s="8"/>
      <c r="K37" s="9"/>
    </row>
    <row r="38" spans="1:11">
      <c r="A38" s="13"/>
      <c r="B38" s="7"/>
      <c r="C38" s="8"/>
      <c r="D38" s="8"/>
      <c r="E38" s="8"/>
      <c r="F38" s="8"/>
      <c r="G38" s="8"/>
      <c r="H38" s="8"/>
      <c r="I38" s="8"/>
      <c r="J38" s="8"/>
      <c r="K38" s="9"/>
    </row>
    <row r="39" spans="1:11">
      <c r="A39" s="13"/>
      <c r="B39" s="7"/>
      <c r="C39" s="8"/>
      <c r="D39" s="8"/>
      <c r="E39" s="8"/>
      <c r="F39" s="8"/>
      <c r="G39" s="8"/>
      <c r="H39" s="8"/>
      <c r="I39" s="8"/>
      <c r="J39" s="8"/>
      <c r="K39" s="9"/>
    </row>
    <row r="40" spans="1:11">
      <c r="A40" s="13"/>
      <c r="B40" s="7"/>
      <c r="C40" s="8"/>
      <c r="D40" s="8"/>
      <c r="E40" s="8"/>
      <c r="F40" s="8"/>
      <c r="G40" s="8"/>
      <c r="H40" s="8"/>
      <c r="I40" s="8"/>
      <c r="J40" s="8"/>
      <c r="K40" s="9"/>
    </row>
    <row r="41" spans="1:11">
      <c r="A41" s="13"/>
      <c r="B41" s="7"/>
      <c r="C41" s="8"/>
      <c r="D41" s="8"/>
      <c r="E41" s="8"/>
      <c r="F41" s="8"/>
      <c r="G41" s="8"/>
      <c r="H41" s="8"/>
      <c r="I41" s="8"/>
      <c r="J41" s="8"/>
      <c r="K41" s="9"/>
    </row>
    <row r="42" spans="1:11">
      <c r="A42" s="13"/>
      <c r="B42" s="7"/>
      <c r="C42" s="8"/>
      <c r="D42" s="8"/>
      <c r="E42" s="8"/>
      <c r="F42" s="8"/>
      <c r="G42" s="8"/>
      <c r="H42" s="8"/>
      <c r="I42" s="8"/>
      <c r="J42" s="8"/>
      <c r="K42" s="9"/>
    </row>
    <row r="43" spans="1:11">
      <c r="A43" s="13"/>
      <c r="B43" s="7"/>
      <c r="C43" s="8"/>
      <c r="D43" s="8"/>
      <c r="E43" s="8"/>
      <c r="F43" s="8"/>
      <c r="G43" s="8"/>
      <c r="H43" s="8"/>
      <c r="I43" s="8"/>
      <c r="J43" s="8"/>
      <c r="K43" s="9"/>
    </row>
    <row r="44" spans="1:11">
      <c r="A44" s="13"/>
      <c r="B44" s="7"/>
      <c r="C44" s="8"/>
      <c r="D44" s="8"/>
      <c r="E44" s="8"/>
      <c r="F44" s="8"/>
      <c r="G44" s="8"/>
      <c r="H44" s="8"/>
      <c r="I44" s="8"/>
      <c r="J44" s="8"/>
      <c r="K44" s="9"/>
    </row>
    <row r="45" spans="1:11" ht="15" customHeight="1">
      <c r="A45" s="13"/>
      <c r="B45" s="7"/>
      <c r="C45" s="8"/>
      <c r="D45" s="8"/>
      <c r="E45" s="8"/>
      <c r="F45" s="8"/>
      <c r="G45" s="8"/>
      <c r="H45" s="8"/>
      <c r="I45" s="8"/>
      <c r="J45" s="8"/>
      <c r="K45" s="9"/>
    </row>
    <row r="46" spans="1:11" ht="9" customHeight="1">
      <c r="A46" s="13"/>
      <c r="B46" s="7"/>
      <c r="C46" s="8"/>
      <c r="D46" s="8"/>
      <c r="E46" s="8"/>
      <c r="F46" s="8"/>
      <c r="G46" s="8"/>
      <c r="H46" s="8"/>
      <c r="I46" s="8"/>
      <c r="J46" s="8"/>
      <c r="K46" s="9"/>
    </row>
    <row r="47" spans="1:11" ht="15" customHeight="1">
      <c r="A47" s="13"/>
      <c r="B47" s="10"/>
      <c r="C47" s="11"/>
      <c r="D47" s="11"/>
      <c r="E47" s="11"/>
      <c r="F47" s="11"/>
      <c r="G47" s="11"/>
      <c r="H47" s="11"/>
      <c r="I47" s="11"/>
      <c r="J47" s="11"/>
      <c r="K47" s="12"/>
    </row>
    <row r="48" spans="1:11" ht="15" customHeight="1">
      <c r="A48" s="13"/>
    </row>
  </sheetData>
  <pageMargins left="0.7" right="0.7" top="0.75" bottom="0.75" header="0.3" footer="0.3"/>
  <pageSetup paperSize="9" scale="34"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4" tint="0.79998168889431442"/>
    <pageSetUpPr fitToPage="1"/>
  </sheetPr>
  <dimension ref="A1:U665"/>
  <sheetViews>
    <sheetView showGridLines="0" zoomScaleNormal="100" workbookViewId="0">
      <selection activeCell="C12" sqref="C12:L13"/>
    </sheetView>
  </sheetViews>
  <sheetFormatPr defaultColWidth="11.42578125" defaultRowHeight="15"/>
  <cols>
    <col min="1" max="1" width="2.85546875" style="15" customWidth="1"/>
    <col min="2" max="2" width="4.28515625" style="1" customWidth="1"/>
    <col min="3" max="3" width="21.42578125" style="1" customWidth="1"/>
    <col min="4" max="4" width="20" style="1" customWidth="1"/>
    <col min="5" max="10" width="15" style="1" customWidth="1"/>
    <col min="11" max="11" width="18.140625" style="1" customWidth="1"/>
    <col min="12" max="12" width="15" style="1" customWidth="1"/>
    <col min="13" max="13" width="11.42578125" style="1" customWidth="1"/>
    <col min="14" max="14" width="8.5703125" style="1" customWidth="1"/>
    <col min="15" max="15" width="7.140625" style="1" customWidth="1"/>
    <col min="16" max="16" width="11.42578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2" width="11.42578125" style="1" customWidth="1"/>
    <col min="23" max="16384" width="11.42578125" style="1"/>
  </cols>
  <sheetData>
    <row r="1" spans="1:2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1" ht="15" customHeight="1">
      <c r="A2" s="13"/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U2" s="28"/>
    </row>
    <row r="3" spans="1:21" ht="15" customHeight="1">
      <c r="A3" s="13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9"/>
    </row>
    <row r="4" spans="1:21" ht="15" customHeight="1">
      <c r="A4" s="13"/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9"/>
    </row>
    <row r="5" spans="1:21" ht="15" customHeight="1">
      <c r="A5" s="13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1:21" ht="15" customHeight="1">
      <c r="A6" s="13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1:21" ht="15" customHeight="1">
      <c r="A7" s="13"/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1:21" ht="30">
      <c r="A8" s="13"/>
      <c r="B8" s="7"/>
      <c r="C8" s="113" t="str">
        <f>'Page de garde'!J13&amp;" : ARRETS EN COURS DE L'ANNEE"</f>
        <v xml:space="preserve"> : ARRETS EN COURS DE L'ANNEE</v>
      </c>
      <c r="D8" s="25"/>
      <c r="E8" s="25"/>
      <c r="F8" s="25"/>
      <c r="G8" s="25"/>
      <c r="H8" s="25"/>
      <c r="I8" s="25"/>
      <c r="J8" s="25"/>
      <c r="K8" s="25"/>
      <c r="L8" s="25"/>
      <c r="M8" s="26"/>
      <c r="N8" s="8"/>
      <c r="O8" s="8"/>
      <c r="P8" s="8"/>
      <c r="Q8" s="9"/>
    </row>
    <row r="9" spans="1:21" ht="15" customHeight="1">
      <c r="A9" s="13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1:21" ht="15" customHeight="1">
      <c r="A10" s="13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1:21">
      <c r="A11" s="13"/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9"/>
    </row>
    <row r="12" spans="1:21" ht="30">
      <c r="A12" s="13"/>
      <c r="B12" s="7"/>
      <c r="C12" s="164" t="s">
        <v>86</v>
      </c>
      <c r="D12" s="164" t="s">
        <v>53</v>
      </c>
      <c r="E12" s="164" t="s">
        <v>57</v>
      </c>
      <c r="F12" s="164" t="s">
        <v>58</v>
      </c>
      <c r="G12" s="164" t="s">
        <v>61</v>
      </c>
      <c r="H12" s="164" t="s">
        <v>54</v>
      </c>
      <c r="I12" s="164" t="s">
        <v>55</v>
      </c>
      <c r="J12" s="164" t="s">
        <v>63</v>
      </c>
      <c r="K12" s="164" t="s">
        <v>67</v>
      </c>
      <c r="L12" s="164" t="s">
        <v>68</v>
      </c>
      <c r="M12" s="8"/>
      <c r="N12" s="8"/>
      <c r="O12" s="8"/>
      <c r="P12" s="8"/>
      <c r="Q12" s="9"/>
    </row>
    <row r="13" spans="1:21" s="90" customFormat="1" ht="15" customHeight="1">
      <c r="A13" s="15"/>
      <c r="B13" s="41"/>
      <c r="C13" s="31"/>
      <c r="D13" s="31"/>
      <c r="E13" s="31"/>
      <c r="F13" s="65"/>
      <c r="G13" s="31"/>
      <c r="H13" s="31"/>
      <c r="I13" s="65"/>
      <c r="J13" s="31"/>
      <c r="K13" s="67"/>
      <c r="L13" s="67"/>
      <c r="Q13" s="38"/>
    </row>
    <row r="14" spans="1:21" s="90" customFormat="1" ht="15" customHeight="1">
      <c r="A14" s="15"/>
      <c r="B14" s="41"/>
      <c r="C14" s="174"/>
      <c r="D14" s="174"/>
      <c r="E14" s="174"/>
      <c r="F14" s="175"/>
      <c r="G14" s="174"/>
      <c r="H14" s="174"/>
      <c r="I14" s="175"/>
      <c r="J14" s="174"/>
      <c r="K14" s="176"/>
      <c r="L14" s="176"/>
      <c r="Q14" s="38"/>
    </row>
    <row r="15" spans="1:21" s="90" customFormat="1" ht="15" customHeight="1">
      <c r="A15" s="15"/>
      <c r="B15" s="41"/>
      <c r="C15" s="31"/>
      <c r="D15" s="31"/>
      <c r="E15" s="31"/>
      <c r="F15" s="65"/>
      <c r="G15" s="31"/>
      <c r="H15" s="31"/>
      <c r="I15" s="65"/>
      <c r="J15" s="31"/>
      <c r="K15" s="67"/>
      <c r="L15" s="67"/>
      <c r="Q15" s="38"/>
    </row>
    <row r="16" spans="1:21" s="90" customFormat="1" ht="15" customHeight="1">
      <c r="A16" s="15"/>
      <c r="B16" s="41"/>
      <c r="C16" s="31"/>
      <c r="D16" s="31"/>
      <c r="E16" s="31"/>
      <c r="F16" s="65"/>
      <c r="G16" s="31"/>
      <c r="H16" s="31"/>
      <c r="I16" s="65"/>
      <c r="J16" s="31"/>
      <c r="K16" s="67"/>
      <c r="L16" s="67"/>
      <c r="Q16" s="38"/>
    </row>
    <row r="17" spans="1:17" s="90" customFormat="1" ht="15" customHeight="1">
      <c r="A17" s="15"/>
      <c r="B17" s="41"/>
      <c r="C17" s="31"/>
      <c r="D17" s="31"/>
      <c r="E17" s="31"/>
      <c r="F17" s="65"/>
      <c r="G17" s="31"/>
      <c r="H17" s="31"/>
      <c r="I17" s="65"/>
      <c r="J17" s="31"/>
      <c r="K17" s="67"/>
      <c r="L17" s="67"/>
      <c r="Q17" s="38"/>
    </row>
    <row r="18" spans="1:17" s="90" customFormat="1" ht="15" customHeight="1">
      <c r="A18" s="15"/>
      <c r="B18" s="41"/>
      <c r="C18" s="31"/>
      <c r="D18" s="31"/>
      <c r="E18" s="31"/>
      <c r="F18" s="65"/>
      <c r="G18" s="31"/>
      <c r="H18" s="31"/>
      <c r="I18" s="65"/>
      <c r="J18" s="31"/>
      <c r="K18" s="67"/>
      <c r="L18" s="67"/>
      <c r="Q18" s="38"/>
    </row>
    <row r="19" spans="1:17" s="90" customFormat="1" ht="15" customHeight="1">
      <c r="A19" s="15"/>
      <c r="B19" s="41"/>
      <c r="C19" s="31"/>
      <c r="D19" s="31"/>
      <c r="E19" s="31"/>
      <c r="F19" s="65"/>
      <c r="G19" s="31"/>
      <c r="H19" s="31"/>
      <c r="I19" s="65"/>
      <c r="J19" s="31"/>
      <c r="K19" s="67"/>
      <c r="L19" s="67"/>
      <c r="Q19" s="38"/>
    </row>
    <row r="20" spans="1:17" s="90" customFormat="1" ht="15" customHeight="1">
      <c r="A20" s="15"/>
      <c r="B20" s="41"/>
      <c r="C20" s="31"/>
      <c r="D20" s="31"/>
      <c r="E20" s="31"/>
      <c r="F20" s="65"/>
      <c r="G20" s="31"/>
      <c r="H20" s="31"/>
      <c r="I20" s="65"/>
      <c r="J20" s="31"/>
      <c r="K20" s="67"/>
      <c r="L20" s="67"/>
      <c r="Q20" s="38"/>
    </row>
    <row r="21" spans="1:17" s="90" customFormat="1" ht="15" customHeight="1">
      <c r="A21" s="15"/>
      <c r="B21" s="41"/>
      <c r="C21" s="31"/>
      <c r="D21" s="31"/>
      <c r="E21" s="31"/>
      <c r="F21" s="65"/>
      <c r="G21" s="31"/>
      <c r="H21" s="31"/>
      <c r="I21" s="65"/>
      <c r="J21" s="31"/>
      <c r="K21" s="67"/>
      <c r="L21" s="67"/>
      <c r="Q21" s="38"/>
    </row>
    <row r="22" spans="1:17" s="90" customFormat="1" ht="15" customHeight="1">
      <c r="A22" s="15"/>
      <c r="B22" s="41"/>
      <c r="C22" s="31"/>
      <c r="D22" s="31"/>
      <c r="E22" s="31"/>
      <c r="F22" s="65"/>
      <c r="G22" s="31"/>
      <c r="H22" s="31"/>
      <c r="I22" s="65"/>
      <c r="J22" s="31"/>
      <c r="K22" s="67"/>
      <c r="L22" s="67"/>
      <c r="Q22" s="38"/>
    </row>
    <row r="23" spans="1:17" s="90" customFormat="1" ht="15" customHeight="1">
      <c r="A23" s="15"/>
      <c r="B23" s="41"/>
      <c r="C23" s="31"/>
      <c r="D23" s="31"/>
      <c r="E23" s="31"/>
      <c r="F23" s="65"/>
      <c r="G23" s="31"/>
      <c r="H23" s="31"/>
      <c r="I23" s="65"/>
      <c r="J23" s="31"/>
      <c r="K23" s="67"/>
      <c r="L23" s="67"/>
      <c r="Q23" s="38"/>
    </row>
    <row r="24" spans="1:17" s="90" customFormat="1" ht="15" customHeight="1">
      <c r="A24" s="15"/>
      <c r="B24" s="41"/>
      <c r="C24" s="31"/>
      <c r="D24" s="31"/>
      <c r="E24" s="31"/>
      <c r="F24" s="65"/>
      <c r="G24" s="31"/>
      <c r="H24" s="31"/>
      <c r="I24" s="65"/>
      <c r="J24" s="31"/>
      <c r="K24" s="67"/>
      <c r="L24" s="67"/>
      <c r="Q24" s="38"/>
    </row>
    <row r="25" spans="1:17" s="90" customFormat="1" ht="15" customHeight="1">
      <c r="A25" s="15"/>
      <c r="B25" s="41"/>
      <c r="C25" s="31"/>
      <c r="D25" s="31"/>
      <c r="E25" s="31"/>
      <c r="F25" s="65"/>
      <c r="G25" s="31"/>
      <c r="H25" s="31"/>
      <c r="I25" s="65"/>
      <c r="J25" s="31"/>
      <c r="K25" s="67"/>
      <c r="L25" s="67"/>
      <c r="Q25" s="38"/>
    </row>
    <row r="26" spans="1:17" s="90" customFormat="1" ht="15" customHeight="1">
      <c r="A26" s="15"/>
      <c r="B26" s="41"/>
      <c r="C26" s="31"/>
      <c r="D26" s="31"/>
      <c r="E26" s="31"/>
      <c r="F26" s="65"/>
      <c r="G26" s="31"/>
      <c r="H26" s="31"/>
      <c r="I26" s="65"/>
      <c r="J26" s="31"/>
      <c r="K26" s="67"/>
      <c r="L26" s="67"/>
      <c r="Q26" s="38"/>
    </row>
    <row r="27" spans="1:17" s="90" customFormat="1" ht="15" customHeight="1">
      <c r="A27" s="15"/>
      <c r="B27" s="41"/>
      <c r="C27" s="31"/>
      <c r="D27" s="31"/>
      <c r="E27" s="31"/>
      <c r="F27" s="65"/>
      <c r="G27" s="31"/>
      <c r="H27" s="31"/>
      <c r="I27" s="65"/>
      <c r="J27" s="31"/>
      <c r="K27" s="67"/>
      <c r="L27" s="67"/>
      <c r="Q27" s="38"/>
    </row>
    <row r="28" spans="1:17" s="90" customFormat="1" ht="15" customHeight="1">
      <c r="A28" s="15"/>
      <c r="B28" s="41"/>
      <c r="C28" s="31"/>
      <c r="D28" s="31"/>
      <c r="E28" s="31"/>
      <c r="F28" s="65"/>
      <c r="G28" s="31"/>
      <c r="H28" s="31"/>
      <c r="I28" s="65"/>
      <c r="J28" s="31"/>
      <c r="K28" s="67"/>
      <c r="L28" s="67"/>
      <c r="Q28" s="38"/>
    </row>
    <row r="29" spans="1:17" s="90" customFormat="1" ht="15" customHeight="1">
      <c r="A29" s="15"/>
      <c r="B29" s="41"/>
      <c r="C29" s="31"/>
      <c r="D29" s="31"/>
      <c r="E29" s="31"/>
      <c r="F29" s="65"/>
      <c r="G29" s="31"/>
      <c r="H29" s="31"/>
      <c r="I29" s="65"/>
      <c r="J29" s="31"/>
      <c r="K29" s="67"/>
      <c r="L29" s="67"/>
      <c r="Q29" s="38"/>
    </row>
    <row r="30" spans="1:17" s="90" customFormat="1" ht="15" customHeight="1">
      <c r="A30" s="15"/>
      <c r="B30" s="41"/>
      <c r="C30" s="31"/>
      <c r="D30" s="31"/>
      <c r="E30" s="31"/>
      <c r="F30" s="65"/>
      <c r="G30" s="31"/>
      <c r="H30" s="31"/>
      <c r="I30" s="65"/>
      <c r="J30" s="31"/>
      <c r="K30" s="67"/>
      <c r="L30" s="67"/>
      <c r="Q30" s="38"/>
    </row>
    <row r="31" spans="1:17" s="90" customFormat="1" ht="15" customHeight="1">
      <c r="A31" s="15"/>
      <c r="B31" s="41"/>
      <c r="C31" s="31"/>
      <c r="D31" s="31"/>
      <c r="E31" s="31"/>
      <c r="F31" s="65"/>
      <c r="G31" s="31"/>
      <c r="H31" s="31"/>
      <c r="I31" s="65"/>
      <c r="J31" s="31"/>
      <c r="K31" s="67"/>
      <c r="L31" s="67"/>
      <c r="Q31" s="38"/>
    </row>
    <row r="32" spans="1:17" s="90" customFormat="1" ht="15" customHeight="1">
      <c r="A32" s="15"/>
      <c r="B32" s="41"/>
      <c r="C32" s="31"/>
      <c r="D32" s="31"/>
      <c r="E32" s="31"/>
      <c r="F32" s="65"/>
      <c r="G32" s="31"/>
      <c r="H32" s="31"/>
      <c r="I32" s="65"/>
      <c r="J32" s="31"/>
      <c r="K32" s="67"/>
      <c r="L32" s="67"/>
      <c r="Q32" s="38"/>
    </row>
    <row r="33" spans="1:17" s="90" customFormat="1" ht="15" customHeight="1">
      <c r="A33" s="15"/>
      <c r="B33" s="41"/>
      <c r="C33" s="31"/>
      <c r="D33" s="31"/>
      <c r="E33" s="31"/>
      <c r="F33" s="65"/>
      <c r="G33" s="31"/>
      <c r="H33" s="31"/>
      <c r="I33" s="65"/>
      <c r="J33" s="31"/>
      <c r="K33" s="67"/>
      <c r="L33" s="67"/>
      <c r="Q33" s="38"/>
    </row>
    <row r="34" spans="1:17" s="90" customFormat="1" ht="15" customHeight="1">
      <c r="A34" s="15"/>
      <c r="B34" s="41"/>
      <c r="C34" s="31"/>
      <c r="D34" s="31"/>
      <c r="E34" s="31"/>
      <c r="F34" s="65"/>
      <c r="G34" s="31"/>
      <c r="H34" s="31"/>
      <c r="I34" s="65"/>
      <c r="J34" s="31"/>
      <c r="K34" s="67"/>
      <c r="L34" s="67"/>
      <c r="Q34" s="38"/>
    </row>
    <row r="35" spans="1:17" s="90" customFormat="1" ht="15" customHeight="1">
      <c r="A35" s="15"/>
      <c r="B35" s="41"/>
      <c r="C35" s="31"/>
      <c r="D35" s="31"/>
      <c r="E35" s="31"/>
      <c r="F35" s="65"/>
      <c r="G35" s="31"/>
      <c r="H35" s="31"/>
      <c r="I35" s="65"/>
      <c r="J35" s="31"/>
      <c r="K35" s="67"/>
      <c r="L35" s="67"/>
      <c r="Q35" s="38"/>
    </row>
    <row r="36" spans="1:17" s="90" customFormat="1" ht="15" customHeight="1">
      <c r="A36" s="15"/>
      <c r="B36" s="41"/>
      <c r="C36" s="31"/>
      <c r="D36" s="31"/>
      <c r="E36" s="31"/>
      <c r="F36" s="65"/>
      <c r="G36" s="31"/>
      <c r="H36" s="31"/>
      <c r="I36" s="65"/>
      <c r="J36" s="31"/>
      <c r="K36" s="67"/>
      <c r="L36" s="67"/>
      <c r="Q36" s="38"/>
    </row>
    <row r="37" spans="1:17" s="90" customFormat="1" ht="15" customHeight="1">
      <c r="A37" s="15"/>
      <c r="B37" s="41"/>
      <c r="C37" s="31"/>
      <c r="D37" s="31"/>
      <c r="E37" s="31"/>
      <c r="F37" s="65"/>
      <c r="G37" s="31"/>
      <c r="H37" s="31"/>
      <c r="I37" s="65"/>
      <c r="J37" s="31"/>
      <c r="K37" s="67"/>
      <c r="L37" s="67"/>
      <c r="Q37" s="38"/>
    </row>
    <row r="38" spans="1:17" s="90" customFormat="1" ht="15" customHeight="1">
      <c r="A38" s="15"/>
      <c r="B38" s="41"/>
      <c r="C38" s="31"/>
      <c r="D38" s="31"/>
      <c r="E38" s="31"/>
      <c r="F38" s="65"/>
      <c r="G38" s="31"/>
      <c r="H38" s="31"/>
      <c r="I38" s="65"/>
      <c r="J38" s="31"/>
      <c r="K38" s="67"/>
      <c r="L38" s="67"/>
      <c r="Q38" s="38"/>
    </row>
    <row r="39" spans="1:17" s="90" customFormat="1" ht="15" customHeight="1">
      <c r="A39" s="15"/>
      <c r="B39" s="41"/>
      <c r="C39" s="31"/>
      <c r="D39" s="31"/>
      <c r="E39" s="31"/>
      <c r="F39" s="65"/>
      <c r="G39" s="31"/>
      <c r="H39" s="31"/>
      <c r="I39" s="65"/>
      <c r="J39" s="31"/>
      <c r="K39" s="67"/>
      <c r="L39" s="67"/>
      <c r="Q39" s="38"/>
    </row>
    <row r="40" spans="1:17" s="90" customFormat="1" ht="15" customHeight="1">
      <c r="A40" s="15"/>
      <c r="B40" s="41"/>
      <c r="C40" s="31"/>
      <c r="D40" s="31"/>
      <c r="E40" s="31"/>
      <c r="F40" s="65"/>
      <c r="G40" s="31"/>
      <c r="H40" s="31"/>
      <c r="I40" s="65"/>
      <c r="J40" s="31"/>
      <c r="K40" s="67"/>
      <c r="L40" s="67"/>
      <c r="Q40" s="38"/>
    </row>
    <row r="41" spans="1:17" s="90" customFormat="1" ht="15" customHeight="1">
      <c r="A41" s="15"/>
      <c r="B41" s="41"/>
      <c r="C41" s="31"/>
      <c r="D41" s="31"/>
      <c r="E41" s="31"/>
      <c r="F41" s="65"/>
      <c r="G41" s="31"/>
      <c r="H41" s="31"/>
      <c r="I41" s="65"/>
      <c r="J41" s="31"/>
      <c r="K41" s="67"/>
      <c r="L41" s="67"/>
      <c r="Q41" s="38"/>
    </row>
    <row r="42" spans="1:17" s="90" customFormat="1" ht="15" customHeight="1">
      <c r="A42" s="15"/>
      <c r="B42" s="41"/>
      <c r="C42" s="31"/>
      <c r="D42" s="31"/>
      <c r="E42" s="31"/>
      <c r="F42" s="65"/>
      <c r="G42" s="31"/>
      <c r="H42" s="31"/>
      <c r="I42" s="65"/>
      <c r="J42" s="31"/>
      <c r="K42" s="67"/>
      <c r="L42" s="67"/>
      <c r="Q42" s="38"/>
    </row>
    <row r="43" spans="1:17" s="90" customFormat="1" ht="15" customHeight="1">
      <c r="A43" s="15"/>
      <c r="B43" s="41"/>
      <c r="C43" s="31"/>
      <c r="D43" s="31"/>
      <c r="E43" s="31"/>
      <c r="F43" s="65"/>
      <c r="G43" s="31"/>
      <c r="H43" s="31"/>
      <c r="I43" s="65"/>
      <c r="J43" s="31"/>
      <c r="K43" s="67"/>
      <c r="L43" s="67"/>
      <c r="Q43" s="38"/>
    </row>
    <row r="44" spans="1:17" s="90" customFormat="1" ht="15" customHeight="1">
      <c r="A44" s="15"/>
      <c r="B44" s="41"/>
      <c r="C44" s="31"/>
      <c r="D44" s="31"/>
      <c r="E44" s="31"/>
      <c r="F44" s="65"/>
      <c r="G44" s="31"/>
      <c r="H44" s="31"/>
      <c r="I44" s="65"/>
      <c r="J44" s="31"/>
      <c r="K44" s="67"/>
      <c r="L44" s="67"/>
      <c r="Q44" s="38"/>
    </row>
    <row r="45" spans="1:17" s="90" customFormat="1" ht="15" customHeight="1">
      <c r="A45" s="15"/>
      <c r="B45" s="41"/>
      <c r="C45" s="31"/>
      <c r="D45" s="31"/>
      <c r="E45" s="31"/>
      <c r="F45" s="65"/>
      <c r="G45" s="31"/>
      <c r="H45" s="31"/>
      <c r="I45" s="65"/>
      <c r="J45" s="31"/>
      <c r="K45" s="67"/>
      <c r="L45" s="67"/>
      <c r="Q45" s="38"/>
    </row>
    <row r="46" spans="1:17" s="90" customFormat="1" ht="15" customHeight="1">
      <c r="A46" s="15"/>
      <c r="B46" s="41"/>
      <c r="C46" s="31"/>
      <c r="D46" s="31"/>
      <c r="E46" s="31"/>
      <c r="F46" s="65"/>
      <c r="G46" s="31"/>
      <c r="H46" s="31"/>
      <c r="I46" s="65"/>
      <c r="J46" s="31"/>
      <c r="K46" s="67"/>
      <c r="L46" s="67"/>
      <c r="Q46" s="38"/>
    </row>
    <row r="47" spans="1:17" s="90" customFormat="1" ht="15" customHeight="1">
      <c r="A47" s="15"/>
      <c r="B47" s="41"/>
      <c r="C47" s="31"/>
      <c r="D47" s="31"/>
      <c r="E47" s="31"/>
      <c r="F47" s="65"/>
      <c r="G47" s="31"/>
      <c r="H47" s="31"/>
      <c r="I47" s="65"/>
      <c r="J47" s="31"/>
      <c r="K47" s="67"/>
      <c r="L47" s="67"/>
      <c r="Q47" s="38"/>
    </row>
    <row r="48" spans="1:17" s="90" customFormat="1" ht="15" customHeight="1">
      <c r="A48" s="15"/>
      <c r="B48" s="41"/>
      <c r="C48" s="31"/>
      <c r="D48" s="31"/>
      <c r="E48" s="31"/>
      <c r="F48" s="65"/>
      <c r="G48" s="31"/>
      <c r="H48" s="31"/>
      <c r="I48" s="65"/>
      <c r="J48" s="31"/>
      <c r="K48" s="67"/>
      <c r="L48" s="67"/>
      <c r="Q48" s="38"/>
    </row>
    <row r="49" spans="1:17" s="90" customFormat="1" ht="15" customHeight="1">
      <c r="A49" s="15"/>
      <c r="B49" s="41"/>
      <c r="C49" s="31"/>
      <c r="D49" s="31"/>
      <c r="E49" s="31"/>
      <c r="F49" s="65"/>
      <c r="G49" s="31"/>
      <c r="H49" s="31"/>
      <c r="I49" s="65"/>
      <c r="J49" s="31"/>
      <c r="K49" s="67"/>
      <c r="L49" s="67"/>
      <c r="Q49" s="38"/>
    </row>
    <row r="50" spans="1:17" s="90" customFormat="1" ht="15" customHeight="1">
      <c r="A50" s="15"/>
      <c r="B50" s="41"/>
      <c r="C50" s="31"/>
      <c r="D50" s="31"/>
      <c r="E50" s="31"/>
      <c r="F50" s="65"/>
      <c r="G50" s="31"/>
      <c r="H50" s="31"/>
      <c r="I50" s="65"/>
      <c r="J50" s="31"/>
      <c r="K50" s="67"/>
      <c r="L50" s="67"/>
      <c r="Q50" s="38"/>
    </row>
    <row r="51" spans="1:17" s="90" customFormat="1" ht="15" customHeight="1">
      <c r="A51" s="15"/>
      <c r="B51" s="41"/>
      <c r="C51" s="31"/>
      <c r="D51" s="31"/>
      <c r="E51" s="31"/>
      <c r="F51" s="65"/>
      <c r="G51" s="31"/>
      <c r="H51" s="31"/>
      <c r="I51" s="65"/>
      <c r="J51" s="31"/>
      <c r="K51" s="67"/>
      <c r="L51" s="67"/>
      <c r="Q51" s="38"/>
    </row>
    <row r="52" spans="1:17" s="90" customFormat="1" ht="15" customHeight="1">
      <c r="A52" s="15"/>
      <c r="B52" s="41"/>
      <c r="C52" s="31"/>
      <c r="D52" s="31"/>
      <c r="E52" s="31"/>
      <c r="F52" s="65"/>
      <c r="G52" s="31"/>
      <c r="H52" s="31"/>
      <c r="I52" s="65"/>
      <c r="J52" s="31"/>
      <c r="K52" s="67"/>
      <c r="L52" s="67"/>
      <c r="Q52" s="38"/>
    </row>
    <row r="53" spans="1:17" s="90" customFormat="1" ht="15" customHeight="1">
      <c r="A53" s="15"/>
      <c r="B53" s="41"/>
      <c r="C53" s="31"/>
      <c r="D53" s="31"/>
      <c r="E53" s="31"/>
      <c r="F53" s="65"/>
      <c r="G53" s="31"/>
      <c r="H53" s="31"/>
      <c r="I53" s="65"/>
      <c r="J53" s="31"/>
      <c r="K53" s="67"/>
      <c r="L53" s="67"/>
      <c r="Q53" s="38"/>
    </row>
    <row r="54" spans="1:17" s="90" customFormat="1" ht="15" customHeight="1">
      <c r="A54" s="15"/>
      <c r="B54" s="41"/>
      <c r="C54" s="31"/>
      <c r="D54" s="31"/>
      <c r="E54" s="31"/>
      <c r="F54" s="65"/>
      <c r="G54" s="31"/>
      <c r="H54" s="31"/>
      <c r="I54" s="65"/>
      <c r="J54" s="31"/>
      <c r="K54" s="67"/>
      <c r="L54" s="67"/>
      <c r="Q54" s="38"/>
    </row>
    <row r="55" spans="1:17" s="90" customFormat="1" ht="15" customHeight="1">
      <c r="A55" s="15"/>
      <c r="B55" s="41"/>
      <c r="C55" s="31"/>
      <c r="D55" s="31"/>
      <c r="E55" s="31"/>
      <c r="F55" s="65"/>
      <c r="G55" s="31"/>
      <c r="H55" s="31"/>
      <c r="I55" s="65"/>
      <c r="J55" s="31"/>
      <c r="K55" s="67"/>
      <c r="L55" s="67"/>
      <c r="Q55" s="38"/>
    </row>
    <row r="56" spans="1:17" s="90" customFormat="1" ht="15" customHeight="1">
      <c r="A56" s="15"/>
      <c r="B56" s="41"/>
      <c r="C56" s="31"/>
      <c r="D56" s="31"/>
      <c r="E56" s="31"/>
      <c r="F56" s="65"/>
      <c r="G56" s="31"/>
      <c r="H56" s="31"/>
      <c r="I56" s="65"/>
      <c r="J56" s="31"/>
      <c r="K56" s="67"/>
      <c r="L56" s="67"/>
      <c r="Q56" s="38"/>
    </row>
    <row r="57" spans="1:17" s="90" customFormat="1" ht="15" customHeight="1">
      <c r="A57" s="15"/>
      <c r="B57" s="41"/>
      <c r="C57" s="31"/>
      <c r="D57" s="31"/>
      <c r="E57" s="31"/>
      <c r="F57" s="65"/>
      <c r="G57" s="31"/>
      <c r="H57" s="31"/>
      <c r="I57" s="65"/>
      <c r="J57" s="31"/>
      <c r="K57" s="67"/>
      <c r="L57" s="67"/>
      <c r="Q57" s="38"/>
    </row>
    <row r="58" spans="1:17" s="90" customFormat="1" ht="15" customHeight="1">
      <c r="A58" s="15"/>
      <c r="B58" s="41"/>
      <c r="C58" s="31"/>
      <c r="D58" s="31"/>
      <c r="E58" s="31"/>
      <c r="F58" s="65"/>
      <c r="G58" s="31"/>
      <c r="H58" s="31"/>
      <c r="I58" s="65"/>
      <c r="J58" s="31"/>
      <c r="K58" s="67"/>
      <c r="L58" s="67"/>
      <c r="Q58" s="38"/>
    </row>
    <row r="59" spans="1:17" s="90" customFormat="1" ht="15" customHeight="1">
      <c r="A59" s="15"/>
      <c r="B59" s="41"/>
      <c r="C59" s="31"/>
      <c r="D59" s="31"/>
      <c r="E59" s="31"/>
      <c r="F59" s="65"/>
      <c r="G59" s="31"/>
      <c r="H59" s="31"/>
      <c r="I59" s="65"/>
      <c r="J59" s="31"/>
      <c r="K59" s="67"/>
      <c r="L59" s="67"/>
      <c r="Q59" s="38"/>
    </row>
    <row r="60" spans="1:17" s="90" customFormat="1" ht="15" customHeight="1">
      <c r="A60" s="15"/>
      <c r="B60" s="41"/>
      <c r="C60" s="31"/>
      <c r="D60" s="31"/>
      <c r="E60" s="31"/>
      <c r="F60" s="65"/>
      <c r="G60" s="31"/>
      <c r="H60" s="31"/>
      <c r="I60" s="65"/>
      <c r="J60" s="31"/>
      <c r="K60" s="67"/>
      <c r="L60" s="67"/>
      <c r="Q60" s="38"/>
    </row>
    <row r="61" spans="1:17" s="90" customFormat="1" ht="15" customHeight="1">
      <c r="A61" s="15"/>
      <c r="B61" s="41"/>
      <c r="C61" s="31"/>
      <c r="D61" s="31"/>
      <c r="E61" s="31"/>
      <c r="F61" s="65"/>
      <c r="G61" s="31"/>
      <c r="H61" s="31"/>
      <c r="I61" s="65"/>
      <c r="J61" s="31"/>
      <c r="K61" s="67"/>
      <c r="L61" s="67"/>
      <c r="Q61" s="38"/>
    </row>
    <row r="62" spans="1:17" s="90" customFormat="1" ht="15" customHeight="1">
      <c r="A62" s="15"/>
      <c r="B62" s="41"/>
      <c r="C62" s="31"/>
      <c r="D62" s="31"/>
      <c r="E62" s="31"/>
      <c r="F62" s="65"/>
      <c r="G62" s="31"/>
      <c r="H62" s="31"/>
      <c r="I62" s="65"/>
      <c r="J62" s="31"/>
      <c r="K62" s="67"/>
      <c r="L62" s="67"/>
      <c r="Q62" s="38"/>
    </row>
    <row r="63" spans="1:17" s="90" customFormat="1" ht="15" customHeight="1">
      <c r="A63" s="15"/>
      <c r="B63" s="41"/>
      <c r="C63" s="31"/>
      <c r="D63" s="31"/>
      <c r="E63" s="31"/>
      <c r="F63" s="65"/>
      <c r="G63" s="31"/>
      <c r="H63" s="31"/>
      <c r="I63" s="65"/>
      <c r="J63" s="31"/>
      <c r="K63" s="67"/>
      <c r="L63" s="67"/>
      <c r="Q63" s="38"/>
    </row>
    <row r="64" spans="1:17" s="90" customFormat="1" ht="15" customHeight="1">
      <c r="A64" s="15"/>
      <c r="B64" s="41"/>
      <c r="C64" s="31"/>
      <c r="D64" s="31"/>
      <c r="E64" s="31"/>
      <c r="F64" s="65"/>
      <c r="G64" s="31"/>
      <c r="H64" s="31"/>
      <c r="I64" s="65"/>
      <c r="J64" s="31"/>
      <c r="K64" s="67"/>
      <c r="L64" s="67"/>
      <c r="Q64" s="38"/>
    </row>
    <row r="65" spans="1:17" s="90" customFormat="1" ht="15" customHeight="1">
      <c r="A65" s="15"/>
      <c r="B65" s="41"/>
      <c r="C65" s="31"/>
      <c r="D65" s="31"/>
      <c r="E65" s="31"/>
      <c r="F65" s="65"/>
      <c r="G65" s="31"/>
      <c r="H65" s="31"/>
      <c r="I65" s="65"/>
      <c r="J65" s="31"/>
      <c r="K65" s="67"/>
      <c r="L65" s="67"/>
      <c r="Q65" s="38"/>
    </row>
    <row r="66" spans="1:17" s="90" customFormat="1" ht="15" customHeight="1">
      <c r="A66" s="15"/>
      <c r="B66" s="41"/>
      <c r="C66" s="31"/>
      <c r="D66" s="31"/>
      <c r="E66" s="31"/>
      <c r="F66" s="65"/>
      <c r="G66" s="31"/>
      <c r="H66" s="31"/>
      <c r="I66" s="65"/>
      <c r="J66" s="31"/>
      <c r="K66" s="67"/>
      <c r="L66" s="67"/>
      <c r="Q66" s="38"/>
    </row>
    <row r="67" spans="1:17" s="90" customFormat="1" ht="15" customHeight="1">
      <c r="A67" s="15"/>
      <c r="B67" s="41"/>
      <c r="C67" s="31"/>
      <c r="D67" s="31"/>
      <c r="E67" s="31"/>
      <c r="F67" s="65"/>
      <c r="G67" s="31"/>
      <c r="H67" s="31"/>
      <c r="I67" s="65"/>
      <c r="J67" s="31"/>
      <c r="K67" s="67"/>
      <c r="L67" s="67"/>
      <c r="Q67" s="38"/>
    </row>
    <row r="68" spans="1:17" s="90" customFormat="1" ht="15" customHeight="1">
      <c r="A68" s="15"/>
      <c r="B68" s="41"/>
      <c r="C68" s="31"/>
      <c r="D68" s="31"/>
      <c r="E68" s="31"/>
      <c r="F68" s="65"/>
      <c r="G68" s="31"/>
      <c r="H68" s="31"/>
      <c r="I68" s="65"/>
      <c r="J68" s="31"/>
      <c r="K68" s="67"/>
      <c r="L68" s="67"/>
      <c r="Q68" s="38"/>
    </row>
    <row r="69" spans="1:17" s="90" customFormat="1" ht="15" customHeight="1">
      <c r="A69" s="15"/>
      <c r="B69" s="41"/>
      <c r="C69" s="31"/>
      <c r="D69" s="31"/>
      <c r="E69" s="31"/>
      <c r="F69" s="65"/>
      <c r="G69" s="31"/>
      <c r="H69" s="31"/>
      <c r="I69" s="65"/>
      <c r="J69" s="31"/>
      <c r="K69" s="67"/>
      <c r="L69" s="67"/>
      <c r="Q69" s="38"/>
    </row>
    <row r="70" spans="1:17" s="90" customFormat="1" ht="15" customHeight="1">
      <c r="A70" s="15"/>
      <c r="B70" s="41"/>
      <c r="C70" s="31"/>
      <c r="D70" s="31"/>
      <c r="E70" s="31"/>
      <c r="F70" s="65"/>
      <c r="G70" s="31"/>
      <c r="H70" s="31"/>
      <c r="I70" s="65"/>
      <c r="J70" s="31"/>
      <c r="K70" s="67"/>
      <c r="L70" s="67"/>
      <c r="Q70" s="38"/>
    </row>
    <row r="71" spans="1:17" s="90" customFormat="1" ht="15" customHeight="1">
      <c r="A71" s="15"/>
      <c r="B71" s="41"/>
      <c r="C71" s="31"/>
      <c r="D71" s="31"/>
      <c r="E71" s="31"/>
      <c r="F71" s="65"/>
      <c r="G71" s="31"/>
      <c r="H71" s="31"/>
      <c r="I71" s="65"/>
      <c r="J71" s="31"/>
      <c r="K71" s="67"/>
      <c r="L71" s="67"/>
      <c r="Q71" s="38"/>
    </row>
    <row r="72" spans="1:17" s="90" customFormat="1" ht="15" customHeight="1">
      <c r="A72" s="15"/>
      <c r="B72" s="41"/>
      <c r="C72" s="31"/>
      <c r="D72" s="31"/>
      <c r="E72" s="31"/>
      <c r="F72" s="65"/>
      <c r="G72" s="31"/>
      <c r="H72" s="31"/>
      <c r="I72" s="65"/>
      <c r="J72" s="31"/>
      <c r="K72" s="67"/>
      <c r="L72" s="67"/>
      <c r="Q72" s="38"/>
    </row>
    <row r="73" spans="1:17" s="90" customFormat="1" ht="15" customHeight="1">
      <c r="A73" s="15"/>
      <c r="B73" s="41"/>
      <c r="C73" s="31"/>
      <c r="D73" s="31"/>
      <c r="E73" s="31"/>
      <c r="F73" s="65"/>
      <c r="G73" s="31"/>
      <c r="H73" s="31"/>
      <c r="I73" s="65"/>
      <c r="J73" s="31"/>
      <c r="K73" s="67"/>
      <c r="L73" s="67"/>
      <c r="Q73" s="38"/>
    </row>
    <row r="74" spans="1:17" s="90" customFormat="1" ht="15" customHeight="1">
      <c r="A74" s="15"/>
      <c r="B74" s="41"/>
      <c r="C74" s="31"/>
      <c r="D74" s="31"/>
      <c r="E74" s="31"/>
      <c r="F74" s="65"/>
      <c r="G74" s="31"/>
      <c r="H74" s="31"/>
      <c r="I74" s="65"/>
      <c r="J74" s="31"/>
      <c r="K74" s="67"/>
      <c r="L74" s="67"/>
      <c r="Q74" s="38"/>
    </row>
    <row r="75" spans="1:17" s="90" customFormat="1" ht="15" customHeight="1">
      <c r="A75" s="15"/>
      <c r="B75" s="41"/>
      <c r="C75" s="31"/>
      <c r="D75" s="31"/>
      <c r="E75" s="31"/>
      <c r="F75" s="65"/>
      <c r="G75" s="31"/>
      <c r="H75" s="31"/>
      <c r="I75" s="65"/>
      <c r="J75" s="31"/>
      <c r="K75" s="67"/>
      <c r="L75" s="67"/>
      <c r="Q75" s="38"/>
    </row>
    <row r="76" spans="1:17" s="90" customFormat="1" ht="15" customHeight="1">
      <c r="A76" s="15"/>
      <c r="B76" s="41"/>
      <c r="C76" s="31"/>
      <c r="D76" s="31"/>
      <c r="E76" s="31"/>
      <c r="F76" s="65"/>
      <c r="G76" s="31"/>
      <c r="H76" s="31"/>
      <c r="I76" s="65"/>
      <c r="J76" s="31"/>
      <c r="K76" s="67"/>
      <c r="L76" s="67"/>
      <c r="Q76" s="38"/>
    </row>
    <row r="77" spans="1:17" s="90" customFormat="1" ht="15" customHeight="1">
      <c r="A77" s="15"/>
      <c r="B77" s="41"/>
      <c r="C77" s="31"/>
      <c r="D77" s="31"/>
      <c r="E77" s="31"/>
      <c r="F77" s="65"/>
      <c r="G77" s="31"/>
      <c r="H77" s="31"/>
      <c r="I77" s="65"/>
      <c r="J77" s="31"/>
      <c r="K77" s="67"/>
      <c r="L77" s="67"/>
      <c r="Q77" s="38"/>
    </row>
    <row r="78" spans="1:17" s="90" customFormat="1" ht="15" customHeight="1">
      <c r="A78" s="15"/>
      <c r="B78" s="41"/>
      <c r="C78" s="31"/>
      <c r="D78" s="31"/>
      <c r="E78" s="31"/>
      <c r="F78" s="65"/>
      <c r="G78" s="31"/>
      <c r="H78" s="31"/>
      <c r="I78" s="65"/>
      <c r="J78" s="31"/>
      <c r="K78" s="67"/>
      <c r="L78" s="67"/>
      <c r="Q78" s="38"/>
    </row>
    <row r="79" spans="1:17" s="90" customFormat="1" ht="15" customHeight="1">
      <c r="A79" s="15"/>
      <c r="B79" s="41"/>
      <c r="C79" s="31"/>
      <c r="D79" s="31"/>
      <c r="E79" s="31"/>
      <c r="F79" s="65"/>
      <c r="G79" s="31"/>
      <c r="H79" s="31"/>
      <c r="I79" s="65"/>
      <c r="J79" s="31"/>
      <c r="K79" s="67"/>
      <c r="L79" s="67"/>
      <c r="Q79" s="38"/>
    </row>
    <row r="80" spans="1:17" s="90" customFormat="1" ht="15" customHeight="1">
      <c r="A80" s="15"/>
      <c r="B80" s="41"/>
      <c r="C80" s="31"/>
      <c r="D80" s="31"/>
      <c r="E80" s="31"/>
      <c r="F80" s="65"/>
      <c r="G80" s="31"/>
      <c r="H80" s="31"/>
      <c r="I80" s="65"/>
      <c r="J80" s="31"/>
      <c r="K80" s="67"/>
      <c r="L80" s="67"/>
      <c r="Q80" s="38"/>
    </row>
    <row r="81" spans="1:17" s="90" customFormat="1" ht="15" customHeight="1">
      <c r="A81" s="15"/>
      <c r="B81" s="41"/>
      <c r="C81" s="31"/>
      <c r="D81" s="31"/>
      <c r="E81" s="31"/>
      <c r="F81" s="65"/>
      <c r="G81" s="31"/>
      <c r="H81" s="31"/>
      <c r="I81" s="65"/>
      <c r="J81" s="31"/>
      <c r="K81" s="67"/>
      <c r="L81" s="67"/>
      <c r="Q81" s="38"/>
    </row>
    <row r="82" spans="1:17" s="90" customFormat="1" ht="15" customHeight="1">
      <c r="A82" s="15"/>
      <c r="B82" s="41"/>
      <c r="C82" s="31"/>
      <c r="D82" s="31"/>
      <c r="E82" s="31"/>
      <c r="F82" s="65"/>
      <c r="G82" s="31"/>
      <c r="H82" s="31"/>
      <c r="I82" s="65"/>
      <c r="J82" s="31"/>
      <c r="K82" s="67"/>
      <c r="L82" s="67"/>
      <c r="Q82" s="38"/>
    </row>
    <row r="83" spans="1:17" s="90" customFormat="1" ht="15" customHeight="1">
      <c r="A83" s="15"/>
      <c r="B83" s="41"/>
      <c r="C83" s="31"/>
      <c r="D83" s="31"/>
      <c r="E83" s="31"/>
      <c r="F83" s="65"/>
      <c r="G83" s="31"/>
      <c r="H83" s="31"/>
      <c r="I83" s="65"/>
      <c r="J83" s="31"/>
      <c r="K83" s="67"/>
      <c r="L83" s="67"/>
      <c r="Q83" s="38"/>
    </row>
    <row r="84" spans="1:17" s="90" customFormat="1" ht="15" customHeight="1">
      <c r="A84" s="15"/>
      <c r="B84" s="41"/>
      <c r="C84" s="31"/>
      <c r="D84" s="31"/>
      <c r="E84" s="31"/>
      <c r="F84" s="65"/>
      <c r="G84" s="31"/>
      <c r="H84" s="31"/>
      <c r="I84" s="65"/>
      <c r="J84" s="31"/>
      <c r="K84" s="67"/>
      <c r="L84" s="67"/>
      <c r="Q84" s="38"/>
    </row>
    <row r="85" spans="1:17" s="90" customFormat="1" ht="15" customHeight="1">
      <c r="A85" s="15"/>
      <c r="B85" s="41"/>
      <c r="C85" s="31"/>
      <c r="D85" s="31"/>
      <c r="E85" s="31"/>
      <c r="F85" s="65"/>
      <c r="G85" s="31"/>
      <c r="H85" s="31"/>
      <c r="I85" s="65"/>
      <c r="J85" s="31"/>
      <c r="K85" s="67"/>
      <c r="L85" s="67"/>
      <c r="Q85" s="38"/>
    </row>
    <row r="86" spans="1:17" s="90" customFormat="1" ht="15" customHeight="1">
      <c r="A86" s="15"/>
      <c r="B86" s="41"/>
      <c r="C86" s="31"/>
      <c r="D86" s="31"/>
      <c r="E86" s="31"/>
      <c r="F86" s="65"/>
      <c r="G86" s="31"/>
      <c r="H86" s="31"/>
      <c r="I86" s="65"/>
      <c r="J86" s="31"/>
      <c r="K86" s="67"/>
      <c r="L86" s="67"/>
      <c r="Q86" s="38"/>
    </row>
    <row r="87" spans="1:17" s="90" customFormat="1" ht="15" customHeight="1">
      <c r="A87" s="15"/>
      <c r="B87" s="41"/>
      <c r="C87" s="31"/>
      <c r="D87" s="31"/>
      <c r="E87" s="31"/>
      <c r="F87" s="65"/>
      <c r="G87" s="31"/>
      <c r="H87" s="31"/>
      <c r="I87" s="65"/>
      <c r="J87" s="31"/>
      <c r="K87" s="67"/>
      <c r="L87" s="67"/>
      <c r="Q87" s="38"/>
    </row>
    <row r="88" spans="1:17" s="90" customFormat="1" ht="15" customHeight="1">
      <c r="A88" s="15"/>
      <c r="B88" s="41"/>
      <c r="C88" s="31"/>
      <c r="D88" s="31"/>
      <c r="E88" s="31"/>
      <c r="F88" s="65"/>
      <c r="G88" s="31"/>
      <c r="H88" s="31"/>
      <c r="I88" s="65"/>
      <c r="J88" s="31"/>
      <c r="K88" s="67"/>
      <c r="L88" s="67"/>
      <c r="Q88" s="38"/>
    </row>
    <row r="89" spans="1:17" s="90" customFormat="1" ht="15" customHeight="1">
      <c r="A89" s="15"/>
      <c r="B89" s="41"/>
      <c r="C89" s="31"/>
      <c r="D89" s="31"/>
      <c r="E89" s="31"/>
      <c r="F89" s="65"/>
      <c r="G89" s="31"/>
      <c r="H89" s="31"/>
      <c r="I89" s="65"/>
      <c r="J89" s="31"/>
      <c r="K89" s="67"/>
      <c r="L89" s="67"/>
      <c r="Q89" s="38"/>
    </row>
    <row r="90" spans="1:17" s="90" customFormat="1" ht="15" customHeight="1">
      <c r="A90" s="15"/>
      <c r="B90" s="41"/>
      <c r="C90" s="31"/>
      <c r="D90" s="31"/>
      <c r="E90" s="31"/>
      <c r="F90" s="65"/>
      <c r="G90" s="31"/>
      <c r="H90" s="31"/>
      <c r="I90" s="65"/>
      <c r="J90" s="31"/>
      <c r="K90" s="67"/>
      <c r="L90" s="67"/>
      <c r="Q90" s="38"/>
    </row>
    <row r="91" spans="1:17" s="90" customFormat="1" ht="15" customHeight="1">
      <c r="A91" s="15"/>
      <c r="B91" s="41"/>
      <c r="C91" s="31"/>
      <c r="D91" s="31"/>
      <c r="E91" s="31"/>
      <c r="F91" s="65"/>
      <c r="G91" s="31"/>
      <c r="H91" s="31"/>
      <c r="I91" s="65"/>
      <c r="J91" s="31"/>
      <c r="K91" s="67"/>
      <c r="L91" s="67"/>
      <c r="Q91" s="38"/>
    </row>
    <row r="92" spans="1:17" s="90" customFormat="1" ht="15" customHeight="1">
      <c r="A92" s="15"/>
      <c r="B92" s="41"/>
      <c r="C92" s="31"/>
      <c r="D92" s="31"/>
      <c r="E92" s="31"/>
      <c r="F92" s="65"/>
      <c r="G92" s="31"/>
      <c r="H92" s="31"/>
      <c r="I92" s="65"/>
      <c r="J92" s="31"/>
      <c r="K92" s="67"/>
      <c r="L92" s="67"/>
      <c r="Q92" s="38"/>
    </row>
    <row r="93" spans="1:17" s="90" customFormat="1" ht="15" customHeight="1">
      <c r="A93" s="15"/>
      <c r="B93" s="41"/>
      <c r="C93" s="31"/>
      <c r="D93" s="31"/>
      <c r="E93" s="31"/>
      <c r="F93" s="65"/>
      <c r="G93" s="31"/>
      <c r="H93" s="31"/>
      <c r="I93" s="65"/>
      <c r="J93" s="31"/>
      <c r="K93" s="67"/>
      <c r="L93" s="67"/>
      <c r="Q93" s="38"/>
    </row>
    <row r="94" spans="1:17" s="90" customFormat="1" ht="15" customHeight="1">
      <c r="A94" s="15"/>
      <c r="B94" s="41"/>
      <c r="C94" s="31"/>
      <c r="D94" s="31"/>
      <c r="E94" s="31"/>
      <c r="F94" s="65"/>
      <c r="G94" s="31"/>
      <c r="H94" s="31"/>
      <c r="I94" s="65"/>
      <c r="J94" s="31"/>
      <c r="K94" s="67"/>
      <c r="L94" s="67"/>
      <c r="Q94" s="38"/>
    </row>
    <row r="95" spans="1:17" s="90" customFormat="1" ht="15" customHeight="1">
      <c r="A95" s="15"/>
      <c r="B95" s="41"/>
      <c r="C95" s="31"/>
      <c r="D95" s="31"/>
      <c r="E95" s="31"/>
      <c r="F95" s="65"/>
      <c r="G95" s="31"/>
      <c r="H95" s="31"/>
      <c r="I95" s="65"/>
      <c r="J95" s="31"/>
      <c r="K95" s="67"/>
      <c r="L95" s="67"/>
      <c r="Q95" s="38"/>
    </row>
    <row r="96" spans="1:17" s="90" customFormat="1" ht="15" customHeight="1">
      <c r="A96" s="15"/>
      <c r="B96" s="41"/>
      <c r="C96" s="31"/>
      <c r="D96" s="31"/>
      <c r="E96" s="31"/>
      <c r="F96" s="65"/>
      <c r="G96" s="31"/>
      <c r="H96" s="31"/>
      <c r="I96" s="65"/>
      <c r="J96" s="31"/>
      <c r="K96" s="67"/>
      <c r="L96" s="67"/>
      <c r="Q96" s="38"/>
    </row>
    <row r="97" spans="1:17" s="90" customFormat="1" ht="15" customHeight="1">
      <c r="A97" s="15"/>
      <c r="B97" s="41"/>
      <c r="C97" s="31"/>
      <c r="D97" s="31"/>
      <c r="E97" s="31"/>
      <c r="F97" s="65"/>
      <c r="G97" s="31"/>
      <c r="H97" s="31"/>
      <c r="I97" s="65"/>
      <c r="J97" s="31"/>
      <c r="K97" s="67"/>
      <c r="L97" s="67"/>
      <c r="Q97" s="38"/>
    </row>
    <row r="98" spans="1:17" s="90" customFormat="1" ht="15" customHeight="1">
      <c r="A98" s="15"/>
      <c r="B98" s="41"/>
      <c r="C98" s="31"/>
      <c r="D98" s="31"/>
      <c r="E98" s="31"/>
      <c r="F98" s="65"/>
      <c r="G98" s="31"/>
      <c r="H98" s="31"/>
      <c r="I98" s="65"/>
      <c r="J98" s="31"/>
      <c r="K98" s="67"/>
      <c r="L98" s="67"/>
      <c r="Q98" s="38"/>
    </row>
    <row r="99" spans="1:17" s="90" customFormat="1" ht="15" customHeight="1">
      <c r="A99" s="15"/>
      <c r="B99" s="41"/>
      <c r="C99" s="31"/>
      <c r="D99" s="31"/>
      <c r="E99" s="31"/>
      <c r="F99" s="65"/>
      <c r="G99" s="31"/>
      <c r="H99" s="31"/>
      <c r="I99" s="65"/>
      <c r="J99" s="31"/>
      <c r="K99" s="67"/>
      <c r="L99" s="67"/>
      <c r="Q99" s="38"/>
    </row>
    <row r="100" spans="1:17" s="90" customFormat="1" ht="15" customHeight="1">
      <c r="A100" s="15"/>
      <c r="B100" s="41"/>
      <c r="C100" s="31"/>
      <c r="D100" s="31"/>
      <c r="E100" s="31"/>
      <c r="F100" s="65"/>
      <c r="G100" s="31"/>
      <c r="H100" s="31"/>
      <c r="I100" s="65"/>
      <c r="J100" s="31"/>
      <c r="K100" s="67"/>
      <c r="L100" s="67"/>
      <c r="Q100" s="38"/>
    </row>
    <row r="101" spans="1:17" s="90" customFormat="1" ht="15" customHeight="1">
      <c r="A101" s="15"/>
      <c r="B101" s="41"/>
      <c r="C101" s="31"/>
      <c r="D101" s="31"/>
      <c r="E101" s="31"/>
      <c r="F101" s="65"/>
      <c r="G101" s="31"/>
      <c r="H101" s="31"/>
      <c r="I101" s="65"/>
      <c r="J101" s="31"/>
      <c r="K101" s="67"/>
      <c r="L101" s="67"/>
      <c r="Q101" s="38"/>
    </row>
    <row r="102" spans="1:17" s="90" customFormat="1" ht="15" customHeight="1">
      <c r="A102" s="15"/>
      <c r="B102" s="41"/>
      <c r="C102" s="31"/>
      <c r="D102" s="31"/>
      <c r="E102" s="31"/>
      <c r="F102" s="65"/>
      <c r="G102" s="31"/>
      <c r="H102" s="31"/>
      <c r="I102" s="65"/>
      <c r="J102" s="31"/>
      <c r="K102" s="67"/>
      <c r="L102" s="67"/>
      <c r="Q102" s="38"/>
    </row>
    <row r="103" spans="1:17" s="90" customFormat="1" ht="15" customHeight="1">
      <c r="A103" s="15"/>
      <c r="B103" s="41"/>
      <c r="C103" s="31"/>
      <c r="D103" s="31"/>
      <c r="E103" s="31"/>
      <c r="F103" s="65"/>
      <c r="G103" s="31"/>
      <c r="H103" s="31"/>
      <c r="I103" s="65"/>
      <c r="J103" s="31"/>
      <c r="K103" s="67"/>
      <c r="L103" s="67"/>
      <c r="Q103" s="38"/>
    </row>
    <row r="104" spans="1:17" s="90" customFormat="1" ht="15" customHeight="1">
      <c r="A104" s="15"/>
      <c r="B104" s="41"/>
      <c r="C104" s="31"/>
      <c r="D104" s="31"/>
      <c r="E104" s="31"/>
      <c r="F104" s="65"/>
      <c r="G104" s="31"/>
      <c r="H104" s="31"/>
      <c r="I104" s="65"/>
      <c r="J104" s="31"/>
      <c r="K104" s="67"/>
      <c r="L104" s="67"/>
      <c r="Q104" s="38"/>
    </row>
    <row r="105" spans="1:17" s="90" customFormat="1" ht="15" customHeight="1">
      <c r="A105" s="15"/>
      <c r="B105" s="41"/>
      <c r="C105" s="31"/>
      <c r="D105" s="31"/>
      <c r="E105" s="31"/>
      <c r="F105" s="65"/>
      <c r="G105" s="31"/>
      <c r="H105" s="31"/>
      <c r="I105" s="65"/>
      <c r="J105" s="31"/>
      <c r="K105" s="67"/>
      <c r="L105" s="67"/>
      <c r="Q105" s="38"/>
    </row>
    <row r="106" spans="1:17" s="90" customFormat="1" ht="15" customHeight="1">
      <c r="A106" s="15"/>
      <c r="B106" s="41"/>
      <c r="C106" s="31"/>
      <c r="D106" s="31"/>
      <c r="E106" s="31"/>
      <c r="F106" s="65"/>
      <c r="G106" s="31"/>
      <c r="H106" s="31"/>
      <c r="I106" s="65"/>
      <c r="J106" s="31"/>
      <c r="K106" s="67"/>
      <c r="L106" s="67"/>
      <c r="Q106" s="38"/>
    </row>
    <row r="107" spans="1:17" s="90" customFormat="1" ht="15" customHeight="1">
      <c r="A107" s="15"/>
      <c r="B107" s="41"/>
      <c r="C107" s="31"/>
      <c r="D107" s="31"/>
      <c r="E107" s="31"/>
      <c r="F107" s="65"/>
      <c r="G107" s="31"/>
      <c r="H107" s="31"/>
      <c r="I107" s="65"/>
      <c r="J107" s="31"/>
      <c r="K107" s="67"/>
      <c r="L107" s="67"/>
      <c r="Q107" s="38"/>
    </row>
    <row r="108" spans="1:17" s="90" customFormat="1" ht="15" customHeight="1">
      <c r="A108" s="15"/>
      <c r="B108" s="41"/>
      <c r="C108" s="31"/>
      <c r="D108" s="31"/>
      <c r="E108" s="31"/>
      <c r="F108" s="65"/>
      <c r="G108" s="31"/>
      <c r="H108" s="31"/>
      <c r="I108" s="65"/>
      <c r="J108" s="31"/>
      <c r="K108" s="67"/>
      <c r="L108" s="67"/>
      <c r="Q108" s="38"/>
    </row>
    <row r="109" spans="1:17" s="90" customFormat="1" ht="15" customHeight="1">
      <c r="A109" s="15"/>
      <c r="B109" s="41"/>
      <c r="C109" s="31"/>
      <c r="D109" s="31"/>
      <c r="E109" s="31"/>
      <c r="F109" s="65"/>
      <c r="G109" s="31"/>
      <c r="H109" s="31"/>
      <c r="I109" s="65"/>
      <c r="J109" s="31"/>
      <c r="K109" s="67"/>
      <c r="L109" s="67"/>
      <c r="Q109" s="38"/>
    </row>
    <row r="110" spans="1:17" s="90" customFormat="1" ht="15" customHeight="1">
      <c r="A110" s="15"/>
      <c r="B110" s="41"/>
      <c r="C110" s="31"/>
      <c r="D110" s="31"/>
      <c r="E110" s="31"/>
      <c r="F110" s="65"/>
      <c r="G110" s="31"/>
      <c r="H110" s="31"/>
      <c r="I110" s="65"/>
      <c r="J110" s="31"/>
      <c r="K110" s="67"/>
      <c r="L110" s="67"/>
      <c r="Q110" s="38"/>
    </row>
    <row r="111" spans="1:17" s="90" customFormat="1" ht="15" customHeight="1">
      <c r="A111" s="15"/>
      <c r="B111" s="41"/>
      <c r="C111" s="31"/>
      <c r="D111" s="31"/>
      <c r="E111" s="31"/>
      <c r="F111" s="65"/>
      <c r="G111" s="31"/>
      <c r="H111" s="31"/>
      <c r="I111" s="65"/>
      <c r="J111" s="31"/>
      <c r="K111" s="67"/>
      <c r="L111" s="67"/>
      <c r="Q111" s="38"/>
    </row>
    <row r="112" spans="1:17" s="90" customFormat="1" ht="15" customHeight="1">
      <c r="A112" s="15"/>
      <c r="B112" s="41"/>
      <c r="C112" s="31"/>
      <c r="D112" s="31"/>
      <c r="E112" s="31"/>
      <c r="F112" s="65"/>
      <c r="G112" s="31"/>
      <c r="H112" s="31"/>
      <c r="I112" s="65"/>
      <c r="J112" s="31"/>
      <c r="K112" s="67"/>
      <c r="L112" s="67"/>
      <c r="Q112" s="38"/>
    </row>
    <row r="113" spans="1:17" s="90" customFormat="1" ht="15" customHeight="1">
      <c r="A113" s="15"/>
      <c r="B113" s="41"/>
      <c r="C113" s="31"/>
      <c r="D113" s="31"/>
      <c r="E113" s="31"/>
      <c r="F113" s="65"/>
      <c r="G113" s="31"/>
      <c r="H113" s="31"/>
      <c r="I113" s="65"/>
      <c r="J113" s="31"/>
      <c r="K113" s="67"/>
      <c r="L113" s="67"/>
      <c r="Q113" s="38"/>
    </row>
    <row r="114" spans="1:17" s="90" customFormat="1" ht="15" customHeight="1">
      <c r="A114" s="15"/>
      <c r="B114" s="41"/>
      <c r="C114" s="31"/>
      <c r="D114" s="31"/>
      <c r="E114" s="31"/>
      <c r="F114" s="65"/>
      <c r="G114" s="31"/>
      <c r="H114" s="31"/>
      <c r="I114" s="65"/>
      <c r="J114" s="31"/>
      <c r="K114" s="67"/>
      <c r="L114" s="67"/>
      <c r="Q114" s="38"/>
    </row>
    <row r="115" spans="1:17" s="90" customFormat="1" ht="15" customHeight="1">
      <c r="A115" s="15"/>
      <c r="B115" s="41"/>
      <c r="C115" s="31"/>
      <c r="D115" s="31"/>
      <c r="E115" s="31"/>
      <c r="F115" s="65"/>
      <c r="G115" s="31"/>
      <c r="H115" s="31"/>
      <c r="I115" s="65"/>
      <c r="J115" s="31"/>
      <c r="K115" s="67"/>
      <c r="L115" s="67"/>
      <c r="Q115" s="38"/>
    </row>
    <row r="116" spans="1:17" s="90" customFormat="1" ht="15" customHeight="1">
      <c r="A116" s="15"/>
      <c r="B116" s="41"/>
      <c r="C116" s="31"/>
      <c r="D116" s="31"/>
      <c r="E116" s="31"/>
      <c r="F116" s="65"/>
      <c r="G116" s="31"/>
      <c r="H116" s="31"/>
      <c r="I116" s="65"/>
      <c r="J116" s="31"/>
      <c r="K116" s="67"/>
      <c r="L116" s="67"/>
      <c r="Q116" s="38"/>
    </row>
    <row r="117" spans="1:17" s="90" customFormat="1" ht="15" customHeight="1">
      <c r="A117" s="15"/>
      <c r="B117" s="41"/>
      <c r="C117" s="31"/>
      <c r="D117" s="31"/>
      <c r="E117" s="31"/>
      <c r="F117" s="65"/>
      <c r="G117" s="31"/>
      <c r="H117" s="31"/>
      <c r="I117" s="65"/>
      <c r="J117" s="31"/>
      <c r="K117" s="67"/>
      <c r="L117" s="67"/>
      <c r="Q117" s="38"/>
    </row>
    <row r="118" spans="1:17" s="90" customFormat="1" ht="15" customHeight="1">
      <c r="A118" s="15"/>
      <c r="B118" s="41"/>
      <c r="C118" s="31"/>
      <c r="D118" s="31"/>
      <c r="E118" s="31"/>
      <c r="F118" s="65"/>
      <c r="G118" s="31"/>
      <c r="H118" s="31"/>
      <c r="I118" s="65"/>
      <c r="J118" s="31"/>
      <c r="K118" s="67"/>
      <c r="L118" s="67"/>
      <c r="Q118" s="38"/>
    </row>
    <row r="119" spans="1:17" s="90" customFormat="1" ht="15" customHeight="1">
      <c r="A119" s="15"/>
      <c r="B119" s="41"/>
      <c r="C119" s="31"/>
      <c r="D119" s="31"/>
      <c r="E119" s="31"/>
      <c r="F119" s="65"/>
      <c r="G119" s="31"/>
      <c r="H119" s="31"/>
      <c r="I119" s="65"/>
      <c r="J119" s="31"/>
      <c r="K119" s="67"/>
      <c r="L119" s="67"/>
      <c r="Q119" s="38"/>
    </row>
    <row r="120" spans="1:17" s="90" customFormat="1" ht="15" customHeight="1">
      <c r="A120" s="15"/>
      <c r="B120" s="41"/>
      <c r="C120" s="31"/>
      <c r="D120" s="31"/>
      <c r="E120" s="31"/>
      <c r="F120" s="65"/>
      <c r="G120" s="31"/>
      <c r="H120" s="31"/>
      <c r="I120" s="65"/>
      <c r="J120" s="31"/>
      <c r="K120" s="67"/>
      <c r="L120" s="67"/>
      <c r="Q120" s="38"/>
    </row>
    <row r="121" spans="1:17" s="90" customFormat="1" ht="15" customHeight="1">
      <c r="A121" s="15"/>
      <c r="B121" s="41"/>
      <c r="C121" s="31"/>
      <c r="D121" s="31"/>
      <c r="E121" s="31"/>
      <c r="F121" s="65"/>
      <c r="G121" s="31"/>
      <c r="H121" s="31"/>
      <c r="I121" s="65"/>
      <c r="J121" s="31"/>
      <c r="K121" s="67"/>
      <c r="L121" s="67"/>
      <c r="Q121" s="38"/>
    </row>
    <row r="122" spans="1:17" s="90" customFormat="1" ht="15" customHeight="1">
      <c r="A122" s="15"/>
      <c r="B122" s="41"/>
      <c r="C122" s="31"/>
      <c r="D122" s="31"/>
      <c r="E122" s="31"/>
      <c r="F122" s="65"/>
      <c r="G122" s="31"/>
      <c r="H122" s="31"/>
      <c r="I122" s="65"/>
      <c r="J122" s="31"/>
      <c r="K122" s="67"/>
      <c r="L122" s="67"/>
      <c r="Q122" s="38"/>
    </row>
    <row r="123" spans="1:17" s="90" customFormat="1" ht="15" customHeight="1">
      <c r="A123" s="15"/>
      <c r="B123" s="41"/>
      <c r="C123" s="31"/>
      <c r="D123" s="31"/>
      <c r="E123" s="31"/>
      <c r="F123" s="65"/>
      <c r="G123" s="31"/>
      <c r="H123" s="31"/>
      <c r="I123" s="65"/>
      <c r="J123" s="31"/>
      <c r="K123" s="67"/>
      <c r="L123" s="67"/>
      <c r="Q123" s="38"/>
    </row>
    <row r="124" spans="1:17" s="90" customFormat="1" ht="15" customHeight="1">
      <c r="A124" s="15"/>
      <c r="B124" s="41"/>
      <c r="C124" s="31"/>
      <c r="D124" s="31"/>
      <c r="E124" s="31"/>
      <c r="F124" s="65"/>
      <c r="G124" s="31"/>
      <c r="H124" s="31"/>
      <c r="I124" s="65"/>
      <c r="J124" s="31"/>
      <c r="K124" s="67"/>
      <c r="L124" s="67"/>
      <c r="Q124" s="38"/>
    </row>
    <row r="125" spans="1:17" s="90" customFormat="1" ht="15" customHeight="1">
      <c r="A125" s="15"/>
      <c r="B125" s="41"/>
      <c r="C125" s="31"/>
      <c r="D125" s="31"/>
      <c r="E125" s="31"/>
      <c r="F125" s="65"/>
      <c r="G125" s="31"/>
      <c r="H125" s="31"/>
      <c r="I125" s="65"/>
      <c r="J125" s="31"/>
      <c r="K125" s="67"/>
      <c r="L125" s="67"/>
      <c r="Q125" s="38"/>
    </row>
    <row r="126" spans="1:17" s="90" customFormat="1" ht="15" customHeight="1">
      <c r="A126" s="15"/>
      <c r="B126" s="41"/>
      <c r="C126" s="31"/>
      <c r="D126" s="31"/>
      <c r="E126" s="31"/>
      <c r="F126" s="65"/>
      <c r="G126" s="31"/>
      <c r="H126" s="31"/>
      <c r="I126" s="65"/>
      <c r="J126" s="31"/>
      <c r="K126" s="67"/>
      <c r="L126" s="67"/>
      <c r="Q126" s="38"/>
    </row>
    <row r="127" spans="1:17" s="90" customFormat="1" ht="15" customHeight="1">
      <c r="A127" s="15"/>
      <c r="B127" s="41"/>
      <c r="C127" s="31"/>
      <c r="D127" s="31"/>
      <c r="E127" s="31"/>
      <c r="F127" s="65"/>
      <c r="G127" s="31"/>
      <c r="H127" s="31"/>
      <c r="I127" s="65"/>
      <c r="J127" s="31"/>
      <c r="K127" s="67"/>
      <c r="L127" s="67"/>
      <c r="Q127" s="38"/>
    </row>
    <row r="128" spans="1:17" s="90" customFormat="1" ht="15" customHeight="1">
      <c r="A128" s="15"/>
      <c r="B128" s="41"/>
      <c r="C128" s="31"/>
      <c r="D128" s="31"/>
      <c r="E128" s="31"/>
      <c r="F128" s="65"/>
      <c r="G128" s="31"/>
      <c r="H128" s="31"/>
      <c r="I128" s="65"/>
      <c r="J128" s="31"/>
      <c r="K128" s="67"/>
      <c r="L128" s="67"/>
      <c r="Q128" s="38"/>
    </row>
    <row r="129" spans="1:17" s="90" customFormat="1" ht="15" customHeight="1">
      <c r="A129" s="15"/>
      <c r="B129" s="41"/>
      <c r="C129" s="31"/>
      <c r="D129" s="31"/>
      <c r="E129" s="31"/>
      <c r="F129" s="65"/>
      <c r="G129" s="31"/>
      <c r="H129" s="31"/>
      <c r="I129" s="65"/>
      <c r="J129" s="31"/>
      <c r="K129" s="67"/>
      <c r="L129" s="67"/>
      <c r="Q129" s="38"/>
    </row>
    <row r="130" spans="1:17" s="90" customFormat="1" ht="15" customHeight="1">
      <c r="A130" s="15"/>
      <c r="B130" s="41"/>
      <c r="C130" s="31"/>
      <c r="D130" s="31"/>
      <c r="E130" s="31"/>
      <c r="F130" s="65"/>
      <c r="G130" s="31"/>
      <c r="H130" s="31"/>
      <c r="I130" s="65"/>
      <c r="J130" s="31"/>
      <c r="K130" s="67"/>
      <c r="L130" s="67"/>
      <c r="Q130" s="38"/>
    </row>
    <row r="131" spans="1:17" s="90" customFormat="1" ht="15" customHeight="1">
      <c r="A131" s="15"/>
      <c r="B131" s="41"/>
      <c r="C131" s="31"/>
      <c r="D131" s="31"/>
      <c r="E131" s="31"/>
      <c r="F131" s="65"/>
      <c r="G131" s="31"/>
      <c r="H131" s="31"/>
      <c r="I131" s="65"/>
      <c r="J131" s="31"/>
      <c r="K131" s="67"/>
      <c r="L131" s="67"/>
      <c r="Q131" s="38"/>
    </row>
    <row r="132" spans="1:17" s="90" customFormat="1" ht="15" customHeight="1">
      <c r="A132" s="15"/>
      <c r="B132" s="41"/>
      <c r="C132" s="31"/>
      <c r="D132" s="31"/>
      <c r="E132" s="31"/>
      <c r="F132" s="65"/>
      <c r="G132" s="31"/>
      <c r="H132" s="31"/>
      <c r="I132" s="65"/>
      <c r="J132" s="31"/>
      <c r="K132" s="67"/>
      <c r="L132" s="67"/>
      <c r="Q132" s="38"/>
    </row>
    <row r="133" spans="1:17" s="90" customFormat="1" ht="15" customHeight="1">
      <c r="A133" s="15"/>
      <c r="B133" s="41"/>
      <c r="C133" s="31"/>
      <c r="D133" s="31"/>
      <c r="E133" s="31"/>
      <c r="F133" s="65"/>
      <c r="G133" s="31"/>
      <c r="H133" s="31"/>
      <c r="I133" s="65"/>
      <c r="J133" s="31"/>
      <c r="K133" s="67"/>
      <c r="L133" s="67"/>
      <c r="Q133" s="38"/>
    </row>
    <row r="134" spans="1:17" s="90" customFormat="1" ht="15" customHeight="1">
      <c r="A134" s="15"/>
      <c r="B134" s="41"/>
      <c r="C134" s="31"/>
      <c r="D134" s="31"/>
      <c r="E134" s="31"/>
      <c r="F134" s="65"/>
      <c r="G134" s="31"/>
      <c r="H134" s="31"/>
      <c r="I134" s="65"/>
      <c r="J134" s="31"/>
      <c r="K134" s="67"/>
      <c r="L134" s="67"/>
      <c r="Q134" s="38"/>
    </row>
    <row r="135" spans="1:17" s="90" customFormat="1" ht="15" customHeight="1">
      <c r="A135" s="15"/>
      <c r="B135" s="41"/>
      <c r="C135" s="31"/>
      <c r="D135" s="31"/>
      <c r="E135" s="31"/>
      <c r="F135" s="65"/>
      <c r="G135" s="31"/>
      <c r="H135" s="31"/>
      <c r="I135" s="65"/>
      <c r="J135" s="31"/>
      <c r="K135" s="67"/>
      <c r="L135" s="67"/>
      <c r="Q135" s="38"/>
    </row>
    <row r="136" spans="1:17" s="90" customFormat="1" ht="15" customHeight="1">
      <c r="A136" s="15"/>
      <c r="B136" s="41"/>
      <c r="C136" s="31"/>
      <c r="D136" s="31"/>
      <c r="E136" s="31"/>
      <c r="F136" s="65"/>
      <c r="G136" s="31"/>
      <c r="H136" s="31"/>
      <c r="I136" s="65"/>
      <c r="J136" s="31"/>
      <c r="K136" s="67"/>
      <c r="L136" s="67"/>
      <c r="Q136" s="38"/>
    </row>
    <row r="137" spans="1:17" s="90" customFormat="1" ht="15" customHeight="1">
      <c r="A137" s="15"/>
      <c r="B137" s="41"/>
      <c r="C137" s="31"/>
      <c r="D137" s="31"/>
      <c r="E137" s="31"/>
      <c r="F137" s="65"/>
      <c r="G137" s="31"/>
      <c r="H137" s="31"/>
      <c r="I137" s="65"/>
      <c r="J137" s="31"/>
      <c r="K137" s="67"/>
      <c r="L137" s="67"/>
      <c r="Q137" s="38"/>
    </row>
    <row r="138" spans="1:17" s="90" customFormat="1" ht="15" customHeight="1">
      <c r="A138" s="15"/>
      <c r="B138" s="41"/>
      <c r="C138" s="31"/>
      <c r="D138" s="31"/>
      <c r="E138" s="31"/>
      <c r="F138" s="65"/>
      <c r="G138" s="31"/>
      <c r="H138" s="31"/>
      <c r="I138" s="65"/>
      <c r="J138" s="31"/>
      <c r="K138" s="67"/>
      <c r="L138" s="67"/>
      <c r="Q138" s="38"/>
    </row>
    <row r="139" spans="1:17" s="90" customFormat="1" ht="15" customHeight="1">
      <c r="A139" s="15"/>
      <c r="B139" s="41"/>
      <c r="C139" s="31"/>
      <c r="D139" s="31"/>
      <c r="E139" s="31"/>
      <c r="F139" s="65"/>
      <c r="G139" s="31"/>
      <c r="H139" s="31"/>
      <c r="I139" s="65"/>
      <c r="J139" s="31"/>
      <c r="K139" s="67"/>
      <c r="L139" s="67"/>
      <c r="Q139" s="38"/>
    </row>
    <row r="140" spans="1:17" s="90" customFormat="1" ht="15" customHeight="1">
      <c r="A140" s="15"/>
      <c r="B140" s="41"/>
      <c r="C140" s="31"/>
      <c r="D140" s="31"/>
      <c r="E140" s="31"/>
      <c r="F140" s="65"/>
      <c r="G140" s="31"/>
      <c r="H140" s="31"/>
      <c r="I140" s="65"/>
      <c r="J140" s="31"/>
      <c r="K140" s="67"/>
      <c r="L140" s="67"/>
      <c r="Q140" s="38"/>
    </row>
    <row r="141" spans="1:17" s="90" customFormat="1" ht="15" customHeight="1">
      <c r="A141" s="15"/>
      <c r="B141" s="41"/>
      <c r="C141" s="31"/>
      <c r="D141" s="31"/>
      <c r="E141" s="31"/>
      <c r="F141" s="65"/>
      <c r="G141" s="31"/>
      <c r="H141" s="31"/>
      <c r="I141" s="65"/>
      <c r="J141" s="31"/>
      <c r="K141" s="67"/>
      <c r="L141" s="67"/>
      <c r="Q141" s="38"/>
    </row>
    <row r="142" spans="1:17" s="90" customFormat="1" ht="15" customHeight="1">
      <c r="A142" s="15"/>
      <c r="B142" s="41"/>
      <c r="C142" s="31"/>
      <c r="D142" s="31"/>
      <c r="E142" s="31"/>
      <c r="F142" s="65"/>
      <c r="G142" s="31"/>
      <c r="H142" s="31"/>
      <c r="I142" s="65"/>
      <c r="J142" s="31"/>
      <c r="K142" s="67"/>
      <c r="L142" s="67"/>
      <c r="Q142" s="38"/>
    </row>
    <row r="143" spans="1:17" s="90" customFormat="1" ht="15" customHeight="1">
      <c r="A143" s="15"/>
      <c r="B143" s="41"/>
      <c r="C143" s="31"/>
      <c r="D143" s="31"/>
      <c r="E143" s="31"/>
      <c r="F143" s="65"/>
      <c r="G143" s="31"/>
      <c r="H143" s="31"/>
      <c r="I143" s="65"/>
      <c r="J143" s="31"/>
      <c r="K143" s="67"/>
      <c r="L143" s="67"/>
      <c r="Q143" s="38"/>
    </row>
    <row r="144" spans="1:17" s="90" customFormat="1" ht="15" customHeight="1">
      <c r="A144" s="15"/>
      <c r="B144" s="41"/>
      <c r="C144" s="31"/>
      <c r="D144" s="31"/>
      <c r="E144" s="31"/>
      <c r="F144" s="65"/>
      <c r="G144" s="31"/>
      <c r="H144" s="31"/>
      <c r="I144" s="65"/>
      <c r="J144" s="31"/>
      <c r="K144" s="67"/>
      <c r="L144" s="67"/>
      <c r="Q144" s="38"/>
    </row>
    <row r="145" spans="1:17" s="90" customFormat="1" ht="15" customHeight="1">
      <c r="A145" s="15"/>
      <c r="B145" s="41"/>
      <c r="C145" s="31"/>
      <c r="D145" s="31"/>
      <c r="E145" s="31"/>
      <c r="F145" s="65"/>
      <c r="G145" s="31"/>
      <c r="H145" s="31"/>
      <c r="I145" s="65"/>
      <c r="J145" s="31"/>
      <c r="K145" s="67"/>
      <c r="L145" s="67"/>
      <c r="Q145" s="38"/>
    </row>
    <row r="146" spans="1:17" s="90" customFormat="1" ht="15" customHeight="1">
      <c r="A146" s="15"/>
      <c r="B146" s="41"/>
      <c r="C146" s="31"/>
      <c r="D146" s="31"/>
      <c r="E146" s="31"/>
      <c r="F146" s="65"/>
      <c r="G146" s="31"/>
      <c r="H146" s="31"/>
      <c r="I146" s="65"/>
      <c r="J146" s="31"/>
      <c r="K146" s="67"/>
      <c r="L146" s="67"/>
      <c r="Q146" s="38"/>
    </row>
    <row r="147" spans="1:17" s="90" customFormat="1" ht="15" customHeight="1">
      <c r="A147" s="15"/>
      <c r="B147" s="41"/>
      <c r="C147" s="31"/>
      <c r="D147" s="31"/>
      <c r="E147" s="31"/>
      <c r="F147" s="65"/>
      <c r="G147" s="31"/>
      <c r="H147" s="31"/>
      <c r="I147" s="65"/>
      <c r="J147" s="31"/>
      <c r="K147" s="67"/>
      <c r="L147" s="67"/>
      <c r="Q147" s="38"/>
    </row>
    <row r="148" spans="1:17" s="90" customFormat="1" ht="15" customHeight="1">
      <c r="A148" s="15"/>
      <c r="B148" s="41"/>
      <c r="C148" s="31"/>
      <c r="D148" s="31"/>
      <c r="E148" s="31"/>
      <c r="F148" s="65"/>
      <c r="G148" s="31"/>
      <c r="H148" s="31"/>
      <c r="I148" s="65"/>
      <c r="J148" s="31"/>
      <c r="K148" s="67"/>
      <c r="L148" s="67"/>
      <c r="Q148" s="38"/>
    </row>
    <row r="149" spans="1:17" s="90" customFormat="1" ht="15" customHeight="1">
      <c r="A149" s="15"/>
      <c r="B149" s="41"/>
      <c r="C149" s="31"/>
      <c r="D149" s="31"/>
      <c r="E149" s="31"/>
      <c r="F149" s="65"/>
      <c r="G149" s="31"/>
      <c r="H149" s="31"/>
      <c r="I149" s="65"/>
      <c r="J149" s="31"/>
      <c r="K149" s="67"/>
      <c r="L149" s="67"/>
      <c r="Q149" s="38"/>
    </row>
    <row r="150" spans="1:17" s="90" customFormat="1" ht="15" customHeight="1">
      <c r="A150" s="15"/>
      <c r="B150" s="41"/>
      <c r="C150" s="31"/>
      <c r="D150" s="31"/>
      <c r="E150" s="31"/>
      <c r="F150" s="65"/>
      <c r="G150" s="31"/>
      <c r="H150" s="31"/>
      <c r="I150" s="65"/>
      <c r="J150" s="31"/>
      <c r="K150" s="67"/>
      <c r="L150" s="67"/>
      <c r="Q150" s="38"/>
    </row>
    <row r="151" spans="1:17" s="90" customFormat="1" ht="15" customHeight="1">
      <c r="A151" s="15"/>
      <c r="B151" s="41"/>
      <c r="C151" s="31"/>
      <c r="D151" s="31"/>
      <c r="E151" s="31"/>
      <c r="F151" s="65"/>
      <c r="G151" s="31"/>
      <c r="H151" s="31"/>
      <c r="I151" s="65"/>
      <c r="J151" s="31"/>
      <c r="K151" s="67"/>
      <c r="L151" s="67"/>
      <c r="Q151" s="38"/>
    </row>
    <row r="152" spans="1:17" s="90" customFormat="1" ht="15" customHeight="1">
      <c r="A152" s="15"/>
      <c r="B152" s="41"/>
      <c r="C152" s="31"/>
      <c r="D152" s="31"/>
      <c r="E152" s="31"/>
      <c r="F152" s="65"/>
      <c r="G152" s="31"/>
      <c r="H152" s="31"/>
      <c r="I152" s="65"/>
      <c r="J152" s="31"/>
      <c r="K152" s="67"/>
      <c r="L152" s="67"/>
      <c r="Q152" s="38"/>
    </row>
    <row r="153" spans="1:17" s="90" customFormat="1" ht="15" customHeight="1">
      <c r="A153" s="15"/>
      <c r="B153" s="41"/>
      <c r="C153" s="31"/>
      <c r="D153" s="31"/>
      <c r="E153" s="31"/>
      <c r="F153" s="65"/>
      <c r="G153" s="31"/>
      <c r="H153" s="31"/>
      <c r="I153" s="65"/>
      <c r="J153" s="31"/>
      <c r="K153" s="67"/>
      <c r="L153" s="67"/>
      <c r="Q153" s="38"/>
    </row>
    <row r="154" spans="1:17" s="90" customFormat="1" ht="15" customHeight="1">
      <c r="A154" s="15"/>
      <c r="B154" s="41"/>
      <c r="C154" s="31"/>
      <c r="D154" s="31"/>
      <c r="E154" s="31"/>
      <c r="F154" s="65"/>
      <c r="G154" s="31"/>
      <c r="H154" s="31"/>
      <c r="I154" s="65"/>
      <c r="J154" s="31"/>
      <c r="K154" s="67"/>
      <c r="L154" s="67"/>
      <c r="Q154" s="38"/>
    </row>
    <row r="155" spans="1:17" s="90" customFormat="1" ht="15" customHeight="1">
      <c r="A155" s="15"/>
      <c r="B155" s="41"/>
      <c r="C155" s="31"/>
      <c r="D155" s="31"/>
      <c r="E155" s="31"/>
      <c r="F155" s="65"/>
      <c r="G155" s="31"/>
      <c r="H155" s="31"/>
      <c r="I155" s="65"/>
      <c r="J155" s="31"/>
      <c r="K155" s="67"/>
      <c r="L155" s="67"/>
      <c r="Q155" s="38"/>
    </row>
    <row r="156" spans="1:17" s="90" customFormat="1" ht="15" customHeight="1">
      <c r="A156" s="15"/>
      <c r="B156" s="41"/>
      <c r="C156" s="31"/>
      <c r="D156" s="31"/>
      <c r="E156" s="31"/>
      <c r="F156" s="65"/>
      <c r="G156" s="31"/>
      <c r="H156" s="31"/>
      <c r="I156" s="65"/>
      <c r="J156" s="31"/>
      <c r="K156" s="67"/>
      <c r="L156" s="67"/>
      <c r="Q156" s="38"/>
    </row>
    <row r="157" spans="1:17" s="90" customFormat="1" ht="15" customHeight="1">
      <c r="A157" s="15"/>
      <c r="B157" s="41"/>
      <c r="C157" s="31"/>
      <c r="D157" s="31"/>
      <c r="E157" s="31"/>
      <c r="F157" s="65"/>
      <c r="G157" s="31"/>
      <c r="H157" s="31"/>
      <c r="I157" s="65"/>
      <c r="J157" s="31"/>
      <c r="K157" s="67"/>
      <c r="L157" s="67"/>
      <c r="Q157" s="38"/>
    </row>
    <row r="158" spans="1:17" s="90" customFormat="1" ht="15" customHeight="1">
      <c r="A158" s="15"/>
      <c r="B158" s="41"/>
      <c r="C158" s="31"/>
      <c r="D158" s="31"/>
      <c r="E158" s="31"/>
      <c r="F158" s="65"/>
      <c r="G158" s="31"/>
      <c r="H158" s="31"/>
      <c r="I158" s="65"/>
      <c r="J158" s="31"/>
      <c r="K158" s="67"/>
      <c r="L158" s="67"/>
      <c r="Q158" s="38"/>
    </row>
    <row r="159" spans="1:17" s="90" customFormat="1" ht="15" customHeight="1">
      <c r="A159" s="15"/>
      <c r="B159" s="41"/>
      <c r="C159" s="31"/>
      <c r="D159" s="31"/>
      <c r="E159" s="31"/>
      <c r="F159" s="65"/>
      <c r="G159" s="31"/>
      <c r="H159" s="31"/>
      <c r="I159" s="65"/>
      <c r="J159" s="31"/>
      <c r="K159" s="67"/>
      <c r="L159" s="67"/>
      <c r="Q159" s="38"/>
    </row>
    <row r="160" spans="1:17" s="90" customFormat="1" ht="15" customHeight="1">
      <c r="A160" s="15"/>
      <c r="B160" s="41"/>
      <c r="C160" s="31"/>
      <c r="D160" s="31"/>
      <c r="E160" s="31"/>
      <c r="F160" s="65"/>
      <c r="G160" s="31"/>
      <c r="H160" s="31"/>
      <c r="I160" s="65"/>
      <c r="J160" s="31"/>
      <c r="K160" s="67"/>
      <c r="L160" s="67"/>
      <c r="Q160" s="38"/>
    </row>
    <row r="161" spans="1:17" s="90" customFormat="1" ht="15" customHeight="1">
      <c r="A161" s="15"/>
      <c r="B161" s="41"/>
      <c r="C161" s="31"/>
      <c r="D161" s="31"/>
      <c r="E161" s="31"/>
      <c r="F161" s="65"/>
      <c r="G161" s="31"/>
      <c r="H161" s="31"/>
      <c r="I161" s="65"/>
      <c r="J161" s="31"/>
      <c r="K161" s="67"/>
      <c r="L161" s="67"/>
      <c r="Q161" s="38"/>
    </row>
    <row r="162" spans="1:17" s="90" customFormat="1" ht="15" customHeight="1">
      <c r="A162" s="15"/>
      <c r="B162" s="41"/>
      <c r="C162" s="31"/>
      <c r="D162" s="31"/>
      <c r="E162" s="31"/>
      <c r="F162" s="65"/>
      <c r="G162" s="31"/>
      <c r="H162" s="31"/>
      <c r="I162" s="65"/>
      <c r="J162" s="31"/>
      <c r="K162" s="67"/>
      <c r="L162" s="67"/>
      <c r="Q162" s="38"/>
    </row>
    <row r="163" spans="1:17" s="90" customFormat="1" ht="15" customHeight="1">
      <c r="A163" s="15"/>
      <c r="B163" s="41"/>
      <c r="C163" s="31"/>
      <c r="D163" s="31"/>
      <c r="E163" s="31"/>
      <c r="F163" s="65"/>
      <c r="G163" s="31"/>
      <c r="H163" s="31"/>
      <c r="I163" s="65"/>
      <c r="J163" s="31"/>
      <c r="K163" s="67"/>
      <c r="L163" s="67"/>
      <c r="Q163" s="38"/>
    </row>
    <row r="164" spans="1:17" s="90" customFormat="1" ht="15" customHeight="1">
      <c r="A164" s="15"/>
      <c r="B164" s="41"/>
      <c r="C164" s="31"/>
      <c r="D164" s="31"/>
      <c r="E164" s="31"/>
      <c r="F164" s="65"/>
      <c r="G164" s="31"/>
      <c r="H164" s="31"/>
      <c r="I164" s="65"/>
      <c r="J164" s="31"/>
      <c r="K164" s="67"/>
      <c r="L164" s="67"/>
      <c r="Q164" s="38"/>
    </row>
    <row r="165" spans="1:17" s="90" customFormat="1" ht="15" customHeight="1">
      <c r="A165" s="15"/>
      <c r="B165" s="41"/>
      <c r="C165" s="31"/>
      <c r="D165" s="31"/>
      <c r="E165" s="31"/>
      <c r="F165" s="65"/>
      <c r="G165" s="31"/>
      <c r="H165" s="31"/>
      <c r="I165" s="65"/>
      <c r="J165" s="31"/>
      <c r="K165" s="67"/>
      <c r="L165" s="67"/>
      <c r="Q165" s="38"/>
    </row>
    <row r="166" spans="1:17" s="90" customFormat="1" ht="15" customHeight="1">
      <c r="A166" s="15"/>
      <c r="B166" s="41"/>
      <c r="C166" s="31"/>
      <c r="D166" s="31"/>
      <c r="E166" s="31"/>
      <c r="F166" s="65"/>
      <c r="G166" s="31"/>
      <c r="H166" s="31"/>
      <c r="I166" s="65"/>
      <c r="J166" s="31"/>
      <c r="K166" s="67"/>
      <c r="L166" s="67"/>
      <c r="Q166" s="38"/>
    </row>
    <row r="167" spans="1:17" s="90" customFormat="1" ht="15" customHeight="1">
      <c r="A167" s="15"/>
      <c r="B167" s="41"/>
      <c r="C167" s="31"/>
      <c r="D167" s="31"/>
      <c r="E167" s="31"/>
      <c r="F167" s="65"/>
      <c r="G167" s="31"/>
      <c r="H167" s="31"/>
      <c r="I167" s="65"/>
      <c r="J167" s="31"/>
      <c r="K167" s="67"/>
      <c r="L167" s="67"/>
      <c r="Q167" s="38"/>
    </row>
    <row r="168" spans="1:17" s="90" customFormat="1" ht="15" customHeight="1">
      <c r="A168" s="15"/>
      <c r="B168" s="41"/>
      <c r="C168" s="31"/>
      <c r="D168" s="31"/>
      <c r="E168" s="31"/>
      <c r="F168" s="65"/>
      <c r="G168" s="31"/>
      <c r="H168" s="31"/>
      <c r="I168" s="65"/>
      <c r="J168" s="31"/>
      <c r="K168" s="67"/>
      <c r="L168" s="67"/>
      <c r="Q168" s="38"/>
    </row>
    <row r="169" spans="1:17" s="90" customFormat="1" ht="15" customHeight="1">
      <c r="A169" s="15"/>
      <c r="B169" s="41"/>
      <c r="C169" s="31"/>
      <c r="D169" s="31"/>
      <c r="E169" s="31"/>
      <c r="F169" s="65"/>
      <c r="G169" s="31"/>
      <c r="H169" s="31"/>
      <c r="I169" s="65"/>
      <c r="J169" s="31"/>
      <c r="K169" s="67"/>
      <c r="L169" s="67"/>
      <c r="Q169" s="38"/>
    </row>
    <row r="170" spans="1:17" s="90" customFormat="1" ht="15" customHeight="1">
      <c r="A170" s="15"/>
      <c r="B170" s="41"/>
      <c r="C170" s="31"/>
      <c r="D170" s="31"/>
      <c r="E170" s="31"/>
      <c r="F170" s="65"/>
      <c r="G170" s="31"/>
      <c r="H170" s="31"/>
      <c r="I170" s="65"/>
      <c r="J170" s="31"/>
      <c r="K170" s="67"/>
      <c r="L170" s="67"/>
      <c r="Q170" s="38"/>
    </row>
    <row r="171" spans="1:17" s="90" customFormat="1" ht="15" customHeight="1">
      <c r="A171" s="15"/>
      <c r="B171" s="41"/>
      <c r="C171" s="31"/>
      <c r="D171" s="31"/>
      <c r="E171" s="31"/>
      <c r="F171" s="65"/>
      <c r="G171" s="31"/>
      <c r="H171" s="31"/>
      <c r="I171" s="65"/>
      <c r="J171" s="31"/>
      <c r="K171" s="67"/>
      <c r="L171" s="67"/>
      <c r="Q171" s="38"/>
    </row>
    <row r="172" spans="1:17" s="90" customFormat="1" ht="15" customHeight="1">
      <c r="A172" s="15"/>
      <c r="B172" s="41"/>
      <c r="C172" s="31"/>
      <c r="D172" s="31"/>
      <c r="E172" s="31"/>
      <c r="F172" s="65"/>
      <c r="G172" s="31"/>
      <c r="H172" s="31"/>
      <c r="I172" s="65"/>
      <c r="J172" s="31"/>
      <c r="K172" s="67"/>
      <c r="L172" s="67"/>
      <c r="Q172" s="38"/>
    </row>
    <row r="173" spans="1:17" s="90" customFormat="1" ht="15" customHeight="1">
      <c r="A173" s="15"/>
      <c r="B173" s="41"/>
      <c r="C173" s="31"/>
      <c r="D173" s="31"/>
      <c r="E173" s="31"/>
      <c r="F173" s="65"/>
      <c r="G173" s="31"/>
      <c r="H173" s="31"/>
      <c r="I173" s="65"/>
      <c r="J173" s="31"/>
      <c r="K173" s="67"/>
      <c r="L173" s="67"/>
      <c r="Q173" s="38"/>
    </row>
    <row r="174" spans="1:17" s="90" customFormat="1" ht="15" customHeight="1">
      <c r="A174" s="15"/>
      <c r="B174" s="41"/>
      <c r="C174" s="31"/>
      <c r="D174" s="31"/>
      <c r="E174" s="31"/>
      <c r="F174" s="65"/>
      <c r="G174" s="31"/>
      <c r="H174" s="31"/>
      <c r="I174" s="65"/>
      <c r="J174" s="31"/>
      <c r="K174" s="67"/>
      <c r="L174" s="67"/>
      <c r="Q174" s="38"/>
    </row>
    <row r="175" spans="1:17" s="90" customFormat="1" ht="15" customHeight="1">
      <c r="A175" s="15"/>
      <c r="B175" s="41"/>
      <c r="C175" s="31"/>
      <c r="D175" s="31"/>
      <c r="E175" s="31"/>
      <c r="F175" s="65"/>
      <c r="G175" s="31"/>
      <c r="H175" s="31"/>
      <c r="I175" s="65"/>
      <c r="J175" s="31"/>
      <c r="K175" s="67"/>
      <c r="L175" s="67"/>
      <c r="Q175" s="38"/>
    </row>
    <row r="176" spans="1:17" s="90" customFormat="1" ht="15" customHeight="1">
      <c r="A176" s="15"/>
      <c r="B176" s="41"/>
      <c r="C176" s="31"/>
      <c r="D176" s="31"/>
      <c r="E176" s="31"/>
      <c r="F176" s="65"/>
      <c r="G176" s="31"/>
      <c r="H176" s="31"/>
      <c r="I176" s="65"/>
      <c r="J176" s="31"/>
      <c r="K176" s="67"/>
      <c r="L176" s="67"/>
      <c r="Q176" s="38"/>
    </row>
    <row r="177" spans="1:17" s="90" customFormat="1" ht="15" customHeight="1">
      <c r="A177" s="15"/>
      <c r="B177" s="41"/>
      <c r="C177" s="31"/>
      <c r="D177" s="31"/>
      <c r="E177" s="31"/>
      <c r="F177" s="65"/>
      <c r="G177" s="31"/>
      <c r="H177" s="31"/>
      <c r="I177" s="65"/>
      <c r="J177" s="31"/>
      <c r="K177" s="67"/>
      <c r="L177" s="67"/>
      <c r="Q177" s="38"/>
    </row>
    <row r="178" spans="1:17" s="90" customFormat="1" ht="15" customHeight="1">
      <c r="A178" s="15"/>
      <c r="B178" s="41"/>
      <c r="C178" s="31"/>
      <c r="D178" s="31"/>
      <c r="E178" s="31"/>
      <c r="F178" s="65"/>
      <c r="G178" s="31"/>
      <c r="H178" s="31"/>
      <c r="I178" s="65"/>
      <c r="J178" s="31"/>
      <c r="K178" s="67"/>
      <c r="L178" s="67"/>
      <c r="Q178" s="38"/>
    </row>
    <row r="179" spans="1:17" s="90" customFormat="1" ht="15" customHeight="1">
      <c r="A179" s="15"/>
      <c r="B179" s="41"/>
      <c r="C179" s="31"/>
      <c r="D179" s="31"/>
      <c r="E179" s="31"/>
      <c r="F179" s="65"/>
      <c r="G179" s="31"/>
      <c r="H179" s="31"/>
      <c r="I179" s="65"/>
      <c r="J179" s="31"/>
      <c r="K179" s="67"/>
      <c r="L179" s="67"/>
      <c r="Q179" s="38"/>
    </row>
    <row r="180" spans="1:17" s="90" customFormat="1" ht="15" customHeight="1">
      <c r="A180" s="15"/>
      <c r="B180" s="41"/>
      <c r="C180" s="31"/>
      <c r="D180" s="31"/>
      <c r="E180" s="31"/>
      <c r="F180" s="65"/>
      <c r="G180" s="31"/>
      <c r="H180" s="31"/>
      <c r="I180" s="65"/>
      <c r="J180" s="31"/>
      <c r="K180" s="67"/>
      <c r="L180" s="67"/>
      <c r="Q180" s="38"/>
    </row>
    <row r="181" spans="1:17" s="90" customFormat="1" ht="15" customHeight="1">
      <c r="A181" s="15"/>
      <c r="B181" s="41"/>
      <c r="C181" s="31"/>
      <c r="D181" s="31"/>
      <c r="E181" s="31"/>
      <c r="F181" s="65"/>
      <c r="G181" s="31"/>
      <c r="H181" s="31"/>
      <c r="I181" s="65"/>
      <c r="J181" s="31"/>
      <c r="K181" s="67"/>
      <c r="L181" s="67"/>
      <c r="Q181" s="38"/>
    </row>
    <row r="182" spans="1:17" s="90" customFormat="1" ht="15" customHeight="1">
      <c r="A182" s="15"/>
      <c r="B182" s="41"/>
      <c r="C182" s="31"/>
      <c r="D182" s="31"/>
      <c r="E182" s="31"/>
      <c r="F182" s="65"/>
      <c r="G182" s="31"/>
      <c r="H182" s="31"/>
      <c r="I182" s="65"/>
      <c r="J182" s="31"/>
      <c r="K182" s="67"/>
      <c r="L182" s="67"/>
      <c r="Q182" s="38"/>
    </row>
    <row r="183" spans="1:17" s="90" customFormat="1" ht="15" customHeight="1">
      <c r="A183" s="15"/>
      <c r="B183" s="41"/>
      <c r="C183" s="31"/>
      <c r="D183" s="31"/>
      <c r="E183" s="31"/>
      <c r="F183" s="65"/>
      <c r="G183" s="31"/>
      <c r="H183" s="31"/>
      <c r="I183" s="65"/>
      <c r="J183" s="31"/>
      <c r="K183" s="67"/>
      <c r="L183" s="67"/>
      <c r="Q183" s="38"/>
    </row>
    <row r="184" spans="1:17" s="90" customFormat="1" ht="15" customHeight="1">
      <c r="A184" s="15"/>
      <c r="B184" s="41"/>
      <c r="C184" s="31"/>
      <c r="D184" s="31"/>
      <c r="E184" s="31"/>
      <c r="F184" s="65"/>
      <c r="G184" s="31"/>
      <c r="H184" s="31"/>
      <c r="I184" s="65"/>
      <c r="J184" s="31"/>
      <c r="K184" s="67"/>
      <c r="L184" s="67"/>
      <c r="Q184" s="38"/>
    </row>
    <row r="185" spans="1:17" s="90" customFormat="1" ht="15" customHeight="1">
      <c r="A185" s="15"/>
      <c r="B185" s="41"/>
      <c r="C185" s="31"/>
      <c r="D185" s="31"/>
      <c r="E185" s="31"/>
      <c r="F185" s="65"/>
      <c r="G185" s="31"/>
      <c r="H185" s="31"/>
      <c r="I185" s="65"/>
      <c r="J185" s="31"/>
      <c r="K185" s="67"/>
      <c r="L185" s="67"/>
      <c r="Q185" s="38"/>
    </row>
    <row r="186" spans="1:17" s="90" customFormat="1" ht="15" customHeight="1">
      <c r="A186" s="15"/>
      <c r="B186" s="41"/>
      <c r="C186" s="31"/>
      <c r="D186" s="31"/>
      <c r="E186" s="31"/>
      <c r="F186" s="65"/>
      <c r="G186" s="31"/>
      <c r="H186" s="31"/>
      <c r="I186" s="65"/>
      <c r="J186" s="31"/>
      <c r="K186" s="67"/>
      <c r="L186" s="67"/>
      <c r="Q186" s="38"/>
    </row>
    <row r="187" spans="1:17" s="90" customFormat="1" ht="15" customHeight="1">
      <c r="A187" s="15"/>
      <c r="B187" s="41"/>
      <c r="C187" s="31"/>
      <c r="D187" s="31"/>
      <c r="E187" s="31"/>
      <c r="F187" s="65"/>
      <c r="G187" s="31"/>
      <c r="H187" s="31"/>
      <c r="I187" s="65"/>
      <c r="J187" s="31"/>
      <c r="K187" s="67"/>
      <c r="L187" s="67"/>
      <c r="Q187" s="38"/>
    </row>
    <row r="188" spans="1:17" s="90" customFormat="1" ht="15" customHeight="1">
      <c r="A188" s="15"/>
      <c r="B188" s="41"/>
      <c r="C188" s="31"/>
      <c r="D188" s="31"/>
      <c r="E188" s="31"/>
      <c r="F188" s="65"/>
      <c r="G188" s="31"/>
      <c r="H188" s="31"/>
      <c r="I188" s="65"/>
      <c r="J188" s="31"/>
      <c r="K188" s="67"/>
      <c r="L188" s="67"/>
      <c r="Q188" s="38"/>
    </row>
    <row r="189" spans="1:17" s="90" customFormat="1" ht="15" customHeight="1">
      <c r="A189" s="15"/>
      <c r="B189" s="41"/>
      <c r="C189" s="31"/>
      <c r="D189" s="31"/>
      <c r="E189" s="31"/>
      <c r="F189" s="65"/>
      <c r="G189" s="31"/>
      <c r="H189" s="31"/>
      <c r="I189" s="65"/>
      <c r="J189" s="31"/>
      <c r="K189" s="67"/>
      <c r="L189" s="67"/>
      <c r="Q189" s="38"/>
    </row>
    <row r="190" spans="1:17" s="90" customFormat="1" ht="15" customHeight="1">
      <c r="A190" s="15"/>
      <c r="B190" s="41"/>
      <c r="C190" s="31"/>
      <c r="D190" s="31"/>
      <c r="E190" s="31"/>
      <c r="F190" s="65"/>
      <c r="G190" s="31"/>
      <c r="H190" s="31"/>
      <c r="I190" s="65"/>
      <c r="J190" s="31"/>
      <c r="K190" s="67"/>
      <c r="L190" s="67"/>
      <c r="Q190" s="38"/>
    </row>
    <row r="191" spans="1:17" s="90" customFormat="1" ht="15" customHeight="1">
      <c r="A191" s="15"/>
      <c r="B191" s="41"/>
      <c r="C191" s="31"/>
      <c r="D191" s="31"/>
      <c r="E191" s="31"/>
      <c r="F191" s="65"/>
      <c r="G191" s="31"/>
      <c r="H191" s="31"/>
      <c r="I191" s="65"/>
      <c r="J191" s="31"/>
      <c r="K191" s="67"/>
      <c r="L191" s="67"/>
      <c r="Q191" s="38"/>
    </row>
    <row r="192" spans="1:17" s="90" customFormat="1" ht="15" customHeight="1">
      <c r="A192" s="15"/>
      <c r="B192" s="41"/>
      <c r="C192" s="31"/>
      <c r="D192" s="31"/>
      <c r="E192" s="31"/>
      <c r="F192" s="65"/>
      <c r="G192" s="31"/>
      <c r="H192" s="31"/>
      <c r="I192" s="65"/>
      <c r="J192" s="31"/>
      <c r="K192" s="67"/>
      <c r="L192" s="67"/>
      <c r="Q192" s="38"/>
    </row>
    <row r="193" spans="1:17" s="90" customFormat="1" ht="15" customHeight="1">
      <c r="A193" s="15"/>
      <c r="B193" s="41"/>
      <c r="C193" s="31"/>
      <c r="D193" s="31"/>
      <c r="E193" s="31"/>
      <c r="F193" s="65"/>
      <c r="G193" s="31"/>
      <c r="H193" s="31"/>
      <c r="I193" s="65"/>
      <c r="J193" s="31"/>
      <c r="K193" s="67"/>
      <c r="L193" s="67"/>
      <c r="Q193" s="38"/>
    </row>
    <row r="194" spans="1:17" s="90" customFormat="1" ht="15" customHeight="1">
      <c r="A194" s="15"/>
      <c r="B194" s="41"/>
      <c r="C194" s="31"/>
      <c r="D194" s="31"/>
      <c r="E194" s="31"/>
      <c r="F194" s="65"/>
      <c r="G194" s="31"/>
      <c r="H194" s="31"/>
      <c r="I194" s="65"/>
      <c r="J194" s="31"/>
      <c r="K194" s="67"/>
      <c r="L194" s="67"/>
      <c r="Q194" s="38"/>
    </row>
    <row r="195" spans="1:17" s="90" customFormat="1" ht="15" customHeight="1">
      <c r="A195" s="15"/>
      <c r="B195" s="41"/>
      <c r="C195" s="31"/>
      <c r="D195" s="31"/>
      <c r="E195" s="31"/>
      <c r="F195" s="65"/>
      <c r="G195" s="31"/>
      <c r="H195" s="31"/>
      <c r="I195" s="65"/>
      <c r="J195" s="31"/>
      <c r="K195" s="67"/>
      <c r="L195" s="67"/>
      <c r="Q195" s="38"/>
    </row>
    <row r="196" spans="1:17" s="90" customFormat="1" ht="15" customHeight="1">
      <c r="A196" s="15"/>
      <c r="B196" s="41"/>
      <c r="C196" s="31"/>
      <c r="D196" s="31"/>
      <c r="E196" s="31"/>
      <c r="F196" s="65"/>
      <c r="G196" s="31"/>
      <c r="H196" s="31"/>
      <c r="I196" s="65"/>
      <c r="J196" s="31"/>
      <c r="K196" s="67"/>
      <c r="L196" s="67"/>
      <c r="Q196" s="38"/>
    </row>
    <row r="197" spans="1:17" s="90" customFormat="1" ht="15" customHeight="1">
      <c r="A197" s="15"/>
      <c r="B197" s="41"/>
      <c r="C197" s="31"/>
      <c r="D197" s="31"/>
      <c r="E197" s="31"/>
      <c r="F197" s="65"/>
      <c r="G197" s="31"/>
      <c r="H197" s="31"/>
      <c r="I197" s="65"/>
      <c r="J197" s="31"/>
      <c r="K197" s="67"/>
      <c r="L197" s="67"/>
      <c r="Q197" s="38"/>
    </row>
    <row r="198" spans="1:17" s="90" customFormat="1" ht="15" customHeight="1">
      <c r="A198" s="15"/>
      <c r="B198" s="41"/>
      <c r="C198" s="31"/>
      <c r="D198" s="31"/>
      <c r="E198" s="31"/>
      <c r="F198" s="65"/>
      <c r="G198" s="31"/>
      <c r="H198" s="31"/>
      <c r="I198" s="65"/>
      <c r="J198" s="31"/>
      <c r="K198" s="67"/>
      <c r="L198" s="67"/>
      <c r="Q198" s="38"/>
    </row>
    <row r="199" spans="1:17" s="90" customFormat="1" ht="15" customHeight="1">
      <c r="A199" s="15"/>
      <c r="B199" s="41"/>
      <c r="C199" s="31"/>
      <c r="D199" s="31"/>
      <c r="E199" s="31"/>
      <c r="F199" s="65"/>
      <c r="G199" s="31"/>
      <c r="H199" s="31"/>
      <c r="I199" s="65"/>
      <c r="J199" s="31"/>
      <c r="K199" s="67"/>
      <c r="L199" s="67"/>
      <c r="Q199" s="38"/>
    </row>
    <row r="200" spans="1:17" s="90" customFormat="1" ht="15" customHeight="1">
      <c r="A200" s="15"/>
      <c r="B200" s="41"/>
      <c r="C200" s="31"/>
      <c r="D200" s="31"/>
      <c r="E200" s="31"/>
      <c r="F200" s="65"/>
      <c r="G200" s="31"/>
      <c r="H200" s="31"/>
      <c r="I200" s="65"/>
      <c r="J200" s="31"/>
      <c r="K200" s="67"/>
      <c r="L200" s="67"/>
      <c r="Q200" s="38"/>
    </row>
    <row r="201" spans="1:17" s="90" customFormat="1" ht="15" customHeight="1">
      <c r="A201" s="15"/>
      <c r="B201" s="41"/>
      <c r="C201" s="31"/>
      <c r="D201" s="31"/>
      <c r="E201" s="31"/>
      <c r="F201" s="65"/>
      <c r="G201" s="31"/>
      <c r="H201" s="31"/>
      <c r="I201" s="65"/>
      <c r="J201" s="31"/>
      <c r="K201" s="67"/>
      <c r="L201" s="67"/>
      <c r="Q201" s="38"/>
    </row>
    <row r="202" spans="1:17" s="90" customFormat="1" ht="15" customHeight="1">
      <c r="A202" s="15"/>
      <c r="B202" s="41"/>
      <c r="C202" s="31"/>
      <c r="D202" s="31"/>
      <c r="E202" s="31"/>
      <c r="F202" s="65"/>
      <c r="G202" s="31"/>
      <c r="H202" s="31"/>
      <c r="I202" s="65"/>
      <c r="J202" s="31"/>
      <c r="K202" s="67"/>
      <c r="L202" s="67"/>
      <c r="Q202" s="38"/>
    </row>
    <row r="203" spans="1:17" s="90" customFormat="1" ht="15" customHeight="1">
      <c r="A203" s="15"/>
      <c r="B203" s="41"/>
      <c r="C203" s="31"/>
      <c r="D203" s="31"/>
      <c r="E203" s="31"/>
      <c r="F203" s="65"/>
      <c r="G203" s="31"/>
      <c r="H203" s="31"/>
      <c r="I203" s="65"/>
      <c r="J203" s="31"/>
      <c r="K203" s="67"/>
      <c r="L203" s="67"/>
      <c r="Q203" s="38"/>
    </row>
    <row r="204" spans="1:17" s="90" customFormat="1" ht="15" customHeight="1">
      <c r="A204" s="15"/>
      <c r="B204" s="41"/>
      <c r="C204" s="31"/>
      <c r="D204" s="31"/>
      <c r="E204" s="31"/>
      <c r="F204" s="65"/>
      <c r="G204" s="31"/>
      <c r="H204" s="31"/>
      <c r="I204" s="65"/>
      <c r="J204" s="31"/>
      <c r="K204" s="67"/>
      <c r="L204" s="67"/>
      <c r="Q204" s="38"/>
    </row>
    <row r="205" spans="1:17" s="90" customFormat="1" ht="15" customHeight="1">
      <c r="A205" s="15"/>
      <c r="B205" s="41"/>
      <c r="C205" s="31"/>
      <c r="D205" s="31"/>
      <c r="E205" s="31"/>
      <c r="F205" s="65"/>
      <c r="G205" s="31"/>
      <c r="H205" s="31"/>
      <c r="I205" s="65"/>
      <c r="J205" s="31"/>
      <c r="K205" s="67"/>
      <c r="L205" s="67"/>
      <c r="Q205" s="38"/>
    </row>
    <row r="206" spans="1:17" s="90" customFormat="1" ht="15" customHeight="1">
      <c r="A206" s="15"/>
      <c r="B206" s="41"/>
      <c r="C206" s="31"/>
      <c r="D206" s="31"/>
      <c r="E206" s="31"/>
      <c r="F206" s="65"/>
      <c r="G206" s="31"/>
      <c r="H206" s="31"/>
      <c r="I206" s="65"/>
      <c r="J206" s="31"/>
      <c r="K206" s="67"/>
      <c r="L206" s="67"/>
      <c r="Q206" s="38"/>
    </row>
    <row r="207" spans="1:17" s="90" customFormat="1" ht="15" customHeight="1">
      <c r="A207" s="15"/>
      <c r="B207" s="41"/>
      <c r="C207" s="31"/>
      <c r="D207" s="31"/>
      <c r="E207" s="31"/>
      <c r="F207" s="65"/>
      <c r="G207" s="31"/>
      <c r="H207" s="31"/>
      <c r="I207" s="65"/>
      <c r="J207" s="31"/>
      <c r="K207" s="67"/>
      <c r="L207" s="67"/>
      <c r="Q207" s="38"/>
    </row>
    <row r="208" spans="1:17" s="90" customFormat="1" ht="15" customHeight="1">
      <c r="A208" s="15"/>
      <c r="B208" s="41"/>
      <c r="C208" s="31"/>
      <c r="D208" s="31"/>
      <c r="E208" s="31"/>
      <c r="F208" s="65"/>
      <c r="G208" s="31"/>
      <c r="H208" s="31"/>
      <c r="I208" s="65"/>
      <c r="J208" s="31"/>
      <c r="K208" s="67"/>
      <c r="L208" s="67"/>
      <c r="Q208" s="38"/>
    </row>
    <row r="209" spans="1:17" s="90" customFormat="1" ht="15" customHeight="1">
      <c r="A209" s="15"/>
      <c r="B209" s="41"/>
      <c r="C209" s="31"/>
      <c r="D209" s="31"/>
      <c r="E209" s="31"/>
      <c r="F209" s="65"/>
      <c r="G209" s="31"/>
      <c r="H209" s="31"/>
      <c r="I209" s="65"/>
      <c r="J209" s="31"/>
      <c r="K209" s="67"/>
      <c r="L209" s="67"/>
      <c r="Q209" s="38"/>
    </row>
    <row r="210" spans="1:17" s="90" customFormat="1" ht="15" customHeight="1">
      <c r="A210" s="15"/>
      <c r="B210" s="41"/>
      <c r="C210" s="31"/>
      <c r="D210" s="31"/>
      <c r="E210" s="31"/>
      <c r="F210" s="65"/>
      <c r="G210" s="31"/>
      <c r="H210" s="31"/>
      <c r="I210" s="65"/>
      <c r="J210" s="31"/>
      <c r="K210" s="67"/>
      <c r="L210" s="67"/>
      <c r="Q210" s="38"/>
    </row>
    <row r="211" spans="1:17" s="90" customFormat="1" ht="15" customHeight="1">
      <c r="A211" s="15"/>
      <c r="B211" s="41"/>
      <c r="C211" s="31"/>
      <c r="D211" s="31"/>
      <c r="E211" s="31"/>
      <c r="F211" s="65"/>
      <c r="G211" s="31"/>
      <c r="H211" s="31"/>
      <c r="I211" s="65"/>
      <c r="J211" s="31"/>
      <c r="K211" s="67"/>
      <c r="L211" s="67"/>
      <c r="Q211" s="38"/>
    </row>
    <row r="212" spans="1:17" s="90" customFormat="1" ht="15" customHeight="1">
      <c r="A212" s="15"/>
      <c r="B212" s="41"/>
      <c r="C212" s="31"/>
      <c r="D212" s="31"/>
      <c r="E212" s="31"/>
      <c r="F212" s="65"/>
      <c r="G212" s="31"/>
      <c r="H212" s="31"/>
      <c r="I212" s="65"/>
      <c r="J212" s="31"/>
      <c r="K212" s="67"/>
      <c r="L212" s="67"/>
      <c r="Q212" s="38"/>
    </row>
    <row r="213" spans="1:17" s="90" customFormat="1" ht="15" customHeight="1">
      <c r="A213" s="15"/>
      <c r="B213" s="41"/>
      <c r="C213" s="31"/>
      <c r="D213" s="31"/>
      <c r="E213" s="31"/>
      <c r="F213" s="65"/>
      <c r="G213" s="31"/>
      <c r="H213" s="31"/>
      <c r="I213" s="65"/>
      <c r="J213" s="31"/>
      <c r="K213" s="67"/>
      <c r="L213" s="67"/>
      <c r="Q213" s="38"/>
    </row>
    <row r="214" spans="1:17" s="90" customFormat="1" ht="15" customHeight="1">
      <c r="A214" s="15"/>
      <c r="B214" s="41"/>
      <c r="C214" s="31"/>
      <c r="D214" s="31"/>
      <c r="E214" s="31"/>
      <c r="F214" s="65"/>
      <c r="G214" s="31"/>
      <c r="H214" s="31"/>
      <c r="I214" s="65"/>
      <c r="J214" s="31"/>
      <c r="K214" s="67"/>
      <c r="L214" s="67"/>
      <c r="Q214" s="38"/>
    </row>
    <row r="215" spans="1:17" s="90" customFormat="1" ht="15" customHeight="1">
      <c r="A215" s="15"/>
      <c r="B215" s="41"/>
      <c r="C215" s="31"/>
      <c r="D215" s="31"/>
      <c r="E215" s="31"/>
      <c r="F215" s="65"/>
      <c r="G215" s="31"/>
      <c r="H215" s="31"/>
      <c r="I215" s="65"/>
      <c r="J215" s="31"/>
      <c r="K215" s="67"/>
      <c r="L215" s="67"/>
      <c r="Q215" s="38"/>
    </row>
    <row r="216" spans="1:17" s="90" customFormat="1" ht="15" customHeight="1">
      <c r="A216" s="15"/>
      <c r="B216" s="41"/>
      <c r="C216" s="31"/>
      <c r="D216" s="31"/>
      <c r="E216" s="31"/>
      <c r="F216" s="65"/>
      <c r="G216" s="31"/>
      <c r="H216" s="31"/>
      <c r="I216" s="65"/>
      <c r="J216" s="31"/>
      <c r="K216" s="67"/>
      <c r="L216" s="67"/>
      <c r="Q216" s="38"/>
    </row>
    <row r="217" spans="1:17" s="90" customFormat="1" ht="15" customHeight="1">
      <c r="A217" s="15"/>
      <c r="B217" s="41"/>
      <c r="C217" s="31"/>
      <c r="D217" s="31"/>
      <c r="E217" s="31"/>
      <c r="F217" s="65"/>
      <c r="G217" s="31"/>
      <c r="H217" s="31"/>
      <c r="I217" s="65"/>
      <c r="J217" s="31"/>
      <c r="K217" s="67"/>
      <c r="L217" s="67"/>
      <c r="Q217" s="38"/>
    </row>
    <row r="218" spans="1:17" s="90" customFormat="1" ht="15" customHeight="1">
      <c r="A218" s="15"/>
      <c r="B218" s="41"/>
      <c r="C218" s="31"/>
      <c r="D218" s="31"/>
      <c r="E218" s="31"/>
      <c r="F218" s="65"/>
      <c r="G218" s="31"/>
      <c r="H218" s="31"/>
      <c r="I218" s="65"/>
      <c r="J218" s="31"/>
      <c r="K218" s="67"/>
      <c r="L218" s="67"/>
      <c r="Q218" s="38"/>
    </row>
    <row r="219" spans="1:17" s="90" customFormat="1" ht="15" customHeight="1">
      <c r="A219" s="15"/>
      <c r="B219" s="41"/>
      <c r="C219" s="31"/>
      <c r="D219" s="31"/>
      <c r="E219" s="31"/>
      <c r="F219" s="65"/>
      <c r="G219" s="31"/>
      <c r="H219" s="31"/>
      <c r="I219" s="65"/>
      <c r="J219" s="31"/>
      <c r="K219" s="67"/>
      <c r="L219" s="67"/>
      <c r="Q219" s="38"/>
    </row>
    <row r="220" spans="1:17" s="90" customFormat="1" ht="15" customHeight="1">
      <c r="A220" s="15"/>
      <c r="B220" s="41"/>
      <c r="C220" s="31"/>
      <c r="D220" s="31"/>
      <c r="E220" s="31"/>
      <c r="F220" s="65"/>
      <c r="G220" s="31"/>
      <c r="H220" s="31"/>
      <c r="I220" s="65"/>
      <c r="J220" s="31"/>
      <c r="K220" s="67"/>
      <c r="L220" s="67"/>
      <c r="Q220" s="38"/>
    </row>
    <row r="221" spans="1:17" s="90" customFormat="1" ht="15" customHeight="1">
      <c r="A221" s="15"/>
      <c r="B221" s="41"/>
      <c r="C221" s="31"/>
      <c r="D221" s="31"/>
      <c r="E221" s="31"/>
      <c r="F221" s="65"/>
      <c r="G221" s="31"/>
      <c r="H221" s="31"/>
      <c r="I221" s="65"/>
      <c r="J221" s="31"/>
      <c r="K221" s="67"/>
      <c r="L221" s="67"/>
      <c r="Q221" s="38"/>
    </row>
    <row r="222" spans="1:17" s="90" customFormat="1" ht="15" customHeight="1">
      <c r="A222" s="15"/>
      <c r="B222" s="41"/>
      <c r="C222" s="31"/>
      <c r="D222" s="31"/>
      <c r="E222" s="31"/>
      <c r="F222" s="65"/>
      <c r="G222" s="31"/>
      <c r="H222" s="31"/>
      <c r="I222" s="65"/>
      <c r="J222" s="31"/>
      <c r="K222" s="67"/>
      <c r="L222" s="67"/>
      <c r="Q222" s="38"/>
    </row>
    <row r="223" spans="1:17" s="90" customFormat="1" ht="15" customHeight="1">
      <c r="A223" s="15"/>
      <c r="B223" s="41"/>
      <c r="C223" s="31"/>
      <c r="D223" s="31"/>
      <c r="E223" s="31"/>
      <c r="F223" s="65"/>
      <c r="G223" s="31"/>
      <c r="H223" s="31"/>
      <c r="I223" s="65"/>
      <c r="J223" s="31"/>
      <c r="K223" s="67"/>
      <c r="L223" s="67"/>
      <c r="Q223" s="38"/>
    </row>
    <row r="224" spans="1:17" s="90" customFormat="1" ht="15" customHeight="1">
      <c r="A224" s="15"/>
      <c r="B224" s="41"/>
      <c r="C224" s="31"/>
      <c r="D224" s="31"/>
      <c r="E224" s="31"/>
      <c r="F224" s="65"/>
      <c r="G224" s="31"/>
      <c r="H224" s="31"/>
      <c r="I224" s="65"/>
      <c r="J224" s="31"/>
      <c r="K224" s="67"/>
      <c r="L224" s="67"/>
      <c r="Q224" s="38"/>
    </row>
    <row r="225" spans="1:17" s="90" customFormat="1" ht="15" customHeight="1">
      <c r="A225" s="15"/>
      <c r="B225" s="41"/>
      <c r="C225" s="31"/>
      <c r="D225" s="31"/>
      <c r="E225" s="31"/>
      <c r="F225" s="65"/>
      <c r="G225" s="31"/>
      <c r="H225" s="31"/>
      <c r="I225" s="65"/>
      <c r="J225" s="31"/>
      <c r="K225" s="67"/>
      <c r="L225" s="67"/>
      <c r="Q225" s="38"/>
    </row>
    <row r="226" spans="1:17" s="90" customFormat="1" ht="15" customHeight="1">
      <c r="A226" s="15"/>
      <c r="B226" s="41"/>
      <c r="C226" s="31"/>
      <c r="D226" s="31"/>
      <c r="E226" s="31"/>
      <c r="F226" s="65"/>
      <c r="G226" s="31"/>
      <c r="H226" s="31"/>
      <c r="I226" s="65"/>
      <c r="J226" s="31"/>
      <c r="K226" s="67"/>
      <c r="L226" s="67"/>
      <c r="Q226" s="38"/>
    </row>
    <row r="227" spans="1:17" s="90" customFormat="1" ht="15" customHeight="1">
      <c r="A227" s="15"/>
      <c r="B227" s="41"/>
      <c r="C227" s="31"/>
      <c r="D227" s="31"/>
      <c r="E227" s="31"/>
      <c r="F227" s="65"/>
      <c r="G227" s="31"/>
      <c r="H227" s="31"/>
      <c r="I227" s="65"/>
      <c r="J227" s="31"/>
      <c r="K227" s="67"/>
      <c r="L227" s="67"/>
      <c r="Q227" s="38"/>
    </row>
    <row r="228" spans="1:17" s="90" customFormat="1" ht="15" customHeight="1">
      <c r="A228" s="15"/>
      <c r="B228" s="41"/>
      <c r="C228" s="31"/>
      <c r="D228" s="31"/>
      <c r="E228" s="31"/>
      <c r="F228" s="65"/>
      <c r="G228" s="31"/>
      <c r="H228" s="31"/>
      <c r="I228" s="65"/>
      <c r="J228" s="31"/>
      <c r="K228" s="67"/>
      <c r="L228" s="67"/>
      <c r="Q228" s="38"/>
    </row>
    <row r="229" spans="1:17" s="90" customFormat="1" ht="15" customHeight="1">
      <c r="A229" s="15"/>
      <c r="B229" s="41"/>
      <c r="C229" s="31"/>
      <c r="D229" s="31"/>
      <c r="E229" s="31"/>
      <c r="F229" s="65"/>
      <c r="G229" s="31"/>
      <c r="H229" s="31"/>
      <c r="I229" s="65"/>
      <c r="J229" s="31"/>
      <c r="K229" s="67"/>
      <c r="L229" s="67"/>
      <c r="Q229" s="38"/>
    </row>
    <row r="230" spans="1:17" s="90" customFormat="1" ht="15" customHeight="1">
      <c r="A230" s="15"/>
      <c r="B230" s="41"/>
      <c r="C230" s="31"/>
      <c r="D230" s="31"/>
      <c r="E230" s="31"/>
      <c r="F230" s="65"/>
      <c r="G230" s="31"/>
      <c r="H230" s="31"/>
      <c r="I230" s="65"/>
      <c r="J230" s="31"/>
      <c r="K230" s="67"/>
      <c r="L230" s="67"/>
      <c r="Q230" s="38"/>
    </row>
    <row r="231" spans="1:17" s="90" customFormat="1" ht="15" customHeight="1">
      <c r="A231" s="15"/>
      <c r="B231" s="41"/>
      <c r="C231" s="31"/>
      <c r="D231" s="31"/>
      <c r="E231" s="31"/>
      <c r="F231" s="65"/>
      <c r="G231" s="31"/>
      <c r="H231" s="31"/>
      <c r="I231" s="65"/>
      <c r="J231" s="31"/>
      <c r="K231" s="67"/>
      <c r="L231" s="67"/>
      <c r="Q231" s="38"/>
    </row>
    <row r="232" spans="1:17" s="90" customFormat="1" ht="15" customHeight="1">
      <c r="A232" s="15"/>
      <c r="B232" s="41"/>
      <c r="C232" s="31"/>
      <c r="D232" s="31"/>
      <c r="E232" s="31"/>
      <c r="F232" s="65"/>
      <c r="G232" s="31"/>
      <c r="H232" s="31"/>
      <c r="I232" s="65"/>
      <c r="J232" s="31"/>
      <c r="K232" s="67"/>
      <c r="L232" s="67"/>
      <c r="Q232" s="38"/>
    </row>
    <row r="233" spans="1:17" s="90" customFormat="1" ht="15" customHeight="1">
      <c r="A233" s="15"/>
      <c r="B233" s="41"/>
      <c r="C233" s="31"/>
      <c r="D233" s="31"/>
      <c r="E233" s="31"/>
      <c r="F233" s="65"/>
      <c r="G233" s="31"/>
      <c r="H233" s="31"/>
      <c r="I233" s="65"/>
      <c r="J233" s="31"/>
      <c r="K233" s="67"/>
      <c r="L233" s="67"/>
      <c r="Q233" s="38"/>
    </row>
    <row r="234" spans="1:17" s="90" customFormat="1" ht="15" customHeight="1">
      <c r="A234" s="15"/>
      <c r="B234" s="41"/>
      <c r="C234" s="31"/>
      <c r="D234" s="31"/>
      <c r="E234" s="31"/>
      <c r="F234" s="65"/>
      <c r="G234" s="31"/>
      <c r="H234" s="31"/>
      <c r="I234" s="65"/>
      <c r="J234" s="31"/>
      <c r="K234" s="67"/>
      <c r="L234" s="67"/>
      <c r="Q234" s="38"/>
    </row>
    <row r="235" spans="1:17" s="90" customFormat="1" ht="15" customHeight="1">
      <c r="A235" s="15"/>
      <c r="B235" s="41"/>
      <c r="C235" s="31"/>
      <c r="D235" s="31"/>
      <c r="E235" s="31"/>
      <c r="F235" s="65"/>
      <c r="G235" s="31"/>
      <c r="H235" s="31"/>
      <c r="I235" s="65"/>
      <c r="J235" s="31"/>
      <c r="K235" s="67"/>
      <c r="L235" s="67"/>
      <c r="Q235" s="38"/>
    </row>
    <row r="236" spans="1:17" s="90" customFormat="1" ht="15" customHeight="1">
      <c r="A236" s="15"/>
      <c r="B236" s="41"/>
      <c r="C236" s="31"/>
      <c r="D236" s="31"/>
      <c r="E236" s="31"/>
      <c r="F236" s="65"/>
      <c r="G236" s="31"/>
      <c r="H236" s="31"/>
      <c r="I236" s="65"/>
      <c r="J236" s="31"/>
      <c r="K236" s="67"/>
      <c r="L236" s="67"/>
      <c r="Q236" s="38"/>
    </row>
    <row r="237" spans="1:17" s="90" customFormat="1" ht="15" customHeight="1">
      <c r="A237" s="15"/>
      <c r="B237" s="41"/>
      <c r="C237" s="31"/>
      <c r="D237" s="31"/>
      <c r="E237" s="31"/>
      <c r="F237" s="65"/>
      <c r="G237" s="31"/>
      <c r="H237" s="31"/>
      <c r="I237" s="65"/>
      <c r="J237" s="31"/>
      <c r="K237" s="67"/>
      <c r="L237" s="67"/>
      <c r="Q237" s="38"/>
    </row>
    <row r="238" spans="1:17" s="90" customFormat="1" ht="15" customHeight="1">
      <c r="A238" s="15"/>
      <c r="B238" s="41"/>
      <c r="C238" s="31"/>
      <c r="D238" s="31"/>
      <c r="E238" s="31"/>
      <c r="F238" s="65"/>
      <c r="G238" s="31"/>
      <c r="H238" s="31"/>
      <c r="I238" s="65"/>
      <c r="J238" s="31"/>
      <c r="K238" s="67"/>
      <c r="L238" s="67"/>
      <c r="Q238" s="38"/>
    </row>
    <row r="239" spans="1:17" s="90" customFormat="1" ht="15" customHeight="1">
      <c r="A239" s="15"/>
      <c r="B239" s="41"/>
      <c r="C239" s="31"/>
      <c r="D239" s="31"/>
      <c r="E239" s="31"/>
      <c r="F239" s="65"/>
      <c r="G239" s="31"/>
      <c r="H239" s="31"/>
      <c r="I239" s="65"/>
      <c r="J239" s="31"/>
      <c r="K239" s="67"/>
      <c r="L239" s="67"/>
      <c r="Q239" s="38"/>
    </row>
    <row r="240" spans="1:17" s="90" customFormat="1" ht="15" customHeight="1">
      <c r="A240" s="15"/>
      <c r="B240" s="41"/>
      <c r="C240" s="31"/>
      <c r="D240" s="31"/>
      <c r="E240" s="31"/>
      <c r="F240" s="65"/>
      <c r="G240" s="31"/>
      <c r="H240" s="31"/>
      <c r="I240" s="65"/>
      <c r="J240" s="31"/>
      <c r="K240" s="67"/>
      <c r="L240" s="67"/>
      <c r="Q240" s="38"/>
    </row>
    <row r="241" spans="1:17" s="90" customFormat="1" ht="15" customHeight="1">
      <c r="A241" s="15"/>
      <c r="B241" s="41"/>
      <c r="C241" s="31"/>
      <c r="D241" s="31"/>
      <c r="E241" s="31"/>
      <c r="F241" s="65"/>
      <c r="G241" s="31"/>
      <c r="H241" s="31"/>
      <c r="I241" s="65"/>
      <c r="J241" s="31"/>
      <c r="K241" s="67"/>
      <c r="L241" s="67"/>
      <c r="Q241" s="38"/>
    </row>
    <row r="242" spans="1:17" s="90" customFormat="1" ht="15" customHeight="1">
      <c r="A242" s="15"/>
      <c r="B242" s="41"/>
      <c r="C242" s="31"/>
      <c r="D242" s="31"/>
      <c r="E242" s="31"/>
      <c r="F242" s="65"/>
      <c r="G242" s="31"/>
      <c r="H242" s="31"/>
      <c r="I242" s="65"/>
      <c r="J242" s="31"/>
      <c r="K242" s="67"/>
      <c r="L242" s="67"/>
      <c r="Q242" s="38"/>
    </row>
    <row r="243" spans="1:17" s="90" customFormat="1" ht="15" customHeight="1">
      <c r="A243" s="15"/>
      <c r="B243" s="41"/>
      <c r="C243" s="31"/>
      <c r="D243" s="31"/>
      <c r="E243" s="31"/>
      <c r="F243" s="65"/>
      <c r="G243" s="31"/>
      <c r="H243" s="31"/>
      <c r="I243" s="65"/>
      <c r="J243" s="31"/>
      <c r="K243" s="67"/>
      <c r="L243" s="67"/>
      <c r="Q243" s="38"/>
    </row>
    <row r="244" spans="1:17" s="90" customFormat="1" ht="15" customHeight="1">
      <c r="A244" s="15"/>
      <c r="B244" s="41"/>
      <c r="C244" s="31"/>
      <c r="D244" s="31"/>
      <c r="E244" s="31"/>
      <c r="F244" s="65"/>
      <c r="G244" s="31"/>
      <c r="H244" s="31"/>
      <c r="I244" s="65"/>
      <c r="J244" s="31"/>
      <c r="K244" s="67"/>
      <c r="L244" s="67"/>
      <c r="Q244" s="38"/>
    </row>
    <row r="245" spans="1:17" s="90" customFormat="1" ht="15" customHeight="1">
      <c r="A245" s="15"/>
      <c r="B245" s="41"/>
      <c r="C245" s="31"/>
      <c r="D245" s="31"/>
      <c r="E245" s="31"/>
      <c r="F245" s="65"/>
      <c r="G245" s="31"/>
      <c r="H245" s="31"/>
      <c r="I245" s="65"/>
      <c r="J245" s="31"/>
      <c r="K245" s="67"/>
      <c r="L245" s="67"/>
      <c r="Q245" s="38"/>
    </row>
    <row r="246" spans="1:17" s="90" customFormat="1" ht="15" customHeight="1">
      <c r="A246" s="15"/>
      <c r="B246" s="41"/>
      <c r="C246" s="31"/>
      <c r="D246" s="31"/>
      <c r="E246" s="31"/>
      <c r="F246" s="65"/>
      <c r="G246" s="31"/>
      <c r="H246" s="31"/>
      <c r="I246" s="65"/>
      <c r="J246" s="31"/>
      <c r="K246" s="67"/>
      <c r="L246" s="67"/>
      <c r="Q246" s="38"/>
    </row>
    <row r="247" spans="1:17" s="90" customFormat="1" ht="15" customHeight="1">
      <c r="A247" s="15"/>
      <c r="B247" s="41"/>
      <c r="C247" s="31"/>
      <c r="D247" s="31"/>
      <c r="E247" s="31"/>
      <c r="F247" s="65"/>
      <c r="G247" s="31"/>
      <c r="H247" s="31"/>
      <c r="I247" s="65"/>
      <c r="J247" s="31"/>
      <c r="K247" s="67"/>
      <c r="L247" s="67"/>
      <c r="Q247" s="38"/>
    </row>
    <row r="248" spans="1:17" s="90" customFormat="1" ht="15" customHeight="1">
      <c r="A248" s="15"/>
      <c r="B248" s="41"/>
      <c r="C248" s="31"/>
      <c r="D248" s="31"/>
      <c r="E248" s="31"/>
      <c r="F248" s="65"/>
      <c r="G248" s="31"/>
      <c r="H248" s="31"/>
      <c r="I248" s="65"/>
      <c r="J248" s="31"/>
      <c r="K248" s="67"/>
      <c r="L248" s="67"/>
      <c r="Q248" s="38"/>
    </row>
    <row r="249" spans="1:17" s="90" customFormat="1" ht="15" customHeight="1">
      <c r="A249" s="15"/>
      <c r="B249" s="41"/>
      <c r="C249" s="31"/>
      <c r="D249" s="31"/>
      <c r="E249" s="31"/>
      <c r="F249" s="65"/>
      <c r="G249" s="31"/>
      <c r="H249" s="31"/>
      <c r="I249" s="65"/>
      <c r="J249" s="31"/>
      <c r="K249" s="67"/>
      <c r="L249" s="67"/>
      <c r="Q249" s="38"/>
    </row>
    <row r="250" spans="1:17" s="90" customFormat="1" ht="15" customHeight="1">
      <c r="A250" s="15"/>
      <c r="B250" s="41"/>
      <c r="C250" s="31"/>
      <c r="D250" s="31"/>
      <c r="E250" s="31"/>
      <c r="F250" s="65"/>
      <c r="G250" s="31"/>
      <c r="H250" s="31"/>
      <c r="I250" s="65"/>
      <c r="J250" s="31"/>
      <c r="K250" s="67"/>
      <c r="L250" s="67"/>
      <c r="Q250" s="38"/>
    </row>
    <row r="251" spans="1:17" s="90" customFormat="1" ht="15" customHeight="1">
      <c r="A251" s="15"/>
      <c r="B251" s="41"/>
      <c r="C251" s="31"/>
      <c r="D251" s="31"/>
      <c r="E251" s="31"/>
      <c r="F251" s="65"/>
      <c r="G251" s="31"/>
      <c r="H251" s="31"/>
      <c r="I251" s="65"/>
      <c r="J251" s="31"/>
      <c r="K251" s="67"/>
      <c r="L251" s="67"/>
      <c r="Q251" s="38"/>
    </row>
    <row r="252" spans="1:17" s="90" customFormat="1" ht="15" customHeight="1">
      <c r="A252" s="15"/>
      <c r="B252" s="41"/>
      <c r="C252" s="31"/>
      <c r="D252" s="31"/>
      <c r="E252" s="31"/>
      <c r="F252" s="65"/>
      <c r="G252" s="31"/>
      <c r="H252" s="31"/>
      <c r="I252" s="65"/>
      <c r="J252" s="31"/>
      <c r="K252" s="67"/>
      <c r="L252" s="67"/>
      <c r="Q252" s="38"/>
    </row>
    <row r="253" spans="1:17" s="90" customFormat="1" ht="15" customHeight="1">
      <c r="A253" s="15"/>
      <c r="B253" s="41"/>
      <c r="C253" s="31"/>
      <c r="D253" s="31"/>
      <c r="E253" s="31"/>
      <c r="F253" s="65"/>
      <c r="G253" s="31"/>
      <c r="H253" s="31"/>
      <c r="I253" s="65"/>
      <c r="J253" s="31"/>
      <c r="K253" s="67"/>
      <c r="L253" s="67"/>
      <c r="Q253" s="38"/>
    </row>
    <row r="254" spans="1:17" s="90" customFormat="1" ht="15" customHeight="1">
      <c r="A254" s="15"/>
      <c r="B254" s="41"/>
      <c r="C254" s="31"/>
      <c r="D254" s="31"/>
      <c r="E254" s="31"/>
      <c r="F254" s="65"/>
      <c r="G254" s="31"/>
      <c r="H254" s="31"/>
      <c r="I254" s="65"/>
      <c r="J254" s="31"/>
      <c r="K254" s="67"/>
      <c r="L254" s="67"/>
      <c r="Q254" s="38"/>
    </row>
    <row r="255" spans="1:17" s="90" customFormat="1" ht="15" customHeight="1">
      <c r="A255" s="15"/>
      <c r="B255" s="41"/>
      <c r="C255" s="31"/>
      <c r="D255" s="31"/>
      <c r="E255" s="31"/>
      <c r="F255" s="65"/>
      <c r="G255" s="31"/>
      <c r="H255" s="31"/>
      <c r="I255" s="65"/>
      <c r="J255" s="31"/>
      <c r="K255" s="67"/>
      <c r="L255" s="67"/>
      <c r="Q255" s="38"/>
    </row>
    <row r="256" spans="1:17" s="90" customFormat="1" ht="15" customHeight="1">
      <c r="A256" s="15"/>
      <c r="B256" s="41"/>
      <c r="C256" s="31"/>
      <c r="D256" s="31"/>
      <c r="E256" s="31"/>
      <c r="F256" s="65"/>
      <c r="G256" s="31"/>
      <c r="H256" s="31"/>
      <c r="I256" s="65"/>
      <c r="J256" s="31"/>
      <c r="K256" s="67"/>
      <c r="L256" s="67"/>
      <c r="Q256" s="38"/>
    </row>
    <row r="257" spans="1:17" s="90" customFormat="1" ht="15" customHeight="1">
      <c r="A257" s="15"/>
      <c r="B257" s="41"/>
      <c r="C257" s="31"/>
      <c r="D257" s="31"/>
      <c r="E257" s="31"/>
      <c r="F257" s="65"/>
      <c r="G257" s="31"/>
      <c r="H257" s="31"/>
      <c r="I257" s="65"/>
      <c r="J257" s="31"/>
      <c r="K257" s="67"/>
      <c r="L257" s="67"/>
      <c r="Q257" s="38"/>
    </row>
    <row r="258" spans="1:17" s="90" customFormat="1" ht="15" customHeight="1">
      <c r="A258" s="15"/>
      <c r="B258" s="41"/>
      <c r="C258" s="31"/>
      <c r="D258" s="31"/>
      <c r="E258" s="31"/>
      <c r="F258" s="65"/>
      <c r="G258" s="31"/>
      <c r="H258" s="31"/>
      <c r="I258" s="65"/>
      <c r="J258" s="31"/>
      <c r="K258" s="67"/>
      <c r="L258" s="67"/>
      <c r="Q258" s="38"/>
    </row>
    <row r="259" spans="1:17" s="90" customFormat="1" ht="15" customHeight="1">
      <c r="A259" s="15"/>
      <c r="B259" s="41"/>
      <c r="C259" s="31"/>
      <c r="D259" s="31"/>
      <c r="E259" s="31"/>
      <c r="F259" s="65"/>
      <c r="G259" s="31"/>
      <c r="H259" s="31"/>
      <c r="I259" s="65"/>
      <c r="J259" s="31"/>
      <c r="K259" s="67"/>
      <c r="L259" s="67"/>
      <c r="Q259" s="38"/>
    </row>
    <row r="260" spans="1:17" s="90" customFormat="1" ht="15" customHeight="1">
      <c r="A260" s="15"/>
      <c r="B260" s="41"/>
      <c r="C260" s="31"/>
      <c r="D260" s="31"/>
      <c r="E260" s="31"/>
      <c r="F260" s="65"/>
      <c r="G260" s="31"/>
      <c r="H260" s="31"/>
      <c r="I260" s="65"/>
      <c r="J260" s="31"/>
      <c r="K260" s="67"/>
      <c r="L260" s="67"/>
      <c r="Q260" s="38"/>
    </row>
    <row r="261" spans="1:17" s="90" customFormat="1" ht="15" customHeight="1">
      <c r="A261" s="15"/>
      <c r="B261" s="41"/>
      <c r="C261" s="31"/>
      <c r="D261" s="31"/>
      <c r="E261" s="31"/>
      <c r="F261" s="65"/>
      <c r="G261" s="31"/>
      <c r="H261" s="31"/>
      <c r="I261" s="65"/>
      <c r="J261" s="31"/>
      <c r="K261" s="67"/>
      <c r="L261" s="67"/>
      <c r="Q261" s="38"/>
    </row>
    <row r="262" spans="1:17" s="90" customFormat="1" ht="15" customHeight="1">
      <c r="A262" s="15"/>
      <c r="B262" s="41"/>
      <c r="C262" s="31"/>
      <c r="D262" s="31"/>
      <c r="E262" s="31"/>
      <c r="F262" s="65"/>
      <c r="G262" s="31"/>
      <c r="H262" s="31"/>
      <c r="I262" s="65"/>
      <c r="J262" s="31"/>
      <c r="K262" s="67"/>
      <c r="L262" s="67"/>
      <c r="Q262" s="38"/>
    </row>
    <row r="263" spans="1:17" s="90" customFormat="1" ht="15" customHeight="1">
      <c r="A263" s="15"/>
      <c r="B263" s="41"/>
      <c r="C263" s="31"/>
      <c r="D263" s="31"/>
      <c r="E263" s="31"/>
      <c r="F263" s="65"/>
      <c r="G263" s="31"/>
      <c r="H263" s="31"/>
      <c r="I263" s="65"/>
      <c r="J263" s="31"/>
      <c r="K263" s="67"/>
      <c r="L263" s="67"/>
      <c r="Q263" s="38"/>
    </row>
    <row r="264" spans="1:17" s="90" customFormat="1" ht="15" customHeight="1">
      <c r="A264" s="15"/>
      <c r="B264" s="41"/>
      <c r="C264" s="31"/>
      <c r="D264" s="31"/>
      <c r="E264" s="31"/>
      <c r="F264" s="65"/>
      <c r="G264" s="31"/>
      <c r="H264" s="31"/>
      <c r="I264" s="65"/>
      <c r="J264" s="31"/>
      <c r="K264" s="67"/>
      <c r="L264" s="67"/>
      <c r="Q264" s="38"/>
    </row>
    <row r="265" spans="1:17" s="90" customFormat="1" ht="15" customHeight="1">
      <c r="A265" s="15"/>
      <c r="B265" s="41"/>
      <c r="C265" s="31"/>
      <c r="D265" s="31"/>
      <c r="E265" s="31"/>
      <c r="F265" s="65"/>
      <c r="G265" s="31"/>
      <c r="H265" s="31"/>
      <c r="I265" s="65"/>
      <c r="J265" s="31"/>
      <c r="K265" s="67"/>
      <c r="L265" s="67"/>
      <c r="Q265" s="38"/>
    </row>
    <row r="266" spans="1:17" s="90" customFormat="1" ht="15" customHeight="1">
      <c r="A266" s="15"/>
      <c r="B266" s="41"/>
      <c r="C266" s="31"/>
      <c r="D266" s="31"/>
      <c r="E266" s="31"/>
      <c r="F266" s="65"/>
      <c r="G266" s="31"/>
      <c r="H266" s="31"/>
      <c r="I266" s="65"/>
      <c r="J266" s="31"/>
      <c r="K266" s="67"/>
      <c r="L266" s="67"/>
      <c r="Q266" s="38"/>
    </row>
    <row r="267" spans="1:17" s="90" customFormat="1" ht="15" customHeight="1">
      <c r="A267" s="15"/>
      <c r="B267" s="41"/>
      <c r="C267" s="31"/>
      <c r="D267" s="31"/>
      <c r="E267" s="31"/>
      <c r="F267" s="65"/>
      <c r="G267" s="31"/>
      <c r="H267" s="31"/>
      <c r="I267" s="65"/>
      <c r="J267" s="31"/>
      <c r="K267" s="67"/>
      <c r="L267" s="67"/>
      <c r="Q267" s="38"/>
    </row>
    <row r="268" spans="1:17" s="90" customFormat="1" ht="15" customHeight="1">
      <c r="A268" s="15"/>
      <c r="B268" s="41"/>
      <c r="C268" s="31"/>
      <c r="D268" s="31"/>
      <c r="E268" s="31"/>
      <c r="F268" s="65"/>
      <c r="G268" s="31"/>
      <c r="H268" s="31"/>
      <c r="I268" s="65"/>
      <c r="J268" s="31"/>
      <c r="K268" s="67"/>
      <c r="L268" s="67"/>
      <c r="Q268" s="38"/>
    </row>
    <row r="269" spans="1:17" s="90" customFormat="1" ht="15" customHeight="1">
      <c r="A269" s="15"/>
      <c r="B269" s="41"/>
      <c r="C269" s="31"/>
      <c r="D269" s="31"/>
      <c r="E269" s="31"/>
      <c r="F269" s="65"/>
      <c r="G269" s="31"/>
      <c r="H269" s="31"/>
      <c r="I269" s="65"/>
      <c r="J269" s="31"/>
      <c r="K269" s="67"/>
      <c r="L269" s="67"/>
      <c r="Q269" s="38"/>
    </row>
    <row r="270" spans="1:17" s="90" customFormat="1" ht="15" customHeight="1">
      <c r="A270" s="15"/>
      <c r="B270" s="41"/>
      <c r="C270" s="31"/>
      <c r="D270" s="31"/>
      <c r="E270" s="31"/>
      <c r="F270" s="65"/>
      <c r="G270" s="31"/>
      <c r="H270" s="31"/>
      <c r="I270" s="65"/>
      <c r="J270" s="31"/>
      <c r="K270" s="67"/>
      <c r="L270" s="67"/>
      <c r="Q270" s="38"/>
    </row>
    <row r="271" spans="1:17" s="90" customFormat="1" ht="15" customHeight="1">
      <c r="A271" s="15"/>
      <c r="B271" s="41"/>
      <c r="C271" s="31"/>
      <c r="D271" s="31"/>
      <c r="E271" s="31"/>
      <c r="F271" s="65"/>
      <c r="G271" s="31"/>
      <c r="H271" s="31"/>
      <c r="I271" s="65"/>
      <c r="J271" s="31"/>
      <c r="K271" s="67"/>
      <c r="L271" s="67"/>
      <c r="Q271" s="38"/>
    </row>
    <row r="272" spans="1:17" s="90" customFormat="1" ht="15" customHeight="1">
      <c r="A272" s="15"/>
      <c r="B272" s="41"/>
      <c r="C272" s="31"/>
      <c r="D272" s="31"/>
      <c r="E272" s="31"/>
      <c r="F272" s="65"/>
      <c r="G272" s="31"/>
      <c r="H272" s="31"/>
      <c r="I272" s="65"/>
      <c r="J272" s="31"/>
      <c r="K272" s="67"/>
      <c r="L272" s="67"/>
      <c r="Q272" s="38"/>
    </row>
    <row r="273" spans="1:17" s="90" customFormat="1" ht="15" customHeight="1">
      <c r="A273" s="15"/>
      <c r="B273" s="41"/>
      <c r="C273" s="31"/>
      <c r="D273" s="31"/>
      <c r="E273" s="31"/>
      <c r="F273" s="65"/>
      <c r="G273" s="31"/>
      <c r="H273" s="31"/>
      <c r="I273" s="65"/>
      <c r="J273" s="31"/>
      <c r="K273" s="67"/>
      <c r="L273" s="67"/>
      <c r="Q273" s="38"/>
    </row>
    <row r="274" spans="1:17" s="90" customFormat="1" ht="15" customHeight="1">
      <c r="A274" s="15"/>
      <c r="B274" s="41"/>
      <c r="C274" s="31"/>
      <c r="D274" s="31"/>
      <c r="E274" s="31"/>
      <c r="F274" s="65"/>
      <c r="G274" s="31"/>
      <c r="H274" s="31"/>
      <c r="I274" s="65"/>
      <c r="J274" s="31"/>
      <c r="K274" s="67"/>
      <c r="L274" s="67"/>
      <c r="Q274" s="38"/>
    </row>
    <row r="275" spans="1:17" s="90" customFormat="1" ht="15" customHeight="1">
      <c r="A275" s="15"/>
      <c r="B275" s="41"/>
      <c r="C275" s="31"/>
      <c r="D275" s="31"/>
      <c r="E275" s="31"/>
      <c r="F275" s="65"/>
      <c r="G275" s="31"/>
      <c r="H275" s="31"/>
      <c r="I275" s="65"/>
      <c r="J275" s="31"/>
      <c r="K275" s="67"/>
      <c r="L275" s="67"/>
      <c r="Q275" s="38"/>
    </row>
    <row r="276" spans="1:17" s="90" customFormat="1" ht="15" customHeight="1">
      <c r="A276" s="15"/>
      <c r="B276" s="41"/>
      <c r="C276" s="31"/>
      <c r="D276" s="31"/>
      <c r="E276" s="31"/>
      <c r="F276" s="65"/>
      <c r="G276" s="31"/>
      <c r="H276" s="31"/>
      <c r="I276" s="65"/>
      <c r="J276" s="31"/>
      <c r="K276" s="67"/>
      <c r="L276" s="67"/>
      <c r="Q276" s="38"/>
    </row>
    <row r="277" spans="1:17" s="90" customFormat="1" ht="15" customHeight="1">
      <c r="A277" s="15"/>
      <c r="B277" s="41"/>
      <c r="C277" s="31"/>
      <c r="D277" s="31"/>
      <c r="E277" s="31"/>
      <c r="F277" s="65"/>
      <c r="G277" s="31"/>
      <c r="H277" s="31"/>
      <c r="I277" s="65"/>
      <c r="J277" s="31"/>
      <c r="K277" s="67"/>
      <c r="L277" s="67"/>
      <c r="Q277" s="38"/>
    </row>
    <row r="278" spans="1:17" s="90" customFormat="1" ht="15" customHeight="1">
      <c r="A278" s="15"/>
      <c r="B278" s="41"/>
      <c r="C278" s="31"/>
      <c r="D278" s="31"/>
      <c r="E278" s="31"/>
      <c r="F278" s="65"/>
      <c r="G278" s="31"/>
      <c r="H278" s="31"/>
      <c r="I278" s="65"/>
      <c r="J278" s="31"/>
      <c r="K278" s="67"/>
      <c r="L278" s="67"/>
      <c r="Q278" s="38"/>
    </row>
    <row r="279" spans="1:17" s="90" customFormat="1" ht="15" customHeight="1">
      <c r="A279" s="15"/>
      <c r="B279" s="41"/>
      <c r="C279" s="31"/>
      <c r="D279" s="31"/>
      <c r="E279" s="31"/>
      <c r="F279" s="65"/>
      <c r="G279" s="31"/>
      <c r="H279" s="31"/>
      <c r="I279" s="65"/>
      <c r="J279" s="31"/>
      <c r="K279" s="67"/>
      <c r="L279" s="67"/>
      <c r="Q279" s="38"/>
    </row>
    <row r="280" spans="1:17" s="90" customFormat="1" ht="15" customHeight="1">
      <c r="A280" s="15"/>
      <c r="B280" s="41"/>
      <c r="C280" s="31"/>
      <c r="D280" s="31"/>
      <c r="E280" s="31"/>
      <c r="F280" s="65"/>
      <c r="G280" s="31"/>
      <c r="H280" s="31"/>
      <c r="I280" s="65"/>
      <c r="J280" s="31"/>
      <c r="K280" s="67"/>
      <c r="L280" s="67"/>
      <c r="Q280" s="38"/>
    </row>
    <row r="281" spans="1:17" s="90" customFormat="1" ht="15" customHeight="1">
      <c r="A281" s="15"/>
      <c r="B281" s="41"/>
      <c r="C281" s="31"/>
      <c r="D281" s="31"/>
      <c r="E281" s="31"/>
      <c r="F281" s="65"/>
      <c r="G281" s="31"/>
      <c r="H281" s="31"/>
      <c r="I281" s="65"/>
      <c r="J281" s="31"/>
      <c r="K281" s="67"/>
      <c r="L281" s="67"/>
      <c r="Q281" s="38"/>
    </row>
    <row r="282" spans="1:17" s="90" customFormat="1" ht="15" customHeight="1">
      <c r="A282" s="15"/>
      <c r="B282" s="41"/>
      <c r="C282" s="31"/>
      <c r="D282" s="31"/>
      <c r="E282" s="31"/>
      <c r="F282" s="65"/>
      <c r="G282" s="31"/>
      <c r="H282" s="31"/>
      <c r="I282" s="65"/>
      <c r="J282" s="31"/>
      <c r="K282" s="67"/>
      <c r="L282" s="67"/>
      <c r="Q282" s="38"/>
    </row>
    <row r="283" spans="1:17" s="90" customFormat="1" ht="15" customHeight="1">
      <c r="A283" s="15"/>
      <c r="B283" s="41"/>
      <c r="C283" s="31"/>
      <c r="D283" s="31"/>
      <c r="E283" s="31"/>
      <c r="F283" s="65"/>
      <c r="G283" s="31"/>
      <c r="H283" s="31"/>
      <c r="I283" s="65"/>
      <c r="J283" s="31"/>
      <c r="K283" s="67"/>
      <c r="L283" s="67"/>
      <c r="Q283" s="38"/>
    </row>
    <row r="284" spans="1:17" s="90" customFormat="1" ht="15" customHeight="1">
      <c r="A284" s="15"/>
      <c r="B284" s="41"/>
      <c r="C284" s="31"/>
      <c r="D284" s="31"/>
      <c r="E284" s="31"/>
      <c r="F284" s="65"/>
      <c r="G284" s="31"/>
      <c r="H284" s="31"/>
      <c r="I284" s="65"/>
      <c r="J284" s="31"/>
      <c r="K284" s="67"/>
      <c r="L284" s="67"/>
      <c r="Q284" s="38"/>
    </row>
    <row r="285" spans="1:17" s="90" customFormat="1" ht="15" customHeight="1">
      <c r="A285" s="15"/>
      <c r="B285" s="41"/>
      <c r="C285" s="31"/>
      <c r="D285" s="31"/>
      <c r="E285" s="31"/>
      <c r="F285" s="65"/>
      <c r="G285" s="31"/>
      <c r="H285" s="31"/>
      <c r="I285" s="65"/>
      <c r="J285" s="31"/>
      <c r="K285" s="67"/>
      <c r="L285" s="67"/>
      <c r="Q285" s="38"/>
    </row>
    <row r="286" spans="1:17" s="90" customFormat="1" ht="15" customHeight="1">
      <c r="A286" s="15"/>
      <c r="B286" s="41"/>
      <c r="C286" s="31"/>
      <c r="D286" s="31"/>
      <c r="E286" s="31"/>
      <c r="F286" s="65"/>
      <c r="G286" s="31"/>
      <c r="H286" s="31"/>
      <c r="I286" s="65"/>
      <c r="J286" s="31"/>
      <c r="K286" s="67"/>
      <c r="L286" s="67"/>
      <c r="Q286" s="38"/>
    </row>
    <row r="287" spans="1:17" s="90" customFormat="1" ht="15" customHeight="1">
      <c r="A287" s="15"/>
      <c r="B287" s="41"/>
      <c r="C287" s="31"/>
      <c r="D287" s="31"/>
      <c r="E287" s="31"/>
      <c r="F287" s="65"/>
      <c r="G287" s="31"/>
      <c r="H287" s="31"/>
      <c r="I287" s="65"/>
      <c r="J287" s="31"/>
      <c r="K287" s="67"/>
      <c r="L287" s="67"/>
      <c r="Q287" s="38"/>
    </row>
    <row r="288" spans="1:17" s="90" customFormat="1" ht="15" customHeight="1">
      <c r="A288" s="15"/>
      <c r="B288" s="41"/>
      <c r="C288" s="31"/>
      <c r="D288" s="31"/>
      <c r="E288" s="31"/>
      <c r="F288" s="65"/>
      <c r="G288" s="31"/>
      <c r="H288" s="31"/>
      <c r="I288" s="65"/>
      <c r="J288" s="31"/>
      <c r="K288" s="67"/>
      <c r="L288" s="67"/>
      <c r="Q288" s="38"/>
    </row>
    <row r="289" spans="1:17" s="90" customFormat="1" ht="15" customHeight="1">
      <c r="A289" s="15"/>
      <c r="B289" s="41"/>
      <c r="C289" s="31"/>
      <c r="D289" s="31"/>
      <c r="E289" s="31"/>
      <c r="F289" s="65"/>
      <c r="G289" s="31"/>
      <c r="H289" s="31"/>
      <c r="I289" s="65"/>
      <c r="J289" s="31"/>
      <c r="K289" s="67"/>
      <c r="L289" s="67"/>
      <c r="Q289" s="38"/>
    </row>
    <row r="290" spans="1:17" s="90" customFormat="1" ht="15" customHeight="1">
      <c r="A290" s="15"/>
      <c r="B290" s="41"/>
      <c r="C290" s="31"/>
      <c r="D290" s="31"/>
      <c r="E290" s="31"/>
      <c r="F290" s="65"/>
      <c r="G290" s="31"/>
      <c r="H290" s="31"/>
      <c r="I290" s="65"/>
      <c r="J290" s="31"/>
      <c r="K290" s="67"/>
      <c r="L290" s="67"/>
      <c r="Q290" s="38"/>
    </row>
    <row r="291" spans="1:17" s="90" customFormat="1" ht="15" customHeight="1">
      <c r="A291" s="15"/>
      <c r="B291" s="41"/>
      <c r="C291" s="31"/>
      <c r="D291" s="31"/>
      <c r="E291" s="31"/>
      <c r="F291" s="65"/>
      <c r="G291" s="31"/>
      <c r="H291" s="31"/>
      <c r="I291" s="65"/>
      <c r="J291" s="31"/>
      <c r="K291" s="67"/>
      <c r="L291" s="67"/>
      <c r="Q291" s="38"/>
    </row>
    <row r="292" spans="1:17" s="90" customFormat="1" ht="15" customHeight="1">
      <c r="A292" s="15"/>
      <c r="B292" s="41"/>
      <c r="C292" s="31"/>
      <c r="D292" s="31"/>
      <c r="E292" s="31"/>
      <c r="F292" s="65"/>
      <c r="G292" s="31"/>
      <c r="H292" s="31"/>
      <c r="I292" s="65"/>
      <c r="J292" s="31"/>
      <c r="K292" s="67"/>
      <c r="L292" s="67"/>
      <c r="Q292" s="38"/>
    </row>
    <row r="293" spans="1:17" s="90" customFormat="1" ht="15" customHeight="1">
      <c r="A293" s="15"/>
      <c r="B293" s="41"/>
      <c r="C293" s="31"/>
      <c r="D293" s="31"/>
      <c r="E293" s="31"/>
      <c r="F293" s="65"/>
      <c r="G293" s="31"/>
      <c r="H293" s="31"/>
      <c r="I293" s="65"/>
      <c r="J293" s="31"/>
      <c r="K293" s="67"/>
      <c r="L293" s="67"/>
      <c r="Q293" s="38"/>
    </row>
    <row r="294" spans="1:17" s="90" customFormat="1" ht="15" customHeight="1">
      <c r="A294" s="15"/>
      <c r="B294" s="41"/>
      <c r="C294" s="31"/>
      <c r="D294" s="31"/>
      <c r="E294" s="31"/>
      <c r="F294" s="65"/>
      <c r="G294" s="31"/>
      <c r="H294" s="31"/>
      <c r="I294" s="65"/>
      <c r="J294" s="31"/>
      <c r="K294" s="67"/>
      <c r="L294" s="67"/>
      <c r="Q294" s="38"/>
    </row>
    <row r="295" spans="1:17" s="90" customFormat="1" ht="15" customHeight="1">
      <c r="A295" s="15"/>
      <c r="B295" s="41"/>
      <c r="C295" s="31"/>
      <c r="D295" s="31"/>
      <c r="E295" s="31"/>
      <c r="F295" s="65"/>
      <c r="G295" s="31"/>
      <c r="H295" s="31"/>
      <c r="I295" s="65"/>
      <c r="J295" s="31"/>
      <c r="K295" s="67"/>
      <c r="L295" s="67"/>
      <c r="Q295" s="38"/>
    </row>
    <row r="296" spans="1:17" s="90" customFormat="1" ht="15" customHeight="1">
      <c r="A296" s="15"/>
      <c r="B296" s="41"/>
      <c r="C296" s="31"/>
      <c r="D296" s="31"/>
      <c r="E296" s="31"/>
      <c r="F296" s="65"/>
      <c r="G296" s="31"/>
      <c r="H296" s="31"/>
      <c r="I296" s="65"/>
      <c r="J296" s="31"/>
      <c r="K296" s="67"/>
      <c r="L296" s="67"/>
      <c r="Q296" s="38"/>
    </row>
    <row r="297" spans="1:17" s="90" customFormat="1" ht="15" customHeight="1">
      <c r="A297" s="15"/>
      <c r="B297" s="41"/>
      <c r="C297" s="31"/>
      <c r="D297" s="31"/>
      <c r="E297" s="31"/>
      <c r="F297" s="65"/>
      <c r="G297" s="31"/>
      <c r="H297" s="31"/>
      <c r="I297" s="65"/>
      <c r="J297" s="31"/>
      <c r="K297" s="67"/>
      <c r="L297" s="67"/>
      <c r="Q297" s="38"/>
    </row>
    <row r="298" spans="1:17" s="90" customFormat="1" ht="15" customHeight="1">
      <c r="A298" s="15"/>
      <c r="B298" s="41"/>
      <c r="C298" s="31"/>
      <c r="D298" s="31"/>
      <c r="E298" s="31"/>
      <c r="F298" s="65"/>
      <c r="G298" s="31"/>
      <c r="H298" s="31"/>
      <c r="I298" s="65"/>
      <c r="J298" s="31"/>
      <c r="K298" s="67"/>
      <c r="L298" s="67"/>
      <c r="Q298" s="38"/>
    </row>
    <row r="299" spans="1:17" s="90" customFormat="1" ht="15" customHeight="1">
      <c r="A299" s="15"/>
      <c r="B299" s="41"/>
      <c r="C299" s="31"/>
      <c r="D299" s="31"/>
      <c r="E299" s="31"/>
      <c r="F299" s="65"/>
      <c r="G299" s="31"/>
      <c r="H299" s="31"/>
      <c r="I299" s="65"/>
      <c r="J299" s="31"/>
      <c r="K299" s="67"/>
      <c r="L299" s="67"/>
      <c r="Q299" s="38"/>
    </row>
    <row r="300" spans="1:17" s="90" customFormat="1" ht="15" customHeight="1">
      <c r="A300" s="15"/>
      <c r="B300" s="41"/>
      <c r="C300" s="31"/>
      <c r="D300" s="31"/>
      <c r="E300" s="31"/>
      <c r="F300" s="65"/>
      <c r="G300" s="31"/>
      <c r="H300" s="31"/>
      <c r="I300" s="65"/>
      <c r="J300" s="31"/>
      <c r="K300" s="67"/>
      <c r="L300" s="67"/>
      <c r="Q300" s="38"/>
    </row>
    <row r="301" spans="1:17" s="90" customFormat="1" ht="15" customHeight="1">
      <c r="A301" s="15"/>
      <c r="B301" s="41"/>
      <c r="C301" s="31"/>
      <c r="D301" s="31"/>
      <c r="E301" s="31"/>
      <c r="F301" s="65"/>
      <c r="G301" s="31"/>
      <c r="H301" s="31"/>
      <c r="I301" s="65"/>
      <c r="J301" s="31"/>
      <c r="K301" s="67"/>
      <c r="L301" s="67"/>
      <c r="Q301" s="38"/>
    </row>
    <row r="302" spans="1:17" s="90" customFormat="1" ht="15" customHeight="1">
      <c r="A302" s="15"/>
      <c r="B302" s="41"/>
      <c r="C302" s="31"/>
      <c r="D302" s="31"/>
      <c r="E302" s="31"/>
      <c r="F302" s="65"/>
      <c r="G302" s="31"/>
      <c r="H302" s="31"/>
      <c r="I302" s="65"/>
      <c r="J302" s="31"/>
      <c r="K302" s="67"/>
      <c r="L302" s="67"/>
      <c r="Q302" s="38"/>
    </row>
    <row r="303" spans="1:17" s="90" customFormat="1" ht="15" customHeight="1">
      <c r="A303" s="15"/>
      <c r="B303" s="41"/>
      <c r="C303" s="31"/>
      <c r="D303" s="31"/>
      <c r="E303" s="31"/>
      <c r="F303" s="65"/>
      <c r="G303" s="31"/>
      <c r="H303" s="31"/>
      <c r="I303" s="65"/>
      <c r="J303" s="31"/>
      <c r="K303" s="67"/>
      <c r="L303" s="67"/>
      <c r="Q303" s="38"/>
    </row>
    <row r="304" spans="1:17" s="90" customFormat="1" ht="15" customHeight="1">
      <c r="A304" s="15"/>
      <c r="B304" s="41"/>
      <c r="C304" s="31"/>
      <c r="D304" s="31"/>
      <c r="E304" s="31"/>
      <c r="F304" s="65"/>
      <c r="G304" s="31"/>
      <c r="H304" s="31"/>
      <c r="I304" s="65"/>
      <c r="J304" s="31"/>
      <c r="K304" s="67"/>
      <c r="L304" s="67"/>
      <c r="Q304" s="38"/>
    </row>
    <row r="305" spans="1:17" s="90" customFormat="1" ht="15" customHeight="1">
      <c r="A305" s="15"/>
      <c r="B305" s="41"/>
      <c r="C305" s="31"/>
      <c r="D305" s="31"/>
      <c r="E305" s="31"/>
      <c r="F305" s="65"/>
      <c r="G305" s="31"/>
      <c r="H305" s="31"/>
      <c r="I305" s="65"/>
      <c r="J305" s="31"/>
      <c r="K305" s="67"/>
      <c r="L305" s="67"/>
      <c r="Q305" s="38"/>
    </row>
    <row r="306" spans="1:17" s="90" customFormat="1" ht="15" customHeight="1">
      <c r="A306" s="15"/>
      <c r="B306" s="41"/>
      <c r="C306" s="31"/>
      <c r="D306" s="31"/>
      <c r="E306" s="31"/>
      <c r="F306" s="65"/>
      <c r="G306" s="31"/>
      <c r="H306" s="31"/>
      <c r="I306" s="65"/>
      <c r="J306" s="31"/>
      <c r="K306" s="67"/>
      <c r="L306" s="67"/>
      <c r="Q306" s="38"/>
    </row>
    <row r="307" spans="1:17" s="90" customFormat="1" ht="15" customHeight="1">
      <c r="A307" s="15"/>
      <c r="B307" s="41"/>
      <c r="C307" s="31"/>
      <c r="D307" s="31"/>
      <c r="E307" s="31"/>
      <c r="F307" s="65"/>
      <c r="G307" s="31"/>
      <c r="H307" s="31"/>
      <c r="I307" s="65"/>
      <c r="J307" s="31"/>
      <c r="K307" s="67"/>
      <c r="L307" s="67"/>
      <c r="Q307" s="38"/>
    </row>
    <row r="308" spans="1:17" s="90" customFormat="1" ht="15" customHeight="1">
      <c r="A308" s="15"/>
      <c r="B308" s="41"/>
      <c r="C308" s="31"/>
      <c r="D308" s="31"/>
      <c r="E308" s="31"/>
      <c r="F308" s="65"/>
      <c r="G308" s="31"/>
      <c r="H308" s="31"/>
      <c r="I308" s="65"/>
      <c r="J308" s="31"/>
      <c r="K308" s="67"/>
      <c r="L308" s="67"/>
      <c r="Q308" s="38"/>
    </row>
    <row r="309" spans="1:17" s="90" customFormat="1" ht="15" customHeight="1">
      <c r="A309" s="15"/>
      <c r="B309" s="41"/>
      <c r="C309" s="31"/>
      <c r="D309" s="31"/>
      <c r="E309" s="31"/>
      <c r="F309" s="65"/>
      <c r="G309" s="31"/>
      <c r="H309" s="31"/>
      <c r="I309" s="65"/>
      <c r="J309" s="31"/>
      <c r="K309" s="67"/>
      <c r="L309" s="67"/>
      <c r="Q309" s="38"/>
    </row>
    <row r="310" spans="1:17" s="90" customFormat="1" ht="15" customHeight="1">
      <c r="A310" s="15"/>
      <c r="B310" s="41"/>
      <c r="C310" s="31"/>
      <c r="D310" s="31"/>
      <c r="E310" s="31"/>
      <c r="F310" s="65"/>
      <c r="G310" s="31"/>
      <c r="H310" s="31"/>
      <c r="I310" s="65"/>
      <c r="J310" s="31"/>
      <c r="K310" s="67"/>
      <c r="L310" s="67"/>
      <c r="Q310" s="38"/>
    </row>
    <row r="311" spans="1:17" s="90" customFormat="1" ht="15" customHeight="1">
      <c r="A311" s="15"/>
      <c r="B311" s="41"/>
      <c r="C311" s="31"/>
      <c r="D311" s="31"/>
      <c r="E311" s="31"/>
      <c r="F311" s="65"/>
      <c r="G311" s="31"/>
      <c r="H311" s="31"/>
      <c r="I311" s="65"/>
      <c r="J311" s="31"/>
      <c r="K311" s="67"/>
      <c r="L311" s="67"/>
      <c r="Q311" s="38"/>
    </row>
    <row r="312" spans="1:17" s="90" customFormat="1" ht="15" customHeight="1">
      <c r="A312" s="15"/>
      <c r="B312" s="41"/>
      <c r="C312" s="31"/>
      <c r="D312" s="31"/>
      <c r="E312" s="31"/>
      <c r="F312" s="65"/>
      <c r="G312" s="31"/>
      <c r="H312" s="31"/>
      <c r="I312" s="65"/>
      <c r="J312" s="31"/>
      <c r="K312" s="67"/>
      <c r="L312" s="67"/>
      <c r="Q312" s="38"/>
    </row>
    <row r="313" spans="1:17" s="90" customFormat="1" ht="15" customHeight="1">
      <c r="A313" s="15"/>
      <c r="B313" s="41"/>
      <c r="C313" s="31"/>
      <c r="D313" s="31"/>
      <c r="E313" s="31"/>
      <c r="F313" s="65"/>
      <c r="G313" s="31"/>
      <c r="H313" s="31"/>
      <c r="I313" s="65"/>
      <c r="J313" s="31"/>
      <c r="K313" s="67"/>
      <c r="L313" s="67"/>
      <c r="Q313" s="38"/>
    </row>
    <row r="314" spans="1:17" s="90" customFormat="1" ht="15" customHeight="1">
      <c r="A314" s="15"/>
      <c r="B314" s="41"/>
      <c r="C314" s="31"/>
      <c r="D314" s="31"/>
      <c r="E314" s="31"/>
      <c r="F314" s="65"/>
      <c r="G314" s="31"/>
      <c r="H314" s="31"/>
      <c r="I314" s="65"/>
      <c r="J314" s="31"/>
      <c r="K314" s="67"/>
      <c r="L314" s="67"/>
      <c r="Q314" s="38"/>
    </row>
    <row r="315" spans="1:17" s="90" customFormat="1" ht="15" customHeight="1">
      <c r="A315" s="15"/>
      <c r="B315" s="41"/>
      <c r="C315" s="31"/>
      <c r="D315" s="31"/>
      <c r="E315" s="31"/>
      <c r="F315" s="65"/>
      <c r="G315" s="31"/>
      <c r="H315" s="31"/>
      <c r="I315" s="65"/>
      <c r="J315" s="31"/>
      <c r="K315" s="67"/>
      <c r="L315" s="67"/>
      <c r="Q315" s="38"/>
    </row>
    <row r="316" spans="1:17" s="90" customFormat="1" ht="15" customHeight="1">
      <c r="A316" s="15"/>
      <c r="B316" s="41"/>
      <c r="C316" s="31"/>
      <c r="D316" s="31"/>
      <c r="E316" s="31"/>
      <c r="F316" s="65"/>
      <c r="G316" s="31"/>
      <c r="H316" s="31"/>
      <c r="I316" s="65"/>
      <c r="J316" s="31"/>
      <c r="K316" s="67"/>
      <c r="L316" s="67"/>
      <c r="Q316" s="38"/>
    </row>
    <row r="317" spans="1:17" s="90" customFormat="1" ht="15" customHeight="1">
      <c r="A317" s="15"/>
      <c r="B317" s="41"/>
      <c r="C317" s="31"/>
      <c r="D317" s="31"/>
      <c r="E317" s="31"/>
      <c r="F317" s="65"/>
      <c r="G317" s="31"/>
      <c r="H317" s="31"/>
      <c r="I317" s="65"/>
      <c r="J317" s="31"/>
      <c r="K317" s="67"/>
      <c r="L317" s="67"/>
      <c r="Q317" s="38"/>
    </row>
    <row r="318" spans="1:17" s="90" customFormat="1" ht="15" customHeight="1">
      <c r="A318" s="15"/>
      <c r="B318" s="41"/>
      <c r="C318" s="31"/>
      <c r="D318" s="31"/>
      <c r="E318" s="31"/>
      <c r="F318" s="65"/>
      <c r="G318" s="31"/>
      <c r="H318" s="31"/>
      <c r="I318" s="65"/>
      <c r="J318" s="31"/>
      <c r="K318" s="67"/>
      <c r="L318" s="67"/>
      <c r="Q318" s="38"/>
    </row>
    <row r="319" spans="1:17" s="90" customFormat="1" ht="15" customHeight="1">
      <c r="A319" s="15"/>
      <c r="B319" s="41"/>
      <c r="C319" s="31"/>
      <c r="D319" s="31"/>
      <c r="E319" s="31"/>
      <c r="F319" s="65"/>
      <c r="G319" s="31"/>
      <c r="H319" s="31"/>
      <c r="I319" s="65"/>
      <c r="J319" s="31"/>
      <c r="K319" s="67"/>
      <c r="L319" s="67"/>
      <c r="Q319" s="38"/>
    </row>
    <row r="320" spans="1:17" s="90" customFormat="1" ht="15" customHeight="1">
      <c r="A320" s="15"/>
      <c r="B320" s="41"/>
      <c r="C320" s="31"/>
      <c r="D320" s="31"/>
      <c r="E320" s="31"/>
      <c r="F320" s="65"/>
      <c r="G320" s="31"/>
      <c r="H320" s="31"/>
      <c r="I320" s="65"/>
      <c r="J320" s="31"/>
      <c r="K320" s="67"/>
      <c r="L320" s="67"/>
      <c r="Q320" s="38"/>
    </row>
    <row r="321" spans="1:17" s="90" customFormat="1" ht="15" customHeight="1">
      <c r="A321" s="15"/>
      <c r="B321" s="41"/>
      <c r="C321" s="31"/>
      <c r="D321" s="31"/>
      <c r="E321" s="31"/>
      <c r="F321" s="65"/>
      <c r="G321" s="31"/>
      <c r="H321" s="31"/>
      <c r="I321" s="65"/>
      <c r="J321" s="31"/>
      <c r="K321" s="67"/>
      <c r="L321" s="67"/>
      <c r="Q321" s="38"/>
    </row>
    <row r="322" spans="1:17" s="90" customFormat="1" ht="15" customHeight="1">
      <c r="A322" s="15"/>
      <c r="B322" s="41"/>
      <c r="C322" s="31"/>
      <c r="D322" s="31"/>
      <c r="E322" s="31"/>
      <c r="F322" s="65"/>
      <c r="G322" s="31"/>
      <c r="H322" s="31"/>
      <c r="I322" s="65"/>
      <c r="J322" s="31"/>
      <c r="K322" s="67"/>
      <c r="L322" s="67"/>
      <c r="Q322" s="38"/>
    </row>
    <row r="323" spans="1:17" s="90" customFormat="1" ht="15" customHeight="1">
      <c r="A323" s="15"/>
      <c r="B323" s="41"/>
      <c r="C323" s="31"/>
      <c r="D323" s="31"/>
      <c r="E323" s="31"/>
      <c r="F323" s="65"/>
      <c r="G323" s="31"/>
      <c r="H323" s="31"/>
      <c r="I323" s="65"/>
      <c r="J323" s="31"/>
      <c r="K323" s="67"/>
      <c r="L323" s="67"/>
      <c r="Q323" s="38"/>
    </row>
    <row r="324" spans="1:17" s="90" customFormat="1" ht="15" customHeight="1">
      <c r="A324" s="15"/>
      <c r="B324" s="41"/>
      <c r="C324" s="31"/>
      <c r="D324" s="31"/>
      <c r="E324" s="31"/>
      <c r="F324" s="65"/>
      <c r="G324" s="31"/>
      <c r="H324" s="31"/>
      <c r="I324" s="65"/>
      <c r="J324" s="31"/>
      <c r="K324" s="67"/>
      <c r="L324" s="67"/>
      <c r="Q324" s="38"/>
    </row>
    <row r="325" spans="1:17" s="90" customFormat="1" ht="15" customHeight="1">
      <c r="A325" s="15"/>
      <c r="B325" s="41"/>
      <c r="C325" s="31"/>
      <c r="D325" s="31"/>
      <c r="E325" s="31"/>
      <c r="F325" s="65"/>
      <c r="G325" s="31"/>
      <c r="H325" s="31"/>
      <c r="I325" s="65"/>
      <c r="J325" s="31"/>
      <c r="K325" s="67"/>
      <c r="L325" s="67"/>
      <c r="Q325" s="38"/>
    </row>
    <row r="326" spans="1:17" s="90" customFormat="1" ht="15" customHeight="1">
      <c r="A326" s="15"/>
      <c r="B326" s="41"/>
      <c r="C326" s="31"/>
      <c r="D326" s="31"/>
      <c r="E326" s="31"/>
      <c r="F326" s="65"/>
      <c r="G326" s="31"/>
      <c r="H326" s="31"/>
      <c r="I326" s="65"/>
      <c r="J326" s="31"/>
      <c r="K326" s="67"/>
      <c r="L326" s="67"/>
      <c r="Q326" s="38"/>
    </row>
    <row r="327" spans="1:17" s="90" customFormat="1" ht="15" customHeight="1">
      <c r="A327" s="15"/>
      <c r="B327" s="41"/>
      <c r="C327" s="31"/>
      <c r="D327" s="31"/>
      <c r="E327" s="31"/>
      <c r="F327" s="65"/>
      <c r="G327" s="31"/>
      <c r="H327" s="31"/>
      <c r="I327" s="65"/>
      <c r="J327" s="31"/>
      <c r="K327" s="67"/>
      <c r="L327" s="67"/>
      <c r="Q327" s="38"/>
    </row>
    <row r="328" spans="1:17" s="90" customFormat="1" ht="15" customHeight="1">
      <c r="A328" s="15"/>
      <c r="B328" s="41"/>
      <c r="C328" s="31"/>
      <c r="D328" s="31"/>
      <c r="E328" s="31"/>
      <c r="F328" s="65"/>
      <c r="G328" s="31"/>
      <c r="H328" s="31"/>
      <c r="I328" s="65"/>
      <c r="J328" s="31"/>
      <c r="K328" s="67"/>
      <c r="L328" s="67"/>
      <c r="Q328" s="38"/>
    </row>
    <row r="329" spans="1:17" s="90" customFormat="1" ht="15" customHeight="1">
      <c r="A329" s="15"/>
      <c r="B329" s="41"/>
      <c r="C329" s="31"/>
      <c r="D329" s="31"/>
      <c r="E329" s="31"/>
      <c r="F329" s="65"/>
      <c r="G329" s="31"/>
      <c r="H329" s="31"/>
      <c r="I329" s="65"/>
      <c r="J329" s="31"/>
      <c r="K329" s="67"/>
      <c r="L329" s="67"/>
      <c r="Q329" s="38"/>
    </row>
    <row r="330" spans="1:17" s="90" customFormat="1" ht="15" customHeight="1">
      <c r="A330" s="15"/>
      <c r="B330" s="41"/>
      <c r="C330" s="31"/>
      <c r="D330" s="31"/>
      <c r="E330" s="31"/>
      <c r="F330" s="65"/>
      <c r="G330" s="31"/>
      <c r="H330" s="31"/>
      <c r="I330" s="65"/>
      <c r="J330" s="31"/>
      <c r="K330" s="67"/>
      <c r="L330" s="67"/>
      <c r="Q330" s="38"/>
    </row>
    <row r="331" spans="1:17" s="90" customFormat="1" ht="15" customHeight="1">
      <c r="A331" s="15"/>
      <c r="B331" s="41"/>
      <c r="C331" s="31"/>
      <c r="D331" s="31"/>
      <c r="E331" s="31"/>
      <c r="F331" s="65"/>
      <c r="G331" s="31"/>
      <c r="H331" s="31"/>
      <c r="I331" s="65"/>
      <c r="J331" s="31"/>
      <c r="K331" s="67"/>
      <c r="L331" s="67"/>
      <c r="Q331" s="38"/>
    </row>
    <row r="332" spans="1:17" s="90" customFormat="1" ht="15" customHeight="1">
      <c r="A332" s="15"/>
      <c r="B332" s="41"/>
      <c r="C332" s="31"/>
      <c r="D332" s="31"/>
      <c r="E332" s="31"/>
      <c r="F332" s="65"/>
      <c r="G332" s="31"/>
      <c r="H332" s="31"/>
      <c r="I332" s="65"/>
      <c r="J332" s="31"/>
      <c r="K332" s="67"/>
      <c r="L332" s="67"/>
      <c r="Q332" s="38"/>
    </row>
    <row r="333" spans="1:17" s="90" customFormat="1" ht="15" customHeight="1">
      <c r="A333" s="15"/>
      <c r="B333" s="41"/>
      <c r="C333" s="31"/>
      <c r="D333" s="31"/>
      <c r="E333" s="31"/>
      <c r="F333" s="65"/>
      <c r="G333" s="31"/>
      <c r="H333" s="31"/>
      <c r="I333" s="65"/>
      <c r="J333" s="31"/>
      <c r="K333" s="67"/>
      <c r="L333" s="67"/>
      <c r="Q333" s="38"/>
    </row>
    <row r="334" spans="1:17" s="90" customFormat="1" ht="15" customHeight="1">
      <c r="A334" s="15"/>
      <c r="B334" s="41"/>
      <c r="C334" s="31"/>
      <c r="D334" s="31"/>
      <c r="E334" s="31"/>
      <c r="F334" s="65"/>
      <c r="G334" s="31"/>
      <c r="H334" s="31"/>
      <c r="I334" s="65"/>
      <c r="J334" s="31"/>
      <c r="K334" s="67"/>
      <c r="L334" s="67"/>
      <c r="Q334" s="38"/>
    </row>
    <row r="335" spans="1:17" s="90" customFormat="1" ht="15" customHeight="1">
      <c r="A335" s="15"/>
      <c r="B335" s="41"/>
      <c r="C335" s="31"/>
      <c r="D335" s="31"/>
      <c r="E335" s="31"/>
      <c r="F335" s="65"/>
      <c r="G335" s="31"/>
      <c r="H335" s="31"/>
      <c r="I335" s="65"/>
      <c r="J335" s="31"/>
      <c r="K335" s="67"/>
      <c r="L335" s="67"/>
      <c r="Q335" s="38"/>
    </row>
    <row r="336" spans="1:17" s="90" customFormat="1" ht="15" customHeight="1">
      <c r="A336" s="15"/>
      <c r="B336" s="41"/>
      <c r="C336" s="31"/>
      <c r="D336" s="31"/>
      <c r="E336" s="31"/>
      <c r="F336" s="65"/>
      <c r="G336" s="31"/>
      <c r="H336" s="31"/>
      <c r="I336" s="65"/>
      <c r="J336" s="31"/>
      <c r="K336" s="67"/>
      <c r="L336" s="67"/>
      <c r="Q336" s="38"/>
    </row>
    <row r="337" spans="1:17" s="90" customFormat="1" ht="15" customHeight="1">
      <c r="A337" s="15"/>
      <c r="B337" s="41"/>
      <c r="C337" s="31"/>
      <c r="D337" s="31"/>
      <c r="E337" s="31"/>
      <c r="F337" s="65"/>
      <c r="G337" s="31"/>
      <c r="H337" s="31"/>
      <c r="I337" s="65"/>
      <c r="J337" s="31"/>
      <c r="K337" s="67"/>
      <c r="L337" s="67"/>
      <c r="Q337" s="38"/>
    </row>
    <row r="338" spans="1:17" s="90" customFormat="1" ht="15" customHeight="1">
      <c r="A338" s="15"/>
      <c r="B338" s="41"/>
      <c r="C338" s="31"/>
      <c r="D338" s="31"/>
      <c r="E338" s="31"/>
      <c r="F338" s="65"/>
      <c r="G338" s="31"/>
      <c r="H338" s="31"/>
      <c r="I338" s="65"/>
      <c r="J338" s="31"/>
      <c r="K338" s="67"/>
      <c r="L338" s="67"/>
      <c r="Q338" s="38"/>
    </row>
    <row r="339" spans="1:17" s="90" customFormat="1" ht="15" customHeight="1">
      <c r="A339" s="15"/>
      <c r="B339" s="41"/>
      <c r="C339" s="31"/>
      <c r="D339" s="31"/>
      <c r="E339" s="31"/>
      <c r="F339" s="65"/>
      <c r="G339" s="31"/>
      <c r="H339" s="31"/>
      <c r="I339" s="65"/>
      <c r="J339" s="31"/>
      <c r="K339" s="67"/>
      <c r="L339" s="67"/>
      <c r="Q339" s="38"/>
    </row>
    <row r="340" spans="1:17" s="90" customFormat="1" ht="15" customHeight="1">
      <c r="A340" s="15"/>
      <c r="B340" s="41"/>
      <c r="C340" s="31"/>
      <c r="D340" s="31"/>
      <c r="E340" s="31"/>
      <c r="F340" s="65"/>
      <c r="G340" s="31"/>
      <c r="H340" s="31"/>
      <c r="I340" s="65"/>
      <c r="J340" s="31"/>
      <c r="K340" s="67"/>
      <c r="L340" s="67"/>
      <c r="Q340" s="38"/>
    </row>
    <row r="341" spans="1:17" s="90" customFormat="1" ht="15" customHeight="1">
      <c r="A341" s="15"/>
      <c r="B341" s="41"/>
      <c r="C341" s="31"/>
      <c r="D341" s="31"/>
      <c r="E341" s="31"/>
      <c r="F341" s="65"/>
      <c r="G341" s="31"/>
      <c r="H341" s="31"/>
      <c r="I341" s="65"/>
      <c r="J341" s="31"/>
      <c r="K341" s="67"/>
      <c r="L341" s="67"/>
      <c r="Q341" s="38"/>
    </row>
    <row r="342" spans="1:17" s="90" customFormat="1" ht="15" customHeight="1">
      <c r="A342" s="15"/>
      <c r="B342" s="41"/>
      <c r="C342" s="31"/>
      <c r="D342" s="31"/>
      <c r="E342" s="31"/>
      <c r="F342" s="65"/>
      <c r="G342" s="31"/>
      <c r="H342" s="31"/>
      <c r="I342" s="65"/>
      <c r="J342" s="31"/>
      <c r="K342" s="67"/>
      <c r="L342" s="67"/>
      <c r="Q342" s="38"/>
    </row>
    <row r="343" spans="1:17" s="90" customFormat="1" ht="15" customHeight="1">
      <c r="A343" s="15"/>
      <c r="B343" s="41"/>
      <c r="C343" s="31"/>
      <c r="D343" s="31"/>
      <c r="E343" s="31"/>
      <c r="F343" s="65"/>
      <c r="G343" s="31"/>
      <c r="H343" s="31"/>
      <c r="I343" s="65"/>
      <c r="J343" s="31"/>
      <c r="K343" s="67"/>
      <c r="L343" s="67"/>
      <c r="Q343" s="38"/>
    </row>
    <row r="344" spans="1:17" s="90" customFormat="1" ht="15" customHeight="1">
      <c r="A344" s="15"/>
      <c r="B344" s="41"/>
      <c r="C344" s="31"/>
      <c r="D344" s="31"/>
      <c r="E344" s="31"/>
      <c r="F344" s="65"/>
      <c r="G344" s="31"/>
      <c r="H344" s="31"/>
      <c r="I344" s="65"/>
      <c r="J344" s="31"/>
      <c r="K344" s="67"/>
      <c r="L344" s="67"/>
      <c r="Q344" s="38"/>
    </row>
    <row r="345" spans="1:17" s="90" customFormat="1" ht="15" customHeight="1">
      <c r="A345" s="15"/>
      <c r="B345" s="41"/>
      <c r="C345" s="31"/>
      <c r="D345" s="31"/>
      <c r="E345" s="31"/>
      <c r="F345" s="65"/>
      <c r="G345" s="31"/>
      <c r="H345" s="31"/>
      <c r="I345" s="65"/>
      <c r="J345" s="31"/>
      <c r="K345" s="67"/>
      <c r="L345" s="67"/>
      <c r="Q345" s="38"/>
    </row>
    <row r="346" spans="1:17" s="90" customFormat="1" ht="15" customHeight="1">
      <c r="A346" s="15"/>
      <c r="B346" s="41"/>
      <c r="C346" s="31"/>
      <c r="D346" s="31"/>
      <c r="E346" s="31"/>
      <c r="F346" s="65"/>
      <c r="G346" s="31"/>
      <c r="H346" s="31"/>
      <c r="I346" s="65"/>
      <c r="J346" s="31"/>
      <c r="K346" s="67"/>
      <c r="L346" s="67"/>
      <c r="Q346" s="38"/>
    </row>
    <row r="347" spans="1:17" s="90" customFormat="1" ht="15" customHeight="1">
      <c r="A347" s="15"/>
      <c r="B347" s="41"/>
      <c r="C347" s="31"/>
      <c r="D347" s="31"/>
      <c r="E347" s="31"/>
      <c r="F347" s="65"/>
      <c r="G347" s="31"/>
      <c r="H347" s="31"/>
      <c r="I347" s="65"/>
      <c r="J347" s="31"/>
      <c r="K347" s="67"/>
      <c r="L347" s="67"/>
      <c r="Q347" s="38"/>
    </row>
    <row r="348" spans="1:17" s="90" customFormat="1" ht="15" customHeight="1">
      <c r="A348" s="15"/>
      <c r="B348" s="41"/>
      <c r="C348" s="31"/>
      <c r="D348" s="31"/>
      <c r="E348" s="31"/>
      <c r="F348" s="65"/>
      <c r="G348" s="31"/>
      <c r="H348" s="31"/>
      <c r="I348" s="65"/>
      <c r="J348" s="31"/>
      <c r="K348" s="67"/>
      <c r="L348" s="67"/>
      <c r="Q348" s="38"/>
    </row>
    <row r="349" spans="1:17" s="90" customFormat="1" ht="15" customHeight="1">
      <c r="A349" s="15"/>
      <c r="B349" s="41"/>
      <c r="C349" s="31"/>
      <c r="D349" s="31"/>
      <c r="E349" s="31"/>
      <c r="F349" s="65"/>
      <c r="G349" s="31"/>
      <c r="H349" s="31"/>
      <c r="I349" s="65"/>
      <c r="J349" s="31"/>
      <c r="K349" s="67"/>
      <c r="L349" s="67"/>
      <c r="Q349" s="38"/>
    </row>
    <row r="350" spans="1:17" s="90" customFormat="1" ht="15" customHeight="1">
      <c r="A350" s="15"/>
      <c r="B350" s="41"/>
      <c r="C350" s="31"/>
      <c r="D350" s="31"/>
      <c r="E350" s="31"/>
      <c r="F350" s="65"/>
      <c r="G350" s="31"/>
      <c r="H350" s="31"/>
      <c r="I350" s="65"/>
      <c r="J350" s="31"/>
      <c r="K350" s="67"/>
      <c r="L350" s="67"/>
      <c r="Q350" s="38"/>
    </row>
    <row r="351" spans="1:17" s="90" customFormat="1" ht="15" customHeight="1">
      <c r="A351" s="15"/>
      <c r="B351" s="41"/>
      <c r="C351" s="31"/>
      <c r="D351" s="31"/>
      <c r="E351" s="31"/>
      <c r="F351" s="65"/>
      <c r="G351" s="31"/>
      <c r="H351" s="31"/>
      <c r="I351" s="65"/>
      <c r="J351" s="31"/>
      <c r="K351" s="67"/>
      <c r="L351" s="67"/>
      <c r="Q351" s="38"/>
    </row>
    <row r="352" spans="1:17" s="90" customFormat="1" ht="15" customHeight="1">
      <c r="A352" s="15"/>
      <c r="B352" s="41"/>
      <c r="C352" s="31"/>
      <c r="D352" s="31"/>
      <c r="E352" s="31"/>
      <c r="F352" s="65"/>
      <c r="G352" s="31"/>
      <c r="H352" s="31"/>
      <c r="I352" s="65"/>
      <c r="J352" s="31"/>
      <c r="K352" s="67"/>
      <c r="L352" s="67"/>
      <c r="Q352" s="38"/>
    </row>
    <row r="353" spans="1:17" s="90" customFormat="1" ht="15" customHeight="1">
      <c r="A353" s="15"/>
      <c r="B353" s="41"/>
      <c r="C353" s="31"/>
      <c r="D353" s="31"/>
      <c r="E353" s="31"/>
      <c r="F353" s="65"/>
      <c r="G353" s="31"/>
      <c r="H353" s="31"/>
      <c r="I353" s="65"/>
      <c r="J353" s="31"/>
      <c r="K353" s="67"/>
      <c r="L353" s="67"/>
      <c r="Q353" s="38"/>
    </row>
    <row r="354" spans="1:17" s="90" customFormat="1" ht="15" customHeight="1">
      <c r="A354" s="15"/>
      <c r="B354" s="41"/>
      <c r="C354" s="31"/>
      <c r="D354" s="31"/>
      <c r="E354" s="31"/>
      <c r="F354" s="65"/>
      <c r="G354" s="31"/>
      <c r="H354" s="31"/>
      <c r="I354" s="65"/>
      <c r="J354" s="31"/>
      <c r="K354" s="67"/>
      <c r="L354" s="67"/>
      <c r="Q354" s="38"/>
    </row>
    <row r="355" spans="1:17" s="90" customFormat="1" ht="15" customHeight="1">
      <c r="A355" s="15"/>
      <c r="B355" s="41"/>
      <c r="C355" s="31"/>
      <c r="D355" s="31"/>
      <c r="E355" s="31"/>
      <c r="F355" s="65"/>
      <c r="G355" s="31"/>
      <c r="H355" s="31"/>
      <c r="I355" s="65"/>
      <c r="J355" s="31"/>
      <c r="K355" s="67"/>
      <c r="L355" s="67"/>
      <c r="Q355" s="38"/>
    </row>
    <row r="356" spans="1:17" s="90" customFormat="1" ht="15" customHeight="1">
      <c r="A356" s="15"/>
      <c r="B356" s="41"/>
      <c r="C356" s="31"/>
      <c r="D356" s="31"/>
      <c r="E356" s="31"/>
      <c r="F356" s="65"/>
      <c r="G356" s="31"/>
      <c r="H356" s="31"/>
      <c r="I356" s="65"/>
      <c r="J356" s="31"/>
      <c r="K356" s="67"/>
      <c r="L356" s="67"/>
      <c r="Q356" s="38"/>
    </row>
    <row r="357" spans="1:17" s="90" customFormat="1" ht="15" customHeight="1">
      <c r="A357" s="15"/>
      <c r="B357" s="41"/>
      <c r="C357" s="31"/>
      <c r="D357" s="31"/>
      <c r="E357" s="31"/>
      <c r="F357" s="65"/>
      <c r="G357" s="31"/>
      <c r="H357" s="31"/>
      <c r="I357" s="65"/>
      <c r="J357" s="31"/>
      <c r="K357" s="67"/>
      <c r="L357" s="67"/>
      <c r="Q357" s="38"/>
    </row>
    <row r="358" spans="1:17" s="90" customFormat="1" ht="15" customHeight="1">
      <c r="A358" s="15"/>
      <c r="B358" s="41"/>
      <c r="C358" s="31"/>
      <c r="D358" s="31"/>
      <c r="E358" s="31"/>
      <c r="F358" s="65"/>
      <c r="G358" s="31"/>
      <c r="H358" s="31"/>
      <c r="I358" s="65"/>
      <c r="J358" s="31"/>
      <c r="K358" s="67"/>
      <c r="L358" s="67"/>
      <c r="Q358" s="38"/>
    </row>
    <row r="359" spans="1:17" s="90" customFormat="1" ht="15" customHeight="1">
      <c r="A359" s="15"/>
      <c r="B359" s="41"/>
      <c r="C359" s="31"/>
      <c r="D359" s="31"/>
      <c r="E359" s="31"/>
      <c r="F359" s="65"/>
      <c r="G359" s="31"/>
      <c r="H359" s="31"/>
      <c r="I359" s="65"/>
      <c r="J359" s="31"/>
      <c r="K359" s="67"/>
      <c r="L359" s="67"/>
      <c r="Q359" s="38"/>
    </row>
    <row r="360" spans="1:17" s="90" customFormat="1" ht="15" customHeight="1">
      <c r="A360" s="15"/>
      <c r="B360" s="41"/>
      <c r="C360" s="31"/>
      <c r="D360" s="31"/>
      <c r="E360" s="31"/>
      <c r="F360" s="65"/>
      <c r="G360" s="31"/>
      <c r="H360" s="31"/>
      <c r="I360" s="65"/>
      <c r="J360" s="31"/>
      <c r="K360" s="67"/>
      <c r="L360" s="67"/>
      <c r="Q360" s="38"/>
    </row>
    <row r="361" spans="1:17" s="90" customFormat="1" ht="15" customHeight="1">
      <c r="A361" s="15"/>
      <c r="B361" s="41"/>
      <c r="C361" s="31"/>
      <c r="D361" s="31"/>
      <c r="E361" s="31"/>
      <c r="F361" s="65"/>
      <c r="G361" s="31"/>
      <c r="H361" s="31"/>
      <c r="I361" s="65"/>
      <c r="J361" s="31"/>
      <c r="K361" s="67"/>
      <c r="L361" s="67"/>
      <c r="Q361" s="38"/>
    </row>
    <row r="362" spans="1:17" s="90" customFormat="1" ht="15" customHeight="1">
      <c r="A362" s="15"/>
      <c r="B362" s="41"/>
      <c r="C362" s="31"/>
      <c r="D362" s="31"/>
      <c r="E362" s="31"/>
      <c r="F362" s="65"/>
      <c r="G362" s="31"/>
      <c r="H362" s="31"/>
      <c r="I362" s="65"/>
      <c r="J362" s="31"/>
      <c r="K362" s="67"/>
      <c r="L362" s="67"/>
      <c r="Q362" s="38"/>
    </row>
    <row r="363" spans="1:17" s="90" customFormat="1" ht="15" customHeight="1">
      <c r="A363" s="15"/>
      <c r="B363" s="41"/>
      <c r="C363" s="31"/>
      <c r="D363" s="31"/>
      <c r="E363" s="31"/>
      <c r="F363" s="65"/>
      <c r="G363" s="31"/>
      <c r="H363" s="31"/>
      <c r="I363" s="65"/>
      <c r="J363" s="31"/>
      <c r="K363" s="67"/>
      <c r="L363" s="67"/>
      <c r="Q363" s="38"/>
    </row>
    <row r="364" spans="1:17" s="90" customFormat="1" ht="15" customHeight="1">
      <c r="A364" s="15"/>
      <c r="B364" s="41"/>
      <c r="C364" s="31"/>
      <c r="D364" s="31"/>
      <c r="E364" s="31"/>
      <c r="F364" s="65"/>
      <c r="G364" s="31"/>
      <c r="H364" s="31"/>
      <c r="I364" s="65"/>
      <c r="J364" s="31"/>
      <c r="K364" s="67"/>
      <c r="L364" s="67"/>
      <c r="Q364" s="38"/>
    </row>
    <row r="365" spans="1:17" s="90" customFormat="1" ht="15" customHeight="1">
      <c r="A365" s="15"/>
      <c r="B365" s="41"/>
      <c r="C365" s="31"/>
      <c r="D365" s="31"/>
      <c r="E365" s="31"/>
      <c r="F365" s="65"/>
      <c r="G365" s="31"/>
      <c r="H365" s="31"/>
      <c r="I365" s="65"/>
      <c r="J365" s="31"/>
      <c r="K365" s="67"/>
      <c r="L365" s="67"/>
      <c r="Q365" s="38"/>
    </row>
    <row r="366" spans="1:17" s="90" customFormat="1" ht="15" customHeight="1">
      <c r="A366" s="15"/>
      <c r="B366" s="41"/>
      <c r="C366" s="31"/>
      <c r="D366" s="31"/>
      <c r="E366" s="31"/>
      <c r="F366" s="65"/>
      <c r="G366" s="31"/>
      <c r="H366" s="31"/>
      <c r="I366" s="65"/>
      <c r="J366" s="31"/>
      <c r="K366" s="67"/>
      <c r="L366" s="67"/>
      <c r="Q366" s="38"/>
    </row>
    <row r="367" spans="1:17" s="90" customFormat="1" ht="15" customHeight="1">
      <c r="A367" s="15"/>
      <c r="B367" s="41"/>
      <c r="C367" s="31"/>
      <c r="D367" s="31"/>
      <c r="E367" s="31"/>
      <c r="F367" s="65"/>
      <c r="G367" s="31"/>
      <c r="H367" s="31"/>
      <c r="I367" s="65"/>
      <c r="J367" s="31"/>
      <c r="K367" s="67"/>
      <c r="L367" s="67"/>
      <c r="Q367" s="38"/>
    </row>
    <row r="368" spans="1:17" s="90" customFormat="1" ht="15" customHeight="1">
      <c r="A368" s="15"/>
      <c r="B368" s="41"/>
      <c r="C368" s="31"/>
      <c r="D368" s="31"/>
      <c r="E368" s="31"/>
      <c r="F368" s="65"/>
      <c r="G368" s="31"/>
      <c r="H368" s="31"/>
      <c r="I368" s="65"/>
      <c r="J368" s="31"/>
      <c r="K368" s="67"/>
      <c r="L368" s="67"/>
      <c r="Q368" s="38"/>
    </row>
    <row r="369" spans="1:17" s="90" customFormat="1" ht="15" customHeight="1">
      <c r="A369" s="15"/>
      <c r="B369" s="41"/>
      <c r="C369" s="31"/>
      <c r="D369" s="31"/>
      <c r="E369" s="31"/>
      <c r="F369" s="65"/>
      <c r="G369" s="31"/>
      <c r="H369" s="31"/>
      <c r="I369" s="65"/>
      <c r="J369" s="31"/>
      <c r="K369" s="67"/>
      <c r="L369" s="67"/>
      <c r="Q369" s="38"/>
    </row>
    <row r="370" spans="1:17" s="90" customFormat="1" ht="15" customHeight="1">
      <c r="A370" s="15"/>
      <c r="B370" s="41"/>
      <c r="C370" s="31"/>
      <c r="D370" s="31"/>
      <c r="E370" s="31"/>
      <c r="F370" s="65"/>
      <c r="G370" s="31"/>
      <c r="H370" s="31"/>
      <c r="I370" s="65"/>
      <c r="J370" s="31"/>
      <c r="K370" s="67"/>
      <c r="L370" s="67"/>
      <c r="Q370" s="38"/>
    </row>
    <row r="371" spans="1:17" s="90" customFormat="1" ht="15" customHeight="1">
      <c r="A371" s="15"/>
      <c r="B371" s="41"/>
      <c r="C371" s="31"/>
      <c r="D371" s="31"/>
      <c r="E371" s="31"/>
      <c r="F371" s="65"/>
      <c r="G371" s="31"/>
      <c r="H371" s="31"/>
      <c r="I371" s="65"/>
      <c r="J371" s="31"/>
      <c r="K371" s="67"/>
      <c r="L371" s="67"/>
      <c r="Q371" s="38"/>
    </row>
    <row r="372" spans="1:17" s="90" customFormat="1" ht="15" customHeight="1">
      <c r="A372" s="15"/>
      <c r="B372" s="41"/>
      <c r="C372" s="31"/>
      <c r="D372" s="31"/>
      <c r="E372" s="31"/>
      <c r="F372" s="65"/>
      <c r="G372" s="31"/>
      <c r="H372" s="31"/>
      <c r="I372" s="65"/>
      <c r="J372" s="31"/>
      <c r="K372" s="67"/>
      <c r="L372" s="67"/>
      <c r="Q372" s="38"/>
    </row>
    <row r="373" spans="1:17" s="90" customFormat="1" ht="15" customHeight="1">
      <c r="A373" s="15"/>
      <c r="B373" s="41"/>
      <c r="C373" s="31"/>
      <c r="D373" s="31"/>
      <c r="E373" s="31"/>
      <c r="F373" s="65"/>
      <c r="G373" s="31"/>
      <c r="H373" s="31"/>
      <c r="I373" s="65"/>
      <c r="J373" s="31"/>
      <c r="K373" s="67"/>
      <c r="L373" s="67"/>
      <c r="Q373" s="38"/>
    </row>
    <row r="374" spans="1:17" s="90" customFormat="1" ht="15" customHeight="1">
      <c r="A374" s="15"/>
      <c r="B374" s="41"/>
      <c r="C374" s="31"/>
      <c r="D374" s="31"/>
      <c r="E374" s="31"/>
      <c r="F374" s="65"/>
      <c r="G374" s="31"/>
      <c r="H374" s="31"/>
      <c r="I374" s="65"/>
      <c r="J374" s="31"/>
      <c r="K374" s="67"/>
      <c r="L374" s="67"/>
      <c r="Q374" s="38"/>
    </row>
    <row r="375" spans="1:17" s="90" customFormat="1" ht="15" customHeight="1">
      <c r="A375" s="15"/>
      <c r="B375" s="41"/>
      <c r="C375" s="31"/>
      <c r="D375" s="31"/>
      <c r="E375" s="31"/>
      <c r="F375" s="65"/>
      <c r="G375" s="31"/>
      <c r="H375" s="31"/>
      <c r="I375" s="65"/>
      <c r="J375" s="31"/>
      <c r="K375" s="67"/>
      <c r="L375" s="67"/>
      <c r="Q375" s="38"/>
    </row>
    <row r="376" spans="1:17" s="90" customFormat="1" ht="15" customHeight="1">
      <c r="A376" s="15"/>
      <c r="B376" s="41"/>
      <c r="C376" s="31"/>
      <c r="D376" s="31"/>
      <c r="E376" s="31"/>
      <c r="F376" s="65"/>
      <c r="G376" s="31"/>
      <c r="H376" s="31"/>
      <c r="I376" s="65"/>
      <c r="J376" s="31"/>
      <c r="K376" s="67"/>
      <c r="L376" s="67"/>
      <c r="Q376" s="38"/>
    </row>
    <row r="377" spans="1:17" s="90" customFormat="1" ht="15" customHeight="1">
      <c r="A377" s="15"/>
      <c r="B377" s="41"/>
      <c r="C377" s="31"/>
      <c r="D377" s="31"/>
      <c r="E377" s="31"/>
      <c r="F377" s="65"/>
      <c r="G377" s="31"/>
      <c r="H377" s="31"/>
      <c r="I377" s="65"/>
      <c r="J377" s="31"/>
      <c r="K377" s="67"/>
      <c r="L377" s="67"/>
      <c r="Q377" s="38"/>
    </row>
    <row r="378" spans="1:17" s="90" customFormat="1" ht="15" customHeight="1">
      <c r="A378" s="15"/>
      <c r="B378" s="41"/>
      <c r="C378" s="31"/>
      <c r="D378" s="31"/>
      <c r="E378" s="31"/>
      <c r="F378" s="65"/>
      <c r="G378" s="31"/>
      <c r="H378" s="31"/>
      <c r="I378" s="65"/>
      <c r="J378" s="31"/>
      <c r="K378" s="67"/>
      <c r="L378" s="67"/>
      <c r="Q378" s="38"/>
    </row>
    <row r="379" spans="1:17" s="90" customFormat="1" ht="15" customHeight="1">
      <c r="A379" s="15"/>
      <c r="B379" s="41"/>
      <c r="C379" s="31"/>
      <c r="D379" s="31"/>
      <c r="E379" s="31"/>
      <c r="F379" s="65"/>
      <c r="G379" s="31"/>
      <c r="H379" s="31"/>
      <c r="I379" s="65"/>
      <c r="J379" s="31"/>
      <c r="K379" s="67"/>
      <c r="L379" s="67"/>
      <c r="Q379" s="38"/>
    </row>
    <row r="380" spans="1:17" s="90" customFormat="1" ht="15" customHeight="1">
      <c r="A380" s="15"/>
      <c r="B380" s="41"/>
      <c r="C380" s="31"/>
      <c r="D380" s="31"/>
      <c r="E380" s="31"/>
      <c r="F380" s="65"/>
      <c r="G380" s="31"/>
      <c r="H380" s="31"/>
      <c r="I380" s="65"/>
      <c r="J380" s="31"/>
      <c r="K380" s="67"/>
      <c r="L380" s="67"/>
      <c r="Q380" s="38"/>
    </row>
    <row r="381" spans="1:17" s="90" customFormat="1" ht="15" customHeight="1">
      <c r="A381" s="15"/>
      <c r="B381" s="41"/>
      <c r="C381" s="31"/>
      <c r="D381" s="31"/>
      <c r="E381" s="31"/>
      <c r="F381" s="65"/>
      <c r="G381" s="31"/>
      <c r="H381" s="31"/>
      <c r="I381" s="65"/>
      <c r="J381" s="31"/>
      <c r="K381" s="67"/>
      <c r="L381" s="67"/>
      <c r="Q381" s="38"/>
    </row>
    <row r="382" spans="1:17" s="90" customFormat="1" ht="15" customHeight="1">
      <c r="A382" s="15"/>
      <c r="B382" s="41"/>
      <c r="C382" s="31"/>
      <c r="D382" s="31"/>
      <c r="E382" s="31"/>
      <c r="F382" s="65"/>
      <c r="G382" s="31"/>
      <c r="H382" s="31"/>
      <c r="I382" s="65"/>
      <c r="J382" s="31"/>
      <c r="K382" s="67"/>
      <c r="L382" s="67"/>
      <c r="Q382" s="38"/>
    </row>
    <row r="383" spans="1:17" s="90" customFormat="1" ht="15" customHeight="1">
      <c r="A383" s="15"/>
      <c r="B383" s="41"/>
      <c r="C383" s="31"/>
      <c r="D383" s="31"/>
      <c r="E383" s="31"/>
      <c r="F383" s="65"/>
      <c r="G383" s="31"/>
      <c r="H383" s="31"/>
      <c r="I383" s="65"/>
      <c r="J383" s="31"/>
      <c r="K383" s="67"/>
      <c r="L383" s="67"/>
      <c r="Q383" s="38"/>
    </row>
    <row r="384" spans="1:17" s="90" customFormat="1" ht="15" customHeight="1">
      <c r="A384" s="15"/>
      <c r="B384" s="41"/>
      <c r="C384" s="31"/>
      <c r="D384" s="31"/>
      <c r="E384" s="31"/>
      <c r="F384" s="65"/>
      <c r="G384" s="31"/>
      <c r="H384" s="31"/>
      <c r="I384" s="65"/>
      <c r="J384" s="31"/>
      <c r="K384" s="67"/>
      <c r="L384" s="67"/>
      <c r="Q384" s="38"/>
    </row>
    <row r="385" spans="1:17" s="90" customFormat="1" ht="15" customHeight="1">
      <c r="A385" s="15"/>
      <c r="B385" s="41"/>
      <c r="C385" s="31"/>
      <c r="D385" s="31"/>
      <c r="E385" s="31"/>
      <c r="F385" s="65"/>
      <c r="G385" s="31"/>
      <c r="H385" s="31"/>
      <c r="I385" s="65"/>
      <c r="J385" s="31"/>
      <c r="K385" s="67"/>
      <c r="L385" s="67"/>
      <c r="Q385" s="38"/>
    </row>
    <row r="386" spans="1:17" s="90" customFormat="1" ht="15" customHeight="1">
      <c r="A386" s="15"/>
      <c r="B386" s="41"/>
      <c r="C386" s="31"/>
      <c r="D386" s="31"/>
      <c r="E386" s="31"/>
      <c r="F386" s="65"/>
      <c r="G386" s="31"/>
      <c r="H386" s="31"/>
      <c r="I386" s="65"/>
      <c r="J386" s="31"/>
      <c r="K386" s="67"/>
      <c r="L386" s="67"/>
      <c r="Q386" s="38"/>
    </row>
    <row r="387" spans="1:17" s="90" customFormat="1" ht="15" customHeight="1">
      <c r="A387" s="15"/>
      <c r="B387" s="41"/>
      <c r="C387" s="31"/>
      <c r="D387" s="31"/>
      <c r="E387" s="31"/>
      <c r="F387" s="65"/>
      <c r="G387" s="31"/>
      <c r="H387" s="31"/>
      <c r="I387" s="65"/>
      <c r="J387" s="31"/>
      <c r="K387" s="67"/>
      <c r="L387" s="67"/>
      <c r="Q387" s="38"/>
    </row>
    <row r="388" spans="1:17" s="90" customFormat="1" ht="15" customHeight="1">
      <c r="A388" s="15"/>
      <c r="B388" s="41"/>
      <c r="C388" s="31"/>
      <c r="D388" s="31"/>
      <c r="E388" s="31"/>
      <c r="F388" s="65"/>
      <c r="G388" s="31"/>
      <c r="H388" s="31"/>
      <c r="I388" s="65"/>
      <c r="J388" s="31"/>
      <c r="K388" s="67"/>
      <c r="L388" s="67"/>
      <c r="Q388" s="38"/>
    </row>
    <row r="389" spans="1:17" s="90" customFormat="1" ht="15" customHeight="1">
      <c r="A389" s="15"/>
      <c r="B389" s="41"/>
      <c r="C389" s="31"/>
      <c r="D389" s="31"/>
      <c r="E389" s="31"/>
      <c r="F389" s="65"/>
      <c r="G389" s="31"/>
      <c r="H389" s="31"/>
      <c r="I389" s="65"/>
      <c r="J389" s="31"/>
      <c r="K389" s="67"/>
      <c r="L389" s="67"/>
      <c r="Q389" s="38"/>
    </row>
    <row r="390" spans="1:17" s="90" customFormat="1" ht="15" customHeight="1">
      <c r="A390" s="15"/>
      <c r="B390" s="41"/>
      <c r="C390" s="31"/>
      <c r="D390" s="31"/>
      <c r="E390" s="31"/>
      <c r="F390" s="65"/>
      <c r="G390" s="31"/>
      <c r="H390" s="31"/>
      <c r="I390" s="65"/>
      <c r="J390" s="31"/>
      <c r="K390" s="67"/>
      <c r="L390" s="67"/>
      <c r="Q390" s="38"/>
    </row>
    <row r="391" spans="1:17" s="90" customFormat="1" ht="15" customHeight="1">
      <c r="A391" s="15"/>
      <c r="B391" s="41"/>
      <c r="C391" s="31"/>
      <c r="D391" s="31"/>
      <c r="E391" s="31"/>
      <c r="F391" s="65"/>
      <c r="G391" s="31"/>
      <c r="H391" s="31"/>
      <c r="I391" s="65"/>
      <c r="J391" s="31"/>
      <c r="K391" s="67"/>
      <c r="L391" s="67"/>
      <c r="Q391" s="38"/>
    </row>
    <row r="392" spans="1:17" s="90" customFormat="1" ht="15" customHeight="1">
      <c r="A392" s="15"/>
      <c r="B392" s="41"/>
      <c r="C392" s="31"/>
      <c r="D392" s="31"/>
      <c r="E392" s="31"/>
      <c r="F392" s="65"/>
      <c r="G392" s="31"/>
      <c r="H392" s="31"/>
      <c r="I392" s="65"/>
      <c r="J392" s="31"/>
      <c r="K392" s="67"/>
      <c r="L392" s="67"/>
      <c r="Q392" s="38"/>
    </row>
    <row r="393" spans="1:17" s="90" customFormat="1" ht="15" customHeight="1">
      <c r="A393" s="15"/>
      <c r="B393" s="41"/>
      <c r="C393" s="31"/>
      <c r="D393" s="31"/>
      <c r="E393" s="31"/>
      <c r="F393" s="65"/>
      <c r="G393" s="31"/>
      <c r="H393" s="31"/>
      <c r="I393" s="65"/>
      <c r="J393" s="31"/>
      <c r="K393" s="67"/>
      <c r="L393" s="67"/>
      <c r="Q393" s="38"/>
    </row>
    <row r="394" spans="1:17" s="90" customFormat="1" ht="15" customHeight="1">
      <c r="A394" s="15"/>
      <c r="B394" s="41"/>
      <c r="C394" s="31"/>
      <c r="D394" s="31"/>
      <c r="E394" s="31"/>
      <c r="F394" s="65"/>
      <c r="G394" s="31"/>
      <c r="H394" s="31"/>
      <c r="I394" s="65"/>
      <c r="J394" s="31"/>
      <c r="K394" s="67"/>
      <c r="L394" s="67"/>
      <c r="Q394" s="38"/>
    </row>
    <row r="395" spans="1:17" s="90" customFormat="1" ht="15" customHeight="1">
      <c r="A395" s="15"/>
      <c r="B395" s="41"/>
      <c r="C395" s="31"/>
      <c r="D395" s="31"/>
      <c r="E395" s="31"/>
      <c r="F395" s="65"/>
      <c r="G395" s="31"/>
      <c r="H395" s="31"/>
      <c r="I395" s="65"/>
      <c r="J395" s="31"/>
      <c r="K395" s="67"/>
      <c r="L395" s="67"/>
      <c r="Q395" s="38"/>
    </row>
    <row r="396" spans="1:17" s="90" customFormat="1" ht="15" customHeight="1">
      <c r="A396" s="15"/>
      <c r="B396" s="41"/>
      <c r="C396" s="31"/>
      <c r="D396" s="31"/>
      <c r="E396" s="31"/>
      <c r="F396" s="65"/>
      <c r="G396" s="31"/>
      <c r="H396" s="31"/>
      <c r="I396" s="65"/>
      <c r="J396" s="31"/>
      <c r="K396" s="67"/>
      <c r="L396" s="67"/>
      <c r="Q396" s="38"/>
    </row>
    <row r="397" spans="1:17" s="90" customFormat="1" ht="15" customHeight="1">
      <c r="A397" s="15"/>
      <c r="B397" s="41"/>
      <c r="C397" s="31"/>
      <c r="D397" s="31"/>
      <c r="E397" s="31"/>
      <c r="F397" s="65"/>
      <c r="G397" s="31"/>
      <c r="H397" s="31"/>
      <c r="I397" s="65"/>
      <c r="J397" s="31"/>
      <c r="K397" s="67"/>
      <c r="L397" s="67"/>
      <c r="Q397" s="38"/>
    </row>
    <row r="398" spans="1:17" s="90" customFormat="1" ht="15" customHeight="1">
      <c r="A398" s="15"/>
      <c r="B398" s="41"/>
      <c r="C398" s="31"/>
      <c r="D398" s="31"/>
      <c r="E398" s="31"/>
      <c r="F398" s="65"/>
      <c r="G398" s="31"/>
      <c r="H398" s="31"/>
      <c r="I398" s="65"/>
      <c r="J398" s="31"/>
      <c r="K398" s="67"/>
      <c r="L398" s="67"/>
      <c r="Q398" s="38"/>
    </row>
    <row r="399" spans="1:17" s="90" customFormat="1" ht="15" customHeight="1">
      <c r="A399" s="15"/>
      <c r="B399" s="41"/>
      <c r="C399" s="31"/>
      <c r="D399" s="31"/>
      <c r="E399" s="31"/>
      <c r="F399" s="65"/>
      <c r="G399" s="31"/>
      <c r="H399" s="31"/>
      <c r="I399" s="65"/>
      <c r="J399" s="31"/>
      <c r="K399" s="67"/>
      <c r="L399" s="67"/>
      <c r="Q399" s="38"/>
    </row>
    <row r="400" spans="1:17" s="90" customFormat="1" ht="15" customHeight="1">
      <c r="A400" s="15"/>
      <c r="B400" s="41"/>
      <c r="C400" s="31"/>
      <c r="D400" s="31"/>
      <c r="E400" s="31"/>
      <c r="F400" s="65"/>
      <c r="G400" s="31"/>
      <c r="H400" s="31"/>
      <c r="I400" s="65"/>
      <c r="J400" s="31"/>
      <c r="K400" s="67"/>
      <c r="L400" s="67"/>
      <c r="Q400" s="38"/>
    </row>
    <row r="401" spans="1:17" s="90" customFormat="1" ht="15" customHeight="1">
      <c r="A401" s="15"/>
      <c r="B401" s="41"/>
      <c r="C401" s="31"/>
      <c r="D401" s="31"/>
      <c r="E401" s="31"/>
      <c r="F401" s="65"/>
      <c r="G401" s="31"/>
      <c r="H401" s="31"/>
      <c r="I401" s="65"/>
      <c r="J401" s="31"/>
      <c r="K401" s="67"/>
      <c r="L401" s="67"/>
      <c r="Q401" s="38"/>
    </row>
    <row r="402" spans="1:17" s="90" customFormat="1" ht="15" customHeight="1">
      <c r="A402" s="15"/>
      <c r="B402" s="41"/>
      <c r="C402" s="31"/>
      <c r="D402" s="31"/>
      <c r="E402" s="31"/>
      <c r="F402" s="65"/>
      <c r="G402" s="31"/>
      <c r="H402" s="31"/>
      <c r="I402" s="65"/>
      <c r="J402" s="31"/>
      <c r="K402" s="67"/>
      <c r="L402" s="67"/>
      <c r="Q402" s="38"/>
    </row>
    <row r="403" spans="1:17" s="90" customFormat="1" ht="15" customHeight="1">
      <c r="A403" s="15"/>
      <c r="B403" s="41"/>
      <c r="C403" s="31"/>
      <c r="D403" s="31"/>
      <c r="E403" s="31"/>
      <c r="F403" s="65"/>
      <c r="G403" s="31"/>
      <c r="H403" s="31"/>
      <c r="I403" s="65"/>
      <c r="J403" s="31"/>
      <c r="K403" s="67"/>
      <c r="L403" s="67"/>
      <c r="Q403" s="38"/>
    </row>
    <row r="404" spans="1:17" s="90" customFormat="1" ht="15" customHeight="1">
      <c r="A404" s="15"/>
      <c r="B404" s="41"/>
      <c r="C404" s="31"/>
      <c r="D404" s="31"/>
      <c r="E404" s="31"/>
      <c r="F404" s="65"/>
      <c r="G404" s="31"/>
      <c r="H404" s="31"/>
      <c r="I404" s="65"/>
      <c r="J404" s="31"/>
      <c r="K404" s="67"/>
      <c r="L404" s="67"/>
      <c r="Q404" s="38"/>
    </row>
    <row r="405" spans="1:17" s="90" customFormat="1" ht="15" customHeight="1">
      <c r="A405" s="15"/>
      <c r="B405" s="41"/>
      <c r="C405" s="31"/>
      <c r="D405" s="31"/>
      <c r="E405" s="31"/>
      <c r="F405" s="65"/>
      <c r="G405" s="31"/>
      <c r="H405" s="31"/>
      <c r="I405" s="65"/>
      <c r="J405" s="31"/>
      <c r="K405" s="67"/>
      <c r="L405" s="67"/>
      <c r="Q405" s="38"/>
    </row>
    <row r="406" spans="1:17" s="90" customFormat="1" ht="15" customHeight="1">
      <c r="A406" s="15"/>
      <c r="B406" s="41"/>
      <c r="C406" s="31"/>
      <c r="D406" s="31"/>
      <c r="E406" s="31"/>
      <c r="F406" s="65"/>
      <c r="G406" s="31"/>
      <c r="H406" s="31"/>
      <c r="I406" s="65"/>
      <c r="J406" s="31"/>
      <c r="K406" s="67"/>
      <c r="L406" s="67"/>
      <c r="Q406" s="38"/>
    </row>
    <row r="407" spans="1:17" s="90" customFormat="1" ht="15" customHeight="1">
      <c r="A407" s="15"/>
      <c r="B407" s="41"/>
      <c r="C407" s="31"/>
      <c r="D407" s="31"/>
      <c r="E407" s="31"/>
      <c r="F407" s="65"/>
      <c r="G407" s="31"/>
      <c r="H407" s="31"/>
      <c r="I407" s="65"/>
      <c r="J407" s="31"/>
      <c r="K407" s="67"/>
      <c r="L407" s="67"/>
      <c r="Q407" s="38"/>
    </row>
    <row r="408" spans="1:17" s="90" customFormat="1" ht="15" customHeight="1">
      <c r="A408" s="15"/>
      <c r="B408" s="41"/>
      <c r="C408" s="31"/>
      <c r="D408" s="31"/>
      <c r="E408" s="31"/>
      <c r="F408" s="65"/>
      <c r="G408" s="31"/>
      <c r="H408" s="31"/>
      <c r="I408" s="65"/>
      <c r="J408" s="31"/>
      <c r="K408" s="67"/>
      <c r="L408" s="67"/>
      <c r="Q408" s="38"/>
    </row>
    <row r="409" spans="1:17" s="90" customFormat="1" ht="15" customHeight="1">
      <c r="A409" s="15"/>
      <c r="B409" s="41"/>
      <c r="C409" s="31"/>
      <c r="D409" s="31"/>
      <c r="E409" s="31"/>
      <c r="F409" s="65"/>
      <c r="G409" s="31"/>
      <c r="H409" s="31"/>
      <c r="I409" s="65"/>
      <c r="J409" s="31"/>
      <c r="K409" s="67"/>
      <c r="L409" s="67"/>
      <c r="Q409" s="38"/>
    </row>
    <row r="410" spans="1:17" s="90" customFormat="1" ht="15" customHeight="1">
      <c r="A410" s="15"/>
      <c r="B410" s="41"/>
      <c r="C410" s="31"/>
      <c r="D410" s="31"/>
      <c r="E410" s="31"/>
      <c r="F410" s="65"/>
      <c r="G410" s="31"/>
      <c r="H410" s="31"/>
      <c r="I410" s="65"/>
      <c r="J410" s="31"/>
      <c r="K410" s="67"/>
      <c r="L410" s="67"/>
      <c r="Q410" s="38"/>
    </row>
    <row r="411" spans="1:17" s="90" customFormat="1" ht="15" customHeight="1">
      <c r="A411" s="15"/>
      <c r="B411" s="41"/>
      <c r="C411" s="31"/>
      <c r="D411" s="31"/>
      <c r="E411" s="31"/>
      <c r="F411" s="65"/>
      <c r="G411" s="31"/>
      <c r="H411" s="31"/>
      <c r="I411" s="65"/>
      <c r="J411" s="31"/>
      <c r="K411" s="67"/>
      <c r="L411" s="67"/>
      <c r="Q411" s="38"/>
    </row>
    <row r="412" spans="1:17" s="90" customFormat="1" ht="15" customHeight="1">
      <c r="A412" s="15"/>
      <c r="B412" s="41"/>
      <c r="C412" s="31"/>
      <c r="D412" s="31"/>
      <c r="E412" s="31"/>
      <c r="F412" s="65"/>
      <c r="G412" s="31"/>
      <c r="H412" s="31"/>
      <c r="I412" s="65"/>
      <c r="J412" s="31"/>
      <c r="K412" s="67"/>
      <c r="L412" s="67"/>
      <c r="Q412" s="38"/>
    </row>
    <row r="413" spans="1:17" s="90" customFormat="1" ht="15" customHeight="1">
      <c r="A413" s="15"/>
      <c r="B413" s="41"/>
      <c r="C413" s="31"/>
      <c r="D413" s="31"/>
      <c r="E413" s="31"/>
      <c r="F413" s="65"/>
      <c r="G413" s="31"/>
      <c r="H413" s="31"/>
      <c r="I413" s="65"/>
      <c r="J413" s="31"/>
      <c r="K413" s="67"/>
      <c r="L413" s="67"/>
      <c r="Q413" s="38"/>
    </row>
    <row r="414" spans="1:17" s="90" customFormat="1" ht="15" customHeight="1">
      <c r="A414" s="15"/>
      <c r="B414" s="41"/>
      <c r="C414" s="31"/>
      <c r="D414" s="31"/>
      <c r="E414" s="31"/>
      <c r="F414" s="65"/>
      <c r="G414" s="31"/>
      <c r="H414" s="31"/>
      <c r="I414" s="65"/>
      <c r="J414" s="31"/>
      <c r="K414" s="67"/>
      <c r="L414" s="67"/>
      <c r="Q414" s="38"/>
    </row>
    <row r="415" spans="1:17" s="90" customFormat="1" ht="15" customHeight="1">
      <c r="A415" s="15"/>
      <c r="B415" s="41"/>
      <c r="C415" s="31"/>
      <c r="D415" s="31"/>
      <c r="E415" s="31"/>
      <c r="F415" s="65"/>
      <c r="G415" s="31"/>
      <c r="H415" s="31"/>
      <c r="I415" s="65"/>
      <c r="J415" s="31"/>
      <c r="K415" s="67"/>
      <c r="L415" s="67"/>
      <c r="Q415" s="38"/>
    </row>
    <row r="416" spans="1:17" s="90" customFormat="1" ht="15" customHeight="1">
      <c r="A416" s="15"/>
      <c r="B416" s="41"/>
      <c r="C416" s="31"/>
      <c r="D416" s="31"/>
      <c r="E416" s="31"/>
      <c r="F416" s="65"/>
      <c r="G416" s="31"/>
      <c r="H416" s="31"/>
      <c r="I416" s="65"/>
      <c r="J416" s="31"/>
      <c r="K416" s="67"/>
      <c r="L416" s="67"/>
      <c r="Q416" s="38"/>
    </row>
    <row r="417" spans="1:17" s="90" customFormat="1" ht="15" customHeight="1">
      <c r="A417" s="15"/>
      <c r="B417" s="41"/>
      <c r="C417" s="31"/>
      <c r="D417" s="31"/>
      <c r="E417" s="31"/>
      <c r="F417" s="65"/>
      <c r="G417" s="31"/>
      <c r="H417" s="31"/>
      <c r="I417" s="65"/>
      <c r="J417" s="31"/>
      <c r="K417" s="67"/>
      <c r="L417" s="67"/>
      <c r="Q417" s="38"/>
    </row>
    <row r="418" spans="1:17" s="90" customFormat="1" ht="15" customHeight="1">
      <c r="A418" s="15"/>
      <c r="B418" s="41"/>
      <c r="C418" s="31"/>
      <c r="D418" s="31"/>
      <c r="E418" s="31"/>
      <c r="F418" s="65"/>
      <c r="G418" s="31"/>
      <c r="H418" s="31"/>
      <c r="I418" s="65"/>
      <c r="J418" s="31"/>
      <c r="K418" s="67"/>
      <c r="L418" s="67"/>
      <c r="Q418" s="38"/>
    </row>
    <row r="419" spans="1:17" s="90" customFormat="1" ht="15" customHeight="1">
      <c r="A419" s="15"/>
      <c r="B419" s="41"/>
      <c r="C419" s="31"/>
      <c r="D419" s="31"/>
      <c r="E419" s="31"/>
      <c r="F419" s="65"/>
      <c r="G419" s="31"/>
      <c r="H419" s="31"/>
      <c r="I419" s="65"/>
      <c r="J419" s="31"/>
      <c r="K419" s="67"/>
      <c r="L419" s="67"/>
      <c r="Q419" s="38"/>
    </row>
    <row r="420" spans="1:17" s="90" customFormat="1" ht="15" customHeight="1">
      <c r="A420" s="15"/>
      <c r="B420" s="41"/>
      <c r="C420" s="31"/>
      <c r="D420" s="31"/>
      <c r="E420" s="31"/>
      <c r="F420" s="65"/>
      <c r="G420" s="31"/>
      <c r="H420" s="31"/>
      <c r="I420" s="65"/>
      <c r="J420" s="31"/>
      <c r="K420" s="67"/>
      <c r="L420" s="67"/>
      <c r="Q420" s="38"/>
    </row>
    <row r="421" spans="1:17" s="90" customFormat="1" ht="15" customHeight="1">
      <c r="A421" s="15"/>
      <c r="B421" s="41"/>
      <c r="C421" s="31"/>
      <c r="D421" s="31"/>
      <c r="E421" s="31"/>
      <c r="F421" s="65"/>
      <c r="G421" s="31"/>
      <c r="H421" s="31"/>
      <c r="I421" s="65"/>
      <c r="J421" s="31"/>
      <c r="K421" s="67"/>
      <c r="L421" s="67"/>
      <c r="Q421" s="38"/>
    </row>
    <row r="422" spans="1:17" s="90" customFormat="1" ht="15" customHeight="1">
      <c r="A422" s="15"/>
      <c r="B422" s="41"/>
      <c r="C422" s="31"/>
      <c r="D422" s="31"/>
      <c r="E422" s="31"/>
      <c r="F422" s="65"/>
      <c r="G422" s="31"/>
      <c r="H422" s="31"/>
      <c r="I422" s="65"/>
      <c r="J422" s="31"/>
      <c r="K422" s="67"/>
      <c r="L422" s="67"/>
      <c r="Q422" s="38"/>
    </row>
    <row r="423" spans="1:17" s="90" customFormat="1" ht="15" customHeight="1">
      <c r="A423" s="15"/>
      <c r="B423" s="41"/>
      <c r="C423" s="31"/>
      <c r="D423" s="31"/>
      <c r="E423" s="31"/>
      <c r="F423" s="65"/>
      <c r="G423" s="31"/>
      <c r="H423" s="31"/>
      <c r="I423" s="65"/>
      <c r="J423" s="31"/>
      <c r="K423" s="67"/>
      <c r="L423" s="67"/>
      <c r="Q423" s="38"/>
    </row>
    <row r="424" spans="1:17" s="90" customFormat="1" ht="15" customHeight="1">
      <c r="A424" s="15"/>
      <c r="B424" s="41"/>
      <c r="C424" s="31"/>
      <c r="D424" s="31"/>
      <c r="E424" s="31"/>
      <c r="F424" s="65"/>
      <c r="G424" s="31"/>
      <c r="H424" s="31"/>
      <c r="I424" s="65"/>
      <c r="J424" s="31"/>
      <c r="K424" s="67"/>
      <c r="L424" s="67"/>
      <c r="Q424" s="38"/>
    </row>
    <row r="425" spans="1:17" s="90" customFormat="1" ht="15" customHeight="1">
      <c r="A425" s="15"/>
      <c r="B425" s="41"/>
      <c r="C425" s="31"/>
      <c r="D425" s="31"/>
      <c r="E425" s="31"/>
      <c r="F425" s="65"/>
      <c r="G425" s="31"/>
      <c r="H425" s="31"/>
      <c r="I425" s="65"/>
      <c r="J425" s="31"/>
      <c r="K425" s="67"/>
      <c r="L425" s="67"/>
      <c r="Q425" s="38"/>
    </row>
    <row r="426" spans="1:17" s="90" customFormat="1" ht="15" customHeight="1">
      <c r="A426" s="15"/>
      <c r="B426" s="41"/>
      <c r="C426" s="31"/>
      <c r="D426" s="31"/>
      <c r="E426" s="31"/>
      <c r="F426" s="65"/>
      <c r="G426" s="31"/>
      <c r="H426" s="31"/>
      <c r="I426" s="65"/>
      <c r="J426" s="31"/>
      <c r="K426" s="67"/>
      <c r="L426" s="67"/>
      <c r="Q426" s="38"/>
    </row>
    <row r="427" spans="1:17" s="90" customFormat="1" ht="15" customHeight="1">
      <c r="A427" s="15"/>
      <c r="B427" s="41"/>
      <c r="C427" s="31"/>
      <c r="D427" s="31"/>
      <c r="E427" s="31"/>
      <c r="F427" s="65"/>
      <c r="G427" s="31"/>
      <c r="H427" s="31"/>
      <c r="I427" s="65"/>
      <c r="J427" s="31"/>
      <c r="K427" s="67"/>
      <c r="L427" s="67"/>
      <c r="Q427" s="38"/>
    </row>
    <row r="428" spans="1:17" s="90" customFormat="1" ht="15" customHeight="1">
      <c r="A428" s="15"/>
      <c r="B428" s="41"/>
      <c r="C428" s="31"/>
      <c r="D428" s="31"/>
      <c r="E428" s="31"/>
      <c r="F428" s="65"/>
      <c r="G428" s="31"/>
      <c r="H428" s="31"/>
      <c r="I428" s="65"/>
      <c r="J428" s="31"/>
      <c r="K428" s="67"/>
      <c r="L428" s="67"/>
      <c r="Q428" s="38"/>
    </row>
    <row r="429" spans="1:17" s="90" customFormat="1" ht="15" customHeight="1">
      <c r="A429" s="15"/>
      <c r="B429" s="41"/>
      <c r="C429" s="31"/>
      <c r="D429" s="31"/>
      <c r="E429" s="31"/>
      <c r="F429" s="65"/>
      <c r="G429" s="31"/>
      <c r="H429" s="31"/>
      <c r="I429" s="65"/>
      <c r="J429" s="31"/>
      <c r="K429" s="67"/>
      <c r="L429" s="67"/>
      <c r="Q429" s="38"/>
    </row>
    <row r="430" spans="1:17" s="90" customFormat="1" ht="15" customHeight="1">
      <c r="A430" s="15"/>
      <c r="B430" s="41"/>
      <c r="C430" s="31"/>
      <c r="D430" s="31"/>
      <c r="E430" s="31"/>
      <c r="F430" s="65"/>
      <c r="G430" s="31"/>
      <c r="H430" s="31"/>
      <c r="I430" s="65"/>
      <c r="J430" s="31"/>
      <c r="K430" s="67"/>
      <c r="L430" s="67"/>
      <c r="Q430" s="38"/>
    </row>
    <row r="431" spans="1:17" s="90" customFormat="1" ht="15" customHeight="1">
      <c r="A431" s="15"/>
      <c r="B431" s="41"/>
      <c r="C431" s="31"/>
      <c r="D431" s="31"/>
      <c r="E431" s="31"/>
      <c r="F431" s="65"/>
      <c r="G431" s="31"/>
      <c r="H431" s="31"/>
      <c r="I431" s="65"/>
      <c r="J431" s="31"/>
      <c r="K431" s="67"/>
      <c r="L431" s="67"/>
      <c r="Q431" s="38"/>
    </row>
    <row r="432" spans="1:17" s="90" customFormat="1" ht="15" customHeight="1">
      <c r="A432" s="15"/>
      <c r="B432" s="41"/>
      <c r="C432" s="31"/>
      <c r="D432" s="31"/>
      <c r="E432" s="31"/>
      <c r="F432" s="65"/>
      <c r="G432" s="31"/>
      <c r="H432" s="31"/>
      <c r="I432" s="65"/>
      <c r="J432" s="31"/>
      <c r="K432" s="67"/>
      <c r="L432" s="67"/>
      <c r="Q432" s="38"/>
    </row>
    <row r="433" spans="1:17" s="90" customFormat="1" ht="15" customHeight="1">
      <c r="A433" s="15"/>
      <c r="B433" s="41"/>
      <c r="C433" s="31"/>
      <c r="D433" s="31"/>
      <c r="E433" s="31"/>
      <c r="F433" s="65"/>
      <c r="G433" s="31"/>
      <c r="H433" s="31"/>
      <c r="I433" s="65"/>
      <c r="J433" s="31"/>
      <c r="K433" s="67"/>
      <c r="L433" s="67"/>
      <c r="Q433" s="38"/>
    </row>
    <row r="434" spans="1:17" s="90" customFormat="1" ht="15" customHeight="1">
      <c r="A434" s="15"/>
      <c r="B434" s="41"/>
      <c r="C434" s="31"/>
      <c r="D434" s="31"/>
      <c r="E434" s="31"/>
      <c r="F434" s="65"/>
      <c r="G434" s="31"/>
      <c r="H434" s="31"/>
      <c r="I434" s="65"/>
      <c r="J434" s="31"/>
      <c r="K434" s="67"/>
      <c r="L434" s="67"/>
      <c r="Q434" s="38"/>
    </row>
    <row r="435" spans="1:17" s="90" customFormat="1" ht="15" customHeight="1">
      <c r="A435" s="15"/>
      <c r="B435" s="41"/>
      <c r="C435" s="31"/>
      <c r="D435" s="31"/>
      <c r="E435" s="31"/>
      <c r="F435" s="65"/>
      <c r="G435" s="31"/>
      <c r="H435" s="31"/>
      <c r="I435" s="65"/>
      <c r="J435" s="31"/>
      <c r="K435" s="67"/>
      <c r="L435" s="67"/>
      <c r="Q435" s="38"/>
    </row>
    <row r="436" spans="1:17" s="90" customFormat="1" ht="15" customHeight="1">
      <c r="A436" s="15"/>
      <c r="B436" s="41"/>
      <c r="C436" s="31"/>
      <c r="D436" s="31"/>
      <c r="E436" s="31"/>
      <c r="F436" s="65"/>
      <c r="G436" s="31"/>
      <c r="H436" s="31"/>
      <c r="I436" s="65"/>
      <c r="J436" s="31"/>
      <c r="K436" s="67"/>
      <c r="L436" s="67"/>
      <c r="Q436" s="38"/>
    </row>
    <row r="437" spans="1:17" s="90" customFormat="1" ht="15" customHeight="1">
      <c r="A437" s="15"/>
      <c r="B437" s="41"/>
      <c r="C437" s="31"/>
      <c r="D437" s="31"/>
      <c r="E437" s="31"/>
      <c r="F437" s="65"/>
      <c r="G437" s="31"/>
      <c r="H437" s="31"/>
      <c r="I437" s="65"/>
      <c r="J437" s="31"/>
      <c r="K437" s="67"/>
      <c r="L437" s="67"/>
      <c r="Q437" s="38"/>
    </row>
    <row r="438" spans="1:17" s="90" customFormat="1" ht="15" customHeight="1">
      <c r="A438" s="15"/>
      <c r="B438" s="41"/>
      <c r="C438" s="31"/>
      <c r="D438" s="31"/>
      <c r="E438" s="31"/>
      <c r="F438" s="65"/>
      <c r="G438" s="31"/>
      <c r="H438" s="31"/>
      <c r="I438" s="65"/>
      <c r="J438" s="31"/>
      <c r="K438" s="67"/>
      <c r="L438" s="67"/>
      <c r="Q438" s="38"/>
    </row>
    <row r="439" spans="1:17" s="90" customFormat="1" ht="15" customHeight="1">
      <c r="A439" s="15"/>
      <c r="B439" s="41"/>
      <c r="C439" s="31"/>
      <c r="D439" s="31"/>
      <c r="E439" s="31"/>
      <c r="F439" s="65"/>
      <c r="G439" s="31"/>
      <c r="H439" s="31"/>
      <c r="I439" s="65"/>
      <c r="J439" s="31"/>
      <c r="K439" s="67"/>
      <c r="L439" s="67"/>
      <c r="Q439" s="38"/>
    </row>
    <row r="440" spans="1:17" s="90" customFormat="1" ht="15" customHeight="1">
      <c r="A440" s="15"/>
      <c r="B440" s="41"/>
      <c r="C440" s="31"/>
      <c r="D440" s="31"/>
      <c r="E440" s="31"/>
      <c r="F440" s="65"/>
      <c r="G440" s="31"/>
      <c r="H440" s="31"/>
      <c r="I440" s="65"/>
      <c r="J440" s="31"/>
      <c r="K440" s="67"/>
      <c r="L440" s="67"/>
      <c r="Q440" s="38"/>
    </row>
    <row r="441" spans="1:17" s="90" customFormat="1" ht="15" customHeight="1">
      <c r="A441" s="15"/>
      <c r="B441" s="41"/>
      <c r="C441" s="31"/>
      <c r="D441" s="31"/>
      <c r="E441" s="31"/>
      <c r="F441" s="65"/>
      <c r="G441" s="31"/>
      <c r="H441" s="31"/>
      <c r="I441" s="65"/>
      <c r="J441" s="31"/>
      <c r="K441" s="67"/>
      <c r="L441" s="67"/>
      <c r="Q441" s="38"/>
    </row>
    <row r="442" spans="1:17" s="90" customFormat="1" ht="15" customHeight="1">
      <c r="A442" s="15"/>
      <c r="B442" s="41"/>
      <c r="C442" s="31"/>
      <c r="D442" s="31"/>
      <c r="E442" s="31"/>
      <c r="F442" s="65"/>
      <c r="G442" s="31"/>
      <c r="H442" s="31"/>
      <c r="I442" s="65"/>
      <c r="J442" s="31"/>
      <c r="K442" s="67"/>
      <c r="L442" s="67"/>
      <c r="Q442" s="38"/>
    </row>
    <row r="443" spans="1:17" s="90" customFormat="1" ht="15" customHeight="1">
      <c r="A443" s="15"/>
      <c r="B443" s="41"/>
      <c r="C443" s="31"/>
      <c r="D443" s="31"/>
      <c r="E443" s="31"/>
      <c r="F443" s="65"/>
      <c r="G443" s="31"/>
      <c r="H443" s="31"/>
      <c r="I443" s="65"/>
      <c r="J443" s="31"/>
      <c r="K443" s="67"/>
      <c r="L443" s="67"/>
      <c r="Q443" s="38"/>
    </row>
    <row r="444" spans="1:17" s="90" customFormat="1" ht="15" customHeight="1">
      <c r="A444" s="15"/>
      <c r="B444" s="41"/>
      <c r="C444" s="31"/>
      <c r="D444" s="31"/>
      <c r="E444" s="31"/>
      <c r="F444" s="65"/>
      <c r="G444" s="31"/>
      <c r="H444" s="31"/>
      <c r="I444" s="65"/>
      <c r="J444" s="31"/>
      <c r="K444" s="67"/>
      <c r="L444" s="67"/>
      <c r="Q444" s="38"/>
    </row>
    <row r="445" spans="1:17" s="90" customFormat="1" ht="15" customHeight="1">
      <c r="A445" s="15"/>
      <c r="B445" s="41"/>
      <c r="C445" s="31"/>
      <c r="D445" s="31"/>
      <c r="E445" s="31"/>
      <c r="F445" s="65"/>
      <c r="G445" s="31"/>
      <c r="H445" s="31"/>
      <c r="I445" s="65"/>
      <c r="J445" s="31"/>
      <c r="K445" s="67"/>
      <c r="L445" s="67"/>
      <c r="Q445" s="38"/>
    </row>
    <row r="446" spans="1:17" s="90" customFormat="1" ht="15" customHeight="1">
      <c r="A446" s="15"/>
      <c r="B446" s="41"/>
      <c r="C446" s="31"/>
      <c r="D446" s="31"/>
      <c r="E446" s="31"/>
      <c r="F446" s="65"/>
      <c r="G446" s="31"/>
      <c r="H446" s="31"/>
      <c r="I446" s="65"/>
      <c r="J446" s="31"/>
      <c r="K446" s="67"/>
      <c r="L446" s="67"/>
      <c r="Q446" s="38"/>
    </row>
    <row r="447" spans="1:17" s="90" customFormat="1" ht="15" customHeight="1">
      <c r="A447" s="15"/>
      <c r="B447" s="41"/>
      <c r="C447" s="31"/>
      <c r="D447" s="31"/>
      <c r="E447" s="31"/>
      <c r="F447" s="65"/>
      <c r="G447" s="31"/>
      <c r="H447" s="31"/>
      <c r="I447" s="65"/>
      <c r="J447" s="31"/>
      <c r="K447" s="67"/>
      <c r="L447" s="67"/>
      <c r="Q447" s="38"/>
    </row>
    <row r="448" spans="1:17" s="90" customFormat="1" ht="15" customHeight="1">
      <c r="A448" s="15"/>
      <c r="B448" s="41"/>
      <c r="C448" s="31"/>
      <c r="D448" s="31"/>
      <c r="E448" s="31"/>
      <c r="F448" s="65"/>
      <c r="G448" s="31"/>
      <c r="H448" s="31"/>
      <c r="I448" s="65"/>
      <c r="J448" s="31"/>
      <c r="K448" s="67"/>
      <c r="L448" s="67"/>
      <c r="Q448" s="38"/>
    </row>
    <row r="449" spans="1:17" s="90" customFormat="1" ht="15" customHeight="1">
      <c r="A449" s="15"/>
      <c r="B449" s="41"/>
      <c r="C449" s="31"/>
      <c r="D449" s="31"/>
      <c r="E449" s="31"/>
      <c r="F449" s="65"/>
      <c r="G449" s="31"/>
      <c r="H449" s="31"/>
      <c r="I449" s="65"/>
      <c r="J449" s="31"/>
      <c r="K449" s="67"/>
      <c r="L449" s="67"/>
      <c r="Q449" s="38"/>
    </row>
    <row r="450" spans="1:17" s="90" customFormat="1" ht="15" customHeight="1">
      <c r="A450" s="15"/>
      <c r="B450" s="41"/>
      <c r="C450" s="31"/>
      <c r="D450" s="31"/>
      <c r="E450" s="31"/>
      <c r="F450" s="65"/>
      <c r="G450" s="31"/>
      <c r="H450" s="31"/>
      <c r="I450" s="65"/>
      <c r="J450" s="31"/>
      <c r="K450" s="67"/>
      <c r="L450" s="67"/>
      <c r="Q450" s="38"/>
    </row>
    <row r="451" spans="1:17" s="90" customFormat="1" ht="15" customHeight="1">
      <c r="A451" s="15"/>
      <c r="B451" s="41"/>
      <c r="C451" s="31"/>
      <c r="D451" s="31"/>
      <c r="E451" s="31"/>
      <c r="F451" s="65"/>
      <c r="G451" s="31"/>
      <c r="H451" s="31"/>
      <c r="I451" s="65"/>
      <c r="J451" s="31"/>
      <c r="K451" s="67"/>
      <c r="L451" s="67"/>
      <c r="Q451" s="38"/>
    </row>
    <row r="452" spans="1:17" s="90" customFormat="1" ht="15" customHeight="1">
      <c r="A452" s="15"/>
      <c r="B452" s="41"/>
      <c r="C452" s="31"/>
      <c r="D452" s="31"/>
      <c r="E452" s="31"/>
      <c r="F452" s="65"/>
      <c r="G452" s="31"/>
      <c r="H452" s="31"/>
      <c r="I452" s="65"/>
      <c r="J452" s="31"/>
      <c r="K452" s="67"/>
      <c r="L452" s="67"/>
      <c r="Q452" s="38"/>
    </row>
    <row r="453" spans="1:17" s="90" customFormat="1" ht="15" customHeight="1">
      <c r="A453" s="15"/>
      <c r="B453" s="41"/>
      <c r="C453" s="31"/>
      <c r="D453" s="31"/>
      <c r="E453" s="31"/>
      <c r="F453" s="65"/>
      <c r="G453" s="31"/>
      <c r="H453" s="31"/>
      <c r="I453" s="65"/>
      <c r="J453" s="31"/>
      <c r="K453" s="67"/>
      <c r="L453" s="67"/>
      <c r="Q453" s="38"/>
    </row>
    <row r="454" spans="1:17" s="90" customFormat="1" ht="15" customHeight="1">
      <c r="A454" s="15"/>
      <c r="B454" s="41"/>
      <c r="C454" s="31"/>
      <c r="D454" s="31"/>
      <c r="E454" s="31"/>
      <c r="F454" s="65"/>
      <c r="G454" s="31"/>
      <c r="H454" s="31"/>
      <c r="I454" s="65"/>
      <c r="J454" s="31"/>
      <c r="K454" s="67"/>
      <c r="L454" s="67"/>
      <c r="Q454" s="38"/>
    </row>
    <row r="455" spans="1:17" s="90" customFormat="1" ht="15" customHeight="1">
      <c r="A455" s="15"/>
      <c r="B455" s="41"/>
      <c r="C455" s="31"/>
      <c r="D455" s="31"/>
      <c r="E455" s="31"/>
      <c r="F455" s="65"/>
      <c r="G455" s="31"/>
      <c r="H455" s="31"/>
      <c r="I455" s="65"/>
      <c r="J455" s="31"/>
      <c r="K455" s="67"/>
      <c r="L455" s="67"/>
      <c r="Q455" s="38"/>
    </row>
    <row r="456" spans="1:17" s="90" customFormat="1" ht="15" customHeight="1">
      <c r="A456" s="15"/>
      <c r="B456" s="41"/>
      <c r="C456" s="31"/>
      <c r="D456" s="31"/>
      <c r="E456" s="31"/>
      <c r="F456" s="65"/>
      <c r="G456" s="31"/>
      <c r="H456" s="31"/>
      <c r="I456" s="65"/>
      <c r="J456" s="31"/>
      <c r="K456" s="67"/>
      <c r="L456" s="67"/>
      <c r="Q456" s="38"/>
    </row>
    <row r="457" spans="1:17" s="90" customFormat="1" ht="15" customHeight="1">
      <c r="A457" s="15"/>
      <c r="B457" s="41"/>
      <c r="C457" s="31"/>
      <c r="D457" s="31"/>
      <c r="E457" s="31"/>
      <c r="F457" s="65"/>
      <c r="G457" s="31"/>
      <c r="H457" s="31"/>
      <c r="I457" s="65"/>
      <c r="J457" s="31"/>
      <c r="K457" s="67"/>
      <c r="L457" s="67"/>
      <c r="Q457" s="38"/>
    </row>
    <row r="458" spans="1:17" s="90" customFormat="1" ht="15" customHeight="1">
      <c r="A458" s="15"/>
      <c r="B458" s="41"/>
      <c r="C458" s="31"/>
      <c r="D458" s="31"/>
      <c r="E458" s="31"/>
      <c r="F458" s="65"/>
      <c r="G458" s="31"/>
      <c r="H458" s="31"/>
      <c r="I458" s="65"/>
      <c r="J458" s="31"/>
      <c r="K458" s="67"/>
      <c r="L458" s="67"/>
      <c r="Q458" s="38"/>
    </row>
    <row r="459" spans="1:17" s="90" customFormat="1" ht="15" customHeight="1">
      <c r="A459" s="15"/>
      <c r="B459" s="41"/>
      <c r="C459" s="31"/>
      <c r="D459" s="31"/>
      <c r="E459" s="31"/>
      <c r="F459" s="65"/>
      <c r="G459" s="31"/>
      <c r="H459" s="31"/>
      <c r="I459" s="65"/>
      <c r="J459" s="31"/>
      <c r="K459" s="67"/>
      <c r="L459" s="67"/>
      <c r="Q459" s="38"/>
    </row>
    <row r="460" spans="1:17" s="90" customFormat="1" ht="15" customHeight="1">
      <c r="A460" s="15"/>
      <c r="B460" s="41"/>
      <c r="C460" s="31"/>
      <c r="D460" s="31"/>
      <c r="E460" s="31"/>
      <c r="F460" s="65"/>
      <c r="G460" s="31"/>
      <c r="H460" s="31"/>
      <c r="I460" s="65"/>
      <c r="J460" s="31"/>
      <c r="K460" s="67"/>
      <c r="L460" s="67"/>
      <c r="Q460" s="38"/>
    </row>
    <row r="461" spans="1:17" s="90" customFormat="1" ht="15" customHeight="1">
      <c r="A461" s="15"/>
      <c r="B461" s="41"/>
      <c r="C461" s="31"/>
      <c r="D461" s="31"/>
      <c r="E461" s="31"/>
      <c r="F461" s="65"/>
      <c r="G461" s="31"/>
      <c r="H461" s="31"/>
      <c r="I461" s="65"/>
      <c r="J461" s="31"/>
      <c r="K461" s="67"/>
      <c r="L461" s="67"/>
      <c r="Q461" s="38"/>
    </row>
    <row r="462" spans="1:17" s="90" customFormat="1" ht="15" customHeight="1">
      <c r="A462" s="15"/>
      <c r="B462" s="41"/>
      <c r="C462" s="31"/>
      <c r="D462" s="31"/>
      <c r="E462" s="31"/>
      <c r="F462" s="65"/>
      <c r="G462" s="31"/>
      <c r="H462" s="31"/>
      <c r="I462" s="65"/>
      <c r="J462" s="31"/>
      <c r="K462" s="67"/>
      <c r="L462" s="67"/>
      <c r="Q462" s="38"/>
    </row>
    <row r="463" spans="1:17" s="90" customFormat="1" ht="15" customHeight="1">
      <c r="A463" s="15"/>
      <c r="B463" s="41"/>
      <c r="C463" s="31"/>
      <c r="D463" s="31"/>
      <c r="E463" s="31"/>
      <c r="F463" s="65"/>
      <c r="G463" s="31"/>
      <c r="H463" s="31"/>
      <c r="I463" s="65"/>
      <c r="J463" s="31"/>
      <c r="K463" s="67"/>
      <c r="L463" s="67"/>
      <c r="Q463" s="38"/>
    </row>
    <row r="464" spans="1:17" s="90" customFormat="1" ht="15" customHeight="1">
      <c r="A464" s="15"/>
      <c r="B464" s="41"/>
      <c r="C464" s="31"/>
      <c r="D464" s="31"/>
      <c r="E464" s="31"/>
      <c r="F464" s="65"/>
      <c r="G464" s="31"/>
      <c r="H464" s="31"/>
      <c r="I464" s="65"/>
      <c r="J464" s="31"/>
      <c r="K464" s="67"/>
      <c r="L464" s="67"/>
      <c r="Q464" s="38"/>
    </row>
    <row r="465" spans="1:17" s="90" customFormat="1" ht="15" customHeight="1">
      <c r="A465" s="15"/>
      <c r="B465" s="41"/>
      <c r="C465" s="31"/>
      <c r="D465" s="31"/>
      <c r="E465" s="31"/>
      <c r="F465" s="65"/>
      <c r="G465" s="31"/>
      <c r="H465" s="31"/>
      <c r="I465" s="65"/>
      <c r="J465" s="31"/>
      <c r="K465" s="67"/>
      <c r="L465" s="67"/>
      <c r="Q465" s="38"/>
    </row>
    <row r="466" spans="1:17" s="90" customFormat="1" ht="15" customHeight="1">
      <c r="A466" s="15"/>
      <c r="B466" s="41"/>
      <c r="C466" s="31"/>
      <c r="D466" s="31"/>
      <c r="E466" s="31"/>
      <c r="F466" s="65"/>
      <c r="G466" s="31"/>
      <c r="H466" s="31"/>
      <c r="I466" s="65"/>
      <c r="J466" s="31"/>
      <c r="K466" s="67"/>
      <c r="L466" s="67"/>
      <c r="Q466" s="38"/>
    </row>
    <row r="467" spans="1:17" s="90" customFormat="1" ht="15" customHeight="1">
      <c r="A467" s="15"/>
      <c r="B467" s="41"/>
      <c r="C467" s="31"/>
      <c r="D467" s="31"/>
      <c r="E467" s="31"/>
      <c r="F467" s="65"/>
      <c r="G467" s="31"/>
      <c r="H467" s="31"/>
      <c r="I467" s="65"/>
      <c r="J467" s="31"/>
      <c r="K467" s="67"/>
      <c r="L467" s="67"/>
      <c r="Q467" s="38"/>
    </row>
    <row r="468" spans="1:17" s="90" customFormat="1" ht="15" customHeight="1">
      <c r="A468" s="15"/>
      <c r="B468" s="41"/>
      <c r="C468" s="31"/>
      <c r="D468" s="31"/>
      <c r="E468" s="31"/>
      <c r="F468" s="65"/>
      <c r="G468" s="31"/>
      <c r="H468" s="31"/>
      <c r="I468" s="65"/>
      <c r="J468" s="31"/>
      <c r="K468" s="67"/>
      <c r="L468" s="67"/>
      <c r="Q468" s="38"/>
    </row>
    <row r="469" spans="1:17" s="90" customFormat="1" ht="15" customHeight="1">
      <c r="A469" s="15"/>
      <c r="B469" s="41"/>
      <c r="C469" s="31"/>
      <c r="D469" s="31"/>
      <c r="E469" s="31"/>
      <c r="F469" s="65"/>
      <c r="G469" s="31"/>
      <c r="H469" s="31"/>
      <c r="I469" s="65"/>
      <c r="J469" s="31"/>
      <c r="K469" s="67"/>
      <c r="L469" s="67"/>
      <c r="Q469" s="38"/>
    </row>
    <row r="470" spans="1:17" s="90" customFormat="1" ht="15" customHeight="1">
      <c r="A470" s="15"/>
      <c r="B470" s="41"/>
      <c r="C470" s="31"/>
      <c r="D470" s="31"/>
      <c r="E470" s="31"/>
      <c r="F470" s="65"/>
      <c r="G470" s="31"/>
      <c r="H470" s="31"/>
      <c r="I470" s="65"/>
      <c r="J470" s="31"/>
      <c r="K470" s="67"/>
      <c r="L470" s="67"/>
      <c r="Q470" s="38"/>
    </row>
    <row r="471" spans="1:17" s="90" customFormat="1" ht="15" customHeight="1">
      <c r="A471" s="15"/>
      <c r="B471" s="41"/>
      <c r="C471" s="31"/>
      <c r="D471" s="31"/>
      <c r="E471" s="31"/>
      <c r="F471" s="65"/>
      <c r="G471" s="31"/>
      <c r="H471" s="31"/>
      <c r="I471" s="65"/>
      <c r="J471" s="31"/>
      <c r="K471" s="67"/>
      <c r="L471" s="67"/>
      <c r="Q471" s="38"/>
    </row>
    <row r="472" spans="1:17" s="90" customFormat="1" ht="15" customHeight="1">
      <c r="A472" s="15"/>
      <c r="B472" s="41"/>
      <c r="C472" s="31"/>
      <c r="D472" s="31"/>
      <c r="E472" s="31"/>
      <c r="F472" s="65"/>
      <c r="G472" s="31"/>
      <c r="H472" s="31"/>
      <c r="I472" s="65"/>
      <c r="J472" s="31"/>
      <c r="K472" s="67"/>
      <c r="L472" s="67"/>
      <c r="Q472" s="38"/>
    </row>
    <row r="473" spans="1:17" s="90" customFormat="1" ht="15" customHeight="1">
      <c r="A473" s="15"/>
      <c r="B473" s="41"/>
      <c r="C473" s="31"/>
      <c r="D473" s="31"/>
      <c r="E473" s="31"/>
      <c r="F473" s="65"/>
      <c r="G473" s="31"/>
      <c r="H473" s="31"/>
      <c r="I473" s="65"/>
      <c r="J473" s="31"/>
      <c r="K473" s="67"/>
      <c r="L473" s="67"/>
      <c r="Q473" s="38"/>
    </row>
    <row r="474" spans="1:17" s="90" customFormat="1" ht="15" customHeight="1">
      <c r="A474" s="15"/>
      <c r="B474" s="41"/>
      <c r="C474" s="31"/>
      <c r="D474" s="31"/>
      <c r="E474" s="31"/>
      <c r="F474" s="65"/>
      <c r="G474" s="31"/>
      <c r="H474" s="31"/>
      <c r="I474" s="65"/>
      <c r="J474" s="31"/>
      <c r="K474" s="67"/>
      <c r="L474" s="67"/>
      <c r="Q474" s="38"/>
    </row>
    <row r="475" spans="1:17" s="90" customFormat="1" ht="15" customHeight="1">
      <c r="A475" s="15"/>
      <c r="B475" s="41"/>
      <c r="C475" s="31"/>
      <c r="D475" s="31"/>
      <c r="E475" s="31"/>
      <c r="F475" s="65"/>
      <c r="G475" s="31"/>
      <c r="H475" s="31"/>
      <c r="I475" s="65"/>
      <c r="J475" s="31"/>
      <c r="K475" s="67"/>
      <c r="L475" s="67"/>
      <c r="Q475" s="38"/>
    </row>
    <row r="476" spans="1:17" s="90" customFormat="1" ht="15" customHeight="1">
      <c r="A476" s="15"/>
      <c r="B476" s="41"/>
      <c r="C476" s="31"/>
      <c r="D476" s="31"/>
      <c r="E476" s="31"/>
      <c r="F476" s="65"/>
      <c r="G476" s="31"/>
      <c r="H476" s="31"/>
      <c r="I476" s="65"/>
      <c r="J476" s="31"/>
      <c r="K476" s="67"/>
      <c r="L476" s="67"/>
      <c r="Q476" s="38"/>
    </row>
    <row r="477" spans="1:17" s="90" customFormat="1" ht="15" customHeight="1">
      <c r="A477" s="15"/>
      <c r="B477" s="41"/>
      <c r="C477" s="31"/>
      <c r="D477" s="31"/>
      <c r="E477" s="31"/>
      <c r="F477" s="65"/>
      <c r="G477" s="31"/>
      <c r="H477" s="31"/>
      <c r="I477" s="65"/>
      <c r="J477" s="31"/>
      <c r="K477" s="67"/>
      <c r="L477" s="67"/>
      <c r="Q477" s="38"/>
    </row>
    <row r="478" spans="1:17" s="90" customFormat="1" ht="15" customHeight="1">
      <c r="A478" s="15"/>
      <c r="B478" s="41"/>
      <c r="C478" s="31"/>
      <c r="D478" s="31"/>
      <c r="E478" s="31"/>
      <c r="F478" s="65"/>
      <c r="G478" s="31"/>
      <c r="H478" s="31"/>
      <c r="I478" s="65"/>
      <c r="J478" s="31"/>
      <c r="K478" s="67"/>
      <c r="L478" s="67"/>
      <c r="Q478" s="38"/>
    </row>
    <row r="479" spans="1:17" s="90" customFormat="1" ht="15" customHeight="1">
      <c r="A479" s="15"/>
      <c r="B479" s="41"/>
      <c r="C479" s="31"/>
      <c r="D479" s="31"/>
      <c r="E479" s="31"/>
      <c r="F479" s="65"/>
      <c r="G479" s="31"/>
      <c r="H479" s="31"/>
      <c r="I479" s="65"/>
      <c r="J479" s="31"/>
      <c r="K479" s="67"/>
      <c r="L479" s="67"/>
      <c r="Q479" s="38"/>
    </row>
    <row r="480" spans="1:17" s="90" customFormat="1" ht="15" customHeight="1">
      <c r="A480" s="15"/>
      <c r="B480" s="41"/>
      <c r="C480" s="31"/>
      <c r="D480" s="31"/>
      <c r="E480" s="31"/>
      <c r="F480" s="65"/>
      <c r="G480" s="31"/>
      <c r="H480" s="31"/>
      <c r="I480" s="65"/>
      <c r="J480" s="31"/>
      <c r="K480" s="67"/>
      <c r="L480" s="67"/>
      <c r="Q480" s="38"/>
    </row>
    <row r="481" spans="1:17" s="90" customFormat="1" ht="15" customHeight="1">
      <c r="A481" s="15"/>
      <c r="B481" s="41"/>
      <c r="C481" s="31"/>
      <c r="D481" s="31"/>
      <c r="E481" s="31"/>
      <c r="F481" s="65"/>
      <c r="G481" s="31"/>
      <c r="H481" s="31"/>
      <c r="I481" s="65"/>
      <c r="J481" s="31"/>
      <c r="K481" s="67"/>
      <c r="L481" s="67"/>
      <c r="Q481" s="38"/>
    </row>
    <row r="482" spans="1:17" s="90" customFormat="1" ht="15" customHeight="1">
      <c r="A482" s="15"/>
      <c r="B482" s="41"/>
      <c r="C482" s="31"/>
      <c r="D482" s="31"/>
      <c r="E482" s="31"/>
      <c r="F482" s="65"/>
      <c r="G482" s="31"/>
      <c r="H482" s="31"/>
      <c r="I482" s="65"/>
      <c r="J482" s="31"/>
      <c r="K482" s="67"/>
      <c r="L482" s="67"/>
      <c r="Q482" s="38"/>
    </row>
    <row r="483" spans="1:17" s="90" customFormat="1" ht="15" customHeight="1">
      <c r="A483" s="15"/>
      <c r="B483" s="41"/>
      <c r="C483" s="31"/>
      <c r="D483" s="31"/>
      <c r="E483" s="31"/>
      <c r="F483" s="65"/>
      <c r="G483" s="31"/>
      <c r="H483" s="31"/>
      <c r="I483" s="65"/>
      <c r="J483" s="31"/>
      <c r="K483" s="67"/>
      <c r="L483" s="67"/>
      <c r="Q483" s="38"/>
    </row>
    <row r="484" spans="1:17" s="90" customFormat="1" ht="15" customHeight="1">
      <c r="A484" s="15"/>
      <c r="B484" s="41"/>
      <c r="C484" s="31"/>
      <c r="D484" s="31"/>
      <c r="E484" s="31"/>
      <c r="F484" s="65"/>
      <c r="G484" s="31"/>
      <c r="H484" s="31"/>
      <c r="I484" s="65"/>
      <c r="J484" s="31"/>
      <c r="K484" s="67"/>
      <c r="L484" s="67"/>
      <c r="Q484" s="38"/>
    </row>
    <row r="485" spans="1:17" s="90" customFormat="1" ht="15" customHeight="1">
      <c r="A485" s="15"/>
      <c r="B485" s="41"/>
      <c r="C485" s="31"/>
      <c r="D485" s="31"/>
      <c r="E485" s="31"/>
      <c r="F485" s="65"/>
      <c r="G485" s="31"/>
      <c r="H485" s="31"/>
      <c r="I485" s="65"/>
      <c r="J485" s="31"/>
      <c r="K485" s="67"/>
      <c r="L485" s="67"/>
      <c r="Q485" s="38"/>
    </row>
    <row r="486" spans="1:17" s="90" customFormat="1" ht="15" customHeight="1">
      <c r="A486" s="15"/>
      <c r="B486" s="41"/>
      <c r="C486" s="31"/>
      <c r="D486" s="31"/>
      <c r="E486" s="31"/>
      <c r="F486" s="65"/>
      <c r="G486" s="31"/>
      <c r="H486" s="31"/>
      <c r="I486" s="65"/>
      <c r="J486" s="31"/>
      <c r="K486" s="67"/>
      <c r="L486" s="67"/>
      <c r="Q486" s="38"/>
    </row>
    <row r="487" spans="1:17" s="90" customFormat="1" ht="15" customHeight="1">
      <c r="A487" s="15"/>
      <c r="B487" s="41"/>
      <c r="C487" s="31"/>
      <c r="D487" s="31"/>
      <c r="E487" s="31"/>
      <c r="F487" s="65"/>
      <c r="G487" s="31"/>
      <c r="H487" s="31"/>
      <c r="I487" s="65"/>
      <c r="J487" s="31"/>
      <c r="K487" s="67"/>
      <c r="L487" s="67"/>
      <c r="Q487" s="38"/>
    </row>
    <row r="488" spans="1:17" s="90" customFormat="1" ht="15" customHeight="1">
      <c r="A488" s="15"/>
      <c r="B488" s="41"/>
      <c r="C488" s="31"/>
      <c r="D488" s="31"/>
      <c r="E488" s="31"/>
      <c r="F488" s="65"/>
      <c r="G488" s="31"/>
      <c r="H488" s="31"/>
      <c r="I488" s="65"/>
      <c r="J488" s="31"/>
      <c r="K488" s="67"/>
      <c r="L488" s="67"/>
      <c r="Q488" s="38"/>
    </row>
    <row r="489" spans="1:17" s="90" customFormat="1" ht="15" customHeight="1">
      <c r="A489" s="15"/>
      <c r="B489" s="41"/>
      <c r="C489" s="31"/>
      <c r="D489" s="31"/>
      <c r="E489" s="31"/>
      <c r="F489" s="65"/>
      <c r="G489" s="31"/>
      <c r="H489" s="31"/>
      <c r="I489" s="65"/>
      <c r="J489" s="31"/>
      <c r="K489" s="67"/>
      <c r="L489" s="67"/>
      <c r="Q489" s="38"/>
    </row>
    <row r="490" spans="1:17" s="90" customFormat="1" ht="15" customHeight="1">
      <c r="A490" s="15"/>
      <c r="B490" s="41"/>
      <c r="C490" s="31"/>
      <c r="D490" s="31"/>
      <c r="E490" s="31"/>
      <c r="F490" s="65"/>
      <c r="G490" s="31"/>
      <c r="H490" s="31"/>
      <c r="I490" s="65"/>
      <c r="J490" s="31"/>
      <c r="K490" s="67"/>
      <c r="L490" s="67"/>
      <c r="Q490" s="38"/>
    </row>
    <row r="491" spans="1:17" s="90" customFormat="1" ht="15" customHeight="1">
      <c r="A491" s="15"/>
      <c r="B491" s="41"/>
      <c r="C491" s="31"/>
      <c r="D491" s="31"/>
      <c r="E491" s="31"/>
      <c r="F491" s="65"/>
      <c r="G491" s="31"/>
      <c r="H491" s="31"/>
      <c r="I491" s="65"/>
      <c r="J491" s="31"/>
      <c r="K491" s="67"/>
      <c r="L491" s="67"/>
      <c r="Q491" s="38"/>
    </row>
    <row r="492" spans="1:17" s="90" customFormat="1" ht="15" customHeight="1">
      <c r="A492" s="15"/>
      <c r="B492" s="41"/>
      <c r="C492" s="31"/>
      <c r="D492" s="31"/>
      <c r="E492" s="31"/>
      <c r="F492" s="65"/>
      <c r="G492" s="31"/>
      <c r="H492" s="31"/>
      <c r="I492" s="65"/>
      <c r="J492" s="31"/>
      <c r="K492" s="67"/>
      <c r="L492" s="67"/>
      <c r="Q492" s="38"/>
    </row>
    <row r="493" spans="1:17" s="90" customFormat="1" ht="15" customHeight="1">
      <c r="A493" s="15"/>
      <c r="B493" s="41"/>
      <c r="C493" s="31"/>
      <c r="D493" s="31"/>
      <c r="E493" s="31"/>
      <c r="F493" s="65"/>
      <c r="G493" s="31"/>
      <c r="H493" s="31"/>
      <c r="I493" s="65"/>
      <c r="J493" s="31"/>
      <c r="K493" s="67"/>
      <c r="L493" s="67"/>
      <c r="Q493" s="38"/>
    </row>
    <row r="494" spans="1:17" s="90" customFormat="1" ht="15" customHeight="1">
      <c r="A494" s="15"/>
      <c r="B494" s="41"/>
      <c r="C494" s="31"/>
      <c r="D494" s="31"/>
      <c r="E494" s="31"/>
      <c r="F494" s="65"/>
      <c r="G494" s="31"/>
      <c r="H494" s="31"/>
      <c r="I494" s="65"/>
      <c r="J494" s="31"/>
      <c r="K494" s="67"/>
      <c r="L494" s="67"/>
      <c r="Q494" s="38"/>
    </row>
    <row r="495" spans="1:17" s="90" customFormat="1" ht="15" customHeight="1">
      <c r="A495" s="15"/>
      <c r="B495" s="41"/>
      <c r="C495" s="31"/>
      <c r="D495" s="31"/>
      <c r="E495" s="31"/>
      <c r="F495" s="65"/>
      <c r="G495" s="31"/>
      <c r="H495" s="31"/>
      <c r="I495" s="65"/>
      <c r="J495" s="31"/>
      <c r="K495" s="67"/>
      <c r="L495" s="67"/>
      <c r="Q495" s="38"/>
    </row>
    <row r="496" spans="1:17" s="90" customFormat="1" ht="15" customHeight="1">
      <c r="A496" s="15"/>
      <c r="B496" s="41"/>
      <c r="C496" s="31"/>
      <c r="D496" s="31"/>
      <c r="E496" s="31"/>
      <c r="F496" s="65"/>
      <c r="G496" s="31"/>
      <c r="H496" s="31"/>
      <c r="I496" s="65"/>
      <c r="J496" s="31"/>
      <c r="K496" s="67"/>
      <c r="L496" s="67"/>
      <c r="Q496" s="38"/>
    </row>
    <row r="497" spans="1:17" s="90" customFormat="1" ht="15" customHeight="1">
      <c r="A497" s="15"/>
      <c r="B497" s="41"/>
      <c r="C497" s="31"/>
      <c r="D497" s="31"/>
      <c r="E497" s="31"/>
      <c r="F497" s="65"/>
      <c r="G497" s="31"/>
      <c r="H497" s="31"/>
      <c r="I497" s="65"/>
      <c r="J497" s="31"/>
      <c r="K497" s="67"/>
      <c r="L497" s="67"/>
      <c r="Q497" s="38"/>
    </row>
    <row r="498" spans="1:17" s="90" customFormat="1" ht="15" customHeight="1">
      <c r="A498" s="15"/>
      <c r="B498" s="41"/>
      <c r="C498" s="31"/>
      <c r="D498" s="31"/>
      <c r="E498" s="31"/>
      <c r="F498" s="65"/>
      <c r="G498" s="31"/>
      <c r="H498" s="31"/>
      <c r="I498" s="65"/>
      <c r="J498" s="31"/>
      <c r="K498" s="67"/>
      <c r="L498" s="67"/>
      <c r="Q498" s="38"/>
    </row>
    <row r="499" spans="1:17" s="90" customFormat="1" ht="15" customHeight="1">
      <c r="A499" s="15"/>
      <c r="B499" s="41"/>
      <c r="C499" s="31"/>
      <c r="D499" s="31"/>
      <c r="E499" s="31"/>
      <c r="F499" s="65"/>
      <c r="G499" s="31"/>
      <c r="H499" s="31"/>
      <c r="I499" s="65"/>
      <c r="J499" s="31"/>
      <c r="K499" s="67"/>
      <c r="L499" s="67"/>
      <c r="Q499" s="38"/>
    </row>
    <row r="500" spans="1:17" s="90" customFormat="1" ht="15" customHeight="1">
      <c r="A500" s="15"/>
      <c r="B500" s="41"/>
      <c r="C500" s="31"/>
      <c r="D500" s="31"/>
      <c r="E500" s="31"/>
      <c r="F500" s="65"/>
      <c r="G500" s="31"/>
      <c r="H500" s="31"/>
      <c r="I500" s="65"/>
      <c r="J500" s="31"/>
      <c r="K500" s="67"/>
      <c r="L500" s="67"/>
      <c r="Q500" s="38"/>
    </row>
    <row r="501" spans="1:17" s="90" customFormat="1" ht="15" customHeight="1">
      <c r="A501" s="15"/>
      <c r="B501" s="41"/>
      <c r="C501" s="31"/>
      <c r="D501" s="31"/>
      <c r="E501" s="31"/>
      <c r="F501" s="65"/>
      <c r="G501" s="31"/>
      <c r="H501" s="31"/>
      <c r="I501" s="65"/>
      <c r="J501" s="31"/>
      <c r="K501" s="67"/>
      <c r="L501" s="67"/>
      <c r="Q501" s="38"/>
    </row>
    <row r="502" spans="1:17" s="90" customFormat="1" ht="15" customHeight="1">
      <c r="A502" s="15"/>
      <c r="B502" s="41"/>
      <c r="C502" s="31"/>
      <c r="D502" s="31"/>
      <c r="E502" s="31"/>
      <c r="F502" s="65"/>
      <c r="G502" s="31"/>
      <c r="H502" s="31"/>
      <c r="I502" s="65"/>
      <c r="J502" s="31"/>
      <c r="K502" s="67"/>
      <c r="L502" s="67"/>
      <c r="Q502" s="38"/>
    </row>
    <row r="503" spans="1:17" s="90" customFormat="1" ht="15" customHeight="1">
      <c r="A503" s="15"/>
      <c r="B503" s="41"/>
      <c r="C503" s="31"/>
      <c r="D503" s="31"/>
      <c r="E503" s="31"/>
      <c r="F503" s="65"/>
      <c r="G503" s="31"/>
      <c r="H503" s="31"/>
      <c r="I503" s="65"/>
      <c r="J503" s="31"/>
      <c r="K503" s="67"/>
      <c r="L503" s="67"/>
      <c r="Q503" s="38"/>
    </row>
    <row r="504" spans="1:17" s="90" customFormat="1" ht="15" customHeight="1">
      <c r="A504" s="15"/>
      <c r="B504" s="41"/>
      <c r="C504" s="31"/>
      <c r="D504" s="31"/>
      <c r="E504" s="31"/>
      <c r="F504" s="65"/>
      <c r="G504" s="31"/>
      <c r="H504" s="31"/>
      <c r="I504" s="65"/>
      <c r="J504" s="31"/>
      <c r="K504" s="67"/>
      <c r="L504" s="67"/>
      <c r="Q504" s="38"/>
    </row>
    <row r="505" spans="1:17" s="90" customFormat="1" ht="15" customHeight="1">
      <c r="A505" s="15"/>
      <c r="B505" s="41"/>
      <c r="C505" s="31"/>
      <c r="D505" s="31"/>
      <c r="E505" s="31"/>
      <c r="F505" s="65"/>
      <c r="G505" s="31"/>
      <c r="H505" s="31"/>
      <c r="I505" s="65"/>
      <c r="J505" s="31"/>
      <c r="K505" s="67"/>
      <c r="L505" s="67"/>
      <c r="Q505" s="38"/>
    </row>
    <row r="506" spans="1:17" s="90" customFormat="1" ht="15" customHeight="1">
      <c r="A506" s="15"/>
      <c r="B506" s="41"/>
      <c r="C506" s="31"/>
      <c r="D506" s="31"/>
      <c r="E506" s="31"/>
      <c r="F506" s="65"/>
      <c r="G506" s="31"/>
      <c r="H506" s="31"/>
      <c r="I506" s="65"/>
      <c r="J506" s="31"/>
      <c r="K506" s="67"/>
      <c r="L506" s="67"/>
      <c r="Q506" s="38"/>
    </row>
    <row r="507" spans="1:17" s="90" customFormat="1" ht="15" customHeight="1">
      <c r="A507" s="15"/>
      <c r="B507" s="41"/>
      <c r="C507" s="31"/>
      <c r="D507" s="31"/>
      <c r="E507" s="31"/>
      <c r="F507" s="65"/>
      <c r="G507" s="31"/>
      <c r="H507" s="31"/>
      <c r="I507" s="65"/>
      <c r="J507" s="31"/>
      <c r="K507" s="67"/>
      <c r="L507" s="67"/>
      <c r="Q507" s="38"/>
    </row>
    <row r="508" spans="1:17" s="90" customFormat="1" ht="15" customHeight="1">
      <c r="A508" s="15"/>
      <c r="B508" s="41"/>
      <c r="C508" s="31"/>
      <c r="D508" s="31"/>
      <c r="E508" s="31"/>
      <c r="F508" s="65"/>
      <c r="G508" s="31"/>
      <c r="H508" s="31"/>
      <c r="I508" s="65"/>
      <c r="J508" s="31"/>
      <c r="K508" s="67"/>
      <c r="L508" s="67"/>
      <c r="Q508" s="38"/>
    </row>
    <row r="509" spans="1:17" s="90" customFormat="1" ht="15" customHeight="1">
      <c r="A509" s="15"/>
      <c r="B509" s="41"/>
      <c r="C509" s="31"/>
      <c r="D509" s="31"/>
      <c r="E509" s="31"/>
      <c r="F509" s="65"/>
      <c r="G509" s="31"/>
      <c r="H509" s="31"/>
      <c r="I509" s="65"/>
      <c r="J509" s="31"/>
      <c r="K509" s="67"/>
      <c r="L509" s="67"/>
      <c r="Q509" s="38"/>
    </row>
    <row r="510" spans="1:17" s="90" customFormat="1" ht="15" customHeight="1">
      <c r="A510" s="15"/>
      <c r="B510" s="41"/>
      <c r="C510" s="31"/>
      <c r="D510" s="31"/>
      <c r="E510" s="31"/>
      <c r="F510" s="65"/>
      <c r="G510" s="31"/>
      <c r="H510" s="31"/>
      <c r="I510" s="65"/>
      <c r="J510" s="31"/>
      <c r="K510" s="67"/>
      <c r="L510" s="67"/>
      <c r="Q510" s="38"/>
    </row>
    <row r="511" spans="1:17" s="90" customFormat="1" ht="15" customHeight="1">
      <c r="A511" s="15"/>
      <c r="B511" s="41"/>
      <c r="C511" s="31"/>
      <c r="D511" s="31"/>
      <c r="E511" s="31"/>
      <c r="F511" s="65"/>
      <c r="G511" s="31"/>
      <c r="H511" s="31"/>
      <c r="I511" s="65"/>
      <c r="J511" s="31"/>
      <c r="K511" s="67"/>
      <c r="L511" s="67"/>
      <c r="Q511" s="38"/>
    </row>
    <row r="512" spans="1:17" s="90" customFormat="1" ht="15" customHeight="1">
      <c r="A512" s="15"/>
      <c r="B512" s="41"/>
      <c r="C512" s="31"/>
      <c r="D512" s="31"/>
      <c r="E512" s="31"/>
      <c r="F512" s="65"/>
      <c r="G512" s="31"/>
      <c r="H512" s="31"/>
      <c r="I512" s="65"/>
      <c r="J512" s="31"/>
      <c r="K512" s="67"/>
      <c r="L512" s="67"/>
      <c r="Q512" s="38"/>
    </row>
    <row r="513" spans="1:17" s="90" customFormat="1" ht="15" customHeight="1">
      <c r="A513" s="15"/>
      <c r="B513" s="41"/>
      <c r="C513" s="31"/>
      <c r="D513" s="31"/>
      <c r="E513" s="31"/>
      <c r="F513" s="65"/>
      <c r="G513" s="31"/>
      <c r="H513" s="31"/>
      <c r="I513" s="65"/>
      <c r="J513" s="31"/>
      <c r="K513" s="67"/>
      <c r="L513" s="67"/>
      <c r="Q513" s="38"/>
    </row>
    <row r="514" spans="1:17" s="90" customFormat="1" ht="15" customHeight="1">
      <c r="A514" s="15"/>
      <c r="B514" s="41"/>
      <c r="C514" s="31"/>
      <c r="D514" s="31"/>
      <c r="E514" s="31"/>
      <c r="F514" s="65"/>
      <c r="G514" s="31"/>
      <c r="H514" s="31"/>
      <c r="I514" s="65"/>
      <c r="J514" s="31"/>
      <c r="K514" s="67"/>
      <c r="L514" s="67"/>
      <c r="Q514" s="38"/>
    </row>
    <row r="515" spans="1:17" s="90" customFormat="1" ht="15" customHeight="1">
      <c r="A515" s="15"/>
      <c r="B515" s="41"/>
      <c r="C515" s="31"/>
      <c r="D515" s="31"/>
      <c r="E515" s="31"/>
      <c r="F515" s="65"/>
      <c r="G515" s="31"/>
      <c r="H515" s="31"/>
      <c r="I515" s="65"/>
      <c r="J515" s="31"/>
      <c r="K515" s="67"/>
      <c r="L515" s="67"/>
      <c r="Q515" s="38"/>
    </row>
    <row r="516" spans="1:17" s="90" customFormat="1" ht="15" customHeight="1">
      <c r="A516" s="15"/>
      <c r="B516" s="41"/>
      <c r="C516" s="31"/>
      <c r="D516" s="31"/>
      <c r="E516" s="31"/>
      <c r="F516" s="65"/>
      <c r="G516" s="31"/>
      <c r="H516" s="31"/>
      <c r="I516" s="65"/>
      <c r="J516" s="31"/>
      <c r="K516" s="67"/>
      <c r="L516" s="67"/>
      <c r="Q516" s="38"/>
    </row>
    <row r="517" spans="1:17" s="90" customFormat="1" ht="15" customHeight="1">
      <c r="A517" s="15"/>
      <c r="B517" s="41"/>
      <c r="C517" s="31"/>
      <c r="D517" s="31"/>
      <c r="E517" s="31"/>
      <c r="F517" s="65"/>
      <c r="G517" s="31"/>
      <c r="H517" s="31"/>
      <c r="I517" s="65"/>
      <c r="J517" s="31"/>
      <c r="K517" s="67"/>
      <c r="L517" s="67"/>
      <c r="Q517" s="38"/>
    </row>
    <row r="518" spans="1:17" s="90" customFormat="1" ht="15" customHeight="1">
      <c r="A518" s="15"/>
      <c r="B518" s="41"/>
      <c r="C518" s="31"/>
      <c r="D518" s="31"/>
      <c r="E518" s="31"/>
      <c r="F518" s="65"/>
      <c r="G518" s="31"/>
      <c r="H518" s="31"/>
      <c r="I518" s="65"/>
      <c r="J518" s="31"/>
      <c r="K518" s="67"/>
      <c r="L518" s="67"/>
      <c r="Q518" s="38"/>
    </row>
    <row r="519" spans="1:17" s="90" customFormat="1" ht="15" customHeight="1">
      <c r="A519" s="15"/>
      <c r="B519" s="41"/>
      <c r="C519" s="31"/>
      <c r="D519" s="31"/>
      <c r="E519" s="31"/>
      <c r="F519" s="65"/>
      <c r="G519" s="31"/>
      <c r="H519" s="31"/>
      <c r="I519" s="65"/>
      <c r="J519" s="31"/>
      <c r="K519" s="67"/>
      <c r="L519" s="67"/>
      <c r="Q519" s="38"/>
    </row>
    <row r="520" spans="1:17" s="90" customFormat="1" ht="15" customHeight="1">
      <c r="A520" s="15"/>
      <c r="B520" s="41"/>
      <c r="C520" s="31"/>
      <c r="D520" s="31"/>
      <c r="E520" s="31"/>
      <c r="F520" s="65"/>
      <c r="G520" s="31"/>
      <c r="H520" s="31"/>
      <c r="I520" s="65"/>
      <c r="J520" s="31"/>
      <c r="K520" s="67"/>
      <c r="L520" s="67"/>
      <c r="Q520" s="38"/>
    </row>
    <row r="521" spans="1:17" s="90" customFormat="1" ht="15" customHeight="1">
      <c r="A521" s="15"/>
      <c r="B521" s="41"/>
      <c r="C521" s="31"/>
      <c r="D521" s="31"/>
      <c r="E521" s="31"/>
      <c r="F521" s="65"/>
      <c r="G521" s="31"/>
      <c r="H521" s="31"/>
      <c r="I521" s="65"/>
      <c r="J521" s="31"/>
      <c r="K521" s="67"/>
      <c r="L521" s="67"/>
      <c r="Q521" s="38"/>
    </row>
    <row r="522" spans="1:17" s="90" customFormat="1" ht="15" customHeight="1">
      <c r="A522" s="15"/>
      <c r="B522" s="41"/>
      <c r="C522" s="31"/>
      <c r="D522" s="31"/>
      <c r="E522" s="31"/>
      <c r="F522" s="65"/>
      <c r="G522" s="31"/>
      <c r="H522" s="31"/>
      <c r="I522" s="65"/>
      <c r="J522" s="31"/>
      <c r="K522" s="67"/>
      <c r="L522" s="67"/>
      <c r="Q522" s="38"/>
    </row>
    <row r="523" spans="1:17" s="90" customFormat="1" ht="15" customHeight="1">
      <c r="A523" s="15"/>
      <c r="B523" s="41"/>
      <c r="C523" s="31"/>
      <c r="D523" s="31"/>
      <c r="E523" s="31"/>
      <c r="F523" s="65"/>
      <c r="G523" s="31"/>
      <c r="H523" s="31"/>
      <c r="I523" s="65"/>
      <c r="J523" s="31"/>
      <c r="K523" s="67"/>
      <c r="L523" s="67"/>
      <c r="Q523" s="38"/>
    </row>
    <row r="524" spans="1:17" s="90" customFormat="1" ht="15" customHeight="1">
      <c r="A524" s="15"/>
      <c r="B524" s="41"/>
      <c r="C524" s="31"/>
      <c r="D524" s="31"/>
      <c r="E524" s="31"/>
      <c r="F524" s="65"/>
      <c r="G524" s="31"/>
      <c r="H524" s="31"/>
      <c r="I524" s="65"/>
      <c r="J524" s="31"/>
      <c r="K524" s="67"/>
      <c r="L524" s="67"/>
      <c r="Q524" s="38"/>
    </row>
    <row r="525" spans="1:17" s="90" customFormat="1" ht="15" customHeight="1">
      <c r="A525" s="15"/>
      <c r="B525" s="41"/>
      <c r="C525" s="31"/>
      <c r="D525" s="31"/>
      <c r="E525" s="31"/>
      <c r="F525" s="65"/>
      <c r="G525" s="31"/>
      <c r="H525" s="31"/>
      <c r="I525" s="65"/>
      <c r="J525" s="31"/>
      <c r="K525" s="67"/>
      <c r="L525" s="67"/>
      <c r="Q525" s="38"/>
    </row>
    <row r="526" spans="1:17" s="90" customFormat="1" ht="15" customHeight="1">
      <c r="A526" s="15"/>
      <c r="B526" s="41"/>
      <c r="C526" s="31"/>
      <c r="D526" s="31"/>
      <c r="E526" s="31"/>
      <c r="F526" s="65"/>
      <c r="G526" s="31"/>
      <c r="H526" s="31"/>
      <c r="I526" s="65"/>
      <c r="J526" s="31"/>
      <c r="K526" s="67"/>
      <c r="L526" s="67"/>
      <c r="Q526" s="38"/>
    </row>
    <row r="527" spans="1:17" s="90" customFormat="1" ht="15" customHeight="1">
      <c r="A527" s="15"/>
      <c r="B527" s="41"/>
      <c r="C527" s="31"/>
      <c r="D527" s="31"/>
      <c r="E527" s="31"/>
      <c r="F527" s="65"/>
      <c r="G527" s="31"/>
      <c r="H527" s="31"/>
      <c r="I527" s="65"/>
      <c r="J527" s="31"/>
      <c r="K527" s="67"/>
      <c r="L527" s="67"/>
      <c r="Q527" s="38"/>
    </row>
    <row r="528" spans="1:17" s="90" customFormat="1" ht="15" customHeight="1">
      <c r="A528" s="15"/>
      <c r="B528" s="41"/>
      <c r="C528" s="31"/>
      <c r="D528" s="31"/>
      <c r="E528" s="31"/>
      <c r="F528" s="65"/>
      <c r="G528" s="31"/>
      <c r="H528" s="31"/>
      <c r="I528" s="65"/>
      <c r="J528" s="31"/>
      <c r="K528" s="67"/>
      <c r="L528" s="67"/>
      <c r="Q528" s="38"/>
    </row>
    <row r="529" spans="1:17" s="90" customFormat="1" ht="15" customHeight="1">
      <c r="A529" s="15"/>
      <c r="B529" s="41"/>
      <c r="C529" s="31"/>
      <c r="D529" s="31"/>
      <c r="E529" s="31"/>
      <c r="F529" s="65"/>
      <c r="G529" s="31"/>
      <c r="H529" s="31"/>
      <c r="I529" s="65"/>
      <c r="J529" s="31"/>
      <c r="K529" s="67"/>
      <c r="L529" s="67"/>
      <c r="Q529" s="38"/>
    </row>
    <row r="530" spans="1:17" s="90" customFormat="1" ht="15" customHeight="1">
      <c r="A530" s="15"/>
      <c r="B530" s="41"/>
      <c r="C530" s="31"/>
      <c r="D530" s="31"/>
      <c r="E530" s="31"/>
      <c r="F530" s="65"/>
      <c r="G530" s="31"/>
      <c r="H530" s="31"/>
      <c r="I530" s="65"/>
      <c r="J530" s="31"/>
      <c r="K530" s="67"/>
      <c r="L530" s="67"/>
      <c r="Q530" s="38"/>
    </row>
    <row r="531" spans="1:17" s="90" customFormat="1" ht="15" customHeight="1">
      <c r="A531" s="15"/>
      <c r="B531" s="41"/>
      <c r="C531" s="31"/>
      <c r="D531" s="31"/>
      <c r="E531" s="31"/>
      <c r="F531" s="65"/>
      <c r="G531" s="31"/>
      <c r="H531" s="31"/>
      <c r="I531" s="65"/>
      <c r="J531" s="31"/>
      <c r="K531" s="67"/>
      <c r="L531" s="67"/>
      <c r="Q531" s="38"/>
    </row>
    <row r="532" spans="1:17" s="90" customFormat="1" ht="15" customHeight="1">
      <c r="A532" s="15"/>
      <c r="B532" s="41"/>
      <c r="C532" s="31"/>
      <c r="D532" s="31"/>
      <c r="E532" s="31"/>
      <c r="F532" s="65"/>
      <c r="G532" s="31"/>
      <c r="H532" s="31"/>
      <c r="I532" s="65"/>
      <c r="J532" s="31"/>
      <c r="K532" s="67"/>
      <c r="L532" s="67"/>
      <c r="Q532" s="38"/>
    </row>
    <row r="533" spans="1:17" s="90" customFormat="1" ht="15" customHeight="1">
      <c r="A533" s="15"/>
      <c r="B533" s="41"/>
      <c r="C533" s="31"/>
      <c r="D533" s="31"/>
      <c r="E533" s="31"/>
      <c r="F533" s="65"/>
      <c r="G533" s="31"/>
      <c r="H533" s="31"/>
      <c r="I533" s="65"/>
      <c r="J533" s="31"/>
      <c r="K533" s="67"/>
      <c r="L533" s="67"/>
      <c r="Q533" s="38"/>
    </row>
    <row r="534" spans="1:17" s="90" customFormat="1" ht="15" customHeight="1">
      <c r="A534" s="15"/>
      <c r="B534" s="41"/>
      <c r="C534" s="31"/>
      <c r="D534" s="31"/>
      <c r="E534" s="31"/>
      <c r="F534" s="65"/>
      <c r="G534" s="31"/>
      <c r="H534" s="31"/>
      <c r="I534" s="65"/>
      <c r="J534" s="31"/>
      <c r="K534" s="67"/>
      <c r="L534" s="67"/>
      <c r="Q534" s="38"/>
    </row>
    <row r="535" spans="1:17" s="90" customFormat="1" ht="15" customHeight="1">
      <c r="A535" s="15"/>
      <c r="B535" s="41"/>
      <c r="C535" s="31"/>
      <c r="D535" s="31"/>
      <c r="E535" s="31"/>
      <c r="F535" s="65"/>
      <c r="G535" s="31"/>
      <c r="H535" s="31"/>
      <c r="I535" s="65"/>
      <c r="J535" s="31"/>
      <c r="K535" s="67"/>
      <c r="L535" s="67"/>
      <c r="Q535" s="38"/>
    </row>
    <row r="536" spans="1:17" s="90" customFormat="1" ht="15" customHeight="1">
      <c r="A536" s="15"/>
      <c r="B536" s="41"/>
      <c r="C536" s="31"/>
      <c r="D536" s="31"/>
      <c r="E536" s="31"/>
      <c r="F536" s="65"/>
      <c r="G536" s="31"/>
      <c r="H536" s="31"/>
      <c r="I536" s="65"/>
      <c r="J536" s="31"/>
      <c r="K536" s="67"/>
      <c r="L536" s="67"/>
      <c r="Q536" s="38"/>
    </row>
    <row r="537" spans="1:17" s="90" customFormat="1" ht="15" customHeight="1">
      <c r="A537" s="15"/>
      <c r="B537" s="41"/>
      <c r="C537" s="31"/>
      <c r="D537" s="31"/>
      <c r="E537" s="31"/>
      <c r="F537" s="65"/>
      <c r="G537" s="31"/>
      <c r="H537" s="31"/>
      <c r="I537" s="65"/>
      <c r="J537" s="31"/>
      <c r="K537" s="67"/>
      <c r="L537" s="67"/>
      <c r="Q537" s="38"/>
    </row>
    <row r="538" spans="1:17" s="90" customFormat="1" ht="15" customHeight="1">
      <c r="A538" s="15"/>
      <c r="B538" s="41"/>
      <c r="C538" s="31"/>
      <c r="D538" s="31"/>
      <c r="E538" s="31"/>
      <c r="F538" s="65"/>
      <c r="G538" s="31"/>
      <c r="H538" s="31"/>
      <c r="I538" s="65"/>
      <c r="J538" s="31"/>
      <c r="K538" s="67"/>
      <c r="L538" s="67"/>
      <c r="Q538" s="38"/>
    </row>
    <row r="539" spans="1:17" s="90" customFormat="1" ht="15" customHeight="1">
      <c r="A539" s="15"/>
      <c r="B539" s="41"/>
      <c r="C539" s="31"/>
      <c r="D539" s="31"/>
      <c r="E539" s="31"/>
      <c r="F539" s="65"/>
      <c r="G539" s="31"/>
      <c r="H539" s="31"/>
      <c r="I539" s="65"/>
      <c r="J539" s="31"/>
      <c r="K539" s="67"/>
      <c r="L539" s="67"/>
      <c r="Q539" s="38"/>
    </row>
    <row r="540" spans="1:17" s="90" customFormat="1" ht="15" customHeight="1">
      <c r="A540" s="15"/>
      <c r="B540" s="41"/>
      <c r="C540" s="31"/>
      <c r="D540" s="31"/>
      <c r="E540" s="31"/>
      <c r="F540" s="65"/>
      <c r="G540" s="31"/>
      <c r="H540" s="31"/>
      <c r="I540" s="65"/>
      <c r="J540" s="31"/>
      <c r="K540" s="67"/>
      <c r="L540" s="67"/>
      <c r="Q540" s="38"/>
    </row>
    <row r="541" spans="1:17" s="90" customFormat="1" ht="15" customHeight="1">
      <c r="A541" s="15"/>
      <c r="B541" s="41"/>
      <c r="C541" s="31"/>
      <c r="D541" s="31"/>
      <c r="E541" s="31"/>
      <c r="F541" s="65"/>
      <c r="G541" s="31"/>
      <c r="H541" s="31"/>
      <c r="I541" s="65"/>
      <c r="J541" s="31"/>
      <c r="K541" s="67"/>
      <c r="L541" s="67"/>
      <c r="Q541" s="38"/>
    </row>
    <row r="542" spans="1:17" s="90" customFormat="1" ht="15" customHeight="1">
      <c r="A542" s="15"/>
      <c r="B542" s="41"/>
      <c r="C542" s="31"/>
      <c r="D542" s="31"/>
      <c r="E542" s="31"/>
      <c r="F542" s="65"/>
      <c r="G542" s="31"/>
      <c r="H542" s="31"/>
      <c r="I542" s="65"/>
      <c r="J542" s="31"/>
      <c r="K542" s="67"/>
      <c r="L542" s="67"/>
      <c r="Q542" s="38"/>
    </row>
    <row r="543" spans="1:17" s="90" customFormat="1" ht="15" customHeight="1">
      <c r="A543" s="15"/>
      <c r="B543" s="41"/>
      <c r="C543" s="31"/>
      <c r="D543" s="31"/>
      <c r="E543" s="31"/>
      <c r="F543" s="65"/>
      <c r="G543" s="31"/>
      <c r="H543" s="31"/>
      <c r="I543" s="65"/>
      <c r="J543" s="31"/>
      <c r="K543" s="67"/>
      <c r="L543" s="67"/>
      <c r="Q543" s="38"/>
    </row>
    <row r="544" spans="1:17" s="90" customFormat="1" ht="15" customHeight="1">
      <c r="A544" s="15"/>
      <c r="B544" s="41"/>
      <c r="C544" s="31"/>
      <c r="D544" s="31"/>
      <c r="E544" s="31"/>
      <c r="F544" s="65"/>
      <c r="G544" s="31"/>
      <c r="H544" s="31"/>
      <c r="I544" s="65"/>
      <c r="J544" s="31"/>
      <c r="K544" s="67"/>
      <c r="L544" s="67"/>
      <c r="Q544" s="38"/>
    </row>
    <row r="545" spans="1:17" s="90" customFormat="1" ht="15" customHeight="1">
      <c r="A545" s="15"/>
      <c r="B545" s="41"/>
      <c r="C545" s="31"/>
      <c r="D545" s="31"/>
      <c r="E545" s="31"/>
      <c r="F545" s="65"/>
      <c r="G545" s="31"/>
      <c r="H545" s="31"/>
      <c r="I545" s="65"/>
      <c r="J545" s="31"/>
      <c r="K545" s="67"/>
      <c r="L545" s="67"/>
      <c r="Q545" s="38"/>
    </row>
    <row r="546" spans="1:17" s="90" customFormat="1" ht="15" customHeight="1">
      <c r="A546" s="15"/>
      <c r="B546" s="41"/>
      <c r="C546" s="31"/>
      <c r="D546" s="31"/>
      <c r="E546" s="31"/>
      <c r="F546" s="65"/>
      <c r="G546" s="31"/>
      <c r="H546" s="31"/>
      <c r="I546" s="65"/>
      <c r="J546" s="31"/>
      <c r="K546" s="67"/>
      <c r="L546" s="67"/>
      <c r="Q546" s="38"/>
    </row>
    <row r="547" spans="1:17" s="90" customFormat="1" ht="15" customHeight="1">
      <c r="A547" s="15"/>
      <c r="B547" s="41"/>
      <c r="C547" s="31"/>
      <c r="D547" s="31"/>
      <c r="E547" s="31"/>
      <c r="F547" s="65"/>
      <c r="G547" s="31"/>
      <c r="H547" s="31"/>
      <c r="I547" s="65"/>
      <c r="J547" s="31"/>
      <c r="K547" s="67"/>
      <c r="L547" s="67"/>
      <c r="Q547" s="38"/>
    </row>
    <row r="548" spans="1:17" s="90" customFormat="1" ht="15" customHeight="1">
      <c r="A548" s="15"/>
      <c r="B548" s="41"/>
      <c r="C548" s="31"/>
      <c r="D548" s="31"/>
      <c r="E548" s="31"/>
      <c r="F548" s="65"/>
      <c r="G548" s="31"/>
      <c r="H548" s="31"/>
      <c r="I548" s="65"/>
      <c r="J548" s="31"/>
      <c r="K548" s="67"/>
      <c r="L548" s="67"/>
      <c r="Q548" s="38"/>
    </row>
    <row r="549" spans="1:17" s="90" customFormat="1" ht="15" customHeight="1">
      <c r="A549" s="15"/>
      <c r="B549" s="41"/>
      <c r="C549" s="31"/>
      <c r="D549" s="31"/>
      <c r="E549" s="31"/>
      <c r="F549" s="65"/>
      <c r="G549" s="31"/>
      <c r="H549" s="31"/>
      <c r="I549" s="65"/>
      <c r="J549" s="31"/>
      <c r="K549" s="67"/>
      <c r="L549" s="67"/>
      <c r="Q549" s="38"/>
    </row>
    <row r="550" spans="1:17" s="90" customFormat="1" ht="15" customHeight="1">
      <c r="A550" s="15"/>
      <c r="B550" s="41"/>
      <c r="C550" s="31"/>
      <c r="D550" s="31"/>
      <c r="E550" s="31"/>
      <c r="F550" s="65"/>
      <c r="G550" s="31"/>
      <c r="H550" s="31"/>
      <c r="I550" s="65"/>
      <c r="J550" s="31"/>
      <c r="K550" s="67"/>
      <c r="L550" s="67"/>
      <c r="Q550" s="38"/>
    </row>
    <row r="551" spans="1:17" s="90" customFormat="1" ht="15" customHeight="1">
      <c r="A551" s="15"/>
      <c r="B551" s="41"/>
      <c r="C551" s="31"/>
      <c r="D551" s="31"/>
      <c r="E551" s="31"/>
      <c r="F551" s="65"/>
      <c r="G551" s="31"/>
      <c r="H551" s="31"/>
      <c r="I551" s="65"/>
      <c r="J551" s="31"/>
      <c r="K551" s="67"/>
      <c r="L551" s="67"/>
      <c r="Q551" s="38"/>
    </row>
    <row r="552" spans="1:17" s="90" customFormat="1" ht="15" customHeight="1">
      <c r="A552" s="15"/>
      <c r="B552" s="41"/>
      <c r="C552" s="31"/>
      <c r="D552" s="31"/>
      <c r="E552" s="31"/>
      <c r="F552" s="65"/>
      <c r="G552" s="31"/>
      <c r="H552" s="31"/>
      <c r="I552" s="65"/>
      <c r="J552" s="31"/>
      <c r="K552" s="67"/>
      <c r="L552" s="67"/>
      <c r="Q552" s="38"/>
    </row>
    <row r="553" spans="1:17" s="90" customFormat="1" ht="15" customHeight="1">
      <c r="A553" s="15"/>
      <c r="B553" s="41"/>
      <c r="C553" s="31"/>
      <c r="D553" s="31"/>
      <c r="E553" s="31"/>
      <c r="F553" s="65"/>
      <c r="G553" s="31"/>
      <c r="H553" s="31"/>
      <c r="I553" s="65"/>
      <c r="J553" s="31"/>
      <c r="K553" s="67"/>
      <c r="L553" s="67"/>
      <c r="Q553" s="38"/>
    </row>
    <row r="554" spans="1:17" s="90" customFormat="1" ht="15" customHeight="1">
      <c r="A554" s="15"/>
      <c r="B554" s="41"/>
      <c r="C554" s="31"/>
      <c r="D554" s="31"/>
      <c r="E554" s="31"/>
      <c r="F554" s="65"/>
      <c r="G554" s="31"/>
      <c r="H554" s="31"/>
      <c r="I554" s="65"/>
      <c r="J554" s="31"/>
      <c r="K554" s="67"/>
      <c r="L554" s="67"/>
      <c r="Q554" s="38"/>
    </row>
    <row r="555" spans="1:17" s="90" customFormat="1" ht="15" customHeight="1">
      <c r="A555" s="15"/>
      <c r="B555" s="41"/>
      <c r="C555" s="31"/>
      <c r="D555" s="31"/>
      <c r="E555" s="31"/>
      <c r="F555" s="65"/>
      <c r="G555" s="31"/>
      <c r="H555" s="31"/>
      <c r="I555" s="65"/>
      <c r="J555" s="31"/>
      <c r="K555" s="67"/>
      <c r="L555" s="67"/>
      <c r="Q555" s="38"/>
    </row>
    <row r="556" spans="1:17" s="90" customFormat="1" ht="15" customHeight="1">
      <c r="A556" s="15"/>
      <c r="B556" s="41"/>
      <c r="C556" s="31"/>
      <c r="D556" s="31"/>
      <c r="E556" s="31"/>
      <c r="F556" s="65"/>
      <c r="G556" s="31"/>
      <c r="H556" s="31"/>
      <c r="I556" s="65"/>
      <c r="J556" s="31"/>
      <c r="K556" s="67"/>
      <c r="L556" s="67"/>
      <c r="Q556" s="38"/>
    </row>
    <row r="557" spans="1:17" s="90" customFormat="1" ht="15" customHeight="1">
      <c r="A557" s="15"/>
      <c r="B557" s="41"/>
      <c r="C557" s="31"/>
      <c r="D557" s="31"/>
      <c r="E557" s="31"/>
      <c r="F557" s="65"/>
      <c r="G557" s="31"/>
      <c r="H557" s="31"/>
      <c r="I557" s="65"/>
      <c r="J557" s="31"/>
      <c r="K557" s="67"/>
      <c r="L557" s="67"/>
      <c r="Q557" s="38"/>
    </row>
    <row r="558" spans="1:17" s="90" customFormat="1" ht="15" customHeight="1">
      <c r="A558" s="15"/>
      <c r="B558" s="41"/>
      <c r="C558" s="31"/>
      <c r="D558" s="31"/>
      <c r="E558" s="31"/>
      <c r="F558" s="65"/>
      <c r="G558" s="31"/>
      <c r="H558" s="31"/>
      <c r="I558" s="65"/>
      <c r="J558" s="31"/>
      <c r="K558" s="67"/>
      <c r="L558" s="67"/>
      <c r="Q558" s="38"/>
    </row>
    <row r="559" spans="1:17" s="90" customFormat="1" ht="15" customHeight="1">
      <c r="A559" s="15"/>
      <c r="B559" s="41"/>
      <c r="C559" s="31"/>
      <c r="D559" s="31"/>
      <c r="E559" s="31"/>
      <c r="F559" s="65"/>
      <c r="G559" s="31"/>
      <c r="H559" s="31"/>
      <c r="I559" s="65"/>
      <c r="J559" s="31"/>
      <c r="K559" s="67"/>
      <c r="L559" s="67"/>
      <c r="Q559" s="38"/>
    </row>
    <row r="560" spans="1:17" s="90" customFormat="1" ht="15" customHeight="1">
      <c r="A560" s="15"/>
      <c r="B560" s="41"/>
      <c r="C560" s="31"/>
      <c r="D560" s="31"/>
      <c r="E560" s="31"/>
      <c r="F560" s="65"/>
      <c r="G560" s="31"/>
      <c r="H560" s="31"/>
      <c r="I560" s="65"/>
      <c r="J560" s="31"/>
      <c r="K560" s="67"/>
      <c r="L560" s="67"/>
      <c r="Q560" s="38"/>
    </row>
    <row r="561" spans="1:17" s="90" customFormat="1" ht="15" customHeight="1">
      <c r="A561" s="15"/>
      <c r="B561" s="41"/>
      <c r="C561" s="31"/>
      <c r="D561" s="31"/>
      <c r="E561" s="31"/>
      <c r="F561" s="65"/>
      <c r="G561" s="31"/>
      <c r="H561" s="31"/>
      <c r="I561" s="65"/>
      <c r="J561" s="31"/>
      <c r="K561" s="67"/>
      <c r="L561" s="67"/>
      <c r="Q561" s="38"/>
    </row>
    <row r="562" spans="1:17" s="90" customFormat="1" ht="15" customHeight="1">
      <c r="A562" s="15"/>
      <c r="B562" s="41"/>
      <c r="C562" s="31"/>
      <c r="D562" s="31"/>
      <c r="E562" s="31"/>
      <c r="F562" s="65"/>
      <c r="G562" s="31"/>
      <c r="H562" s="31"/>
      <c r="I562" s="65"/>
      <c r="J562" s="31"/>
      <c r="K562" s="67"/>
      <c r="L562" s="67"/>
      <c r="Q562" s="38"/>
    </row>
    <row r="563" spans="1:17" s="90" customFormat="1" ht="15" customHeight="1">
      <c r="A563" s="15"/>
      <c r="B563" s="41"/>
      <c r="C563" s="31"/>
      <c r="D563" s="31"/>
      <c r="E563" s="31"/>
      <c r="F563" s="65"/>
      <c r="G563" s="31"/>
      <c r="H563" s="31"/>
      <c r="I563" s="65"/>
      <c r="J563" s="31"/>
      <c r="K563" s="67"/>
      <c r="L563" s="67"/>
      <c r="Q563" s="38"/>
    </row>
    <row r="564" spans="1:17" s="90" customFormat="1" ht="15" customHeight="1">
      <c r="A564" s="15"/>
      <c r="B564" s="41"/>
      <c r="C564" s="31"/>
      <c r="D564" s="31"/>
      <c r="E564" s="31"/>
      <c r="F564" s="65"/>
      <c r="G564" s="31"/>
      <c r="H564" s="31"/>
      <c r="I564" s="65"/>
      <c r="J564" s="31"/>
      <c r="K564" s="67"/>
      <c r="L564" s="67"/>
      <c r="Q564" s="38"/>
    </row>
    <row r="565" spans="1:17" s="90" customFormat="1" ht="15" customHeight="1">
      <c r="A565" s="15"/>
      <c r="B565" s="41"/>
      <c r="C565" s="31"/>
      <c r="D565" s="31"/>
      <c r="E565" s="31"/>
      <c r="F565" s="65"/>
      <c r="G565" s="31"/>
      <c r="H565" s="31"/>
      <c r="I565" s="65"/>
      <c r="J565" s="31"/>
      <c r="K565" s="67"/>
      <c r="L565" s="67"/>
      <c r="Q565" s="38"/>
    </row>
    <row r="566" spans="1:17" s="90" customFormat="1" ht="15" customHeight="1">
      <c r="A566" s="15"/>
      <c r="B566" s="41"/>
      <c r="C566" s="31"/>
      <c r="D566" s="31"/>
      <c r="E566" s="31"/>
      <c r="F566" s="65"/>
      <c r="G566" s="31"/>
      <c r="H566" s="31"/>
      <c r="I566" s="65"/>
      <c r="J566" s="31"/>
      <c r="K566" s="67"/>
      <c r="L566" s="67"/>
      <c r="Q566" s="38"/>
    </row>
    <row r="567" spans="1:17" s="90" customFormat="1" ht="15" customHeight="1">
      <c r="A567" s="15"/>
      <c r="B567" s="41"/>
      <c r="C567" s="31"/>
      <c r="D567" s="31"/>
      <c r="E567" s="31"/>
      <c r="F567" s="65"/>
      <c r="G567" s="31"/>
      <c r="H567" s="31"/>
      <c r="I567" s="65"/>
      <c r="J567" s="31"/>
      <c r="K567" s="67"/>
      <c r="L567" s="67"/>
      <c r="Q567" s="38"/>
    </row>
    <row r="568" spans="1:17" s="90" customFormat="1" ht="15" customHeight="1">
      <c r="A568" s="15"/>
      <c r="B568" s="41"/>
      <c r="C568" s="31"/>
      <c r="D568" s="31"/>
      <c r="E568" s="31"/>
      <c r="F568" s="65"/>
      <c r="G568" s="31"/>
      <c r="H568" s="31"/>
      <c r="I568" s="65"/>
      <c r="J568" s="31"/>
      <c r="K568" s="67"/>
      <c r="L568" s="67"/>
      <c r="Q568" s="38"/>
    </row>
    <row r="569" spans="1:17" s="90" customFormat="1" ht="15" customHeight="1">
      <c r="A569" s="15"/>
      <c r="B569" s="41"/>
      <c r="C569" s="31"/>
      <c r="D569" s="31"/>
      <c r="E569" s="31"/>
      <c r="F569" s="65"/>
      <c r="G569" s="31"/>
      <c r="H569" s="31"/>
      <c r="I569" s="65"/>
      <c r="J569" s="31"/>
      <c r="K569" s="67"/>
      <c r="L569" s="67"/>
      <c r="Q569" s="38"/>
    </row>
    <row r="570" spans="1:17" s="90" customFormat="1" ht="15" customHeight="1">
      <c r="A570" s="15"/>
      <c r="B570" s="41"/>
      <c r="C570" s="31"/>
      <c r="D570" s="31"/>
      <c r="E570" s="31"/>
      <c r="F570" s="65"/>
      <c r="G570" s="31"/>
      <c r="H570" s="31"/>
      <c r="I570" s="65"/>
      <c r="J570" s="31"/>
      <c r="K570" s="67"/>
      <c r="L570" s="67"/>
      <c r="Q570" s="38"/>
    </row>
    <row r="571" spans="1:17" s="90" customFormat="1" ht="15" customHeight="1">
      <c r="A571" s="15"/>
      <c r="B571" s="41"/>
      <c r="C571" s="31"/>
      <c r="D571" s="31"/>
      <c r="E571" s="31"/>
      <c r="F571" s="65"/>
      <c r="G571" s="31"/>
      <c r="H571" s="31"/>
      <c r="I571" s="65"/>
      <c r="J571" s="31"/>
      <c r="K571" s="67"/>
      <c r="L571" s="67"/>
      <c r="Q571" s="38"/>
    </row>
    <row r="572" spans="1:17" s="90" customFormat="1" ht="15" customHeight="1">
      <c r="A572" s="15"/>
      <c r="B572" s="41"/>
      <c r="C572" s="31"/>
      <c r="D572" s="31"/>
      <c r="E572" s="31"/>
      <c r="F572" s="65"/>
      <c r="G572" s="31"/>
      <c r="H572" s="31"/>
      <c r="I572" s="65"/>
      <c r="J572" s="31"/>
      <c r="K572" s="67"/>
      <c r="L572" s="67"/>
      <c r="Q572" s="38"/>
    </row>
    <row r="573" spans="1:17" s="90" customFormat="1" ht="15" customHeight="1">
      <c r="A573" s="15"/>
      <c r="B573" s="41"/>
      <c r="C573" s="31"/>
      <c r="D573" s="31"/>
      <c r="E573" s="31"/>
      <c r="F573" s="65"/>
      <c r="G573" s="31"/>
      <c r="H573" s="31"/>
      <c r="I573" s="65"/>
      <c r="J573" s="31"/>
      <c r="K573" s="67"/>
      <c r="L573" s="67"/>
      <c r="Q573" s="38"/>
    </row>
    <row r="574" spans="1:17" s="90" customFormat="1" ht="15" customHeight="1">
      <c r="A574" s="15"/>
      <c r="B574" s="41"/>
      <c r="C574" s="31"/>
      <c r="D574" s="31"/>
      <c r="E574" s="31"/>
      <c r="F574" s="65"/>
      <c r="G574" s="31"/>
      <c r="H574" s="31"/>
      <c r="I574" s="65"/>
      <c r="J574" s="31"/>
      <c r="K574" s="67"/>
      <c r="L574" s="67"/>
      <c r="Q574" s="38"/>
    </row>
    <row r="575" spans="1:17" s="90" customFormat="1" ht="15" customHeight="1">
      <c r="A575" s="15"/>
      <c r="B575" s="41"/>
      <c r="C575" s="31"/>
      <c r="D575" s="31"/>
      <c r="E575" s="31"/>
      <c r="F575" s="65"/>
      <c r="G575" s="31"/>
      <c r="H575" s="31"/>
      <c r="I575" s="65"/>
      <c r="J575" s="31"/>
      <c r="K575" s="67"/>
      <c r="L575" s="67"/>
      <c r="Q575" s="38"/>
    </row>
    <row r="576" spans="1:17" s="90" customFormat="1" ht="15" customHeight="1">
      <c r="A576" s="15"/>
      <c r="B576" s="41"/>
      <c r="C576" s="31"/>
      <c r="D576" s="31"/>
      <c r="E576" s="31"/>
      <c r="F576" s="65"/>
      <c r="G576" s="31"/>
      <c r="H576" s="31"/>
      <c r="I576" s="65"/>
      <c r="J576" s="31"/>
      <c r="K576" s="67"/>
      <c r="L576" s="67"/>
      <c r="Q576" s="38"/>
    </row>
    <row r="577" spans="1:17" s="90" customFormat="1" ht="15" customHeight="1">
      <c r="A577" s="15"/>
      <c r="B577" s="41"/>
      <c r="C577" s="31"/>
      <c r="D577" s="31"/>
      <c r="E577" s="31"/>
      <c r="F577" s="65"/>
      <c r="G577" s="31"/>
      <c r="H577" s="31"/>
      <c r="I577" s="65"/>
      <c r="J577" s="31"/>
      <c r="K577" s="67"/>
      <c r="L577" s="67"/>
      <c r="Q577" s="38"/>
    </row>
    <row r="578" spans="1:17" s="90" customFormat="1" ht="15" customHeight="1">
      <c r="A578" s="15"/>
      <c r="B578" s="41"/>
      <c r="C578" s="31"/>
      <c r="D578" s="31"/>
      <c r="E578" s="31"/>
      <c r="F578" s="65"/>
      <c r="G578" s="31"/>
      <c r="H578" s="31"/>
      <c r="I578" s="65"/>
      <c r="J578" s="31"/>
      <c r="K578" s="67"/>
      <c r="L578" s="67"/>
      <c r="Q578" s="38"/>
    </row>
    <row r="579" spans="1:17" s="90" customFormat="1" ht="15" customHeight="1">
      <c r="A579" s="15"/>
      <c r="B579" s="41"/>
      <c r="C579" s="31"/>
      <c r="D579" s="31"/>
      <c r="E579" s="31"/>
      <c r="F579" s="65"/>
      <c r="G579" s="31"/>
      <c r="H579" s="31"/>
      <c r="I579" s="65"/>
      <c r="J579" s="31"/>
      <c r="K579" s="67"/>
      <c r="L579" s="67"/>
      <c r="Q579" s="38"/>
    </row>
    <row r="580" spans="1:17" s="90" customFormat="1" ht="15" customHeight="1">
      <c r="A580" s="15"/>
      <c r="B580" s="41"/>
      <c r="C580" s="31"/>
      <c r="D580" s="31"/>
      <c r="E580" s="31"/>
      <c r="F580" s="65"/>
      <c r="G580" s="31"/>
      <c r="H580" s="31"/>
      <c r="I580" s="65"/>
      <c r="J580" s="31"/>
      <c r="K580" s="67"/>
      <c r="L580" s="67"/>
      <c r="Q580" s="38"/>
    </row>
    <row r="581" spans="1:17" s="90" customFormat="1" ht="15" customHeight="1">
      <c r="A581" s="15"/>
      <c r="B581" s="41"/>
      <c r="C581" s="31"/>
      <c r="D581" s="31"/>
      <c r="E581" s="31"/>
      <c r="F581" s="65"/>
      <c r="G581" s="31"/>
      <c r="H581" s="31"/>
      <c r="I581" s="65"/>
      <c r="J581" s="31"/>
      <c r="K581" s="67"/>
      <c r="L581" s="67"/>
      <c r="Q581" s="38"/>
    </row>
    <row r="582" spans="1:17" s="90" customFormat="1" ht="15" customHeight="1">
      <c r="A582" s="15"/>
      <c r="B582" s="41"/>
      <c r="C582" s="31"/>
      <c r="D582" s="31"/>
      <c r="E582" s="31"/>
      <c r="F582" s="65"/>
      <c r="G582" s="31"/>
      <c r="H582" s="31"/>
      <c r="I582" s="65"/>
      <c r="J582" s="31"/>
      <c r="K582" s="67"/>
      <c r="L582" s="67"/>
      <c r="Q582" s="38"/>
    </row>
    <row r="583" spans="1:17" s="90" customFormat="1" ht="15" customHeight="1">
      <c r="A583" s="15"/>
      <c r="B583" s="41"/>
      <c r="C583" s="31"/>
      <c r="D583" s="31"/>
      <c r="E583" s="31"/>
      <c r="F583" s="65"/>
      <c r="G583" s="31"/>
      <c r="H583" s="31"/>
      <c r="I583" s="65"/>
      <c r="J583" s="31"/>
      <c r="K583" s="67"/>
      <c r="L583" s="67"/>
      <c r="Q583" s="38"/>
    </row>
    <row r="584" spans="1:17" s="90" customFormat="1" ht="15" customHeight="1">
      <c r="A584" s="15"/>
      <c r="B584" s="41"/>
      <c r="C584" s="31"/>
      <c r="D584" s="31"/>
      <c r="E584" s="31"/>
      <c r="F584" s="65"/>
      <c r="G584" s="31"/>
      <c r="H584" s="31"/>
      <c r="I584" s="65"/>
      <c r="J584" s="31"/>
      <c r="K584" s="67"/>
      <c r="L584" s="67"/>
      <c r="Q584" s="38"/>
    </row>
    <row r="585" spans="1:17" s="90" customFormat="1" ht="15" customHeight="1">
      <c r="A585" s="15"/>
      <c r="B585" s="41"/>
      <c r="C585" s="31"/>
      <c r="D585" s="31"/>
      <c r="E585" s="31"/>
      <c r="F585" s="65"/>
      <c r="G585" s="31"/>
      <c r="H585" s="31"/>
      <c r="I585" s="65"/>
      <c r="J585" s="31"/>
      <c r="K585" s="67"/>
      <c r="L585" s="67"/>
      <c r="Q585" s="38"/>
    </row>
    <row r="586" spans="1:17" s="90" customFormat="1" ht="15" customHeight="1">
      <c r="A586" s="15"/>
      <c r="B586" s="41"/>
      <c r="C586" s="31"/>
      <c r="D586" s="31"/>
      <c r="E586" s="31"/>
      <c r="F586" s="65"/>
      <c r="G586" s="31"/>
      <c r="H586" s="31"/>
      <c r="I586" s="65"/>
      <c r="J586" s="31"/>
      <c r="K586" s="67"/>
      <c r="L586" s="67"/>
      <c r="Q586" s="38"/>
    </row>
    <row r="587" spans="1:17" s="90" customFormat="1" ht="15" customHeight="1">
      <c r="A587" s="15"/>
      <c r="B587" s="41"/>
      <c r="C587" s="31"/>
      <c r="D587" s="31"/>
      <c r="E587" s="31"/>
      <c r="F587" s="65"/>
      <c r="G587" s="31"/>
      <c r="H587" s="31"/>
      <c r="I587" s="65"/>
      <c r="J587" s="31"/>
      <c r="K587" s="67"/>
      <c r="L587" s="67"/>
      <c r="Q587" s="38"/>
    </row>
    <row r="588" spans="1:17" s="90" customFormat="1" ht="15" customHeight="1">
      <c r="A588" s="15"/>
      <c r="B588" s="41"/>
      <c r="C588" s="31"/>
      <c r="D588" s="31"/>
      <c r="E588" s="31"/>
      <c r="F588" s="65"/>
      <c r="G588" s="31"/>
      <c r="H588" s="31"/>
      <c r="I588" s="65"/>
      <c r="J588" s="31"/>
      <c r="K588" s="67"/>
      <c r="L588" s="67"/>
      <c r="Q588" s="38"/>
    </row>
    <row r="589" spans="1:17" s="90" customFormat="1" ht="15" customHeight="1">
      <c r="A589" s="15"/>
      <c r="B589" s="41"/>
      <c r="C589" s="31"/>
      <c r="D589" s="31"/>
      <c r="E589" s="31"/>
      <c r="F589" s="65"/>
      <c r="G589" s="31"/>
      <c r="H589" s="31"/>
      <c r="I589" s="65"/>
      <c r="J589" s="31"/>
      <c r="K589" s="67"/>
      <c r="L589" s="67"/>
      <c r="Q589" s="38"/>
    </row>
    <row r="590" spans="1:17" s="90" customFormat="1" ht="15" customHeight="1">
      <c r="A590" s="15"/>
      <c r="B590" s="41"/>
      <c r="C590" s="31"/>
      <c r="D590" s="31"/>
      <c r="E590" s="31"/>
      <c r="F590" s="65"/>
      <c r="G590" s="31"/>
      <c r="H590" s="31"/>
      <c r="I590" s="65"/>
      <c r="J590" s="31"/>
      <c r="K590" s="67"/>
      <c r="L590" s="67"/>
      <c r="Q590" s="38"/>
    </row>
    <row r="591" spans="1:17" s="90" customFormat="1" ht="15" customHeight="1">
      <c r="A591" s="15"/>
      <c r="B591" s="41"/>
      <c r="C591" s="31"/>
      <c r="D591" s="31"/>
      <c r="E591" s="31"/>
      <c r="F591" s="65"/>
      <c r="G591" s="31"/>
      <c r="H591" s="31"/>
      <c r="I591" s="65"/>
      <c r="J591" s="31"/>
      <c r="K591" s="67"/>
      <c r="L591" s="67"/>
      <c r="Q591" s="38"/>
    </row>
    <row r="592" spans="1:17" s="90" customFormat="1" ht="15" customHeight="1">
      <c r="A592" s="15"/>
      <c r="B592" s="41"/>
      <c r="C592" s="31"/>
      <c r="D592" s="31"/>
      <c r="E592" s="31"/>
      <c r="F592" s="65"/>
      <c r="G592" s="31"/>
      <c r="H592" s="31"/>
      <c r="I592" s="65"/>
      <c r="J592" s="31"/>
      <c r="K592" s="67"/>
      <c r="L592" s="67"/>
      <c r="Q592" s="38"/>
    </row>
    <row r="593" spans="1:17" s="90" customFormat="1" ht="15" customHeight="1">
      <c r="A593" s="15"/>
      <c r="B593" s="41"/>
      <c r="C593" s="31"/>
      <c r="D593" s="31"/>
      <c r="E593" s="31"/>
      <c r="F593" s="65"/>
      <c r="G593" s="31"/>
      <c r="H593" s="31"/>
      <c r="I593" s="65"/>
      <c r="J593" s="31"/>
      <c r="K593" s="67"/>
      <c r="L593" s="67"/>
      <c r="Q593" s="38"/>
    </row>
    <row r="594" spans="1:17" s="90" customFormat="1" ht="15" customHeight="1">
      <c r="A594" s="15"/>
      <c r="B594" s="41"/>
      <c r="C594" s="31"/>
      <c r="D594" s="31"/>
      <c r="E594" s="31"/>
      <c r="F594" s="65"/>
      <c r="G594" s="31"/>
      <c r="H594" s="31"/>
      <c r="I594" s="65"/>
      <c r="J594" s="31"/>
      <c r="K594" s="67"/>
      <c r="L594" s="67"/>
      <c r="Q594" s="38"/>
    </row>
    <row r="595" spans="1:17" s="90" customFormat="1" ht="15" customHeight="1">
      <c r="A595" s="15"/>
      <c r="B595" s="41"/>
      <c r="C595" s="31"/>
      <c r="D595" s="31"/>
      <c r="E595" s="31"/>
      <c r="F595" s="65"/>
      <c r="G595" s="31"/>
      <c r="H595" s="31"/>
      <c r="I595" s="65"/>
      <c r="J595" s="31"/>
      <c r="K595" s="67"/>
      <c r="L595" s="67"/>
      <c r="Q595" s="38"/>
    </row>
    <row r="596" spans="1:17" s="90" customFormat="1" ht="15" customHeight="1">
      <c r="A596" s="15"/>
      <c r="B596" s="41"/>
      <c r="C596" s="31"/>
      <c r="D596" s="31"/>
      <c r="E596" s="31"/>
      <c r="F596" s="65"/>
      <c r="G596" s="31"/>
      <c r="H596" s="31"/>
      <c r="I596" s="65"/>
      <c r="J596" s="31"/>
      <c r="K596" s="67"/>
      <c r="L596" s="67"/>
      <c r="Q596" s="38"/>
    </row>
    <row r="597" spans="1:17" s="90" customFormat="1" ht="15" customHeight="1">
      <c r="A597" s="15"/>
      <c r="B597" s="41"/>
      <c r="C597" s="31"/>
      <c r="D597" s="31"/>
      <c r="E597" s="31"/>
      <c r="F597" s="65"/>
      <c r="G597" s="31"/>
      <c r="H597" s="31"/>
      <c r="I597" s="65"/>
      <c r="J597" s="31"/>
      <c r="K597" s="67"/>
      <c r="L597" s="67"/>
      <c r="Q597" s="38"/>
    </row>
    <row r="598" spans="1:17" s="90" customFormat="1" ht="15" customHeight="1">
      <c r="A598" s="15"/>
      <c r="B598" s="41"/>
      <c r="C598" s="31"/>
      <c r="D598" s="31"/>
      <c r="E598" s="31"/>
      <c r="F598" s="65"/>
      <c r="G598" s="31"/>
      <c r="H598" s="31"/>
      <c r="I598" s="65"/>
      <c r="J598" s="31"/>
      <c r="K598" s="67"/>
      <c r="L598" s="67"/>
      <c r="Q598" s="38"/>
    </row>
    <row r="599" spans="1:17" s="90" customFormat="1" ht="15" customHeight="1">
      <c r="A599" s="15"/>
      <c r="B599" s="41"/>
      <c r="C599" s="31"/>
      <c r="D599" s="31"/>
      <c r="E599" s="31"/>
      <c r="F599" s="65"/>
      <c r="G599" s="31"/>
      <c r="H599" s="31"/>
      <c r="I599" s="65"/>
      <c r="J599" s="31"/>
      <c r="K599" s="67"/>
      <c r="L599" s="67"/>
      <c r="Q599" s="38"/>
    </row>
    <row r="600" spans="1:17" s="90" customFormat="1" ht="15" customHeight="1">
      <c r="A600" s="15"/>
      <c r="B600" s="41"/>
      <c r="C600" s="31"/>
      <c r="D600" s="31"/>
      <c r="E600" s="31"/>
      <c r="F600" s="65"/>
      <c r="G600" s="31"/>
      <c r="H600" s="31"/>
      <c r="I600" s="65"/>
      <c r="J600" s="31"/>
      <c r="K600" s="67"/>
      <c r="L600" s="67"/>
      <c r="Q600" s="38"/>
    </row>
    <row r="601" spans="1:17" s="90" customFormat="1" ht="15" customHeight="1">
      <c r="A601" s="15"/>
      <c r="B601" s="41"/>
      <c r="C601" s="31"/>
      <c r="D601" s="31"/>
      <c r="E601" s="31"/>
      <c r="F601" s="65"/>
      <c r="G601" s="31"/>
      <c r="H601" s="31"/>
      <c r="I601" s="65"/>
      <c r="J601" s="31"/>
      <c r="K601" s="67"/>
      <c r="L601" s="67"/>
      <c r="Q601" s="38"/>
    </row>
    <row r="602" spans="1:17" s="90" customFormat="1" ht="15" customHeight="1">
      <c r="A602" s="15"/>
      <c r="B602" s="41"/>
      <c r="C602" s="31"/>
      <c r="D602" s="31"/>
      <c r="E602" s="31"/>
      <c r="F602" s="65"/>
      <c r="G602" s="31"/>
      <c r="H602" s="31"/>
      <c r="I602" s="65"/>
      <c r="J602" s="31"/>
      <c r="K602" s="67"/>
      <c r="L602" s="67"/>
      <c r="Q602" s="38"/>
    </row>
    <row r="603" spans="1:17" s="90" customFormat="1" ht="15" customHeight="1">
      <c r="A603" s="15"/>
      <c r="B603" s="41"/>
      <c r="C603" s="31"/>
      <c r="D603" s="31"/>
      <c r="E603" s="31"/>
      <c r="F603" s="65"/>
      <c r="G603" s="31"/>
      <c r="H603" s="31"/>
      <c r="I603" s="65"/>
      <c r="J603" s="31"/>
      <c r="K603" s="67"/>
      <c r="L603" s="67"/>
      <c r="Q603" s="38"/>
    </row>
    <row r="604" spans="1:17" s="90" customFormat="1" ht="15" customHeight="1">
      <c r="A604" s="15"/>
      <c r="B604" s="41"/>
      <c r="C604" s="31"/>
      <c r="D604" s="31"/>
      <c r="E604" s="31"/>
      <c r="F604" s="65"/>
      <c r="G604" s="31"/>
      <c r="H604" s="31"/>
      <c r="I604" s="65"/>
      <c r="J604" s="31"/>
      <c r="K604" s="67"/>
      <c r="L604" s="67"/>
      <c r="Q604" s="38"/>
    </row>
    <row r="605" spans="1:17" s="90" customFormat="1" ht="15" customHeight="1">
      <c r="A605" s="15"/>
      <c r="B605" s="41"/>
      <c r="C605" s="31"/>
      <c r="D605" s="31"/>
      <c r="E605" s="31"/>
      <c r="F605" s="65"/>
      <c r="G605" s="31"/>
      <c r="H605" s="31"/>
      <c r="I605" s="65"/>
      <c r="J605" s="31"/>
      <c r="K605" s="67"/>
      <c r="L605" s="67"/>
      <c r="Q605" s="38"/>
    </row>
    <row r="606" spans="1:17" s="90" customFormat="1" ht="15" customHeight="1">
      <c r="A606" s="15"/>
      <c r="B606" s="41"/>
      <c r="C606" s="31"/>
      <c r="D606" s="31"/>
      <c r="E606" s="31"/>
      <c r="F606" s="65"/>
      <c r="G606" s="31"/>
      <c r="H606" s="31"/>
      <c r="I606" s="65"/>
      <c r="J606" s="31"/>
      <c r="K606" s="67"/>
      <c r="L606" s="67"/>
      <c r="Q606" s="38"/>
    </row>
    <row r="607" spans="1:17" s="90" customFormat="1" ht="15" customHeight="1">
      <c r="A607" s="15"/>
      <c r="B607" s="41"/>
      <c r="C607" s="31"/>
      <c r="D607" s="31"/>
      <c r="E607" s="31"/>
      <c r="F607" s="65"/>
      <c r="G607" s="31"/>
      <c r="H607" s="31"/>
      <c r="I607" s="65"/>
      <c r="J607" s="31"/>
      <c r="K607" s="67"/>
      <c r="L607" s="67"/>
      <c r="Q607" s="38"/>
    </row>
    <row r="608" spans="1:17" s="90" customFormat="1" ht="15" customHeight="1">
      <c r="A608" s="15"/>
      <c r="B608" s="41"/>
      <c r="C608" s="31"/>
      <c r="D608" s="31"/>
      <c r="E608" s="31"/>
      <c r="F608" s="65"/>
      <c r="G608" s="31"/>
      <c r="H608" s="31"/>
      <c r="I608" s="65"/>
      <c r="J608" s="31"/>
      <c r="K608" s="67"/>
      <c r="L608" s="67"/>
      <c r="Q608" s="38"/>
    </row>
    <row r="609" spans="1:17" s="90" customFormat="1" ht="15" customHeight="1">
      <c r="A609" s="15"/>
      <c r="B609" s="41"/>
      <c r="C609" s="31"/>
      <c r="D609" s="31"/>
      <c r="E609" s="31"/>
      <c r="F609" s="65"/>
      <c r="G609" s="31"/>
      <c r="H609" s="31"/>
      <c r="I609" s="65"/>
      <c r="J609" s="31"/>
      <c r="K609" s="67"/>
      <c r="L609" s="67"/>
      <c r="Q609" s="38"/>
    </row>
    <row r="610" spans="1:17" s="90" customFormat="1" ht="15" customHeight="1">
      <c r="A610" s="15"/>
      <c r="B610" s="41"/>
      <c r="C610" s="31"/>
      <c r="D610" s="31"/>
      <c r="E610" s="31"/>
      <c r="F610" s="65"/>
      <c r="G610" s="31"/>
      <c r="H610" s="31"/>
      <c r="I610" s="65"/>
      <c r="J610" s="31"/>
      <c r="K610" s="67"/>
      <c r="L610" s="67"/>
      <c r="Q610" s="38"/>
    </row>
    <row r="611" spans="1:17" s="90" customFormat="1" ht="15" customHeight="1">
      <c r="A611" s="15"/>
      <c r="B611" s="41"/>
      <c r="C611" s="31"/>
      <c r="D611" s="31"/>
      <c r="E611" s="31"/>
      <c r="F611" s="65"/>
      <c r="G611" s="31"/>
      <c r="H611" s="31"/>
      <c r="I611" s="65"/>
      <c r="J611" s="31"/>
      <c r="K611" s="67"/>
      <c r="L611" s="67"/>
      <c r="Q611" s="38"/>
    </row>
    <row r="612" spans="1:17" s="90" customFormat="1" ht="15" customHeight="1">
      <c r="A612" s="15"/>
      <c r="B612" s="41"/>
      <c r="C612" s="31"/>
      <c r="D612" s="31"/>
      <c r="E612" s="31"/>
      <c r="F612" s="65"/>
      <c r="G612" s="31"/>
      <c r="H612" s="31"/>
      <c r="I612" s="65"/>
      <c r="J612" s="31"/>
      <c r="K612" s="67"/>
      <c r="L612" s="67"/>
      <c r="Q612" s="38"/>
    </row>
    <row r="613" spans="1:17" s="90" customFormat="1" ht="15" customHeight="1">
      <c r="A613" s="15"/>
      <c r="B613" s="41"/>
      <c r="C613" s="31"/>
      <c r="D613" s="31"/>
      <c r="E613" s="31"/>
      <c r="F613" s="65"/>
      <c r="G613" s="31"/>
      <c r="H613" s="31"/>
      <c r="I613" s="65"/>
      <c r="J613" s="31"/>
      <c r="K613" s="67"/>
      <c r="L613" s="67"/>
      <c r="Q613" s="38"/>
    </row>
    <row r="614" spans="1:17" s="90" customFormat="1" ht="15" customHeight="1">
      <c r="A614" s="15"/>
      <c r="B614" s="41"/>
      <c r="C614" s="31"/>
      <c r="D614" s="31"/>
      <c r="E614" s="31"/>
      <c r="F614" s="65"/>
      <c r="G614" s="31"/>
      <c r="H614" s="31"/>
      <c r="I614" s="65"/>
      <c r="J614" s="31"/>
      <c r="K614" s="67"/>
      <c r="L614" s="67"/>
      <c r="Q614" s="38"/>
    </row>
    <row r="615" spans="1:17" s="90" customFormat="1" ht="15" customHeight="1">
      <c r="A615" s="15"/>
      <c r="B615" s="41"/>
      <c r="C615" s="31"/>
      <c r="D615" s="31"/>
      <c r="E615" s="31"/>
      <c r="F615" s="65"/>
      <c r="G615" s="31"/>
      <c r="H615" s="31"/>
      <c r="I615" s="65"/>
      <c r="J615" s="31"/>
      <c r="K615" s="67"/>
      <c r="L615" s="67"/>
      <c r="Q615" s="38"/>
    </row>
    <row r="616" spans="1:17" s="90" customFormat="1" ht="15" customHeight="1">
      <c r="A616" s="15"/>
      <c r="B616" s="41"/>
      <c r="C616" s="31"/>
      <c r="D616" s="31"/>
      <c r="E616" s="31"/>
      <c r="F616" s="65"/>
      <c r="G616" s="31"/>
      <c r="H616" s="31"/>
      <c r="I616" s="65"/>
      <c r="J616" s="31"/>
      <c r="K616" s="67"/>
      <c r="L616" s="67"/>
      <c r="Q616" s="38"/>
    </row>
    <row r="617" spans="1:17" s="90" customFormat="1" ht="15" customHeight="1">
      <c r="A617" s="15"/>
      <c r="B617" s="41"/>
      <c r="C617" s="31"/>
      <c r="D617" s="31"/>
      <c r="E617" s="31"/>
      <c r="F617" s="65"/>
      <c r="G617" s="31"/>
      <c r="H617" s="31"/>
      <c r="I617" s="65"/>
      <c r="J617" s="31"/>
      <c r="K617" s="67"/>
      <c r="L617" s="67"/>
      <c r="Q617" s="38"/>
    </row>
    <row r="618" spans="1:17" s="90" customFormat="1" ht="15" customHeight="1">
      <c r="A618" s="15"/>
      <c r="B618" s="41"/>
      <c r="C618" s="31"/>
      <c r="D618" s="31"/>
      <c r="E618" s="31"/>
      <c r="F618" s="65"/>
      <c r="G618" s="31"/>
      <c r="H618" s="31"/>
      <c r="I618" s="65"/>
      <c r="J618" s="31"/>
      <c r="K618" s="67"/>
      <c r="L618" s="67"/>
      <c r="Q618" s="38"/>
    </row>
    <row r="619" spans="1:17" s="90" customFormat="1" ht="15" customHeight="1">
      <c r="A619" s="15"/>
      <c r="B619" s="41"/>
      <c r="C619" s="31"/>
      <c r="D619" s="31"/>
      <c r="E619" s="31"/>
      <c r="F619" s="65"/>
      <c r="G619" s="31"/>
      <c r="H619" s="31"/>
      <c r="I619" s="65"/>
      <c r="J619" s="31"/>
      <c r="K619" s="67"/>
      <c r="L619" s="67"/>
      <c r="Q619" s="38"/>
    </row>
    <row r="620" spans="1:17" s="90" customFormat="1" ht="15" customHeight="1">
      <c r="A620" s="15"/>
      <c r="B620" s="41"/>
      <c r="C620" s="31"/>
      <c r="D620" s="31"/>
      <c r="E620" s="31"/>
      <c r="F620" s="65"/>
      <c r="G620" s="31"/>
      <c r="H620" s="31"/>
      <c r="I620" s="65"/>
      <c r="J620" s="31"/>
      <c r="K620" s="67"/>
      <c r="L620" s="67"/>
      <c r="Q620" s="38"/>
    </row>
    <row r="621" spans="1:17" s="90" customFormat="1" ht="15" customHeight="1">
      <c r="A621" s="15"/>
      <c r="B621" s="41"/>
      <c r="C621" s="31"/>
      <c r="D621" s="31"/>
      <c r="E621" s="31"/>
      <c r="F621" s="65"/>
      <c r="G621" s="31"/>
      <c r="H621" s="31"/>
      <c r="I621" s="65"/>
      <c r="J621" s="31"/>
      <c r="K621" s="67"/>
      <c r="L621" s="67"/>
      <c r="Q621" s="38"/>
    </row>
    <row r="622" spans="1:17" s="90" customFormat="1" ht="15" customHeight="1">
      <c r="A622" s="15"/>
      <c r="B622" s="41"/>
      <c r="C622" s="31"/>
      <c r="D622" s="31"/>
      <c r="E622" s="31"/>
      <c r="F622" s="65"/>
      <c r="G622" s="31"/>
      <c r="H622" s="31"/>
      <c r="I622" s="65"/>
      <c r="J622" s="31"/>
      <c r="K622" s="67"/>
      <c r="L622" s="67"/>
      <c r="Q622" s="38"/>
    </row>
    <row r="623" spans="1:17" s="90" customFormat="1" ht="15" customHeight="1">
      <c r="A623" s="15"/>
      <c r="B623" s="41"/>
      <c r="C623" s="31"/>
      <c r="D623" s="31"/>
      <c r="E623" s="31"/>
      <c r="F623" s="65"/>
      <c r="G623" s="31"/>
      <c r="H623" s="31"/>
      <c r="I623" s="65"/>
      <c r="J623" s="31"/>
      <c r="K623" s="67"/>
      <c r="L623" s="67"/>
      <c r="Q623" s="38"/>
    </row>
    <row r="624" spans="1:17" s="90" customFormat="1" ht="15" customHeight="1">
      <c r="A624" s="15"/>
      <c r="B624" s="41"/>
      <c r="C624" s="31"/>
      <c r="D624" s="31"/>
      <c r="E624" s="31"/>
      <c r="F624" s="65"/>
      <c r="G624" s="31"/>
      <c r="H624" s="31"/>
      <c r="I624" s="65"/>
      <c r="J624" s="31"/>
      <c r="K624" s="67"/>
      <c r="L624" s="67"/>
      <c r="Q624" s="38"/>
    </row>
    <row r="625" spans="1:17" s="90" customFormat="1" ht="15" customHeight="1">
      <c r="A625" s="15"/>
      <c r="B625" s="41"/>
      <c r="C625" s="31"/>
      <c r="D625" s="31"/>
      <c r="E625" s="31"/>
      <c r="F625" s="65"/>
      <c r="G625" s="31"/>
      <c r="H625" s="31"/>
      <c r="I625" s="65"/>
      <c r="J625" s="31"/>
      <c r="K625" s="67"/>
      <c r="L625" s="67"/>
      <c r="Q625" s="38"/>
    </row>
    <row r="626" spans="1:17" s="90" customFormat="1" ht="15" customHeight="1">
      <c r="A626" s="15"/>
      <c r="B626" s="41"/>
      <c r="C626" s="31"/>
      <c r="D626" s="31"/>
      <c r="E626" s="31"/>
      <c r="F626" s="65"/>
      <c r="G626" s="31"/>
      <c r="H626" s="31"/>
      <c r="I626" s="65"/>
      <c r="J626" s="31"/>
      <c r="K626" s="67"/>
      <c r="L626" s="67"/>
      <c r="Q626" s="38"/>
    </row>
    <row r="627" spans="1:17" s="90" customFormat="1" ht="15" customHeight="1">
      <c r="A627" s="15"/>
      <c r="B627" s="41"/>
      <c r="C627" s="31"/>
      <c r="D627" s="31"/>
      <c r="E627" s="31"/>
      <c r="F627" s="65"/>
      <c r="G627" s="31"/>
      <c r="H627" s="31"/>
      <c r="I627" s="65"/>
      <c r="J627" s="31"/>
      <c r="K627" s="67"/>
      <c r="L627" s="67"/>
      <c r="Q627" s="38"/>
    </row>
    <row r="628" spans="1:17" s="90" customFormat="1" ht="15" customHeight="1">
      <c r="A628" s="15"/>
      <c r="B628" s="41"/>
      <c r="C628" s="31"/>
      <c r="D628" s="31"/>
      <c r="E628" s="31"/>
      <c r="F628" s="65"/>
      <c r="G628" s="31"/>
      <c r="H628" s="31"/>
      <c r="I628" s="65"/>
      <c r="J628" s="31"/>
      <c r="K628" s="67"/>
      <c r="L628" s="67"/>
      <c r="Q628" s="38"/>
    </row>
    <row r="629" spans="1:17" s="90" customFormat="1" ht="15" customHeight="1">
      <c r="A629" s="15"/>
      <c r="B629" s="41"/>
      <c r="C629" s="31"/>
      <c r="D629" s="31"/>
      <c r="E629" s="31"/>
      <c r="F629" s="65"/>
      <c r="G629" s="31"/>
      <c r="H629" s="31"/>
      <c r="I629" s="65"/>
      <c r="J629" s="31"/>
      <c r="K629" s="67"/>
      <c r="L629" s="67"/>
      <c r="Q629" s="38"/>
    </row>
    <row r="630" spans="1:17" s="90" customFormat="1" ht="15" customHeight="1">
      <c r="A630" s="15"/>
      <c r="B630" s="41"/>
      <c r="C630" s="31"/>
      <c r="D630" s="31"/>
      <c r="E630" s="31"/>
      <c r="F630" s="65"/>
      <c r="G630" s="31"/>
      <c r="H630" s="31"/>
      <c r="I630" s="65"/>
      <c r="J630" s="31"/>
      <c r="K630" s="67"/>
      <c r="L630" s="67"/>
      <c r="Q630" s="38"/>
    </row>
    <row r="631" spans="1:17" s="90" customFormat="1" ht="15" customHeight="1">
      <c r="A631" s="15"/>
      <c r="B631" s="41"/>
      <c r="C631" s="31"/>
      <c r="D631" s="31"/>
      <c r="E631" s="31"/>
      <c r="F631" s="65"/>
      <c r="G631" s="31"/>
      <c r="H631" s="31"/>
      <c r="I631" s="65"/>
      <c r="J631" s="31"/>
      <c r="K631" s="67"/>
      <c r="L631" s="67"/>
      <c r="Q631" s="38"/>
    </row>
    <row r="632" spans="1:17" s="90" customFormat="1" ht="15" customHeight="1">
      <c r="A632" s="15"/>
      <c r="B632" s="41"/>
      <c r="C632" s="31"/>
      <c r="D632" s="31"/>
      <c r="E632" s="31"/>
      <c r="F632" s="65"/>
      <c r="G632" s="31"/>
      <c r="H632" s="31"/>
      <c r="I632" s="65"/>
      <c r="J632" s="31"/>
      <c r="K632" s="67"/>
      <c r="L632" s="67"/>
      <c r="Q632" s="38"/>
    </row>
    <row r="633" spans="1:17" s="90" customFormat="1" ht="15" customHeight="1">
      <c r="A633" s="15"/>
      <c r="B633" s="41"/>
      <c r="C633" s="31"/>
      <c r="D633" s="31"/>
      <c r="E633" s="31"/>
      <c r="F633" s="65"/>
      <c r="G633" s="31"/>
      <c r="H633" s="31"/>
      <c r="I633" s="65"/>
      <c r="J633" s="31"/>
      <c r="K633" s="67"/>
      <c r="L633" s="67"/>
      <c r="Q633" s="38"/>
    </row>
    <row r="634" spans="1:17" s="90" customFormat="1" ht="15" customHeight="1">
      <c r="A634" s="15"/>
      <c r="B634" s="41"/>
      <c r="C634" s="31"/>
      <c r="D634" s="31"/>
      <c r="E634" s="31"/>
      <c r="F634" s="65"/>
      <c r="G634" s="31"/>
      <c r="H634" s="31"/>
      <c r="I634" s="65"/>
      <c r="J634" s="31"/>
      <c r="K634" s="67"/>
      <c r="L634" s="67"/>
      <c r="Q634" s="38"/>
    </row>
    <row r="635" spans="1:17" s="90" customFormat="1" ht="15" customHeight="1">
      <c r="A635" s="15"/>
      <c r="B635" s="41"/>
      <c r="C635" s="31"/>
      <c r="D635" s="31"/>
      <c r="E635" s="31"/>
      <c r="F635" s="65"/>
      <c r="G635" s="31"/>
      <c r="H635" s="31"/>
      <c r="I635" s="65"/>
      <c r="J635" s="31"/>
      <c r="K635" s="67"/>
      <c r="L635" s="67"/>
      <c r="Q635" s="38"/>
    </row>
    <row r="636" spans="1:17" s="90" customFormat="1" ht="15" customHeight="1">
      <c r="A636" s="15"/>
      <c r="B636" s="41"/>
      <c r="C636" s="31"/>
      <c r="D636" s="31"/>
      <c r="E636" s="31"/>
      <c r="F636" s="65"/>
      <c r="G636" s="31"/>
      <c r="H636" s="31"/>
      <c r="I636" s="65"/>
      <c r="J636" s="31"/>
      <c r="K636" s="67"/>
      <c r="L636" s="67"/>
      <c r="Q636" s="38"/>
    </row>
    <row r="637" spans="1:17" s="90" customFormat="1" ht="15" customHeight="1">
      <c r="A637" s="15"/>
      <c r="B637" s="41"/>
      <c r="C637" s="31"/>
      <c r="D637" s="31"/>
      <c r="E637" s="31"/>
      <c r="F637" s="65"/>
      <c r="G637" s="31"/>
      <c r="H637" s="31"/>
      <c r="I637" s="65"/>
      <c r="J637" s="31"/>
      <c r="K637" s="67"/>
      <c r="L637" s="67"/>
      <c r="Q637" s="38"/>
    </row>
    <row r="638" spans="1:17" s="90" customFormat="1" ht="15" customHeight="1">
      <c r="A638" s="15"/>
      <c r="B638" s="41"/>
      <c r="C638" s="31"/>
      <c r="D638" s="31"/>
      <c r="E638" s="31"/>
      <c r="F638" s="65"/>
      <c r="G638" s="31"/>
      <c r="H638" s="31"/>
      <c r="I638" s="65"/>
      <c r="J638" s="31"/>
      <c r="K638" s="67"/>
      <c r="L638" s="67"/>
      <c r="Q638" s="38"/>
    </row>
    <row r="639" spans="1:17" s="90" customFormat="1" ht="15" customHeight="1">
      <c r="A639" s="15"/>
      <c r="B639" s="41"/>
      <c r="C639" s="31"/>
      <c r="D639" s="31"/>
      <c r="E639" s="31"/>
      <c r="F639" s="65"/>
      <c r="G639" s="31"/>
      <c r="H639" s="31"/>
      <c r="I639" s="65"/>
      <c r="J639" s="31"/>
      <c r="K639" s="67"/>
      <c r="L639" s="67"/>
      <c r="Q639" s="38"/>
    </row>
    <row r="640" spans="1:17" s="90" customFormat="1" ht="15" customHeight="1">
      <c r="A640" s="15"/>
      <c r="B640" s="41"/>
      <c r="C640" s="31"/>
      <c r="D640" s="31"/>
      <c r="E640" s="31"/>
      <c r="F640" s="65"/>
      <c r="G640" s="31"/>
      <c r="H640" s="31"/>
      <c r="I640" s="65"/>
      <c r="J640" s="31"/>
      <c r="K640" s="67"/>
      <c r="L640" s="67"/>
      <c r="Q640" s="38"/>
    </row>
    <row r="641" spans="1:17" s="90" customFormat="1" ht="15" customHeight="1">
      <c r="A641" s="15"/>
      <c r="B641" s="41"/>
      <c r="C641" s="31"/>
      <c r="D641" s="31"/>
      <c r="E641" s="31"/>
      <c r="F641" s="65"/>
      <c r="G641" s="31"/>
      <c r="H641" s="31"/>
      <c r="I641" s="65"/>
      <c r="J641" s="31"/>
      <c r="K641" s="67"/>
      <c r="L641" s="67"/>
      <c r="Q641" s="38"/>
    </row>
    <row r="642" spans="1:17" s="90" customFormat="1" ht="15" customHeight="1">
      <c r="A642" s="15"/>
      <c r="B642" s="41"/>
      <c r="C642" s="31"/>
      <c r="D642" s="31"/>
      <c r="E642" s="31"/>
      <c r="F642" s="65"/>
      <c r="G642" s="31"/>
      <c r="H642" s="31"/>
      <c r="I642" s="65"/>
      <c r="J642" s="31"/>
      <c r="K642" s="67"/>
      <c r="L642" s="67"/>
      <c r="Q642" s="38"/>
    </row>
    <row r="643" spans="1:17" s="90" customFormat="1" ht="15" customHeight="1">
      <c r="A643" s="15"/>
      <c r="B643" s="41"/>
      <c r="C643" s="31"/>
      <c r="D643" s="31"/>
      <c r="E643" s="31"/>
      <c r="F643" s="65"/>
      <c r="G643" s="31"/>
      <c r="H643" s="31"/>
      <c r="I643" s="65"/>
      <c r="J643" s="31"/>
      <c r="K643" s="67"/>
      <c r="L643" s="67"/>
      <c r="Q643" s="38"/>
    </row>
    <row r="644" spans="1:17" s="90" customFormat="1" ht="15" customHeight="1">
      <c r="A644" s="15"/>
      <c r="B644" s="41"/>
      <c r="C644" s="31"/>
      <c r="D644" s="31"/>
      <c r="E644" s="31"/>
      <c r="F644" s="65"/>
      <c r="G644" s="31"/>
      <c r="H644" s="31"/>
      <c r="I644" s="65"/>
      <c r="J644" s="31"/>
      <c r="K644" s="67"/>
      <c r="L644" s="67"/>
      <c r="Q644" s="38"/>
    </row>
    <row r="645" spans="1:17" s="90" customFormat="1" ht="15" customHeight="1">
      <c r="A645" s="15"/>
      <c r="B645" s="41"/>
      <c r="C645" s="31"/>
      <c r="D645" s="31"/>
      <c r="E645" s="31"/>
      <c r="F645" s="65"/>
      <c r="G645" s="31"/>
      <c r="H645" s="31"/>
      <c r="I645" s="65"/>
      <c r="J645" s="31"/>
      <c r="K645" s="67"/>
      <c r="L645" s="67"/>
      <c r="Q645" s="38"/>
    </row>
    <row r="646" spans="1:17" s="90" customFormat="1" ht="15" customHeight="1">
      <c r="A646" s="15"/>
      <c r="B646" s="41"/>
      <c r="C646" s="31"/>
      <c r="D646" s="31"/>
      <c r="E646" s="31"/>
      <c r="F646" s="65"/>
      <c r="G646" s="31"/>
      <c r="H646" s="31"/>
      <c r="I646" s="65"/>
      <c r="J646" s="31"/>
      <c r="K646" s="67"/>
      <c r="L646" s="67"/>
      <c r="Q646" s="38"/>
    </row>
    <row r="647" spans="1:17" s="90" customFormat="1" ht="15" customHeight="1">
      <c r="A647" s="15"/>
      <c r="B647" s="41"/>
      <c r="C647" s="31"/>
      <c r="D647" s="31"/>
      <c r="E647" s="31"/>
      <c r="F647" s="65"/>
      <c r="G647" s="31"/>
      <c r="H647" s="31"/>
      <c r="I647" s="65"/>
      <c r="J647" s="31"/>
      <c r="K647" s="67"/>
      <c r="L647" s="67"/>
      <c r="Q647" s="38"/>
    </row>
    <row r="648" spans="1:17" s="90" customFormat="1" ht="15" customHeight="1">
      <c r="A648" s="15"/>
      <c r="B648" s="41"/>
      <c r="C648" s="31"/>
      <c r="D648" s="31"/>
      <c r="E648" s="31"/>
      <c r="F648" s="65"/>
      <c r="G648" s="31"/>
      <c r="H648" s="31"/>
      <c r="I648" s="65"/>
      <c r="J648" s="31"/>
      <c r="K648" s="67"/>
      <c r="L648" s="67"/>
      <c r="Q648" s="38"/>
    </row>
    <row r="649" spans="1:17" s="90" customFormat="1" ht="15" customHeight="1">
      <c r="A649" s="15"/>
      <c r="B649" s="41"/>
      <c r="C649" s="31"/>
      <c r="D649" s="31"/>
      <c r="E649" s="31"/>
      <c r="F649" s="65"/>
      <c r="G649" s="31"/>
      <c r="H649" s="31"/>
      <c r="I649" s="65"/>
      <c r="J649" s="31"/>
      <c r="K649" s="67"/>
      <c r="L649" s="67"/>
      <c r="Q649" s="38"/>
    </row>
    <row r="650" spans="1:17" s="90" customFormat="1" ht="15" customHeight="1">
      <c r="A650" s="15"/>
      <c r="B650" s="41"/>
      <c r="C650" s="31"/>
      <c r="D650" s="31"/>
      <c r="E650" s="31"/>
      <c r="F650" s="65"/>
      <c r="G650" s="31"/>
      <c r="H650" s="31"/>
      <c r="I650" s="65"/>
      <c r="J650" s="31"/>
      <c r="K650" s="67"/>
      <c r="L650" s="67"/>
      <c r="Q650" s="38"/>
    </row>
    <row r="651" spans="1:17" s="90" customFormat="1" ht="15" customHeight="1">
      <c r="A651" s="15"/>
      <c r="B651" s="41"/>
      <c r="C651" s="31"/>
      <c r="D651" s="31"/>
      <c r="E651" s="31"/>
      <c r="F651" s="65"/>
      <c r="G651" s="31"/>
      <c r="H651" s="31"/>
      <c r="I651" s="65"/>
      <c r="J651" s="31"/>
      <c r="K651" s="67"/>
      <c r="L651" s="67"/>
      <c r="Q651" s="38"/>
    </row>
    <row r="652" spans="1:17" s="90" customFormat="1" ht="15" customHeight="1">
      <c r="A652" s="15"/>
      <c r="B652" s="41"/>
      <c r="C652" s="31"/>
      <c r="D652" s="31"/>
      <c r="E652" s="31"/>
      <c r="F652" s="65"/>
      <c r="G652" s="31"/>
      <c r="H652" s="31"/>
      <c r="I652" s="65"/>
      <c r="J652" s="31"/>
      <c r="K652" s="67"/>
      <c r="L652" s="67"/>
      <c r="Q652" s="38"/>
    </row>
    <row r="653" spans="1:17" s="90" customFormat="1" ht="15" customHeight="1">
      <c r="A653" s="15"/>
      <c r="B653" s="41"/>
      <c r="C653" s="31"/>
      <c r="D653" s="31"/>
      <c r="E653" s="31"/>
      <c r="F653" s="65"/>
      <c r="G653" s="31"/>
      <c r="H653" s="31"/>
      <c r="I653" s="65"/>
      <c r="J653" s="31"/>
      <c r="K653" s="67"/>
      <c r="L653" s="67"/>
      <c r="Q653" s="38"/>
    </row>
    <row r="654" spans="1:17" s="90" customFormat="1" ht="15" customHeight="1">
      <c r="A654" s="15"/>
      <c r="B654" s="41"/>
      <c r="C654" s="31"/>
      <c r="D654" s="31"/>
      <c r="E654" s="31"/>
      <c r="F654" s="65"/>
      <c r="G654" s="31"/>
      <c r="H654" s="31"/>
      <c r="I654" s="65"/>
      <c r="J654" s="31"/>
      <c r="K654" s="67"/>
      <c r="L654" s="67"/>
      <c r="Q654" s="38"/>
    </row>
    <row r="655" spans="1:17" s="90" customFormat="1" ht="15" customHeight="1">
      <c r="A655" s="15"/>
      <c r="B655" s="41"/>
      <c r="C655" s="31"/>
      <c r="D655" s="31"/>
      <c r="E655" s="31"/>
      <c r="F655" s="65"/>
      <c r="G655" s="31"/>
      <c r="H655" s="31"/>
      <c r="I655" s="65"/>
      <c r="J655" s="31"/>
      <c r="K655" s="67"/>
      <c r="L655" s="67"/>
      <c r="Q655" s="38"/>
    </row>
    <row r="656" spans="1:17" s="90" customFormat="1" ht="15" customHeight="1">
      <c r="A656" s="15"/>
      <c r="B656" s="41"/>
      <c r="C656" s="31"/>
      <c r="D656" s="31"/>
      <c r="E656" s="31"/>
      <c r="F656" s="65"/>
      <c r="G656" s="31"/>
      <c r="H656" s="31"/>
      <c r="I656" s="65"/>
      <c r="J656" s="31"/>
      <c r="K656" s="67"/>
      <c r="L656" s="67"/>
      <c r="Q656" s="38"/>
    </row>
    <row r="657" spans="1:17" s="90" customFormat="1" ht="15" customHeight="1">
      <c r="A657" s="15"/>
      <c r="B657" s="41"/>
      <c r="C657" s="31"/>
      <c r="D657" s="31"/>
      <c r="E657" s="31"/>
      <c r="F657" s="65"/>
      <c r="G657" s="31"/>
      <c r="H657" s="31"/>
      <c r="I657" s="65"/>
      <c r="J657" s="31"/>
      <c r="K657" s="67"/>
      <c r="L657" s="67"/>
      <c r="Q657" s="38"/>
    </row>
    <row r="658" spans="1:17" s="90" customFormat="1" ht="15" customHeight="1">
      <c r="A658" s="15"/>
      <c r="B658" s="41"/>
      <c r="C658" s="31"/>
      <c r="D658" s="31"/>
      <c r="E658" s="31"/>
      <c r="F658" s="65"/>
      <c r="G658" s="31"/>
      <c r="H658" s="31"/>
      <c r="I658" s="65"/>
      <c r="J658" s="31"/>
      <c r="K658" s="67"/>
      <c r="L658" s="67"/>
      <c r="Q658" s="38"/>
    </row>
    <row r="659" spans="1:17" s="90" customFormat="1" ht="15" customHeight="1">
      <c r="A659" s="15"/>
      <c r="B659" s="41"/>
      <c r="C659" s="31"/>
      <c r="D659" s="31"/>
      <c r="E659" s="31"/>
      <c r="F659" s="65"/>
      <c r="G659" s="31"/>
      <c r="H659" s="31"/>
      <c r="I659" s="65"/>
      <c r="J659" s="31"/>
      <c r="K659" s="67"/>
      <c r="L659" s="67"/>
      <c r="Q659" s="38"/>
    </row>
    <row r="660" spans="1:17" s="90" customFormat="1" ht="15" customHeight="1">
      <c r="A660" s="15"/>
      <c r="B660" s="41"/>
      <c r="C660" s="31"/>
      <c r="D660" s="31"/>
      <c r="E660" s="31"/>
      <c r="F660" s="65"/>
      <c r="G660" s="31"/>
      <c r="H660" s="31"/>
      <c r="I660" s="65"/>
      <c r="J660" s="31"/>
      <c r="K660" s="67"/>
      <c r="L660" s="67"/>
      <c r="Q660" s="38"/>
    </row>
    <row r="661" spans="1:17" s="90" customFormat="1" ht="15" customHeight="1">
      <c r="A661" s="15"/>
      <c r="B661" s="41"/>
      <c r="C661" s="31"/>
      <c r="D661" s="31"/>
      <c r="E661" s="31"/>
      <c r="F661" s="65"/>
      <c r="G661" s="31"/>
      <c r="H661" s="31"/>
      <c r="I661" s="65"/>
      <c r="J661" s="31"/>
      <c r="K661" s="67"/>
      <c r="L661" s="67"/>
      <c r="Q661" s="38"/>
    </row>
    <row r="662" spans="1:17" s="90" customFormat="1" ht="15" customHeight="1">
      <c r="A662" s="15"/>
      <c r="B662" s="41"/>
      <c r="C662" s="31"/>
      <c r="D662" s="31"/>
      <c r="E662" s="31"/>
      <c r="F662" s="65"/>
      <c r="G662" s="31"/>
      <c r="H662" s="31"/>
      <c r="I662" s="65"/>
      <c r="J662" s="31"/>
      <c r="K662" s="67"/>
      <c r="L662" s="67"/>
      <c r="Q662" s="38"/>
    </row>
    <row r="663" spans="1:17" s="90" customFormat="1" ht="15" customHeight="1">
      <c r="A663" s="15"/>
      <c r="B663" s="41"/>
      <c r="C663" s="31"/>
      <c r="D663" s="31"/>
      <c r="E663" s="31"/>
      <c r="F663" s="65"/>
      <c r="G663" s="31"/>
      <c r="H663" s="31"/>
      <c r="I663" s="65"/>
      <c r="J663" s="31"/>
      <c r="K663" s="67"/>
      <c r="L663" s="67"/>
      <c r="Q663" s="38"/>
    </row>
    <row r="664" spans="1:17" s="90" customFormat="1" ht="15" customHeight="1">
      <c r="A664" s="15"/>
      <c r="B664" s="41"/>
      <c r="C664" s="31"/>
      <c r="D664" s="31"/>
      <c r="E664" s="31"/>
      <c r="F664" s="65"/>
      <c r="G664" s="31"/>
      <c r="H664" s="31"/>
      <c r="I664" s="65"/>
      <c r="J664" s="31"/>
      <c r="K664" s="67"/>
      <c r="L664" s="67"/>
      <c r="Q664" s="38"/>
    </row>
    <row r="665" spans="1:17" s="90" customFormat="1" ht="15" customHeight="1">
      <c r="A665" s="15"/>
      <c r="B665" s="41"/>
      <c r="F665" s="66"/>
      <c r="I665" s="66"/>
      <c r="K665" s="68"/>
      <c r="L665" s="68"/>
      <c r="Q665" s="38"/>
    </row>
  </sheetData>
  <pageMargins left="0.7" right="0.7" top="0.75" bottom="0.75" header="0.3" footer="0.3"/>
  <pageSetup paperSize="9" scale="34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9">
    <tabColor theme="4" tint="0.79998168889431442"/>
    <pageSetUpPr fitToPage="1"/>
  </sheetPr>
  <dimension ref="A1:U48"/>
  <sheetViews>
    <sheetView showGridLines="0" zoomScaleNormal="100" workbookViewId="0">
      <selection activeCell="C12" sqref="C12:L13"/>
    </sheetView>
  </sheetViews>
  <sheetFormatPr defaultColWidth="11.42578125" defaultRowHeight="15"/>
  <cols>
    <col min="1" max="1" width="2.85546875" style="15" customWidth="1"/>
    <col min="2" max="2" width="4.28515625" style="1" customWidth="1"/>
    <col min="3" max="3" width="21.42578125" style="1" customWidth="1"/>
    <col min="4" max="4" width="20" style="1" customWidth="1"/>
    <col min="5" max="12" width="15" style="1" customWidth="1"/>
    <col min="13" max="13" width="11.42578125" style="1" customWidth="1"/>
    <col min="14" max="14" width="8.5703125" style="1" customWidth="1"/>
    <col min="15" max="15" width="7.140625" style="1" customWidth="1"/>
    <col min="16" max="16" width="11.42578125" style="1" customWidth="1"/>
    <col min="17" max="17" width="4.140625" style="1" customWidth="1"/>
    <col min="18" max="18" width="2.85546875" style="1" customWidth="1"/>
    <col min="19" max="20" width="11.42578125" style="1" customWidth="1"/>
    <col min="21" max="21" width="19.7109375" style="1" bestFit="1" customWidth="1"/>
    <col min="22" max="22" width="11.42578125" style="1" customWidth="1"/>
    <col min="23" max="16384" width="11.42578125" style="1"/>
  </cols>
  <sheetData>
    <row r="1" spans="1:21" ht="15" customHeight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</row>
    <row r="2" spans="1:21" ht="15" customHeight="1">
      <c r="A2" s="13"/>
      <c r="B2" s="4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6"/>
      <c r="U2" s="28"/>
    </row>
    <row r="3" spans="1:21" ht="15" customHeight="1">
      <c r="A3" s="13"/>
      <c r="B3" s="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9"/>
    </row>
    <row r="4" spans="1:21" ht="15" customHeight="1">
      <c r="A4" s="13"/>
      <c r="B4" s="7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9"/>
    </row>
    <row r="5" spans="1:21" ht="15" customHeight="1">
      <c r="A5" s="13"/>
      <c r="B5" s="7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9"/>
    </row>
    <row r="6" spans="1:21" ht="15" customHeight="1">
      <c r="A6" s="13"/>
      <c r="B6" s="7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9"/>
    </row>
    <row r="7" spans="1:21" ht="15" customHeight="1">
      <c r="A7" s="13"/>
      <c r="B7" s="7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9"/>
    </row>
    <row r="8" spans="1:21" ht="30">
      <c r="A8" s="13"/>
      <c r="B8" s="7"/>
      <c r="C8" s="113" t="str">
        <f>'Page de garde'!J13&amp;" : ARRETS NON MOUVEMENTE"</f>
        <v xml:space="preserve"> : ARRETS NON MOUVEMENTE</v>
      </c>
      <c r="D8" s="25"/>
      <c r="E8" s="25"/>
      <c r="F8" s="25"/>
      <c r="G8" s="25"/>
      <c r="H8" s="25"/>
      <c r="I8" s="25"/>
      <c r="J8" s="25"/>
      <c r="K8" s="25"/>
      <c r="L8" s="25"/>
      <c r="M8" s="26"/>
      <c r="N8" s="8"/>
      <c r="O8" s="8"/>
      <c r="P8" s="8"/>
      <c r="Q8" s="9"/>
    </row>
    <row r="9" spans="1:21" ht="15" customHeight="1">
      <c r="A9" s="13"/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9"/>
    </row>
    <row r="10" spans="1:21" ht="15" customHeight="1">
      <c r="A10" s="13"/>
      <c r="B10" s="7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9"/>
    </row>
    <row r="11" spans="1:21">
      <c r="A11" s="13"/>
      <c r="B11" s="7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9"/>
    </row>
    <row r="12" spans="1:21" ht="30">
      <c r="A12" s="13"/>
      <c r="B12" s="7"/>
      <c r="C12" s="164" t="s">
        <v>86</v>
      </c>
      <c r="D12" s="164" t="s">
        <v>53</v>
      </c>
      <c r="E12" s="164" t="s">
        <v>57</v>
      </c>
      <c r="F12" s="164" t="s">
        <v>58</v>
      </c>
      <c r="G12" s="164" t="s">
        <v>61</v>
      </c>
      <c r="H12" s="164" t="s">
        <v>54</v>
      </c>
      <c r="I12" s="164" t="s">
        <v>55</v>
      </c>
      <c r="J12" s="164" t="s">
        <v>63</v>
      </c>
      <c r="K12" s="164" t="s">
        <v>67</v>
      </c>
      <c r="L12" s="164" t="s">
        <v>68</v>
      </c>
      <c r="M12" s="8"/>
      <c r="N12" s="8"/>
      <c r="O12" s="8"/>
      <c r="P12" s="8"/>
      <c r="Q12" s="9"/>
    </row>
    <row r="13" spans="1:21" ht="15" customHeight="1">
      <c r="A13" s="13"/>
      <c r="B13" s="7"/>
      <c r="C13" s="31"/>
      <c r="D13" s="31"/>
      <c r="E13" s="31"/>
      <c r="F13" s="65"/>
      <c r="G13" s="31"/>
      <c r="H13" s="31"/>
      <c r="I13" s="65"/>
      <c r="J13" s="31"/>
      <c r="K13" s="67"/>
      <c r="L13" s="67"/>
      <c r="M13" s="8"/>
      <c r="N13" s="8"/>
      <c r="O13" s="8"/>
      <c r="P13" s="8"/>
      <c r="Q13" s="9"/>
    </row>
    <row r="14" spans="1:21" ht="15" customHeight="1">
      <c r="A14" s="13"/>
      <c r="B14" s="7"/>
      <c r="C14" s="8"/>
      <c r="D14" s="8"/>
      <c r="E14" s="8"/>
      <c r="F14" s="66"/>
      <c r="G14" s="8"/>
      <c r="H14" s="8"/>
      <c r="I14" s="66"/>
      <c r="J14" s="8"/>
      <c r="K14" s="68"/>
      <c r="L14" s="68"/>
      <c r="M14" s="8"/>
      <c r="N14" s="8"/>
      <c r="O14" s="8"/>
      <c r="P14" s="8"/>
      <c r="Q14" s="9"/>
    </row>
    <row r="15" spans="1:21" ht="15" customHeight="1">
      <c r="A15" s="13"/>
      <c r="B15" s="7"/>
      <c r="C15" s="8"/>
      <c r="D15" s="8"/>
      <c r="E15" s="8"/>
      <c r="F15" s="66"/>
      <c r="G15" s="8"/>
      <c r="H15" s="8"/>
      <c r="I15" s="66"/>
      <c r="J15" s="8"/>
      <c r="K15" s="68"/>
      <c r="L15" s="68"/>
      <c r="M15" s="8"/>
      <c r="N15" s="8"/>
      <c r="O15" s="8"/>
      <c r="P15" s="8"/>
      <c r="Q15" s="9"/>
    </row>
    <row r="16" spans="1:21" ht="15" customHeight="1">
      <c r="A16" s="13"/>
      <c r="B16" s="7"/>
      <c r="C16" s="8"/>
      <c r="D16" s="8"/>
      <c r="E16" s="8"/>
      <c r="F16" s="66"/>
      <c r="G16" s="8"/>
      <c r="H16" s="8"/>
      <c r="I16" s="66"/>
      <c r="J16" s="8"/>
      <c r="K16" s="68"/>
      <c r="L16" s="68"/>
      <c r="M16" s="8"/>
      <c r="N16" s="8"/>
      <c r="O16" s="8"/>
      <c r="P16" s="8"/>
      <c r="Q16" s="9"/>
    </row>
    <row r="17" spans="1:17" ht="15" customHeight="1">
      <c r="A17" s="13"/>
      <c r="B17" s="7"/>
      <c r="C17" s="8"/>
      <c r="D17" s="8"/>
      <c r="E17" s="8"/>
      <c r="F17" s="66"/>
      <c r="G17" s="8"/>
      <c r="H17" s="8"/>
      <c r="I17" s="66"/>
      <c r="J17" s="8"/>
      <c r="K17" s="68"/>
      <c r="L17" s="68"/>
      <c r="M17" s="8"/>
      <c r="N17" s="8"/>
      <c r="O17" s="8"/>
      <c r="P17" s="8"/>
      <c r="Q17" s="9"/>
    </row>
    <row r="18" spans="1:17" ht="15" customHeight="1">
      <c r="A18" s="13"/>
      <c r="B18" s="7"/>
      <c r="C18" s="8"/>
      <c r="D18" s="8"/>
      <c r="E18" s="8"/>
      <c r="F18" s="66"/>
      <c r="G18" s="8"/>
      <c r="H18" s="8"/>
      <c r="I18" s="66"/>
      <c r="J18" s="8"/>
      <c r="K18" s="68"/>
      <c r="L18" s="68"/>
      <c r="M18" s="8"/>
      <c r="N18" s="8"/>
      <c r="O18" s="8"/>
      <c r="P18" s="8"/>
      <c r="Q18" s="9"/>
    </row>
    <row r="19" spans="1:17" ht="15" customHeight="1">
      <c r="A19" s="13"/>
      <c r="B19" s="7"/>
      <c r="C19" s="8"/>
      <c r="D19" s="8"/>
      <c r="E19" s="8"/>
      <c r="F19" s="66"/>
      <c r="G19" s="8"/>
      <c r="H19" s="8"/>
      <c r="I19" s="66"/>
      <c r="J19" s="8"/>
      <c r="K19" s="68"/>
      <c r="L19" s="68"/>
      <c r="M19" s="8"/>
      <c r="N19" s="8"/>
      <c r="O19" s="8"/>
      <c r="P19" s="8"/>
      <c r="Q19" s="9"/>
    </row>
    <row r="20" spans="1:17" ht="15" customHeight="1">
      <c r="A20" s="13"/>
      <c r="B20" s="7"/>
      <c r="C20" s="8"/>
      <c r="D20" s="8"/>
      <c r="E20" s="8"/>
      <c r="F20" s="66"/>
      <c r="G20" s="8"/>
      <c r="H20" s="8"/>
      <c r="I20" s="66"/>
      <c r="J20" s="8"/>
      <c r="K20" s="68"/>
      <c r="L20" s="68"/>
      <c r="M20" s="8"/>
      <c r="N20" s="8"/>
      <c r="O20" s="8"/>
      <c r="P20" s="8"/>
      <c r="Q20" s="9"/>
    </row>
    <row r="21" spans="1:17" ht="15" customHeight="1">
      <c r="A21" s="13"/>
      <c r="B21" s="7"/>
      <c r="C21" s="8"/>
      <c r="D21" s="8"/>
      <c r="E21" s="8"/>
      <c r="F21" s="66"/>
      <c r="G21" s="8"/>
      <c r="H21" s="8"/>
      <c r="I21" s="66"/>
      <c r="J21" s="8"/>
      <c r="K21" s="68"/>
      <c r="L21" s="68"/>
      <c r="M21" s="8"/>
      <c r="N21" s="8"/>
      <c r="O21" s="8"/>
      <c r="P21" s="8"/>
      <c r="Q21" s="9"/>
    </row>
    <row r="22" spans="1:17" ht="15" customHeight="1">
      <c r="A22" s="13"/>
      <c r="B22" s="7"/>
      <c r="C22" s="8"/>
      <c r="D22" s="8"/>
      <c r="E22" s="8"/>
      <c r="F22" s="66"/>
      <c r="G22" s="8"/>
      <c r="H22" s="8"/>
      <c r="I22" s="66"/>
      <c r="J22" s="8"/>
      <c r="K22" s="68"/>
      <c r="L22" s="68"/>
      <c r="M22" s="8"/>
      <c r="N22" s="8"/>
      <c r="O22" s="8"/>
      <c r="P22" s="8"/>
      <c r="Q22" s="9"/>
    </row>
    <row r="23" spans="1:17" ht="15" customHeight="1">
      <c r="A23" s="13"/>
      <c r="B23" s="7"/>
      <c r="C23" s="8"/>
      <c r="D23" s="8"/>
      <c r="E23" s="8"/>
      <c r="F23" s="66"/>
      <c r="G23" s="8"/>
      <c r="H23" s="8"/>
      <c r="I23" s="66"/>
      <c r="J23" s="8"/>
      <c r="K23" s="68"/>
      <c r="L23" s="68"/>
      <c r="M23" s="8"/>
      <c r="N23" s="8"/>
      <c r="O23" s="8"/>
      <c r="P23" s="8"/>
      <c r="Q23" s="9"/>
    </row>
    <row r="24" spans="1:17" ht="15" customHeight="1">
      <c r="A24" s="13"/>
      <c r="B24" s="7"/>
      <c r="C24" s="8"/>
      <c r="D24" s="8"/>
      <c r="E24" s="8"/>
      <c r="F24" s="66"/>
      <c r="G24" s="8"/>
      <c r="H24" s="8"/>
      <c r="I24" s="66"/>
      <c r="J24" s="8"/>
      <c r="K24" s="68"/>
      <c r="L24" s="68"/>
      <c r="M24" s="8"/>
      <c r="N24" s="8"/>
      <c r="O24" s="8"/>
      <c r="P24" s="8"/>
      <c r="Q24" s="9"/>
    </row>
    <row r="25" spans="1:17" ht="15" customHeight="1">
      <c r="A25" s="13"/>
      <c r="B25" s="7"/>
      <c r="C25" s="8"/>
      <c r="D25" s="8"/>
      <c r="E25" s="8"/>
      <c r="F25" s="66"/>
      <c r="G25" s="8"/>
      <c r="H25" s="8"/>
      <c r="I25" s="66"/>
      <c r="J25" s="8"/>
      <c r="K25" s="68"/>
      <c r="L25" s="68"/>
      <c r="M25" s="8"/>
      <c r="N25" s="8"/>
      <c r="O25" s="8"/>
      <c r="P25" s="8"/>
      <c r="Q25" s="9"/>
    </row>
    <row r="26" spans="1:17" ht="15" customHeight="1">
      <c r="A26" s="13"/>
      <c r="B26" s="7"/>
      <c r="C26" s="8"/>
      <c r="D26" s="8"/>
      <c r="E26" s="8"/>
      <c r="F26" s="66"/>
      <c r="G26" s="8"/>
      <c r="H26" s="8"/>
      <c r="I26" s="66"/>
      <c r="J26" s="8"/>
      <c r="K26" s="68"/>
      <c r="L26" s="68"/>
      <c r="M26" s="8"/>
      <c r="N26" s="8"/>
      <c r="O26" s="8"/>
      <c r="P26" s="8"/>
      <c r="Q26" s="9"/>
    </row>
    <row r="27" spans="1:17" ht="15" customHeight="1">
      <c r="A27" s="13"/>
      <c r="B27" s="7"/>
      <c r="C27" s="8"/>
      <c r="D27" s="8"/>
      <c r="E27" s="8"/>
      <c r="F27" s="66"/>
      <c r="G27" s="8"/>
      <c r="H27" s="8"/>
      <c r="I27" s="66"/>
      <c r="J27" s="8"/>
      <c r="K27" s="68"/>
      <c r="L27" s="68"/>
      <c r="M27" s="8"/>
      <c r="N27" s="8"/>
      <c r="O27" s="8"/>
      <c r="P27" s="8"/>
      <c r="Q27" s="9"/>
    </row>
    <row r="28" spans="1:17" ht="15" customHeight="1">
      <c r="A28" s="13"/>
      <c r="B28" s="7"/>
      <c r="C28" s="8"/>
      <c r="D28" s="8"/>
      <c r="E28" s="8"/>
      <c r="F28" s="66"/>
      <c r="G28" s="8"/>
      <c r="H28" s="8"/>
      <c r="I28" s="66"/>
      <c r="J28" s="8"/>
      <c r="K28" s="68"/>
      <c r="L28" s="68"/>
      <c r="M28" s="8"/>
      <c r="N28" s="8"/>
      <c r="O28" s="8"/>
      <c r="P28" s="8"/>
      <c r="Q28" s="9"/>
    </row>
    <row r="29" spans="1:17" ht="15" customHeight="1">
      <c r="A29" s="13"/>
      <c r="B29" s="7"/>
      <c r="C29" s="8"/>
      <c r="D29" s="8"/>
      <c r="E29" s="8"/>
      <c r="F29" s="66"/>
      <c r="G29" s="8"/>
      <c r="H29" s="8"/>
      <c r="I29" s="66"/>
      <c r="J29" s="8"/>
      <c r="K29" s="68"/>
      <c r="L29" s="68"/>
      <c r="M29" s="8"/>
      <c r="N29" s="8"/>
      <c r="O29" s="8"/>
      <c r="P29" s="8"/>
      <c r="Q29" s="9"/>
    </row>
    <row r="30" spans="1:17" ht="15" customHeight="1">
      <c r="A30" s="13"/>
      <c r="B30" s="7"/>
      <c r="C30" s="8"/>
      <c r="D30" s="8"/>
      <c r="E30" s="8"/>
      <c r="F30" s="66"/>
      <c r="G30" s="8"/>
      <c r="H30" s="8"/>
      <c r="I30" s="66"/>
      <c r="J30" s="8"/>
      <c r="K30" s="68"/>
      <c r="L30" s="68"/>
      <c r="M30" s="8"/>
      <c r="N30" s="8"/>
      <c r="O30" s="8"/>
      <c r="P30" s="8"/>
      <c r="Q30" s="9"/>
    </row>
    <row r="31" spans="1:17" ht="15" customHeight="1">
      <c r="A31" s="13"/>
      <c r="B31" s="7"/>
      <c r="C31" s="8"/>
      <c r="D31" s="8"/>
      <c r="E31" s="8"/>
      <c r="F31" s="66"/>
      <c r="G31" s="8"/>
      <c r="H31" s="8"/>
      <c r="I31" s="66"/>
      <c r="J31" s="8"/>
      <c r="K31" s="68"/>
      <c r="L31" s="68"/>
      <c r="M31" s="8"/>
      <c r="N31" s="8"/>
      <c r="O31" s="8"/>
      <c r="P31" s="8"/>
      <c r="Q31" s="9"/>
    </row>
    <row r="32" spans="1:17" ht="15" customHeight="1">
      <c r="A32" s="13"/>
      <c r="B32" s="7"/>
      <c r="C32" s="8"/>
      <c r="D32" s="8"/>
      <c r="E32" s="8"/>
      <c r="F32" s="66"/>
      <c r="G32" s="8"/>
      <c r="H32" s="8"/>
      <c r="I32" s="66"/>
      <c r="J32" s="8"/>
      <c r="K32" s="68"/>
      <c r="L32" s="68"/>
      <c r="M32" s="8"/>
      <c r="N32" s="8"/>
      <c r="O32" s="8"/>
      <c r="P32" s="8"/>
      <c r="Q32" s="9"/>
    </row>
    <row r="33" spans="1:17" ht="15" customHeight="1">
      <c r="A33" s="13"/>
      <c r="B33" s="7"/>
      <c r="C33" s="8"/>
      <c r="D33" s="8"/>
      <c r="E33" s="8"/>
      <c r="F33" s="66"/>
      <c r="G33" s="8"/>
      <c r="H33" s="8"/>
      <c r="I33" s="66"/>
      <c r="J33" s="8"/>
      <c r="K33" s="68"/>
      <c r="L33" s="68"/>
      <c r="M33" s="8"/>
      <c r="N33" s="8"/>
      <c r="O33" s="8"/>
      <c r="P33" s="8"/>
      <c r="Q33" s="9"/>
    </row>
    <row r="34" spans="1:17" ht="15" customHeight="1">
      <c r="A34" s="13"/>
      <c r="B34" s="7"/>
      <c r="C34" s="8"/>
      <c r="D34" s="8"/>
      <c r="E34" s="8"/>
      <c r="F34" s="66"/>
      <c r="G34" s="8"/>
      <c r="H34" s="8"/>
      <c r="I34" s="66"/>
      <c r="J34" s="8"/>
      <c r="K34" s="68"/>
      <c r="L34" s="68"/>
      <c r="M34" s="8"/>
      <c r="N34" s="8"/>
      <c r="O34" s="8"/>
      <c r="P34" s="8"/>
      <c r="Q34" s="9"/>
    </row>
    <row r="35" spans="1:17" ht="15" customHeight="1">
      <c r="A35" s="13"/>
      <c r="B35" s="7"/>
      <c r="C35" s="8"/>
      <c r="D35" s="8"/>
      <c r="E35" s="8"/>
      <c r="F35" s="66"/>
      <c r="G35" s="8"/>
      <c r="H35" s="8"/>
      <c r="I35" s="66"/>
      <c r="J35" s="8"/>
      <c r="K35" s="68"/>
      <c r="L35" s="68"/>
      <c r="M35" s="8"/>
      <c r="N35" s="8"/>
      <c r="O35" s="8"/>
      <c r="P35" s="8"/>
      <c r="Q35" s="9"/>
    </row>
    <row r="36" spans="1:17" ht="15" customHeight="1">
      <c r="A36" s="13"/>
      <c r="B36" s="7"/>
      <c r="C36" s="8"/>
      <c r="D36" s="8"/>
      <c r="E36" s="8"/>
      <c r="F36" s="66"/>
      <c r="G36" s="8"/>
      <c r="H36" s="8"/>
      <c r="I36" s="66"/>
      <c r="J36" s="8"/>
      <c r="K36" s="68"/>
      <c r="L36" s="68"/>
      <c r="M36" s="8"/>
      <c r="N36" s="8"/>
      <c r="O36" s="8"/>
      <c r="P36" s="8"/>
      <c r="Q36" s="9"/>
    </row>
    <row r="37" spans="1:17" ht="15" customHeight="1">
      <c r="A37" s="13"/>
      <c r="B37" s="7"/>
      <c r="C37" s="8"/>
      <c r="D37" s="8"/>
      <c r="E37" s="8"/>
      <c r="F37" s="66"/>
      <c r="G37" s="8"/>
      <c r="H37" s="8"/>
      <c r="I37" s="66"/>
      <c r="J37" s="8"/>
      <c r="K37" s="68"/>
      <c r="L37" s="68"/>
      <c r="M37" s="8"/>
      <c r="N37" s="8"/>
      <c r="O37" s="8"/>
      <c r="P37" s="8"/>
      <c r="Q37" s="9"/>
    </row>
    <row r="38" spans="1:17" ht="15" customHeight="1">
      <c r="A38" s="13"/>
      <c r="B38" s="7"/>
      <c r="C38" s="8"/>
      <c r="D38" s="8"/>
      <c r="E38" s="8"/>
      <c r="F38" s="66"/>
      <c r="G38" s="8"/>
      <c r="H38" s="8"/>
      <c r="I38" s="66"/>
      <c r="J38" s="8"/>
      <c r="K38" s="68"/>
      <c r="L38" s="68"/>
      <c r="M38" s="8"/>
      <c r="N38" s="8"/>
      <c r="O38" s="8"/>
      <c r="P38" s="8"/>
      <c r="Q38" s="9"/>
    </row>
    <row r="39" spans="1:17" ht="15" customHeight="1">
      <c r="A39" s="13"/>
      <c r="B39" s="7"/>
      <c r="C39" s="8"/>
      <c r="D39" s="8"/>
      <c r="E39" s="8"/>
      <c r="F39" s="66"/>
      <c r="G39" s="8"/>
      <c r="H39" s="8"/>
      <c r="I39" s="66"/>
      <c r="J39" s="8"/>
      <c r="K39" s="68"/>
      <c r="L39" s="68"/>
      <c r="M39" s="8"/>
      <c r="N39" s="8"/>
      <c r="O39" s="8"/>
      <c r="P39" s="8"/>
      <c r="Q39" s="9"/>
    </row>
    <row r="40" spans="1:17" ht="15" customHeight="1">
      <c r="A40" s="13"/>
      <c r="B40" s="7"/>
      <c r="C40" s="8"/>
      <c r="D40" s="8"/>
      <c r="E40" s="8"/>
      <c r="F40" s="66"/>
      <c r="G40" s="8"/>
      <c r="H40" s="8"/>
      <c r="I40" s="66"/>
      <c r="J40" s="8"/>
      <c r="K40" s="68"/>
      <c r="L40" s="68"/>
      <c r="M40" s="8"/>
      <c r="N40" s="8"/>
      <c r="O40" s="8"/>
      <c r="P40" s="8"/>
      <c r="Q40" s="9"/>
    </row>
    <row r="41" spans="1:17" ht="15" customHeight="1">
      <c r="A41" s="13"/>
      <c r="B41" s="7"/>
      <c r="C41" s="8"/>
      <c r="D41" s="8"/>
      <c r="E41" s="8"/>
      <c r="F41" s="66"/>
      <c r="G41" s="8"/>
      <c r="H41" s="8"/>
      <c r="I41" s="66"/>
      <c r="J41" s="8"/>
      <c r="K41" s="68"/>
      <c r="L41" s="68"/>
      <c r="M41" s="8"/>
      <c r="N41" s="8"/>
      <c r="O41" s="8"/>
      <c r="P41" s="8"/>
      <c r="Q41" s="9"/>
    </row>
    <row r="42" spans="1:17" ht="15" customHeight="1">
      <c r="A42" s="13"/>
      <c r="B42" s="7"/>
      <c r="C42" s="8"/>
      <c r="D42" s="8"/>
      <c r="E42" s="8"/>
      <c r="F42" s="66"/>
      <c r="G42" s="8"/>
      <c r="H42" s="8"/>
      <c r="I42" s="66"/>
      <c r="J42" s="8"/>
      <c r="K42" s="68"/>
      <c r="L42" s="68"/>
      <c r="M42" s="8"/>
      <c r="N42" s="8"/>
      <c r="O42" s="8"/>
      <c r="P42" s="8"/>
      <c r="Q42" s="9"/>
    </row>
    <row r="43" spans="1:17" ht="15" customHeight="1">
      <c r="A43" s="13"/>
      <c r="B43" s="7"/>
      <c r="C43" s="8"/>
      <c r="D43" s="8"/>
      <c r="E43" s="8"/>
      <c r="F43" s="66"/>
      <c r="G43" s="8"/>
      <c r="H43" s="8"/>
      <c r="I43" s="66"/>
      <c r="J43" s="8"/>
      <c r="K43" s="68"/>
      <c r="L43" s="68"/>
      <c r="M43" s="8"/>
      <c r="N43" s="8"/>
      <c r="O43" s="8"/>
      <c r="P43" s="8"/>
      <c r="Q43" s="9"/>
    </row>
    <row r="44" spans="1:17" ht="15" customHeight="1">
      <c r="A44" s="13"/>
      <c r="B44" s="7"/>
      <c r="C44" s="8"/>
      <c r="D44" s="8"/>
      <c r="E44" s="8"/>
      <c r="F44" s="66"/>
      <c r="G44" s="8"/>
      <c r="H44" s="8"/>
      <c r="I44" s="66"/>
      <c r="J44" s="8"/>
      <c r="K44" s="68"/>
      <c r="L44" s="68"/>
      <c r="M44" s="8"/>
      <c r="N44" s="8"/>
      <c r="O44" s="8"/>
      <c r="P44" s="8"/>
      <c r="Q44" s="9"/>
    </row>
    <row r="45" spans="1:17" ht="15" customHeight="1">
      <c r="A45" s="13"/>
      <c r="B45" s="7"/>
      <c r="C45" s="8"/>
      <c r="D45" s="8"/>
      <c r="E45" s="8"/>
      <c r="F45" s="66"/>
      <c r="G45" s="8"/>
      <c r="H45" s="8"/>
      <c r="I45" s="66"/>
      <c r="J45" s="8"/>
      <c r="K45" s="68"/>
      <c r="L45" s="68"/>
      <c r="M45" s="8"/>
      <c r="N45" s="8"/>
      <c r="O45" s="8"/>
      <c r="P45" s="8"/>
      <c r="Q45" s="9"/>
    </row>
    <row r="46" spans="1:17" ht="9.75" customHeight="1">
      <c r="A46" s="13"/>
      <c r="B46" s="7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9"/>
    </row>
    <row r="47" spans="1:17" ht="15" customHeight="1">
      <c r="A47" s="13"/>
      <c r="B47" s="10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2"/>
    </row>
    <row r="48" spans="1:17" ht="15" customHeight="1">
      <c r="A48" s="13"/>
    </row>
  </sheetData>
  <pageMargins left="0.7" right="0.7" top="0.75" bottom="0.75" header="0.3" footer="0.3"/>
  <pageSetup paperSize="9" scale="34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4" tint="0.79998168889431442"/>
    <pageSetUpPr fitToPage="1"/>
  </sheetPr>
  <dimension ref="A1:U47"/>
  <sheetViews>
    <sheetView showGridLines="0" topLeftCell="A10" zoomScaleNormal="100" workbookViewId="0">
      <selection activeCell="H20" sqref="H20"/>
    </sheetView>
  </sheetViews>
  <sheetFormatPr defaultColWidth="11.42578125" defaultRowHeight="15"/>
  <cols>
    <col min="1" max="1" width="2.85546875" style="15" customWidth="1"/>
    <col min="2" max="2" width="4.28515625" style="90" customWidth="1"/>
    <col min="3" max="3" width="28.7109375" style="90" customWidth="1"/>
    <col min="4" max="9" width="11.42578125" style="90" customWidth="1"/>
    <col min="10" max="10" width="20" style="90" customWidth="1"/>
    <col min="11" max="11" width="34.28515625" style="90" customWidth="1"/>
    <col min="12" max="15" width="11.42578125" style="90" customWidth="1"/>
    <col min="16" max="16" width="2.5703125" style="90" customWidth="1"/>
    <col min="17" max="17" width="4.140625" style="90" customWidth="1"/>
    <col min="18" max="18" width="2.85546875" style="90" customWidth="1"/>
    <col min="19" max="20" width="11.42578125" style="90" customWidth="1"/>
    <col min="21" max="21" width="19.7109375" style="90" bestFit="1" customWidth="1"/>
    <col min="22" max="22" width="11.42578125" style="90" customWidth="1"/>
    <col min="23" max="16384" width="11.42578125" style="90"/>
  </cols>
  <sheetData>
    <row r="1" spans="2:2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2:21" ht="15" customHeight="1">
      <c r="B2" s="60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2"/>
      <c r="U2" s="30"/>
    </row>
    <row r="3" spans="2:21" ht="15" customHeight="1">
      <c r="B3" s="41"/>
      <c r="Q3" s="38"/>
    </row>
    <row r="4" spans="2:21" ht="15" customHeight="1">
      <c r="B4" s="41"/>
      <c r="Q4" s="38"/>
    </row>
    <row r="5" spans="2:21" ht="15" customHeight="1">
      <c r="B5" s="41"/>
      <c r="Q5" s="38"/>
    </row>
    <row r="6" spans="2:21" ht="15" customHeight="1">
      <c r="B6" s="41"/>
      <c r="Q6" s="38"/>
    </row>
    <row r="7" spans="2:21" ht="15" customHeight="1" thickBot="1">
      <c r="B7" s="41"/>
      <c r="Q7" s="38"/>
    </row>
    <row r="8" spans="2:21" ht="30.75" thickBot="1">
      <c r="B8" s="41"/>
      <c r="C8" s="113" t="str">
        <f>'Page de garde'!J13&amp;" : Statistiques DES INVALIDITES au "&amp;'Page de garde'!J23</f>
        <v xml:space="preserve"> : Statistiques DES INVALIDITES au 43465</v>
      </c>
      <c r="D8" s="114"/>
      <c r="E8" s="114"/>
      <c r="F8" s="114"/>
      <c r="G8" s="114"/>
      <c r="H8" s="114"/>
      <c r="I8" s="114"/>
      <c r="J8" s="114"/>
      <c r="K8" s="114"/>
      <c r="L8" s="114"/>
      <c r="M8" s="115"/>
      <c r="Q8" s="38"/>
    </row>
    <row r="9" spans="2:21" ht="14.25" customHeight="1">
      <c r="B9" s="41"/>
      <c r="Q9" s="38"/>
    </row>
    <row r="10" spans="2:21" ht="15" customHeight="1">
      <c r="B10" s="41"/>
      <c r="Q10" s="38"/>
    </row>
    <row r="11" spans="2:21" ht="15" customHeight="1">
      <c r="B11" s="41"/>
      <c r="C11" s="144" t="s">
        <v>16</v>
      </c>
      <c r="K11" s="157" t="s">
        <v>98</v>
      </c>
      <c r="Q11" s="38"/>
    </row>
    <row r="12" spans="2:21" ht="13.5" customHeight="1" thickBot="1">
      <c r="B12" s="41"/>
      <c r="Q12" s="38"/>
    </row>
    <row r="13" spans="2:21" ht="45.75" thickBot="1">
      <c r="B13" s="41"/>
      <c r="C13" s="141" t="s">
        <v>18</v>
      </c>
      <c r="D13" s="141" t="s">
        <v>96</v>
      </c>
      <c r="E13" s="142" t="s">
        <v>97</v>
      </c>
      <c r="F13" s="168" t="s">
        <v>99</v>
      </c>
      <c r="K13" s="141" t="s">
        <v>22</v>
      </c>
      <c r="L13" s="141" t="s">
        <v>19</v>
      </c>
      <c r="M13" s="141" t="s">
        <v>23</v>
      </c>
      <c r="Q13" s="38"/>
    </row>
    <row r="14" spans="2:21" ht="15" customHeight="1" thickBot="1">
      <c r="B14" s="41"/>
      <c r="C14" s="145" t="s">
        <v>24</v>
      </c>
      <c r="D14" s="146">
        <v>0</v>
      </c>
      <c r="E14" s="147"/>
      <c r="F14" s="169"/>
      <c r="K14" s="145" t="s">
        <v>25</v>
      </c>
      <c r="L14" s="151">
        <v>0</v>
      </c>
      <c r="M14" s="152"/>
      <c r="Q14" s="38"/>
    </row>
    <row r="15" spans="2:21" ht="15" customHeight="1" thickBot="1">
      <c r="B15" s="41"/>
      <c r="C15" s="149" t="s">
        <v>26</v>
      </c>
      <c r="D15" s="150">
        <v>0</v>
      </c>
      <c r="E15" s="147"/>
      <c r="F15" s="169"/>
      <c r="K15" s="145" t="s">
        <v>27</v>
      </c>
      <c r="L15" s="151">
        <v>0</v>
      </c>
      <c r="M15" s="152"/>
      <c r="Q15" s="38"/>
    </row>
    <row r="16" spans="2:21" ht="15" customHeight="1" thickBot="1">
      <c r="B16" s="41"/>
      <c r="C16" s="141" t="s">
        <v>28</v>
      </c>
      <c r="D16" s="141">
        <v>0</v>
      </c>
      <c r="E16" s="167"/>
      <c r="F16" s="170"/>
      <c r="K16" s="145" t="s">
        <v>29</v>
      </c>
      <c r="L16" s="151">
        <v>0</v>
      </c>
      <c r="M16" s="152"/>
      <c r="Q16" s="38"/>
    </row>
    <row r="17" spans="2:17" ht="15" customHeight="1" thickBot="1">
      <c r="B17" s="41"/>
      <c r="K17" s="145" t="s">
        <v>30</v>
      </c>
      <c r="L17" s="151">
        <v>0</v>
      </c>
      <c r="M17" s="152"/>
      <c r="Q17" s="38"/>
    </row>
    <row r="18" spans="2:17" ht="15" customHeight="1" thickBot="1">
      <c r="B18" s="41"/>
      <c r="K18" s="145" t="s">
        <v>31</v>
      </c>
      <c r="L18" s="151">
        <v>0</v>
      </c>
      <c r="M18" s="152"/>
      <c r="Q18" s="38"/>
    </row>
    <row r="19" spans="2:17" ht="15" customHeight="1" thickBot="1">
      <c r="B19" s="41"/>
      <c r="K19" s="145" t="s">
        <v>32</v>
      </c>
      <c r="L19" s="151">
        <v>0</v>
      </c>
      <c r="M19" s="152"/>
      <c r="Q19" s="38"/>
    </row>
    <row r="20" spans="2:17" ht="15" customHeight="1" thickBot="1">
      <c r="B20" s="41"/>
      <c r="K20" s="145" t="s">
        <v>33</v>
      </c>
      <c r="L20" s="151">
        <v>0</v>
      </c>
      <c r="M20" s="152"/>
      <c r="Q20" s="38"/>
    </row>
    <row r="21" spans="2:17" ht="15" customHeight="1" thickBot="1">
      <c r="B21" s="41"/>
      <c r="K21" s="145" t="s">
        <v>34</v>
      </c>
      <c r="L21" s="151">
        <v>0</v>
      </c>
      <c r="M21" s="152"/>
      <c r="Q21" s="38"/>
    </row>
    <row r="22" spans="2:17" ht="15" customHeight="1" thickBot="1">
      <c r="B22" s="41"/>
      <c r="K22" s="145" t="s">
        <v>35</v>
      </c>
      <c r="L22" s="151">
        <v>0</v>
      </c>
      <c r="M22" s="152"/>
      <c r="Q22" s="38"/>
    </row>
    <row r="23" spans="2:17" ht="15" customHeight="1">
      <c r="B23" s="41"/>
      <c r="K23" s="141" t="s">
        <v>28</v>
      </c>
      <c r="L23" s="141">
        <v>0</v>
      </c>
      <c r="M23" s="141"/>
      <c r="Q23" s="38"/>
    </row>
    <row r="24" spans="2:17" ht="15" customHeight="1">
      <c r="B24" s="41"/>
      <c r="Q24" s="38"/>
    </row>
    <row r="25" spans="2:17" ht="15" customHeight="1">
      <c r="B25" s="41"/>
      <c r="Q25" s="38"/>
    </row>
    <row r="26" spans="2:17" ht="15" customHeight="1">
      <c r="B26" s="41"/>
      <c r="Q26" s="38"/>
    </row>
    <row r="27" spans="2:17" ht="15" customHeight="1">
      <c r="B27" s="41"/>
      <c r="Q27" s="38"/>
    </row>
    <row r="28" spans="2:17" ht="15" customHeight="1">
      <c r="B28" s="41"/>
      <c r="Q28" s="38"/>
    </row>
    <row r="29" spans="2:17" ht="15" customHeight="1">
      <c r="B29" s="41"/>
      <c r="Q29" s="38"/>
    </row>
    <row r="30" spans="2:17">
      <c r="B30" s="41"/>
      <c r="Q30" s="38"/>
    </row>
    <row r="31" spans="2:17" ht="12" customHeight="1">
      <c r="B31" s="41"/>
      <c r="Q31" s="38"/>
    </row>
    <row r="32" spans="2:17" ht="15" customHeight="1">
      <c r="B32" s="41"/>
      <c r="Q32" s="38"/>
    </row>
    <row r="33" spans="2:17" ht="15" customHeight="1">
      <c r="B33" s="41"/>
      <c r="Q33" s="38"/>
    </row>
    <row r="34" spans="2:17" ht="15" customHeight="1">
      <c r="B34" s="41"/>
      <c r="C34" s="27" t="s">
        <v>36</v>
      </c>
      <c r="Q34" s="38"/>
    </row>
    <row r="35" spans="2:17" ht="15" customHeight="1" thickBot="1">
      <c r="B35" s="41"/>
      <c r="Q35" s="38"/>
    </row>
    <row r="36" spans="2:17" ht="15" customHeight="1" thickBot="1">
      <c r="B36" s="41"/>
      <c r="C36" s="27"/>
      <c r="D36" s="141" t="s">
        <v>19</v>
      </c>
      <c r="E36" s="141" t="s">
        <v>20</v>
      </c>
      <c r="Q36" s="38"/>
    </row>
    <row r="37" spans="2:17" ht="15" customHeight="1" thickBot="1">
      <c r="B37" s="41"/>
      <c r="C37" s="153"/>
      <c r="D37" s="154">
        <v>0</v>
      </c>
      <c r="E37" s="155"/>
      <c r="Q37" s="38"/>
    </row>
    <row r="38" spans="2:17" ht="15" customHeight="1" thickBot="1">
      <c r="B38" s="41"/>
      <c r="C38" s="156" t="s">
        <v>28</v>
      </c>
      <c r="D38" s="154">
        <v>0</v>
      </c>
      <c r="E38" s="155"/>
      <c r="Q38" s="38"/>
    </row>
    <row r="39" spans="2:17" ht="15" customHeight="1">
      <c r="B39" s="41"/>
      <c r="C39" s="27"/>
      <c r="D39" s="33"/>
      <c r="E39" s="34"/>
      <c r="Q39" s="38"/>
    </row>
    <row r="40" spans="2:17" ht="15" customHeight="1">
      <c r="B40" s="41"/>
      <c r="Q40" s="38"/>
    </row>
    <row r="41" spans="2:17" ht="15" customHeight="1">
      <c r="B41" s="41"/>
      <c r="Q41" s="38"/>
    </row>
    <row r="42" spans="2:17" ht="15" customHeight="1">
      <c r="B42" s="41"/>
      <c r="Q42" s="38"/>
    </row>
    <row r="43" spans="2:17" ht="15" customHeight="1">
      <c r="B43" s="41"/>
      <c r="Q43" s="38"/>
    </row>
    <row r="44" spans="2:17" ht="15" customHeight="1">
      <c r="B44" s="41"/>
      <c r="Q44" s="38"/>
    </row>
    <row r="45" spans="2:17" ht="15" customHeight="1">
      <c r="B45" s="41"/>
      <c r="Q45" s="38"/>
    </row>
    <row r="46" spans="2:17" ht="15" customHeight="1">
      <c r="B46" s="48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64"/>
    </row>
    <row r="47" spans="2:17" ht="15" customHeight="1"/>
  </sheetData>
  <pageMargins left="0.7" right="0.7" top="0.75" bottom="0.75" header="0.3" footer="0.3"/>
  <pageSetup paperSize="9" scale="34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4" tint="0.79998168889431442"/>
    <pageSetUpPr fitToPage="1"/>
  </sheetPr>
  <dimension ref="A1:U47"/>
  <sheetViews>
    <sheetView showGridLines="0" topLeftCell="A7" zoomScaleNormal="100" workbookViewId="0">
      <selection activeCell="L23" sqref="L23"/>
    </sheetView>
  </sheetViews>
  <sheetFormatPr defaultColWidth="11.42578125" defaultRowHeight="15"/>
  <cols>
    <col min="1" max="1" width="2.85546875" style="15" customWidth="1"/>
    <col min="2" max="2" width="4.28515625" style="90" customWidth="1"/>
    <col min="3" max="3" width="28.7109375" style="90" customWidth="1"/>
    <col min="4" max="9" width="11.42578125" style="90" customWidth="1"/>
    <col min="10" max="10" width="20" style="90" customWidth="1"/>
    <col min="11" max="11" width="34.28515625" style="90" customWidth="1"/>
    <col min="12" max="15" width="11.42578125" style="90" customWidth="1"/>
    <col min="16" max="16" width="2.5703125" style="90" customWidth="1"/>
    <col min="17" max="17" width="4.140625" style="90" customWidth="1"/>
    <col min="18" max="18" width="2.85546875" style="90" customWidth="1"/>
    <col min="19" max="20" width="11.42578125" style="90" customWidth="1"/>
    <col min="21" max="21" width="19.7109375" style="90" bestFit="1" customWidth="1"/>
    <col min="22" max="22" width="11.42578125" style="90" customWidth="1"/>
    <col min="23" max="16384" width="11.42578125" style="90"/>
  </cols>
  <sheetData>
    <row r="1" spans="2:21" ht="15" customHeight="1"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2:21" ht="15" customHeight="1">
      <c r="B2" s="60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2"/>
      <c r="U2" s="30"/>
    </row>
    <row r="3" spans="2:21" ht="15" customHeight="1">
      <c r="B3" s="41"/>
      <c r="Q3" s="38"/>
    </row>
    <row r="4" spans="2:21" ht="15" customHeight="1">
      <c r="B4" s="41"/>
      <c r="Q4" s="38"/>
    </row>
    <row r="5" spans="2:21" ht="15" customHeight="1">
      <c r="B5" s="41"/>
      <c r="Q5" s="38"/>
    </row>
    <row r="6" spans="2:21" ht="15" customHeight="1">
      <c r="B6" s="41"/>
      <c r="Q6" s="38"/>
    </row>
    <row r="7" spans="2:21" ht="15" customHeight="1" thickBot="1">
      <c r="B7" s="41"/>
      <c r="Q7" s="38"/>
    </row>
    <row r="8" spans="2:21" ht="30.75" thickBot="1">
      <c r="B8" s="41"/>
      <c r="C8" s="113" t="str">
        <f>'Page de garde'!J13&amp;" : Statistiques DECES au "&amp;'Page de garde'!J23</f>
        <v xml:space="preserve"> : Statistiques DECES au 43465</v>
      </c>
      <c r="D8" s="114"/>
      <c r="E8" s="114"/>
      <c r="F8" s="114"/>
      <c r="G8" s="114"/>
      <c r="H8" s="114"/>
      <c r="I8" s="114"/>
      <c r="J8" s="114"/>
      <c r="K8" s="114"/>
      <c r="L8" s="114"/>
      <c r="M8" s="115"/>
      <c r="Q8" s="38"/>
    </row>
    <row r="9" spans="2:21" ht="14.25" customHeight="1">
      <c r="B9" s="41"/>
      <c r="Q9" s="38"/>
    </row>
    <row r="10" spans="2:21" ht="15" customHeight="1">
      <c r="B10" s="41"/>
      <c r="Q10" s="38"/>
    </row>
    <row r="11" spans="2:21" ht="15" customHeight="1">
      <c r="B11" s="41"/>
      <c r="C11" s="144" t="s">
        <v>16</v>
      </c>
      <c r="K11" s="157" t="s">
        <v>100</v>
      </c>
      <c r="Q11" s="38"/>
    </row>
    <row r="12" spans="2:21" ht="13.5" customHeight="1" thickBot="1">
      <c r="B12" s="41"/>
      <c r="Q12" s="38"/>
    </row>
    <row r="13" spans="2:21" ht="45.75" thickBot="1">
      <c r="B13" s="41"/>
      <c r="C13" s="141" t="s">
        <v>18</v>
      </c>
      <c r="D13" s="141" t="s">
        <v>102</v>
      </c>
      <c r="E13" s="142" t="s">
        <v>97</v>
      </c>
      <c r="F13" s="168"/>
      <c r="K13" s="141" t="s">
        <v>22</v>
      </c>
      <c r="L13" s="141" t="s">
        <v>103</v>
      </c>
      <c r="M13" s="141" t="s">
        <v>104</v>
      </c>
      <c r="Q13" s="38"/>
    </row>
    <row r="14" spans="2:21" ht="15" customHeight="1" thickBot="1">
      <c r="B14" s="41"/>
      <c r="C14" s="145" t="s">
        <v>24</v>
      </c>
      <c r="D14" s="146">
        <v>0</v>
      </c>
      <c r="E14" s="147"/>
      <c r="F14" s="169"/>
      <c r="K14" s="145" t="s">
        <v>25</v>
      </c>
      <c r="L14" s="151">
        <v>0</v>
      </c>
      <c r="M14" s="152"/>
      <c r="Q14" s="38"/>
    </row>
    <row r="15" spans="2:21" ht="15" customHeight="1" thickBot="1">
      <c r="B15" s="41"/>
      <c r="C15" s="149" t="s">
        <v>26</v>
      </c>
      <c r="D15" s="150">
        <v>0</v>
      </c>
      <c r="E15" s="147"/>
      <c r="F15" s="169"/>
      <c r="K15" s="145" t="s">
        <v>27</v>
      </c>
      <c r="L15" s="151">
        <v>0</v>
      </c>
      <c r="M15" s="152"/>
      <c r="Q15" s="38"/>
    </row>
    <row r="16" spans="2:21" ht="15" customHeight="1" thickBot="1">
      <c r="B16" s="41"/>
      <c r="C16" s="141" t="s">
        <v>28</v>
      </c>
      <c r="D16" s="141">
        <v>0</v>
      </c>
      <c r="E16" s="167"/>
      <c r="F16" s="170"/>
      <c r="K16" s="145" t="s">
        <v>29</v>
      </c>
      <c r="L16" s="151">
        <v>0</v>
      </c>
      <c r="M16" s="152"/>
      <c r="Q16" s="38"/>
    </row>
    <row r="17" spans="2:17" ht="15" customHeight="1" thickBot="1">
      <c r="B17" s="41"/>
      <c r="K17" s="145" t="s">
        <v>30</v>
      </c>
      <c r="L17" s="151">
        <v>0</v>
      </c>
      <c r="M17" s="152"/>
      <c r="Q17" s="38"/>
    </row>
    <row r="18" spans="2:17" ht="15" customHeight="1" thickBot="1">
      <c r="B18" s="41"/>
      <c r="K18" s="145" t="s">
        <v>31</v>
      </c>
      <c r="L18" s="151">
        <v>0</v>
      </c>
      <c r="M18" s="152"/>
      <c r="Q18" s="38"/>
    </row>
    <row r="19" spans="2:17" ht="15" customHeight="1" thickBot="1">
      <c r="B19" s="41"/>
      <c r="K19" s="145" t="s">
        <v>32</v>
      </c>
      <c r="L19" s="151">
        <v>0</v>
      </c>
      <c r="M19" s="152"/>
      <c r="Q19" s="38"/>
    </row>
    <row r="20" spans="2:17" ht="15" customHeight="1" thickBot="1">
      <c r="B20" s="41"/>
      <c r="K20" s="145" t="s">
        <v>33</v>
      </c>
      <c r="L20" s="151">
        <v>0</v>
      </c>
      <c r="M20" s="152"/>
      <c r="Q20" s="38"/>
    </row>
    <row r="21" spans="2:17" ht="15" customHeight="1" thickBot="1">
      <c r="B21" s="41"/>
      <c r="K21" s="145" t="s">
        <v>34</v>
      </c>
      <c r="L21" s="151">
        <v>0</v>
      </c>
      <c r="M21" s="152"/>
      <c r="Q21" s="38"/>
    </row>
    <row r="22" spans="2:17" ht="15" customHeight="1" thickBot="1">
      <c r="B22" s="41"/>
      <c r="K22" s="145" t="s">
        <v>35</v>
      </c>
      <c r="L22" s="151">
        <v>0</v>
      </c>
      <c r="M22" s="152"/>
      <c r="Q22" s="38"/>
    </row>
    <row r="23" spans="2:17" ht="15" customHeight="1">
      <c r="B23" s="41"/>
      <c r="K23" s="141" t="s">
        <v>28</v>
      </c>
      <c r="L23" s="141">
        <v>0</v>
      </c>
      <c r="M23" s="141"/>
      <c r="Q23" s="38"/>
    </row>
    <row r="24" spans="2:17" ht="15" customHeight="1">
      <c r="B24" s="41"/>
      <c r="Q24" s="38"/>
    </row>
    <row r="25" spans="2:17" ht="15" customHeight="1">
      <c r="B25" s="41"/>
      <c r="Q25" s="38"/>
    </row>
    <row r="26" spans="2:17" ht="15" customHeight="1">
      <c r="B26" s="41"/>
      <c r="Q26" s="38"/>
    </row>
    <row r="27" spans="2:17" ht="15" customHeight="1">
      <c r="B27" s="41"/>
      <c r="Q27" s="38"/>
    </row>
    <row r="28" spans="2:17" ht="15" customHeight="1">
      <c r="B28" s="41"/>
      <c r="Q28" s="38"/>
    </row>
    <row r="29" spans="2:17" ht="15" customHeight="1">
      <c r="B29" s="41"/>
      <c r="Q29" s="38"/>
    </row>
    <row r="30" spans="2:17">
      <c r="B30" s="41"/>
      <c r="Q30" s="38"/>
    </row>
    <row r="31" spans="2:17" ht="12" customHeight="1">
      <c r="B31" s="41"/>
      <c r="Q31" s="38"/>
    </row>
    <row r="32" spans="2:17" ht="15" customHeight="1">
      <c r="B32" s="41"/>
      <c r="Q32" s="38"/>
    </row>
    <row r="33" spans="2:17" ht="15" customHeight="1">
      <c r="B33" s="41"/>
      <c r="Q33" s="38"/>
    </row>
    <row r="34" spans="2:17" ht="15" customHeight="1">
      <c r="B34" s="41"/>
      <c r="C34" s="27" t="s">
        <v>101</v>
      </c>
      <c r="Q34" s="38"/>
    </row>
    <row r="35" spans="2:17" ht="15" customHeight="1" thickBot="1">
      <c r="B35" s="41"/>
      <c r="Q35" s="38"/>
    </row>
    <row r="36" spans="2:17" ht="15" customHeight="1" thickBot="1">
      <c r="B36" s="41"/>
      <c r="C36" s="27"/>
      <c r="D36" s="141" t="s">
        <v>19</v>
      </c>
      <c r="E36" s="141" t="s">
        <v>20</v>
      </c>
      <c r="Q36" s="38"/>
    </row>
    <row r="37" spans="2:17" ht="15" customHeight="1" thickBot="1">
      <c r="B37" s="41"/>
      <c r="C37" s="153"/>
      <c r="D37" s="154">
        <v>0</v>
      </c>
      <c r="E37" s="155"/>
      <c r="Q37" s="38"/>
    </row>
    <row r="38" spans="2:17" ht="15" customHeight="1" thickBot="1">
      <c r="B38" s="41"/>
      <c r="C38" s="156" t="s">
        <v>28</v>
      </c>
      <c r="D38" s="154">
        <v>0</v>
      </c>
      <c r="E38" s="155"/>
      <c r="Q38" s="38"/>
    </row>
    <row r="39" spans="2:17" ht="15" customHeight="1">
      <c r="B39" s="41"/>
      <c r="C39" s="27"/>
      <c r="D39" s="33"/>
      <c r="E39" s="34"/>
      <c r="Q39" s="38"/>
    </row>
    <row r="40" spans="2:17" ht="15" customHeight="1">
      <c r="B40" s="41"/>
      <c r="Q40" s="38"/>
    </row>
    <row r="41" spans="2:17" ht="15" customHeight="1">
      <c r="B41" s="41"/>
      <c r="Q41" s="38"/>
    </row>
    <row r="42" spans="2:17" ht="15" customHeight="1">
      <c r="B42" s="41"/>
      <c r="Q42" s="38"/>
    </row>
    <row r="43" spans="2:17" ht="15" customHeight="1">
      <c r="B43" s="41"/>
      <c r="Q43" s="38"/>
    </row>
    <row r="44" spans="2:17" ht="15" customHeight="1">
      <c r="B44" s="41"/>
      <c r="Q44" s="38"/>
    </row>
    <row r="45" spans="2:17" ht="15" customHeight="1">
      <c r="B45" s="41"/>
      <c r="Q45" s="38"/>
    </row>
    <row r="46" spans="2:17" ht="15" customHeight="1">
      <c r="B46" s="48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64"/>
    </row>
    <row r="47" spans="2:17" ht="15" customHeight="1"/>
  </sheetData>
  <pageMargins left="0.7" right="0.7" top="0.75" bottom="0.75" header="0.3" footer="0.3"/>
  <pageSetup paperSize="9" scale="34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79998168889431442"/>
  </sheetPr>
  <dimension ref="A1:G1"/>
  <sheetViews>
    <sheetView tabSelected="1" workbookViewId="0">
      <selection activeCell="G2" sqref="G2"/>
    </sheetView>
  </sheetViews>
  <sheetFormatPr defaultColWidth="11.42578125" defaultRowHeight="15"/>
  <cols>
    <col min="3" max="3" width="18.42578125" bestFit="1" customWidth="1"/>
    <col min="4" max="4" width="12.5703125" bestFit="1" customWidth="1"/>
    <col min="7" max="7" width="18.7109375" bestFit="1" customWidth="1"/>
  </cols>
  <sheetData>
    <row r="1" spans="1:7">
      <c r="A1" t="s">
        <v>87</v>
      </c>
      <c r="B1" t="s">
        <v>88</v>
      </c>
      <c r="C1" t="s">
        <v>53</v>
      </c>
      <c r="D1" t="s">
        <v>89</v>
      </c>
      <c r="E1" t="s">
        <v>90</v>
      </c>
      <c r="F1" t="s">
        <v>91</v>
      </c>
      <c r="G1" s="90" t="s">
        <v>106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9" tint="0.79998168889431442"/>
  </sheetPr>
  <dimension ref="A1:AG764"/>
  <sheetViews>
    <sheetView workbookViewId="0">
      <selection activeCell="A2" sqref="A2"/>
    </sheetView>
  </sheetViews>
  <sheetFormatPr defaultColWidth="11.42578125" defaultRowHeight="15"/>
  <cols>
    <col min="1" max="1" width="12.85546875" bestFit="1" customWidth="1"/>
  </cols>
  <sheetData>
    <row r="1" spans="1:33" s="89" customFormat="1" ht="90">
      <c r="A1" s="87" t="s">
        <v>52</v>
      </c>
      <c r="B1" s="87" t="s">
        <v>53</v>
      </c>
      <c r="C1" s="87" t="s">
        <v>54</v>
      </c>
      <c r="D1" s="87" t="s">
        <v>55</v>
      </c>
      <c r="E1" s="87" t="s">
        <v>56</v>
      </c>
      <c r="F1" s="87" t="s">
        <v>57</v>
      </c>
      <c r="G1" s="87" t="s">
        <v>58</v>
      </c>
      <c r="H1" s="87" t="s">
        <v>59</v>
      </c>
      <c r="I1" s="87" t="s">
        <v>60</v>
      </c>
      <c r="J1" s="87" t="s">
        <v>61</v>
      </c>
      <c r="K1" s="87" t="s">
        <v>62</v>
      </c>
      <c r="L1" s="87" t="s">
        <v>63</v>
      </c>
      <c r="M1" s="87" t="s">
        <v>64</v>
      </c>
      <c r="N1" s="87" t="s">
        <v>65</v>
      </c>
      <c r="O1" s="87" t="s">
        <v>66</v>
      </c>
      <c r="P1" s="87" t="s">
        <v>67</v>
      </c>
      <c r="Q1" s="87" t="s">
        <v>68</v>
      </c>
      <c r="R1" s="88" t="s">
        <v>69</v>
      </c>
      <c r="S1" s="88" t="s">
        <v>70</v>
      </c>
      <c r="T1" s="88" t="s">
        <v>71</v>
      </c>
      <c r="U1" s="88" t="s">
        <v>72</v>
      </c>
      <c r="V1" s="88" t="s">
        <v>73</v>
      </c>
      <c r="W1" s="88" t="s">
        <v>74</v>
      </c>
      <c r="X1" s="88" t="s">
        <v>75</v>
      </c>
      <c r="Y1" s="88" t="s">
        <v>76</v>
      </c>
      <c r="Z1" s="88" t="s">
        <v>77</v>
      </c>
      <c r="AA1" s="88" t="s">
        <v>78</v>
      </c>
      <c r="AB1" s="88" t="s">
        <v>79</v>
      </c>
      <c r="AC1" s="88" t="s">
        <v>80</v>
      </c>
      <c r="AD1" s="88" t="s">
        <v>81</v>
      </c>
      <c r="AE1" s="88" t="s">
        <v>82</v>
      </c>
      <c r="AF1" s="88" t="s">
        <v>83</v>
      </c>
      <c r="AG1" s="88" t="s">
        <v>84</v>
      </c>
    </row>
    <row r="2" spans="1:33">
      <c r="D2" s="66"/>
      <c r="G2" s="66"/>
      <c r="V2" s="66"/>
      <c r="W2" s="66"/>
      <c r="X2" s="66"/>
      <c r="AB2" s="66"/>
      <c r="AG2" s="66"/>
    </row>
    <row r="3" spans="1:33">
      <c r="D3" s="66"/>
      <c r="G3" s="66"/>
      <c r="V3" s="66"/>
      <c r="W3" s="66"/>
      <c r="X3" s="66"/>
      <c r="AB3" s="66"/>
      <c r="AG3" s="66"/>
    </row>
    <row r="4" spans="1:33">
      <c r="D4" s="66"/>
      <c r="G4" s="66"/>
      <c r="V4" s="66"/>
      <c r="W4" s="66"/>
      <c r="X4" s="66"/>
      <c r="AB4" s="66"/>
      <c r="AG4" s="66"/>
    </row>
    <row r="5" spans="1:33">
      <c r="D5" s="66"/>
      <c r="G5" s="66"/>
      <c r="V5" s="66"/>
      <c r="W5" s="66"/>
      <c r="X5" s="66"/>
      <c r="AB5" s="66"/>
      <c r="AG5" s="66"/>
    </row>
    <row r="6" spans="1:33">
      <c r="D6" s="66"/>
      <c r="G6" s="66"/>
      <c r="V6" s="66"/>
      <c r="W6" s="66"/>
      <c r="X6" s="66"/>
      <c r="AB6" s="66"/>
      <c r="AG6" s="66"/>
    </row>
    <row r="7" spans="1:33">
      <c r="D7" s="66"/>
      <c r="G7" s="66"/>
      <c r="V7" s="66"/>
      <c r="W7" s="66"/>
      <c r="X7" s="66"/>
      <c r="AB7" s="66"/>
      <c r="AG7" s="66"/>
    </row>
    <row r="8" spans="1:33">
      <c r="D8" s="66"/>
      <c r="G8" s="66"/>
      <c r="V8" s="66"/>
      <c r="W8" s="66"/>
      <c r="X8" s="66"/>
      <c r="AB8" s="66"/>
      <c r="AG8" s="66"/>
    </row>
    <row r="9" spans="1:33">
      <c r="D9" s="66"/>
      <c r="G9" s="66"/>
      <c r="V9" s="66"/>
      <c r="W9" s="66"/>
      <c r="X9" s="66"/>
      <c r="AB9" s="66"/>
      <c r="AG9" s="66"/>
    </row>
    <row r="10" spans="1:33">
      <c r="D10" s="66"/>
      <c r="G10" s="66"/>
      <c r="V10" s="66"/>
      <c r="W10" s="66"/>
      <c r="X10" s="66"/>
      <c r="AB10" s="66"/>
      <c r="AG10" s="66"/>
    </row>
    <row r="11" spans="1:33">
      <c r="D11" s="66"/>
      <c r="G11" s="66"/>
      <c r="V11" s="66"/>
      <c r="W11" s="66"/>
      <c r="X11" s="66"/>
      <c r="AB11" s="66"/>
      <c r="AG11" s="66"/>
    </row>
    <row r="12" spans="1:33">
      <c r="D12" s="66"/>
      <c r="G12" s="66"/>
      <c r="V12" s="66"/>
      <c r="W12" s="66"/>
      <c r="X12" s="66"/>
      <c r="AB12" s="66"/>
      <c r="AG12" s="66"/>
    </row>
    <row r="13" spans="1:33">
      <c r="D13" s="66"/>
      <c r="G13" s="66"/>
      <c r="V13" s="66"/>
      <c r="W13" s="66"/>
      <c r="X13" s="66"/>
      <c r="AB13" s="66"/>
      <c r="AG13" s="66"/>
    </row>
    <row r="14" spans="1:33">
      <c r="D14" s="66"/>
      <c r="G14" s="66"/>
      <c r="V14" s="66"/>
      <c r="W14" s="66"/>
      <c r="X14" s="66"/>
      <c r="AB14" s="66"/>
      <c r="AG14" s="66"/>
    </row>
    <row r="15" spans="1:33">
      <c r="D15" s="66"/>
      <c r="G15" s="66"/>
      <c r="V15" s="66"/>
      <c r="W15" s="66"/>
      <c r="X15" s="66"/>
      <c r="AB15" s="66"/>
      <c r="AG15" s="66"/>
    </row>
    <row r="16" spans="1:33">
      <c r="D16" s="66"/>
      <c r="G16" s="66"/>
      <c r="V16" s="66"/>
      <c r="W16" s="66"/>
      <c r="X16" s="66"/>
      <c r="AB16" s="66"/>
      <c r="AG16" s="66"/>
    </row>
    <row r="17" spans="4:33">
      <c r="D17" s="66"/>
      <c r="G17" s="66"/>
      <c r="V17" s="66"/>
      <c r="W17" s="66"/>
      <c r="X17" s="66"/>
      <c r="AB17" s="66"/>
      <c r="AG17" s="66"/>
    </row>
    <row r="18" spans="4:33">
      <c r="D18" s="66"/>
      <c r="G18" s="66"/>
      <c r="V18" s="66"/>
      <c r="W18" s="66"/>
      <c r="X18" s="66"/>
      <c r="AB18" s="66"/>
      <c r="AG18" s="66"/>
    </row>
    <row r="19" spans="4:33">
      <c r="D19" s="66"/>
      <c r="G19" s="66"/>
      <c r="V19" s="66"/>
      <c r="W19" s="66"/>
      <c r="X19" s="66"/>
      <c r="AB19" s="66"/>
      <c r="AG19" s="66"/>
    </row>
    <row r="20" spans="4:33">
      <c r="D20" s="66"/>
      <c r="G20" s="66"/>
      <c r="V20" s="66"/>
      <c r="W20" s="66"/>
      <c r="X20" s="66"/>
      <c r="AB20" s="66"/>
      <c r="AG20" s="66"/>
    </row>
    <row r="21" spans="4:33">
      <c r="D21" s="66"/>
      <c r="G21" s="66"/>
      <c r="V21" s="66"/>
      <c r="W21" s="66"/>
      <c r="X21" s="66"/>
      <c r="AB21" s="66"/>
      <c r="AG21" s="66"/>
    </row>
    <row r="22" spans="4:33">
      <c r="D22" s="66"/>
      <c r="G22" s="66"/>
      <c r="V22" s="66"/>
      <c r="W22" s="66"/>
      <c r="X22" s="66"/>
      <c r="AB22" s="66"/>
      <c r="AG22" s="66"/>
    </row>
    <row r="23" spans="4:33">
      <c r="D23" s="66"/>
      <c r="G23" s="66"/>
      <c r="V23" s="66"/>
      <c r="W23" s="66"/>
      <c r="X23" s="66"/>
      <c r="AB23" s="66"/>
      <c r="AG23" s="66"/>
    </row>
    <row r="24" spans="4:33">
      <c r="D24" s="66"/>
      <c r="G24" s="66"/>
      <c r="V24" s="66"/>
      <c r="W24" s="66"/>
      <c r="X24" s="66"/>
      <c r="AB24" s="66"/>
      <c r="AG24" s="66"/>
    </row>
    <row r="25" spans="4:33">
      <c r="D25" s="66"/>
      <c r="G25" s="66"/>
      <c r="V25" s="66"/>
      <c r="W25" s="66"/>
      <c r="X25" s="66"/>
      <c r="AB25" s="66"/>
      <c r="AG25" s="66"/>
    </row>
    <row r="26" spans="4:33">
      <c r="D26" s="66"/>
      <c r="G26" s="66"/>
      <c r="V26" s="66"/>
      <c r="W26" s="66"/>
      <c r="X26" s="66"/>
      <c r="AB26" s="66"/>
      <c r="AG26" s="66"/>
    </row>
    <row r="27" spans="4:33">
      <c r="D27" s="66"/>
      <c r="G27" s="66"/>
      <c r="V27" s="66"/>
      <c r="W27" s="66"/>
      <c r="X27" s="66"/>
      <c r="AB27" s="66"/>
      <c r="AG27" s="66"/>
    </row>
    <row r="28" spans="4:33">
      <c r="D28" s="66"/>
      <c r="G28" s="66"/>
      <c r="V28" s="66"/>
      <c r="W28" s="66"/>
      <c r="X28" s="66"/>
      <c r="AB28" s="66"/>
      <c r="AG28" s="66"/>
    </row>
    <row r="29" spans="4:33">
      <c r="D29" s="66"/>
      <c r="G29" s="66"/>
      <c r="V29" s="66"/>
      <c r="W29" s="66"/>
      <c r="X29" s="66"/>
      <c r="AB29" s="66"/>
      <c r="AG29" s="66"/>
    </row>
    <row r="30" spans="4:33">
      <c r="D30" s="66"/>
      <c r="G30" s="66"/>
      <c r="V30" s="66"/>
      <c r="W30" s="66"/>
      <c r="X30" s="66"/>
      <c r="AB30" s="66"/>
      <c r="AG30" s="66"/>
    </row>
    <row r="31" spans="4:33">
      <c r="D31" s="66"/>
      <c r="G31" s="66"/>
      <c r="V31" s="66"/>
      <c r="W31" s="66"/>
      <c r="X31" s="66"/>
      <c r="AB31" s="66"/>
      <c r="AG31" s="66"/>
    </row>
    <row r="32" spans="4:33">
      <c r="D32" s="66"/>
      <c r="G32" s="66"/>
      <c r="V32" s="66"/>
      <c r="W32" s="66"/>
      <c r="X32" s="66"/>
      <c r="AB32" s="66"/>
      <c r="AG32" s="66"/>
    </row>
    <row r="33" spans="4:33">
      <c r="D33" s="66"/>
      <c r="G33" s="66"/>
      <c r="V33" s="66"/>
      <c r="W33" s="66"/>
      <c r="X33" s="66"/>
      <c r="AB33" s="66"/>
      <c r="AG33" s="66"/>
    </row>
    <row r="34" spans="4:33">
      <c r="D34" s="66"/>
      <c r="G34" s="66"/>
      <c r="V34" s="66"/>
      <c r="W34" s="66"/>
      <c r="X34" s="66"/>
      <c r="AB34" s="66"/>
      <c r="AG34" s="66"/>
    </row>
    <row r="35" spans="4:33">
      <c r="D35" s="66"/>
      <c r="G35" s="66"/>
      <c r="V35" s="66"/>
      <c r="W35" s="66"/>
      <c r="X35" s="66"/>
      <c r="AB35" s="66"/>
      <c r="AG35" s="66"/>
    </row>
    <row r="36" spans="4:33">
      <c r="D36" s="66"/>
      <c r="G36" s="66"/>
      <c r="V36" s="66"/>
      <c r="W36" s="66"/>
      <c r="X36" s="66"/>
      <c r="AB36" s="66"/>
      <c r="AG36" s="66"/>
    </row>
    <row r="37" spans="4:33">
      <c r="D37" s="66"/>
      <c r="G37" s="66"/>
      <c r="V37" s="66"/>
      <c r="W37" s="66"/>
      <c r="X37" s="66"/>
      <c r="AB37" s="66"/>
      <c r="AG37" s="66"/>
    </row>
    <row r="38" spans="4:33">
      <c r="D38" s="66"/>
      <c r="G38" s="66"/>
      <c r="V38" s="66"/>
      <c r="W38" s="66"/>
      <c r="X38" s="66"/>
      <c r="AB38" s="66"/>
      <c r="AG38" s="66"/>
    </row>
    <row r="39" spans="4:33">
      <c r="D39" s="66"/>
      <c r="G39" s="66"/>
      <c r="V39" s="66"/>
      <c r="W39" s="66"/>
      <c r="X39" s="66"/>
      <c r="AB39" s="66"/>
      <c r="AG39" s="66"/>
    </row>
    <row r="40" spans="4:33">
      <c r="D40" s="66"/>
      <c r="G40" s="66"/>
      <c r="V40" s="66"/>
      <c r="W40" s="66"/>
      <c r="X40" s="66"/>
      <c r="AB40" s="66"/>
      <c r="AG40" s="66"/>
    </row>
    <row r="41" spans="4:33">
      <c r="D41" s="66"/>
      <c r="G41" s="66"/>
      <c r="V41" s="66"/>
      <c r="W41" s="66"/>
      <c r="X41" s="66"/>
      <c r="AB41" s="66"/>
      <c r="AG41" s="66"/>
    </row>
    <row r="42" spans="4:33">
      <c r="D42" s="66"/>
      <c r="G42" s="66"/>
      <c r="V42" s="66"/>
      <c r="W42" s="66"/>
      <c r="X42" s="66"/>
      <c r="AB42" s="66"/>
      <c r="AG42" s="66"/>
    </row>
    <row r="43" spans="4:33">
      <c r="D43" s="66"/>
      <c r="G43" s="66"/>
      <c r="V43" s="66"/>
      <c r="W43" s="66"/>
      <c r="X43" s="66"/>
      <c r="AB43" s="66"/>
      <c r="AG43" s="66"/>
    </row>
    <row r="44" spans="4:33">
      <c r="D44" s="66"/>
      <c r="G44" s="66"/>
      <c r="V44" s="66"/>
      <c r="W44" s="66"/>
      <c r="X44" s="66"/>
      <c r="AB44" s="66"/>
      <c r="AG44" s="66"/>
    </row>
    <row r="45" spans="4:33">
      <c r="D45" s="66"/>
      <c r="G45" s="66"/>
      <c r="V45" s="66"/>
      <c r="W45" s="66"/>
      <c r="X45" s="66"/>
      <c r="AB45" s="66"/>
      <c r="AG45" s="66"/>
    </row>
    <row r="46" spans="4:33">
      <c r="D46" s="66"/>
      <c r="G46" s="66"/>
      <c r="V46" s="66"/>
      <c r="W46" s="66"/>
      <c r="X46" s="66"/>
      <c r="AB46" s="66"/>
      <c r="AG46" s="66"/>
    </row>
    <row r="47" spans="4:33">
      <c r="D47" s="66"/>
      <c r="G47" s="66"/>
      <c r="V47" s="66"/>
      <c r="W47" s="66"/>
      <c r="X47" s="66"/>
      <c r="AB47" s="66"/>
      <c r="AG47" s="66"/>
    </row>
    <row r="48" spans="4:33">
      <c r="D48" s="66"/>
      <c r="G48" s="66"/>
      <c r="V48" s="66"/>
      <c r="W48" s="66"/>
      <c r="X48" s="66"/>
      <c r="AB48" s="66"/>
      <c r="AG48" s="66"/>
    </row>
    <row r="49" spans="4:33">
      <c r="D49" s="66"/>
      <c r="G49" s="66"/>
      <c r="V49" s="66"/>
      <c r="W49" s="66"/>
      <c r="X49" s="66"/>
      <c r="AB49" s="66"/>
      <c r="AG49" s="66"/>
    </row>
    <row r="50" spans="4:33">
      <c r="D50" s="66"/>
      <c r="G50" s="66"/>
      <c r="V50" s="66"/>
      <c r="W50" s="66"/>
      <c r="X50" s="66"/>
      <c r="AB50" s="66"/>
      <c r="AG50" s="66"/>
    </row>
    <row r="51" spans="4:33">
      <c r="D51" s="66"/>
      <c r="G51" s="66"/>
      <c r="V51" s="66"/>
      <c r="W51" s="66"/>
      <c r="X51" s="66"/>
      <c r="AB51" s="66"/>
      <c r="AG51" s="66"/>
    </row>
    <row r="52" spans="4:33">
      <c r="D52" s="66"/>
      <c r="G52" s="66"/>
      <c r="V52" s="66"/>
      <c r="W52" s="66"/>
      <c r="X52" s="66"/>
      <c r="AB52" s="66"/>
      <c r="AG52" s="66"/>
    </row>
    <row r="53" spans="4:33">
      <c r="D53" s="66"/>
      <c r="G53" s="66"/>
      <c r="V53" s="66"/>
      <c r="W53" s="66"/>
      <c r="X53" s="66"/>
      <c r="AB53" s="66"/>
      <c r="AG53" s="66"/>
    </row>
    <row r="54" spans="4:33">
      <c r="D54" s="66"/>
      <c r="G54" s="66"/>
      <c r="V54" s="66"/>
      <c r="W54" s="66"/>
      <c r="X54" s="66"/>
      <c r="AB54" s="66"/>
      <c r="AG54" s="66"/>
    </row>
    <row r="55" spans="4:33">
      <c r="D55" s="66"/>
      <c r="G55" s="66"/>
      <c r="V55" s="66"/>
      <c r="W55" s="66"/>
      <c r="X55" s="66"/>
      <c r="AB55" s="66"/>
      <c r="AG55" s="66"/>
    </row>
    <row r="56" spans="4:33">
      <c r="D56" s="66"/>
      <c r="G56" s="66"/>
      <c r="V56" s="66"/>
      <c r="W56" s="66"/>
      <c r="X56" s="66"/>
      <c r="AB56" s="66"/>
      <c r="AG56" s="66"/>
    </row>
    <row r="57" spans="4:33">
      <c r="D57" s="66"/>
      <c r="G57" s="66"/>
      <c r="V57" s="66"/>
      <c r="W57" s="66"/>
      <c r="X57" s="66"/>
      <c r="AB57" s="66"/>
      <c r="AG57" s="66"/>
    </row>
    <row r="58" spans="4:33">
      <c r="D58" s="66"/>
      <c r="G58" s="66"/>
      <c r="V58" s="66"/>
      <c r="W58" s="66"/>
      <c r="X58" s="66"/>
      <c r="AB58" s="66"/>
      <c r="AG58" s="66"/>
    </row>
    <row r="59" spans="4:33">
      <c r="D59" s="66"/>
      <c r="G59" s="66"/>
      <c r="V59" s="66"/>
      <c r="W59" s="66"/>
      <c r="X59" s="66"/>
      <c r="AB59" s="66"/>
      <c r="AG59" s="66"/>
    </row>
    <row r="60" spans="4:33">
      <c r="D60" s="66"/>
      <c r="G60" s="66"/>
      <c r="V60" s="66"/>
      <c r="W60" s="66"/>
      <c r="X60" s="66"/>
      <c r="AB60" s="66"/>
      <c r="AG60" s="66"/>
    </row>
    <row r="61" spans="4:33">
      <c r="D61" s="66"/>
      <c r="G61" s="66"/>
      <c r="V61" s="66"/>
      <c r="W61" s="66"/>
      <c r="X61" s="66"/>
      <c r="AB61" s="66"/>
      <c r="AG61" s="66"/>
    </row>
    <row r="62" spans="4:33">
      <c r="D62" s="66"/>
      <c r="G62" s="66"/>
      <c r="V62" s="66"/>
      <c r="W62" s="66"/>
      <c r="X62" s="66"/>
      <c r="AB62" s="66"/>
      <c r="AG62" s="66"/>
    </row>
    <row r="63" spans="4:33">
      <c r="D63" s="66"/>
      <c r="G63" s="66"/>
      <c r="V63" s="66"/>
      <c r="W63" s="66"/>
      <c r="X63" s="66"/>
      <c r="AB63" s="66"/>
      <c r="AG63" s="66"/>
    </row>
    <row r="64" spans="4:33">
      <c r="D64" s="66"/>
      <c r="G64" s="66"/>
      <c r="V64" s="66"/>
      <c r="W64" s="66"/>
      <c r="X64" s="66"/>
      <c r="AB64" s="66"/>
      <c r="AG64" s="66"/>
    </row>
    <row r="65" spans="4:33">
      <c r="D65" s="66"/>
      <c r="G65" s="66"/>
      <c r="V65" s="66"/>
      <c r="W65" s="66"/>
      <c r="X65" s="66"/>
      <c r="AB65" s="66"/>
      <c r="AG65" s="66"/>
    </row>
    <row r="66" spans="4:33">
      <c r="D66" s="66"/>
      <c r="G66" s="66"/>
      <c r="V66" s="66"/>
      <c r="W66" s="66"/>
      <c r="X66" s="66"/>
      <c r="AB66" s="66"/>
      <c r="AG66" s="66"/>
    </row>
    <row r="67" spans="4:33">
      <c r="D67" s="66"/>
      <c r="G67" s="66"/>
      <c r="V67" s="66"/>
      <c r="W67" s="66"/>
      <c r="X67" s="66"/>
      <c r="AB67" s="66"/>
      <c r="AG67" s="66"/>
    </row>
    <row r="68" spans="4:33">
      <c r="D68" s="66"/>
      <c r="G68" s="66"/>
      <c r="V68" s="66"/>
      <c r="W68" s="66"/>
      <c r="X68" s="66"/>
      <c r="AB68" s="66"/>
      <c r="AG68" s="66"/>
    </row>
    <row r="69" spans="4:33">
      <c r="D69" s="66"/>
      <c r="G69" s="66"/>
      <c r="V69" s="66"/>
      <c r="W69" s="66"/>
      <c r="X69" s="66"/>
      <c r="AB69" s="66"/>
      <c r="AG69" s="66"/>
    </row>
    <row r="70" spans="4:33">
      <c r="D70" s="66"/>
      <c r="G70" s="66"/>
      <c r="V70" s="66"/>
      <c r="W70" s="66"/>
      <c r="X70" s="66"/>
      <c r="AB70" s="66"/>
      <c r="AG70" s="66"/>
    </row>
    <row r="71" spans="4:33">
      <c r="D71" s="66"/>
      <c r="G71" s="66"/>
      <c r="V71" s="66"/>
      <c r="W71" s="66"/>
      <c r="X71" s="66"/>
      <c r="AB71" s="66"/>
      <c r="AG71" s="66"/>
    </row>
    <row r="72" spans="4:33">
      <c r="D72" s="66"/>
      <c r="G72" s="66"/>
      <c r="V72" s="66"/>
      <c r="W72" s="66"/>
      <c r="X72" s="66"/>
      <c r="AB72" s="66"/>
      <c r="AG72" s="66"/>
    </row>
    <row r="73" spans="4:33">
      <c r="D73" s="66"/>
      <c r="G73" s="66"/>
      <c r="V73" s="66"/>
      <c r="W73" s="66"/>
      <c r="X73" s="66"/>
      <c r="AB73" s="66"/>
      <c r="AG73" s="66"/>
    </row>
    <row r="74" spans="4:33">
      <c r="D74" s="66"/>
      <c r="G74" s="66"/>
      <c r="V74" s="66"/>
      <c r="W74" s="66"/>
      <c r="X74" s="66"/>
      <c r="AB74" s="66"/>
      <c r="AG74" s="66"/>
    </row>
    <row r="75" spans="4:33">
      <c r="D75" s="66"/>
      <c r="G75" s="66"/>
      <c r="V75" s="66"/>
      <c r="W75" s="66"/>
      <c r="X75" s="66"/>
      <c r="AB75" s="66"/>
      <c r="AG75" s="66"/>
    </row>
    <row r="76" spans="4:33">
      <c r="D76" s="66"/>
      <c r="G76" s="66"/>
      <c r="V76" s="66"/>
      <c r="W76" s="66"/>
      <c r="X76" s="66"/>
      <c r="AB76" s="66"/>
      <c r="AG76" s="66"/>
    </row>
    <row r="77" spans="4:33">
      <c r="D77" s="66"/>
      <c r="G77" s="66"/>
      <c r="V77" s="66"/>
      <c r="W77" s="66"/>
      <c r="X77" s="66"/>
      <c r="AB77" s="66"/>
      <c r="AG77" s="66"/>
    </row>
    <row r="78" spans="4:33">
      <c r="D78" s="66"/>
      <c r="G78" s="66"/>
      <c r="V78" s="66"/>
      <c r="W78" s="66"/>
      <c r="X78" s="66"/>
      <c r="AB78" s="66"/>
      <c r="AG78" s="66"/>
    </row>
    <row r="79" spans="4:33">
      <c r="D79" s="66"/>
      <c r="G79" s="66"/>
      <c r="V79" s="66"/>
      <c r="W79" s="66"/>
      <c r="X79" s="66"/>
      <c r="AB79" s="66"/>
      <c r="AG79" s="66"/>
    </row>
    <row r="80" spans="4:33">
      <c r="D80" s="66"/>
      <c r="G80" s="66"/>
      <c r="V80" s="66"/>
      <c r="W80" s="66"/>
      <c r="X80" s="66"/>
      <c r="AB80" s="66"/>
      <c r="AG80" s="66"/>
    </row>
    <row r="81" spans="4:33">
      <c r="D81" s="66"/>
      <c r="G81" s="66"/>
      <c r="V81" s="66"/>
      <c r="W81" s="66"/>
      <c r="X81" s="66"/>
      <c r="AB81" s="66"/>
      <c r="AG81" s="66"/>
    </row>
    <row r="82" spans="4:33">
      <c r="D82" s="66"/>
      <c r="G82" s="66"/>
      <c r="V82" s="66"/>
      <c r="W82" s="66"/>
      <c r="X82" s="66"/>
      <c r="AB82" s="66"/>
      <c r="AG82" s="66"/>
    </row>
    <row r="83" spans="4:33">
      <c r="D83" s="66"/>
      <c r="G83" s="66"/>
      <c r="V83" s="66"/>
      <c r="W83" s="66"/>
      <c r="X83" s="66"/>
      <c r="AB83" s="66"/>
      <c r="AG83" s="66"/>
    </row>
    <row r="84" spans="4:33">
      <c r="D84" s="66"/>
      <c r="G84" s="66"/>
      <c r="V84" s="66"/>
      <c r="W84" s="66"/>
      <c r="X84" s="66"/>
      <c r="AB84" s="66"/>
      <c r="AG84" s="66"/>
    </row>
    <row r="85" spans="4:33">
      <c r="D85" s="66"/>
      <c r="G85" s="66"/>
      <c r="V85" s="66"/>
      <c r="W85" s="66"/>
      <c r="X85" s="66"/>
      <c r="AB85" s="66"/>
      <c r="AG85" s="66"/>
    </row>
    <row r="86" spans="4:33">
      <c r="D86" s="66"/>
      <c r="G86" s="66"/>
      <c r="V86" s="66"/>
      <c r="W86" s="66"/>
      <c r="X86" s="66"/>
      <c r="AB86" s="66"/>
      <c r="AG86" s="66"/>
    </row>
    <row r="87" spans="4:33">
      <c r="D87" s="66"/>
      <c r="G87" s="66"/>
      <c r="V87" s="66"/>
      <c r="W87" s="66"/>
      <c r="X87" s="66"/>
      <c r="AB87" s="66"/>
      <c r="AG87" s="66"/>
    </row>
    <row r="88" spans="4:33">
      <c r="D88" s="66"/>
      <c r="G88" s="66"/>
      <c r="V88" s="66"/>
      <c r="W88" s="66"/>
      <c r="X88" s="66"/>
      <c r="AB88" s="66"/>
      <c r="AG88" s="66"/>
    </row>
    <row r="89" spans="4:33">
      <c r="D89" s="66"/>
      <c r="G89" s="66"/>
      <c r="V89" s="66"/>
      <c r="W89" s="66"/>
      <c r="X89" s="66"/>
      <c r="AB89" s="66"/>
      <c r="AG89" s="66"/>
    </row>
    <row r="90" spans="4:33">
      <c r="D90" s="66"/>
      <c r="G90" s="66"/>
      <c r="V90" s="66"/>
      <c r="W90" s="66"/>
      <c r="X90" s="66"/>
      <c r="AB90" s="66"/>
      <c r="AG90" s="66"/>
    </row>
    <row r="91" spans="4:33">
      <c r="D91" s="66"/>
      <c r="G91" s="66"/>
      <c r="V91" s="66"/>
      <c r="W91" s="66"/>
      <c r="X91" s="66"/>
      <c r="AB91" s="66"/>
      <c r="AG91" s="66"/>
    </row>
    <row r="92" spans="4:33">
      <c r="D92" s="66"/>
      <c r="G92" s="66"/>
      <c r="V92" s="66"/>
      <c r="W92" s="66"/>
      <c r="X92" s="66"/>
      <c r="AB92" s="66"/>
      <c r="AG92" s="66"/>
    </row>
    <row r="93" spans="4:33">
      <c r="D93" s="66"/>
      <c r="G93" s="66"/>
      <c r="V93" s="66"/>
      <c r="W93" s="66"/>
      <c r="X93" s="66"/>
      <c r="AB93" s="66"/>
      <c r="AG93" s="66"/>
    </row>
    <row r="94" spans="4:33">
      <c r="D94" s="66"/>
      <c r="G94" s="66"/>
      <c r="V94" s="66"/>
      <c r="W94" s="66"/>
      <c r="X94" s="66"/>
      <c r="AB94" s="66"/>
      <c r="AG94" s="66"/>
    </row>
    <row r="95" spans="4:33">
      <c r="D95" s="66"/>
      <c r="G95" s="66"/>
      <c r="V95" s="66"/>
      <c r="W95" s="66"/>
      <c r="X95" s="66"/>
      <c r="AB95" s="66"/>
      <c r="AG95" s="66"/>
    </row>
    <row r="96" spans="4:33">
      <c r="D96" s="66"/>
      <c r="G96" s="66"/>
      <c r="V96" s="66"/>
      <c r="W96" s="66"/>
      <c r="X96" s="66"/>
      <c r="AB96" s="66"/>
      <c r="AG96" s="66"/>
    </row>
    <row r="97" spans="4:33">
      <c r="D97" s="66"/>
      <c r="G97" s="66"/>
      <c r="V97" s="66"/>
      <c r="W97" s="66"/>
      <c r="X97" s="66"/>
      <c r="AB97" s="66"/>
      <c r="AG97" s="66"/>
    </row>
    <row r="98" spans="4:33">
      <c r="D98" s="66"/>
      <c r="G98" s="66"/>
      <c r="V98" s="66"/>
      <c r="W98" s="66"/>
      <c r="X98" s="66"/>
      <c r="AB98" s="66"/>
      <c r="AG98" s="66"/>
    </row>
    <row r="99" spans="4:33">
      <c r="D99" s="66"/>
      <c r="G99" s="66"/>
      <c r="V99" s="66"/>
      <c r="W99" s="66"/>
      <c r="X99" s="66"/>
      <c r="AB99" s="66"/>
      <c r="AG99" s="66"/>
    </row>
    <row r="100" spans="4:33">
      <c r="D100" s="66"/>
      <c r="G100" s="66"/>
      <c r="V100" s="66"/>
      <c r="W100" s="66"/>
      <c r="X100" s="66"/>
      <c r="AB100" s="66"/>
      <c r="AG100" s="66"/>
    </row>
    <row r="101" spans="4:33">
      <c r="D101" s="66"/>
      <c r="G101" s="66"/>
      <c r="V101" s="66"/>
      <c r="W101" s="66"/>
      <c r="X101" s="66"/>
      <c r="AB101" s="66"/>
      <c r="AG101" s="66"/>
    </row>
    <row r="102" spans="4:33">
      <c r="D102" s="66"/>
      <c r="G102" s="66"/>
      <c r="V102" s="66"/>
      <c r="W102" s="66"/>
      <c r="X102" s="66"/>
      <c r="AB102" s="66"/>
      <c r="AG102" s="66"/>
    </row>
    <row r="103" spans="4:33">
      <c r="D103" s="66"/>
      <c r="G103" s="66"/>
      <c r="V103" s="66"/>
      <c r="W103" s="66"/>
      <c r="X103" s="66"/>
      <c r="AB103" s="66"/>
      <c r="AG103" s="66"/>
    </row>
    <row r="104" spans="4:33">
      <c r="D104" s="66"/>
      <c r="G104" s="66"/>
      <c r="V104" s="66"/>
      <c r="W104" s="66"/>
      <c r="X104" s="66"/>
      <c r="AB104" s="66"/>
      <c r="AG104" s="66"/>
    </row>
    <row r="105" spans="4:33">
      <c r="D105" s="66"/>
      <c r="G105" s="66"/>
      <c r="V105" s="66"/>
      <c r="W105" s="66"/>
      <c r="X105" s="66"/>
      <c r="AB105" s="66"/>
      <c r="AG105" s="66"/>
    </row>
    <row r="106" spans="4:33">
      <c r="D106" s="66"/>
      <c r="G106" s="66"/>
      <c r="V106" s="66"/>
      <c r="W106" s="66"/>
      <c r="X106" s="66"/>
      <c r="AB106" s="66"/>
      <c r="AG106" s="66"/>
    </row>
    <row r="107" spans="4:33">
      <c r="D107" s="66"/>
      <c r="G107" s="66"/>
      <c r="V107" s="66"/>
      <c r="W107" s="66"/>
      <c r="X107" s="66"/>
      <c r="AB107" s="66"/>
      <c r="AG107" s="66"/>
    </row>
    <row r="108" spans="4:33">
      <c r="D108" s="66"/>
      <c r="G108" s="66"/>
      <c r="V108" s="66"/>
      <c r="W108" s="66"/>
      <c r="X108" s="66"/>
      <c r="AB108" s="66"/>
      <c r="AG108" s="66"/>
    </row>
    <row r="109" spans="4:33">
      <c r="D109" s="66"/>
      <c r="G109" s="66"/>
      <c r="V109" s="66"/>
      <c r="W109" s="66"/>
      <c r="X109" s="66"/>
      <c r="AB109" s="66"/>
      <c r="AG109" s="66"/>
    </row>
    <row r="110" spans="4:33">
      <c r="D110" s="66"/>
      <c r="G110" s="66"/>
      <c r="V110" s="66"/>
      <c r="W110" s="66"/>
      <c r="X110" s="66"/>
      <c r="AB110" s="66"/>
      <c r="AG110" s="66"/>
    </row>
    <row r="111" spans="4:33">
      <c r="D111" s="66"/>
      <c r="G111" s="66"/>
      <c r="V111" s="66"/>
      <c r="W111" s="66"/>
      <c r="X111" s="66"/>
      <c r="AB111" s="66"/>
      <c r="AG111" s="66"/>
    </row>
    <row r="112" spans="4:33">
      <c r="D112" s="66"/>
      <c r="G112" s="66"/>
      <c r="V112" s="66"/>
      <c r="W112" s="66"/>
      <c r="X112" s="66"/>
      <c r="AB112" s="66"/>
      <c r="AG112" s="66"/>
    </row>
    <row r="113" spans="4:33">
      <c r="D113" s="66"/>
      <c r="G113" s="66"/>
      <c r="V113" s="66"/>
      <c r="W113" s="66"/>
      <c r="X113" s="66"/>
      <c r="AB113" s="66"/>
      <c r="AG113" s="66"/>
    </row>
    <row r="114" spans="4:33">
      <c r="D114" s="66"/>
      <c r="G114" s="66"/>
      <c r="V114" s="66"/>
      <c r="W114" s="66"/>
      <c r="X114" s="66"/>
      <c r="AB114" s="66"/>
      <c r="AG114" s="66"/>
    </row>
    <row r="115" spans="4:33">
      <c r="D115" s="66"/>
      <c r="G115" s="66"/>
      <c r="V115" s="66"/>
      <c r="W115" s="66"/>
      <c r="X115" s="66"/>
      <c r="AB115" s="66"/>
      <c r="AG115" s="66"/>
    </row>
    <row r="116" spans="4:33">
      <c r="D116" s="66"/>
      <c r="G116" s="66"/>
      <c r="V116" s="66"/>
      <c r="W116" s="66"/>
      <c r="X116" s="66"/>
      <c r="AB116" s="66"/>
      <c r="AG116" s="66"/>
    </row>
    <row r="117" spans="4:33">
      <c r="D117" s="66"/>
      <c r="G117" s="66"/>
      <c r="V117" s="66"/>
      <c r="W117" s="66"/>
      <c r="X117" s="66"/>
      <c r="AB117" s="66"/>
      <c r="AG117" s="66"/>
    </row>
    <row r="118" spans="4:33">
      <c r="D118" s="66"/>
      <c r="G118" s="66"/>
      <c r="V118" s="66"/>
      <c r="W118" s="66"/>
      <c r="X118" s="66"/>
      <c r="AB118" s="66"/>
      <c r="AG118" s="66"/>
    </row>
    <row r="119" spans="4:33">
      <c r="D119" s="66"/>
      <c r="G119" s="66"/>
      <c r="V119" s="66"/>
      <c r="W119" s="66"/>
      <c r="X119" s="66"/>
      <c r="AB119" s="66"/>
      <c r="AG119" s="66"/>
    </row>
    <row r="120" spans="4:33">
      <c r="D120" s="66"/>
      <c r="G120" s="66"/>
      <c r="V120" s="66"/>
      <c r="W120" s="66"/>
      <c r="X120" s="66"/>
      <c r="AB120" s="66"/>
      <c r="AG120" s="66"/>
    </row>
    <row r="121" spans="4:33">
      <c r="D121" s="66"/>
      <c r="G121" s="66"/>
      <c r="V121" s="66"/>
      <c r="W121" s="66"/>
      <c r="X121" s="66"/>
      <c r="AB121" s="66"/>
      <c r="AG121" s="66"/>
    </row>
    <row r="122" spans="4:33">
      <c r="D122" s="66"/>
      <c r="G122" s="66"/>
      <c r="V122" s="66"/>
      <c r="W122" s="66"/>
      <c r="X122" s="66"/>
      <c r="AB122" s="66"/>
      <c r="AG122" s="66"/>
    </row>
    <row r="123" spans="4:33">
      <c r="D123" s="66"/>
      <c r="G123" s="66"/>
      <c r="V123" s="66"/>
      <c r="W123" s="66"/>
      <c r="X123" s="66"/>
      <c r="AB123" s="66"/>
      <c r="AG123" s="66"/>
    </row>
    <row r="124" spans="4:33">
      <c r="D124" s="66"/>
      <c r="G124" s="66"/>
      <c r="V124" s="66"/>
      <c r="W124" s="66"/>
      <c r="X124" s="66"/>
      <c r="AB124" s="66"/>
      <c r="AG124" s="66"/>
    </row>
    <row r="125" spans="4:33">
      <c r="D125" s="66"/>
      <c r="G125" s="66"/>
      <c r="V125" s="66"/>
      <c r="W125" s="66"/>
      <c r="X125" s="66"/>
      <c r="AB125" s="66"/>
      <c r="AG125" s="66"/>
    </row>
    <row r="126" spans="4:33">
      <c r="D126" s="66"/>
      <c r="G126" s="66"/>
      <c r="V126" s="66"/>
      <c r="W126" s="66"/>
      <c r="X126" s="66"/>
      <c r="AB126" s="66"/>
      <c r="AG126" s="66"/>
    </row>
    <row r="127" spans="4:33">
      <c r="D127" s="66"/>
      <c r="G127" s="66"/>
      <c r="V127" s="66"/>
      <c r="W127" s="66"/>
      <c r="X127" s="66"/>
      <c r="AB127" s="66"/>
      <c r="AG127" s="66"/>
    </row>
    <row r="128" spans="4:33">
      <c r="D128" s="66"/>
      <c r="G128" s="66"/>
      <c r="V128" s="66"/>
      <c r="W128" s="66"/>
      <c r="X128" s="66"/>
      <c r="AB128" s="66"/>
      <c r="AG128" s="66"/>
    </row>
    <row r="129" spans="4:33">
      <c r="D129" s="66"/>
      <c r="G129" s="66"/>
      <c r="V129" s="66"/>
      <c r="W129" s="66"/>
      <c r="X129" s="66"/>
      <c r="AB129" s="66"/>
      <c r="AG129" s="66"/>
    </row>
    <row r="130" spans="4:33">
      <c r="D130" s="66"/>
      <c r="G130" s="66"/>
      <c r="V130" s="66"/>
      <c r="W130" s="66"/>
      <c r="X130" s="66"/>
      <c r="AB130" s="66"/>
      <c r="AG130" s="66"/>
    </row>
    <row r="131" spans="4:33">
      <c r="D131" s="66"/>
      <c r="G131" s="66"/>
      <c r="V131" s="66"/>
      <c r="W131" s="66"/>
      <c r="X131" s="66"/>
      <c r="AB131" s="66"/>
      <c r="AG131" s="66"/>
    </row>
    <row r="132" spans="4:33">
      <c r="D132" s="66"/>
      <c r="G132" s="66"/>
      <c r="V132" s="66"/>
      <c r="W132" s="66"/>
      <c r="X132" s="66"/>
      <c r="AB132" s="66"/>
      <c r="AG132" s="66"/>
    </row>
    <row r="133" spans="4:33">
      <c r="D133" s="66"/>
      <c r="G133" s="66"/>
      <c r="V133" s="66"/>
      <c r="W133" s="66"/>
      <c r="X133" s="66"/>
      <c r="AB133" s="66"/>
      <c r="AG133" s="66"/>
    </row>
    <row r="134" spans="4:33">
      <c r="D134" s="66"/>
      <c r="G134" s="66"/>
      <c r="V134" s="66"/>
      <c r="W134" s="66"/>
      <c r="X134" s="66"/>
      <c r="AB134" s="66"/>
      <c r="AG134" s="66"/>
    </row>
    <row r="135" spans="4:33">
      <c r="D135" s="66"/>
      <c r="G135" s="66"/>
      <c r="V135" s="66"/>
      <c r="W135" s="66"/>
      <c r="X135" s="66"/>
      <c r="AB135" s="66"/>
      <c r="AG135" s="66"/>
    </row>
    <row r="136" spans="4:33">
      <c r="D136" s="66"/>
      <c r="G136" s="66"/>
      <c r="V136" s="66"/>
      <c r="W136" s="66"/>
      <c r="X136" s="66"/>
      <c r="AB136" s="66"/>
      <c r="AG136" s="66"/>
    </row>
    <row r="137" spans="4:33">
      <c r="D137" s="66"/>
      <c r="G137" s="66"/>
      <c r="V137" s="66"/>
      <c r="W137" s="66"/>
      <c r="X137" s="66"/>
      <c r="AB137" s="66"/>
      <c r="AG137" s="66"/>
    </row>
    <row r="138" spans="4:33">
      <c r="D138" s="66"/>
      <c r="G138" s="66"/>
      <c r="V138" s="66"/>
      <c r="W138" s="66"/>
      <c r="X138" s="66"/>
      <c r="AB138" s="66"/>
      <c r="AG138" s="66"/>
    </row>
    <row r="139" spans="4:33">
      <c r="D139" s="66"/>
      <c r="G139" s="66"/>
      <c r="V139" s="66"/>
      <c r="W139" s="66"/>
      <c r="X139" s="66"/>
      <c r="AB139" s="66"/>
      <c r="AG139" s="66"/>
    </row>
    <row r="140" spans="4:33">
      <c r="D140" s="66"/>
      <c r="G140" s="66"/>
      <c r="V140" s="66"/>
      <c r="W140" s="66"/>
      <c r="X140" s="66"/>
      <c r="AB140" s="66"/>
      <c r="AG140" s="66"/>
    </row>
    <row r="141" spans="4:33">
      <c r="D141" s="66"/>
      <c r="G141" s="66"/>
      <c r="V141" s="66"/>
      <c r="W141" s="66"/>
      <c r="X141" s="66"/>
      <c r="AB141" s="66"/>
      <c r="AG141" s="66"/>
    </row>
    <row r="142" spans="4:33">
      <c r="D142" s="66"/>
      <c r="G142" s="66"/>
      <c r="V142" s="66"/>
      <c r="W142" s="66"/>
      <c r="X142" s="66"/>
      <c r="AB142" s="66"/>
      <c r="AG142" s="66"/>
    </row>
    <row r="143" spans="4:33">
      <c r="D143" s="66"/>
      <c r="G143" s="66"/>
      <c r="V143" s="66"/>
      <c r="W143" s="66"/>
      <c r="X143" s="66"/>
      <c r="AB143" s="66"/>
      <c r="AG143" s="66"/>
    </row>
    <row r="144" spans="4:33">
      <c r="D144" s="66"/>
      <c r="G144" s="66"/>
      <c r="V144" s="66"/>
      <c r="W144" s="66"/>
      <c r="X144" s="66"/>
      <c r="AB144" s="66"/>
      <c r="AG144" s="66"/>
    </row>
    <row r="145" spans="4:33">
      <c r="D145" s="66"/>
      <c r="G145" s="66"/>
      <c r="V145" s="66"/>
      <c r="W145" s="66"/>
      <c r="X145" s="66"/>
      <c r="AB145" s="66"/>
      <c r="AG145" s="66"/>
    </row>
    <row r="146" spans="4:33">
      <c r="D146" s="66"/>
      <c r="G146" s="66"/>
      <c r="V146" s="66"/>
      <c r="W146" s="66"/>
      <c r="X146" s="66"/>
      <c r="AB146" s="66"/>
      <c r="AG146" s="66"/>
    </row>
    <row r="147" spans="4:33">
      <c r="D147" s="66"/>
      <c r="G147" s="66"/>
      <c r="V147" s="66"/>
      <c r="W147" s="66"/>
      <c r="X147" s="66"/>
      <c r="AB147" s="66"/>
      <c r="AG147" s="66"/>
    </row>
    <row r="148" spans="4:33">
      <c r="D148" s="66"/>
      <c r="G148" s="66"/>
      <c r="V148" s="66"/>
      <c r="W148" s="66"/>
      <c r="X148" s="66"/>
      <c r="AB148" s="66"/>
      <c r="AG148" s="66"/>
    </row>
    <row r="149" spans="4:33">
      <c r="D149" s="66"/>
      <c r="G149" s="66"/>
      <c r="V149" s="66"/>
      <c r="W149" s="66"/>
      <c r="X149" s="66"/>
      <c r="AB149" s="66"/>
      <c r="AG149" s="66"/>
    </row>
    <row r="150" spans="4:33">
      <c r="D150" s="66"/>
      <c r="G150" s="66"/>
      <c r="V150" s="66"/>
      <c r="W150" s="66"/>
      <c r="X150" s="66"/>
      <c r="AB150" s="66"/>
      <c r="AG150" s="66"/>
    </row>
    <row r="151" spans="4:33">
      <c r="D151" s="66"/>
      <c r="G151" s="66"/>
      <c r="V151" s="66"/>
      <c r="W151" s="66"/>
      <c r="X151" s="66"/>
      <c r="AB151" s="66"/>
      <c r="AG151" s="66"/>
    </row>
    <row r="152" spans="4:33">
      <c r="D152" s="66"/>
      <c r="G152" s="66"/>
      <c r="V152" s="66"/>
      <c r="W152" s="66"/>
      <c r="X152" s="66"/>
      <c r="AB152" s="66"/>
      <c r="AG152" s="66"/>
    </row>
    <row r="153" spans="4:33">
      <c r="D153" s="66"/>
      <c r="G153" s="66"/>
      <c r="V153" s="66"/>
      <c r="W153" s="66"/>
      <c r="X153" s="66"/>
      <c r="AB153" s="66"/>
      <c r="AG153" s="66"/>
    </row>
    <row r="154" spans="4:33">
      <c r="D154" s="66"/>
      <c r="G154" s="66"/>
      <c r="V154" s="66"/>
      <c r="W154" s="66"/>
      <c r="X154" s="66"/>
      <c r="AB154" s="66"/>
      <c r="AG154" s="66"/>
    </row>
    <row r="155" spans="4:33">
      <c r="D155" s="66"/>
      <c r="G155" s="66"/>
      <c r="V155" s="66"/>
      <c r="W155" s="66"/>
      <c r="X155" s="66"/>
      <c r="AB155" s="66"/>
      <c r="AG155" s="66"/>
    </row>
    <row r="156" spans="4:33">
      <c r="D156" s="66"/>
      <c r="G156" s="66"/>
      <c r="V156" s="66"/>
      <c r="W156" s="66"/>
      <c r="X156" s="66"/>
      <c r="AB156" s="66"/>
      <c r="AG156" s="66"/>
    </row>
    <row r="157" spans="4:33">
      <c r="D157" s="66"/>
      <c r="G157" s="66"/>
      <c r="V157" s="66"/>
      <c r="W157" s="66"/>
      <c r="X157" s="66"/>
      <c r="AB157" s="66"/>
      <c r="AG157" s="66"/>
    </row>
    <row r="158" spans="4:33">
      <c r="D158" s="66"/>
      <c r="G158" s="66"/>
      <c r="V158" s="66"/>
      <c r="W158" s="66"/>
      <c r="X158" s="66"/>
      <c r="AB158" s="66"/>
      <c r="AG158" s="66"/>
    </row>
    <row r="159" spans="4:33">
      <c r="D159" s="66"/>
      <c r="G159" s="66"/>
      <c r="V159" s="66"/>
      <c r="W159" s="66"/>
      <c r="X159" s="66"/>
      <c r="AB159" s="66"/>
      <c r="AG159" s="66"/>
    </row>
    <row r="160" spans="4:33">
      <c r="D160" s="66"/>
      <c r="G160" s="66"/>
      <c r="V160" s="66"/>
      <c r="W160" s="66"/>
      <c r="X160" s="66"/>
      <c r="AB160" s="66"/>
      <c r="AG160" s="66"/>
    </row>
    <row r="161" spans="4:33">
      <c r="D161" s="66"/>
      <c r="G161" s="66"/>
      <c r="V161" s="66"/>
      <c r="W161" s="66"/>
      <c r="X161" s="66"/>
      <c r="AB161" s="66"/>
      <c r="AG161" s="66"/>
    </row>
    <row r="162" spans="4:33">
      <c r="D162" s="66"/>
      <c r="G162" s="66"/>
      <c r="V162" s="66"/>
      <c r="W162" s="66"/>
      <c r="X162" s="66"/>
      <c r="AB162" s="66"/>
      <c r="AG162" s="66"/>
    </row>
    <row r="163" spans="4:33">
      <c r="D163" s="66"/>
      <c r="G163" s="66"/>
      <c r="V163" s="66"/>
      <c r="W163" s="66"/>
      <c r="X163" s="66"/>
      <c r="AB163" s="66"/>
      <c r="AG163" s="66"/>
    </row>
    <row r="164" spans="4:33">
      <c r="D164" s="66"/>
      <c r="G164" s="66"/>
      <c r="V164" s="66"/>
      <c r="W164" s="66"/>
      <c r="X164" s="66"/>
      <c r="AB164" s="66"/>
      <c r="AG164" s="66"/>
    </row>
    <row r="165" spans="4:33">
      <c r="D165" s="66"/>
      <c r="G165" s="66"/>
      <c r="V165" s="66"/>
      <c r="W165" s="66"/>
      <c r="X165" s="66"/>
      <c r="AB165" s="66"/>
      <c r="AG165" s="66"/>
    </row>
    <row r="166" spans="4:33">
      <c r="D166" s="66"/>
      <c r="G166" s="66"/>
      <c r="V166" s="66"/>
      <c r="W166" s="66"/>
      <c r="X166" s="66"/>
      <c r="AB166" s="66"/>
      <c r="AG166" s="66"/>
    </row>
    <row r="167" spans="4:33">
      <c r="D167" s="66"/>
      <c r="G167" s="66"/>
      <c r="V167" s="66"/>
      <c r="W167" s="66"/>
      <c r="X167" s="66"/>
      <c r="AB167" s="66"/>
      <c r="AG167" s="66"/>
    </row>
    <row r="168" spans="4:33">
      <c r="D168" s="66"/>
      <c r="G168" s="66"/>
      <c r="V168" s="66"/>
      <c r="W168" s="66"/>
      <c r="X168" s="66"/>
      <c r="AB168" s="66"/>
      <c r="AG168" s="66"/>
    </row>
    <row r="169" spans="4:33">
      <c r="D169" s="66"/>
      <c r="G169" s="66"/>
      <c r="V169" s="66"/>
      <c r="W169" s="66"/>
      <c r="X169" s="66"/>
      <c r="AB169" s="66"/>
      <c r="AG169" s="66"/>
    </row>
    <row r="170" spans="4:33">
      <c r="D170" s="66"/>
      <c r="G170" s="66"/>
      <c r="V170" s="66"/>
      <c r="W170" s="66"/>
      <c r="X170" s="66"/>
      <c r="AB170" s="66"/>
      <c r="AG170" s="66"/>
    </row>
    <row r="171" spans="4:33">
      <c r="D171" s="66"/>
      <c r="G171" s="66"/>
      <c r="V171" s="66"/>
      <c r="W171" s="66"/>
      <c r="X171" s="66"/>
      <c r="AB171" s="66"/>
      <c r="AG171" s="66"/>
    </row>
    <row r="172" spans="4:33">
      <c r="D172" s="66"/>
      <c r="G172" s="66"/>
      <c r="V172" s="66"/>
      <c r="W172" s="66"/>
      <c r="X172" s="66"/>
      <c r="AB172" s="66"/>
      <c r="AG172" s="66"/>
    </row>
    <row r="173" spans="4:33">
      <c r="D173" s="66"/>
      <c r="G173" s="66"/>
      <c r="V173" s="66"/>
      <c r="W173" s="66"/>
      <c r="X173" s="66"/>
      <c r="AB173" s="66"/>
      <c r="AG173" s="66"/>
    </row>
    <row r="174" spans="4:33">
      <c r="D174" s="66"/>
      <c r="G174" s="66"/>
      <c r="V174" s="66"/>
      <c r="W174" s="66"/>
      <c r="X174" s="66"/>
      <c r="AB174" s="66"/>
      <c r="AG174" s="66"/>
    </row>
    <row r="175" spans="4:33">
      <c r="D175" s="66"/>
      <c r="G175" s="66"/>
      <c r="V175" s="66"/>
      <c r="W175" s="66"/>
      <c r="X175" s="66"/>
      <c r="AB175" s="66"/>
      <c r="AG175" s="66"/>
    </row>
    <row r="176" spans="4:33">
      <c r="D176" s="66"/>
      <c r="G176" s="66"/>
      <c r="V176" s="66"/>
      <c r="W176" s="66"/>
      <c r="X176" s="66"/>
      <c r="AB176" s="66"/>
      <c r="AG176" s="66"/>
    </row>
    <row r="177" spans="4:33">
      <c r="D177" s="66"/>
      <c r="G177" s="66"/>
      <c r="V177" s="66"/>
      <c r="W177" s="66"/>
      <c r="X177" s="66"/>
      <c r="AB177" s="66"/>
      <c r="AG177" s="66"/>
    </row>
    <row r="178" spans="4:33">
      <c r="D178" s="66"/>
      <c r="G178" s="66"/>
      <c r="V178" s="66"/>
      <c r="W178" s="66"/>
      <c r="X178" s="66"/>
      <c r="AB178" s="66"/>
      <c r="AG178" s="66"/>
    </row>
    <row r="179" spans="4:33">
      <c r="D179" s="66"/>
      <c r="G179" s="66"/>
      <c r="V179" s="66"/>
      <c r="W179" s="66"/>
      <c r="X179" s="66"/>
      <c r="AB179" s="66"/>
      <c r="AG179" s="66"/>
    </row>
    <row r="180" spans="4:33">
      <c r="D180" s="66"/>
      <c r="G180" s="66"/>
      <c r="V180" s="66"/>
      <c r="W180" s="66"/>
      <c r="X180" s="66"/>
      <c r="AB180" s="66"/>
      <c r="AG180" s="66"/>
    </row>
    <row r="181" spans="4:33">
      <c r="D181" s="66"/>
      <c r="G181" s="66"/>
      <c r="V181" s="66"/>
      <c r="W181" s="66"/>
      <c r="X181" s="66"/>
      <c r="AB181" s="66"/>
      <c r="AG181" s="66"/>
    </row>
    <row r="182" spans="4:33">
      <c r="D182" s="66"/>
      <c r="G182" s="66"/>
      <c r="V182" s="66"/>
      <c r="W182" s="66"/>
      <c r="X182" s="66"/>
      <c r="AB182" s="66"/>
      <c r="AG182" s="66"/>
    </row>
    <row r="183" spans="4:33">
      <c r="D183" s="66"/>
      <c r="G183" s="66"/>
      <c r="V183" s="66"/>
      <c r="W183" s="66"/>
      <c r="X183" s="66"/>
      <c r="AB183" s="66"/>
      <c r="AG183" s="66"/>
    </row>
    <row r="184" spans="4:33">
      <c r="D184" s="66"/>
      <c r="G184" s="66"/>
      <c r="V184" s="66"/>
      <c r="W184" s="66"/>
      <c r="X184" s="66"/>
      <c r="AB184" s="66"/>
      <c r="AG184" s="66"/>
    </row>
    <row r="185" spans="4:33">
      <c r="D185" s="66"/>
      <c r="G185" s="66"/>
      <c r="V185" s="66"/>
      <c r="W185" s="66"/>
      <c r="X185" s="66"/>
      <c r="AB185" s="66"/>
      <c r="AG185" s="66"/>
    </row>
    <row r="186" spans="4:33">
      <c r="D186" s="66"/>
      <c r="G186" s="66"/>
      <c r="V186" s="66"/>
      <c r="W186" s="66"/>
      <c r="X186" s="66"/>
      <c r="AB186" s="66"/>
      <c r="AG186" s="66"/>
    </row>
    <row r="187" spans="4:33">
      <c r="D187" s="66"/>
      <c r="G187" s="66"/>
      <c r="V187" s="66"/>
      <c r="W187" s="66"/>
      <c r="X187" s="66"/>
      <c r="AB187" s="66"/>
      <c r="AG187" s="66"/>
    </row>
    <row r="188" spans="4:33">
      <c r="D188" s="66"/>
      <c r="G188" s="66"/>
      <c r="V188" s="66"/>
      <c r="W188" s="66"/>
      <c r="X188" s="66"/>
      <c r="AB188" s="66"/>
      <c r="AG188" s="66"/>
    </row>
    <row r="189" spans="4:33">
      <c r="D189" s="66"/>
      <c r="G189" s="66"/>
      <c r="V189" s="66"/>
      <c r="W189" s="66"/>
      <c r="X189" s="66"/>
      <c r="AB189" s="66"/>
      <c r="AG189" s="66"/>
    </row>
    <row r="190" spans="4:33">
      <c r="D190" s="66"/>
      <c r="G190" s="66"/>
      <c r="V190" s="66"/>
      <c r="W190" s="66"/>
      <c r="X190" s="66"/>
      <c r="AB190" s="66"/>
      <c r="AG190" s="66"/>
    </row>
    <row r="191" spans="4:33">
      <c r="D191" s="66"/>
      <c r="G191" s="66"/>
      <c r="V191" s="66"/>
      <c r="W191" s="66"/>
      <c r="X191" s="66"/>
      <c r="AB191" s="66"/>
      <c r="AG191" s="66"/>
    </row>
    <row r="192" spans="4:33">
      <c r="D192" s="66"/>
      <c r="G192" s="66"/>
      <c r="V192" s="66"/>
      <c r="W192" s="66"/>
      <c r="X192" s="66"/>
      <c r="AB192" s="66"/>
      <c r="AG192" s="66"/>
    </row>
    <row r="193" spans="4:33">
      <c r="D193" s="66"/>
      <c r="G193" s="66"/>
      <c r="V193" s="66"/>
      <c r="W193" s="66"/>
      <c r="X193" s="66"/>
      <c r="AB193" s="66"/>
      <c r="AG193" s="66"/>
    </row>
    <row r="194" spans="4:33">
      <c r="D194" s="66"/>
      <c r="G194" s="66"/>
      <c r="V194" s="66"/>
      <c r="W194" s="66"/>
      <c r="X194" s="66"/>
      <c r="AB194" s="66"/>
      <c r="AG194" s="66"/>
    </row>
    <row r="195" spans="4:33">
      <c r="D195" s="66"/>
      <c r="G195" s="66"/>
      <c r="V195" s="66"/>
      <c r="W195" s="66"/>
      <c r="X195" s="66"/>
      <c r="AB195" s="66"/>
      <c r="AG195" s="66"/>
    </row>
    <row r="196" spans="4:33">
      <c r="D196" s="66"/>
      <c r="G196" s="66"/>
      <c r="V196" s="66"/>
      <c r="W196" s="66"/>
      <c r="X196" s="66"/>
      <c r="AB196" s="66"/>
      <c r="AG196" s="66"/>
    </row>
    <row r="197" spans="4:33">
      <c r="D197" s="66"/>
      <c r="G197" s="66"/>
      <c r="V197" s="66"/>
      <c r="W197" s="66"/>
      <c r="X197" s="66"/>
      <c r="AB197" s="66"/>
      <c r="AG197" s="66"/>
    </row>
    <row r="198" spans="4:33">
      <c r="D198" s="66"/>
      <c r="G198" s="66"/>
      <c r="V198" s="66"/>
      <c r="W198" s="66"/>
      <c r="X198" s="66"/>
      <c r="AB198" s="66"/>
      <c r="AG198" s="66"/>
    </row>
    <row r="199" spans="4:33">
      <c r="D199" s="66"/>
      <c r="G199" s="66"/>
      <c r="V199" s="66"/>
      <c r="W199" s="66"/>
      <c r="X199" s="66"/>
      <c r="AB199" s="66"/>
      <c r="AG199" s="66"/>
    </row>
    <row r="200" spans="4:33">
      <c r="D200" s="66"/>
      <c r="G200" s="66"/>
      <c r="V200" s="66"/>
      <c r="W200" s="66"/>
      <c r="X200" s="66"/>
      <c r="AB200" s="66"/>
      <c r="AG200" s="66"/>
    </row>
    <row r="201" spans="4:33">
      <c r="D201" s="66"/>
      <c r="G201" s="66"/>
      <c r="V201" s="66"/>
      <c r="W201" s="66"/>
      <c r="X201" s="66"/>
      <c r="AB201" s="66"/>
      <c r="AG201" s="66"/>
    </row>
    <row r="202" spans="4:33">
      <c r="D202" s="66"/>
      <c r="G202" s="66"/>
      <c r="V202" s="66"/>
      <c r="W202" s="66"/>
      <c r="X202" s="66"/>
      <c r="AB202" s="66"/>
      <c r="AG202" s="66"/>
    </row>
    <row r="203" spans="4:33">
      <c r="D203" s="66"/>
      <c r="G203" s="66"/>
      <c r="V203" s="66"/>
      <c r="W203" s="66"/>
      <c r="X203" s="66"/>
      <c r="AB203" s="66"/>
      <c r="AG203" s="66"/>
    </row>
    <row r="204" spans="4:33">
      <c r="D204" s="66"/>
      <c r="G204" s="66"/>
      <c r="V204" s="66"/>
      <c r="W204" s="66"/>
      <c r="X204" s="66"/>
      <c r="AB204" s="66"/>
      <c r="AG204" s="66"/>
    </row>
    <row r="205" spans="4:33">
      <c r="D205" s="66"/>
      <c r="G205" s="66"/>
      <c r="V205" s="66"/>
      <c r="W205" s="66"/>
      <c r="X205" s="66"/>
      <c r="AB205" s="66"/>
      <c r="AG205" s="66"/>
    </row>
    <row r="206" spans="4:33">
      <c r="D206" s="66"/>
      <c r="G206" s="66"/>
      <c r="V206" s="66"/>
      <c r="W206" s="66"/>
      <c r="X206" s="66"/>
      <c r="AB206" s="66"/>
      <c r="AG206" s="66"/>
    </row>
    <row r="207" spans="4:33">
      <c r="D207" s="66"/>
      <c r="G207" s="66"/>
      <c r="V207" s="66"/>
      <c r="W207" s="66"/>
      <c r="X207" s="66"/>
      <c r="AB207" s="66"/>
      <c r="AG207" s="66"/>
    </row>
    <row r="208" spans="4:33">
      <c r="D208" s="66"/>
      <c r="G208" s="66"/>
      <c r="V208" s="66"/>
      <c r="W208" s="66"/>
      <c r="X208" s="66"/>
      <c r="AB208" s="66"/>
      <c r="AG208" s="66"/>
    </row>
    <row r="209" spans="4:33">
      <c r="D209" s="66"/>
      <c r="G209" s="66"/>
      <c r="V209" s="66"/>
      <c r="W209" s="66"/>
      <c r="X209" s="66"/>
      <c r="AB209" s="66"/>
      <c r="AG209" s="66"/>
    </row>
    <row r="210" spans="4:33">
      <c r="D210" s="66"/>
      <c r="G210" s="66"/>
      <c r="V210" s="66"/>
      <c r="W210" s="66"/>
      <c r="X210" s="66"/>
      <c r="AB210" s="66"/>
      <c r="AG210" s="66"/>
    </row>
    <row r="211" spans="4:33">
      <c r="D211" s="66"/>
      <c r="G211" s="66"/>
      <c r="V211" s="66"/>
      <c r="W211" s="66"/>
      <c r="X211" s="66"/>
      <c r="AB211" s="66"/>
      <c r="AG211" s="66"/>
    </row>
    <row r="212" spans="4:33">
      <c r="D212" s="66"/>
      <c r="G212" s="66"/>
      <c r="V212" s="66"/>
      <c r="W212" s="66"/>
      <c r="X212" s="66"/>
      <c r="AB212" s="66"/>
      <c r="AG212" s="66"/>
    </row>
    <row r="213" spans="4:33">
      <c r="D213" s="66"/>
      <c r="G213" s="66"/>
      <c r="V213" s="66"/>
      <c r="W213" s="66"/>
      <c r="X213" s="66"/>
      <c r="AB213" s="66"/>
      <c r="AG213" s="66"/>
    </row>
    <row r="214" spans="4:33">
      <c r="D214" s="66"/>
      <c r="G214" s="66"/>
      <c r="V214" s="66"/>
      <c r="W214" s="66"/>
      <c r="X214" s="66"/>
      <c r="AB214" s="66"/>
      <c r="AG214" s="66"/>
    </row>
    <row r="215" spans="4:33">
      <c r="D215" s="66"/>
      <c r="G215" s="66"/>
      <c r="V215" s="66"/>
      <c r="W215" s="66"/>
      <c r="X215" s="66"/>
      <c r="AB215" s="66"/>
      <c r="AG215" s="66"/>
    </row>
    <row r="216" spans="4:33">
      <c r="D216" s="66"/>
      <c r="G216" s="66"/>
      <c r="V216" s="66"/>
      <c r="W216" s="66"/>
      <c r="X216" s="66"/>
      <c r="AB216" s="66"/>
      <c r="AG216" s="66"/>
    </row>
    <row r="217" spans="4:33">
      <c r="D217" s="66"/>
      <c r="G217" s="66"/>
      <c r="V217" s="66"/>
      <c r="W217" s="66"/>
      <c r="X217" s="66"/>
      <c r="AB217" s="66"/>
      <c r="AG217" s="66"/>
    </row>
    <row r="218" spans="4:33">
      <c r="D218" s="66"/>
      <c r="G218" s="66"/>
      <c r="V218" s="66"/>
      <c r="W218" s="66"/>
      <c r="X218" s="66"/>
      <c r="AB218" s="66"/>
      <c r="AG218" s="66"/>
    </row>
    <row r="219" spans="4:33">
      <c r="D219" s="66"/>
      <c r="G219" s="66"/>
      <c r="V219" s="66"/>
      <c r="W219" s="66"/>
      <c r="X219" s="66"/>
      <c r="AB219" s="66"/>
      <c r="AG219" s="66"/>
    </row>
    <row r="220" spans="4:33">
      <c r="D220" s="66"/>
      <c r="G220" s="66"/>
      <c r="V220" s="66"/>
      <c r="W220" s="66"/>
      <c r="X220" s="66"/>
      <c r="AB220" s="66"/>
      <c r="AG220" s="66"/>
    </row>
    <row r="221" spans="4:33">
      <c r="D221" s="66"/>
      <c r="G221" s="66"/>
      <c r="V221" s="66"/>
      <c r="W221" s="66"/>
      <c r="X221" s="66"/>
      <c r="AB221" s="66"/>
      <c r="AG221" s="66"/>
    </row>
    <row r="222" spans="4:33">
      <c r="D222" s="66"/>
      <c r="G222" s="66"/>
      <c r="V222" s="66"/>
      <c r="W222" s="66"/>
      <c r="X222" s="66"/>
      <c r="AB222" s="66"/>
      <c r="AG222" s="66"/>
    </row>
    <row r="223" spans="4:33">
      <c r="D223" s="66"/>
      <c r="G223" s="66"/>
      <c r="V223" s="66"/>
      <c r="W223" s="66"/>
      <c r="X223" s="66"/>
      <c r="AB223" s="66"/>
      <c r="AG223" s="66"/>
    </row>
    <row r="224" spans="4:33">
      <c r="D224" s="66"/>
      <c r="G224" s="66"/>
      <c r="V224" s="66"/>
      <c r="W224" s="66"/>
      <c r="X224" s="66"/>
      <c r="AB224" s="66"/>
      <c r="AG224" s="66"/>
    </row>
    <row r="225" spans="4:33">
      <c r="D225" s="66"/>
      <c r="G225" s="66"/>
      <c r="V225" s="66"/>
      <c r="W225" s="66"/>
      <c r="X225" s="66"/>
      <c r="AB225" s="66"/>
      <c r="AG225" s="66"/>
    </row>
    <row r="226" spans="4:33">
      <c r="D226" s="66"/>
      <c r="G226" s="66"/>
      <c r="V226" s="66"/>
      <c r="W226" s="66"/>
      <c r="X226" s="66"/>
      <c r="AB226" s="66"/>
      <c r="AG226" s="66"/>
    </row>
    <row r="227" spans="4:33">
      <c r="D227" s="66"/>
      <c r="G227" s="66"/>
      <c r="V227" s="66"/>
      <c r="W227" s="66"/>
      <c r="X227" s="66"/>
      <c r="AB227" s="66"/>
      <c r="AG227" s="66"/>
    </row>
    <row r="228" spans="4:33">
      <c r="D228" s="66"/>
      <c r="G228" s="66"/>
      <c r="V228" s="66"/>
      <c r="W228" s="66"/>
      <c r="X228" s="66"/>
      <c r="AB228" s="66"/>
      <c r="AG228" s="66"/>
    </row>
    <row r="229" spans="4:33">
      <c r="D229" s="66"/>
      <c r="G229" s="66"/>
      <c r="V229" s="66"/>
      <c r="W229" s="66"/>
      <c r="X229" s="66"/>
      <c r="AB229" s="66"/>
      <c r="AG229" s="66"/>
    </row>
    <row r="230" spans="4:33">
      <c r="D230" s="66"/>
      <c r="G230" s="66"/>
      <c r="V230" s="66"/>
      <c r="W230" s="66"/>
      <c r="X230" s="66"/>
      <c r="AB230" s="66"/>
      <c r="AG230" s="66"/>
    </row>
    <row r="231" spans="4:33">
      <c r="D231" s="66"/>
      <c r="G231" s="66"/>
      <c r="V231" s="66"/>
      <c r="W231" s="66"/>
      <c r="X231" s="66"/>
      <c r="AB231" s="66"/>
      <c r="AG231" s="66"/>
    </row>
    <row r="232" spans="4:33">
      <c r="D232" s="66"/>
      <c r="G232" s="66"/>
      <c r="V232" s="66"/>
      <c r="W232" s="66"/>
      <c r="X232" s="66"/>
      <c r="AB232" s="66"/>
      <c r="AG232" s="66"/>
    </row>
    <row r="233" spans="4:33">
      <c r="D233" s="66"/>
      <c r="G233" s="66"/>
      <c r="V233" s="66"/>
      <c r="W233" s="66"/>
      <c r="X233" s="66"/>
      <c r="AB233" s="66"/>
      <c r="AG233" s="66"/>
    </row>
    <row r="234" spans="4:33">
      <c r="D234" s="66"/>
      <c r="G234" s="66"/>
      <c r="V234" s="66"/>
      <c r="W234" s="66"/>
      <c r="X234" s="66"/>
      <c r="AB234" s="66"/>
      <c r="AG234" s="66"/>
    </row>
    <row r="235" spans="4:33">
      <c r="D235" s="66"/>
      <c r="G235" s="66"/>
      <c r="V235" s="66"/>
      <c r="W235" s="66"/>
      <c r="X235" s="66"/>
      <c r="AB235" s="66"/>
      <c r="AG235" s="66"/>
    </row>
    <row r="236" spans="4:33">
      <c r="D236" s="66"/>
      <c r="G236" s="66"/>
      <c r="V236" s="66"/>
      <c r="W236" s="66"/>
      <c r="X236" s="66"/>
      <c r="AB236" s="66"/>
      <c r="AG236" s="66"/>
    </row>
    <row r="237" spans="4:33">
      <c r="D237" s="66"/>
      <c r="G237" s="66"/>
      <c r="V237" s="66"/>
      <c r="W237" s="66"/>
      <c r="X237" s="66"/>
      <c r="AB237" s="66"/>
      <c r="AG237" s="66"/>
    </row>
    <row r="238" spans="4:33">
      <c r="D238" s="66"/>
      <c r="G238" s="66"/>
      <c r="V238" s="66"/>
      <c r="W238" s="66"/>
      <c r="X238" s="66"/>
      <c r="AB238" s="66"/>
      <c r="AG238" s="66"/>
    </row>
    <row r="239" spans="4:33">
      <c r="D239" s="66"/>
      <c r="G239" s="66"/>
      <c r="V239" s="66"/>
      <c r="W239" s="66"/>
      <c r="X239" s="66"/>
      <c r="AB239" s="66"/>
      <c r="AG239" s="66"/>
    </row>
    <row r="240" spans="4:33">
      <c r="D240" s="66"/>
      <c r="G240" s="66"/>
      <c r="V240" s="66"/>
      <c r="W240" s="66"/>
      <c r="X240" s="66"/>
      <c r="AB240" s="66"/>
      <c r="AG240" s="66"/>
    </row>
    <row r="241" spans="4:33">
      <c r="D241" s="66"/>
      <c r="G241" s="66"/>
      <c r="V241" s="66"/>
      <c r="W241" s="66"/>
      <c r="X241" s="66"/>
      <c r="AB241" s="66"/>
      <c r="AG241" s="66"/>
    </row>
    <row r="242" spans="4:33">
      <c r="D242" s="66"/>
      <c r="G242" s="66"/>
      <c r="V242" s="66"/>
      <c r="W242" s="66"/>
      <c r="X242" s="66"/>
      <c r="AB242" s="66"/>
      <c r="AG242" s="66"/>
    </row>
    <row r="243" spans="4:33">
      <c r="D243" s="66"/>
      <c r="G243" s="66"/>
      <c r="V243" s="66"/>
      <c r="W243" s="66"/>
      <c r="X243" s="66"/>
      <c r="AB243" s="66"/>
      <c r="AG243" s="66"/>
    </row>
    <row r="244" spans="4:33">
      <c r="D244" s="66"/>
      <c r="G244" s="66"/>
      <c r="V244" s="66"/>
      <c r="W244" s="66"/>
      <c r="X244" s="66"/>
      <c r="AB244" s="66"/>
      <c r="AG244" s="66"/>
    </row>
    <row r="245" spans="4:33">
      <c r="D245" s="66"/>
      <c r="G245" s="66"/>
      <c r="V245" s="66"/>
      <c r="W245" s="66"/>
      <c r="X245" s="66"/>
      <c r="AB245" s="66"/>
      <c r="AG245" s="66"/>
    </row>
    <row r="246" spans="4:33">
      <c r="D246" s="66"/>
      <c r="G246" s="66"/>
      <c r="V246" s="66"/>
      <c r="W246" s="66"/>
      <c r="X246" s="66"/>
      <c r="AB246" s="66"/>
      <c r="AG246" s="66"/>
    </row>
    <row r="247" spans="4:33">
      <c r="D247" s="66"/>
      <c r="G247" s="66"/>
      <c r="V247" s="66"/>
      <c r="W247" s="66"/>
      <c r="X247" s="66"/>
      <c r="AB247" s="66"/>
      <c r="AG247" s="66"/>
    </row>
    <row r="248" spans="4:33">
      <c r="D248" s="66"/>
      <c r="G248" s="66"/>
      <c r="V248" s="66"/>
      <c r="W248" s="66"/>
      <c r="X248" s="66"/>
      <c r="AB248" s="66"/>
      <c r="AG248" s="66"/>
    </row>
    <row r="249" spans="4:33">
      <c r="D249" s="66"/>
      <c r="G249" s="66"/>
      <c r="V249" s="66"/>
      <c r="W249" s="66"/>
      <c r="X249" s="66"/>
      <c r="AB249" s="66"/>
      <c r="AG249" s="66"/>
    </row>
    <row r="250" spans="4:33">
      <c r="D250" s="66"/>
      <c r="G250" s="66"/>
      <c r="V250" s="66"/>
      <c r="W250" s="66"/>
      <c r="X250" s="66"/>
      <c r="AB250" s="66"/>
      <c r="AG250" s="66"/>
    </row>
    <row r="251" spans="4:33">
      <c r="D251" s="66"/>
      <c r="G251" s="66"/>
      <c r="V251" s="66"/>
      <c r="W251" s="66"/>
      <c r="X251" s="66"/>
      <c r="AB251" s="66"/>
      <c r="AG251" s="66"/>
    </row>
    <row r="252" spans="4:33">
      <c r="D252" s="66"/>
      <c r="G252" s="66"/>
      <c r="V252" s="66"/>
      <c r="W252" s="66"/>
      <c r="X252" s="66"/>
      <c r="AB252" s="66"/>
      <c r="AG252" s="66"/>
    </row>
    <row r="253" spans="4:33">
      <c r="D253" s="66"/>
      <c r="G253" s="66"/>
      <c r="V253" s="66"/>
      <c r="W253" s="66"/>
      <c r="X253" s="66"/>
      <c r="AB253" s="66"/>
      <c r="AG253" s="66"/>
    </row>
    <row r="254" spans="4:33">
      <c r="D254" s="66"/>
      <c r="G254" s="66"/>
      <c r="V254" s="66"/>
      <c r="W254" s="66"/>
      <c r="X254" s="66"/>
      <c r="AB254" s="66"/>
      <c r="AG254" s="66"/>
    </row>
    <row r="255" spans="4:33">
      <c r="D255" s="66"/>
      <c r="G255" s="66"/>
      <c r="V255" s="66"/>
      <c r="W255" s="66"/>
      <c r="X255" s="66"/>
      <c r="AB255" s="66"/>
      <c r="AG255" s="66"/>
    </row>
    <row r="256" spans="4:33">
      <c r="D256" s="66"/>
      <c r="G256" s="66"/>
      <c r="V256" s="66"/>
      <c r="W256" s="66"/>
      <c r="X256" s="66"/>
      <c r="AB256" s="66"/>
      <c r="AG256" s="66"/>
    </row>
    <row r="257" spans="4:33">
      <c r="D257" s="66"/>
      <c r="G257" s="66"/>
      <c r="V257" s="66"/>
      <c r="W257" s="66"/>
      <c r="X257" s="66"/>
      <c r="AB257" s="66"/>
      <c r="AG257" s="66"/>
    </row>
    <row r="258" spans="4:33">
      <c r="D258" s="66"/>
      <c r="G258" s="66"/>
      <c r="V258" s="66"/>
      <c r="W258" s="66"/>
      <c r="X258" s="66"/>
      <c r="AB258" s="66"/>
      <c r="AG258" s="66"/>
    </row>
    <row r="259" spans="4:33">
      <c r="D259" s="66"/>
      <c r="G259" s="66"/>
      <c r="V259" s="66"/>
      <c r="W259" s="66"/>
      <c r="X259" s="66"/>
      <c r="AB259" s="66"/>
      <c r="AG259" s="66"/>
    </row>
    <row r="260" spans="4:33">
      <c r="D260" s="66"/>
      <c r="G260" s="66"/>
      <c r="V260" s="66"/>
      <c r="W260" s="66"/>
      <c r="X260" s="66"/>
      <c r="AB260" s="66"/>
      <c r="AG260" s="66"/>
    </row>
    <row r="261" spans="4:33">
      <c r="D261" s="66"/>
      <c r="G261" s="66"/>
      <c r="V261" s="66"/>
      <c r="W261" s="66"/>
      <c r="X261" s="66"/>
      <c r="AB261" s="66"/>
      <c r="AG261" s="66"/>
    </row>
    <row r="262" spans="4:33">
      <c r="D262" s="66"/>
      <c r="G262" s="66"/>
      <c r="V262" s="66"/>
      <c r="W262" s="66"/>
      <c r="X262" s="66"/>
      <c r="AB262" s="66"/>
      <c r="AG262" s="66"/>
    </row>
    <row r="263" spans="4:33">
      <c r="D263" s="66"/>
      <c r="G263" s="66"/>
      <c r="V263" s="66"/>
      <c r="W263" s="66"/>
      <c r="X263" s="66"/>
      <c r="AB263" s="66"/>
      <c r="AG263" s="66"/>
    </row>
    <row r="264" spans="4:33">
      <c r="D264" s="66"/>
      <c r="G264" s="66"/>
      <c r="V264" s="66"/>
      <c r="W264" s="66"/>
      <c r="X264" s="66"/>
      <c r="AB264" s="66"/>
      <c r="AG264" s="66"/>
    </row>
    <row r="265" spans="4:33">
      <c r="D265" s="66"/>
      <c r="G265" s="66"/>
      <c r="V265" s="66"/>
      <c r="W265" s="66"/>
      <c r="X265" s="66"/>
      <c r="AB265" s="66"/>
      <c r="AG265" s="66"/>
    </row>
    <row r="266" spans="4:33">
      <c r="D266" s="66"/>
      <c r="G266" s="66"/>
      <c r="V266" s="66"/>
      <c r="W266" s="66"/>
      <c r="X266" s="66"/>
      <c r="AB266" s="66"/>
      <c r="AG266" s="66"/>
    </row>
    <row r="267" spans="4:33">
      <c r="D267" s="66"/>
      <c r="G267" s="66"/>
      <c r="V267" s="66"/>
      <c r="W267" s="66"/>
      <c r="X267" s="66"/>
      <c r="AB267" s="66"/>
      <c r="AG267" s="66"/>
    </row>
    <row r="268" spans="4:33">
      <c r="D268" s="66"/>
      <c r="G268" s="66"/>
      <c r="V268" s="66"/>
      <c r="W268" s="66"/>
      <c r="X268" s="66"/>
      <c r="AB268" s="66"/>
      <c r="AG268" s="66"/>
    </row>
    <row r="269" spans="4:33">
      <c r="D269" s="66"/>
      <c r="G269" s="66"/>
      <c r="V269" s="66"/>
      <c r="W269" s="66"/>
      <c r="X269" s="66"/>
      <c r="AB269" s="66"/>
      <c r="AG269" s="66"/>
    </row>
    <row r="270" spans="4:33">
      <c r="D270" s="66"/>
      <c r="G270" s="66"/>
      <c r="V270" s="66"/>
      <c r="W270" s="66"/>
      <c r="X270" s="66"/>
      <c r="AB270" s="66"/>
      <c r="AG270" s="66"/>
    </row>
    <row r="271" spans="4:33">
      <c r="D271" s="66"/>
      <c r="G271" s="66"/>
      <c r="V271" s="66"/>
      <c r="W271" s="66"/>
      <c r="X271" s="66"/>
      <c r="AB271" s="66"/>
      <c r="AG271" s="66"/>
    </row>
    <row r="272" spans="4:33">
      <c r="D272" s="66"/>
      <c r="G272" s="66"/>
      <c r="V272" s="66"/>
      <c r="W272" s="66"/>
      <c r="X272" s="66"/>
      <c r="AB272" s="66"/>
      <c r="AG272" s="66"/>
    </row>
    <row r="273" spans="4:33">
      <c r="D273" s="66"/>
      <c r="G273" s="66"/>
      <c r="V273" s="66"/>
      <c r="W273" s="66"/>
      <c r="X273" s="66"/>
      <c r="AB273" s="66"/>
      <c r="AG273" s="66"/>
    </row>
    <row r="274" spans="4:33">
      <c r="D274" s="66"/>
      <c r="G274" s="66"/>
      <c r="V274" s="66"/>
      <c r="W274" s="66"/>
      <c r="X274" s="66"/>
      <c r="AB274" s="66"/>
      <c r="AG274" s="66"/>
    </row>
    <row r="275" spans="4:33">
      <c r="D275" s="66"/>
      <c r="G275" s="66"/>
      <c r="V275" s="66"/>
      <c r="W275" s="66"/>
      <c r="X275" s="66"/>
      <c r="AB275" s="66"/>
      <c r="AG275" s="66"/>
    </row>
    <row r="276" spans="4:33">
      <c r="D276" s="66"/>
      <c r="G276" s="66"/>
      <c r="V276" s="66"/>
      <c r="W276" s="66"/>
      <c r="X276" s="66"/>
      <c r="AB276" s="66"/>
      <c r="AG276" s="66"/>
    </row>
    <row r="277" spans="4:33">
      <c r="D277" s="66"/>
      <c r="G277" s="66"/>
      <c r="V277" s="66"/>
      <c r="W277" s="66"/>
      <c r="X277" s="66"/>
      <c r="AB277" s="66"/>
      <c r="AG277" s="66"/>
    </row>
    <row r="278" spans="4:33">
      <c r="D278" s="66"/>
      <c r="G278" s="66"/>
      <c r="V278" s="66"/>
      <c r="W278" s="66"/>
      <c r="X278" s="66"/>
      <c r="AB278" s="66"/>
      <c r="AG278" s="66"/>
    </row>
    <row r="279" spans="4:33">
      <c r="D279" s="66"/>
      <c r="G279" s="66"/>
      <c r="V279" s="66"/>
      <c r="W279" s="66"/>
      <c r="X279" s="66"/>
      <c r="AB279" s="66"/>
      <c r="AG279" s="66"/>
    </row>
    <row r="280" spans="4:33">
      <c r="D280" s="66"/>
      <c r="G280" s="66"/>
      <c r="V280" s="66"/>
      <c r="W280" s="66"/>
      <c r="X280" s="66"/>
      <c r="AB280" s="66"/>
      <c r="AG280" s="66"/>
    </row>
    <row r="281" spans="4:33">
      <c r="D281" s="66"/>
      <c r="G281" s="66"/>
      <c r="V281" s="66"/>
      <c r="W281" s="66"/>
      <c r="X281" s="66"/>
      <c r="AB281" s="66"/>
      <c r="AG281" s="66"/>
    </row>
    <row r="282" spans="4:33">
      <c r="D282" s="66"/>
      <c r="G282" s="66"/>
      <c r="V282" s="66"/>
      <c r="W282" s="66"/>
      <c r="X282" s="66"/>
      <c r="AB282" s="66"/>
      <c r="AG282" s="66"/>
    </row>
    <row r="283" spans="4:33">
      <c r="D283" s="66"/>
      <c r="G283" s="66"/>
      <c r="V283" s="66"/>
      <c r="W283" s="66"/>
      <c r="X283" s="66"/>
      <c r="AB283" s="66"/>
      <c r="AG283" s="66"/>
    </row>
    <row r="284" spans="4:33">
      <c r="D284" s="66"/>
      <c r="G284" s="66"/>
      <c r="V284" s="66"/>
      <c r="W284" s="66"/>
      <c r="X284" s="66"/>
      <c r="AB284" s="66"/>
      <c r="AG284" s="66"/>
    </row>
    <row r="285" spans="4:33">
      <c r="D285" s="66"/>
      <c r="G285" s="66"/>
      <c r="V285" s="66"/>
      <c r="W285" s="66"/>
      <c r="X285" s="66"/>
      <c r="AB285" s="66"/>
      <c r="AG285" s="66"/>
    </row>
    <row r="286" spans="4:33">
      <c r="D286" s="66"/>
      <c r="G286" s="66"/>
      <c r="V286" s="66"/>
      <c r="W286" s="66"/>
      <c r="X286" s="66"/>
      <c r="AB286" s="66"/>
      <c r="AG286" s="66"/>
    </row>
    <row r="287" spans="4:33">
      <c r="D287" s="66"/>
      <c r="G287" s="66"/>
      <c r="V287" s="66"/>
      <c r="W287" s="66"/>
      <c r="X287" s="66"/>
      <c r="AB287" s="66"/>
      <c r="AG287" s="66"/>
    </row>
    <row r="288" spans="4:33">
      <c r="D288" s="66"/>
      <c r="G288" s="66"/>
      <c r="V288" s="66"/>
      <c r="W288" s="66"/>
      <c r="X288" s="66"/>
      <c r="AB288" s="66"/>
      <c r="AG288" s="66"/>
    </row>
    <row r="289" spans="4:33">
      <c r="D289" s="66"/>
      <c r="G289" s="66"/>
      <c r="V289" s="66"/>
      <c r="W289" s="66"/>
      <c r="X289" s="66"/>
      <c r="AB289" s="66"/>
      <c r="AG289" s="66"/>
    </row>
    <row r="290" spans="4:33">
      <c r="D290" s="66"/>
      <c r="G290" s="66"/>
      <c r="V290" s="66"/>
      <c r="W290" s="66"/>
      <c r="X290" s="66"/>
      <c r="AB290" s="66"/>
      <c r="AG290" s="66"/>
    </row>
    <row r="291" spans="4:33">
      <c r="D291" s="66"/>
      <c r="G291" s="66"/>
      <c r="V291" s="66"/>
      <c r="W291" s="66"/>
      <c r="X291" s="66"/>
      <c r="AB291" s="66"/>
      <c r="AG291" s="66"/>
    </row>
    <row r="292" spans="4:33">
      <c r="D292" s="66"/>
      <c r="G292" s="66"/>
      <c r="V292" s="66"/>
      <c r="W292" s="66"/>
      <c r="X292" s="66"/>
      <c r="AB292" s="66"/>
      <c r="AG292" s="66"/>
    </row>
    <row r="293" spans="4:33">
      <c r="D293" s="66"/>
      <c r="G293" s="66"/>
      <c r="V293" s="66"/>
      <c r="W293" s="66"/>
      <c r="X293" s="66"/>
      <c r="AB293" s="66"/>
      <c r="AG293" s="66"/>
    </row>
    <row r="294" spans="4:33">
      <c r="D294" s="66"/>
      <c r="G294" s="66"/>
      <c r="V294" s="66"/>
      <c r="W294" s="66"/>
      <c r="X294" s="66"/>
      <c r="AB294" s="66"/>
      <c r="AG294" s="66"/>
    </row>
    <row r="295" spans="4:33">
      <c r="D295" s="66"/>
      <c r="G295" s="66"/>
      <c r="V295" s="66"/>
      <c r="W295" s="66"/>
      <c r="X295" s="66"/>
      <c r="AB295" s="66"/>
      <c r="AG295" s="66"/>
    </row>
    <row r="296" spans="4:33">
      <c r="D296" s="66"/>
      <c r="G296" s="66"/>
      <c r="V296" s="66"/>
      <c r="W296" s="66"/>
      <c r="X296" s="66"/>
      <c r="AB296" s="66"/>
      <c r="AG296" s="66"/>
    </row>
    <row r="297" spans="4:33">
      <c r="D297" s="66"/>
      <c r="G297" s="66"/>
      <c r="V297" s="66"/>
      <c r="W297" s="66"/>
      <c r="X297" s="66"/>
      <c r="AB297" s="66"/>
      <c r="AG297" s="66"/>
    </row>
    <row r="298" spans="4:33">
      <c r="D298" s="66"/>
      <c r="G298" s="66"/>
      <c r="V298" s="66"/>
      <c r="W298" s="66"/>
      <c r="X298" s="66"/>
      <c r="AB298" s="66"/>
      <c r="AG298" s="66"/>
    </row>
    <row r="299" spans="4:33">
      <c r="D299" s="66"/>
      <c r="G299" s="66"/>
      <c r="V299" s="66"/>
      <c r="W299" s="66"/>
      <c r="X299" s="66"/>
      <c r="AB299" s="66"/>
      <c r="AG299" s="66"/>
    </row>
    <row r="300" spans="4:33">
      <c r="D300" s="66"/>
      <c r="G300" s="66"/>
      <c r="V300" s="66"/>
      <c r="W300" s="66"/>
      <c r="X300" s="66"/>
      <c r="AB300" s="66"/>
      <c r="AG300" s="66"/>
    </row>
    <row r="301" spans="4:33">
      <c r="D301" s="66"/>
      <c r="G301" s="66"/>
      <c r="V301" s="66"/>
      <c r="W301" s="66"/>
      <c r="X301" s="66"/>
      <c r="AB301" s="66"/>
      <c r="AG301" s="66"/>
    </row>
    <row r="302" spans="4:33">
      <c r="D302" s="66"/>
      <c r="G302" s="66"/>
      <c r="V302" s="66"/>
      <c r="W302" s="66"/>
      <c r="X302" s="66"/>
      <c r="AB302" s="66"/>
      <c r="AG302" s="66"/>
    </row>
    <row r="303" spans="4:33">
      <c r="D303" s="66"/>
      <c r="G303" s="66"/>
      <c r="V303" s="66"/>
      <c r="W303" s="66"/>
      <c r="X303" s="66"/>
      <c r="AB303" s="66"/>
      <c r="AG303" s="66"/>
    </row>
    <row r="304" spans="4:33">
      <c r="D304" s="66"/>
      <c r="G304" s="66"/>
      <c r="V304" s="66"/>
      <c r="W304" s="66"/>
      <c r="X304" s="66"/>
      <c r="AB304" s="66"/>
      <c r="AG304" s="66"/>
    </row>
    <row r="305" spans="4:33">
      <c r="D305" s="66"/>
      <c r="G305" s="66"/>
      <c r="V305" s="66"/>
      <c r="W305" s="66"/>
      <c r="X305" s="66"/>
      <c r="AB305" s="66"/>
      <c r="AG305" s="66"/>
    </row>
    <row r="306" spans="4:33">
      <c r="D306" s="66"/>
      <c r="G306" s="66"/>
      <c r="V306" s="66"/>
      <c r="W306" s="66"/>
      <c r="X306" s="66"/>
      <c r="AB306" s="66"/>
      <c r="AG306" s="66"/>
    </row>
    <row r="307" spans="4:33">
      <c r="D307" s="66"/>
      <c r="G307" s="66"/>
      <c r="V307" s="66"/>
      <c r="W307" s="66"/>
      <c r="X307" s="66"/>
      <c r="AB307" s="66"/>
      <c r="AG307" s="66"/>
    </row>
    <row r="308" spans="4:33">
      <c r="D308" s="66"/>
      <c r="G308" s="66"/>
      <c r="V308" s="66"/>
      <c r="W308" s="66"/>
      <c r="X308" s="66"/>
      <c r="AB308" s="66"/>
      <c r="AG308" s="66"/>
    </row>
    <row r="309" spans="4:33">
      <c r="D309" s="66"/>
      <c r="G309" s="66"/>
      <c r="V309" s="66"/>
      <c r="W309" s="66"/>
      <c r="X309" s="66"/>
      <c r="AB309" s="66"/>
      <c r="AG309" s="66"/>
    </row>
    <row r="310" spans="4:33">
      <c r="D310" s="66"/>
      <c r="G310" s="66"/>
      <c r="V310" s="66"/>
      <c r="W310" s="66"/>
      <c r="X310" s="66"/>
      <c r="AB310" s="66"/>
      <c r="AG310" s="66"/>
    </row>
    <row r="311" spans="4:33">
      <c r="D311" s="66"/>
      <c r="G311" s="66"/>
      <c r="V311" s="66"/>
      <c r="W311" s="66"/>
      <c r="X311" s="66"/>
      <c r="AB311" s="66"/>
      <c r="AG311" s="66"/>
    </row>
    <row r="312" spans="4:33">
      <c r="D312" s="66"/>
      <c r="G312" s="66"/>
      <c r="V312" s="66"/>
      <c r="W312" s="66"/>
      <c r="X312" s="66"/>
      <c r="AB312" s="66"/>
      <c r="AG312" s="66"/>
    </row>
    <row r="313" spans="4:33">
      <c r="D313" s="66"/>
      <c r="G313" s="66"/>
      <c r="V313" s="66"/>
      <c r="W313" s="66"/>
      <c r="X313" s="66"/>
      <c r="AB313" s="66"/>
      <c r="AG313" s="66"/>
    </row>
    <row r="314" spans="4:33">
      <c r="D314" s="66"/>
      <c r="G314" s="66"/>
      <c r="V314" s="66"/>
      <c r="W314" s="66"/>
      <c r="X314" s="66"/>
      <c r="AB314" s="66"/>
      <c r="AG314" s="66"/>
    </row>
    <row r="315" spans="4:33">
      <c r="D315" s="66"/>
      <c r="G315" s="66"/>
      <c r="V315" s="66"/>
      <c r="W315" s="66"/>
      <c r="X315" s="66"/>
      <c r="AB315" s="66"/>
      <c r="AG315" s="66"/>
    </row>
    <row r="316" spans="4:33">
      <c r="D316" s="66"/>
      <c r="G316" s="66"/>
      <c r="V316" s="66"/>
      <c r="W316" s="66"/>
      <c r="X316" s="66"/>
      <c r="AB316" s="66"/>
      <c r="AG316" s="66"/>
    </row>
    <row r="317" spans="4:33">
      <c r="D317" s="66"/>
      <c r="G317" s="66"/>
      <c r="V317" s="66"/>
      <c r="W317" s="66"/>
      <c r="X317" s="66"/>
      <c r="AB317" s="66"/>
      <c r="AG317" s="66"/>
    </row>
    <row r="318" spans="4:33">
      <c r="D318" s="66"/>
      <c r="G318" s="66"/>
      <c r="V318" s="66"/>
      <c r="W318" s="66"/>
      <c r="X318" s="66"/>
      <c r="AB318" s="66"/>
      <c r="AG318" s="66"/>
    </row>
    <row r="319" spans="4:33">
      <c r="D319" s="66"/>
      <c r="G319" s="66"/>
      <c r="V319" s="66"/>
      <c r="W319" s="66"/>
      <c r="X319" s="66"/>
      <c r="AB319" s="66"/>
      <c r="AG319" s="66"/>
    </row>
    <row r="320" spans="4:33">
      <c r="D320" s="66"/>
      <c r="G320" s="66"/>
      <c r="V320" s="66"/>
      <c r="W320" s="66"/>
      <c r="X320" s="66"/>
      <c r="AB320" s="66"/>
      <c r="AG320" s="66"/>
    </row>
    <row r="321" spans="4:33">
      <c r="D321" s="66"/>
      <c r="G321" s="66"/>
      <c r="V321" s="66"/>
      <c r="W321" s="66"/>
      <c r="X321" s="66"/>
      <c r="AB321" s="66"/>
      <c r="AG321" s="66"/>
    </row>
    <row r="322" spans="4:33">
      <c r="D322" s="66"/>
      <c r="G322" s="66"/>
      <c r="V322" s="66"/>
      <c r="W322" s="66"/>
      <c r="X322" s="66"/>
      <c r="AB322" s="66"/>
      <c r="AG322" s="66"/>
    </row>
    <row r="323" spans="4:33">
      <c r="D323" s="66"/>
      <c r="G323" s="66"/>
      <c r="V323" s="66"/>
      <c r="W323" s="66"/>
      <c r="X323" s="66"/>
      <c r="AB323" s="66"/>
      <c r="AG323" s="66"/>
    </row>
    <row r="324" spans="4:33">
      <c r="D324" s="66"/>
      <c r="G324" s="66"/>
      <c r="V324" s="66"/>
      <c r="W324" s="66"/>
      <c r="X324" s="66"/>
      <c r="AB324" s="66"/>
      <c r="AG324" s="66"/>
    </row>
    <row r="325" spans="4:33">
      <c r="D325" s="66"/>
      <c r="G325" s="66"/>
      <c r="V325" s="66"/>
      <c r="W325" s="66"/>
      <c r="X325" s="66"/>
      <c r="AB325" s="66"/>
      <c r="AG325" s="66"/>
    </row>
    <row r="326" spans="4:33">
      <c r="D326" s="66"/>
      <c r="G326" s="66"/>
      <c r="V326" s="66"/>
      <c r="W326" s="66"/>
      <c r="X326" s="66"/>
      <c r="AB326" s="66"/>
      <c r="AG326" s="66"/>
    </row>
    <row r="327" spans="4:33">
      <c r="D327" s="66"/>
      <c r="G327" s="66"/>
      <c r="V327" s="66"/>
      <c r="W327" s="66"/>
      <c r="X327" s="66"/>
      <c r="AB327" s="66"/>
      <c r="AG327" s="66"/>
    </row>
    <row r="328" spans="4:33">
      <c r="D328" s="66"/>
      <c r="G328" s="66"/>
      <c r="V328" s="66"/>
      <c r="W328" s="66"/>
      <c r="X328" s="66"/>
      <c r="AB328" s="66"/>
      <c r="AG328" s="66"/>
    </row>
    <row r="329" spans="4:33">
      <c r="D329" s="66"/>
      <c r="G329" s="66"/>
      <c r="V329" s="66"/>
      <c r="W329" s="66"/>
      <c r="X329" s="66"/>
      <c r="AB329" s="66"/>
      <c r="AG329" s="66"/>
    </row>
    <row r="330" spans="4:33">
      <c r="D330" s="66"/>
      <c r="G330" s="66"/>
      <c r="V330" s="66"/>
      <c r="W330" s="66"/>
      <c r="X330" s="66"/>
      <c r="AB330" s="66"/>
      <c r="AG330" s="66"/>
    </row>
    <row r="331" spans="4:33">
      <c r="D331" s="66"/>
      <c r="G331" s="66"/>
      <c r="V331" s="66"/>
      <c r="W331" s="66"/>
      <c r="X331" s="66"/>
      <c r="AB331" s="66"/>
      <c r="AG331" s="66"/>
    </row>
    <row r="332" spans="4:33">
      <c r="D332" s="66"/>
      <c r="G332" s="66"/>
      <c r="V332" s="66"/>
      <c r="W332" s="66"/>
      <c r="X332" s="66"/>
      <c r="AB332" s="66"/>
      <c r="AG332" s="66"/>
    </row>
    <row r="333" spans="4:33">
      <c r="D333" s="66"/>
      <c r="G333" s="66"/>
      <c r="V333" s="66"/>
      <c r="W333" s="66"/>
      <c r="X333" s="66"/>
      <c r="AB333" s="66"/>
      <c r="AG333" s="66"/>
    </row>
    <row r="334" spans="4:33">
      <c r="D334" s="66"/>
      <c r="G334" s="66"/>
      <c r="V334" s="66"/>
      <c r="W334" s="66"/>
      <c r="X334" s="66"/>
      <c r="AB334" s="66"/>
      <c r="AG334" s="66"/>
    </row>
    <row r="335" spans="4:33">
      <c r="D335" s="66"/>
      <c r="G335" s="66"/>
      <c r="V335" s="66"/>
      <c r="W335" s="66"/>
      <c r="X335" s="66"/>
      <c r="AB335" s="66"/>
      <c r="AG335" s="66"/>
    </row>
    <row r="336" spans="4:33">
      <c r="D336" s="66"/>
      <c r="G336" s="66"/>
      <c r="V336" s="66"/>
      <c r="W336" s="66"/>
      <c r="X336" s="66"/>
      <c r="AB336" s="66"/>
      <c r="AG336" s="66"/>
    </row>
    <row r="337" spans="4:33">
      <c r="D337" s="66"/>
      <c r="G337" s="66"/>
      <c r="V337" s="66"/>
      <c r="W337" s="66"/>
      <c r="X337" s="66"/>
      <c r="AB337" s="66"/>
      <c r="AG337" s="66"/>
    </row>
    <row r="338" spans="4:33">
      <c r="D338" s="66"/>
      <c r="G338" s="66"/>
      <c r="V338" s="66"/>
      <c r="W338" s="66"/>
      <c r="X338" s="66"/>
      <c r="AB338" s="66"/>
      <c r="AG338" s="66"/>
    </row>
    <row r="339" spans="4:33">
      <c r="D339" s="66"/>
      <c r="G339" s="66"/>
      <c r="V339" s="66"/>
      <c r="W339" s="66"/>
      <c r="X339" s="66"/>
      <c r="AB339" s="66"/>
      <c r="AG339" s="66"/>
    </row>
    <row r="340" spans="4:33">
      <c r="D340" s="66"/>
      <c r="G340" s="66"/>
      <c r="V340" s="66"/>
      <c r="W340" s="66"/>
      <c r="X340" s="66"/>
      <c r="AB340" s="66"/>
      <c r="AG340" s="66"/>
    </row>
    <row r="341" spans="4:33">
      <c r="D341" s="66"/>
      <c r="G341" s="66"/>
      <c r="V341" s="66"/>
      <c r="W341" s="66"/>
      <c r="X341" s="66"/>
      <c r="AB341" s="66"/>
      <c r="AG341" s="66"/>
    </row>
    <row r="342" spans="4:33">
      <c r="D342" s="66"/>
      <c r="G342" s="66"/>
      <c r="V342" s="66"/>
      <c r="W342" s="66"/>
      <c r="X342" s="66"/>
      <c r="AB342" s="66"/>
      <c r="AG342" s="66"/>
    </row>
    <row r="343" spans="4:33">
      <c r="D343" s="66"/>
      <c r="G343" s="66"/>
      <c r="V343" s="66"/>
      <c r="W343" s="66"/>
      <c r="X343" s="66"/>
      <c r="AB343" s="66"/>
      <c r="AG343" s="66"/>
    </row>
    <row r="344" spans="4:33">
      <c r="D344" s="66"/>
      <c r="G344" s="66"/>
      <c r="V344" s="66"/>
      <c r="W344" s="66"/>
      <c r="X344" s="66"/>
      <c r="AB344" s="66"/>
      <c r="AG344" s="66"/>
    </row>
    <row r="345" spans="4:33">
      <c r="D345" s="66"/>
      <c r="G345" s="66"/>
      <c r="V345" s="66"/>
      <c r="W345" s="66"/>
      <c r="X345" s="66"/>
      <c r="AB345" s="66"/>
      <c r="AG345" s="66"/>
    </row>
    <row r="346" spans="4:33">
      <c r="D346" s="66"/>
      <c r="G346" s="66"/>
      <c r="V346" s="66"/>
      <c r="W346" s="66"/>
      <c r="X346" s="66"/>
      <c r="AB346" s="66"/>
      <c r="AG346" s="66"/>
    </row>
    <row r="347" spans="4:33">
      <c r="D347" s="66"/>
      <c r="G347" s="66"/>
      <c r="V347" s="66"/>
      <c r="W347" s="66"/>
      <c r="X347" s="66"/>
      <c r="AB347" s="66"/>
      <c r="AG347" s="66"/>
    </row>
    <row r="348" spans="4:33">
      <c r="D348" s="66"/>
      <c r="G348" s="66"/>
      <c r="V348" s="66"/>
      <c r="W348" s="66"/>
      <c r="X348" s="66"/>
      <c r="AB348" s="66"/>
      <c r="AG348" s="66"/>
    </row>
    <row r="349" spans="4:33">
      <c r="D349" s="66"/>
      <c r="G349" s="66"/>
      <c r="V349" s="66"/>
      <c r="W349" s="66"/>
      <c r="X349" s="66"/>
      <c r="AB349" s="66"/>
      <c r="AG349" s="66"/>
    </row>
    <row r="350" spans="4:33">
      <c r="D350" s="66"/>
      <c r="G350" s="66"/>
      <c r="V350" s="66"/>
      <c r="W350" s="66"/>
      <c r="X350" s="66"/>
      <c r="AB350" s="66"/>
      <c r="AG350" s="66"/>
    </row>
    <row r="351" spans="4:33">
      <c r="D351" s="66"/>
      <c r="G351" s="66"/>
      <c r="V351" s="66"/>
      <c r="W351" s="66"/>
      <c r="X351" s="66"/>
      <c r="AB351" s="66"/>
      <c r="AG351" s="66"/>
    </row>
    <row r="352" spans="4:33">
      <c r="D352" s="66"/>
      <c r="G352" s="66"/>
      <c r="V352" s="66"/>
      <c r="W352" s="66"/>
      <c r="X352" s="66"/>
      <c r="AB352" s="66"/>
      <c r="AG352" s="66"/>
    </row>
    <row r="353" spans="4:33">
      <c r="D353" s="66"/>
      <c r="G353" s="66"/>
      <c r="V353" s="66"/>
      <c r="W353" s="66"/>
      <c r="X353" s="66"/>
      <c r="AB353" s="66"/>
      <c r="AG353" s="66"/>
    </row>
    <row r="354" spans="4:33">
      <c r="D354" s="66"/>
      <c r="G354" s="66"/>
      <c r="V354" s="66"/>
      <c r="W354" s="66"/>
      <c r="X354" s="66"/>
      <c r="AB354" s="66"/>
      <c r="AG354" s="66"/>
    </row>
    <row r="355" spans="4:33">
      <c r="D355" s="66"/>
      <c r="G355" s="66"/>
      <c r="V355" s="66"/>
      <c r="W355" s="66"/>
      <c r="X355" s="66"/>
      <c r="AB355" s="66"/>
      <c r="AG355" s="66"/>
    </row>
    <row r="356" spans="4:33">
      <c r="D356" s="66"/>
      <c r="G356" s="66"/>
      <c r="V356" s="66"/>
      <c r="W356" s="66"/>
      <c r="X356" s="66"/>
      <c r="AB356" s="66"/>
      <c r="AG356" s="66"/>
    </row>
    <row r="357" spans="4:33">
      <c r="D357" s="66"/>
      <c r="G357" s="66"/>
      <c r="V357" s="66"/>
      <c r="W357" s="66"/>
      <c r="X357" s="66"/>
      <c r="AB357" s="66"/>
      <c r="AG357" s="66"/>
    </row>
    <row r="358" spans="4:33">
      <c r="D358" s="66"/>
      <c r="G358" s="66"/>
      <c r="V358" s="66"/>
      <c r="W358" s="66"/>
      <c r="X358" s="66"/>
      <c r="AB358" s="66"/>
      <c r="AG358" s="66"/>
    </row>
    <row r="359" spans="4:33">
      <c r="D359" s="66"/>
      <c r="G359" s="66"/>
      <c r="V359" s="66"/>
      <c r="W359" s="66"/>
      <c r="X359" s="66"/>
      <c r="AB359" s="66"/>
      <c r="AG359" s="66"/>
    </row>
    <row r="360" spans="4:33">
      <c r="D360" s="66"/>
      <c r="G360" s="66"/>
      <c r="V360" s="66"/>
      <c r="W360" s="66"/>
      <c r="X360" s="66"/>
      <c r="AB360" s="66"/>
      <c r="AG360" s="66"/>
    </row>
    <row r="361" spans="4:33">
      <c r="D361" s="66"/>
      <c r="G361" s="66"/>
      <c r="V361" s="66"/>
      <c r="W361" s="66"/>
      <c r="X361" s="66"/>
      <c r="AB361" s="66"/>
      <c r="AG361" s="66"/>
    </row>
    <row r="362" spans="4:33">
      <c r="D362" s="66"/>
      <c r="G362" s="66"/>
      <c r="V362" s="66"/>
      <c r="W362" s="66"/>
      <c r="X362" s="66"/>
      <c r="AB362" s="66"/>
      <c r="AG362" s="66"/>
    </row>
    <row r="363" spans="4:33">
      <c r="D363" s="66"/>
      <c r="G363" s="66"/>
      <c r="V363" s="66"/>
      <c r="W363" s="66"/>
      <c r="X363" s="66"/>
      <c r="AB363" s="66"/>
      <c r="AG363" s="66"/>
    </row>
    <row r="364" spans="4:33">
      <c r="D364" s="66"/>
      <c r="G364" s="66"/>
      <c r="V364" s="66"/>
      <c r="W364" s="66"/>
      <c r="X364" s="66"/>
      <c r="AB364" s="66"/>
      <c r="AG364" s="66"/>
    </row>
    <row r="365" spans="4:33">
      <c r="D365" s="66"/>
      <c r="G365" s="66"/>
      <c r="V365" s="66"/>
      <c r="W365" s="66"/>
      <c r="X365" s="66"/>
      <c r="AB365" s="66"/>
      <c r="AG365" s="66"/>
    </row>
    <row r="366" spans="4:33">
      <c r="D366" s="66"/>
      <c r="G366" s="66"/>
      <c r="V366" s="66"/>
      <c r="W366" s="66"/>
      <c r="X366" s="66"/>
      <c r="AB366" s="66"/>
      <c r="AG366" s="66"/>
    </row>
    <row r="367" spans="4:33">
      <c r="D367" s="66"/>
      <c r="G367" s="66"/>
      <c r="V367" s="66"/>
      <c r="W367" s="66"/>
      <c r="X367" s="66"/>
      <c r="AB367" s="66"/>
      <c r="AG367" s="66"/>
    </row>
    <row r="368" spans="4:33">
      <c r="D368" s="66"/>
      <c r="G368" s="66"/>
      <c r="V368" s="66"/>
      <c r="W368" s="66"/>
      <c r="X368" s="66"/>
      <c r="AB368" s="66"/>
      <c r="AG368" s="66"/>
    </row>
    <row r="369" spans="4:33">
      <c r="D369" s="66"/>
      <c r="G369" s="66"/>
      <c r="V369" s="66"/>
      <c r="W369" s="66"/>
      <c r="X369" s="66"/>
      <c r="AB369" s="66"/>
      <c r="AG369" s="66"/>
    </row>
    <row r="370" spans="4:33">
      <c r="D370" s="66"/>
      <c r="G370" s="66"/>
      <c r="V370" s="66"/>
      <c r="W370" s="66"/>
      <c r="X370" s="66"/>
      <c r="AB370" s="66"/>
      <c r="AG370" s="66"/>
    </row>
    <row r="371" spans="4:33">
      <c r="D371" s="66"/>
      <c r="G371" s="66"/>
      <c r="V371" s="66"/>
      <c r="W371" s="66"/>
      <c r="X371" s="66"/>
      <c r="AB371" s="66"/>
      <c r="AG371" s="66"/>
    </row>
    <row r="372" spans="4:33">
      <c r="D372" s="66"/>
      <c r="G372" s="66"/>
      <c r="V372" s="66"/>
      <c r="W372" s="66"/>
      <c r="X372" s="66"/>
      <c r="AB372" s="66"/>
      <c r="AG372" s="66"/>
    </row>
    <row r="373" spans="4:33">
      <c r="D373" s="66"/>
      <c r="G373" s="66"/>
      <c r="V373" s="66"/>
      <c r="W373" s="66"/>
      <c r="X373" s="66"/>
      <c r="AB373" s="66"/>
      <c r="AG373" s="66"/>
    </row>
    <row r="374" spans="4:33">
      <c r="D374" s="66"/>
      <c r="G374" s="66"/>
      <c r="V374" s="66"/>
      <c r="W374" s="66"/>
      <c r="X374" s="66"/>
      <c r="AB374" s="66"/>
      <c r="AG374" s="66"/>
    </row>
    <row r="375" spans="4:33">
      <c r="D375" s="66"/>
      <c r="G375" s="66"/>
      <c r="V375" s="66"/>
      <c r="W375" s="66"/>
      <c r="X375" s="66"/>
      <c r="AB375" s="66"/>
      <c r="AG375" s="66"/>
    </row>
    <row r="376" spans="4:33">
      <c r="D376" s="66"/>
      <c r="G376" s="66"/>
      <c r="V376" s="66"/>
      <c r="W376" s="66"/>
      <c r="X376" s="66"/>
      <c r="AB376" s="66"/>
      <c r="AG376" s="66"/>
    </row>
    <row r="377" spans="4:33">
      <c r="D377" s="66"/>
      <c r="G377" s="66"/>
      <c r="V377" s="66"/>
      <c r="W377" s="66"/>
      <c r="X377" s="66"/>
      <c r="AB377" s="66"/>
      <c r="AG377" s="66"/>
    </row>
    <row r="378" spans="4:33">
      <c r="D378" s="66"/>
      <c r="G378" s="66"/>
      <c r="V378" s="66"/>
      <c r="W378" s="66"/>
      <c r="X378" s="66"/>
      <c r="AB378" s="66"/>
      <c r="AG378" s="66"/>
    </row>
    <row r="379" spans="4:33">
      <c r="D379" s="66"/>
      <c r="G379" s="66"/>
      <c r="V379" s="66"/>
      <c r="W379" s="66"/>
      <c r="X379" s="66"/>
      <c r="AB379" s="66"/>
      <c r="AG379" s="66"/>
    </row>
    <row r="380" spans="4:33">
      <c r="D380" s="66"/>
      <c r="G380" s="66"/>
      <c r="V380" s="66"/>
      <c r="W380" s="66"/>
      <c r="X380" s="66"/>
      <c r="AB380" s="66"/>
      <c r="AG380" s="66"/>
    </row>
    <row r="381" spans="4:33">
      <c r="D381" s="66"/>
      <c r="G381" s="66"/>
      <c r="V381" s="66"/>
      <c r="W381" s="66"/>
      <c r="X381" s="66"/>
      <c r="AB381" s="66"/>
      <c r="AG381" s="66"/>
    </row>
    <row r="382" spans="4:33">
      <c r="D382" s="66"/>
      <c r="G382" s="66"/>
      <c r="V382" s="66"/>
      <c r="W382" s="66"/>
      <c r="X382" s="66"/>
      <c r="AB382" s="66"/>
      <c r="AG382" s="66"/>
    </row>
    <row r="383" spans="4:33">
      <c r="D383" s="66"/>
      <c r="G383" s="66"/>
      <c r="V383" s="66"/>
      <c r="W383" s="66"/>
      <c r="X383" s="66"/>
      <c r="AB383" s="66"/>
      <c r="AG383" s="66"/>
    </row>
    <row r="384" spans="4:33">
      <c r="D384" s="66"/>
      <c r="G384" s="66"/>
      <c r="V384" s="66"/>
      <c r="W384" s="66"/>
      <c r="X384" s="66"/>
      <c r="AB384" s="66"/>
      <c r="AG384" s="66"/>
    </row>
    <row r="385" spans="4:33">
      <c r="D385" s="66"/>
      <c r="G385" s="66"/>
      <c r="V385" s="66"/>
      <c r="W385" s="66"/>
      <c r="X385" s="66"/>
      <c r="AB385" s="66"/>
      <c r="AG385" s="66"/>
    </row>
    <row r="386" spans="4:33">
      <c r="D386" s="66"/>
      <c r="G386" s="66"/>
      <c r="V386" s="66"/>
      <c r="W386" s="66"/>
      <c r="X386" s="66"/>
      <c r="AB386" s="66"/>
      <c r="AG386" s="66"/>
    </row>
    <row r="387" spans="4:33">
      <c r="D387" s="66"/>
      <c r="G387" s="66"/>
      <c r="V387" s="66"/>
      <c r="W387" s="66"/>
      <c r="X387" s="66"/>
      <c r="AB387" s="66"/>
      <c r="AG387" s="66"/>
    </row>
    <row r="388" spans="4:33">
      <c r="D388" s="66"/>
      <c r="G388" s="66"/>
      <c r="V388" s="66"/>
      <c r="W388" s="66"/>
      <c r="X388" s="66"/>
      <c r="AB388" s="66"/>
      <c r="AG388" s="66"/>
    </row>
    <row r="389" spans="4:33">
      <c r="D389" s="66"/>
      <c r="G389" s="66"/>
      <c r="V389" s="66"/>
      <c r="W389" s="66"/>
      <c r="X389" s="66"/>
      <c r="AB389" s="66"/>
      <c r="AG389" s="66"/>
    </row>
    <row r="390" spans="4:33">
      <c r="D390" s="66"/>
      <c r="G390" s="66"/>
      <c r="V390" s="66"/>
      <c r="W390" s="66"/>
      <c r="X390" s="66"/>
      <c r="AB390" s="66"/>
      <c r="AG390" s="66"/>
    </row>
    <row r="391" spans="4:33">
      <c r="D391" s="66"/>
      <c r="G391" s="66"/>
      <c r="V391" s="66"/>
      <c r="W391" s="66"/>
      <c r="X391" s="66"/>
      <c r="AB391" s="66"/>
      <c r="AG391" s="66"/>
    </row>
    <row r="392" spans="4:33">
      <c r="D392" s="66"/>
      <c r="G392" s="66"/>
      <c r="V392" s="66"/>
      <c r="W392" s="66"/>
      <c r="X392" s="66"/>
      <c r="AB392" s="66"/>
      <c r="AG392" s="66"/>
    </row>
    <row r="393" spans="4:33">
      <c r="D393" s="66"/>
      <c r="G393" s="66"/>
      <c r="V393" s="66"/>
      <c r="W393" s="66"/>
      <c r="X393" s="66"/>
      <c r="AB393" s="66"/>
      <c r="AG393" s="66"/>
    </row>
    <row r="394" spans="4:33">
      <c r="D394" s="66"/>
      <c r="G394" s="66"/>
      <c r="V394" s="66"/>
      <c r="W394" s="66"/>
      <c r="X394" s="66"/>
      <c r="AB394" s="66"/>
      <c r="AG394" s="66"/>
    </row>
    <row r="395" spans="4:33">
      <c r="D395" s="66"/>
      <c r="G395" s="66"/>
      <c r="V395" s="66"/>
      <c r="W395" s="66"/>
      <c r="X395" s="66"/>
      <c r="AB395" s="66"/>
      <c r="AG395" s="66"/>
    </row>
    <row r="396" spans="4:33">
      <c r="D396" s="66"/>
      <c r="G396" s="66"/>
      <c r="V396" s="66"/>
      <c r="W396" s="66"/>
      <c r="X396" s="66"/>
      <c r="AB396" s="66"/>
      <c r="AG396" s="66"/>
    </row>
    <row r="397" spans="4:33">
      <c r="D397" s="66"/>
      <c r="G397" s="66"/>
      <c r="V397" s="66"/>
      <c r="W397" s="66"/>
      <c r="X397" s="66"/>
      <c r="AB397" s="66"/>
      <c r="AG397" s="66"/>
    </row>
    <row r="398" spans="4:33">
      <c r="D398" s="66"/>
      <c r="G398" s="66"/>
      <c r="V398" s="66"/>
      <c r="W398" s="66"/>
      <c r="X398" s="66"/>
      <c r="AB398" s="66"/>
      <c r="AG398" s="66"/>
    </row>
    <row r="399" spans="4:33">
      <c r="D399" s="66"/>
      <c r="G399" s="66"/>
      <c r="V399" s="66"/>
      <c r="W399" s="66"/>
      <c r="X399" s="66"/>
      <c r="AB399" s="66"/>
      <c r="AG399" s="66"/>
    </row>
    <row r="400" spans="4:33">
      <c r="D400" s="66"/>
      <c r="G400" s="66"/>
      <c r="V400" s="66"/>
      <c r="W400" s="66"/>
      <c r="X400" s="66"/>
      <c r="AB400" s="66"/>
      <c r="AG400" s="66"/>
    </row>
    <row r="401" spans="4:33">
      <c r="D401" s="66"/>
      <c r="G401" s="66"/>
      <c r="V401" s="66"/>
      <c r="W401" s="66"/>
      <c r="X401" s="66"/>
      <c r="AB401" s="66"/>
      <c r="AG401" s="66"/>
    </row>
    <row r="402" spans="4:33">
      <c r="D402" s="66"/>
      <c r="G402" s="66"/>
      <c r="V402" s="66"/>
      <c r="W402" s="66"/>
      <c r="X402" s="66"/>
      <c r="AB402" s="66"/>
      <c r="AG402" s="66"/>
    </row>
    <row r="403" spans="4:33">
      <c r="D403" s="66"/>
      <c r="G403" s="66"/>
      <c r="V403" s="66"/>
      <c r="W403" s="66"/>
      <c r="X403" s="66"/>
      <c r="AB403" s="66"/>
      <c r="AG403" s="66"/>
    </row>
    <row r="404" spans="4:33">
      <c r="D404" s="66"/>
      <c r="G404" s="66"/>
      <c r="V404" s="66"/>
      <c r="W404" s="66"/>
      <c r="X404" s="66"/>
      <c r="AB404" s="66"/>
      <c r="AG404" s="66"/>
    </row>
    <row r="405" spans="4:33">
      <c r="D405" s="66"/>
      <c r="G405" s="66"/>
      <c r="V405" s="66"/>
      <c r="W405" s="66"/>
      <c r="X405" s="66"/>
      <c r="AB405" s="66"/>
      <c r="AG405" s="66"/>
    </row>
    <row r="406" spans="4:33">
      <c r="D406" s="66"/>
      <c r="G406" s="66"/>
      <c r="V406" s="66"/>
      <c r="W406" s="66"/>
      <c r="X406" s="66"/>
      <c r="AB406" s="66"/>
      <c r="AG406" s="66"/>
    </row>
    <row r="407" spans="4:33">
      <c r="D407" s="66"/>
      <c r="G407" s="66"/>
      <c r="V407" s="66"/>
      <c r="W407" s="66"/>
      <c r="X407" s="66"/>
      <c r="AB407" s="66"/>
      <c r="AG407" s="66"/>
    </row>
    <row r="408" spans="4:33">
      <c r="D408" s="66"/>
      <c r="G408" s="66"/>
      <c r="V408" s="66"/>
      <c r="W408" s="66"/>
      <c r="X408" s="66"/>
      <c r="AB408" s="66"/>
      <c r="AG408" s="66"/>
    </row>
    <row r="409" spans="4:33">
      <c r="D409" s="66"/>
      <c r="G409" s="66"/>
      <c r="V409" s="66"/>
      <c r="W409" s="66"/>
      <c r="X409" s="66"/>
      <c r="AB409" s="66"/>
      <c r="AG409" s="66"/>
    </row>
    <row r="410" spans="4:33">
      <c r="D410" s="66"/>
      <c r="G410" s="66"/>
      <c r="V410" s="66"/>
      <c r="W410" s="66"/>
      <c r="X410" s="66"/>
      <c r="AB410" s="66"/>
      <c r="AG410" s="66"/>
    </row>
    <row r="411" spans="4:33">
      <c r="D411" s="66"/>
      <c r="G411" s="66"/>
      <c r="V411" s="66"/>
      <c r="W411" s="66"/>
      <c r="X411" s="66"/>
      <c r="AB411" s="66"/>
      <c r="AG411" s="66"/>
    </row>
    <row r="412" spans="4:33">
      <c r="D412" s="66"/>
      <c r="G412" s="66"/>
      <c r="V412" s="66"/>
      <c r="W412" s="66"/>
      <c r="X412" s="66"/>
      <c r="AB412" s="66"/>
      <c r="AG412" s="66"/>
    </row>
    <row r="413" spans="4:33">
      <c r="D413" s="66"/>
      <c r="G413" s="66"/>
      <c r="V413" s="66"/>
      <c r="W413" s="66"/>
      <c r="X413" s="66"/>
      <c r="AB413" s="66"/>
      <c r="AG413" s="66"/>
    </row>
    <row r="414" spans="4:33">
      <c r="D414" s="66"/>
      <c r="G414" s="66"/>
      <c r="V414" s="66"/>
      <c r="W414" s="66"/>
      <c r="X414" s="66"/>
      <c r="AB414" s="66"/>
      <c r="AG414" s="66"/>
    </row>
    <row r="415" spans="4:33">
      <c r="D415" s="66"/>
      <c r="G415" s="66"/>
      <c r="V415" s="66"/>
      <c r="W415" s="66"/>
      <c r="X415" s="66"/>
      <c r="AB415" s="66"/>
      <c r="AG415" s="66"/>
    </row>
    <row r="416" spans="4:33">
      <c r="D416" s="66"/>
      <c r="G416" s="66"/>
      <c r="V416" s="66"/>
      <c r="W416" s="66"/>
      <c r="X416" s="66"/>
      <c r="AB416" s="66"/>
      <c r="AG416" s="66"/>
    </row>
    <row r="417" spans="4:33">
      <c r="D417" s="66"/>
      <c r="G417" s="66"/>
      <c r="V417" s="66"/>
      <c r="W417" s="66"/>
      <c r="X417" s="66"/>
      <c r="AB417" s="66"/>
      <c r="AG417" s="66"/>
    </row>
    <row r="418" spans="4:33">
      <c r="D418" s="66"/>
      <c r="G418" s="66"/>
      <c r="V418" s="66"/>
      <c r="W418" s="66"/>
      <c r="X418" s="66"/>
      <c r="AB418" s="66"/>
      <c r="AG418" s="66"/>
    </row>
    <row r="419" spans="4:33">
      <c r="D419" s="66"/>
      <c r="G419" s="66"/>
      <c r="V419" s="66"/>
      <c r="W419" s="66"/>
      <c r="X419" s="66"/>
      <c r="AB419" s="66"/>
      <c r="AG419" s="66"/>
    </row>
    <row r="420" spans="4:33">
      <c r="D420" s="66"/>
      <c r="G420" s="66"/>
      <c r="V420" s="66"/>
      <c r="W420" s="66"/>
      <c r="X420" s="66"/>
      <c r="AB420" s="66"/>
      <c r="AG420" s="66"/>
    </row>
    <row r="421" spans="4:33">
      <c r="D421" s="66"/>
      <c r="G421" s="66"/>
      <c r="V421" s="66"/>
      <c r="W421" s="66"/>
      <c r="X421" s="66"/>
      <c r="AB421" s="66"/>
      <c r="AG421" s="66"/>
    </row>
    <row r="422" spans="4:33">
      <c r="D422" s="66"/>
      <c r="G422" s="66"/>
      <c r="V422" s="66"/>
      <c r="W422" s="66"/>
      <c r="X422" s="66"/>
      <c r="AB422" s="66"/>
      <c r="AG422" s="66"/>
    </row>
    <row r="423" spans="4:33">
      <c r="D423" s="66"/>
      <c r="G423" s="66"/>
      <c r="V423" s="66"/>
      <c r="W423" s="66"/>
      <c r="X423" s="66"/>
      <c r="AB423" s="66"/>
      <c r="AG423" s="66"/>
    </row>
    <row r="424" spans="4:33">
      <c r="D424" s="66"/>
      <c r="G424" s="66"/>
      <c r="V424" s="66"/>
      <c r="W424" s="66"/>
      <c r="X424" s="66"/>
      <c r="AB424" s="66"/>
      <c r="AG424" s="66"/>
    </row>
    <row r="425" spans="4:33">
      <c r="D425" s="66"/>
      <c r="G425" s="66"/>
      <c r="V425" s="66"/>
      <c r="W425" s="66"/>
      <c r="X425" s="66"/>
      <c r="AB425" s="66"/>
      <c r="AG425" s="66"/>
    </row>
    <row r="426" spans="4:33">
      <c r="D426" s="66"/>
      <c r="G426" s="66"/>
      <c r="V426" s="66"/>
      <c r="W426" s="66"/>
      <c r="X426" s="66"/>
      <c r="AB426" s="66"/>
      <c r="AG426" s="66"/>
    </row>
    <row r="427" spans="4:33">
      <c r="D427" s="66"/>
      <c r="G427" s="66"/>
      <c r="V427" s="66"/>
      <c r="W427" s="66"/>
      <c r="X427" s="66"/>
      <c r="AB427" s="66"/>
      <c r="AG427" s="66"/>
    </row>
    <row r="428" spans="4:33">
      <c r="D428" s="66"/>
      <c r="G428" s="66"/>
      <c r="V428" s="66"/>
      <c r="W428" s="66"/>
      <c r="X428" s="66"/>
      <c r="AB428" s="66"/>
      <c r="AG428" s="66"/>
    </row>
    <row r="429" spans="4:33">
      <c r="D429" s="66"/>
      <c r="G429" s="66"/>
      <c r="V429" s="66"/>
      <c r="W429" s="66"/>
      <c r="X429" s="66"/>
      <c r="AB429" s="66"/>
      <c r="AG429" s="66"/>
    </row>
    <row r="430" spans="4:33">
      <c r="D430" s="66"/>
      <c r="G430" s="66"/>
      <c r="V430" s="66"/>
      <c r="W430" s="66"/>
      <c r="X430" s="66"/>
      <c r="AB430" s="66"/>
      <c r="AG430" s="66"/>
    </row>
    <row r="431" spans="4:33">
      <c r="D431" s="66"/>
      <c r="G431" s="66"/>
      <c r="V431" s="66"/>
      <c r="W431" s="66"/>
      <c r="X431" s="66"/>
      <c r="AB431" s="66"/>
      <c r="AG431" s="66"/>
    </row>
    <row r="432" spans="4:33">
      <c r="D432" s="66"/>
      <c r="G432" s="66"/>
      <c r="V432" s="66"/>
      <c r="W432" s="66"/>
      <c r="X432" s="66"/>
      <c r="AB432" s="66"/>
      <c r="AG432" s="66"/>
    </row>
    <row r="433" spans="4:33">
      <c r="D433" s="66"/>
      <c r="G433" s="66"/>
      <c r="V433" s="66"/>
      <c r="W433" s="66"/>
      <c r="X433" s="66"/>
      <c r="AB433" s="66"/>
      <c r="AG433" s="66"/>
    </row>
    <row r="434" spans="4:33">
      <c r="D434" s="66"/>
      <c r="G434" s="66"/>
      <c r="V434" s="66"/>
      <c r="W434" s="66"/>
      <c r="X434" s="66"/>
      <c r="AB434" s="66"/>
      <c r="AG434" s="66"/>
    </row>
    <row r="435" spans="4:33">
      <c r="D435" s="66"/>
      <c r="G435" s="66"/>
      <c r="V435" s="66"/>
      <c r="W435" s="66"/>
      <c r="X435" s="66"/>
      <c r="AB435" s="66"/>
      <c r="AG435" s="66"/>
    </row>
    <row r="436" spans="4:33">
      <c r="D436" s="66"/>
      <c r="G436" s="66"/>
      <c r="V436" s="66"/>
      <c r="W436" s="66"/>
      <c r="X436" s="66"/>
      <c r="AB436" s="66"/>
      <c r="AG436" s="66"/>
    </row>
    <row r="437" spans="4:33">
      <c r="D437" s="66"/>
      <c r="G437" s="66"/>
      <c r="V437" s="66"/>
      <c r="W437" s="66"/>
      <c r="X437" s="66"/>
      <c r="AB437" s="66"/>
      <c r="AG437" s="66"/>
    </row>
    <row r="438" spans="4:33">
      <c r="D438" s="66"/>
      <c r="G438" s="66"/>
      <c r="V438" s="66"/>
      <c r="W438" s="66"/>
      <c r="X438" s="66"/>
      <c r="AB438" s="66"/>
      <c r="AG438" s="66"/>
    </row>
    <row r="439" spans="4:33">
      <c r="D439" s="66"/>
      <c r="G439" s="66"/>
      <c r="V439" s="66"/>
      <c r="W439" s="66"/>
      <c r="X439" s="66"/>
      <c r="AB439" s="66"/>
      <c r="AG439" s="66"/>
    </row>
    <row r="440" spans="4:33">
      <c r="D440" s="66"/>
      <c r="G440" s="66"/>
      <c r="V440" s="66"/>
      <c r="W440" s="66"/>
      <c r="X440" s="66"/>
      <c r="AB440" s="66"/>
      <c r="AG440" s="66"/>
    </row>
    <row r="441" spans="4:33">
      <c r="D441" s="66"/>
      <c r="G441" s="66"/>
      <c r="V441" s="66"/>
      <c r="W441" s="66"/>
      <c r="X441" s="66"/>
      <c r="AB441" s="66"/>
      <c r="AG441" s="66"/>
    </row>
    <row r="442" spans="4:33">
      <c r="D442" s="66"/>
      <c r="G442" s="66"/>
      <c r="V442" s="66"/>
      <c r="W442" s="66"/>
      <c r="X442" s="66"/>
      <c r="AB442" s="66"/>
      <c r="AG442" s="66"/>
    </row>
    <row r="443" spans="4:33">
      <c r="D443" s="66"/>
      <c r="G443" s="66"/>
      <c r="V443" s="66"/>
      <c r="W443" s="66"/>
      <c r="X443" s="66"/>
      <c r="AB443" s="66"/>
      <c r="AG443" s="66"/>
    </row>
    <row r="444" spans="4:33">
      <c r="D444" s="66"/>
      <c r="G444" s="66"/>
      <c r="V444" s="66"/>
      <c r="W444" s="66"/>
      <c r="X444" s="66"/>
      <c r="AB444" s="66"/>
      <c r="AG444" s="66"/>
    </row>
    <row r="445" spans="4:33">
      <c r="D445" s="66"/>
      <c r="G445" s="66"/>
      <c r="V445" s="66"/>
      <c r="W445" s="66"/>
      <c r="X445" s="66"/>
      <c r="AB445" s="66"/>
      <c r="AG445" s="66"/>
    </row>
    <row r="446" spans="4:33">
      <c r="D446" s="66"/>
      <c r="G446" s="66"/>
      <c r="V446" s="66"/>
      <c r="W446" s="66"/>
      <c r="X446" s="66"/>
      <c r="AB446" s="66"/>
      <c r="AG446" s="66"/>
    </row>
    <row r="447" spans="4:33">
      <c r="D447" s="66"/>
      <c r="G447" s="66"/>
      <c r="V447" s="66"/>
      <c r="W447" s="66"/>
      <c r="X447" s="66"/>
      <c r="AB447" s="66"/>
      <c r="AG447" s="66"/>
    </row>
    <row r="448" spans="4:33">
      <c r="D448" s="66"/>
      <c r="G448" s="66"/>
      <c r="V448" s="66"/>
      <c r="W448" s="66"/>
      <c r="X448" s="66"/>
      <c r="AB448" s="66"/>
      <c r="AG448" s="66"/>
    </row>
    <row r="449" spans="4:33">
      <c r="D449" s="66"/>
      <c r="G449" s="66"/>
      <c r="V449" s="66"/>
      <c r="W449" s="66"/>
      <c r="X449" s="66"/>
      <c r="AB449" s="66"/>
      <c r="AG449" s="66"/>
    </row>
    <row r="450" spans="4:33">
      <c r="D450" s="66"/>
      <c r="G450" s="66"/>
      <c r="V450" s="66"/>
      <c r="W450" s="66"/>
      <c r="X450" s="66"/>
      <c r="AB450" s="66"/>
      <c r="AG450" s="66"/>
    </row>
    <row r="451" spans="4:33">
      <c r="D451" s="66"/>
      <c r="G451" s="66"/>
      <c r="V451" s="66"/>
      <c r="W451" s="66"/>
      <c r="X451" s="66"/>
      <c r="AB451" s="66"/>
      <c r="AG451" s="66"/>
    </row>
    <row r="452" spans="4:33">
      <c r="D452" s="66"/>
      <c r="G452" s="66"/>
      <c r="V452" s="66"/>
      <c r="W452" s="66"/>
      <c r="X452" s="66"/>
      <c r="AB452" s="66"/>
      <c r="AG452" s="66"/>
    </row>
    <row r="453" spans="4:33">
      <c r="D453" s="66"/>
      <c r="G453" s="66"/>
      <c r="V453" s="66"/>
      <c r="W453" s="66"/>
      <c r="X453" s="66"/>
      <c r="AB453" s="66"/>
      <c r="AG453" s="66"/>
    </row>
    <row r="454" spans="4:33">
      <c r="D454" s="66"/>
      <c r="G454" s="66"/>
      <c r="V454" s="66"/>
      <c r="W454" s="66"/>
      <c r="X454" s="66"/>
      <c r="AB454" s="66"/>
      <c r="AG454" s="66"/>
    </row>
    <row r="455" spans="4:33">
      <c r="D455" s="66"/>
      <c r="G455" s="66"/>
      <c r="V455" s="66"/>
      <c r="W455" s="66"/>
      <c r="X455" s="66"/>
      <c r="AB455" s="66"/>
      <c r="AG455" s="66"/>
    </row>
    <row r="456" spans="4:33">
      <c r="D456" s="66"/>
      <c r="G456" s="66"/>
      <c r="V456" s="66"/>
      <c r="W456" s="66"/>
      <c r="X456" s="66"/>
      <c r="AB456" s="66"/>
      <c r="AG456" s="66"/>
    </row>
    <row r="457" spans="4:33">
      <c r="D457" s="66"/>
      <c r="G457" s="66"/>
      <c r="V457" s="66"/>
      <c r="W457" s="66"/>
      <c r="X457" s="66"/>
      <c r="AB457" s="66"/>
      <c r="AG457" s="66"/>
    </row>
    <row r="458" spans="4:33">
      <c r="D458" s="66"/>
      <c r="G458" s="66"/>
      <c r="V458" s="66"/>
      <c r="W458" s="66"/>
      <c r="X458" s="66"/>
      <c r="AB458" s="66"/>
      <c r="AG458" s="66"/>
    </row>
    <row r="459" spans="4:33">
      <c r="D459" s="66"/>
      <c r="G459" s="66"/>
      <c r="V459" s="66"/>
      <c r="W459" s="66"/>
      <c r="X459" s="66"/>
      <c r="AB459" s="66"/>
      <c r="AG459" s="66"/>
    </row>
    <row r="460" spans="4:33">
      <c r="D460" s="66"/>
      <c r="G460" s="66"/>
      <c r="V460" s="66"/>
      <c r="W460" s="66"/>
      <c r="X460" s="66"/>
      <c r="AB460" s="66"/>
      <c r="AG460" s="66"/>
    </row>
    <row r="461" spans="4:33">
      <c r="D461" s="66"/>
      <c r="G461" s="66"/>
      <c r="V461" s="66"/>
      <c r="W461" s="66"/>
      <c r="X461" s="66"/>
      <c r="AB461" s="66"/>
      <c r="AG461" s="66"/>
    </row>
    <row r="462" spans="4:33">
      <c r="D462" s="66"/>
      <c r="G462" s="66"/>
      <c r="V462" s="66"/>
      <c r="W462" s="66"/>
      <c r="X462" s="66"/>
      <c r="AB462" s="66"/>
      <c r="AG462" s="66"/>
    </row>
    <row r="463" spans="4:33">
      <c r="D463" s="66"/>
      <c r="G463" s="66"/>
      <c r="V463" s="66"/>
      <c r="W463" s="66"/>
      <c r="X463" s="66"/>
      <c r="AB463" s="66"/>
      <c r="AG463" s="66"/>
    </row>
    <row r="464" spans="4:33">
      <c r="D464" s="66"/>
      <c r="G464" s="66"/>
      <c r="V464" s="66"/>
      <c r="W464" s="66"/>
      <c r="X464" s="66"/>
      <c r="AB464" s="66"/>
      <c r="AG464" s="66"/>
    </row>
    <row r="465" spans="4:33">
      <c r="D465" s="66"/>
      <c r="G465" s="66"/>
      <c r="V465" s="66"/>
      <c r="W465" s="66"/>
      <c r="X465" s="66"/>
      <c r="AB465" s="66"/>
      <c r="AG465" s="66"/>
    </row>
    <row r="466" spans="4:33">
      <c r="D466" s="66"/>
      <c r="G466" s="66"/>
      <c r="V466" s="66"/>
      <c r="W466" s="66"/>
      <c r="X466" s="66"/>
      <c r="AB466" s="66"/>
      <c r="AG466" s="66"/>
    </row>
    <row r="467" spans="4:33">
      <c r="D467" s="66"/>
      <c r="G467" s="66"/>
      <c r="V467" s="66"/>
      <c r="W467" s="66"/>
      <c r="X467" s="66"/>
      <c r="AB467" s="66"/>
      <c r="AG467" s="66"/>
    </row>
    <row r="468" spans="4:33">
      <c r="D468" s="66"/>
      <c r="G468" s="66"/>
      <c r="V468" s="66"/>
      <c r="W468" s="66"/>
      <c r="X468" s="66"/>
      <c r="AB468" s="66"/>
      <c r="AG468" s="66"/>
    </row>
    <row r="469" spans="4:33">
      <c r="D469" s="66"/>
      <c r="G469" s="66"/>
      <c r="V469" s="66"/>
      <c r="W469" s="66"/>
      <c r="X469" s="66"/>
      <c r="AB469" s="66"/>
      <c r="AG469" s="66"/>
    </row>
    <row r="470" spans="4:33">
      <c r="D470" s="66"/>
      <c r="G470" s="66"/>
      <c r="V470" s="66"/>
      <c r="W470" s="66"/>
      <c r="X470" s="66"/>
      <c r="AB470" s="66"/>
      <c r="AG470" s="66"/>
    </row>
    <row r="471" spans="4:33">
      <c r="D471" s="66"/>
      <c r="G471" s="66"/>
      <c r="V471" s="66"/>
      <c r="W471" s="66"/>
      <c r="X471" s="66"/>
      <c r="AB471" s="66"/>
      <c r="AG471" s="66"/>
    </row>
    <row r="472" spans="4:33">
      <c r="D472" s="66"/>
      <c r="G472" s="66"/>
      <c r="V472" s="66"/>
      <c r="W472" s="66"/>
      <c r="X472" s="66"/>
      <c r="AB472" s="66"/>
      <c r="AG472" s="66"/>
    </row>
    <row r="473" spans="4:33">
      <c r="D473" s="66"/>
      <c r="G473" s="66"/>
      <c r="V473" s="66"/>
      <c r="W473" s="66"/>
      <c r="X473" s="66"/>
      <c r="AB473" s="66"/>
      <c r="AG473" s="66"/>
    </row>
    <row r="474" spans="4:33">
      <c r="D474" s="66"/>
      <c r="G474" s="66"/>
      <c r="V474" s="66"/>
      <c r="W474" s="66"/>
      <c r="X474" s="66"/>
      <c r="AB474" s="66"/>
      <c r="AG474" s="66"/>
    </row>
    <row r="475" spans="4:33">
      <c r="D475" s="66"/>
      <c r="G475" s="66"/>
      <c r="V475" s="66"/>
      <c r="W475" s="66"/>
      <c r="X475" s="66"/>
      <c r="AB475" s="66"/>
      <c r="AG475" s="66"/>
    </row>
    <row r="476" spans="4:33">
      <c r="D476" s="66"/>
      <c r="G476" s="66"/>
      <c r="V476" s="66"/>
      <c r="W476" s="66"/>
      <c r="X476" s="66"/>
      <c r="AB476" s="66"/>
      <c r="AG476" s="66"/>
    </row>
    <row r="477" spans="4:33">
      <c r="D477" s="66"/>
      <c r="G477" s="66"/>
      <c r="V477" s="66"/>
      <c r="W477" s="66"/>
      <c r="X477" s="66"/>
      <c r="AB477" s="66"/>
      <c r="AG477" s="66"/>
    </row>
    <row r="478" spans="4:33">
      <c r="D478" s="66"/>
      <c r="G478" s="66"/>
      <c r="V478" s="66"/>
      <c r="W478" s="66"/>
      <c r="X478" s="66"/>
      <c r="AB478" s="66"/>
      <c r="AG478" s="66"/>
    </row>
    <row r="479" spans="4:33">
      <c r="D479" s="66"/>
      <c r="G479" s="66"/>
      <c r="V479" s="66"/>
      <c r="W479" s="66"/>
      <c r="X479" s="66"/>
      <c r="AB479" s="66"/>
      <c r="AG479" s="66"/>
    </row>
    <row r="480" spans="4:33">
      <c r="D480" s="66"/>
      <c r="G480" s="66"/>
      <c r="V480" s="66"/>
      <c r="W480" s="66"/>
      <c r="X480" s="66"/>
      <c r="AB480" s="66"/>
      <c r="AG480" s="66"/>
    </row>
    <row r="481" spans="4:33">
      <c r="D481" s="66"/>
      <c r="G481" s="66"/>
      <c r="V481" s="66"/>
      <c r="W481" s="66"/>
      <c r="X481" s="66"/>
      <c r="AB481" s="66"/>
      <c r="AG481" s="66"/>
    </row>
    <row r="482" spans="4:33">
      <c r="D482" s="66"/>
      <c r="G482" s="66"/>
      <c r="V482" s="66"/>
      <c r="W482" s="66"/>
      <c r="X482" s="66"/>
      <c r="AB482" s="66"/>
      <c r="AG482" s="66"/>
    </row>
    <row r="483" spans="4:33">
      <c r="D483" s="66"/>
      <c r="G483" s="66"/>
      <c r="V483" s="66"/>
      <c r="W483" s="66"/>
      <c r="X483" s="66"/>
      <c r="AB483" s="66"/>
      <c r="AG483" s="66"/>
    </row>
    <row r="484" spans="4:33">
      <c r="D484" s="66"/>
      <c r="G484" s="66"/>
      <c r="V484" s="66"/>
      <c r="W484" s="66"/>
      <c r="X484" s="66"/>
      <c r="AB484" s="66"/>
      <c r="AG484" s="66"/>
    </row>
    <row r="485" spans="4:33">
      <c r="D485" s="66"/>
      <c r="G485" s="66"/>
      <c r="V485" s="66"/>
      <c r="W485" s="66"/>
      <c r="X485" s="66"/>
      <c r="AB485" s="66"/>
      <c r="AG485" s="66"/>
    </row>
    <row r="486" spans="4:33">
      <c r="D486" s="66"/>
      <c r="G486" s="66"/>
      <c r="V486" s="66"/>
      <c r="W486" s="66"/>
      <c r="X486" s="66"/>
      <c r="AB486" s="66"/>
      <c r="AG486" s="66"/>
    </row>
    <row r="487" spans="4:33">
      <c r="D487" s="66"/>
      <c r="G487" s="66"/>
      <c r="V487" s="66"/>
      <c r="W487" s="66"/>
      <c r="X487" s="66"/>
      <c r="AB487" s="66"/>
      <c r="AG487" s="66"/>
    </row>
    <row r="488" spans="4:33">
      <c r="D488" s="66"/>
      <c r="G488" s="66"/>
      <c r="V488" s="66"/>
      <c r="W488" s="66"/>
      <c r="X488" s="66"/>
      <c r="AB488" s="66"/>
      <c r="AG488" s="66"/>
    </row>
    <row r="489" spans="4:33">
      <c r="D489" s="66"/>
      <c r="G489" s="66"/>
      <c r="V489" s="66"/>
      <c r="W489" s="66"/>
      <c r="X489" s="66"/>
      <c r="AB489" s="66"/>
      <c r="AG489" s="66"/>
    </row>
    <row r="490" spans="4:33">
      <c r="D490" s="66"/>
      <c r="G490" s="66"/>
      <c r="V490" s="66"/>
      <c r="W490" s="66"/>
      <c r="X490" s="66"/>
      <c r="AB490" s="66"/>
      <c r="AG490" s="66"/>
    </row>
    <row r="491" spans="4:33">
      <c r="D491" s="66"/>
      <c r="G491" s="66"/>
      <c r="V491" s="66"/>
      <c r="W491" s="66"/>
      <c r="X491" s="66"/>
      <c r="AB491" s="66"/>
      <c r="AG491" s="66"/>
    </row>
    <row r="492" spans="4:33">
      <c r="D492" s="66"/>
      <c r="G492" s="66"/>
      <c r="V492" s="66"/>
      <c r="W492" s="66"/>
      <c r="X492" s="66"/>
      <c r="AB492" s="66"/>
      <c r="AG492" s="66"/>
    </row>
    <row r="493" spans="4:33">
      <c r="D493" s="66"/>
      <c r="G493" s="66"/>
      <c r="V493" s="66"/>
      <c r="W493" s="66"/>
      <c r="X493" s="66"/>
      <c r="AB493" s="66"/>
      <c r="AG493" s="66"/>
    </row>
    <row r="494" spans="4:33">
      <c r="D494" s="66"/>
      <c r="G494" s="66"/>
      <c r="V494" s="66"/>
      <c r="W494" s="66"/>
      <c r="X494" s="66"/>
      <c r="AB494" s="66"/>
      <c r="AG494" s="66"/>
    </row>
    <row r="495" spans="4:33">
      <c r="D495" s="66"/>
      <c r="G495" s="66"/>
      <c r="V495" s="66"/>
      <c r="W495" s="66"/>
      <c r="X495" s="66"/>
      <c r="AB495" s="66"/>
      <c r="AG495" s="66"/>
    </row>
    <row r="496" spans="4:33">
      <c r="D496" s="66"/>
      <c r="G496" s="66"/>
      <c r="V496" s="66"/>
      <c r="W496" s="66"/>
      <c r="X496" s="66"/>
      <c r="AB496" s="66"/>
      <c r="AG496" s="66"/>
    </row>
    <row r="497" spans="4:33">
      <c r="D497" s="66"/>
      <c r="G497" s="66"/>
      <c r="V497" s="66"/>
      <c r="W497" s="66"/>
      <c r="X497" s="66"/>
      <c r="AB497" s="66"/>
      <c r="AG497" s="66"/>
    </row>
    <row r="498" spans="4:33">
      <c r="D498" s="66"/>
      <c r="G498" s="66"/>
      <c r="V498" s="66"/>
      <c r="W498" s="66"/>
      <c r="X498" s="66"/>
      <c r="AB498" s="66"/>
      <c r="AG498" s="66"/>
    </row>
    <row r="499" spans="4:33">
      <c r="D499" s="66"/>
      <c r="G499" s="66"/>
      <c r="V499" s="66"/>
      <c r="W499" s="66"/>
      <c r="X499" s="66"/>
      <c r="AB499" s="66"/>
      <c r="AG499" s="66"/>
    </row>
    <row r="500" spans="4:33">
      <c r="D500" s="66"/>
      <c r="G500" s="66"/>
      <c r="V500" s="66"/>
      <c r="W500" s="66"/>
      <c r="X500" s="66"/>
      <c r="AB500" s="66"/>
      <c r="AG500" s="66"/>
    </row>
    <row r="501" spans="4:33">
      <c r="D501" s="66"/>
      <c r="G501" s="66"/>
      <c r="V501" s="66"/>
      <c r="W501" s="66"/>
      <c r="X501" s="66"/>
      <c r="AB501" s="66"/>
      <c r="AG501" s="66"/>
    </row>
    <row r="502" spans="4:33">
      <c r="D502" s="66"/>
      <c r="G502" s="66"/>
      <c r="V502" s="66"/>
      <c r="W502" s="66"/>
      <c r="X502" s="66"/>
      <c r="AB502" s="66"/>
      <c r="AG502" s="66"/>
    </row>
    <row r="503" spans="4:33">
      <c r="D503" s="66"/>
      <c r="G503" s="66"/>
      <c r="V503" s="66"/>
      <c r="W503" s="66"/>
      <c r="X503" s="66"/>
      <c r="AB503" s="66"/>
      <c r="AG503" s="66"/>
    </row>
    <row r="504" spans="4:33">
      <c r="D504" s="66"/>
      <c r="G504" s="66"/>
      <c r="V504" s="66"/>
      <c r="W504" s="66"/>
      <c r="X504" s="66"/>
      <c r="AB504" s="66"/>
      <c r="AG504" s="66"/>
    </row>
    <row r="505" spans="4:33">
      <c r="D505" s="66"/>
      <c r="G505" s="66"/>
      <c r="V505" s="66"/>
      <c r="W505" s="66"/>
      <c r="X505" s="66"/>
      <c r="AB505" s="66"/>
      <c r="AG505" s="66"/>
    </row>
    <row r="506" spans="4:33">
      <c r="D506" s="66"/>
      <c r="G506" s="66"/>
      <c r="V506" s="66"/>
      <c r="W506" s="66"/>
      <c r="X506" s="66"/>
      <c r="AB506" s="66"/>
      <c r="AG506" s="66"/>
    </row>
    <row r="507" spans="4:33">
      <c r="D507" s="66"/>
      <c r="G507" s="66"/>
      <c r="V507" s="66"/>
      <c r="W507" s="66"/>
      <c r="X507" s="66"/>
      <c r="AB507" s="66"/>
      <c r="AG507" s="66"/>
    </row>
    <row r="508" spans="4:33">
      <c r="D508" s="66"/>
      <c r="G508" s="66"/>
      <c r="V508" s="66"/>
      <c r="W508" s="66"/>
      <c r="X508" s="66"/>
      <c r="AB508" s="66"/>
      <c r="AG508" s="66"/>
    </row>
    <row r="509" spans="4:33">
      <c r="D509" s="66"/>
      <c r="G509" s="66"/>
      <c r="V509" s="66"/>
      <c r="W509" s="66"/>
      <c r="X509" s="66"/>
      <c r="AB509" s="66"/>
      <c r="AG509" s="66"/>
    </row>
    <row r="510" spans="4:33">
      <c r="D510" s="66"/>
      <c r="G510" s="66"/>
      <c r="V510" s="66"/>
      <c r="W510" s="66"/>
      <c r="X510" s="66"/>
      <c r="AB510" s="66"/>
      <c r="AG510" s="66"/>
    </row>
    <row r="511" spans="4:33">
      <c r="D511" s="66"/>
      <c r="G511" s="66"/>
      <c r="V511" s="66"/>
      <c r="W511" s="66"/>
      <c r="X511" s="66"/>
      <c r="AB511" s="66"/>
      <c r="AG511" s="66"/>
    </row>
    <row r="512" spans="4:33">
      <c r="D512" s="66"/>
      <c r="G512" s="66"/>
      <c r="V512" s="66"/>
      <c r="W512" s="66"/>
      <c r="X512" s="66"/>
      <c r="AB512" s="66"/>
      <c r="AG512" s="66"/>
    </row>
    <row r="513" spans="4:33">
      <c r="D513" s="66"/>
      <c r="G513" s="66"/>
      <c r="V513" s="66"/>
      <c r="W513" s="66"/>
      <c r="X513" s="66"/>
      <c r="AB513" s="66"/>
      <c r="AG513" s="66"/>
    </row>
    <row r="514" spans="4:33">
      <c r="D514" s="66"/>
      <c r="G514" s="66"/>
      <c r="V514" s="66"/>
      <c r="W514" s="66"/>
      <c r="X514" s="66"/>
      <c r="AB514" s="66"/>
      <c r="AG514" s="66"/>
    </row>
    <row r="515" spans="4:33">
      <c r="D515" s="66"/>
      <c r="G515" s="66"/>
      <c r="V515" s="66"/>
      <c r="W515" s="66"/>
      <c r="X515" s="66"/>
      <c r="AB515" s="66"/>
      <c r="AG515" s="66"/>
    </row>
    <row r="516" spans="4:33">
      <c r="D516" s="66"/>
      <c r="G516" s="66"/>
      <c r="V516" s="66"/>
      <c r="W516" s="66"/>
      <c r="X516" s="66"/>
      <c r="AB516" s="66"/>
      <c r="AG516" s="66"/>
    </row>
    <row r="517" spans="4:33">
      <c r="D517" s="66"/>
      <c r="G517" s="66"/>
      <c r="V517" s="66"/>
      <c r="W517" s="66"/>
      <c r="X517" s="66"/>
      <c r="AB517" s="66"/>
      <c r="AG517" s="66"/>
    </row>
    <row r="518" spans="4:33">
      <c r="D518" s="66"/>
      <c r="G518" s="66"/>
      <c r="V518" s="66"/>
      <c r="W518" s="66"/>
      <c r="X518" s="66"/>
      <c r="AB518" s="66"/>
      <c r="AG518" s="66"/>
    </row>
    <row r="519" spans="4:33">
      <c r="D519" s="66"/>
      <c r="G519" s="66"/>
      <c r="V519" s="66"/>
      <c r="W519" s="66"/>
      <c r="X519" s="66"/>
      <c r="AB519" s="66"/>
      <c r="AG519" s="66"/>
    </row>
    <row r="520" spans="4:33">
      <c r="D520" s="66"/>
      <c r="G520" s="66"/>
      <c r="V520" s="66"/>
      <c r="W520" s="66"/>
      <c r="X520" s="66"/>
      <c r="AB520" s="66"/>
      <c r="AG520" s="66"/>
    </row>
    <row r="521" spans="4:33">
      <c r="D521" s="66"/>
      <c r="G521" s="66"/>
      <c r="V521" s="66"/>
      <c r="W521" s="66"/>
      <c r="X521" s="66"/>
      <c r="AB521" s="66"/>
      <c r="AG521" s="66"/>
    </row>
    <row r="522" spans="4:33">
      <c r="D522" s="66"/>
      <c r="G522" s="66"/>
      <c r="V522" s="66"/>
      <c r="W522" s="66"/>
      <c r="X522" s="66"/>
      <c r="AB522" s="66"/>
      <c r="AG522" s="66"/>
    </row>
    <row r="523" spans="4:33">
      <c r="D523" s="66"/>
      <c r="G523" s="66"/>
      <c r="V523" s="66"/>
      <c r="W523" s="66"/>
      <c r="X523" s="66"/>
      <c r="AB523" s="66"/>
      <c r="AG523" s="66"/>
    </row>
    <row r="524" spans="4:33">
      <c r="D524" s="66"/>
      <c r="G524" s="66"/>
      <c r="V524" s="66"/>
      <c r="W524" s="66"/>
      <c r="X524" s="66"/>
      <c r="AB524" s="66"/>
      <c r="AG524" s="66"/>
    </row>
    <row r="525" spans="4:33">
      <c r="D525" s="66"/>
      <c r="G525" s="66"/>
      <c r="V525" s="66"/>
      <c r="W525" s="66"/>
      <c r="X525" s="66"/>
      <c r="AB525" s="66"/>
      <c r="AG525" s="66"/>
    </row>
    <row r="526" spans="4:33">
      <c r="D526" s="66"/>
      <c r="G526" s="66"/>
      <c r="V526" s="66"/>
      <c r="W526" s="66"/>
      <c r="X526" s="66"/>
      <c r="AB526" s="66"/>
      <c r="AG526" s="66"/>
    </row>
    <row r="527" spans="4:33">
      <c r="D527" s="66"/>
      <c r="G527" s="66"/>
      <c r="V527" s="66"/>
      <c r="W527" s="66"/>
      <c r="X527" s="66"/>
      <c r="AB527" s="66"/>
      <c r="AG527" s="66"/>
    </row>
    <row r="528" spans="4:33">
      <c r="D528" s="66"/>
      <c r="G528" s="66"/>
      <c r="V528" s="66"/>
      <c r="W528" s="66"/>
      <c r="X528" s="66"/>
      <c r="AB528" s="66"/>
      <c r="AG528" s="66"/>
    </row>
    <row r="529" spans="4:33">
      <c r="D529" s="66"/>
      <c r="G529" s="66"/>
      <c r="V529" s="66"/>
      <c r="W529" s="66"/>
      <c r="X529" s="66"/>
      <c r="AB529" s="66"/>
      <c r="AG529" s="66"/>
    </row>
    <row r="530" spans="4:33">
      <c r="D530" s="66"/>
      <c r="G530" s="66"/>
      <c r="V530" s="66"/>
      <c r="W530" s="66"/>
      <c r="X530" s="66"/>
      <c r="AB530" s="66"/>
      <c r="AG530" s="66"/>
    </row>
    <row r="531" spans="4:33">
      <c r="D531" s="66"/>
      <c r="G531" s="66"/>
      <c r="V531" s="66"/>
      <c r="W531" s="66"/>
      <c r="X531" s="66"/>
      <c r="AB531" s="66"/>
      <c r="AG531" s="66"/>
    </row>
    <row r="532" spans="4:33">
      <c r="D532" s="66"/>
      <c r="G532" s="66"/>
      <c r="V532" s="66"/>
      <c r="W532" s="66"/>
      <c r="X532" s="66"/>
      <c r="AB532" s="66"/>
      <c r="AG532" s="66"/>
    </row>
    <row r="533" spans="4:33">
      <c r="D533" s="66"/>
      <c r="G533" s="66"/>
      <c r="V533" s="66"/>
      <c r="W533" s="66"/>
      <c r="X533" s="66"/>
      <c r="AB533" s="66"/>
      <c r="AG533" s="66"/>
    </row>
    <row r="534" spans="4:33">
      <c r="D534" s="66"/>
      <c r="G534" s="66"/>
      <c r="V534" s="66"/>
      <c r="W534" s="66"/>
      <c r="X534" s="66"/>
      <c r="AB534" s="66"/>
      <c r="AG534" s="66"/>
    </row>
    <row r="535" spans="4:33">
      <c r="D535" s="66"/>
      <c r="G535" s="66"/>
      <c r="V535" s="66"/>
      <c r="W535" s="66"/>
      <c r="X535" s="66"/>
      <c r="AB535" s="66"/>
      <c r="AG535" s="66"/>
    </row>
    <row r="536" spans="4:33">
      <c r="D536" s="66"/>
      <c r="G536" s="66"/>
      <c r="V536" s="66"/>
      <c r="W536" s="66"/>
      <c r="X536" s="66"/>
      <c r="AB536" s="66"/>
      <c r="AG536" s="66"/>
    </row>
    <row r="537" spans="4:33">
      <c r="D537" s="66"/>
      <c r="G537" s="66"/>
      <c r="V537" s="66"/>
      <c r="W537" s="66"/>
      <c r="X537" s="66"/>
      <c r="AB537" s="66"/>
      <c r="AG537" s="66"/>
    </row>
    <row r="538" spans="4:33">
      <c r="D538" s="66"/>
      <c r="G538" s="66"/>
      <c r="V538" s="66"/>
      <c r="W538" s="66"/>
      <c r="X538" s="66"/>
      <c r="AB538" s="66"/>
      <c r="AG538" s="66"/>
    </row>
    <row r="539" spans="4:33">
      <c r="D539" s="66"/>
      <c r="G539" s="66"/>
      <c r="V539" s="66"/>
      <c r="W539" s="66"/>
      <c r="X539" s="66"/>
      <c r="AB539" s="66"/>
      <c r="AG539" s="66"/>
    </row>
    <row r="540" spans="4:33">
      <c r="D540" s="66"/>
      <c r="G540" s="66"/>
      <c r="V540" s="66"/>
      <c r="W540" s="66"/>
      <c r="X540" s="66"/>
      <c r="AB540" s="66"/>
      <c r="AG540" s="66"/>
    </row>
    <row r="541" spans="4:33">
      <c r="D541" s="66"/>
      <c r="G541" s="66"/>
      <c r="V541" s="66"/>
      <c r="W541" s="66"/>
      <c r="X541" s="66"/>
      <c r="AB541" s="66"/>
      <c r="AG541" s="66"/>
    </row>
    <row r="542" spans="4:33">
      <c r="D542" s="66"/>
      <c r="G542" s="66"/>
      <c r="V542" s="66"/>
      <c r="W542" s="66"/>
      <c r="X542" s="66"/>
      <c r="AB542" s="66"/>
      <c r="AG542" s="66"/>
    </row>
    <row r="543" spans="4:33">
      <c r="D543" s="66"/>
      <c r="G543" s="66"/>
      <c r="V543" s="66"/>
      <c r="W543" s="66"/>
      <c r="X543" s="66"/>
      <c r="AB543" s="66"/>
      <c r="AG543" s="66"/>
    </row>
    <row r="544" spans="4:33">
      <c r="D544" s="66"/>
      <c r="G544" s="66"/>
      <c r="V544" s="66"/>
      <c r="W544" s="66"/>
      <c r="X544" s="66"/>
      <c r="AB544" s="66"/>
      <c r="AG544" s="66"/>
    </row>
    <row r="545" spans="4:33">
      <c r="D545" s="66"/>
      <c r="G545" s="66"/>
      <c r="V545" s="66"/>
      <c r="W545" s="66"/>
      <c r="X545" s="66"/>
      <c r="AB545" s="66"/>
      <c r="AG545" s="66"/>
    </row>
    <row r="546" spans="4:33">
      <c r="D546" s="66"/>
      <c r="G546" s="66"/>
      <c r="V546" s="66"/>
      <c r="W546" s="66"/>
      <c r="X546" s="66"/>
      <c r="AB546" s="66"/>
      <c r="AG546" s="66"/>
    </row>
    <row r="547" spans="4:33">
      <c r="D547" s="66"/>
      <c r="G547" s="66"/>
      <c r="V547" s="66"/>
      <c r="W547" s="66"/>
      <c r="X547" s="66"/>
      <c r="AB547" s="66"/>
      <c r="AG547" s="66"/>
    </row>
    <row r="548" spans="4:33">
      <c r="D548" s="66"/>
      <c r="G548" s="66"/>
      <c r="V548" s="66"/>
      <c r="W548" s="66"/>
      <c r="X548" s="66"/>
      <c r="AB548" s="66"/>
      <c r="AG548" s="66"/>
    </row>
    <row r="549" spans="4:33">
      <c r="D549" s="66"/>
      <c r="G549" s="66"/>
      <c r="V549" s="66"/>
      <c r="W549" s="66"/>
      <c r="X549" s="66"/>
      <c r="AB549" s="66"/>
      <c r="AG549" s="66"/>
    </row>
    <row r="550" spans="4:33">
      <c r="D550" s="66"/>
      <c r="G550" s="66"/>
      <c r="V550" s="66"/>
      <c r="W550" s="66"/>
      <c r="X550" s="66"/>
      <c r="AB550" s="66"/>
      <c r="AG550" s="66"/>
    </row>
    <row r="551" spans="4:33">
      <c r="D551" s="66"/>
      <c r="G551" s="66"/>
      <c r="V551" s="66"/>
      <c r="W551" s="66"/>
      <c r="X551" s="66"/>
      <c r="AB551" s="66"/>
      <c r="AG551" s="66"/>
    </row>
    <row r="552" spans="4:33">
      <c r="D552" s="66"/>
      <c r="G552" s="66"/>
      <c r="V552" s="66"/>
      <c r="W552" s="66"/>
      <c r="X552" s="66"/>
      <c r="AB552" s="66"/>
      <c r="AG552" s="66"/>
    </row>
    <row r="553" spans="4:33">
      <c r="D553" s="66"/>
      <c r="G553" s="66"/>
      <c r="V553" s="66"/>
      <c r="W553" s="66"/>
      <c r="X553" s="66"/>
      <c r="AB553" s="66"/>
      <c r="AG553" s="66"/>
    </row>
    <row r="554" spans="4:33">
      <c r="D554" s="66"/>
      <c r="G554" s="66"/>
      <c r="V554" s="66"/>
      <c r="W554" s="66"/>
      <c r="X554" s="66"/>
      <c r="AB554" s="66"/>
      <c r="AG554" s="66"/>
    </row>
    <row r="555" spans="4:33">
      <c r="D555" s="66"/>
      <c r="G555" s="66"/>
      <c r="V555" s="66"/>
      <c r="W555" s="66"/>
      <c r="X555" s="66"/>
      <c r="AB555" s="66"/>
      <c r="AG555" s="66"/>
    </row>
    <row r="556" spans="4:33">
      <c r="D556" s="66"/>
      <c r="G556" s="66"/>
      <c r="V556" s="66"/>
      <c r="W556" s="66"/>
      <c r="X556" s="66"/>
      <c r="AB556" s="66"/>
      <c r="AG556" s="66"/>
    </row>
    <row r="557" spans="4:33">
      <c r="D557" s="66"/>
      <c r="G557" s="66"/>
      <c r="V557" s="66"/>
      <c r="W557" s="66"/>
      <c r="X557" s="66"/>
      <c r="AB557" s="66"/>
      <c r="AG557" s="66"/>
    </row>
    <row r="558" spans="4:33">
      <c r="D558" s="66"/>
      <c r="G558" s="66"/>
      <c r="V558" s="66"/>
      <c r="W558" s="66"/>
      <c r="X558" s="66"/>
      <c r="AB558" s="66"/>
      <c r="AG558" s="66"/>
    </row>
    <row r="559" spans="4:33">
      <c r="D559" s="66"/>
      <c r="G559" s="66"/>
      <c r="V559" s="66"/>
      <c r="W559" s="66"/>
      <c r="X559" s="66"/>
      <c r="AB559" s="66"/>
      <c r="AG559" s="66"/>
    </row>
    <row r="560" spans="4:33">
      <c r="D560" s="66"/>
      <c r="G560" s="66"/>
      <c r="V560" s="66"/>
      <c r="W560" s="66"/>
      <c r="X560" s="66"/>
      <c r="AB560" s="66"/>
      <c r="AG560" s="66"/>
    </row>
    <row r="561" spans="4:33">
      <c r="D561" s="66"/>
      <c r="G561" s="66"/>
      <c r="V561" s="66"/>
      <c r="W561" s="66"/>
      <c r="X561" s="66"/>
      <c r="AB561" s="66"/>
      <c r="AG561" s="66"/>
    </row>
    <row r="562" spans="4:33">
      <c r="D562" s="66"/>
      <c r="G562" s="66"/>
      <c r="V562" s="66"/>
      <c r="W562" s="66"/>
      <c r="X562" s="66"/>
      <c r="AB562" s="66"/>
      <c r="AG562" s="66"/>
    </row>
    <row r="563" spans="4:33">
      <c r="D563" s="66"/>
      <c r="G563" s="66"/>
      <c r="V563" s="66"/>
      <c r="W563" s="66"/>
      <c r="X563" s="66"/>
      <c r="AB563" s="66"/>
      <c r="AG563" s="66"/>
    </row>
    <row r="564" spans="4:33">
      <c r="D564" s="66"/>
      <c r="G564" s="66"/>
      <c r="V564" s="66"/>
      <c r="W564" s="66"/>
      <c r="X564" s="66"/>
      <c r="AB564" s="66"/>
      <c r="AG564" s="66"/>
    </row>
    <row r="565" spans="4:33">
      <c r="D565" s="66"/>
      <c r="G565" s="66"/>
      <c r="V565" s="66"/>
      <c r="W565" s="66"/>
      <c r="X565" s="66"/>
      <c r="AB565" s="66"/>
      <c r="AG565" s="66"/>
    </row>
    <row r="566" spans="4:33">
      <c r="D566" s="66"/>
      <c r="G566" s="66"/>
      <c r="V566" s="66"/>
      <c r="W566" s="66"/>
      <c r="X566" s="66"/>
      <c r="AB566" s="66"/>
      <c r="AG566" s="66"/>
    </row>
    <row r="567" spans="4:33">
      <c r="D567" s="66"/>
      <c r="G567" s="66"/>
      <c r="V567" s="66"/>
      <c r="W567" s="66"/>
      <c r="X567" s="66"/>
      <c r="AB567" s="66"/>
      <c r="AG567" s="66"/>
    </row>
    <row r="568" spans="4:33">
      <c r="D568" s="66"/>
      <c r="G568" s="66"/>
      <c r="V568" s="66"/>
      <c r="W568" s="66"/>
      <c r="X568" s="66"/>
      <c r="AB568" s="66"/>
      <c r="AG568" s="66"/>
    </row>
    <row r="569" spans="4:33">
      <c r="D569" s="66"/>
      <c r="G569" s="66"/>
      <c r="V569" s="66"/>
      <c r="W569" s="66"/>
      <c r="X569" s="66"/>
      <c r="AB569" s="66"/>
      <c r="AG569" s="66"/>
    </row>
    <row r="570" spans="4:33">
      <c r="D570" s="66"/>
      <c r="G570" s="66"/>
      <c r="V570" s="66"/>
      <c r="W570" s="66"/>
      <c r="X570" s="66"/>
      <c r="AB570" s="66"/>
      <c r="AG570" s="66"/>
    </row>
    <row r="571" spans="4:33">
      <c r="D571" s="66"/>
      <c r="G571" s="66"/>
      <c r="V571" s="66"/>
      <c r="W571" s="66"/>
      <c r="X571" s="66"/>
      <c r="AB571" s="66"/>
      <c r="AG571" s="66"/>
    </row>
    <row r="572" spans="4:33">
      <c r="D572" s="66"/>
      <c r="G572" s="66"/>
      <c r="V572" s="66"/>
      <c r="W572" s="66"/>
      <c r="X572" s="66"/>
      <c r="AB572" s="66"/>
      <c r="AG572" s="66"/>
    </row>
    <row r="573" spans="4:33">
      <c r="D573" s="66"/>
      <c r="G573" s="66"/>
      <c r="V573" s="66"/>
      <c r="W573" s="66"/>
      <c r="X573" s="66"/>
      <c r="AB573" s="66"/>
      <c r="AG573" s="66"/>
    </row>
    <row r="574" spans="4:33">
      <c r="D574" s="66"/>
      <c r="G574" s="66"/>
      <c r="V574" s="66"/>
      <c r="W574" s="66"/>
      <c r="X574" s="66"/>
      <c r="AB574" s="66"/>
      <c r="AG574" s="66"/>
    </row>
    <row r="575" spans="4:33">
      <c r="D575" s="66"/>
      <c r="G575" s="66"/>
      <c r="V575" s="66"/>
      <c r="W575" s="66"/>
      <c r="X575" s="66"/>
      <c r="AB575" s="66"/>
      <c r="AG575" s="66"/>
    </row>
    <row r="576" spans="4:33">
      <c r="D576" s="66"/>
      <c r="G576" s="66"/>
      <c r="V576" s="66"/>
      <c r="W576" s="66"/>
      <c r="X576" s="66"/>
      <c r="AB576" s="66"/>
      <c r="AG576" s="66"/>
    </row>
    <row r="577" spans="4:33">
      <c r="D577" s="66"/>
      <c r="G577" s="66"/>
      <c r="V577" s="66"/>
      <c r="W577" s="66"/>
      <c r="X577" s="66"/>
      <c r="AB577" s="66"/>
      <c r="AG577" s="66"/>
    </row>
    <row r="578" spans="4:33">
      <c r="D578" s="66"/>
      <c r="G578" s="66"/>
      <c r="V578" s="66"/>
      <c r="W578" s="66"/>
      <c r="X578" s="66"/>
      <c r="AB578" s="66"/>
      <c r="AG578" s="66"/>
    </row>
    <row r="579" spans="4:33">
      <c r="D579" s="66"/>
      <c r="G579" s="66"/>
      <c r="V579" s="66"/>
      <c r="W579" s="66"/>
      <c r="X579" s="66"/>
      <c r="AB579" s="66"/>
      <c r="AG579" s="66"/>
    </row>
    <row r="580" spans="4:33">
      <c r="D580" s="66"/>
      <c r="G580" s="66"/>
      <c r="V580" s="66"/>
      <c r="W580" s="66"/>
      <c r="X580" s="66"/>
      <c r="AB580" s="66"/>
      <c r="AG580" s="66"/>
    </row>
    <row r="581" spans="4:33">
      <c r="D581" s="66"/>
      <c r="G581" s="66"/>
      <c r="V581" s="66"/>
      <c r="W581" s="66"/>
      <c r="X581" s="66"/>
      <c r="AB581" s="66"/>
      <c r="AG581" s="66"/>
    </row>
    <row r="582" spans="4:33">
      <c r="D582" s="66"/>
      <c r="G582" s="66"/>
      <c r="V582" s="66"/>
      <c r="W582" s="66"/>
      <c r="X582" s="66"/>
      <c r="AB582" s="66"/>
      <c r="AG582" s="66"/>
    </row>
    <row r="583" spans="4:33">
      <c r="D583" s="66"/>
      <c r="G583" s="66"/>
      <c r="V583" s="66"/>
      <c r="W583" s="66"/>
      <c r="X583" s="66"/>
      <c r="AB583" s="66"/>
      <c r="AG583" s="66"/>
    </row>
    <row r="584" spans="4:33">
      <c r="D584" s="66"/>
      <c r="G584" s="66"/>
      <c r="V584" s="66"/>
      <c r="W584" s="66"/>
      <c r="X584" s="66"/>
      <c r="AB584" s="66"/>
      <c r="AG584" s="66"/>
    </row>
    <row r="585" spans="4:33">
      <c r="D585" s="66"/>
      <c r="G585" s="66"/>
      <c r="V585" s="66"/>
      <c r="W585" s="66"/>
      <c r="X585" s="66"/>
      <c r="AB585" s="66"/>
      <c r="AG585" s="66"/>
    </row>
    <row r="586" spans="4:33">
      <c r="D586" s="66"/>
      <c r="G586" s="66"/>
      <c r="V586" s="66"/>
      <c r="W586" s="66"/>
      <c r="X586" s="66"/>
      <c r="AB586" s="66"/>
      <c r="AG586" s="66"/>
    </row>
    <row r="587" spans="4:33">
      <c r="D587" s="66"/>
      <c r="G587" s="66"/>
      <c r="V587" s="66"/>
      <c r="W587" s="66"/>
      <c r="X587" s="66"/>
      <c r="AB587" s="66"/>
      <c r="AG587" s="66"/>
    </row>
    <row r="588" spans="4:33">
      <c r="D588" s="66"/>
      <c r="G588" s="66"/>
      <c r="V588" s="66"/>
      <c r="W588" s="66"/>
      <c r="X588" s="66"/>
      <c r="AB588" s="66"/>
      <c r="AG588" s="66"/>
    </row>
    <row r="589" spans="4:33">
      <c r="D589" s="66"/>
      <c r="G589" s="66"/>
      <c r="V589" s="66"/>
      <c r="W589" s="66"/>
      <c r="X589" s="66"/>
      <c r="AB589" s="66"/>
      <c r="AG589" s="66"/>
    </row>
    <row r="590" spans="4:33">
      <c r="D590" s="66"/>
      <c r="G590" s="66"/>
      <c r="V590" s="66"/>
      <c r="W590" s="66"/>
      <c r="X590" s="66"/>
      <c r="AB590" s="66"/>
      <c r="AG590" s="66"/>
    </row>
    <row r="591" spans="4:33">
      <c r="D591" s="66"/>
      <c r="G591" s="66"/>
      <c r="V591" s="66"/>
      <c r="W591" s="66"/>
      <c r="X591" s="66"/>
      <c r="AB591" s="66"/>
      <c r="AG591" s="66"/>
    </row>
    <row r="592" spans="4:33">
      <c r="D592" s="66"/>
      <c r="G592" s="66"/>
      <c r="V592" s="66"/>
      <c r="W592" s="66"/>
      <c r="X592" s="66"/>
      <c r="AB592" s="66"/>
      <c r="AG592" s="66"/>
    </row>
    <row r="593" spans="4:33">
      <c r="D593" s="66"/>
      <c r="G593" s="66"/>
      <c r="V593" s="66"/>
      <c r="W593" s="66"/>
      <c r="X593" s="66"/>
      <c r="AB593" s="66"/>
      <c r="AG593" s="66"/>
    </row>
    <row r="594" spans="4:33">
      <c r="D594" s="66"/>
      <c r="G594" s="66"/>
      <c r="V594" s="66"/>
      <c r="W594" s="66"/>
      <c r="X594" s="66"/>
      <c r="AB594" s="66"/>
      <c r="AG594" s="66"/>
    </row>
    <row r="595" spans="4:33">
      <c r="D595" s="66"/>
      <c r="G595" s="66"/>
      <c r="V595" s="66"/>
      <c r="W595" s="66"/>
      <c r="X595" s="66"/>
      <c r="AB595" s="66"/>
      <c r="AG595" s="66"/>
    </row>
    <row r="596" spans="4:33">
      <c r="D596" s="66"/>
      <c r="G596" s="66"/>
      <c r="V596" s="66"/>
      <c r="W596" s="66"/>
      <c r="X596" s="66"/>
      <c r="AB596" s="66"/>
      <c r="AG596" s="66"/>
    </row>
    <row r="597" spans="4:33">
      <c r="D597" s="66"/>
      <c r="G597" s="66"/>
      <c r="V597" s="66"/>
      <c r="W597" s="66"/>
      <c r="X597" s="66"/>
      <c r="AB597" s="66"/>
      <c r="AG597" s="66"/>
    </row>
    <row r="598" spans="4:33">
      <c r="D598" s="66"/>
      <c r="G598" s="66"/>
      <c r="V598" s="66"/>
      <c r="W598" s="66"/>
      <c r="X598" s="66"/>
      <c r="AB598" s="66"/>
      <c r="AG598" s="66"/>
    </row>
    <row r="599" spans="4:33">
      <c r="D599" s="66"/>
      <c r="G599" s="66"/>
      <c r="V599" s="66"/>
      <c r="W599" s="66"/>
      <c r="X599" s="66"/>
      <c r="AB599" s="66"/>
      <c r="AG599" s="66"/>
    </row>
    <row r="600" spans="4:33">
      <c r="D600" s="66"/>
      <c r="G600" s="66"/>
      <c r="V600" s="66"/>
      <c r="W600" s="66"/>
      <c r="X600" s="66"/>
      <c r="AB600" s="66"/>
      <c r="AG600" s="66"/>
    </row>
    <row r="601" spans="4:33">
      <c r="D601" s="66"/>
      <c r="G601" s="66"/>
      <c r="V601" s="66"/>
      <c r="W601" s="66"/>
      <c r="X601" s="66"/>
      <c r="AB601" s="66"/>
      <c r="AG601" s="66"/>
    </row>
    <row r="602" spans="4:33">
      <c r="D602" s="66"/>
      <c r="G602" s="66"/>
      <c r="V602" s="66"/>
      <c r="W602" s="66"/>
      <c r="X602" s="66"/>
      <c r="AB602" s="66"/>
      <c r="AG602" s="66"/>
    </row>
    <row r="603" spans="4:33">
      <c r="D603" s="66"/>
      <c r="G603" s="66"/>
      <c r="V603" s="66"/>
      <c r="W603" s="66"/>
      <c r="X603" s="66"/>
      <c r="AB603" s="66"/>
      <c r="AG603" s="66"/>
    </row>
    <row r="604" spans="4:33">
      <c r="D604" s="66"/>
      <c r="G604" s="66"/>
      <c r="V604" s="66"/>
      <c r="W604" s="66"/>
      <c r="X604" s="66"/>
      <c r="AB604" s="66"/>
      <c r="AG604" s="66"/>
    </row>
    <row r="605" spans="4:33">
      <c r="D605" s="66"/>
      <c r="G605" s="66"/>
      <c r="V605" s="66"/>
      <c r="W605" s="66"/>
      <c r="X605" s="66"/>
      <c r="AB605" s="66"/>
      <c r="AG605" s="66"/>
    </row>
    <row r="606" spans="4:33">
      <c r="D606" s="66"/>
      <c r="G606" s="66"/>
      <c r="V606" s="66"/>
      <c r="W606" s="66"/>
      <c r="X606" s="66"/>
      <c r="AB606" s="66"/>
      <c r="AG606" s="66"/>
    </row>
    <row r="607" spans="4:33">
      <c r="D607" s="66"/>
      <c r="G607" s="66"/>
      <c r="V607" s="66"/>
      <c r="W607" s="66"/>
      <c r="X607" s="66"/>
      <c r="AB607" s="66"/>
      <c r="AG607" s="66"/>
    </row>
    <row r="608" spans="4:33">
      <c r="D608" s="66"/>
      <c r="G608" s="66"/>
      <c r="V608" s="66"/>
      <c r="W608" s="66"/>
      <c r="X608" s="66"/>
      <c r="AB608" s="66"/>
      <c r="AG608" s="66"/>
    </row>
    <row r="609" spans="4:33">
      <c r="D609" s="66"/>
      <c r="G609" s="66"/>
      <c r="V609" s="66"/>
      <c r="W609" s="66"/>
      <c r="X609" s="66"/>
      <c r="AB609" s="66"/>
      <c r="AG609" s="66"/>
    </row>
    <row r="610" spans="4:33">
      <c r="D610" s="66"/>
      <c r="G610" s="66"/>
      <c r="V610" s="66"/>
      <c r="W610" s="66"/>
      <c r="X610" s="66"/>
      <c r="AB610" s="66"/>
      <c r="AG610" s="66"/>
    </row>
    <row r="611" spans="4:33">
      <c r="D611" s="66"/>
      <c r="G611" s="66"/>
      <c r="V611" s="66"/>
      <c r="W611" s="66"/>
      <c r="X611" s="66"/>
      <c r="AB611" s="66"/>
      <c r="AG611" s="66"/>
    </row>
    <row r="612" spans="4:33">
      <c r="D612" s="66"/>
      <c r="G612" s="66"/>
      <c r="V612" s="66"/>
      <c r="W612" s="66"/>
      <c r="X612" s="66"/>
      <c r="AB612" s="66"/>
      <c r="AG612" s="66"/>
    </row>
    <row r="613" spans="4:33">
      <c r="D613" s="66"/>
      <c r="G613" s="66"/>
      <c r="V613" s="66"/>
      <c r="W613" s="66"/>
      <c r="X613" s="66"/>
      <c r="AB613" s="66"/>
      <c r="AG613" s="66"/>
    </row>
    <row r="614" spans="4:33">
      <c r="D614" s="66"/>
      <c r="G614" s="66"/>
      <c r="V614" s="66"/>
      <c r="W614" s="66"/>
      <c r="X614" s="66"/>
      <c r="AB614" s="66"/>
      <c r="AG614" s="66"/>
    </row>
    <row r="615" spans="4:33">
      <c r="D615" s="66"/>
      <c r="G615" s="66"/>
      <c r="V615" s="66"/>
      <c r="W615" s="66"/>
      <c r="X615" s="66"/>
      <c r="AB615" s="66"/>
      <c r="AG615" s="66"/>
    </row>
    <row r="616" spans="4:33">
      <c r="D616" s="66"/>
      <c r="G616" s="66"/>
      <c r="V616" s="66"/>
      <c r="W616" s="66"/>
      <c r="X616" s="66"/>
      <c r="AB616" s="66"/>
      <c r="AG616" s="66"/>
    </row>
    <row r="617" spans="4:33">
      <c r="D617" s="66"/>
      <c r="G617" s="66"/>
      <c r="V617" s="66"/>
      <c r="W617" s="66"/>
      <c r="X617" s="66"/>
      <c r="AB617" s="66"/>
      <c r="AG617" s="66"/>
    </row>
    <row r="618" spans="4:33">
      <c r="D618" s="66"/>
      <c r="G618" s="66"/>
      <c r="V618" s="66"/>
      <c r="W618" s="66"/>
      <c r="X618" s="66"/>
      <c r="AB618" s="66"/>
      <c r="AG618" s="66"/>
    </row>
    <row r="619" spans="4:33">
      <c r="D619" s="66"/>
      <c r="G619" s="66"/>
      <c r="V619" s="66"/>
      <c r="W619" s="66"/>
      <c r="X619" s="66"/>
      <c r="AB619" s="66"/>
      <c r="AG619" s="66"/>
    </row>
    <row r="620" spans="4:33">
      <c r="D620" s="66"/>
      <c r="G620" s="66"/>
      <c r="V620" s="66"/>
      <c r="W620" s="66"/>
      <c r="X620" s="66"/>
      <c r="AB620" s="66"/>
      <c r="AG620" s="66"/>
    </row>
    <row r="621" spans="4:33">
      <c r="D621" s="66"/>
      <c r="G621" s="66"/>
      <c r="V621" s="66"/>
      <c r="W621" s="66"/>
      <c r="X621" s="66"/>
      <c r="AB621" s="66"/>
      <c r="AG621" s="66"/>
    </row>
    <row r="622" spans="4:33">
      <c r="D622" s="66"/>
      <c r="G622" s="66"/>
      <c r="V622" s="66"/>
      <c r="W622" s="66"/>
      <c r="X622" s="66"/>
      <c r="AB622" s="66"/>
      <c r="AG622" s="66"/>
    </row>
    <row r="623" spans="4:33">
      <c r="D623" s="66"/>
      <c r="G623" s="66"/>
      <c r="V623" s="66"/>
      <c r="W623" s="66"/>
      <c r="X623" s="66"/>
      <c r="AB623" s="66"/>
      <c r="AG623" s="66"/>
    </row>
    <row r="624" spans="4:33">
      <c r="D624" s="66"/>
      <c r="G624" s="66"/>
      <c r="V624" s="66"/>
      <c r="W624" s="66"/>
      <c r="X624" s="66"/>
      <c r="AB624" s="66"/>
      <c r="AG624" s="66"/>
    </row>
    <row r="625" spans="4:33">
      <c r="D625" s="66"/>
      <c r="G625" s="66"/>
      <c r="V625" s="66"/>
      <c r="W625" s="66"/>
      <c r="X625" s="66"/>
      <c r="AB625" s="66"/>
      <c r="AG625" s="66"/>
    </row>
    <row r="626" spans="4:33">
      <c r="D626" s="66"/>
      <c r="G626" s="66"/>
      <c r="V626" s="66"/>
      <c r="W626" s="66"/>
      <c r="X626" s="66"/>
      <c r="AB626" s="66"/>
      <c r="AG626" s="66"/>
    </row>
    <row r="627" spans="4:33">
      <c r="D627" s="66"/>
      <c r="G627" s="66"/>
      <c r="V627" s="66"/>
      <c r="W627" s="66"/>
      <c r="X627" s="66"/>
      <c r="AB627" s="66"/>
      <c r="AG627" s="66"/>
    </row>
    <row r="628" spans="4:33">
      <c r="D628" s="66"/>
      <c r="G628" s="66"/>
      <c r="V628" s="66"/>
      <c r="W628" s="66"/>
      <c r="X628" s="66"/>
      <c r="AB628" s="66"/>
      <c r="AG628" s="66"/>
    </row>
    <row r="629" spans="4:33">
      <c r="D629" s="66"/>
      <c r="G629" s="66"/>
      <c r="V629" s="66"/>
      <c r="W629" s="66"/>
      <c r="X629" s="66"/>
      <c r="AB629" s="66"/>
      <c r="AG629" s="66"/>
    </row>
    <row r="630" spans="4:33">
      <c r="D630" s="66"/>
      <c r="G630" s="66"/>
      <c r="V630" s="66"/>
      <c r="W630" s="66"/>
      <c r="X630" s="66"/>
      <c r="AB630" s="66"/>
      <c r="AG630" s="66"/>
    </row>
    <row r="631" spans="4:33">
      <c r="D631" s="66"/>
      <c r="G631" s="66"/>
      <c r="V631" s="66"/>
      <c r="W631" s="66"/>
      <c r="X631" s="66"/>
      <c r="AB631" s="66"/>
      <c r="AG631" s="66"/>
    </row>
    <row r="632" spans="4:33">
      <c r="D632" s="66"/>
      <c r="G632" s="66"/>
      <c r="V632" s="66"/>
      <c r="W632" s="66"/>
      <c r="X632" s="66"/>
      <c r="AB632" s="66"/>
      <c r="AG632" s="66"/>
    </row>
    <row r="633" spans="4:33">
      <c r="D633" s="66"/>
      <c r="G633" s="66"/>
      <c r="V633" s="66"/>
      <c r="W633" s="66"/>
      <c r="X633" s="66"/>
      <c r="AB633" s="66"/>
      <c r="AG633" s="66"/>
    </row>
    <row r="634" spans="4:33">
      <c r="D634" s="66"/>
      <c r="G634" s="66"/>
      <c r="V634" s="66"/>
      <c r="W634" s="66"/>
      <c r="X634" s="66"/>
      <c r="AB634" s="66"/>
      <c r="AG634" s="66"/>
    </row>
    <row r="635" spans="4:33">
      <c r="D635" s="66"/>
      <c r="G635" s="66"/>
      <c r="V635" s="66"/>
      <c r="W635" s="66"/>
      <c r="X635" s="66"/>
      <c r="AB635" s="66"/>
      <c r="AG635" s="66"/>
    </row>
    <row r="636" spans="4:33">
      <c r="D636" s="66"/>
      <c r="G636" s="66"/>
      <c r="V636" s="66"/>
      <c r="W636" s="66"/>
      <c r="X636" s="66"/>
      <c r="AB636" s="66"/>
      <c r="AG636" s="66"/>
    </row>
    <row r="637" spans="4:33">
      <c r="D637" s="66"/>
      <c r="G637" s="66"/>
      <c r="V637" s="66"/>
      <c r="W637" s="66"/>
      <c r="X637" s="66"/>
      <c r="AB637" s="66"/>
      <c r="AG637" s="66"/>
    </row>
    <row r="638" spans="4:33">
      <c r="D638" s="66"/>
      <c r="G638" s="66"/>
      <c r="V638" s="66"/>
      <c r="W638" s="66"/>
      <c r="X638" s="66"/>
      <c r="AB638" s="66"/>
      <c r="AG638" s="66"/>
    </row>
    <row r="639" spans="4:33">
      <c r="D639" s="66"/>
      <c r="G639" s="66"/>
      <c r="V639" s="66"/>
      <c r="W639" s="66"/>
      <c r="X639" s="66"/>
      <c r="AB639" s="66"/>
      <c r="AG639" s="66"/>
    </row>
    <row r="640" spans="4:33">
      <c r="D640" s="66"/>
      <c r="G640" s="66"/>
      <c r="V640" s="66"/>
      <c r="W640" s="66"/>
      <c r="X640" s="66"/>
      <c r="AB640" s="66"/>
      <c r="AG640" s="66"/>
    </row>
    <row r="641" spans="4:33">
      <c r="D641" s="66"/>
      <c r="G641" s="66"/>
      <c r="V641" s="66"/>
      <c r="W641" s="66"/>
      <c r="X641" s="66"/>
      <c r="AB641" s="66"/>
      <c r="AG641" s="66"/>
    </row>
    <row r="642" spans="4:33">
      <c r="D642" s="66"/>
      <c r="G642" s="66"/>
      <c r="V642" s="66"/>
      <c r="W642" s="66"/>
      <c r="X642" s="66"/>
      <c r="AB642" s="66"/>
      <c r="AG642" s="66"/>
    </row>
    <row r="643" spans="4:33">
      <c r="D643" s="66"/>
      <c r="G643" s="66"/>
      <c r="V643" s="66"/>
      <c r="W643" s="66"/>
      <c r="X643" s="66"/>
      <c r="AB643" s="66"/>
      <c r="AG643" s="66"/>
    </row>
    <row r="644" spans="4:33">
      <c r="D644" s="66"/>
      <c r="G644" s="66"/>
      <c r="V644" s="66"/>
      <c r="W644" s="66"/>
      <c r="X644" s="66"/>
      <c r="AB644" s="66"/>
      <c r="AG644" s="66"/>
    </row>
    <row r="645" spans="4:33">
      <c r="D645" s="66"/>
      <c r="G645" s="66"/>
      <c r="V645" s="66"/>
      <c r="W645" s="66"/>
      <c r="X645" s="66"/>
      <c r="AB645" s="66"/>
      <c r="AG645" s="66"/>
    </row>
    <row r="646" spans="4:33">
      <c r="D646" s="66"/>
      <c r="G646" s="66"/>
      <c r="V646" s="66"/>
      <c r="W646" s="66"/>
      <c r="X646" s="66"/>
      <c r="AB646" s="66"/>
      <c r="AG646" s="66"/>
    </row>
    <row r="647" spans="4:33">
      <c r="D647" s="66"/>
      <c r="G647" s="66"/>
      <c r="V647" s="66"/>
      <c r="W647" s="66"/>
      <c r="X647" s="66"/>
      <c r="AB647" s="66"/>
      <c r="AG647" s="66"/>
    </row>
    <row r="648" spans="4:33">
      <c r="D648" s="66"/>
      <c r="G648" s="66"/>
      <c r="V648" s="66"/>
      <c r="W648" s="66"/>
      <c r="X648" s="66"/>
      <c r="AB648" s="66"/>
      <c r="AG648" s="66"/>
    </row>
    <row r="649" spans="4:33">
      <c r="D649" s="66"/>
      <c r="G649" s="66"/>
      <c r="V649" s="66"/>
      <c r="W649" s="66"/>
      <c r="X649" s="66"/>
      <c r="AB649" s="66"/>
      <c r="AG649" s="66"/>
    </row>
    <row r="650" spans="4:33">
      <c r="D650" s="66"/>
      <c r="G650" s="66"/>
      <c r="V650" s="66"/>
      <c r="W650" s="66"/>
      <c r="X650" s="66"/>
      <c r="AB650" s="66"/>
      <c r="AG650" s="66"/>
    </row>
    <row r="651" spans="4:33">
      <c r="D651" s="66"/>
      <c r="G651" s="66"/>
      <c r="V651" s="66"/>
      <c r="W651" s="66"/>
      <c r="X651" s="66"/>
      <c r="AB651" s="66"/>
      <c r="AG651" s="66"/>
    </row>
    <row r="652" spans="4:33">
      <c r="D652" s="66"/>
      <c r="G652" s="66"/>
      <c r="V652" s="66"/>
      <c r="W652" s="66"/>
      <c r="X652" s="66"/>
      <c r="AB652" s="66"/>
      <c r="AG652" s="66"/>
    </row>
    <row r="653" spans="4:33">
      <c r="D653" s="66"/>
      <c r="G653" s="66"/>
      <c r="V653" s="66"/>
      <c r="W653" s="66"/>
      <c r="X653" s="66"/>
      <c r="AB653" s="66"/>
      <c r="AG653" s="66"/>
    </row>
    <row r="654" spans="4:33">
      <c r="D654" s="66"/>
      <c r="G654" s="66"/>
      <c r="V654" s="66"/>
      <c r="W654" s="66"/>
      <c r="X654" s="66"/>
      <c r="AB654" s="66"/>
      <c r="AG654" s="66"/>
    </row>
    <row r="655" spans="4:33">
      <c r="D655" s="66"/>
      <c r="G655" s="66"/>
      <c r="V655" s="66"/>
      <c r="W655" s="66"/>
      <c r="X655" s="66"/>
      <c r="AB655" s="66"/>
      <c r="AG655" s="66"/>
    </row>
    <row r="656" spans="4:33">
      <c r="D656" s="66"/>
      <c r="G656" s="66"/>
      <c r="V656" s="66"/>
      <c r="W656" s="66"/>
      <c r="X656" s="66"/>
      <c r="AB656" s="66"/>
      <c r="AG656" s="66"/>
    </row>
    <row r="657" spans="4:33">
      <c r="D657" s="66"/>
      <c r="G657" s="66"/>
      <c r="V657" s="66"/>
      <c r="W657" s="66"/>
      <c r="X657" s="66"/>
      <c r="AB657" s="66"/>
      <c r="AG657" s="66"/>
    </row>
    <row r="658" spans="4:33">
      <c r="D658" s="66"/>
      <c r="G658" s="66"/>
      <c r="V658" s="66"/>
      <c r="W658" s="66"/>
      <c r="X658" s="66"/>
      <c r="AB658" s="66"/>
      <c r="AG658" s="66"/>
    </row>
    <row r="659" spans="4:33">
      <c r="D659" s="66"/>
      <c r="G659" s="66"/>
      <c r="V659" s="66"/>
      <c r="W659" s="66"/>
      <c r="X659" s="66"/>
      <c r="AB659" s="66"/>
      <c r="AG659" s="66"/>
    </row>
    <row r="660" spans="4:33">
      <c r="D660" s="66"/>
      <c r="G660" s="66"/>
      <c r="V660" s="66"/>
      <c r="W660" s="66"/>
      <c r="X660" s="66"/>
      <c r="AB660" s="66"/>
      <c r="AG660" s="66"/>
    </row>
    <row r="661" spans="4:33">
      <c r="D661" s="66"/>
      <c r="G661" s="66"/>
      <c r="V661" s="66"/>
      <c r="W661" s="66"/>
      <c r="X661" s="66"/>
      <c r="AB661" s="66"/>
      <c r="AG661" s="66"/>
    </row>
    <row r="662" spans="4:33">
      <c r="D662" s="66"/>
      <c r="G662" s="66"/>
      <c r="V662" s="66"/>
      <c r="W662" s="66"/>
      <c r="X662" s="66"/>
      <c r="AB662" s="66"/>
      <c r="AG662" s="66"/>
    </row>
    <row r="663" spans="4:33">
      <c r="D663" s="66"/>
      <c r="G663" s="66"/>
      <c r="V663" s="66"/>
      <c r="W663" s="66"/>
      <c r="X663" s="66"/>
      <c r="AB663" s="66"/>
      <c r="AG663" s="66"/>
    </row>
    <row r="664" spans="4:33">
      <c r="D664" s="66"/>
      <c r="G664" s="66"/>
      <c r="V664" s="66"/>
      <c r="W664" s="66"/>
      <c r="X664" s="66"/>
      <c r="AB664" s="66"/>
      <c r="AG664" s="66"/>
    </row>
    <row r="665" spans="4:33">
      <c r="D665" s="66"/>
      <c r="G665" s="66"/>
      <c r="V665" s="66"/>
      <c r="W665" s="66"/>
      <c r="X665" s="66"/>
      <c r="AB665" s="66"/>
      <c r="AG665" s="66"/>
    </row>
    <row r="666" spans="4:33">
      <c r="D666" s="66"/>
      <c r="G666" s="66"/>
      <c r="V666" s="66"/>
      <c r="W666" s="66"/>
      <c r="X666" s="66"/>
      <c r="AB666" s="66"/>
      <c r="AG666" s="66"/>
    </row>
    <row r="667" spans="4:33">
      <c r="D667" s="66"/>
      <c r="G667" s="66"/>
      <c r="V667" s="66"/>
      <c r="W667" s="66"/>
      <c r="X667" s="66"/>
      <c r="AB667" s="66"/>
      <c r="AG667" s="66"/>
    </row>
    <row r="668" spans="4:33">
      <c r="D668" s="66"/>
      <c r="G668" s="66"/>
      <c r="V668" s="66"/>
      <c r="W668" s="66"/>
      <c r="X668" s="66"/>
      <c r="AB668" s="66"/>
      <c r="AG668" s="66"/>
    </row>
    <row r="669" spans="4:33">
      <c r="D669" s="66"/>
      <c r="G669" s="66"/>
      <c r="V669" s="66"/>
      <c r="W669" s="66"/>
      <c r="X669" s="66"/>
      <c r="AB669" s="66"/>
      <c r="AG669" s="66"/>
    </row>
    <row r="670" spans="4:33">
      <c r="D670" s="66"/>
      <c r="G670" s="66"/>
      <c r="V670" s="66"/>
      <c r="W670" s="66"/>
      <c r="X670" s="66"/>
      <c r="AB670" s="66"/>
      <c r="AG670" s="66"/>
    </row>
    <row r="671" spans="4:33">
      <c r="D671" s="66"/>
      <c r="G671" s="66"/>
      <c r="V671" s="66"/>
      <c r="W671" s="66"/>
      <c r="X671" s="66"/>
      <c r="AB671" s="66"/>
      <c r="AG671" s="66"/>
    </row>
    <row r="672" spans="4:33">
      <c r="D672" s="66"/>
      <c r="G672" s="66"/>
      <c r="V672" s="66"/>
      <c r="W672" s="66"/>
      <c r="X672" s="66"/>
      <c r="AB672" s="66"/>
      <c r="AG672" s="66"/>
    </row>
    <row r="673" spans="4:33">
      <c r="D673" s="66"/>
      <c r="G673" s="66"/>
      <c r="V673" s="66"/>
      <c r="W673" s="66"/>
      <c r="X673" s="66"/>
      <c r="AB673" s="66"/>
      <c r="AG673" s="66"/>
    </row>
    <row r="674" spans="4:33">
      <c r="D674" s="66"/>
      <c r="G674" s="66"/>
      <c r="V674" s="66"/>
      <c r="W674" s="66"/>
      <c r="X674" s="66"/>
      <c r="AB674" s="66"/>
      <c r="AG674" s="66"/>
    </row>
    <row r="675" spans="4:33">
      <c r="D675" s="66"/>
      <c r="G675" s="66"/>
      <c r="V675" s="66"/>
      <c r="W675" s="66"/>
      <c r="X675" s="66"/>
      <c r="AB675" s="66"/>
      <c r="AG675" s="66"/>
    </row>
    <row r="676" spans="4:33">
      <c r="D676" s="66"/>
      <c r="G676" s="66"/>
      <c r="V676" s="66"/>
      <c r="W676" s="66"/>
      <c r="X676" s="66"/>
      <c r="AB676" s="66"/>
      <c r="AG676" s="66"/>
    </row>
    <row r="677" spans="4:33">
      <c r="D677" s="66"/>
      <c r="G677" s="66"/>
      <c r="V677" s="66"/>
      <c r="W677" s="66"/>
      <c r="X677" s="66"/>
      <c r="AB677" s="66"/>
      <c r="AG677" s="66"/>
    </row>
    <row r="678" spans="4:33">
      <c r="D678" s="66"/>
      <c r="G678" s="66"/>
      <c r="V678" s="66"/>
      <c r="W678" s="66"/>
      <c r="X678" s="66"/>
      <c r="AB678" s="66"/>
      <c r="AG678" s="66"/>
    </row>
    <row r="679" spans="4:33">
      <c r="D679" s="66"/>
      <c r="G679" s="66"/>
      <c r="V679" s="66"/>
      <c r="W679" s="66"/>
      <c r="X679" s="66"/>
      <c r="AB679" s="66"/>
      <c r="AG679" s="66"/>
    </row>
    <row r="680" spans="4:33">
      <c r="D680" s="66"/>
      <c r="G680" s="66"/>
      <c r="V680" s="66"/>
      <c r="W680" s="66"/>
      <c r="X680" s="66"/>
      <c r="AB680" s="66"/>
      <c r="AG680" s="66"/>
    </row>
    <row r="681" spans="4:33">
      <c r="D681" s="66"/>
      <c r="G681" s="66"/>
      <c r="V681" s="66"/>
      <c r="W681" s="66"/>
      <c r="X681" s="66"/>
      <c r="AB681" s="66"/>
      <c r="AG681" s="66"/>
    </row>
    <row r="682" spans="4:33">
      <c r="D682" s="66"/>
      <c r="G682" s="66"/>
      <c r="V682" s="66"/>
      <c r="W682" s="66"/>
      <c r="X682" s="66"/>
      <c r="AB682" s="66"/>
      <c r="AG682" s="66"/>
    </row>
    <row r="683" spans="4:33">
      <c r="D683" s="66"/>
      <c r="G683" s="66"/>
      <c r="V683" s="66"/>
      <c r="W683" s="66"/>
      <c r="X683" s="66"/>
      <c r="AB683" s="66"/>
      <c r="AG683" s="66"/>
    </row>
    <row r="684" spans="4:33">
      <c r="D684" s="66"/>
      <c r="G684" s="66"/>
      <c r="V684" s="66"/>
      <c r="W684" s="66"/>
      <c r="X684" s="66"/>
      <c r="AB684" s="66"/>
      <c r="AG684" s="66"/>
    </row>
    <row r="685" spans="4:33">
      <c r="D685" s="66"/>
      <c r="G685" s="66"/>
      <c r="V685" s="66"/>
      <c r="W685" s="66"/>
      <c r="X685" s="66"/>
      <c r="AB685" s="66"/>
      <c r="AG685" s="66"/>
    </row>
    <row r="686" spans="4:33">
      <c r="D686" s="66"/>
      <c r="G686" s="66"/>
      <c r="V686" s="66"/>
      <c r="W686" s="66"/>
      <c r="X686" s="66"/>
      <c r="AB686" s="66"/>
      <c r="AG686" s="66"/>
    </row>
    <row r="687" spans="4:33">
      <c r="D687" s="66"/>
      <c r="G687" s="66"/>
      <c r="V687" s="66"/>
      <c r="W687" s="66"/>
      <c r="X687" s="66"/>
      <c r="AB687" s="66"/>
      <c r="AG687" s="66"/>
    </row>
    <row r="688" spans="4:33">
      <c r="D688" s="66"/>
      <c r="G688" s="66"/>
      <c r="V688" s="66"/>
      <c r="W688" s="66"/>
      <c r="X688" s="66"/>
      <c r="AB688" s="66"/>
      <c r="AG688" s="66"/>
    </row>
    <row r="689" spans="4:33">
      <c r="D689" s="66"/>
      <c r="G689" s="66"/>
      <c r="V689" s="66"/>
      <c r="W689" s="66"/>
      <c r="X689" s="66"/>
      <c r="AB689" s="66"/>
      <c r="AG689" s="66"/>
    </row>
    <row r="690" spans="4:33">
      <c r="D690" s="66"/>
      <c r="G690" s="66"/>
      <c r="V690" s="66"/>
      <c r="W690" s="66"/>
      <c r="X690" s="66"/>
      <c r="AB690" s="66"/>
      <c r="AG690" s="66"/>
    </row>
    <row r="691" spans="4:33">
      <c r="D691" s="66"/>
      <c r="G691" s="66"/>
      <c r="V691" s="66"/>
      <c r="W691" s="66"/>
      <c r="X691" s="66"/>
      <c r="AB691" s="66"/>
      <c r="AG691" s="66"/>
    </row>
    <row r="692" spans="4:33">
      <c r="D692" s="66"/>
      <c r="G692" s="66"/>
      <c r="V692" s="66"/>
      <c r="W692" s="66"/>
      <c r="X692" s="66"/>
      <c r="AB692" s="66"/>
      <c r="AG692" s="66"/>
    </row>
    <row r="693" spans="4:33">
      <c r="D693" s="66"/>
      <c r="G693" s="66"/>
      <c r="V693" s="66"/>
      <c r="W693" s="66"/>
      <c r="X693" s="66"/>
      <c r="AB693" s="66"/>
      <c r="AG693" s="66"/>
    </row>
    <row r="694" spans="4:33">
      <c r="D694" s="66"/>
      <c r="G694" s="66"/>
      <c r="V694" s="66"/>
      <c r="W694" s="66"/>
      <c r="X694" s="66"/>
      <c r="AB694" s="66"/>
      <c r="AG694" s="66"/>
    </row>
    <row r="695" spans="4:33">
      <c r="D695" s="66"/>
      <c r="G695" s="66"/>
      <c r="V695" s="66"/>
      <c r="W695" s="66"/>
      <c r="X695" s="66"/>
      <c r="AB695" s="66"/>
      <c r="AG695" s="66"/>
    </row>
    <row r="696" spans="4:33">
      <c r="D696" s="66"/>
      <c r="G696" s="66"/>
      <c r="V696" s="66"/>
      <c r="W696" s="66"/>
      <c r="X696" s="66"/>
      <c r="AB696" s="66"/>
      <c r="AG696" s="66"/>
    </row>
    <row r="697" spans="4:33">
      <c r="D697" s="66"/>
      <c r="G697" s="66"/>
      <c r="V697" s="66"/>
      <c r="W697" s="66"/>
      <c r="X697" s="66"/>
      <c r="AB697" s="66"/>
      <c r="AG697" s="66"/>
    </row>
    <row r="698" spans="4:33">
      <c r="D698" s="66"/>
      <c r="G698" s="66"/>
      <c r="V698" s="66"/>
      <c r="W698" s="66"/>
      <c r="X698" s="66"/>
      <c r="AB698" s="66"/>
      <c r="AG698" s="66"/>
    </row>
    <row r="699" spans="4:33">
      <c r="D699" s="66"/>
      <c r="G699" s="66"/>
      <c r="V699" s="66"/>
      <c r="W699" s="66"/>
      <c r="X699" s="66"/>
      <c r="AB699" s="66"/>
      <c r="AG699" s="66"/>
    </row>
    <row r="700" spans="4:33">
      <c r="D700" s="66"/>
      <c r="G700" s="66"/>
      <c r="V700" s="66"/>
      <c r="W700" s="66"/>
      <c r="X700" s="66"/>
      <c r="AB700" s="66"/>
      <c r="AG700" s="66"/>
    </row>
    <row r="701" spans="4:33">
      <c r="D701" s="66"/>
      <c r="G701" s="66"/>
      <c r="V701" s="66"/>
      <c r="W701" s="66"/>
      <c r="X701" s="66"/>
      <c r="AB701" s="66"/>
      <c r="AG701" s="66"/>
    </row>
    <row r="702" spans="4:33">
      <c r="D702" s="66"/>
      <c r="G702" s="66"/>
      <c r="V702" s="66"/>
      <c r="W702" s="66"/>
      <c r="X702" s="66"/>
      <c r="AB702" s="66"/>
      <c r="AG702" s="66"/>
    </row>
    <row r="703" spans="4:33">
      <c r="D703" s="66"/>
      <c r="G703" s="66"/>
      <c r="V703" s="66"/>
      <c r="W703" s="66"/>
      <c r="X703" s="66"/>
      <c r="AB703" s="66"/>
      <c r="AG703" s="66"/>
    </row>
    <row r="704" spans="4:33">
      <c r="D704" s="66"/>
      <c r="G704" s="66"/>
      <c r="V704" s="66"/>
      <c r="W704" s="66"/>
      <c r="X704" s="66"/>
      <c r="AB704" s="66"/>
      <c r="AG704" s="66"/>
    </row>
    <row r="705" spans="4:33">
      <c r="D705" s="66"/>
      <c r="G705" s="66"/>
      <c r="V705" s="66"/>
      <c r="W705" s="66"/>
      <c r="X705" s="66"/>
      <c r="AB705" s="66"/>
      <c r="AG705" s="66"/>
    </row>
    <row r="706" spans="4:33">
      <c r="D706" s="66"/>
      <c r="G706" s="66"/>
      <c r="V706" s="66"/>
      <c r="W706" s="66"/>
      <c r="X706" s="66"/>
      <c r="AB706" s="66"/>
      <c r="AG706" s="66"/>
    </row>
    <row r="707" spans="4:33">
      <c r="D707" s="66"/>
      <c r="G707" s="66"/>
      <c r="V707" s="66"/>
      <c r="W707" s="66"/>
      <c r="X707" s="66"/>
      <c r="AB707" s="66"/>
      <c r="AG707" s="66"/>
    </row>
    <row r="708" spans="4:33">
      <c r="D708" s="66"/>
      <c r="G708" s="66"/>
      <c r="V708" s="66"/>
      <c r="W708" s="66"/>
      <c r="X708" s="66"/>
      <c r="AB708" s="66"/>
      <c r="AG708" s="66"/>
    </row>
    <row r="709" spans="4:33">
      <c r="D709" s="66"/>
      <c r="G709" s="66"/>
      <c r="V709" s="66"/>
      <c r="W709" s="66"/>
      <c r="X709" s="66"/>
      <c r="AB709" s="66"/>
      <c r="AG709" s="66"/>
    </row>
    <row r="710" spans="4:33">
      <c r="D710" s="66"/>
      <c r="G710" s="66"/>
      <c r="V710" s="66"/>
      <c r="W710" s="66"/>
      <c r="X710" s="66"/>
      <c r="AB710" s="66"/>
      <c r="AG710" s="66"/>
    </row>
    <row r="711" spans="4:33">
      <c r="D711" s="66"/>
      <c r="G711" s="66"/>
      <c r="V711" s="66"/>
      <c r="W711" s="66"/>
      <c r="X711" s="66"/>
      <c r="AB711" s="66"/>
      <c r="AG711" s="66"/>
    </row>
    <row r="712" spans="4:33">
      <c r="D712" s="66"/>
      <c r="G712" s="66"/>
      <c r="V712" s="66"/>
      <c r="W712" s="66"/>
      <c r="X712" s="66"/>
      <c r="AB712" s="66"/>
      <c r="AG712" s="66"/>
    </row>
    <row r="713" spans="4:33">
      <c r="D713" s="66"/>
      <c r="G713" s="66"/>
      <c r="V713" s="66"/>
      <c r="W713" s="66"/>
      <c r="X713" s="66"/>
      <c r="AB713" s="66"/>
      <c r="AG713" s="66"/>
    </row>
    <row r="714" spans="4:33">
      <c r="D714" s="66"/>
      <c r="G714" s="66"/>
      <c r="V714" s="66"/>
      <c r="W714" s="66"/>
      <c r="X714" s="66"/>
      <c r="AB714" s="66"/>
      <c r="AG714" s="66"/>
    </row>
    <row r="715" spans="4:33">
      <c r="D715" s="66"/>
      <c r="G715" s="66"/>
      <c r="V715" s="66"/>
      <c r="W715" s="66"/>
      <c r="X715" s="66"/>
      <c r="AB715" s="66"/>
      <c r="AG715" s="66"/>
    </row>
    <row r="716" spans="4:33">
      <c r="D716" s="66"/>
      <c r="G716" s="66"/>
      <c r="V716" s="66"/>
      <c r="W716" s="66"/>
      <c r="X716" s="66"/>
      <c r="AB716" s="66"/>
      <c r="AG716" s="66"/>
    </row>
    <row r="717" spans="4:33">
      <c r="D717" s="66"/>
      <c r="G717" s="66"/>
      <c r="V717" s="66"/>
      <c r="W717" s="66"/>
      <c r="X717" s="66"/>
      <c r="AB717" s="66"/>
      <c r="AG717" s="66"/>
    </row>
    <row r="718" spans="4:33">
      <c r="D718" s="66"/>
      <c r="G718" s="66"/>
      <c r="V718" s="66"/>
      <c r="W718" s="66"/>
      <c r="X718" s="66"/>
      <c r="AB718" s="66"/>
      <c r="AG718" s="66"/>
    </row>
    <row r="719" spans="4:33">
      <c r="D719" s="66"/>
      <c r="G719" s="66"/>
      <c r="V719" s="66"/>
      <c r="W719" s="66"/>
      <c r="X719" s="66"/>
      <c r="AB719" s="66"/>
      <c r="AG719" s="66"/>
    </row>
    <row r="720" spans="4:33">
      <c r="D720" s="66"/>
      <c r="G720" s="66"/>
      <c r="V720" s="66"/>
      <c r="W720" s="66"/>
      <c r="X720" s="66"/>
      <c r="AB720" s="66"/>
      <c r="AG720" s="66"/>
    </row>
    <row r="721" spans="4:33">
      <c r="D721" s="66"/>
      <c r="G721" s="66"/>
      <c r="V721" s="66"/>
      <c r="W721" s="66"/>
      <c r="X721" s="66"/>
      <c r="AB721" s="66"/>
      <c r="AG721" s="66"/>
    </row>
    <row r="722" spans="4:33">
      <c r="D722" s="66"/>
      <c r="G722" s="66"/>
      <c r="V722" s="66"/>
      <c r="W722" s="66"/>
      <c r="X722" s="66"/>
      <c r="AB722" s="66"/>
      <c r="AG722" s="66"/>
    </row>
    <row r="723" spans="4:33">
      <c r="D723" s="66"/>
      <c r="G723" s="66"/>
      <c r="V723" s="66"/>
      <c r="W723" s="66"/>
      <c r="X723" s="66"/>
      <c r="AB723" s="66"/>
      <c r="AG723" s="66"/>
    </row>
    <row r="724" spans="4:33">
      <c r="D724" s="66"/>
      <c r="G724" s="66"/>
      <c r="V724" s="66"/>
      <c r="W724" s="66"/>
      <c r="X724" s="66"/>
      <c r="AB724" s="66"/>
      <c r="AG724" s="66"/>
    </row>
    <row r="725" spans="4:33">
      <c r="D725" s="66"/>
      <c r="G725" s="66"/>
      <c r="V725" s="66"/>
      <c r="W725" s="66"/>
      <c r="X725" s="66"/>
      <c r="AB725" s="66"/>
      <c r="AG725" s="66"/>
    </row>
    <row r="726" spans="4:33">
      <c r="D726" s="66"/>
      <c r="G726" s="66"/>
      <c r="V726" s="66"/>
      <c r="W726" s="66"/>
      <c r="X726" s="66"/>
      <c r="AB726" s="66"/>
      <c r="AG726" s="66"/>
    </row>
    <row r="727" spans="4:33">
      <c r="D727" s="66"/>
      <c r="G727" s="66"/>
      <c r="V727" s="66"/>
      <c r="W727" s="66"/>
      <c r="X727" s="66"/>
      <c r="AB727" s="66"/>
      <c r="AG727" s="66"/>
    </row>
    <row r="728" spans="4:33">
      <c r="D728" s="66"/>
      <c r="G728" s="66"/>
      <c r="V728" s="66"/>
      <c r="W728" s="66"/>
      <c r="X728" s="66"/>
      <c r="AB728" s="66"/>
      <c r="AG728" s="66"/>
    </row>
    <row r="729" spans="4:33">
      <c r="D729" s="66"/>
      <c r="G729" s="66"/>
      <c r="V729" s="66"/>
      <c r="W729" s="66"/>
      <c r="X729" s="66"/>
      <c r="AB729" s="66"/>
      <c r="AG729" s="66"/>
    </row>
    <row r="730" spans="4:33">
      <c r="D730" s="66"/>
      <c r="G730" s="66"/>
      <c r="V730" s="66"/>
      <c r="W730" s="66"/>
      <c r="X730" s="66"/>
      <c r="AB730" s="66"/>
      <c r="AG730" s="66"/>
    </row>
    <row r="731" spans="4:33">
      <c r="D731" s="66"/>
      <c r="G731" s="66"/>
      <c r="V731" s="66"/>
      <c r="W731" s="66"/>
      <c r="X731" s="66"/>
      <c r="AB731" s="66"/>
      <c r="AG731" s="66"/>
    </row>
    <row r="732" spans="4:33">
      <c r="D732" s="66"/>
      <c r="G732" s="66"/>
      <c r="V732" s="66"/>
      <c r="W732" s="66"/>
      <c r="X732" s="66"/>
      <c r="AB732" s="66"/>
      <c r="AG732" s="66"/>
    </row>
    <row r="733" spans="4:33">
      <c r="D733" s="66"/>
      <c r="G733" s="66"/>
      <c r="V733" s="66"/>
      <c r="W733" s="66"/>
      <c r="X733" s="66"/>
      <c r="AB733" s="66"/>
      <c r="AG733" s="66"/>
    </row>
    <row r="734" spans="4:33">
      <c r="D734" s="66"/>
      <c r="G734" s="66"/>
      <c r="V734" s="66"/>
      <c r="W734" s="66"/>
      <c r="X734" s="66"/>
      <c r="AB734" s="66"/>
      <c r="AG734" s="66"/>
    </row>
    <row r="735" spans="4:33">
      <c r="D735" s="66"/>
      <c r="G735" s="66"/>
      <c r="V735" s="66"/>
      <c r="W735" s="66"/>
      <c r="X735" s="66"/>
      <c r="AB735" s="66"/>
      <c r="AG735" s="66"/>
    </row>
    <row r="736" spans="4:33">
      <c r="D736" s="66"/>
      <c r="G736" s="66"/>
      <c r="V736" s="66"/>
      <c r="W736" s="66"/>
      <c r="X736" s="66"/>
      <c r="AB736" s="66"/>
      <c r="AG736" s="66"/>
    </row>
    <row r="737" spans="4:33">
      <c r="D737" s="66"/>
      <c r="G737" s="66"/>
      <c r="V737" s="66"/>
      <c r="W737" s="66"/>
      <c r="X737" s="66"/>
      <c r="AB737" s="66"/>
      <c r="AG737" s="66"/>
    </row>
    <row r="738" spans="4:33">
      <c r="D738" s="66"/>
      <c r="G738" s="66"/>
      <c r="V738" s="66"/>
      <c r="W738" s="66"/>
      <c r="X738" s="66"/>
      <c r="AB738" s="66"/>
      <c r="AG738" s="66"/>
    </row>
    <row r="739" spans="4:33">
      <c r="D739" s="66"/>
      <c r="G739" s="66"/>
      <c r="V739" s="66"/>
      <c r="W739" s="66"/>
      <c r="X739" s="66"/>
      <c r="AB739" s="66"/>
      <c r="AG739" s="66"/>
    </row>
    <row r="740" spans="4:33">
      <c r="D740" s="66"/>
      <c r="G740" s="66"/>
      <c r="V740" s="66"/>
      <c r="W740" s="66"/>
      <c r="X740" s="66"/>
      <c r="AB740" s="66"/>
      <c r="AG740" s="66"/>
    </row>
    <row r="741" spans="4:33">
      <c r="D741" s="66"/>
      <c r="G741" s="66"/>
      <c r="V741" s="66"/>
      <c r="W741" s="66"/>
      <c r="X741" s="66"/>
      <c r="AB741" s="66"/>
      <c r="AG741" s="66"/>
    </row>
    <row r="742" spans="4:33">
      <c r="D742" s="66"/>
      <c r="G742" s="66"/>
      <c r="V742" s="66"/>
      <c r="W742" s="66"/>
      <c r="X742" s="66"/>
      <c r="AB742" s="66"/>
      <c r="AG742" s="66"/>
    </row>
    <row r="743" spans="4:33">
      <c r="D743" s="66"/>
      <c r="G743" s="66"/>
      <c r="V743" s="66"/>
      <c r="W743" s="66"/>
      <c r="X743" s="66"/>
      <c r="AB743" s="66"/>
      <c r="AG743" s="66"/>
    </row>
    <row r="744" spans="4:33">
      <c r="D744" s="66"/>
      <c r="G744" s="66"/>
      <c r="V744" s="66"/>
      <c r="W744" s="66"/>
      <c r="X744" s="66"/>
      <c r="AB744" s="66"/>
      <c r="AG744" s="66"/>
    </row>
    <row r="745" spans="4:33">
      <c r="D745" s="66"/>
      <c r="G745" s="66"/>
      <c r="V745" s="66"/>
      <c r="W745" s="66"/>
      <c r="X745" s="66"/>
      <c r="AB745" s="66"/>
      <c r="AG745" s="66"/>
    </row>
    <row r="746" spans="4:33">
      <c r="D746" s="66"/>
      <c r="G746" s="66"/>
      <c r="V746" s="66"/>
      <c r="W746" s="66"/>
      <c r="X746" s="66"/>
      <c r="AB746" s="66"/>
      <c r="AG746" s="66"/>
    </row>
    <row r="747" spans="4:33">
      <c r="D747" s="66"/>
      <c r="G747" s="66"/>
      <c r="V747" s="66"/>
      <c r="W747" s="66"/>
      <c r="X747" s="66"/>
      <c r="AB747" s="66"/>
      <c r="AG747" s="66"/>
    </row>
    <row r="748" spans="4:33">
      <c r="D748" s="66"/>
      <c r="G748" s="66"/>
      <c r="V748" s="66"/>
      <c r="W748" s="66"/>
      <c r="X748" s="66"/>
      <c r="AB748" s="66"/>
      <c r="AG748" s="66"/>
    </row>
    <row r="749" spans="4:33">
      <c r="D749" s="66"/>
      <c r="G749" s="66"/>
      <c r="V749" s="66"/>
      <c r="W749" s="66"/>
      <c r="X749" s="66"/>
      <c r="AB749" s="66"/>
      <c r="AG749" s="66"/>
    </row>
    <row r="750" spans="4:33">
      <c r="D750" s="66"/>
      <c r="G750" s="66"/>
      <c r="V750" s="66"/>
      <c r="W750" s="66"/>
      <c r="X750" s="66"/>
      <c r="AB750" s="66"/>
      <c r="AG750" s="66"/>
    </row>
    <row r="751" spans="4:33">
      <c r="D751" s="66"/>
      <c r="G751" s="66"/>
      <c r="V751" s="66"/>
      <c r="W751" s="66"/>
      <c r="X751" s="66"/>
      <c r="AB751" s="66"/>
      <c r="AG751" s="66"/>
    </row>
    <row r="752" spans="4:33">
      <c r="D752" s="66"/>
      <c r="G752" s="66"/>
      <c r="V752" s="66"/>
      <c r="W752" s="66"/>
      <c r="X752" s="66"/>
      <c r="AB752" s="66"/>
      <c r="AG752" s="66"/>
    </row>
    <row r="753" spans="4:33">
      <c r="D753" s="66"/>
      <c r="G753" s="66"/>
      <c r="V753" s="66"/>
      <c r="W753" s="66"/>
      <c r="X753" s="66"/>
      <c r="AB753" s="66"/>
      <c r="AG753" s="66"/>
    </row>
    <row r="754" spans="4:33">
      <c r="D754" s="66"/>
      <c r="G754" s="66"/>
      <c r="V754" s="66"/>
      <c r="W754" s="66"/>
      <c r="X754" s="66"/>
      <c r="AB754" s="66"/>
      <c r="AG754" s="66"/>
    </row>
    <row r="755" spans="4:33">
      <c r="D755" s="66"/>
      <c r="G755" s="66"/>
      <c r="V755" s="66"/>
      <c r="W755" s="66"/>
      <c r="X755" s="66"/>
      <c r="AB755" s="66"/>
      <c r="AG755" s="66"/>
    </row>
    <row r="756" spans="4:33">
      <c r="D756" s="66"/>
      <c r="G756" s="66"/>
      <c r="V756" s="66"/>
      <c r="W756" s="66"/>
      <c r="X756" s="66"/>
      <c r="AB756" s="66"/>
      <c r="AG756" s="66"/>
    </row>
    <row r="757" spans="4:33">
      <c r="D757" s="66"/>
      <c r="G757" s="66"/>
      <c r="V757" s="66"/>
      <c r="W757" s="66"/>
      <c r="X757" s="66"/>
      <c r="AB757" s="66"/>
      <c r="AG757" s="66"/>
    </row>
    <row r="758" spans="4:33">
      <c r="D758" s="66"/>
      <c r="G758" s="66"/>
      <c r="V758" s="66"/>
      <c r="W758" s="66"/>
      <c r="X758" s="66"/>
      <c r="AB758" s="66"/>
      <c r="AG758" s="66"/>
    </row>
    <row r="759" spans="4:33">
      <c r="D759" s="66"/>
      <c r="G759" s="66"/>
      <c r="V759" s="66"/>
      <c r="W759" s="66"/>
      <c r="X759" s="66"/>
      <c r="AB759" s="66"/>
      <c r="AG759" s="66"/>
    </row>
    <row r="760" spans="4:33">
      <c r="D760" s="66"/>
      <c r="G760" s="66"/>
      <c r="V760" s="66"/>
      <c r="W760" s="66"/>
      <c r="X760" s="66"/>
      <c r="AB760" s="66"/>
      <c r="AG760" s="66"/>
    </row>
    <row r="761" spans="4:33">
      <c r="D761" s="66"/>
      <c r="G761" s="66"/>
      <c r="V761" s="66"/>
      <c r="W761" s="66"/>
      <c r="X761" s="66"/>
      <c r="AB761" s="66"/>
      <c r="AG761" s="66"/>
    </row>
    <row r="762" spans="4:33">
      <c r="D762" s="66"/>
      <c r="G762" s="66"/>
      <c r="V762" s="66"/>
      <c r="W762" s="66"/>
      <c r="X762" s="66"/>
      <c r="AB762" s="66"/>
      <c r="AG762" s="66"/>
    </row>
    <row r="763" spans="4:33">
      <c r="D763" s="66"/>
      <c r="G763" s="66"/>
      <c r="V763" s="66"/>
      <c r="W763" s="66"/>
      <c r="X763" s="66"/>
      <c r="AB763" s="66"/>
      <c r="AG763" s="66"/>
    </row>
    <row r="764" spans="4:33">
      <c r="D764" s="66"/>
      <c r="G764" s="66"/>
      <c r="V764" s="66"/>
      <c r="W764" s="66"/>
      <c r="X764" s="66"/>
      <c r="AB764" s="66"/>
      <c r="AG764" s="66"/>
    </row>
  </sheetData>
  <sortState ref="A2:AG764">
    <sortCondition ref="C1:C1048576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 tint="0.79998168889431442"/>
  </sheetPr>
  <dimension ref="A1:AG654"/>
  <sheetViews>
    <sheetView workbookViewId="0">
      <selection activeCell="A2" sqref="A2"/>
    </sheetView>
  </sheetViews>
  <sheetFormatPr defaultColWidth="11.42578125" defaultRowHeight="15"/>
  <cols>
    <col min="1" max="11" width="11.42578125" style="90"/>
    <col min="12" max="12" width="14.42578125" style="90" bestFit="1" customWidth="1"/>
    <col min="13" max="16384" width="11.42578125" style="90"/>
  </cols>
  <sheetData>
    <row r="1" spans="1:33" s="89" customFormat="1" ht="90">
      <c r="A1" s="87" t="s">
        <v>52</v>
      </c>
      <c r="B1" s="87" t="s">
        <v>53</v>
      </c>
      <c r="C1" s="87" t="s">
        <v>54</v>
      </c>
      <c r="D1" s="87" t="s">
        <v>55</v>
      </c>
      <c r="E1" s="87" t="s">
        <v>56</v>
      </c>
      <c r="F1" s="87" t="s">
        <v>57</v>
      </c>
      <c r="G1" s="87" t="s">
        <v>58</v>
      </c>
      <c r="H1" s="87" t="s">
        <v>59</v>
      </c>
      <c r="I1" s="87" t="s">
        <v>60</v>
      </c>
      <c r="J1" s="87" t="s">
        <v>61</v>
      </c>
      <c r="K1" s="87" t="s">
        <v>62</v>
      </c>
      <c r="L1" s="87" t="s">
        <v>63</v>
      </c>
      <c r="M1" s="87" t="s">
        <v>64</v>
      </c>
      <c r="N1" s="87" t="s">
        <v>65</v>
      </c>
      <c r="O1" s="87" t="s">
        <v>66</v>
      </c>
      <c r="P1" s="87" t="s">
        <v>67</v>
      </c>
      <c r="Q1" s="87" t="s">
        <v>68</v>
      </c>
      <c r="R1" s="88" t="s">
        <v>69</v>
      </c>
      <c r="S1" s="88" t="s">
        <v>70</v>
      </c>
      <c r="T1" s="88" t="s">
        <v>71</v>
      </c>
      <c r="U1" s="88" t="s">
        <v>72</v>
      </c>
      <c r="V1" s="88" t="s">
        <v>73</v>
      </c>
      <c r="W1" s="88" t="s">
        <v>74</v>
      </c>
      <c r="X1" s="88" t="s">
        <v>75</v>
      </c>
      <c r="Y1" s="88" t="s">
        <v>76</v>
      </c>
      <c r="Z1" s="88" t="s">
        <v>77</v>
      </c>
      <c r="AA1" s="88" t="s">
        <v>78</v>
      </c>
      <c r="AB1" s="88" t="s">
        <v>79</v>
      </c>
      <c r="AC1" s="88" t="s">
        <v>80</v>
      </c>
      <c r="AD1" s="88" t="s">
        <v>81</v>
      </c>
      <c r="AE1" s="88" t="s">
        <v>82</v>
      </c>
      <c r="AF1" s="88" t="s">
        <v>83</v>
      </c>
      <c r="AG1" s="88" t="s">
        <v>84</v>
      </c>
    </row>
    <row r="2" spans="1:33">
      <c r="D2" s="66"/>
      <c r="G2" s="66"/>
      <c r="V2" s="66"/>
      <c r="W2" s="66"/>
      <c r="X2" s="66"/>
      <c r="AB2" s="66"/>
      <c r="AG2" s="66"/>
    </row>
    <row r="3" spans="1:33">
      <c r="D3" s="66"/>
      <c r="G3" s="66"/>
      <c r="V3" s="66"/>
      <c r="W3" s="66"/>
      <c r="X3" s="66"/>
      <c r="AB3" s="66"/>
      <c r="AG3" s="66"/>
    </row>
    <row r="4" spans="1:33">
      <c r="D4" s="66"/>
      <c r="G4" s="66"/>
      <c r="V4" s="66"/>
      <c r="W4" s="66"/>
      <c r="X4" s="66"/>
      <c r="AB4" s="66"/>
      <c r="AG4" s="66"/>
    </row>
    <row r="5" spans="1:33">
      <c r="D5" s="66"/>
      <c r="G5" s="66"/>
      <c r="V5" s="66"/>
      <c r="W5" s="66"/>
      <c r="X5" s="66"/>
      <c r="AB5" s="66"/>
      <c r="AG5" s="66"/>
    </row>
    <row r="6" spans="1:33">
      <c r="D6" s="66"/>
      <c r="G6" s="66"/>
      <c r="V6" s="66"/>
      <c r="W6" s="66"/>
      <c r="X6" s="66"/>
      <c r="AB6" s="66"/>
      <c r="AG6" s="66"/>
    </row>
    <row r="7" spans="1:33">
      <c r="D7" s="66"/>
      <c r="G7" s="66"/>
      <c r="V7" s="66"/>
      <c r="W7" s="66"/>
      <c r="X7" s="66"/>
      <c r="AB7" s="66"/>
      <c r="AG7" s="66"/>
    </row>
    <row r="8" spans="1:33">
      <c r="D8" s="66"/>
      <c r="G8" s="66"/>
      <c r="V8" s="66"/>
      <c r="W8" s="66"/>
      <c r="X8" s="66"/>
      <c r="AB8" s="66"/>
      <c r="AG8" s="66"/>
    </row>
    <row r="9" spans="1:33">
      <c r="D9" s="66"/>
      <c r="G9" s="66"/>
      <c r="V9" s="66"/>
      <c r="W9" s="66"/>
      <c r="X9" s="66"/>
      <c r="AB9" s="66"/>
      <c r="AG9" s="66"/>
    </row>
    <row r="10" spans="1:33">
      <c r="D10" s="66"/>
      <c r="G10" s="66"/>
      <c r="V10" s="66"/>
      <c r="W10" s="66"/>
      <c r="X10" s="66"/>
      <c r="AB10" s="66"/>
      <c r="AG10" s="66"/>
    </row>
    <row r="11" spans="1:33">
      <c r="D11" s="66"/>
      <c r="G11" s="66"/>
      <c r="V11" s="66"/>
      <c r="W11" s="66"/>
      <c r="X11" s="66"/>
      <c r="AB11" s="66"/>
      <c r="AG11" s="66"/>
    </row>
    <row r="12" spans="1:33">
      <c r="D12" s="66"/>
      <c r="G12" s="66"/>
      <c r="V12" s="66"/>
      <c r="W12" s="66"/>
      <c r="X12" s="66"/>
      <c r="AB12" s="66"/>
      <c r="AG12" s="66"/>
    </row>
    <row r="13" spans="1:33">
      <c r="D13" s="66"/>
      <c r="G13" s="66"/>
      <c r="V13" s="66"/>
      <c r="W13" s="66"/>
      <c r="X13" s="66"/>
      <c r="AB13" s="66"/>
      <c r="AG13" s="66"/>
    </row>
    <row r="14" spans="1:33">
      <c r="D14" s="66"/>
      <c r="G14" s="66"/>
      <c r="V14" s="66"/>
      <c r="W14" s="66"/>
      <c r="X14" s="66"/>
      <c r="AB14" s="66"/>
      <c r="AG14" s="66"/>
    </row>
    <row r="15" spans="1:33">
      <c r="D15" s="66"/>
      <c r="G15" s="66"/>
      <c r="V15" s="66"/>
      <c r="W15" s="66"/>
      <c r="X15" s="66"/>
      <c r="AB15" s="66"/>
      <c r="AG15" s="66"/>
    </row>
    <row r="16" spans="1:33">
      <c r="D16" s="66"/>
      <c r="G16" s="66"/>
      <c r="V16" s="66"/>
      <c r="W16" s="66"/>
      <c r="X16" s="66"/>
      <c r="AB16" s="66"/>
      <c r="AG16" s="66"/>
    </row>
    <row r="17" spans="4:33">
      <c r="D17" s="66"/>
      <c r="G17" s="66"/>
      <c r="V17" s="66"/>
      <c r="W17" s="66"/>
      <c r="X17" s="66"/>
      <c r="AB17" s="66"/>
      <c r="AG17" s="66"/>
    </row>
    <row r="18" spans="4:33">
      <c r="D18" s="66"/>
      <c r="G18" s="66"/>
      <c r="V18" s="66"/>
      <c r="W18" s="66"/>
      <c r="X18" s="66"/>
      <c r="AB18" s="66"/>
      <c r="AG18" s="66"/>
    </row>
    <row r="19" spans="4:33">
      <c r="D19" s="66"/>
      <c r="G19" s="66"/>
      <c r="V19" s="66"/>
      <c r="W19" s="66"/>
      <c r="X19" s="66"/>
      <c r="AB19" s="66"/>
      <c r="AG19" s="66"/>
    </row>
    <row r="20" spans="4:33">
      <c r="D20" s="66"/>
      <c r="G20" s="66"/>
      <c r="V20" s="66"/>
      <c r="W20" s="66"/>
      <c r="X20" s="66"/>
      <c r="AB20" s="66"/>
      <c r="AG20" s="66"/>
    </row>
    <row r="21" spans="4:33">
      <c r="D21" s="66"/>
      <c r="G21" s="66"/>
      <c r="V21" s="66"/>
      <c r="W21" s="66"/>
      <c r="X21" s="66"/>
      <c r="AB21" s="66"/>
      <c r="AG21" s="66"/>
    </row>
    <row r="22" spans="4:33">
      <c r="D22" s="66"/>
      <c r="G22" s="66"/>
      <c r="V22" s="66"/>
      <c r="W22" s="66"/>
      <c r="X22" s="66"/>
      <c r="AB22" s="66"/>
      <c r="AG22" s="66"/>
    </row>
    <row r="23" spans="4:33">
      <c r="D23" s="66"/>
      <c r="G23" s="66"/>
      <c r="V23" s="66"/>
      <c r="W23" s="66"/>
      <c r="X23" s="66"/>
      <c r="AB23" s="66"/>
      <c r="AG23" s="66"/>
    </row>
    <row r="24" spans="4:33">
      <c r="D24" s="66"/>
      <c r="G24" s="66"/>
      <c r="V24" s="66"/>
      <c r="W24" s="66"/>
      <c r="X24" s="66"/>
      <c r="AB24" s="66"/>
      <c r="AG24" s="66"/>
    </row>
    <row r="25" spans="4:33">
      <c r="D25" s="66"/>
      <c r="G25" s="66"/>
      <c r="V25" s="66"/>
      <c r="W25" s="66"/>
      <c r="X25" s="66"/>
      <c r="AB25" s="66"/>
      <c r="AG25" s="66"/>
    </row>
    <row r="26" spans="4:33">
      <c r="D26" s="66"/>
      <c r="G26" s="66"/>
      <c r="V26" s="66"/>
      <c r="W26" s="66"/>
      <c r="X26" s="66"/>
      <c r="AB26" s="66"/>
      <c r="AG26" s="66"/>
    </row>
    <row r="27" spans="4:33">
      <c r="D27" s="66"/>
      <c r="G27" s="66"/>
      <c r="V27" s="66"/>
      <c r="W27" s="66"/>
      <c r="X27" s="66"/>
      <c r="AB27" s="66"/>
      <c r="AG27" s="66"/>
    </row>
    <row r="28" spans="4:33">
      <c r="D28" s="66"/>
      <c r="G28" s="66"/>
      <c r="V28" s="66"/>
      <c r="W28" s="66"/>
      <c r="X28" s="66"/>
      <c r="AB28" s="66"/>
      <c r="AG28" s="66"/>
    </row>
    <row r="29" spans="4:33">
      <c r="D29" s="66"/>
      <c r="G29" s="66"/>
      <c r="V29" s="66"/>
      <c r="W29" s="66"/>
      <c r="X29" s="66"/>
      <c r="AB29" s="66"/>
      <c r="AG29" s="66"/>
    </row>
    <row r="30" spans="4:33">
      <c r="D30" s="66"/>
      <c r="G30" s="66"/>
      <c r="V30" s="66"/>
      <c r="W30" s="66"/>
      <c r="X30" s="66"/>
      <c r="AB30" s="66"/>
      <c r="AG30" s="66"/>
    </row>
    <row r="31" spans="4:33">
      <c r="D31" s="66"/>
      <c r="G31" s="66"/>
      <c r="V31" s="66"/>
      <c r="W31" s="66"/>
      <c r="X31" s="66"/>
      <c r="AB31" s="66"/>
      <c r="AG31" s="66"/>
    </row>
    <row r="32" spans="4:33">
      <c r="D32" s="66"/>
      <c r="G32" s="66"/>
      <c r="V32" s="66"/>
      <c r="W32" s="66"/>
      <c r="X32" s="66"/>
      <c r="AB32" s="66"/>
      <c r="AG32" s="66"/>
    </row>
    <row r="33" spans="4:33">
      <c r="D33" s="66"/>
      <c r="G33" s="66"/>
      <c r="V33" s="66"/>
      <c r="W33" s="66"/>
      <c r="X33" s="66"/>
      <c r="AB33" s="66"/>
      <c r="AG33" s="66"/>
    </row>
    <row r="34" spans="4:33">
      <c r="D34" s="66"/>
      <c r="G34" s="66"/>
      <c r="V34" s="66"/>
      <c r="W34" s="66"/>
      <c r="X34" s="66"/>
      <c r="AB34" s="66"/>
      <c r="AG34" s="66"/>
    </row>
    <row r="35" spans="4:33">
      <c r="D35" s="66"/>
      <c r="G35" s="66"/>
      <c r="V35" s="66"/>
      <c r="W35" s="66"/>
      <c r="X35" s="66"/>
      <c r="AB35" s="66"/>
      <c r="AG35" s="66"/>
    </row>
    <row r="36" spans="4:33">
      <c r="D36" s="66"/>
      <c r="G36" s="66"/>
      <c r="V36" s="66"/>
      <c r="W36" s="66"/>
      <c r="X36" s="66"/>
      <c r="AB36" s="66"/>
      <c r="AG36" s="66"/>
    </row>
    <row r="37" spans="4:33">
      <c r="D37" s="66"/>
      <c r="G37" s="66"/>
      <c r="V37" s="66"/>
      <c r="W37" s="66"/>
      <c r="X37" s="66"/>
      <c r="AB37" s="66"/>
      <c r="AG37" s="66"/>
    </row>
    <row r="38" spans="4:33">
      <c r="D38" s="66"/>
      <c r="G38" s="66"/>
      <c r="V38" s="66"/>
      <c r="W38" s="66"/>
      <c r="X38" s="66"/>
      <c r="AB38" s="66"/>
      <c r="AG38" s="66"/>
    </row>
    <row r="39" spans="4:33">
      <c r="D39" s="66"/>
      <c r="G39" s="66"/>
      <c r="V39" s="66"/>
      <c r="W39" s="66"/>
      <c r="X39" s="66"/>
      <c r="AB39" s="66"/>
      <c r="AG39" s="66"/>
    </row>
    <row r="40" spans="4:33">
      <c r="D40" s="66"/>
      <c r="G40" s="66"/>
      <c r="V40" s="66"/>
      <c r="W40" s="66"/>
      <c r="X40" s="66"/>
      <c r="AB40" s="66"/>
      <c r="AG40" s="66"/>
    </row>
    <row r="41" spans="4:33">
      <c r="D41" s="66"/>
      <c r="G41" s="66"/>
      <c r="V41" s="66"/>
      <c r="W41" s="66"/>
      <c r="X41" s="66"/>
      <c r="AB41" s="66"/>
      <c r="AG41" s="66"/>
    </row>
    <row r="42" spans="4:33">
      <c r="D42" s="66"/>
      <c r="G42" s="66"/>
      <c r="V42" s="66"/>
      <c r="W42" s="66"/>
      <c r="X42" s="66"/>
      <c r="AB42" s="66"/>
      <c r="AG42" s="66"/>
    </row>
    <row r="43" spans="4:33">
      <c r="D43" s="66"/>
      <c r="G43" s="66"/>
      <c r="V43" s="66"/>
      <c r="W43" s="66"/>
      <c r="X43" s="66"/>
      <c r="AB43" s="66"/>
      <c r="AG43" s="66"/>
    </row>
    <row r="44" spans="4:33">
      <c r="D44" s="66"/>
      <c r="G44" s="66"/>
      <c r="V44" s="66"/>
      <c r="W44" s="66"/>
      <c r="X44" s="66"/>
      <c r="AB44" s="66"/>
      <c r="AG44" s="66"/>
    </row>
    <row r="45" spans="4:33">
      <c r="D45" s="66"/>
      <c r="G45" s="66"/>
      <c r="V45" s="66"/>
      <c r="W45" s="66"/>
      <c r="X45" s="66"/>
      <c r="AB45" s="66"/>
      <c r="AG45" s="66"/>
    </row>
    <row r="46" spans="4:33">
      <c r="D46" s="66"/>
      <c r="G46" s="66"/>
      <c r="V46" s="66"/>
      <c r="W46" s="66"/>
      <c r="X46" s="66"/>
      <c r="AB46" s="66"/>
      <c r="AG46" s="66"/>
    </row>
    <row r="47" spans="4:33">
      <c r="D47" s="66"/>
      <c r="G47" s="66"/>
      <c r="V47" s="66"/>
      <c r="W47" s="66"/>
      <c r="X47" s="66"/>
      <c r="AB47" s="66"/>
      <c r="AG47" s="66"/>
    </row>
    <row r="48" spans="4:33">
      <c r="D48" s="66"/>
      <c r="G48" s="66"/>
      <c r="V48" s="66"/>
      <c r="W48" s="66"/>
      <c r="X48" s="66"/>
      <c r="AB48" s="66"/>
      <c r="AG48" s="66"/>
    </row>
    <row r="49" spans="4:33">
      <c r="D49" s="66"/>
      <c r="G49" s="66"/>
      <c r="V49" s="66"/>
      <c r="W49" s="66"/>
      <c r="X49" s="66"/>
      <c r="AB49" s="66"/>
      <c r="AG49" s="66"/>
    </row>
    <row r="50" spans="4:33">
      <c r="D50" s="66"/>
      <c r="G50" s="66"/>
      <c r="V50" s="66"/>
      <c r="W50" s="66"/>
      <c r="X50" s="66"/>
      <c r="AB50" s="66"/>
      <c r="AG50" s="66"/>
    </row>
    <row r="51" spans="4:33">
      <c r="D51" s="66"/>
      <c r="G51" s="66"/>
      <c r="V51" s="66"/>
      <c r="W51" s="66"/>
      <c r="X51" s="66"/>
      <c r="AB51" s="66"/>
      <c r="AG51" s="66"/>
    </row>
    <row r="52" spans="4:33">
      <c r="D52" s="66"/>
      <c r="G52" s="66"/>
      <c r="V52" s="66"/>
      <c r="W52" s="66"/>
      <c r="X52" s="66"/>
      <c r="AB52" s="66"/>
      <c r="AG52" s="66"/>
    </row>
    <row r="53" spans="4:33">
      <c r="D53" s="66"/>
      <c r="G53" s="66"/>
      <c r="V53" s="66"/>
      <c r="W53" s="66"/>
      <c r="X53" s="66"/>
      <c r="AB53" s="66"/>
      <c r="AG53" s="66"/>
    </row>
    <row r="54" spans="4:33">
      <c r="D54" s="66"/>
      <c r="G54" s="66"/>
      <c r="V54" s="66"/>
      <c r="W54" s="66"/>
      <c r="X54" s="66"/>
      <c r="AB54" s="66"/>
      <c r="AG54" s="66"/>
    </row>
    <row r="55" spans="4:33">
      <c r="D55" s="66"/>
      <c r="G55" s="66"/>
      <c r="V55" s="66"/>
      <c r="W55" s="66"/>
      <c r="X55" s="66"/>
      <c r="AB55" s="66"/>
      <c r="AG55" s="66"/>
    </row>
    <row r="56" spans="4:33">
      <c r="D56" s="66"/>
      <c r="G56" s="66"/>
      <c r="V56" s="66"/>
      <c r="W56" s="66"/>
      <c r="X56" s="66"/>
      <c r="AB56" s="66"/>
      <c r="AG56" s="66"/>
    </row>
    <row r="57" spans="4:33">
      <c r="D57" s="66"/>
      <c r="G57" s="66"/>
      <c r="V57" s="66"/>
      <c r="W57" s="66"/>
      <c r="X57" s="66"/>
      <c r="AB57" s="66"/>
      <c r="AG57" s="66"/>
    </row>
    <row r="58" spans="4:33">
      <c r="D58" s="66"/>
      <c r="G58" s="66"/>
      <c r="V58" s="66"/>
      <c r="W58" s="66"/>
      <c r="X58" s="66"/>
      <c r="AB58" s="66"/>
      <c r="AG58" s="66"/>
    </row>
    <row r="59" spans="4:33">
      <c r="D59" s="66"/>
      <c r="G59" s="66"/>
      <c r="V59" s="66"/>
      <c r="W59" s="66"/>
      <c r="X59" s="66"/>
      <c r="AB59" s="66"/>
      <c r="AG59" s="66"/>
    </row>
    <row r="60" spans="4:33">
      <c r="D60" s="66"/>
      <c r="G60" s="66"/>
      <c r="V60" s="66"/>
      <c r="W60" s="66"/>
      <c r="X60" s="66"/>
      <c r="AB60" s="66"/>
      <c r="AG60" s="66"/>
    </row>
    <row r="61" spans="4:33">
      <c r="D61" s="66"/>
      <c r="G61" s="66"/>
      <c r="V61" s="66"/>
      <c r="W61" s="66"/>
      <c r="X61" s="66"/>
      <c r="AB61" s="66"/>
      <c r="AG61" s="66"/>
    </row>
    <row r="62" spans="4:33">
      <c r="D62" s="66"/>
      <c r="G62" s="66"/>
      <c r="V62" s="66"/>
      <c r="W62" s="66"/>
      <c r="X62" s="66"/>
      <c r="AB62" s="66"/>
      <c r="AG62" s="66"/>
    </row>
    <row r="63" spans="4:33">
      <c r="D63" s="66"/>
      <c r="G63" s="66"/>
      <c r="V63" s="66"/>
      <c r="W63" s="66"/>
      <c r="X63" s="66"/>
      <c r="AB63" s="66"/>
      <c r="AG63" s="66"/>
    </row>
    <row r="64" spans="4:33">
      <c r="D64" s="66"/>
      <c r="G64" s="66"/>
      <c r="V64" s="66"/>
      <c r="W64" s="66"/>
      <c r="X64" s="66"/>
      <c r="AB64" s="66"/>
      <c r="AG64" s="66"/>
    </row>
    <row r="65" spans="4:33">
      <c r="D65" s="66"/>
      <c r="G65" s="66"/>
      <c r="V65" s="66"/>
      <c r="W65" s="66"/>
      <c r="X65" s="66"/>
      <c r="AB65" s="66"/>
      <c r="AG65" s="66"/>
    </row>
    <row r="66" spans="4:33">
      <c r="D66" s="66"/>
      <c r="G66" s="66"/>
      <c r="V66" s="66"/>
      <c r="W66" s="66"/>
      <c r="X66" s="66"/>
      <c r="AB66" s="66"/>
      <c r="AG66" s="66"/>
    </row>
    <row r="67" spans="4:33">
      <c r="D67" s="66"/>
      <c r="G67" s="66"/>
      <c r="V67" s="66"/>
      <c r="W67" s="66"/>
      <c r="X67" s="66"/>
      <c r="AB67" s="66"/>
      <c r="AG67" s="66"/>
    </row>
    <row r="68" spans="4:33">
      <c r="D68" s="66"/>
      <c r="G68" s="66"/>
      <c r="V68" s="66"/>
      <c r="W68" s="66"/>
      <c r="X68" s="66"/>
      <c r="AB68" s="66"/>
      <c r="AG68" s="66"/>
    </row>
    <row r="69" spans="4:33">
      <c r="D69" s="66"/>
      <c r="G69" s="66"/>
      <c r="V69" s="66"/>
      <c r="W69" s="66"/>
      <c r="X69" s="66"/>
      <c r="AB69" s="66"/>
      <c r="AG69" s="66"/>
    </row>
    <row r="70" spans="4:33">
      <c r="D70" s="66"/>
      <c r="G70" s="66"/>
      <c r="V70" s="66"/>
      <c r="W70" s="66"/>
      <c r="X70" s="66"/>
      <c r="AB70" s="66"/>
      <c r="AG70" s="66"/>
    </row>
    <row r="71" spans="4:33">
      <c r="D71" s="66"/>
      <c r="G71" s="66"/>
      <c r="V71" s="66"/>
      <c r="W71" s="66"/>
      <c r="X71" s="66"/>
      <c r="AB71" s="66"/>
      <c r="AG71" s="66"/>
    </row>
    <row r="72" spans="4:33">
      <c r="D72" s="66"/>
      <c r="G72" s="66"/>
      <c r="V72" s="66"/>
      <c r="W72" s="66"/>
      <c r="X72" s="66"/>
      <c r="AB72" s="66"/>
      <c r="AG72" s="66"/>
    </row>
    <row r="73" spans="4:33">
      <c r="D73" s="66"/>
      <c r="G73" s="66"/>
      <c r="V73" s="66"/>
      <c r="W73" s="66"/>
      <c r="X73" s="66"/>
      <c r="AB73" s="66"/>
      <c r="AG73" s="66"/>
    </row>
    <row r="74" spans="4:33">
      <c r="D74" s="66"/>
      <c r="G74" s="66"/>
      <c r="V74" s="66"/>
      <c r="W74" s="66"/>
      <c r="X74" s="66"/>
      <c r="AB74" s="66"/>
      <c r="AG74" s="66"/>
    </row>
    <row r="75" spans="4:33">
      <c r="D75" s="66"/>
      <c r="G75" s="66"/>
      <c r="V75" s="66"/>
      <c r="W75" s="66"/>
      <c r="X75" s="66"/>
      <c r="AB75" s="66"/>
      <c r="AG75" s="66"/>
    </row>
    <row r="76" spans="4:33">
      <c r="D76" s="66"/>
      <c r="G76" s="66"/>
      <c r="V76" s="66"/>
      <c r="W76" s="66"/>
      <c r="X76" s="66"/>
      <c r="AB76" s="66"/>
      <c r="AG76" s="66"/>
    </row>
    <row r="77" spans="4:33">
      <c r="D77" s="66"/>
      <c r="G77" s="66"/>
      <c r="V77" s="66"/>
      <c r="W77" s="66"/>
      <c r="X77" s="66"/>
      <c r="AB77" s="66"/>
      <c r="AG77" s="66"/>
    </row>
    <row r="78" spans="4:33">
      <c r="D78" s="66"/>
      <c r="G78" s="66"/>
      <c r="V78" s="66"/>
      <c r="W78" s="66"/>
      <c r="X78" s="66"/>
      <c r="AB78" s="66"/>
      <c r="AG78" s="66"/>
    </row>
    <row r="79" spans="4:33">
      <c r="D79" s="66"/>
      <c r="G79" s="66"/>
      <c r="V79" s="66"/>
      <c r="W79" s="66"/>
      <c r="X79" s="66"/>
      <c r="AB79" s="66"/>
      <c r="AG79" s="66"/>
    </row>
    <row r="80" spans="4:33">
      <c r="D80" s="66"/>
      <c r="G80" s="66"/>
      <c r="V80" s="66"/>
      <c r="W80" s="66"/>
      <c r="X80" s="66"/>
      <c r="AB80" s="66"/>
      <c r="AG80" s="66"/>
    </row>
    <row r="81" spans="4:33">
      <c r="D81" s="66"/>
      <c r="G81" s="66"/>
      <c r="V81" s="66"/>
      <c r="W81" s="66"/>
      <c r="X81" s="66"/>
      <c r="AB81" s="66"/>
      <c r="AG81" s="66"/>
    </row>
    <row r="82" spans="4:33">
      <c r="D82" s="66"/>
      <c r="G82" s="66"/>
      <c r="V82" s="66"/>
      <c r="W82" s="66"/>
      <c r="X82" s="66"/>
      <c r="AB82" s="66"/>
      <c r="AG82" s="66"/>
    </row>
    <row r="83" spans="4:33">
      <c r="D83" s="66"/>
      <c r="G83" s="66"/>
      <c r="V83" s="66"/>
      <c r="W83" s="66"/>
      <c r="X83" s="66"/>
      <c r="AB83" s="66"/>
      <c r="AG83" s="66"/>
    </row>
    <row r="84" spans="4:33">
      <c r="D84" s="66"/>
      <c r="G84" s="66"/>
      <c r="V84" s="66"/>
      <c r="W84" s="66"/>
      <c r="X84" s="66"/>
      <c r="AB84" s="66"/>
      <c r="AG84" s="66"/>
    </row>
    <row r="85" spans="4:33">
      <c r="D85" s="66"/>
      <c r="G85" s="66"/>
      <c r="V85" s="66"/>
      <c r="W85" s="66"/>
      <c r="X85" s="66"/>
      <c r="AB85" s="66"/>
      <c r="AG85" s="66"/>
    </row>
    <row r="86" spans="4:33">
      <c r="D86" s="66"/>
      <c r="G86" s="66"/>
      <c r="V86" s="66"/>
      <c r="W86" s="66"/>
      <c r="X86" s="66"/>
      <c r="AB86" s="66"/>
      <c r="AG86" s="66"/>
    </row>
    <row r="87" spans="4:33">
      <c r="D87" s="66"/>
      <c r="G87" s="66"/>
      <c r="V87" s="66"/>
      <c r="W87" s="66"/>
      <c r="X87" s="66"/>
      <c r="AB87" s="66"/>
      <c r="AG87" s="66"/>
    </row>
    <row r="88" spans="4:33">
      <c r="D88" s="66"/>
      <c r="G88" s="66"/>
      <c r="V88" s="66"/>
      <c r="W88" s="66"/>
      <c r="X88" s="66"/>
      <c r="AB88" s="66"/>
      <c r="AG88" s="66"/>
    </row>
    <row r="89" spans="4:33">
      <c r="D89" s="66"/>
      <c r="G89" s="66"/>
      <c r="V89" s="66"/>
      <c r="W89" s="66"/>
      <c r="X89" s="66"/>
      <c r="AB89" s="66"/>
      <c r="AG89" s="66"/>
    </row>
    <row r="90" spans="4:33">
      <c r="D90" s="66"/>
      <c r="G90" s="66"/>
      <c r="V90" s="66"/>
      <c r="W90" s="66"/>
      <c r="X90" s="66"/>
      <c r="AB90" s="66"/>
      <c r="AG90" s="66"/>
    </row>
    <row r="91" spans="4:33">
      <c r="D91" s="66"/>
      <c r="G91" s="66"/>
      <c r="V91" s="66"/>
      <c r="W91" s="66"/>
      <c r="X91" s="66"/>
      <c r="AB91" s="66"/>
      <c r="AG91" s="66"/>
    </row>
    <row r="92" spans="4:33">
      <c r="D92" s="66"/>
      <c r="G92" s="66"/>
      <c r="V92" s="66"/>
      <c r="W92" s="66"/>
      <c r="X92" s="66"/>
      <c r="AB92" s="66"/>
      <c r="AG92" s="66"/>
    </row>
    <row r="93" spans="4:33">
      <c r="D93" s="66"/>
      <c r="G93" s="66"/>
      <c r="V93" s="66"/>
      <c r="W93" s="66"/>
      <c r="X93" s="66"/>
      <c r="AB93" s="66"/>
      <c r="AG93" s="66"/>
    </row>
    <row r="94" spans="4:33">
      <c r="D94" s="66"/>
      <c r="G94" s="66"/>
      <c r="V94" s="66"/>
      <c r="W94" s="66"/>
      <c r="X94" s="66"/>
      <c r="AB94" s="66"/>
      <c r="AG94" s="66"/>
    </row>
    <row r="95" spans="4:33">
      <c r="D95" s="66"/>
      <c r="G95" s="66"/>
      <c r="V95" s="66"/>
      <c r="W95" s="66"/>
      <c r="X95" s="66"/>
      <c r="AB95" s="66"/>
      <c r="AG95" s="66"/>
    </row>
    <row r="96" spans="4:33">
      <c r="D96" s="66"/>
      <c r="G96" s="66"/>
      <c r="V96" s="66"/>
      <c r="W96" s="66"/>
      <c r="X96" s="66"/>
      <c r="AB96" s="66"/>
      <c r="AG96" s="66"/>
    </row>
    <row r="97" spans="4:33">
      <c r="D97" s="66"/>
      <c r="G97" s="66"/>
      <c r="V97" s="66"/>
      <c r="W97" s="66"/>
      <c r="X97" s="66"/>
      <c r="AB97" s="66"/>
      <c r="AG97" s="66"/>
    </row>
    <row r="98" spans="4:33">
      <c r="D98" s="66"/>
      <c r="G98" s="66"/>
      <c r="V98" s="66"/>
      <c r="W98" s="66"/>
      <c r="X98" s="66"/>
      <c r="AB98" s="66"/>
      <c r="AG98" s="66"/>
    </row>
    <row r="99" spans="4:33">
      <c r="D99" s="66"/>
      <c r="G99" s="66"/>
      <c r="V99" s="66"/>
      <c r="W99" s="66"/>
      <c r="X99" s="66"/>
      <c r="AB99" s="66"/>
      <c r="AG99" s="66"/>
    </row>
    <row r="100" spans="4:33">
      <c r="D100" s="66"/>
      <c r="G100" s="66"/>
      <c r="V100" s="66"/>
      <c r="W100" s="66"/>
      <c r="X100" s="66"/>
      <c r="AB100" s="66"/>
      <c r="AG100" s="66"/>
    </row>
    <row r="101" spans="4:33">
      <c r="D101" s="66"/>
      <c r="G101" s="66"/>
      <c r="V101" s="66"/>
      <c r="W101" s="66"/>
      <c r="X101" s="66"/>
      <c r="AB101" s="66"/>
      <c r="AG101" s="66"/>
    </row>
    <row r="102" spans="4:33">
      <c r="D102" s="66"/>
      <c r="G102" s="66"/>
      <c r="V102" s="66"/>
      <c r="W102" s="66"/>
      <c r="X102" s="66"/>
      <c r="AB102" s="66"/>
      <c r="AG102" s="66"/>
    </row>
    <row r="103" spans="4:33">
      <c r="D103" s="66"/>
      <c r="G103" s="66"/>
      <c r="V103" s="66"/>
      <c r="W103" s="66"/>
      <c r="X103" s="66"/>
      <c r="AB103" s="66"/>
      <c r="AG103" s="66"/>
    </row>
    <row r="104" spans="4:33">
      <c r="D104" s="66"/>
      <c r="G104" s="66"/>
      <c r="V104" s="66"/>
      <c r="W104" s="66"/>
      <c r="X104" s="66"/>
      <c r="AB104" s="66"/>
      <c r="AG104" s="66"/>
    </row>
    <row r="105" spans="4:33">
      <c r="D105" s="66"/>
      <c r="G105" s="66"/>
      <c r="V105" s="66"/>
      <c r="W105" s="66"/>
      <c r="X105" s="66"/>
      <c r="AB105" s="66"/>
      <c r="AG105" s="66"/>
    </row>
    <row r="106" spans="4:33">
      <c r="D106" s="66"/>
      <c r="G106" s="66"/>
      <c r="V106" s="66"/>
      <c r="W106" s="66"/>
      <c r="X106" s="66"/>
      <c r="AB106" s="66"/>
      <c r="AG106" s="66"/>
    </row>
    <row r="107" spans="4:33">
      <c r="D107" s="66"/>
      <c r="G107" s="66"/>
      <c r="V107" s="66"/>
      <c r="W107" s="66"/>
      <c r="X107" s="66"/>
      <c r="AB107" s="66"/>
      <c r="AG107" s="66"/>
    </row>
    <row r="108" spans="4:33">
      <c r="D108" s="66"/>
      <c r="G108" s="66"/>
      <c r="V108" s="66"/>
      <c r="W108" s="66"/>
      <c r="X108" s="66"/>
      <c r="AB108" s="66"/>
      <c r="AG108" s="66"/>
    </row>
    <row r="109" spans="4:33">
      <c r="D109" s="66"/>
      <c r="G109" s="66"/>
      <c r="V109" s="66"/>
      <c r="W109" s="66"/>
      <c r="X109" s="66"/>
      <c r="AB109" s="66"/>
      <c r="AG109" s="66"/>
    </row>
    <row r="110" spans="4:33">
      <c r="D110" s="66"/>
      <c r="G110" s="66"/>
      <c r="V110" s="66"/>
      <c r="W110" s="66"/>
      <c r="X110" s="66"/>
      <c r="AB110" s="66"/>
      <c r="AG110" s="66"/>
    </row>
    <row r="111" spans="4:33">
      <c r="D111" s="66"/>
      <c r="G111" s="66"/>
      <c r="V111" s="66"/>
      <c r="W111" s="66"/>
      <c r="X111" s="66"/>
      <c r="AB111" s="66"/>
      <c r="AG111" s="66"/>
    </row>
    <row r="112" spans="4:33">
      <c r="D112" s="66"/>
      <c r="G112" s="66"/>
      <c r="V112" s="66"/>
      <c r="W112" s="66"/>
      <c r="X112" s="66"/>
      <c r="AB112" s="66"/>
      <c r="AG112" s="66"/>
    </row>
    <row r="113" spans="4:33">
      <c r="D113" s="66"/>
      <c r="G113" s="66"/>
      <c r="V113" s="66"/>
      <c r="W113" s="66"/>
      <c r="X113" s="66"/>
      <c r="AB113" s="66"/>
      <c r="AG113" s="66"/>
    </row>
    <row r="114" spans="4:33">
      <c r="D114" s="66"/>
      <c r="G114" s="66"/>
      <c r="V114" s="66"/>
      <c r="W114" s="66"/>
      <c r="X114" s="66"/>
      <c r="AB114" s="66"/>
      <c r="AG114" s="66"/>
    </row>
    <row r="115" spans="4:33">
      <c r="D115" s="66"/>
      <c r="G115" s="66"/>
      <c r="V115" s="66"/>
      <c r="W115" s="66"/>
      <c r="X115" s="66"/>
      <c r="AB115" s="66"/>
      <c r="AG115" s="66"/>
    </row>
    <row r="116" spans="4:33">
      <c r="D116" s="66"/>
      <c r="G116" s="66"/>
      <c r="V116" s="66"/>
      <c r="W116" s="66"/>
      <c r="X116" s="66"/>
      <c r="AB116" s="66"/>
      <c r="AG116" s="66"/>
    </row>
    <row r="117" spans="4:33">
      <c r="D117" s="66"/>
      <c r="G117" s="66"/>
      <c r="V117" s="66"/>
      <c r="W117" s="66"/>
      <c r="X117" s="66"/>
      <c r="AB117" s="66"/>
      <c r="AG117" s="66"/>
    </row>
    <row r="118" spans="4:33">
      <c r="D118" s="66"/>
      <c r="G118" s="66"/>
      <c r="V118" s="66"/>
      <c r="W118" s="66"/>
      <c r="X118" s="66"/>
      <c r="AB118" s="66"/>
      <c r="AG118" s="66"/>
    </row>
    <row r="119" spans="4:33">
      <c r="D119" s="66"/>
      <c r="G119" s="66"/>
      <c r="V119" s="66"/>
      <c r="W119" s="66"/>
      <c r="X119" s="66"/>
      <c r="AB119" s="66"/>
      <c r="AG119" s="66"/>
    </row>
    <row r="120" spans="4:33">
      <c r="D120" s="66"/>
      <c r="G120" s="66"/>
      <c r="V120" s="66"/>
      <c r="W120" s="66"/>
      <c r="X120" s="66"/>
      <c r="AB120" s="66"/>
      <c r="AG120" s="66"/>
    </row>
    <row r="121" spans="4:33">
      <c r="D121" s="66"/>
      <c r="G121" s="66"/>
      <c r="V121" s="66"/>
      <c r="W121" s="66"/>
      <c r="X121" s="66"/>
      <c r="AB121" s="66"/>
      <c r="AG121" s="66"/>
    </row>
    <row r="122" spans="4:33">
      <c r="D122" s="66"/>
      <c r="G122" s="66"/>
      <c r="V122" s="66"/>
      <c r="W122" s="66"/>
      <c r="X122" s="66"/>
      <c r="AB122" s="66"/>
      <c r="AG122" s="66"/>
    </row>
    <row r="123" spans="4:33">
      <c r="D123" s="66"/>
      <c r="G123" s="66"/>
      <c r="V123" s="66"/>
      <c r="W123" s="66"/>
      <c r="X123" s="66"/>
      <c r="AB123" s="66"/>
      <c r="AG123" s="66"/>
    </row>
    <row r="124" spans="4:33">
      <c r="D124" s="66"/>
      <c r="G124" s="66"/>
      <c r="V124" s="66"/>
      <c r="W124" s="66"/>
      <c r="X124" s="66"/>
      <c r="AB124" s="66"/>
      <c r="AG124" s="66"/>
    </row>
    <row r="125" spans="4:33">
      <c r="D125" s="66"/>
      <c r="G125" s="66"/>
      <c r="V125" s="66"/>
      <c r="W125" s="66"/>
      <c r="X125" s="66"/>
      <c r="AB125" s="66"/>
      <c r="AG125" s="66"/>
    </row>
    <row r="126" spans="4:33">
      <c r="D126" s="66"/>
      <c r="G126" s="66"/>
      <c r="V126" s="66"/>
      <c r="W126" s="66"/>
      <c r="X126" s="66"/>
      <c r="AB126" s="66"/>
      <c r="AG126" s="66"/>
    </row>
    <row r="127" spans="4:33">
      <c r="D127" s="66"/>
      <c r="G127" s="66"/>
      <c r="V127" s="66"/>
      <c r="W127" s="66"/>
      <c r="X127" s="66"/>
      <c r="AB127" s="66"/>
      <c r="AG127" s="66"/>
    </row>
    <row r="128" spans="4:33">
      <c r="D128" s="66"/>
      <c r="G128" s="66"/>
      <c r="V128" s="66"/>
      <c r="W128" s="66"/>
      <c r="X128" s="66"/>
      <c r="AB128" s="66"/>
      <c r="AG128" s="66"/>
    </row>
    <row r="129" spans="4:33">
      <c r="D129" s="66"/>
      <c r="G129" s="66"/>
      <c r="V129" s="66"/>
      <c r="W129" s="66"/>
      <c r="X129" s="66"/>
      <c r="AB129" s="66"/>
      <c r="AG129" s="66"/>
    </row>
    <row r="130" spans="4:33">
      <c r="D130" s="66"/>
      <c r="G130" s="66"/>
      <c r="V130" s="66"/>
      <c r="W130" s="66"/>
      <c r="X130" s="66"/>
      <c r="AB130" s="66"/>
      <c r="AG130" s="66"/>
    </row>
    <row r="131" spans="4:33">
      <c r="D131" s="66"/>
      <c r="G131" s="66"/>
      <c r="V131" s="66"/>
      <c r="W131" s="66"/>
      <c r="X131" s="66"/>
      <c r="AB131" s="66"/>
      <c r="AG131" s="66"/>
    </row>
    <row r="132" spans="4:33">
      <c r="D132" s="66"/>
      <c r="G132" s="66"/>
      <c r="V132" s="66"/>
      <c r="W132" s="66"/>
      <c r="X132" s="66"/>
      <c r="AB132" s="66"/>
      <c r="AG132" s="66"/>
    </row>
    <row r="133" spans="4:33">
      <c r="D133" s="66"/>
      <c r="G133" s="66"/>
      <c r="V133" s="66"/>
      <c r="W133" s="66"/>
      <c r="X133" s="66"/>
      <c r="AB133" s="66"/>
      <c r="AG133" s="66"/>
    </row>
    <row r="134" spans="4:33">
      <c r="D134" s="66"/>
      <c r="G134" s="66"/>
      <c r="V134" s="66"/>
      <c r="W134" s="66"/>
      <c r="X134" s="66"/>
      <c r="AB134" s="66"/>
      <c r="AG134" s="66"/>
    </row>
    <row r="135" spans="4:33">
      <c r="D135" s="66"/>
      <c r="G135" s="66"/>
      <c r="V135" s="66"/>
      <c r="W135" s="66"/>
      <c r="X135" s="66"/>
      <c r="AB135" s="66"/>
      <c r="AG135" s="66"/>
    </row>
    <row r="136" spans="4:33">
      <c r="D136" s="66"/>
      <c r="G136" s="66"/>
      <c r="V136" s="66"/>
      <c r="W136" s="66"/>
      <c r="X136" s="66"/>
      <c r="AB136" s="66"/>
      <c r="AG136" s="66"/>
    </row>
    <row r="137" spans="4:33">
      <c r="D137" s="66"/>
      <c r="G137" s="66"/>
      <c r="V137" s="66"/>
      <c r="W137" s="66"/>
      <c r="X137" s="66"/>
      <c r="AB137" s="66"/>
      <c r="AG137" s="66"/>
    </row>
    <row r="138" spans="4:33">
      <c r="D138" s="66"/>
      <c r="G138" s="66"/>
      <c r="V138" s="66"/>
      <c r="W138" s="66"/>
      <c r="X138" s="66"/>
      <c r="AB138" s="66"/>
      <c r="AG138" s="66"/>
    </row>
    <row r="139" spans="4:33">
      <c r="D139" s="66"/>
      <c r="G139" s="66"/>
      <c r="V139" s="66"/>
      <c r="W139" s="66"/>
      <c r="X139" s="66"/>
      <c r="AB139" s="66"/>
      <c r="AG139" s="66"/>
    </row>
    <row r="140" spans="4:33">
      <c r="D140" s="66"/>
      <c r="G140" s="66"/>
      <c r="V140" s="66"/>
      <c r="W140" s="66"/>
      <c r="X140" s="66"/>
      <c r="AB140" s="66"/>
      <c r="AG140" s="66"/>
    </row>
    <row r="141" spans="4:33">
      <c r="D141" s="66"/>
      <c r="G141" s="66"/>
      <c r="V141" s="66"/>
      <c r="W141" s="66"/>
      <c r="X141" s="66"/>
      <c r="AB141" s="66"/>
      <c r="AG141" s="66"/>
    </row>
    <row r="142" spans="4:33">
      <c r="D142" s="66"/>
      <c r="G142" s="66"/>
      <c r="V142" s="66"/>
      <c r="W142" s="66"/>
      <c r="X142" s="66"/>
      <c r="AB142" s="66"/>
      <c r="AG142" s="66"/>
    </row>
    <row r="143" spans="4:33">
      <c r="D143" s="66"/>
      <c r="G143" s="66"/>
      <c r="V143" s="66"/>
      <c r="W143" s="66"/>
      <c r="X143" s="66"/>
      <c r="AB143" s="66"/>
      <c r="AG143" s="66"/>
    </row>
    <row r="144" spans="4:33">
      <c r="D144" s="66"/>
      <c r="G144" s="66"/>
      <c r="V144" s="66"/>
      <c r="W144" s="66"/>
      <c r="X144" s="66"/>
      <c r="AB144" s="66"/>
      <c r="AG144" s="66"/>
    </row>
    <row r="145" spans="4:33">
      <c r="D145" s="66"/>
      <c r="G145" s="66"/>
      <c r="V145" s="66"/>
      <c r="W145" s="66"/>
      <c r="X145" s="66"/>
      <c r="AB145" s="66"/>
      <c r="AG145" s="66"/>
    </row>
    <row r="146" spans="4:33">
      <c r="D146" s="66"/>
      <c r="G146" s="66"/>
      <c r="V146" s="66"/>
      <c r="W146" s="66"/>
      <c r="X146" s="66"/>
      <c r="AB146" s="66"/>
      <c r="AG146" s="66"/>
    </row>
    <row r="147" spans="4:33">
      <c r="D147" s="66"/>
      <c r="G147" s="66"/>
      <c r="V147" s="66"/>
      <c r="W147" s="66"/>
      <c r="X147" s="66"/>
      <c r="AB147" s="66"/>
      <c r="AG147" s="66"/>
    </row>
    <row r="148" spans="4:33">
      <c r="D148" s="66"/>
      <c r="G148" s="66"/>
      <c r="V148" s="66"/>
      <c r="W148" s="66"/>
      <c r="X148" s="66"/>
      <c r="AB148" s="66"/>
      <c r="AG148" s="66"/>
    </row>
    <row r="149" spans="4:33">
      <c r="D149" s="66"/>
      <c r="G149" s="66"/>
      <c r="V149" s="66"/>
      <c r="W149" s="66"/>
      <c r="X149" s="66"/>
      <c r="AB149" s="66"/>
      <c r="AG149" s="66"/>
    </row>
    <row r="150" spans="4:33">
      <c r="D150" s="66"/>
      <c r="G150" s="66"/>
      <c r="V150" s="66"/>
      <c r="W150" s="66"/>
      <c r="X150" s="66"/>
      <c r="AB150" s="66"/>
      <c r="AG150" s="66"/>
    </row>
    <row r="151" spans="4:33">
      <c r="D151" s="66"/>
      <c r="G151" s="66"/>
      <c r="V151" s="66"/>
      <c r="W151" s="66"/>
      <c r="X151" s="66"/>
      <c r="AB151" s="66"/>
      <c r="AG151" s="66"/>
    </row>
    <row r="152" spans="4:33">
      <c r="D152" s="66"/>
      <c r="G152" s="66"/>
      <c r="V152" s="66"/>
      <c r="W152" s="66"/>
      <c r="X152" s="66"/>
      <c r="AB152" s="66"/>
      <c r="AG152" s="66"/>
    </row>
    <row r="153" spans="4:33">
      <c r="D153" s="66"/>
      <c r="G153" s="66"/>
      <c r="V153" s="66"/>
      <c r="W153" s="66"/>
      <c r="X153" s="66"/>
      <c r="AB153" s="66"/>
      <c r="AG153" s="66"/>
    </row>
    <row r="154" spans="4:33">
      <c r="D154" s="66"/>
      <c r="G154" s="66"/>
      <c r="V154" s="66"/>
      <c r="W154" s="66"/>
      <c r="X154" s="66"/>
      <c r="AB154" s="66"/>
      <c r="AG154" s="66"/>
    </row>
    <row r="155" spans="4:33">
      <c r="D155" s="66"/>
      <c r="G155" s="66"/>
      <c r="V155" s="66"/>
      <c r="W155" s="66"/>
      <c r="X155" s="66"/>
      <c r="AB155" s="66"/>
      <c r="AG155" s="66"/>
    </row>
    <row r="156" spans="4:33">
      <c r="D156" s="66"/>
      <c r="G156" s="66"/>
      <c r="V156" s="66"/>
      <c r="W156" s="66"/>
      <c r="X156" s="66"/>
      <c r="AB156" s="66"/>
      <c r="AG156" s="66"/>
    </row>
    <row r="157" spans="4:33">
      <c r="D157" s="66"/>
      <c r="G157" s="66"/>
      <c r="V157" s="66"/>
      <c r="W157" s="66"/>
      <c r="X157" s="66"/>
      <c r="AB157" s="66"/>
      <c r="AG157" s="66"/>
    </row>
    <row r="158" spans="4:33">
      <c r="D158" s="66"/>
      <c r="G158" s="66"/>
      <c r="V158" s="66"/>
      <c r="W158" s="66"/>
      <c r="X158" s="66"/>
      <c r="AB158" s="66"/>
      <c r="AG158" s="66"/>
    </row>
    <row r="159" spans="4:33">
      <c r="D159" s="66"/>
      <c r="G159" s="66"/>
      <c r="V159" s="66"/>
      <c r="W159" s="66"/>
      <c r="X159" s="66"/>
      <c r="AB159" s="66"/>
      <c r="AG159" s="66"/>
    </row>
    <row r="160" spans="4:33">
      <c r="D160" s="66"/>
      <c r="G160" s="66"/>
      <c r="V160" s="66"/>
      <c r="W160" s="66"/>
      <c r="X160" s="66"/>
      <c r="AB160" s="66"/>
      <c r="AG160" s="66"/>
    </row>
    <row r="161" spans="4:33">
      <c r="D161" s="66"/>
      <c r="G161" s="66"/>
      <c r="V161" s="66"/>
      <c r="W161" s="66"/>
      <c r="X161" s="66"/>
      <c r="AB161" s="66"/>
      <c r="AG161" s="66"/>
    </row>
    <row r="162" spans="4:33">
      <c r="D162" s="66"/>
      <c r="G162" s="66"/>
      <c r="V162" s="66"/>
      <c r="W162" s="66"/>
      <c r="X162" s="66"/>
      <c r="AB162" s="66"/>
      <c r="AG162" s="66"/>
    </row>
    <row r="163" spans="4:33">
      <c r="D163" s="66"/>
      <c r="G163" s="66"/>
      <c r="V163" s="66"/>
      <c r="W163" s="66"/>
      <c r="X163" s="66"/>
      <c r="AB163" s="66"/>
      <c r="AG163" s="66"/>
    </row>
    <row r="164" spans="4:33">
      <c r="D164" s="66"/>
      <c r="G164" s="66"/>
      <c r="V164" s="66"/>
      <c r="W164" s="66"/>
      <c r="X164" s="66"/>
      <c r="AB164" s="66"/>
      <c r="AG164" s="66"/>
    </row>
    <row r="165" spans="4:33">
      <c r="D165" s="66"/>
      <c r="G165" s="66"/>
      <c r="V165" s="66"/>
      <c r="W165" s="66"/>
      <c r="X165" s="66"/>
      <c r="AB165" s="66"/>
      <c r="AG165" s="66"/>
    </row>
    <row r="166" spans="4:33">
      <c r="D166" s="66"/>
      <c r="G166" s="66"/>
      <c r="V166" s="66"/>
      <c r="W166" s="66"/>
      <c r="X166" s="66"/>
      <c r="AB166" s="66"/>
      <c r="AG166" s="66"/>
    </row>
    <row r="167" spans="4:33">
      <c r="D167" s="66"/>
      <c r="G167" s="66"/>
      <c r="V167" s="66"/>
      <c r="W167" s="66"/>
      <c r="X167" s="66"/>
      <c r="AB167" s="66"/>
      <c r="AG167" s="66"/>
    </row>
    <row r="168" spans="4:33">
      <c r="D168" s="66"/>
      <c r="G168" s="66"/>
      <c r="V168" s="66"/>
      <c r="W168" s="66"/>
      <c r="X168" s="66"/>
      <c r="AB168" s="66"/>
      <c r="AG168" s="66"/>
    </row>
    <row r="169" spans="4:33">
      <c r="D169" s="66"/>
      <c r="G169" s="66"/>
      <c r="V169" s="66"/>
      <c r="W169" s="66"/>
      <c r="X169" s="66"/>
      <c r="AB169" s="66"/>
      <c r="AG169" s="66"/>
    </row>
    <row r="170" spans="4:33">
      <c r="D170" s="66"/>
      <c r="G170" s="66"/>
      <c r="V170" s="66"/>
      <c r="W170" s="66"/>
      <c r="X170" s="66"/>
      <c r="AB170" s="66"/>
      <c r="AG170" s="66"/>
    </row>
    <row r="171" spans="4:33">
      <c r="D171" s="66"/>
      <c r="G171" s="66"/>
      <c r="V171" s="66"/>
      <c r="W171" s="66"/>
      <c r="X171" s="66"/>
      <c r="AB171" s="66"/>
      <c r="AG171" s="66"/>
    </row>
    <row r="172" spans="4:33">
      <c r="D172" s="66"/>
      <c r="G172" s="66"/>
      <c r="V172" s="66"/>
      <c r="W172" s="66"/>
      <c r="X172" s="66"/>
      <c r="AB172" s="66"/>
      <c r="AG172" s="66"/>
    </row>
    <row r="173" spans="4:33">
      <c r="D173" s="66"/>
      <c r="G173" s="66"/>
      <c r="V173" s="66"/>
      <c r="W173" s="66"/>
      <c r="X173" s="66"/>
      <c r="AB173" s="66"/>
      <c r="AG173" s="66"/>
    </row>
    <row r="174" spans="4:33">
      <c r="D174" s="66"/>
      <c r="G174" s="66"/>
      <c r="V174" s="66"/>
      <c r="W174" s="66"/>
      <c r="X174" s="66"/>
      <c r="AB174" s="66"/>
      <c r="AG174" s="66"/>
    </row>
    <row r="175" spans="4:33">
      <c r="D175" s="66"/>
      <c r="G175" s="66"/>
      <c r="V175" s="66"/>
      <c r="W175" s="66"/>
      <c r="X175" s="66"/>
      <c r="AB175" s="66"/>
      <c r="AG175" s="66"/>
    </row>
    <row r="176" spans="4:33">
      <c r="D176" s="66"/>
      <c r="G176" s="66"/>
      <c r="V176" s="66"/>
      <c r="W176" s="66"/>
      <c r="X176" s="66"/>
      <c r="AB176" s="66"/>
      <c r="AG176" s="66"/>
    </row>
    <row r="177" spans="4:33">
      <c r="D177" s="66"/>
      <c r="G177" s="66"/>
      <c r="V177" s="66"/>
      <c r="W177" s="66"/>
      <c r="X177" s="66"/>
      <c r="AB177" s="66"/>
      <c r="AG177" s="66"/>
    </row>
    <row r="178" spans="4:33">
      <c r="D178" s="66"/>
      <c r="G178" s="66"/>
      <c r="V178" s="66"/>
      <c r="W178" s="66"/>
      <c r="X178" s="66"/>
      <c r="AB178" s="66"/>
      <c r="AG178" s="66"/>
    </row>
    <row r="179" spans="4:33">
      <c r="D179" s="66"/>
      <c r="G179" s="66"/>
      <c r="V179" s="66"/>
      <c r="W179" s="66"/>
      <c r="X179" s="66"/>
      <c r="AB179" s="66"/>
      <c r="AG179" s="66"/>
    </row>
    <row r="180" spans="4:33">
      <c r="D180" s="66"/>
      <c r="G180" s="66"/>
      <c r="V180" s="66"/>
      <c r="W180" s="66"/>
      <c r="X180" s="66"/>
      <c r="AB180" s="66"/>
      <c r="AG180" s="66"/>
    </row>
    <row r="181" spans="4:33">
      <c r="D181" s="66"/>
      <c r="G181" s="66"/>
      <c r="V181" s="66"/>
      <c r="W181" s="66"/>
      <c r="X181" s="66"/>
      <c r="AB181" s="66"/>
      <c r="AG181" s="66"/>
    </row>
    <row r="182" spans="4:33">
      <c r="D182" s="66"/>
      <c r="G182" s="66"/>
      <c r="V182" s="66"/>
      <c r="W182" s="66"/>
      <c r="X182" s="66"/>
      <c r="AB182" s="66"/>
      <c r="AG182" s="66"/>
    </row>
    <row r="183" spans="4:33">
      <c r="D183" s="66"/>
      <c r="G183" s="66"/>
      <c r="V183" s="66"/>
      <c r="W183" s="66"/>
      <c r="X183" s="66"/>
      <c r="AB183" s="66"/>
      <c r="AG183" s="66"/>
    </row>
    <row r="184" spans="4:33">
      <c r="D184" s="66"/>
      <c r="G184" s="66"/>
      <c r="V184" s="66"/>
      <c r="W184" s="66"/>
      <c r="X184" s="66"/>
      <c r="AB184" s="66"/>
      <c r="AG184" s="66"/>
    </row>
    <row r="185" spans="4:33">
      <c r="D185" s="66"/>
      <c r="G185" s="66"/>
      <c r="V185" s="66"/>
      <c r="W185" s="66"/>
      <c r="X185" s="66"/>
      <c r="AB185" s="66"/>
      <c r="AG185" s="66"/>
    </row>
    <row r="186" spans="4:33">
      <c r="D186" s="66"/>
      <c r="G186" s="66"/>
      <c r="V186" s="66"/>
      <c r="W186" s="66"/>
      <c r="X186" s="66"/>
      <c r="AB186" s="66"/>
      <c r="AG186" s="66"/>
    </row>
    <row r="187" spans="4:33">
      <c r="D187" s="66"/>
      <c r="G187" s="66"/>
      <c r="V187" s="66"/>
      <c r="W187" s="66"/>
      <c r="X187" s="66"/>
      <c r="AB187" s="66"/>
      <c r="AG187" s="66"/>
    </row>
    <row r="188" spans="4:33">
      <c r="D188" s="66"/>
      <c r="G188" s="66"/>
      <c r="V188" s="66"/>
      <c r="W188" s="66"/>
      <c r="X188" s="66"/>
      <c r="AB188" s="66"/>
      <c r="AG188" s="66"/>
    </row>
    <row r="189" spans="4:33">
      <c r="D189" s="66"/>
      <c r="G189" s="66"/>
      <c r="V189" s="66"/>
      <c r="W189" s="66"/>
      <c r="X189" s="66"/>
      <c r="AB189" s="66"/>
      <c r="AG189" s="66"/>
    </row>
    <row r="190" spans="4:33">
      <c r="D190" s="66"/>
      <c r="G190" s="66"/>
      <c r="V190" s="66"/>
      <c r="W190" s="66"/>
      <c r="X190" s="66"/>
      <c r="AB190" s="66"/>
      <c r="AG190" s="66"/>
    </row>
    <row r="191" spans="4:33">
      <c r="D191" s="66"/>
      <c r="G191" s="66"/>
      <c r="V191" s="66"/>
      <c r="W191" s="66"/>
      <c r="X191" s="66"/>
      <c r="AB191" s="66"/>
      <c r="AG191" s="66"/>
    </row>
    <row r="192" spans="4:33">
      <c r="D192" s="66"/>
      <c r="G192" s="66"/>
      <c r="V192" s="66"/>
      <c r="W192" s="66"/>
      <c r="X192" s="66"/>
      <c r="AB192" s="66"/>
      <c r="AG192" s="66"/>
    </row>
    <row r="193" spans="4:33">
      <c r="D193" s="66"/>
      <c r="G193" s="66"/>
      <c r="V193" s="66"/>
      <c r="W193" s="66"/>
      <c r="X193" s="66"/>
      <c r="AB193" s="66"/>
      <c r="AG193" s="66"/>
    </row>
    <row r="194" spans="4:33">
      <c r="D194" s="66"/>
      <c r="G194" s="66"/>
      <c r="V194" s="66"/>
      <c r="W194" s="66"/>
      <c r="X194" s="66"/>
      <c r="AB194" s="66"/>
      <c r="AG194" s="66"/>
    </row>
    <row r="195" spans="4:33">
      <c r="D195" s="66"/>
      <c r="G195" s="66"/>
      <c r="V195" s="66"/>
      <c r="W195" s="66"/>
      <c r="X195" s="66"/>
      <c r="AB195" s="66"/>
      <c r="AG195" s="66"/>
    </row>
    <row r="196" spans="4:33">
      <c r="D196" s="66"/>
      <c r="G196" s="66"/>
      <c r="V196" s="66"/>
      <c r="W196" s="66"/>
      <c r="X196" s="66"/>
      <c r="AB196" s="66"/>
      <c r="AG196" s="66"/>
    </row>
    <row r="197" spans="4:33">
      <c r="D197" s="66"/>
      <c r="G197" s="66"/>
      <c r="V197" s="66"/>
      <c r="W197" s="66"/>
      <c r="X197" s="66"/>
      <c r="AB197" s="66"/>
      <c r="AG197" s="66"/>
    </row>
    <row r="198" spans="4:33">
      <c r="D198" s="66"/>
      <c r="G198" s="66"/>
      <c r="V198" s="66"/>
      <c r="W198" s="66"/>
      <c r="X198" s="66"/>
      <c r="AB198" s="66"/>
      <c r="AG198" s="66"/>
    </row>
    <row r="199" spans="4:33">
      <c r="D199" s="66"/>
      <c r="G199" s="66"/>
      <c r="V199" s="66"/>
      <c r="W199" s="66"/>
      <c r="X199" s="66"/>
      <c r="AB199" s="66"/>
      <c r="AG199" s="66"/>
    </row>
    <row r="200" spans="4:33">
      <c r="D200" s="66"/>
      <c r="G200" s="66"/>
      <c r="V200" s="66"/>
      <c r="W200" s="66"/>
      <c r="X200" s="66"/>
      <c r="AB200" s="66"/>
      <c r="AG200" s="66"/>
    </row>
    <row r="201" spans="4:33">
      <c r="D201" s="66"/>
      <c r="G201" s="66"/>
      <c r="V201" s="66"/>
      <c r="W201" s="66"/>
      <c r="X201" s="66"/>
      <c r="AB201" s="66"/>
      <c r="AG201" s="66"/>
    </row>
    <row r="202" spans="4:33">
      <c r="D202" s="66"/>
      <c r="G202" s="66"/>
      <c r="V202" s="66"/>
      <c r="W202" s="66"/>
      <c r="X202" s="66"/>
      <c r="AB202" s="66"/>
      <c r="AG202" s="66"/>
    </row>
    <row r="203" spans="4:33">
      <c r="D203" s="66"/>
      <c r="G203" s="66"/>
      <c r="V203" s="66"/>
      <c r="W203" s="66"/>
      <c r="X203" s="66"/>
      <c r="AB203" s="66"/>
      <c r="AG203" s="66"/>
    </row>
    <row r="204" spans="4:33">
      <c r="D204" s="66"/>
      <c r="G204" s="66"/>
      <c r="V204" s="66"/>
      <c r="W204" s="66"/>
      <c r="X204" s="66"/>
      <c r="AB204" s="66"/>
      <c r="AG204" s="66"/>
    </row>
    <row r="205" spans="4:33">
      <c r="D205" s="66"/>
      <c r="G205" s="66"/>
      <c r="V205" s="66"/>
      <c r="W205" s="66"/>
      <c r="X205" s="66"/>
      <c r="AB205" s="66"/>
      <c r="AG205" s="66"/>
    </row>
    <row r="206" spans="4:33">
      <c r="D206" s="66"/>
      <c r="G206" s="66"/>
      <c r="V206" s="66"/>
      <c r="W206" s="66"/>
      <c r="X206" s="66"/>
      <c r="AB206" s="66"/>
      <c r="AG206" s="66"/>
    </row>
    <row r="207" spans="4:33">
      <c r="D207" s="66"/>
      <c r="G207" s="66"/>
      <c r="V207" s="66"/>
      <c r="W207" s="66"/>
      <c r="X207" s="66"/>
      <c r="AB207" s="66"/>
      <c r="AG207" s="66"/>
    </row>
    <row r="208" spans="4:33">
      <c r="D208" s="66"/>
      <c r="G208" s="66"/>
      <c r="V208" s="66"/>
      <c r="W208" s="66"/>
      <c r="X208" s="66"/>
      <c r="AB208" s="66"/>
      <c r="AG208" s="66"/>
    </row>
    <row r="209" spans="4:33">
      <c r="D209" s="66"/>
      <c r="G209" s="66"/>
      <c r="V209" s="66"/>
      <c r="W209" s="66"/>
      <c r="X209" s="66"/>
      <c r="AB209" s="66"/>
      <c r="AG209" s="66"/>
    </row>
    <row r="210" spans="4:33">
      <c r="D210" s="66"/>
      <c r="G210" s="66"/>
      <c r="V210" s="66"/>
      <c r="W210" s="66"/>
      <c r="X210" s="66"/>
      <c r="AB210" s="66"/>
      <c r="AG210" s="66"/>
    </row>
    <row r="211" spans="4:33">
      <c r="D211" s="66"/>
      <c r="G211" s="66"/>
      <c r="V211" s="66"/>
      <c r="W211" s="66"/>
      <c r="X211" s="66"/>
      <c r="AB211" s="66"/>
      <c r="AG211" s="66"/>
    </row>
    <row r="212" spans="4:33">
      <c r="D212" s="66"/>
      <c r="G212" s="66"/>
      <c r="V212" s="66"/>
      <c r="W212" s="66"/>
      <c r="X212" s="66"/>
      <c r="AB212" s="66"/>
      <c r="AG212" s="66"/>
    </row>
    <row r="213" spans="4:33">
      <c r="D213" s="66"/>
      <c r="G213" s="66"/>
      <c r="V213" s="66"/>
      <c r="W213" s="66"/>
      <c r="X213" s="66"/>
      <c r="AB213" s="66"/>
      <c r="AG213" s="66"/>
    </row>
    <row r="214" spans="4:33">
      <c r="D214" s="66"/>
      <c r="G214" s="66"/>
      <c r="V214" s="66"/>
      <c r="W214" s="66"/>
      <c r="X214" s="66"/>
      <c r="AB214" s="66"/>
      <c r="AG214" s="66"/>
    </row>
    <row r="215" spans="4:33">
      <c r="D215" s="66"/>
      <c r="G215" s="66"/>
      <c r="V215" s="66"/>
      <c r="W215" s="66"/>
      <c r="X215" s="66"/>
      <c r="AB215" s="66"/>
      <c r="AG215" s="66"/>
    </row>
    <row r="216" spans="4:33">
      <c r="D216" s="66"/>
      <c r="G216" s="66"/>
      <c r="V216" s="66"/>
      <c r="W216" s="66"/>
      <c r="X216" s="66"/>
      <c r="AB216" s="66"/>
      <c r="AG216" s="66"/>
    </row>
    <row r="217" spans="4:33">
      <c r="D217" s="66"/>
      <c r="G217" s="66"/>
      <c r="V217" s="66"/>
      <c r="W217" s="66"/>
      <c r="X217" s="66"/>
      <c r="AB217" s="66"/>
      <c r="AG217" s="66"/>
    </row>
    <row r="218" spans="4:33">
      <c r="D218" s="66"/>
      <c r="G218" s="66"/>
      <c r="V218" s="66"/>
      <c r="W218" s="66"/>
      <c r="X218" s="66"/>
      <c r="AB218" s="66"/>
      <c r="AG218" s="66"/>
    </row>
    <row r="219" spans="4:33">
      <c r="D219" s="66"/>
      <c r="G219" s="66"/>
      <c r="V219" s="66"/>
      <c r="W219" s="66"/>
      <c r="X219" s="66"/>
      <c r="AB219" s="66"/>
      <c r="AG219" s="66"/>
    </row>
    <row r="220" spans="4:33">
      <c r="D220" s="66"/>
      <c r="G220" s="66"/>
      <c r="V220" s="66"/>
      <c r="W220" s="66"/>
      <c r="X220" s="66"/>
      <c r="AB220" s="66"/>
      <c r="AG220" s="66"/>
    </row>
    <row r="221" spans="4:33">
      <c r="D221" s="66"/>
      <c r="G221" s="66"/>
      <c r="V221" s="66"/>
      <c r="W221" s="66"/>
      <c r="X221" s="66"/>
      <c r="AB221" s="66"/>
      <c r="AG221" s="66"/>
    </row>
    <row r="222" spans="4:33">
      <c r="D222" s="66"/>
      <c r="G222" s="66"/>
      <c r="V222" s="66"/>
      <c r="W222" s="66"/>
      <c r="X222" s="66"/>
      <c r="AB222" s="66"/>
      <c r="AG222" s="66"/>
    </row>
    <row r="223" spans="4:33">
      <c r="D223" s="66"/>
      <c r="G223" s="66"/>
      <c r="V223" s="66"/>
      <c r="W223" s="66"/>
      <c r="X223" s="66"/>
      <c r="AB223" s="66"/>
      <c r="AG223" s="66"/>
    </row>
    <row r="224" spans="4:33">
      <c r="D224" s="66"/>
      <c r="G224" s="66"/>
      <c r="V224" s="66"/>
      <c r="W224" s="66"/>
      <c r="X224" s="66"/>
      <c r="AB224" s="66"/>
      <c r="AG224" s="66"/>
    </row>
    <row r="225" spans="4:33">
      <c r="D225" s="66"/>
      <c r="G225" s="66"/>
      <c r="V225" s="66"/>
      <c r="W225" s="66"/>
      <c r="X225" s="66"/>
      <c r="AB225" s="66"/>
      <c r="AG225" s="66"/>
    </row>
    <row r="226" spans="4:33">
      <c r="D226" s="66"/>
      <c r="G226" s="66"/>
      <c r="V226" s="66"/>
      <c r="W226" s="66"/>
      <c r="X226" s="66"/>
      <c r="AB226" s="66"/>
      <c r="AG226" s="66"/>
    </row>
    <row r="227" spans="4:33">
      <c r="D227" s="66"/>
      <c r="G227" s="66"/>
      <c r="V227" s="66"/>
      <c r="W227" s="66"/>
      <c r="X227" s="66"/>
      <c r="AB227" s="66"/>
      <c r="AG227" s="66"/>
    </row>
    <row r="228" spans="4:33">
      <c r="D228" s="66"/>
      <c r="G228" s="66"/>
      <c r="V228" s="66"/>
      <c r="W228" s="66"/>
      <c r="X228" s="66"/>
      <c r="AB228" s="66"/>
      <c r="AG228" s="66"/>
    </row>
    <row r="229" spans="4:33">
      <c r="D229" s="66"/>
      <c r="G229" s="66"/>
      <c r="V229" s="66"/>
      <c r="W229" s="66"/>
      <c r="X229" s="66"/>
      <c r="AB229" s="66"/>
      <c r="AG229" s="66"/>
    </row>
    <row r="230" spans="4:33">
      <c r="D230" s="66"/>
      <c r="G230" s="66"/>
      <c r="V230" s="66"/>
      <c r="W230" s="66"/>
      <c r="X230" s="66"/>
      <c r="AB230" s="66"/>
      <c r="AG230" s="66"/>
    </row>
    <row r="231" spans="4:33">
      <c r="D231" s="66"/>
      <c r="G231" s="66"/>
      <c r="V231" s="66"/>
      <c r="W231" s="66"/>
      <c r="X231" s="66"/>
      <c r="AB231" s="66"/>
      <c r="AG231" s="66"/>
    </row>
    <row r="232" spans="4:33">
      <c r="D232" s="66"/>
      <c r="G232" s="66"/>
      <c r="V232" s="66"/>
      <c r="W232" s="66"/>
      <c r="X232" s="66"/>
      <c r="AB232" s="66"/>
      <c r="AG232" s="66"/>
    </row>
    <row r="233" spans="4:33">
      <c r="D233" s="66"/>
      <c r="G233" s="66"/>
      <c r="V233" s="66"/>
      <c r="W233" s="66"/>
      <c r="X233" s="66"/>
      <c r="AB233" s="66"/>
      <c r="AG233" s="66"/>
    </row>
    <row r="234" spans="4:33">
      <c r="D234" s="66"/>
      <c r="G234" s="66"/>
      <c r="V234" s="66"/>
      <c r="W234" s="66"/>
      <c r="X234" s="66"/>
      <c r="AB234" s="66"/>
      <c r="AG234" s="66"/>
    </row>
    <row r="235" spans="4:33">
      <c r="D235" s="66"/>
      <c r="G235" s="66"/>
      <c r="V235" s="66"/>
      <c r="W235" s="66"/>
      <c r="X235" s="66"/>
      <c r="AB235" s="66"/>
      <c r="AG235" s="66"/>
    </row>
    <row r="236" spans="4:33">
      <c r="D236" s="66"/>
      <c r="G236" s="66"/>
      <c r="V236" s="66"/>
      <c r="W236" s="66"/>
      <c r="X236" s="66"/>
      <c r="AB236" s="66"/>
      <c r="AG236" s="66"/>
    </row>
    <row r="237" spans="4:33">
      <c r="D237" s="66"/>
      <c r="G237" s="66"/>
      <c r="V237" s="66"/>
      <c r="W237" s="66"/>
      <c r="X237" s="66"/>
      <c r="AB237" s="66"/>
      <c r="AG237" s="66"/>
    </row>
    <row r="238" spans="4:33">
      <c r="D238" s="66"/>
      <c r="G238" s="66"/>
      <c r="V238" s="66"/>
      <c r="W238" s="66"/>
      <c r="X238" s="66"/>
      <c r="AB238" s="66"/>
      <c r="AG238" s="66"/>
    </row>
    <row r="239" spans="4:33">
      <c r="D239" s="66"/>
      <c r="G239" s="66"/>
      <c r="V239" s="66"/>
      <c r="W239" s="66"/>
      <c r="X239" s="66"/>
      <c r="AB239" s="66"/>
      <c r="AG239" s="66"/>
    </row>
    <row r="240" spans="4:33">
      <c r="D240" s="66"/>
      <c r="G240" s="66"/>
      <c r="V240" s="66"/>
      <c r="W240" s="66"/>
      <c r="X240" s="66"/>
      <c r="AB240" s="66"/>
      <c r="AG240" s="66"/>
    </row>
    <row r="241" spans="4:33">
      <c r="D241" s="66"/>
      <c r="G241" s="66"/>
      <c r="V241" s="66"/>
      <c r="W241" s="66"/>
      <c r="X241" s="66"/>
      <c r="AB241" s="66"/>
      <c r="AG241" s="66"/>
    </row>
    <row r="242" spans="4:33">
      <c r="D242" s="66"/>
      <c r="G242" s="66"/>
      <c r="V242" s="66"/>
      <c r="W242" s="66"/>
      <c r="X242" s="66"/>
      <c r="AB242" s="66"/>
      <c r="AG242" s="66"/>
    </row>
    <row r="243" spans="4:33">
      <c r="D243" s="66"/>
      <c r="G243" s="66"/>
      <c r="V243" s="66"/>
      <c r="W243" s="66"/>
      <c r="X243" s="66"/>
      <c r="AB243" s="66"/>
      <c r="AG243" s="66"/>
    </row>
    <row r="244" spans="4:33">
      <c r="D244" s="66"/>
      <c r="G244" s="66"/>
      <c r="V244" s="66"/>
      <c r="W244" s="66"/>
      <c r="X244" s="66"/>
      <c r="AB244" s="66"/>
      <c r="AG244" s="66"/>
    </row>
    <row r="245" spans="4:33">
      <c r="D245" s="66"/>
      <c r="G245" s="66"/>
      <c r="V245" s="66"/>
      <c r="W245" s="66"/>
      <c r="X245" s="66"/>
      <c r="AB245" s="66"/>
      <c r="AG245" s="66"/>
    </row>
    <row r="246" spans="4:33">
      <c r="D246" s="66"/>
      <c r="G246" s="66"/>
      <c r="V246" s="66"/>
      <c r="W246" s="66"/>
      <c r="X246" s="66"/>
      <c r="AB246" s="66"/>
      <c r="AG246" s="66"/>
    </row>
    <row r="247" spans="4:33">
      <c r="D247" s="66"/>
      <c r="G247" s="66"/>
      <c r="V247" s="66"/>
      <c r="W247" s="66"/>
      <c r="X247" s="66"/>
      <c r="AB247" s="66"/>
      <c r="AG247" s="66"/>
    </row>
    <row r="248" spans="4:33">
      <c r="D248" s="66"/>
      <c r="G248" s="66"/>
      <c r="V248" s="66"/>
      <c r="W248" s="66"/>
      <c r="X248" s="66"/>
      <c r="AB248" s="66"/>
      <c r="AG248" s="66"/>
    </row>
    <row r="249" spans="4:33">
      <c r="D249" s="66"/>
      <c r="G249" s="66"/>
      <c r="V249" s="66"/>
      <c r="W249" s="66"/>
      <c r="X249" s="66"/>
      <c r="AB249" s="66"/>
      <c r="AG249" s="66"/>
    </row>
    <row r="250" spans="4:33">
      <c r="D250" s="66"/>
      <c r="G250" s="66"/>
      <c r="V250" s="66"/>
      <c r="W250" s="66"/>
      <c r="X250" s="66"/>
      <c r="AB250" s="66"/>
      <c r="AG250" s="66"/>
    </row>
    <row r="251" spans="4:33">
      <c r="D251" s="66"/>
      <c r="G251" s="66"/>
      <c r="V251" s="66"/>
      <c r="W251" s="66"/>
      <c r="X251" s="66"/>
      <c r="AB251" s="66"/>
      <c r="AG251" s="66"/>
    </row>
    <row r="252" spans="4:33">
      <c r="D252" s="66"/>
      <c r="G252" s="66"/>
      <c r="V252" s="66"/>
      <c r="W252" s="66"/>
      <c r="X252" s="66"/>
      <c r="AB252" s="66"/>
      <c r="AG252" s="66"/>
    </row>
    <row r="253" spans="4:33">
      <c r="D253" s="66"/>
      <c r="G253" s="66"/>
      <c r="V253" s="66"/>
      <c r="W253" s="66"/>
      <c r="X253" s="66"/>
      <c r="AB253" s="66"/>
      <c r="AG253" s="66"/>
    </row>
    <row r="254" spans="4:33">
      <c r="D254" s="66"/>
      <c r="G254" s="66"/>
      <c r="V254" s="66"/>
      <c r="W254" s="66"/>
      <c r="X254" s="66"/>
      <c r="AB254" s="66"/>
      <c r="AG254" s="66"/>
    </row>
    <row r="255" spans="4:33">
      <c r="D255" s="66"/>
      <c r="G255" s="66"/>
      <c r="V255" s="66"/>
      <c r="W255" s="66"/>
      <c r="X255" s="66"/>
      <c r="AB255" s="66"/>
      <c r="AG255" s="66"/>
    </row>
    <row r="256" spans="4:33">
      <c r="D256" s="66"/>
      <c r="G256" s="66"/>
      <c r="V256" s="66"/>
      <c r="W256" s="66"/>
      <c r="X256" s="66"/>
      <c r="AB256" s="66"/>
      <c r="AG256" s="66"/>
    </row>
    <row r="257" spans="4:33">
      <c r="D257" s="66"/>
      <c r="G257" s="66"/>
      <c r="V257" s="66"/>
      <c r="W257" s="66"/>
      <c r="X257" s="66"/>
      <c r="AB257" s="66"/>
      <c r="AG257" s="66"/>
    </row>
    <row r="258" spans="4:33">
      <c r="D258" s="66"/>
      <c r="G258" s="66"/>
      <c r="V258" s="66"/>
      <c r="W258" s="66"/>
      <c r="X258" s="66"/>
      <c r="AB258" s="66"/>
      <c r="AG258" s="66"/>
    </row>
    <row r="259" spans="4:33">
      <c r="D259" s="66"/>
      <c r="G259" s="66"/>
      <c r="V259" s="66"/>
      <c r="W259" s="66"/>
      <c r="X259" s="66"/>
      <c r="AB259" s="66"/>
      <c r="AG259" s="66"/>
    </row>
    <row r="260" spans="4:33">
      <c r="D260" s="66"/>
      <c r="G260" s="66"/>
      <c r="V260" s="66"/>
      <c r="W260" s="66"/>
      <c r="X260" s="66"/>
      <c r="AB260" s="66"/>
      <c r="AG260" s="66"/>
    </row>
    <row r="261" spans="4:33">
      <c r="D261" s="66"/>
      <c r="G261" s="66"/>
      <c r="V261" s="66"/>
      <c r="W261" s="66"/>
      <c r="X261" s="66"/>
      <c r="AB261" s="66"/>
      <c r="AG261" s="66"/>
    </row>
    <row r="262" spans="4:33">
      <c r="D262" s="66"/>
      <c r="G262" s="66"/>
      <c r="V262" s="66"/>
      <c r="W262" s="66"/>
      <c r="X262" s="66"/>
      <c r="AB262" s="66"/>
      <c r="AG262" s="66"/>
    </row>
    <row r="263" spans="4:33">
      <c r="D263" s="66"/>
      <c r="G263" s="66"/>
      <c r="V263" s="66"/>
      <c r="W263" s="66"/>
      <c r="X263" s="66"/>
      <c r="AB263" s="66"/>
      <c r="AG263" s="66"/>
    </row>
    <row r="264" spans="4:33">
      <c r="D264" s="66"/>
      <c r="G264" s="66"/>
      <c r="V264" s="66"/>
      <c r="W264" s="66"/>
      <c r="X264" s="66"/>
      <c r="AB264" s="66"/>
      <c r="AG264" s="66"/>
    </row>
    <row r="265" spans="4:33">
      <c r="D265" s="66"/>
      <c r="G265" s="66"/>
      <c r="V265" s="66"/>
      <c r="W265" s="66"/>
      <c r="X265" s="66"/>
      <c r="AB265" s="66"/>
      <c r="AG265" s="66"/>
    </row>
    <row r="266" spans="4:33">
      <c r="D266" s="66"/>
      <c r="G266" s="66"/>
      <c r="V266" s="66"/>
      <c r="W266" s="66"/>
      <c r="X266" s="66"/>
      <c r="AB266" s="66"/>
      <c r="AG266" s="66"/>
    </row>
    <row r="267" spans="4:33">
      <c r="D267" s="66"/>
      <c r="G267" s="66"/>
      <c r="V267" s="66"/>
      <c r="W267" s="66"/>
      <c r="X267" s="66"/>
      <c r="AB267" s="66"/>
      <c r="AG267" s="66"/>
    </row>
    <row r="268" spans="4:33">
      <c r="D268" s="66"/>
      <c r="G268" s="66"/>
      <c r="V268" s="66"/>
      <c r="W268" s="66"/>
      <c r="X268" s="66"/>
      <c r="AB268" s="66"/>
      <c r="AG268" s="66"/>
    </row>
    <row r="269" spans="4:33">
      <c r="D269" s="66"/>
      <c r="G269" s="66"/>
      <c r="V269" s="66"/>
      <c r="W269" s="66"/>
      <c r="X269" s="66"/>
      <c r="AB269" s="66"/>
      <c r="AG269" s="66"/>
    </row>
    <row r="270" spans="4:33">
      <c r="D270" s="66"/>
      <c r="G270" s="66"/>
      <c r="V270" s="66"/>
      <c r="W270" s="66"/>
      <c r="X270" s="66"/>
      <c r="AB270" s="66"/>
      <c r="AG270" s="66"/>
    </row>
    <row r="271" spans="4:33">
      <c r="D271" s="66"/>
      <c r="G271" s="66"/>
      <c r="V271" s="66"/>
      <c r="W271" s="66"/>
      <c r="X271" s="66"/>
      <c r="AB271" s="66"/>
      <c r="AG271" s="66"/>
    </row>
    <row r="272" spans="4:33">
      <c r="D272" s="66"/>
      <c r="G272" s="66"/>
      <c r="V272" s="66"/>
      <c r="W272" s="66"/>
      <c r="X272" s="66"/>
      <c r="AB272" s="66"/>
      <c r="AG272" s="66"/>
    </row>
    <row r="273" spans="4:33">
      <c r="D273" s="66"/>
      <c r="G273" s="66"/>
      <c r="V273" s="66"/>
      <c r="W273" s="66"/>
      <c r="X273" s="66"/>
      <c r="AB273" s="66"/>
      <c r="AG273" s="66"/>
    </row>
    <row r="274" spans="4:33">
      <c r="D274" s="66"/>
      <c r="G274" s="66"/>
      <c r="V274" s="66"/>
      <c r="W274" s="66"/>
      <c r="X274" s="66"/>
      <c r="AB274" s="66"/>
      <c r="AG274" s="66"/>
    </row>
    <row r="275" spans="4:33">
      <c r="D275" s="66"/>
      <c r="G275" s="66"/>
      <c r="V275" s="66"/>
      <c r="W275" s="66"/>
      <c r="X275" s="66"/>
      <c r="AB275" s="66"/>
      <c r="AG275" s="66"/>
    </row>
    <row r="276" spans="4:33">
      <c r="D276" s="66"/>
      <c r="G276" s="66"/>
      <c r="V276" s="66"/>
      <c r="W276" s="66"/>
      <c r="X276" s="66"/>
      <c r="AB276" s="66"/>
      <c r="AG276" s="66"/>
    </row>
    <row r="277" spans="4:33">
      <c r="D277" s="66"/>
      <c r="G277" s="66"/>
      <c r="V277" s="66"/>
      <c r="W277" s="66"/>
      <c r="X277" s="66"/>
      <c r="AB277" s="66"/>
      <c r="AG277" s="66"/>
    </row>
    <row r="278" spans="4:33">
      <c r="D278" s="66"/>
      <c r="G278" s="66"/>
      <c r="V278" s="66"/>
      <c r="W278" s="66"/>
      <c r="X278" s="66"/>
      <c r="AB278" s="66"/>
      <c r="AG278" s="66"/>
    </row>
    <row r="279" spans="4:33">
      <c r="D279" s="66"/>
      <c r="G279" s="66"/>
      <c r="V279" s="66"/>
      <c r="W279" s="66"/>
      <c r="X279" s="66"/>
      <c r="AB279" s="66"/>
      <c r="AG279" s="66"/>
    </row>
    <row r="280" spans="4:33">
      <c r="D280" s="66"/>
      <c r="G280" s="66"/>
      <c r="V280" s="66"/>
      <c r="W280" s="66"/>
      <c r="X280" s="66"/>
      <c r="AB280" s="66"/>
      <c r="AG280" s="66"/>
    </row>
    <row r="281" spans="4:33">
      <c r="D281" s="66"/>
      <c r="G281" s="66"/>
      <c r="V281" s="66"/>
      <c r="W281" s="66"/>
      <c r="X281" s="66"/>
      <c r="AB281" s="66"/>
      <c r="AG281" s="66"/>
    </row>
    <row r="282" spans="4:33">
      <c r="D282" s="66"/>
      <c r="G282" s="66"/>
      <c r="V282" s="66"/>
      <c r="W282" s="66"/>
      <c r="X282" s="66"/>
      <c r="AB282" s="66"/>
      <c r="AG282" s="66"/>
    </row>
    <row r="283" spans="4:33">
      <c r="D283" s="66"/>
      <c r="G283" s="66"/>
      <c r="V283" s="66"/>
      <c r="W283" s="66"/>
      <c r="X283" s="66"/>
      <c r="AB283" s="66"/>
      <c r="AG283" s="66"/>
    </row>
    <row r="284" spans="4:33">
      <c r="D284" s="66"/>
      <c r="G284" s="66"/>
      <c r="V284" s="66"/>
      <c r="W284" s="66"/>
      <c r="X284" s="66"/>
      <c r="AB284" s="66"/>
      <c r="AG284" s="66"/>
    </row>
    <row r="285" spans="4:33">
      <c r="D285" s="66"/>
      <c r="G285" s="66"/>
      <c r="V285" s="66"/>
      <c r="W285" s="66"/>
      <c r="X285" s="66"/>
      <c r="AB285" s="66"/>
      <c r="AG285" s="66"/>
    </row>
    <row r="286" spans="4:33">
      <c r="D286" s="66"/>
      <c r="G286" s="66"/>
      <c r="V286" s="66"/>
      <c r="W286" s="66"/>
      <c r="X286" s="66"/>
      <c r="AB286" s="66"/>
      <c r="AG286" s="66"/>
    </row>
    <row r="287" spans="4:33">
      <c r="D287" s="66"/>
      <c r="G287" s="66"/>
      <c r="V287" s="66"/>
      <c r="W287" s="66"/>
      <c r="X287" s="66"/>
      <c r="AB287" s="66"/>
      <c r="AG287" s="66"/>
    </row>
    <row r="288" spans="4:33">
      <c r="D288" s="66"/>
      <c r="G288" s="66"/>
      <c r="V288" s="66"/>
      <c r="W288" s="66"/>
      <c r="X288" s="66"/>
      <c r="AB288" s="66"/>
      <c r="AG288" s="66"/>
    </row>
    <row r="289" spans="4:33">
      <c r="D289" s="66"/>
      <c r="G289" s="66"/>
      <c r="V289" s="66"/>
      <c r="W289" s="66"/>
      <c r="X289" s="66"/>
      <c r="AB289" s="66"/>
      <c r="AG289" s="66"/>
    </row>
    <row r="290" spans="4:33">
      <c r="D290" s="66"/>
      <c r="G290" s="66"/>
      <c r="V290" s="66"/>
      <c r="W290" s="66"/>
      <c r="X290" s="66"/>
      <c r="AB290" s="66"/>
      <c r="AG290" s="66"/>
    </row>
    <row r="291" spans="4:33">
      <c r="D291" s="66"/>
      <c r="G291" s="66"/>
      <c r="V291" s="66"/>
      <c r="W291" s="66"/>
      <c r="X291" s="66"/>
      <c r="AB291" s="66"/>
      <c r="AG291" s="66"/>
    </row>
    <row r="292" spans="4:33">
      <c r="D292" s="66"/>
      <c r="G292" s="66"/>
      <c r="V292" s="66"/>
      <c r="W292" s="66"/>
      <c r="X292" s="66"/>
      <c r="AB292" s="66"/>
      <c r="AG292" s="66"/>
    </row>
    <row r="293" spans="4:33">
      <c r="D293" s="66"/>
      <c r="G293" s="66"/>
      <c r="V293" s="66"/>
      <c r="W293" s="66"/>
      <c r="X293" s="66"/>
      <c r="AB293" s="66"/>
      <c r="AG293" s="66"/>
    </row>
    <row r="294" spans="4:33">
      <c r="D294" s="66"/>
      <c r="G294" s="66"/>
      <c r="V294" s="66"/>
      <c r="W294" s="66"/>
      <c r="X294" s="66"/>
      <c r="AB294" s="66"/>
      <c r="AG294" s="66"/>
    </row>
    <row r="295" spans="4:33">
      <c r="D295" s="66"/>
      <c r="G295" s="66"/>
      <c r="V295" s="66"/>
      <c r="W295" s="66"/>
      <c r="X295" s="66"/>
      <c r="AB295" s="66"/>
      <c r="AG295" s="66"/>
    </row>
    <row r="296" spans="4:33">
      <c r="D296" s="66"/>
      <c r="G296" s="66"/>
      <c r="V296" s="66"/>
      <c r="W296" s="66"/>
      <c r="X296" s="66"/>
      <c r="AB296" s="66"/>
      <c r="AG296" s="66"/>
    </row>
    <row r="297" spans="4:33">
      <c r="D297" s="66"/>
      <c r="G297" s="66"/>
      <c r="V297" s="66"/>
      <c r="W297" s="66"/>
      <c r="X297" s="66"/>
      <c r="AB297" s="66"/>
      <c r="AG297" s="66"/>
    </row>
    <row r="298" spans="4:33">
      <c r="D298" s="66"/>
      <c r="G298" s="66"/>
      <c r="V298" s="66"/>
      <c r="W298" s="66"/>
      <c r="X298" s="66"/>
      <c r="AB298" s="66"/>
      <c r="AG298" s="66"/>
    </row>
    <row r="299" spans="4:33">
      <c r="D299" s="66"/>
      <c r="G299" s="66"/>
      <c r="V299" s="66"/>
      <c r="W299" s="66"/>
      <c r="X299" s="66"/>
      <c r="AB299" s="66"/>
      <c r="AG299" s="66"/>
    </row>
    <row r="300" spans="4:33">
      <c r="D300" s="66"/>
      <c r="G300" s="66"/>
      <c r="V300" s="66"/>
      <c r="W300" s="66"/>
      <c r="X300" s="66"/>
      <c r="AB300" s="66"/>
      <c r="AG300" s="66"/>
    </row>
    <row r="301" spans="4:33">
      <c r="D301" s="66"/>
      <c r="G301" s="66"/>
      <c r="V301" s="66"/>
      <c r="W301" s="66"/>
      <c r="X301" s="66"/>
      <c r="AB301" s="66"/>
      <c r="AG301" s="66"/>
    </row>
    <row r="302" spans="4:33">
      <c r="D302" s="66"/>
      <c r="G302" s="66"/>
      <c r="V302" s="66"/>
      <c r="W302" s="66"/>
      <c r="X302" s="66"/>
      <c r="AB302" s="66"/>
      <c r="AG302" s="66"/>
    </row>
    <row r="303" spans="4:33">
      <c r="D303" s="66"/>
      <c r="G303" s="66"/>
      <c r="V303" s="66"/>
      <c r="W303" s="66"/>
      <c r="X303" s="66"/>
      <c r="AB303" s="66"/>
      <c r="AG303" s="66"/>
    </row>
    <row r="304" spans="4:33">
      <c r="D304" s="66"/>
      <c r="G304" s="66"/>
      <c r="V304" s="66"/>
      <c r="W304" s="66"/>
      <c r="X304" s="66"/>
      <c r="AB304" s="66"/>
      <c r="AG304" s="66"/>
    </row>
    <row r="305" spans="4:33">
      <c r="D305" s="66"/>
      <c r="G305" s="66"/>
      <c r="V305" s="66"/>
      <c r="W305" s="66"/>
      <c r="X305" s="66"/>
      <c r="AB305" s="66"/>
      <c r="AG305" s="66"/>
    </row>
    <row r="306" spans="4:33">
      <c r="D306" s="66"/>
      <c r="G306" s="66"/>
      <c r="V306" s="66"/>
      <c r="W306" s="66"/>
      <c r="X306" s="66"/>
      <c r="AB306" s="66"/>
      <c r="AG306" s="66"/>
    </row>
    <row r="307" spans="4:33">
      <c r="D307" s="66"/>
      <c r="G307" s="66"/>
      <c r="V307" s="66"/>
      <c r="W307" s="66"/>
      <c r="X307" s="66"/>
      <c r="AB307" s="66"/>
      <c r="AG307" s="66"/>
    </row>
    <row r="308" spans="4:33">
      <c r="D308" s="66"/>
      <c r="G308" s="66"/>
      <c r="V308" s="66"/>
      <c r="W308" s="66"/>
      <c r="X308" s="66"/>
      <c r="AB308" s="66"/>
      <c r="AG308" s="66"/>
    </row>
    <row r="309" spans="4:33">
      <c r="D309" s="66"/>
      <c r="G309" s="66"/>
      <c r="V309" s="66"/>
      <c r="W309" s="66"/>
      <c r="X309" s="66"/>
      <c r="AB309" s="66"/>
      <c r="AG309" s="66"/>
    </row>
    <row r="310" spans="4:33">
      <c r="D310" s="66"/>
      <c r="G310" s="66"/>
      <c r="V310" s="66"/>
      <c r="W310" s="66"/>
      <c r="X310" s="66"/>
      <c r="AB310" s="66"/>
      <c r="AG310" s="66"/>
    </row>
    <row r="311" spans="4:33">
      <c r="D311" s="66"/>
      <c r="G311" s="66"/>
      <c r="V311" s="66"/>
      <c r="W311" s="66"/>
      <c r="X311" s="66"/>
      <c r="AB311" s="66"/>
      <c r="AG311" s="66"/>
    </row>
    <row r="312" spans="4:33">
      <c r="D312" s="66"/>
      <c r="G312" s="66"/>
      <c r="V312" s="66"/>
      <c r="W312" s="66"/>
      <c r="X312" s="66"/>
      <c r="AB312" s="66"/>
      <c r="AG312" s="66"/>
    </row>
    <row r="313" spans="4:33">
      <c r="D313" s="66"/>
      <c r="G313" s="66"/>
      <c r="V313" s="66"/>
      <c r="W313" s="66"/>
      <c r="X313" s="66"/>
      <c r="AB313" s="66"/>
      <c r="AG313" s="66"/>
    </row>
    <row r="314" spans="4:33">
      <c r="D314" s="66"/>
      <c r="G314" s="66"/>
      <c r="V314" s="66"/>
      <c r="W314" s="66"/>
      <c r="X314" s="66"/>
      <c r="AB314" s="66"/>
      <c r="AG314" s="66"/>
    </row>
    <row r="315" spans="4:33">
      <c r="D315" s="66"/>
      <c r="G315" s="66"/>
      <c r="V315" s="66"/>
      <c r="W315" s="66"/>
      <c r="X315" s="66"/>
      <c r="AB315" s="66"/>
      <c r="AG315" s="66"/>
    </row>
    <row r="316" spans="4:33">
      <c r="D316" s="66"/>
      <c r="G316" s="66"/>
      <c r="V316" s="66"/>
      <c r="W316" s="66"/>
      <c r="X316" s="66"/>
      <c r="AB316" s="66"/>
      <c r="AG316" s="66"/>
    </row>
    <row r="317" spans="4:33">
      <c r="D317" s="66"/>
      <c r="G317" s="66"/>
      <c r="V317" s="66"/>
      <c r="W317" s="66"/>
      <c r="X317" s="66"/>
      <c r="AB317" s="66"/>
      <c r="AG317" s="66"/>
    </row>
    <row r="318" spans="4:33">
      <c r="D318" s="66"/>
      <c r="G318" s="66"/>
      <c r="V318" s="66"/>
      <c r="W318" s="66"/>
      <c r="X318" s="66"/>
      <c r="AB318" s="66"/>
      <c r="AG318" s="66"/>
    </row>
    <row r="319" spans="4:33">
      <c r="D319" s="66"/>
      <c r="G319" s="66"/>
      <c r="V319" s="66"/>
      <c r="W319" s="66"/>
      <c r="X319" s="66"/>
      <c r="AB319" s="66"/>
      <c r="AG319" s="66"/>
    </row>
    <row r="320" spans="4:33">
      <c r="D320" s="66"/>
      <c r="G320" s="66"/>
      <c r="V320" s="66"/>
      <c r="W320" s="66"/>
      <c r="X320" s="66"/>
      <c r="AB320" s="66"/>
      <c r="AG320" s="66"/>
    </row>
    <row r="321" spans="4:33">
      <c r="D321" s="66"/>
      <c r="G321" s="66"/>
      <c r="V321" s="66"/>
      <c r="W321" s="66"/>
      <c r="X321" s="66"/>
      <c r="AB321" s="66"/>
      <c r="AG321" s="66"/>
    </row>
    <row r="322" spans="4:33">
      <c r="D322" s="66"/>
      <c r="G322" s="66"/>
      <c r="V322" s="66"/>
      <c r="W322" s="66"/>
      <c r="X322" s="66"/>
      <c r="AB322" s="66"/>
      <c r="AG322" s="66"/>
    </row>
    <row r="323" spans="4:33">
      <c r="D323" s="66"/>
      <c r="G323" s="66"/>
      <c r="V323" s="66"/>
      <c r="W323" s="66"/>
      <c r="X323" s="66"/>
      <c r="AB323" s="66"/>
      <c r="AG323" s="66"/>
    </row>
    <row r="324" spans="4:33">
      <c r="D324" s="66"/>
      <c r="G324" s="66"/>
      <c r="V324" s="66"/>
      <c r="W324" s="66"/>
      <c r="X324" s="66"/>
      <c r="AB324" s="66"/>
      <c r="AG324" s="66"/>
    </row>
    <row r="325" spans="4:33">
      <c r="D325" s="66"/>
      <c r="G325" s="66"/>
      <c r="V325" s="66"/>
      <c r="W325" s="66"/>
      <c r="X325" s="66"/>
      <c r="AB325" s="66"/>
      <c r="AG325" s="66"/>
    </row>
    <row r="326" spans="4:33">
      <c r="D326" s="66"/>
      <c r="G326" s="66"/>
      <c r="V326" s="66"/>
      <c r="W326" s="66"/>
      <c r="X326" s="66"/>
      <c r="AB326" s="66"/>
      <c r="AG326" s="66"/>
    </row>
    <row r="327" spans="4:33">
      <c r="D327" s="66"/>
      <c r="G327" s="66"/>
      <c r="V327" s="66"/>
      <c r="W327" s="66"/>
      <c r="X327" s="66"/>
      <c r="AB327" s="66"/>
      <c r="AG327" s="66"/>
    </row>
    <row r="328" spans="4:33">
      <c r="D328" s="66"/>
      <c r="G328" s="66"/>
      <c r="V328" s="66"/>
      <c r="W328" s="66"/>
      <c r="X328" s="66"/>
      <c r="AB328" s="66"/>
      <c r="AG328" s="66"/>
    </row>
    <row r="329" spans="4:33">
      <c r="D329" s="66"/>
      <c r="G329" s="66"/>
      <c r="V329" s="66"/>
      <c r="W329" s="66"/>
      <c r="X329" s="66"/>
      <c r="AB329" s="66"/>
      <c r="AG329" s="66"/>
    </row>
    <row r="330" spans="4:33">
      <c r="D330" s="66"/>
      <c r="G330" s="66"/>
      <c r="V330" s="66"/>
      <c r="W330" s="66"/>
      <c r="X330" s="66"/>
      <c r="AB330" s="66"/>
      <c r="AG330" s="66"/>
    </row>
    <row r="331" spans="4:33">
      <c r="D331" s="66"/>
      <c r="G331" s="66"/>
      <c r="V331" s="66"/>
      <c r="W331" s="66"/>
      <c r="X331" s="66"/>
      <c r="AB331" s="66"/>
      <c r="AG331" s="66"/>
    </row>
    <row r="332" spans="4:33">
      <c r="D332" s="66"/>
      <c r="G332" s="66"/>
      <c r="V332" s="66"/>
      <c r="W332" s="66"/>
      <c r="X332" s="66"/>
      <c r="AB332" s="66"/>
      <c r="AG332" s="66"/>
    </row>
    <row r="333" spans="4:33">
      <c r="D333" s="66"/>
      <c r="G333" s="66"/>
      <c r="V333" s="66"/>
      <c r="W333" s="66"/>
      <c r="X333" s="66"/>
      <c r="AB333" s="66"/>
      <c r="AG333" s="66"/>
    </row>
    <row r="334" spans="4:33">
      <c r="D334" s="66"/>
      <c r="G334" s="66"/>
      <c r="V334" s="66"/>
      <c r="W334" s="66"/>
      <c r="X334" s="66"/>
      <c r="AB334" s="66"/>
      <c r="AG334" s="66"/>
    </row>
    <row r="335" spans="4:33">
      <c r="D335" s="66"/>
      <c r="G335" s="66"/>
      <c r="V335" s="66"/>
      <c r="W335" s="66"/>
      <c r="X335" s="66"/>
      <c r="AB335" s="66"/>
      <c r="AG335" s="66"/>
    </row>
    <row r="336" spans="4:33">
      <c r="D336" s="66"/>
      <c r="G336" s="66"/>
      <c r="V336" s="66"/>
      <c r="W336" s="66"/>
      <c r="X336" s="66"/>
      <c r="AB336" s="66"/>
      <c r="AG336" s="66"/>
    </row>
    <row r="337" spans="4:33">
      <c r="D337" s="66"/>
      <c r="G337" s="66"/>
      <c r="V337" s="66"/>
      <c r="W337" s="66"/>
      <c r="X337" s="66"/>
      <c r="AB337" s="66"/>
      <c r="AG337" s="66"/>
    </row>
    <row r="338" spans="4:33">
      <c r="D338" s="66"/>
      <c r="G338" s="66"/>
      <c r="V338" s="66"/>
      <c r="W338" s="66"/>
      <c r="X338" s="66"/>
      <c r="AB338" s="66"/>
      <c r="AG338" s="66"/>
    </row>
    <row r="339" spans="4:33">
      <c r="D339" s="66"/>
      <c r="G339" s="66"/>
      <c r="V339" s="66"/>
      <c r="W339" s="66"/>
      <c r="X339" s="66"/>
      <c r="AB339" s="66"/>
      <c r="AG339" s="66"/>
    </row>
    <row r="340" spans="4:33">
      <c r="D340" s="66"/>
      <c r="G340" s="66"/>
      <c r="V340" s="66"/>
      <c r="W340" s="66"/>
      <c r="X340" s="66"/>
      <c r="AB340" s="66"/>
      <c r="AG340" s="66"/>
    </row>
    <row r="341" spans="4:33">
      <c r="D341" s="66"/>
      <c r="G341" s="66"/>
      <c r="V341" s="66"/>
      <c r="W341" s="66"/>
      <c r="X341" s="66"/>
      <c r="AB341" s="66"/>
      <c r="AG341" s="66"/>
    </row>
    <row r="342" spans="4:33">
      <c r="D342" s="66"/>
      <c r="G342" s="66"/>
      <c r="V342" s="66"/>
      <c r="W342" s="66"/>
      <c r="X342" s="66"/>
      <c r="AB342" s="66"/>
      <c r="AG342" s="66"/>
    </row>
    <row r="343" spans="4:33">
      <c r="D343" s="66"/>
      <c r="G343" s="66"/>
      <c r="V343" s="66"/>
      <c r="W343" s="66"/>
      <c r="X343" s="66"/>
      <c r="AB343" s="66"/>
      <c r="AG343" s="66"/>
    </row>
    <row r="344" spans="4:33">
      <c r="D344" s="66"/>
      <c r="G344" s="66"/>
      <c r="V344" s="66"/>
      <c r="W344" s="66"/>
      <c r="X344" s="66"/>
      <c r="AB344" s="66"/>
      <c r="AG344" s="66"/>
    </row>
    <row r="345" spans="4:33">
      <c r="D345" s="66"/>
      <c r="G345" s="66"/>
      <c r="V345" s="66"/>
      <c r="W345" s="66"/>
      <c r="X345" s="66"/>
      <c r="AB345" s="66"/>
      <c r="AG345" s="66"/>
    </row>
    <row r="346" spans="4:33">
      <c r="D346" s="66"/>
      <c r="G346" s="66"/>
      <c r="V346" s="66"/>
      <c r="W346" s="66"/>
      <c r="X346" s="66"/>
      <c r="AB346" s="66"/>
      <c r="AG346" s="66"/>
    </row>
    <row r="347" spans="4:33">
      <c r="D347" s="66"/>
      <c r="G347" s="66"/>
      <c r="V347" s="66"/>
      <c r="W347" s="66"/>
      <c r="X347" s="66"/>
      <c r="AB347" s="66"/>
      <c r="AG347" s="66"/>
    </row>
    <row r="348" spans="4:33">
      <c r="D348" s="66"/>
      <c r="G348" s="66"/>
      <c r="V348" s="66"/>
      <c r="W348" s="66"/>
      <c r="X348" s="66"/>
      <c r="AB348" s="66"/>
      <c r="AG348" s="66"/>
    </row>
    <row r="349" spans="4:33">
      <c r="D349" s="66"/>
      <c r="G349" s="66"/>
      <c r="V349" s="66"/>
      <c r="W349" s="66"/>
      <c r="X349" s="66"/>
      <c r="AB349" s="66"/>
      <c r="AG349" s="66"/>
    </row>
    <row r="350" spans="4:33">
      <c r="D350" s="66"/>
      <c r="G350" s="66"/>
      <c r="V350" s="66"/>
      <c r="W350" s="66"/>
      <c r="X350" s="66"/>
      <c r="AB350" s="66"/>
      <c r="AG350" s="66"/>
    </row>
    <row r="351" spans="4:33">
      <c r="D351" s="66"/>
      <c r="G351" s="66"/>
      <c r="V351" s="66"/>
      <c r="W351" s="66"/>
      <c r="X351" s="66"/>
      <c r="AB351" s="66"/>
      <c r="AG351" s="66"/>
    </row>
    <row r="352" spans="4:33">
      <c r="D352" s="66"/>
      <c r="G352" s="66"/>
      <c r="V352" s="66"/>
      <c r="W352" s="66"/>
      <c r="X352" s="66"/>
      <c r="AB352" s="66"/>
      <c r="AG352" s="66"/>
    </row>
    <row r="353" spans="4:33">
      <c r="D353" s="66"/>
      <c r="G353" s="66"/>
      <c r="V353" s="66"/>
      <c r="W353" s="66"/>
      <c r="X353" s="66"/>
      <c r="AB353" s="66"/>
      <c r="AG353" s="66"/>
    </row>
    <row r="354" spans="4:33">
      <c r="D354" s="66"/>
      <c r="G354" s="66"/>
      <c r="V354" s="66"/>
      <c r="W354" s="66"/>
      <c r="X354" s="66"/>
      <c r="AB354" s="66"/>
      <c r="AG354" s="66"/>
    </row>
    <row r="355" spans="4:33">
      <c r="D355" s="66"/>
      <c r="G355" s="66"/>
      <c r="V355" s="66"/>
      <c r="W355" s="66"/>
      <c r="X355" s="66"/>
      <c r="AB355" s="66"/>
      <c r="AG355" s="66"/>
    </row>
    <row r="356" spans="4:33">
      <c r="D356" s="66"/>
      <c r="G356" s="66"/>
      <c r="V356" s="66"/>
      <c r="W356" s="66"/>
      <c r="X356" s="66"/>
      <c r="AB356" s="66"/>
      <c r="AG356" s="66"/>
    </row>
    <row r="357" spans="4:33">
      <c r="D357" s="66"/>
      <c r="G357" s="66"/>
      <c r="V357" s="66"/>
      <c r="W357" s="66"/>
      <c r="X357" s="66"/>
      <c r="AB357" s="66"/>
      <c r="AG357" s="66"/>
    </row>
    <row r="358" spans="4:33">
      <c r="D358" s="66"/>
      <c r="G358" s="66"/>
      <c r="V358" s="66"/>
      <c r="W358" s="66"/>
      <c r="X358" s="66"/>
      <c r="AB358" s="66"/>
      <c r="AG358" s="66"/>
    </row>
    <row r="359" spans="4:33">
      <c r="D359" s="66"/>
      <c r="G359" s="66"/>
      <c r="V359" s="66"/>
      <c r="W359" s="66"/>
      <c r="X359" s="66"/>
      <c r="AB359" s="66"/>
      <c r="AG359" s="66"/>
    </row>
    <row r="360" spans="4:33">
      <c r="D360" s="66"/>
      <c r="G360" s="66"/>
      <c r="V360" s="66"/>
      <c r="W360" s="66"/>
      <c r="X360" s="66"/>
      <c r="AB360" s="66"/>
      <c r="AG360" s="66"/>
    </row>
    <row r="361" spans="4:33">
      <c r="D361" s="66"/>
      <c r="G361" s="66"/>
      <c r="V361" s="66"/>
      <c r="W361" s="66"/>
      <c r="X361" s="66"/>
      <c r="AB361" s="66"/>
      <c r="AG361" s="66"/>
    </row>
    <row r="362" spans="4:33">
      <c r="D362" s="66"/>
      <c r="G362" s="66"/>
      <c r="V362" s="66"/>
      <c r="W362" s="66"/>
      <c r="X362" s="66"/>
      <c r="AB362" s="66"/>
      <c r="AG362" s="66"/>
    </row>
    <row r="363" spans="4:33">
      <c r="D363" s="66"/>
      <c r="G363" s="66"/>
      <c r="V363" s="66"/>
      <c r="W363" s="66"/>
      <c r="X363" s="66"/>
      <c r="AB363" s="66"/>
      <c r="AG363" s="66"/>
    </row>
    <row r="364" spans="4:33">
      <c r="D364" s="66"/>
      <c r="G364" s="66"/>
      <c r="V364" s="66"/>
      <c r="W364" s="66"/>
      <c r="X364" s="66"/>
      <c r="AB364" s="66"/>
      <c r="AG364" s="66"/>
    </row>
    <row r="365" spans="4:33">
      <c r="D365" s="66"/>
      <c r="G365" s="66"/>
      <c r="V365" s="66"/>
      <c r="W365" s="66"/>
      <c r="X365" s="66"/>
      <c r="AB365" s="66"/>
      <c r="AG365" s="66"/>
    </row>
    <row r="366" spans="4:33">
      <c r="D366" s="66"/>
      <c r="G366" s="66"/>
      <c r="V366" s="66"/>
      <c r="W366" s="66"/>
      <c r="X366" s="66"/>
      <c r="AB366" s="66"/>
      <c r="AG366" s="66"/>
    </row>
    <row r="367" spans="4:33">
      <c r="D367" s="66"/>
      <c r="G367" s="66"/>
      <c r="V367" s="66"/>
      <c r="W367" s="66"/>
      <c r="X367" s="66"/>
      <c r="AB367" s="66"/>
      <c r="AG367" s="66"/>
    </row>
    <row r="368" spans="4:33">
      <c r="D368" s="66"/>
      <c r="G368" s="66"/>
      <c r="V368" s="66"/>
      <c r="W368" s="66"/>
      <c r="X368" s="66"/>
      <c r="AB368" s="66"/>
      <c r="AG368" s="66"/>
    </row>
    <row r="369" spans="4:33">
      <c r="D369" s="66"/>
      <c r="G369" s="66"/>
      <c r="V369" s="66"/>
      <c r="W369" s="66"/>
      <c r="X369" s="66"/>
      <c r="AB369" s="66"/>
      <c r="AG369" s="66"/>
    </row>
    <row r="370" spans="4:33">
      <c r="D370" s="66"/>
      <c r="G370" s="66"/>
      <c r="V370" s="66"/>
      <c r="W370" s="66"/>
      <c r="X370" s="66"/>
      <c r="AB370" s="66"/>
      <c r="AG370" s="66"/>
    </row>
    <row r="371" spans="4:33">
      <c r="D371" s="66"/>
      <c r="G371" s="66"/>
      <c r="V371" s="66"/>
      <c r="W371" s="66"/>
      <c r="X371" s="66"/>
      <c r="AB371" s="66"/>
      <c r="AG371" s="66"/>
    </row>
    <row r="372" spans="4:33">
      <c r="D372" s="66"/>
      <c r="G372" s="66"/>
      <c r="V372" s="66"/>
      <c r="W372" s="66"/>
      <c r="X372" s="66"/>
      <c r="AB372" s="66"/>
      <c r="AG372" s="66"/>
    </row>
    <row r="373" spans="4:33">
      <c r="D373" s="66"/>
      <c r="G373" s="66"/>
      <c r="V373" s="66"/>
      <c r="W373" s="66"/>
      <c r="X373" s="66"/>
      <c r="AB373" s="66"/>
      <c r="AG373" s="66"/>
    </row>
    <row r="374" spans="4:33">
      <c r="D374" s="66"/>
      <c r="G374" s="66"/>
      <c r="V374" s="66"/>
      <c r="W374" s="66"/>
      <c r="X374" s="66"/>
      <c r="AB374" s="66"/>
      <c r="AG374" s="66"/>
    </row>
    <row r="375" spans="4:33">
      <c r="D375" s="66"/>
      <c r="G375" s="66"/>
      <c r="V375" s="66"/>
      <c r="W375" s="66"/>
      <c r="X375" s="66"/>
      <c r="AB375" s="66"/>
      <c r="AG375" s="66"/>
    </row>
    <row r="376" spans="4:33">
      <c r="D376" s="66"/>
      <c r="G376" s="66"/>
      <c r="V376" s="66"/>
      <c r="W376" s="66"/>
      <c r="X376" s="66"/>
      <c r="AB376" s="66"/>
      <c r="AG376" s="66"/>
    </row>
    <row r="377" spans="4:33">
      <c r="D377" s="66"/>
      <c r="G377" s="66"/>
      <c r="V377" s="66"/>
      <c r="W377" s="66"/>
      <c r="X377" s="66"/>
      <c r="AB377" s="66"/>
      <c r="AG377" s="66"/>
    </row>
    <row r="378" spans="4:33">
      <c r="D378" s="66"/>
      <c r="G378" s="66"/>
      <c r="V378" s="66"/>
      <c r="W378" s="66"/>
      <c r="X378" s="66"/>
      <c r="AB378" s="66"/>
      <c r="AG378" s="66"/>
    </row>
    <row r="379" spans="4:33">
      <c r="D379" s="66"/>
      <c r="G379" s="66"/>
      <c r="V379" s="66"/>
      <c r="W379" s="66"/>
      <c r="X379" s="66"/>
      <c r="AB379" s="66"/>
      <c r="AG379" s="66"/>
    </row>
    <row r="380" spans="4:33">
      <c r="D380" s="66"/>
      <c r="G380" s="66"/>
      <c r="V380" s="66"/>
      <c r="W380" s="66"/>
      <c r="X380" s="66"/>
      <c r="AB380" s="66"/>
      <c r="AG380" s="66"/>
    </row>
    <row r="381" spans="4:33">
      <c r="D381" s="66"/>
      <c r="G381" s="66"/>
      <c r="V381" s="66"/>
      <c r="W381" s="66"/>
      <c r="X381" s="66"/>
      <c r="AB381" s="66"/>
      <c r="AG381" s="66"/>
    </row>
    <row r="382" spans="4:33">
      <c r="D382" s="66"/>
      <c r="G382" s="66"/>
      <c r="V382" s="66"/>
      <c r="W382" s="66"/>
      <c r="X382" s="66"/>
      <c r="AB382" s="66"/>
      <c r="AG382" s="66"/>
    </row>
    <row r="383" spans="4:33">
      <c r="D383" s="66"/>
      <c r="G383" s="66"/>
      <c r="V383" s="66"/>
      <c r="W383" s="66"/>
      <c r="X383" s="66"/>
      <c r="AB383" s="66"/>
      <c r="AG383" s="66"/>
    </row>
    <row r="384" spans="4:33">
      <c r="D384" s="66"/>
      <c r="G384" s="66"/>
      <c r="V384" s="66"/>
      <c r="W384" s="66"/>
      <c r="X384" s="66"/>
      <c r="AB384" s="66"/>
      <c r="AG384" s="66"/>
    </row>
    <row r="385" spans="4:33">
      <c r="D385" s="66"/>
      <c r="G385" s="66"/>
      <c r="V385" s="66"/>
      <c r="W385" s="66"/>
      <c r="X385" s="66"/>
      <c r="AB385" s="66"/>
      <c r="AG385" s="66"/>
    </row>
    <row r="386" spans="4:33">
      <c r="D386" s="66"/>
      <c r="G386" s="66"/>
      <c r="V386" s="66"/>
      <c r="W386" s="66"/>
      <c r="X386" s="66"/>
      <c r="AB386" s="66"/>
      <c r="AG386" s="66"/>
    </row>
    <row r="387" spans="4:33">
      <c r="D387" s="66"/>
      <c r="G387" s="66"/>
      <c r="V387" s="66"/>
      <c r="W387" s="66"/>
      <c r="X387" s="66"/>
      <c r="AB387" s="66"/>
      <c r="AG387" s="66"/>
    </row>
    <row r="388" spans="4:33">
      <c r="D388" s="66"/>
      <c r="G388" s="66"/>
      <c r="V388" s="66"/>
      <c r="W388" s="66"/>
      <c r="X388" s="66"/>
      <c r="AB388" s="66"/>
      <c r="AG388" s="66"/>
    </row>
    <row r="389" spans="4:33">
      <c r="D389" s="66"/>
      <c r="G389" s="66"/>
      <c r="V389" s="66"/>
      <c r="W389" s="66"/>
      <c r="X389" s="66"/>
      <c r="AB389" s="66"/>
      <c r="AG389" s="66"/>
    </row>
    <row r="390" spans="4:33">
      <c r="D390" s="66"/>
      <c r="G390" s="66"/>
      <c r="V390" s="66"/>
      <c r="W390" s="66"/>
      <c r="X390" s="66"/>
      <c r="AB390" s="66"/>
      <c r="AG390" s="66"/>
    </row>
    <row r="391" spans="4:33">
      <c r="D391" s="66"/>
      <c r="G391" s="66"/>
      <c r="V391" s="66"/>
      <c r="W391" s="66"/>
      <c r="X391" s="66"/>
      <c r="AB391" s="66"/>
      <c r="AG391" s="66"/>
    </row>
    <row r="392" spans="4:33">
      <c r="D392" s="66"/>
      <c r="G392" s="66"/>
      <c r="V392" s="66"/>
      <c r="W392" s="66"/>
      <c r="X392" s="66"/>
      <c r="AB392" s="66"/>
      <c r="AG392" s="66"/>
    </row>
    <row r="393" spans="4:33">
      <c r="D393" s="66"/>
      <c r="G393" s="66"/>
      <c r="V393" s="66"/>
      <c r="W393" s="66"/>
      <c r="X393" s="66"/>
      <c r="AB393" s="66"/>
      <c r="AG393" s="66"/>
    </row>
    <row r="394" spans="4:33">
      <c r="D394" s="66"/>
      <c r="G394" s="66"/>
      <c r="V394" s="66"/>
      <c r="W394" s="66"/>
      <c r="X394" s="66"/>
      <c r="AB394" s="66"/>
      <c r="AG394" s="66"/>
    </row>
    <row r="395" spans="4:33">
      <c r="D395" s="66"/>
      <c r="G395" s="66"/>
      <c r="V395" s="66"/>
      <c r="W395" s="66"/>
      <c r="X395" s="66"/>
      <c r="AB395" s="66"/>
      <c r="AG395" s="66"/>
    </row>
    <row r="396" spans="4:33">
      <c r="D396" s="66"/>
      <c r="G396" s="66"/>
      <c r="V396" s="66"/>
      <c r="W396" s="66"/>
      <c r="X396" s="66"/>
      <c r="AB396" s="66"/>
      <c r="AG396" s="66"/>
    </row>
    <row r="397" spans="4:33">
      <c r="D397" s="66"/>
      <c r="G397" s="66"/>
      <c r="V397" s="66"/>
      <c r="W397" s="66"/>
      <c r="X397" s="66"/>
      <c r="AB397" s="66"/>
      <c r="AG397" s="66"/>
    </row>
    <row r="398" spans="4:33">
      <c r="D398" s="66"/>
      <c r="G398" s="66"/>
      <c r="V398" s="66"/>
      <c r="W398" s="66"/>
      <c r="X398" s="66"/>
      <c r="AB398" s="66"/>
      <c r="AG398" s="66"/>
    </row>
    <row r="399" spans="4:33">
      <c r="D399" s="66"/>
      <c r="G399" s="66"/>
      <c r="V399" s="66"/>
      <c r="W399" s="66"/>
      <c r="X399" s="66"/>
      <c r="AB399" s="66"/>
      <c r="AG399" s="66"/>
    </row>
    <row r="400" spans="4:33">
      <c r="D400" s="66"/>
      <c r="G400" s="66"/>
      <c r="V400" s="66"/>
      <c r="W400" s="66"/>
      <c r="X400" s="66"/>
      <c r="AB400" s="66"/>
      <c r="AG400" s="66"/>
    </row>
    <row r="401" spans="4:33">
      <c r="D401" s="66"/>
      <c r="G401" s="66"/>
      <c r="V401" s="66"/>
      <c r="W401" s="66"/>
      <c r="X401" s="66"/>
      <c r="AB401" s="66"/>
      <c r="AG401" s="66"/>
    </row>
    <row r="402" spans="4:33">
      <c r="D402" s="66"/>
      <c r="G402" s="66"/>
      <c r="V402" s="66"/>
      <c r="W402" s="66"/>
      <c r="X402" s="66"/>
      <c r="AB402" s="66"/>
      <c r="AG402" s="66"/>
    </row>
    <row r="403" spans="4:33">
      <c r="D403" s="66"/>
      <c r="G403" s="66"/>
      <c r="V403" s="66"/>
      <c r="W403" s="66"/>
      <c r="X403" s="66"/>
      <c r="AB403" s="66"/>
      <c r="AG403" s="66"/>
    </row>
    <row r="404" spans="4:33">
      <c r="D404" s="66"/>
      <c r="G404" s="66"/>
      <c r="V404" s="66"/>
      <c r="W404" s="66"/>
      <c r="X404" s="66"/>
      <c r="AB404" s="66"/>
      <c r="AG404" s="66"/>
    </row>
    <row r="405" spans="4:33">
      <c r="D405" s="66"/>
      <c r="G405" s="66"/>
      <c r="V405" s="66"/>
      <c r="W405" s="66"/>
      <c r="X405" s="66"/>
      <c r="AB405" s="66"/>
      <c r="AG405" s="66"/>
    </row>
    <row r="406" spans="4:33">
      <c r="D406" s="66"/>
      <c r="G406" s="66"/>
      <c r="V406" s="66"/>
      <c r="W406" s="66"/>
      <c r="X406" s="66"/>
      <c r="AB406" s="66"/>
      <c r="AG406" s="66"/>
    </row>
    <row r="407" spans="4:33">
      <c r="D407" s="66"/>
      <c r="G407" s="66"/>
      <c r="V407" s="66"/>
      <c r="W407" s="66"/>
      <c r="X407" s="66"/>
      <c r="AB407" s="66"/>
      <c r="AG407" s="66"/>
    </row>
    <row r="408" spans="4:33">
      <c r="D408" s="66"/>
      <c r="G408" s="66"/>
      <c r="V408" s="66"/>
      <c r="W408" s="66"/>
      <c r="X408" s="66"/>
      <c r="AB408" s="66"/>
      <c r="AG408" s="66"/>
    </row>
    <row r="409" spans="4:33">
      <c r="D409" s="66"/>
      <c r="G409" s="66"/>
      <c r="V409" s="66"/>
      <c r="W409" s="66"/>
      <c r="X409" s="66"/>
      <c r="AB409" s="66"/>
      <c r="AG409" s="66"/>
    </row>
    <row r="410" spans="4:33">
      <c r="D410" s="66"/>
      <c r="G410" s="66"/>
      <c r="V410" s="66"/>
      <c r="W410" s="66"/>
      <c r="X410" s="66"/>
      <c r="AB410" s="66"/>
      <c r="AG410" s="66"/>
    </row>
    <row r="411" spans="4:33">
      <c r="D411" s="66"/>
      <c r="G411" s="66"/>
      <c r="V411" s="66"/>
      <c r="W411" s="66"/>
      <c r="X411" s="66"/>
      <c r="AB411" s="66"/>
      <c r="AG411" s="66"/>
    </row>
    <row r="412" spans="4:33">
      <c r="D412" s="66"/>
      <c r="G412" s="66"/>
      <c r="V412" s="66"/>
      <c r="W412" s="66"/>
      <c r="X412" s="66"/>
      <c r="AB412" s="66"/>
      <c r="AG412" s="66"/>
    </row>
    <row r="413" spans="4:33">
      <c r="D413" s="66"/>
      <c r="G413" s="66"/>
      <c r="V413" s="66"/>
      <c r="W413" s="66"/>
      <c r="X413" s="66"/>
      <c r="AB413" s="66"/>
      <c r="AG413" s="66"/>
    </row>
    <row r="414" spans="4:33">
      <c r="D414" s="66"/>
      <c r="G414" s="66"/>
      <c r="V414" s="66"/>
      <c r="W414" s="66"/>
      <c r="X414" s="66"/>
      <c r="AB414" s="66"/>
      <c r="AG414" s="66"/>
    </row>
    <row r="415" spans="4:33">
      <c r="D415" s="66"/>
      <c r="G415" s="66"/>
      <c r="V415" s="66"/>
      <c r="W415" s="66"/>
      <c r="X415" s="66"/>
      <c r="AB415" s="66"/>
      <c r="AG415" s="66"/>
    </row>
    <row r="416" spans="4:33">
      <c r="D416" s="66"/>
      <c r="G416" s="66"/>
      <c r="V416" s="66"/>
      <c r="W416" s="66"/>
      <c r="X416" s="66"/>
      <c r="AB416" s="66"/>
      <c r="AG416" s="66"/>
    </row>
    <row r="417" spans="4:33">
      <c r="D417" s="66"/>
      <c r="G417" s="66"/>
      <c r="V417" s="66"/>
      <c r="W417" s="66"/>
      <c r="X417" s="66"/>
      <c r="AB417" s="66"/>
      <c r="AG417" s="66"/>
    </row>
    <row r="418" spans="4:33">
      <c r="D418" s="66"/>
      <c r="G418" s="66"/>
      <c r="V418" s="66"/>
      <c r="W418" s="66"/>
      <c r="X418" s="66"/>
      <c r="AB418" s="66"/>
      <c r="AG418" s="66"/>
    </row>
    <row r="419" spans="4:33">
      <c r="D419" s="66"/>
      <c r="G419" s="66"/>
      <c r="V419" s="66"/>
      <c r="W419" s="66"/>
      <c r="X419" s="66"/>
      <c r="AB419" s="66"/>
      <c r="AG419" s="66"/>
    </row>
    <row r="420" spans="4:33">
      <c r="D420" s="66"/>
      <c r="G420" s="66"/>
      <c r="V420" s="66"/>
      <c r="W420" s="66"/>
      <c r="X420" s="66"/>
      <c r="AB420" s="66"/>
      <c r="AG420" s="66"/>
    </row>
    <row r="421" spans="4:33">
      <c r="D421" s="66"/>
      <c r="G421" s="66"/>
      <c r="V421" s="66"/>
      <c r="W421" s="66"/>
      <c r="X421" s="66"/>
      <c r="AB421" s="66"/>
      <c r="AG421" s="66"/>
    </row>
    <row r="422" spans="4:33">
      <c r="D422" s="66"/>
      <c r="G422" s="66"/>
      <c r="V422" s="66"/>
      <c r="W422" s="66"/>
      <c r="X422" s="66"/>
      <c r="AB422" s="66"/>
      <c r="AG422" s="66"/>
    </row>
    <row r="423" spans="4:33">
      <c r="D423" s="66"/>
      <c r="G423" s="66"/>
      <c r="V423" s="66"/>
      <c r="W423" s="66"/>
      <c r="X423" s="66"/>
      <c r="AB423" s="66"/>
      <c r="AG423" s="66"/>
    </row>
    <row r="424" spans="4:33">
      <c r="D424" s="66"/>
      <c r="G424" s="66"/>
      <c r="V424" s="66"/>
      <c r="W424" s="66"/>
      <c r="X424" s="66"/>
      <c r="AB424" s="66"/>
      <c r="AG424" s="66"/>
    </row>
    <row r="425" spans="4:33">
      <c r="D425" s="66"/>
      <c r="G425" s="66"/>
      <c r="V425" s="66"/>
      <c r="W425" s="66"/>
      <c r="X425" s="66"/>
      <c r="AB425" s="66"/>
      <c r="AG425" s="66"/>
    </row>
    <row r="426" spans="4:33">
      <c r="D426" s="66"/>
      <c r="G426" s="66"/>
      <c r="V426" s="66"/>
      <c r="W426" s="66"/>
      <c r="X426" s="66"/>
      <c r="AB426" s="66"/>
      <c r="AG426" s="66"/>
    </row>
    <row r="427" spans="4:33">
      <c r="D427" s="66"/>
      <c r="G427" s="66"/>
      <c r="V427" s="66"/>
      <c r="W427" s="66"/>
      <c r="X427" s="66"/>
      <c r="AB427" s="66"/>
      <c r="AG427" s="66"/>
    </row>
    <row r="428" spans="4:33">
      <c r="D428" s="66"/>
      <c r="G428" s="66"/>
      <c r="V428" s="66"/>
      <c r="W428" s="66"/>
      <c r="X428" s="66"/>
      <c r="AB428" s="66"/>
      <c r="AG428" s="66"/>
    </row>
    <row r="429" spans="4:33">
      <c r="D429" s="66"/>
      <c r="G429" s="66"/>
      <c r="V429" s="66"/>
      <c r="W429" s="66"/>
      <c r="X429" s="66"/>
      <c r="AB429" s="66"/>
      <c r="AG429" s="66"/>
    </row>
    <row r="430" spans="4:33">
      <c r="D430" s="66"/>
      <c r="G430" s="66"/>
      <c r="V430" s="66"/>
      <c r="W430" s="66"/>
      <c r="X430" s="66"/>
      <c r="AB430" s="66"/>
      <c r="AG430" s="66"/>
    </row>
    <row r="431" spans="4:33">
      <c r="D431" s="66"/>
      <c r="G431" s="66"/>
      <c r="V431" s="66"/>
      <c r="W431" s="66"/>
      <c r="X431" s="66"/>
      <c r="AB431" s="66"/>
      <c r="AG431" s="66"/>
    </row>
    <row r="432" spans="4:33">
      <c r="D432" s="66"/>
      <c r="G432" s="66"/>
      <c r="V432" s="66"/>
      <c r="W432" s="66"/>
      <c r="X432" s="66"/>
      <c r="AB432" s="66"/>
      <c r="AG432" s="66"/>
    </row>
    <row r="433" spans="4:33">
      <c r="D433" s="66"/>
      <c r="G433" s="66"/>
      <c r="V433" s="66"/>
      <c r="W433" s="66"/>
      <c r="X433" s="66"/>
      <c r="AB433" s="66"/>
      <c r="AG433" s="66"/>
    </row>
    <row r="434" spans="4:33">
      <c r="D434" s="66"/>
      <c r="G434" s="66"/>
      <c r="V434" s="66"/>
      <c r="W434" s="66"/>
      <c r="X434" s="66"/>
      <c r="AB434" s="66"/>
      <c r="AG434" s="66"/>
    </row>
    <row r="435" spans="4:33">
      <c r="D435" s="66"/>
      <c r="G435" s="66"/>
      <c r="V435" s="66"/>
      <c r="W435" s="66"/>
      <c r="X435" s="66"/>
      <c r="AB435" s="66"/>
      <c r="AG435" s="66"/>
    </row>
    <row r="436" spans="4:33">
      <c r="D436" s="66"/>
      <c r="G436" s="66"/>
      <c r="V436" s="66"/>
      <c r="W436" s="66"/>
      <c r="X436" s="66"/>
      <c r="AB436" s="66"/>
      <c r="AG436" s="66"/>
    </row>
    <row r="437" spans="4:33">
      <c r="D437" s="66"/>
      <c r="G437" s="66"/>
      <c r="V437" s="66"/>
      <c r="W437" s="66"/>
      <c r="X437" s="66"/>
      <c r="AB437" s="66"/>
      <c r="AG437" s="66"/>
    </row>
    <row r="438" spans="4:33">
      <c r="D438" s="66"/>
      <c r="G438" s="66"/>
      <c r="V438" s="66"/>
      <c r="W438" s="66"/>
      <c r="X438" s="66"/>
      <c r="AB438" s="66"/>
      <c r="AG438" s="66"/>
    </row>
    <row r="439" spans="4:33">
      <c r="D439" s="66"/>
      <c r="G439" s="66"/>
      <c r="V439" s="66"/>
      <c r="W439" s="66"/>
      <c r="X439" s="66"/>
      <c r="AB439" s="66"/>
      <c r="AG439" s="66"/>
    </row>
    <row r="440" spans="4:33">
      <c r="D440" s="66"/>
      <c r="G440" s="66"/>
      <c r="V440" s="66"/>
      <c r="W440" s="66"/>
      <c r="X440" s="66"/>
      <c r="AB440" s="66"/>
      <c r="AG440" s="66"/>
    </row>
    <row r="441" spans="4:33">
      <c r="D441" s="66"/>
      <c r="G441" s="66"/>
      <c r="V441" s="66"/>
      <c r="W441" s="66"/>
      <c r="X441" s="66"/>
      <c r="AB441" s="66"/>
      <c r="AG441" s="66"/>
    </row>
    <row r="442" spans="4:33">
      <c r="D442" s="66"/>
      <c r="G442" s="66"/>
      <c r="V442" s="66"/>
      <c r="W442" s="66"/>
      <c r="X442" s="66"/>
      <c r="AB442" s="66"/>
      <c r="AG442" s="66"/>
    </row>
    <row r="443" spans="4:33">
      <c r="D443" s="66"/>
      <c r="G443" s="66"/>
      <c r="V443" s="66"/>
      <c r="W443" s="66"/>
      <c r="X443" s="66"/>
      <c r="AB443" s="66"/>
      <c r="AG443" s="66"/>
    </row>
    <row r="444" spans="4:33">
      <c r="D444" s="66"/>
      <c r="G444" s="66"/>
      <c r="V444" s="66"/>
      <c r="W444" s="66"/>
      <c r="X444" s="66"/>
      <c r="AB444" s="66"/>
      <c r="AG444" s="66"/>
    </row>
    <row r="445" spans="4:33">
      <c r="D445" s="66"/>
      <c r="G445" s="66"/>
      <c r="V445" s="66"/>
      <c r="W445" s="66"/>
      <c r="X445" s="66"/>
      <c r="AB445" s="66"/>
      <c r="AG445" s="66"/>
    </row>
    <row r="446" spans="4:33">
      <c r="D446" s="66"/>
      <c r="G446" s="66"/>
      <c r="V446" s="66"/>
      <c r="W446" s="66"/>
      <c r="X446" s="66"/>
      <c r="AB446" s="66"/>
      <c r="AG446" s="66"/>
    </row>
    <row r="447" spans="4:33">
      <c r="D447" s="66"/>
      <c r="G447" s="66"/>
      <c r="V447" s="66"/>
      <c r="W447" s="66"/>
      <c r="X447" s="66"/>
      <c r="AB447" s="66"/>
      <c r="AG447" s="66"/>
    </row>
    <row r="448" spans="4:33">
      <c r="D448" s="66"/>
      <c r="G448" s="66"/>
      <c r="V448" s="66"/>
      <c r="W448" s="66"/>
      <c r="X448" s="66"/>
      <c r="AB448" s="66"/>
      <c r="AG448" s="66"/>
    </row>
    <row r="449" spans="4:33">
      <c r="D449" s="66"/>
      <c r="G449" s="66"/>
      <c r="V449" s="66"/>
      <c r="W449" s="66"/>
      <c r="X449" s="66"/>
      <c r="AB449" s="66"/>
      <c r="AG449" s="66"/>
    </row>
    <row r="450" spans="4:33">
      <c r="D450" s="66"/>
      <c r="G450" s="66"/>
      <c r="V450" s="66"/>
      <c r="W450" s="66"/>
      <c r="X450" s="66"/>
      <c r="AB450" s="66"/>
      <c r="AG450" s="66"/>
    </row>
    <row r="451" spans="4:33">
      <c r="D451" s="66"/>
      <c r="G451" s="66"/>
      <c r="V451" s="66"/>
      <c r="W451" s="66"/>
      <c r="X451" s="66"/>
      <c r="AB451" s="66"/>
      <c r="AG451" s="66"/>
    </row>
    <row r="452" spans="4:33">
      <c r="D452" s="66"/>
      <c r="G452" s="66"/>
      <c r="V452" s="66"/>
      <c r="W452" s="66"/>
      <c r="X452" s="66"/>
      <c r="AB452" s="66"/>
      <c r="AG452" s="66"/>
    </row>
    <row r="453" spans="4:33">
      <c r="D453" s="66"/>
      <c r="G453" s="66"/>
      <c r="V453" s="66"/>
      <c r="W453" s="66"/>
      <c r="X453" s="66"/>
      <c r="AB453" s="66"/>
      <c r="AG453" s="66"/>
    </row>
    <row r="454" spans="4:33">
      <c r="D454" s="66"/>
      <c r="G454" s="66"/>
      <c r="V454" s="66"/>
      <c r="W454" s="66"/>
      <c r="X454" s="66"/>
      <c r="AB454" s="66"/>
      <c r="AG454" s="66"/>
    </row>
    <row r="455" spans="4:33">
      <c r="D455" s="66"/>
      <c r="G455" s="66"/>
      <c r="V455" s="66"/>
      <c r="W455" s="66"/>
      <c r="X455" s="66"/>
      <c r="AB455" s="66"/>
      <c r="AG455" s="66"/>
    </row>
    <row r="456" spans="4:33">
      <c r="D456" s="66"/>
      <c r="G456" s="66"/>
      <c r="V456" s="66"/>
      <c r="W456" s="66"/>
      <c r="X456" s="66"/>
      <c r="AB456" s="66"/>
      <c r="AG456" s="66"/>
    </row>
    <row r="457" spans="4:33">
      <c r="D457" s="66"/>
      <c r="G457" s="66"/>
      <c r="V457" s="66"/>
      <c r="W457" s="66"/>
      <c r="X457" s="66"/>
      <c r="AB457" s="66"/>
      <c r="AG457" s="66"/>
    </row>
    <row r="458" spans="4:33">
      <c r="D458" s="66"/>
      <c r="G458" s="66"/>
      <c r="V458" s="66"/>
      <c r="W458" s="66"/>
      <c r="X458" s="66"/>
      <c r="AB458" s="66"/>
      <c r="AG458" s="66"/>
    </row>
    <row r="459" spans="4:33">
      <c r="D459" s="66"/>
      <c r="G459" s="66"/>
      <c r="V459" s="66"/>
      <c r="W459" s="66"/>
      <c r="X459" s="66"/>
      <c r="AB459" s="66"/>
      <c r="AG459" s="66"/>
    </row>
    <row r="460" spans="4:33">
      <c r="D460" s="66"/>
      <c r="G460" s="66"/>
      <c r="V460" s="66"/>
      <c r="W460" s="66"/>
      <c r="X460" s="66"/>
      <c r="AB460" s="66"/>
      <c r="AG460" s="66"/>
    </row>
    <row r="461" spans="4:33">
      <c r="D461" s="66"/>
      <c r="G461" s="66"/>
      <c r="V461" s="66"/>
      <c r="W461" s="66"/>
      <c r="X461" s="66"/>
      <c r="AB461" s="66"/>
      <c r="AG461" s="66"/>
    </row>
    <row r="462" spans="4:33">
      <c r="D462" s="66"/>
      <c r="G462" s="66"/>
      <c r="V462" s="66"/>
      <c r="W462" s="66"/>
      <c r="X462" s="66"/>
      <c r="AB462" s="66"/>
      <c r="AG462" s="66"/>
    </row>
    <row r="463" spans="4:33">
      <c r="D463" s="66"/>
      <c r="G463" s="66"/>
      <c r="V463" s="66"/>
      <c r="W463" s="66"/>
      <c r="X463" s="66"/>
      <c r="AB463" s="66"/>
      <c r="AG463" s="66"/>
    </row>
    <row r="464" spans="4:33">
      <c r="D464" s="66"/>
      <c r="G464" s="66"/>
      <c r="V464" s="66"/>
      <c r="W464" s="66"/>
      <c r="X464" s="66"/>
      <c r="AB464" s="66"/>
      <c r="AG464" s="66"/>
    </row>
    <row r="465" spans="4:33">
      <c r="D465" s="66"/>
      <c r="G465" s="66"/>
      <c r="V465" s="66"/>
      <c r="W465" s="66"/>
      <c r="X465" s="66"/>
      <c r="AB465" s="66"/>
      <c r="AG465" s="66"/>
    </row>
    <row r="466" spans="4:33">
      <c r="D466" s="66"/>
      <c r="G466" s="66"/>
      <c r="V466" s="66"/>
      <c r="W466" s="66"/>
      <c r="X466" s="66"/>
      <c r="AB466" s="66"/>
      <c r="AG466" s="66"/>
    </row>
    <row r="467" spans="4:33">
      <c r="D467" s="66"/>
      <c r="G467" s="66"/>
      <c r="V467" s="66"/>
      <c r="W467" s="66"/>
      <c r="X467" s="66"/>
      <c r="AB467" s="66"/>
      <c r="AG467" s="66"/>
    </row>
    <row r="468" spans="4:33">
      <c r="D468" s="66"/>
      <c r="G468" s="66"/>
      <c r="V468" s="66"/>
      <c r="W468" s="66"/>
      <c r="X468" s="66"/>
      <c r="AB468" s="66"/>
      <c r="AG468" s="66"/>
    </row>
    <row r="469" spans="4:33">
      <c r="D469" s="66"/>
      <c r="G469" s="66"/>
      <c r="V469" s="66"/>
      <c r="W469" s="66"/>
      <c r="X469" s="66"/>
      <c r="AB469" s="66"/>
      <c r="AG469" s="66"/>
    </row>
    <row r="470" spans="4:33">
      <c r="D470" s="66"/>
      <c r="G470" s="66"/>
      <c r="V470" s="66"/>
      <c r="W470" s="66"/>
      <c r="X470" s="66"/>
      <c r="AB470" s="66"/>
      <c r="AG470" s="66"/>
    </row>
    <row r="471" spans="4:33">
      <c r="D471" s="66"/>
      <c r="G471" s="66"/>
      <c r="V471" s="66"/>
      <c r="W471" s="66"/>
      <c r="X471" s="66"/>
      <c r="AB471" s="66"/>
      <c r="AG471" s="66"/>
    </row>
    <row r="472" spans="4:33">
      <c r="D472" s="66"/>
      <c r="G472" s="66"/>
      <c r="V472" s="66"/>
      <c r="W472" s="66"/>
      <c r="X472" s="66"/>
      <c r="AB472" s="66"/>
      <c r="AG472" s="66"/>
    </row>
    <row r="473" spans="4:33">
      <c r="D473" s="66"/>
      <c r="G473" s="66"/>
      <c r="V473" s="66"/>
      <c r="W473" s="66"/>
      <c r="X473" s="66"/>
      <c r="AB473" s="66"/>
      <c r="AG473" s="66"/>
    </row>
    <row r="474" spans="4:33">
      <c r="D474" s="66"/>
      <c r="G474" s="66"/>
      <c r="V474" s="66"/>
      <c r="W474" s="66"/>
      <c r="X474" s="66"/>
      <c r="AB474" s="66"/>
      <c r="AG474" s="66"/>
    </row>
    <row r="475" spans="4:33">
      <c r="D475" s="66"/>
      <c r="G475" s="66"/>
      <c r="V475" s="66"/>
      <c r="W475" s="66"/>
      <c r="X475" s="66"/>
      <c r="AB475" s="66"/>
      <c r="AG475" s="66"/>
    </row>
    <row r="476" spans="4:33">
      <c r="D476" s="66"/>
      <c r="G476" s="66"/>
      <c r="V476" s="66"/>
      <c r="W476" s="66"/>
      <c r="X476" s="66"/>
      <c r="AB476" s="66"/>
      <c r="AG476" s="66"/>
    </row>
    <row r="477" spans="4:33">
      <c r="D477" s="66"/>
      <c r="G477" s="66"/>
      <c r="V477" s="66"/>
      <c r="W477" s="66"/>
      <c r="X477" s="66"/>
      <c r="AB477" s="66"/>
      <c r="AG477" s="66"/>
    </row>
    <row r="478" spans="4:33">
      <c r="D478" s="66"/>
      <c r="G478" s="66"/>
      <c r="V478" s="66"/>
      <c r="W478" s="66"/>
      <c r="X478" s="66"/>
      <c r="AB478" s="66"/>
      <c r="AG478" s="66"/>
    </row>
    <row r="479" spans="4:33">
      <c r="D479" s="66"/>
      <c r="G479" s="66"/>
      <c r="V479" s="66"/>
      <c r="W479" s="66"/>
      <c r="X479" s="66"/>
      <c r="AB479" s="66"/>
      <c r="AG479" s="66"/>
    </row>
    <row r="480" spans="4:33">
      <c r="D480" s="66"/>
      <c r="G480" s="66"/>
      <c r="V480" s="66"/>
      <c r="W480" s="66"/>
      <c r="X480" s="66"/>
      <c r="AB480" s="66"/>
      <c r="AG480" s="66"/>
    </row>
    <row r="481" spans="4:33">
      <c r="D481" s="66"/>
      <c r="G481" s="66"/>
      <c r="V481" s="66"/>
      <c r="W481" s="66"/>
      <c r="X481" s="66"/>
      <c r="AB481" s="66"/>
      <c r="AG481" s="66"/>
    </row>
    <row r="482" spans="4:33">
      <c r="D482" s="66"/>
      <c r="G482" s="66"/>
      <c r="V482" s="66"/>
      <c r="W482" s="66"/>
      <c r="X482" s="66"/>
      <c r="AB482" s="66"/>
      <c r="AG482" s="66"/>
    </row>
    <row r="483" spans="4:33">
      <c r="D483" s="66"/>
      <c r="G483" s="66"/>
      <c r="V483" s="66"/>
      <c r="W483" s="66"/>
      <c r="X483" s="66"/>
      <c r="AB483" s="66"/>
      <c r="AG483" s="66"/>
    </row>
    <row r="484" spans="4:33">
      <c r="D484" s="66"/>
      <c r="G484" s="66"/>
      <c r="V484" s="66"/>
      <c r="W484" s="66"/>
      <c r="X484" s="66"/>
      <c r="AB484" s="66"/>
      <c r="AG484" s="66"/>
    </row>
    <row r="485" spans="4:33">
      <c r="D485" s="66"/>
      <c r="G485" s="66"/>
      <c r="V485" s="66"/>
      <c r="W485" s="66"/>
      <c r="X485" s="66"/>
      <c r="AB485" s="66"/>
      <c r="AG485" s="66"/>
    </row>
    <row r="486" spans="4:33">
      <c r="D486" s="66"/>
      <c r="G486" s="66"/>
      <c r="V486" s="66"/>
      <c r="W486" s="66"/>
      <c r="X486" s="66"/>
      <c r="AB486" s="66"/>
      <c r="AG486" s="66"/>
    </row>
    <row r="487" spans="4:33">
      <c r="D487" s="66"/>
      <c r="G487" s="66"/>
      <c r="V487" s="66"/>
      <c r="W487" s="66"/>
      <c r="X487" s="66"/>
      <c r="AB487" s="66"/>
      <c r="AG487" s="66"/>
    </row>
    <row r="488" spans="4:33">
      <c r="D488" s="66"/>
      <c r="G488" s="66"/>
      <c r="V488" s="66"/>
      <c r="W488" s="66"/>
      <c r="X488" s="66"/>
      <c r="AB488" s="66"/>
      <c r="AG488" s="66"/>
    </row>
    <row r="489" spans="4:33">
      <c r="D489" s="66"/>
      <c r="G489" s="66"/>
      <c r="V489" s="66"/>
      <c r="W489" s="66"/>
      <c r="X489" s="66"/>
      <c r="AB489" s="66"/>
      <c r="AG489" s="66"/>
    </row>
    <row r="490" spans="4:33">
      <c r="D490" s="66"/>
      <c r="G490" s="66"/>
      <c r="V490" s="66"/>
      <c r="W490" s="66"/>
      <c r="X490" s="66"/>
      <c r="AB490" s="66"/>
      <c r="AG490" s="66"/>
    </row>
    <row r="491" spans="4:33">
      <c r="D491" s="66"/>
      <c r="G491" s="66"/>
      <c r="V491" s="66"/>
      <c r="W491" s="66"/>
      <c r="X491" s="66"/>
      <c r="AB491" s="66"/>
      <c r="AG491" s="66"/>
    </row>
    <row r="492" spans="4:33">
      <c r="D492" s="66"/>
      <c r="G492" s="66"/>
      <c r="V492" s="66"/>
      <c r="W492" s="66"/>
      <c r="X492" s="66"/>
      <c r="AB492" s="66"/>
      <c r="AG492" s="66"/>
    </row>
    <row r="493" spans="4:33">
      <c r="D493" s="66"/>
      <c r="G493" s="66"/>
      <c r="V493" s="66"/>
      <c r="W493" s="66"/>
      <c r="X493" s="66"/>
      <c r="AB493" s="66"/>
      <c r="AG493" s="66"/>
    </row>
    <row r="494" spans="4:33">
      <c r="D494" s="66"/>
      <c r="G494" s="66"/>
      <c r="V494" s="66"/>
      <c r="W494" s="66"/>
      <c r="X494" s="66"/>
      <c r="AB494" s="66"/>
      <c r="AG494" s="66"/>
    </row>
    <row r="495" spans="4:33">
      <c r="D495" s="66"/>
      <c r="G495" s="66"/>
      <c r="V495" s="66"/>
      <c r="W495" s="66"/>
      <c r="X495" s="66"/>
      <c r="AB495" s="66"/>
      <c r="AG495" s="66"/>
    </row>
    <row r="496" spans="4:33">
      <c r="D496" s="66"/>
      <c r="G496" s="66"/>
      <c r="V496" s="66"/>
      <c r="W496" s="66"/>
      <c r="X496" s="66"/>
      <c r="AB496" s="66"/>
      <c r="AG496" s="66"/>
    </row>
    <row r="497" spans="4:33">
      <c r="D497" s="66"/>
      <c r="G497" s="66"/>
      <c r="V497" s="66"/>
      <c r="W497" s="66"/>
      <c r="X497" s="66"/>
      <c r="AB497" s="66"/>
      <c r="AG497" s="66"/>
    </row>
    <row r="498" spans="4:33">
      <c r="D498" s="66"/>
      <c r="G498" s="66"/>
      <c r="V498" s="66"/>
      <c r="W498" s="66"/>
      <c r="X498" s="66"/>
      <c r="AB498" s="66"/>
      <c r="AG498" s="66"/>
    </row>
    <row r="499" spans="4:33">
      <c r="D499" s="66"/>
      <c r="G499" s="66"/>
      <c r="V499" s="66"/>
      <c r="W499" s="66"/>
      <c r="X499" s="66"/>
      <c r="AB499" s="66"/>
      <c r="AG499" s="66"/>
    </row>
    <row r="500" spans="4:33">
      <c r="D500" s="66"/>
      <c r="G500" s="66"/>
      <c r="V500" s="66"/>
      <c r="W500" s="66"/>
      <c r="X500" s="66"/>
      <c r="AB500" s="66"/>
      <c r="AG500" s="66"/>
    </row>
    <row r="501" spans="4:33">
      <c r="D501" s="66"/>
      <c r="G501" s="66"/>
      <c r="V501" s="66"/>
      <c r="W501" s="66"/>
      <c r="X501" s="66"/>
      <c r="AB501" s="66"/>
      <c r="AG501" s="66"/>
    </row>
    <row r="502" spans="4:33">
      <c r="D502" s="66"/>
      <c r="G502" s="66"/>
      <c r="V502" s="66"/>
      <c r="W502" s="66"/>
      <c r="X502" s="66"/>
      <c r="AB502" s="66"/>
      <c r="AG502" s="66"/>
    </row>
    <row r="503" spans="4:33">
      <c r="D503" s="66"/>
      <c r="G503" s="66"/>
      <c r="V503" s="66"/>
      <c r="W503" s="66"/>
      <c r="X503" s="66"/>
      <c r="AB503" s="66"/>
      <c r="AG503" s="66"/>
    </row>
    <row r="504" spans="4:33">
      <c r="D504" s="66"/>
      <c r="G504" s="66"/>
      <c r="V504" s="66"/>
      <c r="W504" s="66"/>
      <c r="X504" s="66"/>
      <c r="AB504" s="66"/>
      <c r="AG504" s="66"/>
    </row>
    <row r="505" spans="4:33">
      <c r="D505" s="66"/>
      <c r="G505" s="66"/>
      <c r="V505" s="66"/>
      <c r="W505" s="66"/>
      <c r="X505" s="66"/>
      <c r="AB505" s="66"/>
      <c r="AG505" s="66"/>
    </row>
    <row r="506" spans="4:33">
      <c r="D506" s="66"/>
      <c r="G506" s="66"/>
      <c r="V506" s="66"/>
      <c r="W506" s="66"/>
      <c r="X506" s="66"/>
      <c r="AB506" s="66"/>
      <c r="AG506" s="66"/>
    </row>
    <row r="507" spans="4:33">
      <c r="D507" s="66"/>
      <c r="G507" s="66"/>
      <c r="V507" s="66"/>
      <c r="W507" s="66"/>
      <c r="X507" s="66"/>
      <c r="AB507" s="66"/>
      <c r="AG507" s="66"/>
    </row>
    <row r="508" spans="4:33">
      <c r="D508" s="66"/>
      <c r="G508" s="66"/>
      <c r="V508" s="66"/>
      <c r="W508" s="66"/>
      <c r="X508" s="66"/>
      <c r="AB508" s="66"/>
      <c r="AG508" s="66"/>
    </row>
    <row r="509" spans="4:33">
      <c r="D509" s="66"/>
      <c r="G509" s="66"/>
      <c r="V509" s="66"/>
      <c r="W509" s="66"/>
      <c r="X509" s="66"/>
      <c r="AB509" s="66"/>
      <c r="AG509" s="66"/>
    </row>
    <row r="510" spans="4:33">
      <c r="D510" s="66"/>
      <c r="G510" s="66"/>
      <c r="V510" s="66"/>
      <c r="W510" s="66"/>
      <c r="X510" s="66"/>
      <c r="AB510" s="66"/>
      <c r="AG510" s="66"/>
    </row>
    <row r="511" spans="4:33">
      <c r="D511" s="66"/>
      <c r="G511" s="66"/>
      <c r="V511" s="66"/>
      <c r="W511" s="66"/>
      <c r="X511" s="66"/>
      <c r="AB511" s="66"/>
      <c r="AG511" s="66"/>
    </row>
    <row r="512" spans="4:33">
      <c r="D512" s="66"/>
      <c r="G512" s="66"/>
      <c r="V512" s="66"/>
      <c r="W512" s="66"/>
      <c r="X512" s="66"/>
      <c r="AB512" s="66"/>
      <c r="AG512" s="66"/>
    </row>
    <row r="513" spans="4:33">
      <c r="D513" s="66"/>
      <c r="G513" s="66"/>
      <c r="V513" s="66"/>
      <c r="W513" s="66"/>
      <c r="X513" s="66"/>
      <c r="AB513" s="66"/>
      <c r="AG513" s="66"/>
    </row>
    <row r="514" spans="4:33">
      <c r="D514" s="66"/>
      <c r="G514" s="66"/>
      <c r="V514" s="66"/>
      <c r="W514" s="66"/>
      <c r="X514" s="66"/>
      <c r="AB514" s="66"/>
      <c r="AG514" s="66"/>
    </row>
    <row r="515" spans="4:33">
      <c r="D515" s="66"/>
      <c r="G515" s="66"/>
      <c r="V515" s="66"/>
      <c r="W515" s="66"/>
      <c r="X515" s="66"/>
      <c r="AB515" s="66"/>
      <c r="AG515" s="66"/>
    </row>
    <row r="516" spans="4:33">
      <c r="D516" s="66"/>
      <c r="G516" s="66"/>
      <c r="V516" s="66"/>
      <c r="W516" s="66"/>
      <c r="X516" s="66"/>
      <c r="AB516" s="66"/>
      <c r="AG516" s="66"/>
    </row>
    <row r="517" spans="4:33">
      <c r="D517" s="66"/>
      <c r="G517" s="66"/>
      <c r="V517" s="66"/>
      <c r="W517" s="66"/>
      <c r="X517" s="66"/>
      <c r="AB517" s="66"/>
      <c r="AG517" s="66"/>
    </row>
    <row r="518" spans="4:33">
      <c r="D518" s="66"/>
      <c r="G518" s="66"/>
      <c r="V518" s="66"/>
      <c r="W518" s="66"/>
      <c r="X518" s="66"/>
      <c r="AB518" s="66"/>
      <c r="AG518" s="66"/>
    </row>
    <row r="519" spans="4:33">
      <c r="D519" s="66"/>
      <c r="G519" s="66"/>
      <c r="V519" s="66"/>
      <c r="W519" s="66"/>
      <c r="X519" s="66"/>
      <c r="AB519" s="66"/>
      <c r="AG519" s="66"/>
    </row>
    <row r="520" spans="4:33">
      <c r="D520" s="66"/>
      <c r="G520" s="66"/>
      <c r="V520" s="66"/>
      <c r="W520" s="66"/>
      <c r="X520" s="66"/>
      <c r="AB520" s="66"/>
      <c r="AG520" s="66"/>
    </row>
    <row r="521" spans="4:33">
      <c r="D521" s="66"/>
      <c r="G521" s="66"/>
      <c r="V521" s="66"/>
      <c r="W521" s="66"/>
      <c r="X521" s="66"/>
      <c r="AB521" s="66"/>
      <c r="AG521" s="66"/>
    </row>
    <row r="522" spans="4:33">
      <c r="D522" s="66"/>
      <c r="G522" s="66"/>
      <c r="V522" s="66"/>
      <c r="W522" s="66"/>
      <c r="X522" s="66"/>
      <c r="AB522" s="66"/>
      <c r="AG522" s="66"/>
    </row>
    <row r="523" spans="4:33">
      <c r="D523" s="66"/>
      <c r="G523" s="66"/>
      <c r="V523" s="66"/>
      <c r="W523" s="66"/>
      <c r="X523" s="66"/>
      <c r="AB523" s="66"/>
      <c r="AG523" s="66"/>
    </row>
    <row r="524" spans="4:33">
      <c r="D524" s="66"/>
      <c r="G524" s="66"/>
      <c r="V524" s="66"/>
      <c r="W524" s="66"/>
      <c r="X524" s="66"/>
      <c r="AB524" s="66"/>
      <c r="AG524" s="66"/>
    </row>
    <row r="525" spans="4:33">
      <c r="D525" s="66"/>
      <c r="G525" s="66"/>
      <c r="V525" s="66"/>
      <c r="W525" s="66"/>
      <c r="X525" s="66"/>
      <c r="AB525" s="66"/>
      <c r="AG525" s="66"/>
    </row>
    <row r="526" spans="4:33">
      <c r="D526" s="66"/>
      <c r="G526" s="66"/>
      <c r="V526" s="66"/>
      <c r="W526" s="66"/>
      <c r="X526" s="66"/>
      <c r="AB526" s="66"/>
      <c r="AG526" s="66"/>
    </row>
    <row r="527" spans="4:33">
      <c r="D527" s="66"/>
      <c r="G527" s="66"/>
      <c r="V527" s="66"/>
      <c r="W527" s="66"/>
      <c r="X527" s="66"/>
      <c r="AB527" s="66"/>
      <c r="AG527" s="66"/>
    </row>
    <row r="528" spans="4:33">
      <c r="D528" s="66"/>
      <c r="G528" s="66"/>
      <c r="V528" s="66"/>
      <c r="W528" s="66"/>
      <c r="X528" s="66"/>
      <c r="AB528" s="66"/>
      <c r="AG528" s="66"/>
    </row>
    <row r="529" spans="4:33">
      <c r="D529" s="66"/>
      <c r="G529" s="66"/>
      <c r="V529" s="66"/>
      <c r="W529" s="66"/>
      <c r="X529" s="66"/>
      <c r="AB529" s="66"/>
      <c r="AG529" s="66"/>
    </row>
    <row r="530" spans="4:33">
      <c r="D530" s="66"/>
      <c r="G530" s="66"/>
      <c r="V530" s="66"/>
      <c r="W530" s="66"/>
      <c r="X530" s="66"/>
      <c r="AB530" s="66"/>
      <c r="AG530" s="66"/>
    </row>
    <row r="531" spans="4:33">
      <c r="D531" s="66"/>
      <c r="G531" s="66"/>
      <c r="V531" s="66"/>
      <c r="W531" s="66"/>
      <c r="X531" s="66"/>
      <c r="AB531" s="66"/>
      <c r="AG531" s="66"/>
    </row>
    <row r="532" spans="4:33">
      <c r="D532" s="66"/>
      <c r="G532" s="66"/>
      <c r="V532" s="66"/>
      <c r="W532" s="66"/>
      <c r="X532" s="66"/>
      <c r="AB532" s="66"/>
      <c r="AG532" s="66"/>
    </row>
    <row r="533" spans="4:33">
      <c r="D533" s="66"/>
      <c r="G533" s="66"/>
      <c r="V533" s="66"/>
      <c r="W533" s="66"/>
      <c r="X533" s="66"/>
      <c r="AB533" s="66"/>
      <c r="AG533" s="66"/>
    </row>
    <row r="534" spans="4:33">
      <c r="D534" s="66"/>
      <c r="G534" s="66"/>
      <c r="V534" s="66"/>
      <c r="W534" s="66"/>
      <c r="X534" s="66"/>
      <c r="AB534" s="66"/>
      <c r="AG534" s="66"/>
    </row>
    <row r="535" spans="4:33">
      <c r="D535" s="66"/>
      <c r="G535" s="66"/>
      <c r="V535" s="66"/>
      <c r="W535" s="66"/>
      <c r="X535" s="66"/>
      <c r="AB535" s="66"/>
      <c r="AG535" s="66"/>
    </row>
    <row r="536" spans="4:33">
      <c r="D536" s="66"/>
      <c r="G536" s="66"/>
      <c r="V536" s="66"/>
      <c r="W536" s="66"/>
      <c r="X536" s="66"/>
      <c r="AB536" s="66"/>
      <c r="AG536" s="66"/>
    </row>
    <row r="537" spans="4:33">
      <c r="D537" s="66"/>
      <c r="G537" s="66"/>
      <c r="V537" s="66"/>
      <c r="W537" s="66"/>
      <c r="X537" s="66"/>
      <c r="AB537" s="66"/>
      <c r="AG537" s="66"/>
    </row>
    <row r="538" spans="4:33">
      <c r="D538" s="66"/>
      <c r="G538" s="66"/>
      <c r="V538" s="66"/>
      <c r="W538" s="66"/>
      <c r="X538" s="66"/>
      <c r="AB538" s="66"/>
      <c r="AG538" s="66"/>
    </row>
    <row r="539" spans="4:33">
      <c r="D539" s="66"/>
      <c r="G539" s="66"/>
      <c r="V539" s="66"/>
      <c r="W539" s="66"/>
      <c r="X539" s="66"/>
      <c r="AB539" s="66"/>
      <c r="AG539" s="66"/>
    </row>
    <row r="540" spans="4:33">
      <c r="D540" s="66"/>
      <c r="G540" s="66"/>
      <c r="V540" s="66"/>
      <c r="W540" s="66"/>
      <c r="X540" s="66"/>
      <c r="AB540" s="66"/>
      <c r="AG540" s="66"/>
    </row>
    <row r="541" spans="4:33">
      <c r="D541" s="66"/>
      <c r="G541" s="66"/>
      <c r="V541" s="66"/>
      <c r="W541" s="66"/>
      <c r="X541" s="66"/>
      <c r="AB541" s="66"/>
      <c r="AG541" s="66"/>
    </row>
    <row r="542" spans="4:33">
      <c r="D542" s="66"/>
      <c r="G542" s="66"/>
      <c r="V542" s="66"/>
      <c r="W542" s="66"/>
      <c r="X542" s="66"/>
      <c r="AB542" s="66"/>
      <c r="AG542" s="66"/>
    </row>
    <row r="543" spans="4:33">
      <c r="D543" s="66"/>
      <c r="G543" s="66"/>
      <c r="V543" s="66"/>
      <c r="W543" s="66"/>
      <c r="X543" s="66"/>
      <c r="AB543" s="66"/>
      <c r="AG543" s="66"/>
    </row>
    <row r="544" spans="4:33">
      <c r="D544" s="66"/>
      <c r="G544" s="66"/>
      <c r="V544" s="66"/>
      <c r="W544" s="66"/>
      <c r="X544" s="66"/>
      <c r="AB544" s="66"/>
      <c r="AG544" s="66"/>
    </row>
    <row r="545" spans="4:33">
      <c r="D545" s="66"/>
      <c r="G545" s="66"/>
      <c r="V545" s="66"/>
      <c r="W545" s="66"/>
      <c r="X545" s="66"/>
      <c r="AB545" s="66"/>
      <c r="AG545" s="66"/>
    </row>
    <row r="546" spans="4:33">
      <c r="D546" s="66"/>
      <c r="G546" s="66"/>
      <c r="V546" s="66"/>
      <c r="W546" s="66"/>
      <c r="X546" s="66"/>
      <c r="AB546" s="66"/>
      <c r="AG546" s="66"/>
    </row>
    <row r="547" spans="4:33">
      <c r="D547" s="66"/>
      <c r="G547" s="66"/>
      <c r="V547" s="66"/>
      <c r="W547" s="66"/>
      <c r="X547" s="66"/>
      <c r="AB547" s="66"/>
      <c r="AG547" s="66"/>
    </row>
    <row r="548" spans="4:33">
      <c r="D548" s="66"/>
      <c r="G548" s="66"/>
      <c r="V548" s="66"/>
      <c r="W548" s="66"/>
      <c r="X548" s="66"/>
      <c r="AB548" s="66"/>
      <c r="AG548" s="66"/>
    </row>
    <row r="549" spans="4:33">
      <c r="D549" s="66"/>
      <c r="G549" s="66"/>
      <c r="V549" s="66"/>
      <c r="W549" s="66"/>
      <c r="X549" s="66"/>
      <c r="AB549" s="66"/>
      <c r="AG549" s="66"/>
    </row>
    <row r="550" spans="4:33">
      <c r="D550" s="66"/>
      <c r="G550" s="66"/>
      <c r="V550" s="66"/>
      <c r="W550" s="66"/>
      <c r="X550" s="66"/>
      <c r="AB550" s="66"/>
      <c r="AG550" s="66"/>
    </row>
    <row r="551" spans="4:33">
      <c r="D551" s="66"/>
      <c r="G551" s="66"/>
      <c r="V551" s="66"/>
      <c r="W551" s="66"/>
      <c r="X551" s="66"/>
      <c r="AB551" s="66"/>
      <c r="AG551" s="66"/>
    </row>
    <row r="552" spans="4:33">
      <c r="D552" s="66"/>
      <c r="G552" s="66"/>
      <c r="V552" s="66"/>
      <c r="W552" s="66"/>
      <c r="X552" s="66"/>
      <c r="AB552" s="66"/>
      <c r="AG552" s="66"/>
    </row>
    <row r="553" spans="4:33">
      <c r="D553" s="66"/>
      <c r="G553" s="66"/>
      <c r="V553" s="66"/>
      <c r="W553" s="66"/>
      <c r="X553" s="66"/>
      <c r="AB553" s="66"/>
      <c r="AG553" s="66"/>
    </row>
    <row r="554" spans="4:33">
      <c r="D554" s="66"/>
      <c r="G554" s="66"/>
      <c r="V554" s="66"/>
      <c r="W554" s="66"/>
      <c r="X554" s="66"/>
      <c r="AB554" s="66"/>
      <c r="AG554" s="66"/>
    </row>
    <row r="555" spans="4:33">
      <c r="D555" s="66"/>
      <c r="G555" s="66"/>
      <c r="V555" s="66"/>
      <c r="W555" s="66"/>
      <c r="X555" s="66"/>
      <c r="AB555" s="66"/>
      <c r="AG555" s="66"/>
    </row>
    <row r="556" spans="4:33">
      <c r="D556" s="66"/>
      <c r="G556" s="66"/>
      <c r="V556" s="66"/>
      <c r="W556" s="66"/>
      <c r="X556" s="66"/>
      <c r="AB556" s="66"/>
      <c r="AG556" s="66"/>
    </row>
    <row r="557" spans="4:33">
      <c r="D557" s="66"/>
      <c r="G557" s="66"/>
      <c r="V557" s="66"/>
      <c r="W557" s="66"/>
      <c r="X557" s="66"/>
      <c r="AB557" s="66"/>
      <c r="AG557" s="66"/>
    </row>
    <row r="558" spans="4:33">
      <c r="D558" s="66"/>
      <c r="G558" s="66"/>
      <c r="V558" s="66"/>
      <c r="W558" s="66"/>
      <c r="X558" s="66"/>
      <c r="AB558" s="66"/>
      <c r="AG558" s="66"/>
    </row>
    <row r="559" spans="4:33">
      <c r="D559" s="66"/>
      <c r="G559" s="66"/>
      <c r="V559" s="66"/>
      <c r="W559" s="66"/>
      <c r="X559" s="66"/>
      <c r="AB559" s="66"/>
      <c r="AG559" s="66"/>
    </row>
    <row r="560" spans="4:33">
      <c r="D560" s="66"/>
      <c r="G560" s="66"/>
      <c r="V560" s="66"/>
      <c r="W560" s="66"/>
      <c r="X560" s="66"/>
      <c r="AB560" s="66"/>
      <c r="AG560" s="66"/>
    </row>
    <row r="561" spans="4:33">
      <c r="D561" s="66"/>
      <c r="G561" s="66"/>
      <c r="V561" s="66"/>
      <c r="W561" s="66"/>
      <c r="X561" s="66"/>
      <c r="AB561" s="66"/>
      <c r="AG561" s="66"/>
    </row>
    <row r="562" spans="4:33">
      <c r="D562" s="66"/>
      <c r="G562" s="66"/>
      <c r="V562" s="66"/>
      <c r="W562" s="66"/>
      <c r="X562" s="66"/>
      <c r="AB562" s="66"/>
      <c r="AG562" s="66"/>
    </row>
    <row r="563" spans="4:33">
      <c r="D563" s="66"/>
      <c r="G563" s="66"/>
      <c r="V563" s="66"/>
      <c r="W563" s="66"/>
      <c r="X563" s="66"/>
      <c r="AB563" s="66"/>
      <c r="AG563" s="66"/>
    </row>
    <row r="564" spans="4:33">
      <c r="D564" s="66"/>
      <c r="G564" s="66"/>
      <c r="V564" s="66"/>
      <c r="W564" s="66"/>
      <c r="X564" s="66"/>
      <c r="AB564" s="66"/>
      <c r="AG564" s="66"/>
    </row>
    <row r="565" spans="4:33">
      <c r="D565" s="66"/>
      <c r="G565" s="66"/>
      <c r="V565" s="66"/>
      <c r="W565" s="66"/>
      <c r="X565" s="66"/>
      <c r="AB565" s="66"/>
      <c r="AG565" s="66"/>
    </row>
    <row r="566" spans="4:33">
      <c r="D566" s="66"/>
      <c r="G566" s="66"/>
      <c r="V566" s="66"/>
      <c r="W566" s="66"/>
      <c r="X566" s="66"/>
      <c r="AB566" s="66"/>
      <c r="AG566" s="66"/>
    </row>
    <row r="567" spans="4:33">
      <c r="D567" s="66"/>
      <c r="G567" s="66"/>
      <c r="V567" s="66"/>
      <c r="W567" s="66"/>
      <c r="X567" s="66"/>
      <c r="AB567" s="66"/>
      <c r="AG567" s="66"/>
    </row>
    <row r="568" spans="4:33">
      <c r="D568" s="66"/>
      <c r="G568" s="66"/>
      <c r="V568" s="66"/>
      <c r="W568" s="66"/>
      <c r="X568" s="66"/>
      <c r="AB568" s="66"/>
      <c r="AG568" s="66"/>
    </row>
    <row r="569" spans="4:33">
      <c r="D569" s="66"/>
      <c r="G569" s="66"/>
      <c r="V569" s="66"/>
      <c r="W569" s="66"/>
      <c r="X569" s="66"/>
      <c r="AB569" s="66"/>
      <c r="AG569" s="66"/>
    </row>
    <row r="570" spans="4:33">
      <c r="D570" s="66"/>
      <c r="G570" s="66"/>
      <c r="V570" s="66"/>
      <c r="W570" s="66"/>
      <c r="X570" s="66"/>
      <c r="AB570" s="66"/>
      <c r="AG570" s="66"/>
    </row>
    <row r="571" spans="4:33">
      <c r="D571" s="66"/>
      <c r="G571" s="66"/>
      <c r="V571" s="66"/>
      <c r="W571" s="66"/>
      <c r="X571" s="66"/>
      <c r="AB571" s="66"/>
      <c r="AG571" s="66"/>
    </row>
    <row r="572" spans="4:33">
      <c r="D572" s="66"/>
      <c r="G572" s="66"/>
      <c r="V572" s="66"/>
      <c r="W572" s="66"/>
      <c r="X572" s="66"/>
      <c r="AB572" s="66"/>
      <c r="AG572" s="66"/>
    </row>
    <row r="573" spans="4:33">
      <c r="D573" s="66"/>
      <c r="G573" s="66"/>
      <c r="V573" s="66"/>
      <c r="W573" s="66"/>
      <c r="X573" s="66"/>
      <c r="AB573" s="66"/>
      <c r="AG573" s="66"/>
    </row>
    <row r="574" spans="4:33">
      <c r="D574" s="66"/>
      <c r="G574" s="66"/>
      <c r="V574" s="66"/>
      <c r="W574" s="66"/>
      <c r="X574" s="66"/>
      <c r="AB574" s="66"/>
      <c r="AG574" s="66"/>
    </row>
    <row r="575" spans="4:33">
      <c r="D575" s="66"/>
      <c r="G575" s="66"/>
      <c r="V575" s="66"/>
      <c r="W575" s="66"/>
      <c r="X575" s="66"/>
      <c r="AB575" s="66"/>
      <c r="AG575" s="66"/>
    </row>
    <row r="576" spans="4:33">
      <c r="D576" s="66"/>
      <c r="G576" s="66"/>
      <c r="V576" s="66"/>
      <c r="W576" s="66"/>
      <c r="X576" s="66"/>
      <c r="AB576" s="66"/>
      <c r="AG576" s="66"/>
    </row>
    <row r="577" spans="4:33">
      <c r="D577" s="66"/>
      <c r="G577" s="66"/>
      <c r="V577" s="66"/>
      <c r="W577" s="66"/>
      <c r="X577" s="66"/>
      <c r="AB577" s="66"/>
      <c r="AG577" s="66"/>
    </row>
    <row r="578" spans="4:33">
      <c r="D578" s="66"/>
      <c r="G578" s="66"/>
      <c r="V578" s="66"/>
      <c r="W578" s="66"/>
      <c r="X578" s="66"/>
      <c r="AB578" s="66"/>
      <c r="AG578" s="66"/>
    </row>
    <row r="579" spans="4:33">
      <c r="D579" s="66"/>
      <c r="G579" s="66"/>
      <c r="V579" s="66"/>
      <c r="W579" s="66"/>
      <c r="X579" s="66"/>
      <c r="AB579" s="66"/>
      <c r="AG579" s="66"/>
    </row>
    <row r="580" spans="4:33">
      <c r="D580" s="66"/>
      <c r="G580" s="66"/>
      <c r="V580" s="66"/>
      <c r="W580" s="66"/>
      <c r="X580" s="66"/>
      <c r="AB580" s="66"/>
      <c r="AG580" s="66"/>
    </row>
    <row r="581" spans="4:33">
      <c r="D581" s="66"/>
      <c r="G581" s="66"/>
      <c r="V581" s="66"/>
      <c r="W581" s="66"/>
      <c r="X581" s="66"/>
      <c r="AB581" s="66"/>
      <c r="AG581" s="66"/>
    </row>
    <row r="582" spans="4:33">
      <c r="D582" s="66"/>
      <c r="G582" s="66"/>
      <c r="V582" s="66"/>
      <c r="W582" s="66"/>
      <c r="X582" s="66"/>
      <c r="AB582" s="66"/>
      <c r="AG582" s="66"/>
    </row>
    <row r="583" spans="4:33">
      <c r="D583" s="66"/>
      <c r="G583" s="66"/>
      <c r="V583" s="66"/>
      <c r="W583" s="66"/>
      <c r="X583" s="66"/>
      <c r="AB583" s="66"/>
      <c r="AG583" s="66"/>
    </row>
    <row r="584" spans="4:33">
      <c r="D584" s="66"/>
      <c r="G584" s="66"/>
      <c r="V584" s="66"/>
      <c r="W584" s="66"/>
      <c r="X584" s="66"/>
      <c r="AB584" s="66"/>
      <c r="AG584" s="66"/>
    </row>
    <row r="585" spans="4:33">
      <c r="D585" s="66"/>
      <c r="G585" s="66"/>
      <c r="V585" s="66"/>
      <c r="W585" s="66"/>
      <c r="X585" s="66"/>
      <c r="AB585" s="66"/>
      <c r="AG585" s="66"/>
    </row>
    <row r="586" spans="4:33">
      <c r="D586" s="66"/>
      <c r="G586" s="66"/>
      <c r="V586" s="66"/>
      <c r="W586" s="66"/>
      <c r="X586" s="66"/>
      <c r="AB586" s="66"/>
      <c r="AG586" s="66"/>
    </row>
    <row r="587" spans="4:33">
      <c r="D587" s="66"/>
      <c r="G587" s="66"/>
      <c r="V587" s="66"/>
      <c r="W587" s="66"/>
      <c r="X587" s="66"/>
      <c r="AB587" s="66"/>
      <c r="AG587" s="66"/>
    </row>
    <row r="588" spans="4:33">
      <c r="D588" s="66"/>
      <c r="G588" s="66"/>
      <c r="V588" s="66"/>
      <c r="W588" s="66"/>
      <c r="X588" s="66"/>
      <c r="AB588" s="66"/>
      <c r="AG588" s="66"/>
    </row>
    <row r="589" spans="4:33">
      <c r="D589" s="66"/>
      <c r="G589" s="66"/>
      <c r="V589" s="66"/>
      <c r="W589" s="66"/>
      <c r="X589" s="66"/>
      <c r="AB589" s="66"/>
      <c r="AG589" s="66"/>
    </row>
    <row r="590" spans="4:33">
      <c r="D590" s="66"/>
      <c r="G590" s="66"/>
      <c r="V590" s="66"/>
      <c r="W590" s="66"/>
      <c r="X590" s="66"/>
      <c r="AB590" s="66"/>
      <c r="AG590" s="66"/>
    </row>
    <row r="591" spans="4:33">
      <c r="D591" s="66"/>
      <c r="G591" s="66"/>
      <c r="V591" s="66"/>
      <c r="W591" s="66"/>
      <c r="X591" s="66"/>
      <c r="AB591" s="66"/>
      <c r="AG591" s="66"/>
    </row>
    <row r="592" spans="4:33">
      <c r="D592" s="66"/>
      <c r="G592" s="66"/>
      <c r="V592" s="66"/>
      <c r="W592" s="66"/>
      <c r="X592" s="66"/>
      <c r="AB592" s="66"/>
      <c r="AG592" s="66"/>
    </row>
    <row r="593" spans="4:33">
      <c r="D593" s="66"/>
      <c r="G593" s="66"/>
      <c r="V593" s="66"/>
      <c r="W593" s="66"/>
      <c r="X593" s="66"/>
      <c r="AB593" s="66"/>
      <c r="AG593" s="66"/>
    </row>
    <row r="594" spans="4:33">
      <c r="D594" s="66"/>
      <c r="G594" s="66"/>
      <c r="V594" s="66"/>
      <c r="W594" s="66"/>
      <c r="X594" s="66"/>
      <c r="AB594" s="66"/>
      <c r="AG594" s="66"/>
    </row>
    <row r="595" spans="4:33">
      <c r="D595" s="66"/>
      <c r="G595" s="66"/>
      <c r="V595" s="66"/>
      <c r="W595" s="66"/>
      <c r="X595" s="66"/>
      <c r="AB595" s="66"/>
      <c r="AG595" s="66"/>
    </row>
    <row r="596" spans="4:33">
      <c r="D596" s="66"/>
      <c r="G596" s="66"/>
      <c r="V596" s="66"/>
      <c r="W596" s="66"/>
      <c r="X596" s="66"/>
      <c r="AB596" s="66"/>
      <c r="AG596" s="66"/>
    </row>
    <row r="597" spans="4:33">
      <c r="D597" s="66"/>
      <c r="G597" s="66"/>
      <c r="V597" s="66"/>
      <c r="W597" s="66"/>
      <c r="X597" s="66"/>
      <c r="AB597" s="66"/>
      <c r="AG597" s="66"/>
    </row>
    <row r="598" spans="4:33">
      <c r="D598" s="66"/>
      <c r="G598" s="66"/>
      <c r="V598" s="66"/>
      <c r="W598" s="66"/>
      <c r="X598" s="66"/>
      <c r="AB598" s="66"/>
      <c r="AG598" s="66"/>
    </row>
    <row r="599" spans="4:33">
      <c r="D599" s="66"/>
      <c r="G599" s="66"/>
      <c r="V599" s="66"/>
      <c r="W599" s="66"/>
      <c r="X599" s="66"/>
      <c r="AB599" s="66"/>
      <c r="AG599" s="66"/>
    </row>
    <row r="600" spans="4:33">
      <c r="D600" s="66"/>
      <c r="G600" s="66"/>
      <c r="V600" s="66"/>
      <c r="W600" s="66"/>
      <c r="X600" s="66"/>
      <c r="AB600" s="66"/>
      <c r="AG600" s="66"/>
    </row>
    <row r="601" spans="4:33">
      <c r="D601" s="66"/>
      <c r="G601" s="66"/>
      <c r="V601" s="66"/>
      <c r="W601" s="66"/>
      <c r="X601" s="66"/>
      <c r="AB601" s="66"/>
      <c r="AG601" s="66"/>
    </row>
    <row r="602" spans="4:33">
      <c r="D602" s="66"/>
      <c r="G602" s="66"/>
      <c r="V602" s="66"/>
      <c r="W602" s="66"/>
      <c r="X602" s="66"/>
      <c r="AB602" s="66"/>
      <c r="AG602" s="66"/>
    </row>
    <row r="603" spans="4:33">
      <c r="D603" s="66"/>
      <c r="G603" s="66"/>
      <c r="V603" s="66"/>
      <c r="W603" s="66"/>
      <c r="X603" s="66"/>
      <c r="AB603" s="66"/>
      <c r="AG603" s="66"/>
    </row>
    <row r="604" spans="4:33">
      <c r="D604" s="66"/>
      <c r="G604" s="66"/>
      <c r="V604" s="66"/>
      <c r="W604" s="66"/>
      <c r="X604" s="66"/>
      <c r="AB604" s="66"/>
      <c r="AG604" s="66"/>
    </row>
    <row r="605" spans="4:33">
      <c r="D605" s="66"/>
      <c r="G605" s="66"/>
      <c r="V605" s="66"/>
      <c r="W605" s="66"/>
      <c r="X605" s="66"/>
      <c r="AB605" s="66"/>
      <c r="AG605" s="66"/>
    </row>
    <row r="606" spans="4:33">
      <c r="D606" s="66"/>
      <c r="G606" s="66"/>
      <c r="V606" s="66"/>
      <c r="W606" s="66"/>
      <c r="X606" s="66"/>
      <c r="AB606" s="66"/>
      <c r="AG606" s="66"/>
    </row>
    <row r="607" spans="4:33">
      <c r="D607" s="66"/>
      <c r="G607" s="66"/>
      <c r="V607" s="66"/>
      <c r="W607" s="66"/>
      <c r="X607" s="66"/>
      <c r="AB607" s="66"/>
      <c r="AG607" s="66"/>
    </row>
    <row r="608" spans="4:33">
      <c r="D608" s="66"/>
      <c r="G608" s="66"/>
      <c r="V608" s="66"/>
      <c r="W608" s="66"/>
      <c r="X608" s="66"/>
      <c r="AB608" s="66"/>
      <c r="AG608" s="66"/>
    </row>
    <row r="609" spans="4:33">
      <c r="D609" s="66"/>
      <c r="G609" s="66"/>
      <c r="V609" s="66"/>
      <c r="W609" s="66"/>
      <c r="X609" s="66"/>
      <c r="AB609" s="66"/>
      <c r="AG609" s="66"/>
    </row>
    <row r="610" spans="4:33">
      <c r="D610" s="66"/>
      <c r="G610" s="66"/>
      <c r="V610" s="66"/>
      <c r="W610" s="66"/>
      <c r="X610" s="66"/>
      <c r="AB610" s="66"/>
      <c r="AG610" s="66"/>
    </row>
    <row r="611" spans="4:33">
      <c r="D611" s="66"/>
      <c r="G611" s="66"/>
      <c r="V611" s="66"/>
      <c r="W611" s="66"/>
      <c r="X611" s="66"/>
      <c r="AB611" s="66"/>
      <c r="AG611" s="66"/>
    </row>
    <row r="612" spans="4:33">
      <c r="D612" s="66"/>
      <c r="G612" s="66"/>
      <c r="V612" s="66"/>
      <c r="W612" s="66"/>
      <c r="X612" s="66"/>
      <c r="AB612" s="66"/>
      <c r="AG612" s="66"/>
    </row>
    <row r="613" spans="4:33">
      <c r="D613" s="66"/>
      <c r="G613" s="66"/>
      <c r="V613" s="66"/>
      <c r="W613" s="66"/>
      <c r="X613" s="66"/>
      <c r="AB613" s="66"/>
      <c r="AG613" s="66"/>
    </row>
    <row r="614" spans="4:33">
      <c r="D614" s="66"/>
      <c r="G614" s="66"/>
      <c r="V614" s="66"/>
      <c r="W614" s="66"/>
      <c r="X614" s="66"/>
      <c r="AB614" s="66"/>
      <c r="AG614" s="66"/>
    </row>
    <row r="615" spans="4:33">
      <c r="D615" s="66"/>
      <c r="G615" s="66"/>
      <c r="V615" s="66"/>
      <c r="W615" s="66"/>
      <c r="X615" s="66"/>
      <c r="AB615" s="66"/>
      <c r="AG615" s="66"/>
    </row>
    <row r="616" spans="4:33">
      <c r="D616" s="66"/>
      <c r="G616" s="66"/>
      <c r="V616" s="66"/>
      <c r="W616" s="66"/>
      <c r="X616" s="66"/>
      <c r="AB616" s="66"/>
      <c r="AG616" s="66"/>
    </row>
    <row r="617" spans="4:33">
      <c r="D617" s="66"/>
      <c r="G617" s="66"/>
      <c r="V617" s="66"/>
      <c r="W617" s="66"/>
      <c r="X617" s="66"/>
      <c r="AB617" s="66"/>
      <c r="AG617" s="66"/>
    </row>
    <row r="618" spans="4:33">
      <c r="D618" s="66"/>
      <c r="G618" s="66"/>
      <c r="V618" s="66"/>
      <c r="W618" s="66"/>
      <c r="X618" s="66"/>
      <c r="AB618" s="66"/>
      <c r="AG618" s="66"/>
    </row>
    <row r="619" spans="4:33">
      <c r="D619" s="66"/>
      <c r="G619" s="66"/>
      <c r="V619" s="66"/>
      <c r="W619" s="66"/>
      <c r="X619" s="66"/>
      <c r="AB619" s="66"/>
      <c r="AG619" s="66"/>
    </row>
    <row r="620" spans="4:33">
      <c r="D620" s="66"/>
      <c r="G620" s="66"/>
      <c r="V620" s="66"/>
      <c r="W620" s="66"/>
      <c r="X620" s="66"/>
      <c r="AB620" s="66"/>
      <c r="AG620" s="66"/>
    </row>
    <row r="621" spans="4:33">
      <c r="D621" s="66"/>
      <c r="G621" s="66"/>
      <c r="V621" s="66"/>
      <c r="W621" s="66"/>
      <c r="X621" s="66"/>
      <c r="AB621" s="66"/>
      <c r="AG621" s="66"/>
    </row>
    <row r="622" spans="4:33">
      <c r="D622" s="66"/>
      <c r="G622" s="66"/>
      <c r="V622" s="66"/>
      <c r="W622" s="66"/>
      <c r="X622" s="66"/>
      <c r="AB622" s="66"/>
      <c r="AG622" s="66"/>
    </row>
    <row r="623" spans="4:33">
      <c r="D623" s="66"/>
      <c r="G623" s="66"/>
      <c r="V623" s="66"/>
      <c r="W623" s="66"/>
      <c r="X623" s="66"/>
      <c r="AB623" s="66"/>
      <c r="AG623" s="66"/>
    </row>
    <row r="624" spans="4:33">
      <c r="D624" s="66"/>
      <c r="G624" s="66"/>
      <c r="V624" s="66"/>
      <c r="W624" s="66"/>
      <c r="X624" s="66"/>
      <c r="AB624" s="66"/>
      <c r="AG624" s="66"/>
    </row>
    <row r="625" spans="4:33">
      <c r="D625" s="66"/>
      <c r="G625" s="66"/>
      <c r="V625" s="66"/>
      <c r="W625" s="66"/>
      <c r="X625" s="66"/>
      <c r="AB625" s="66"/>
      <c r="AG625" s="66"/>
    </row>
    <row r="626" spans="4:33">
      <c r="D626" s="66"/>
      <c r="G626" s="66"/>
      <c r="V626" s="66"/>
      <c r="W626" s="66"/>
      <c r="X626" s="66"/>
      <c r="AB626" s="66"/>
      <c r="AG626" s="66"/>
    </row>
    <row r="627" spans="4:33">
      <c r="D627" s="66"/>
      <c r="G627" s="66"/>
      <c r="V627" s="66"/>
      <c r="W627" s="66"/>
      <c r="X627" s="66"/>
      <c r="AB627" s="66"/>
      <c r="AG627" s="66"/>
    </row>
    <row r="628" spans="4:33">
      <c r="D628" s="66"/>
      <c r="G628" s="66"/>
      <c r="V628" s="66"/>
      <c r="W628" s="66"/>
      <c r="X628" s="66"/>
      <c r="AB628" s="66"/>
      <c r="AG628" s="66"/>
    </row>
    <row r="629" spans="4:33">
      <c r="D629" s="66"/>
      <c r="G629" s="66"/>
      <c r="V629" s="66"/>
      <c r="W629" s="66"/>
      <c r="X629" s="66"/>
      <c r="AB629" s="66"/>
      <c r="AG629" s="66"/>
    </row>
    <row r="630" spans="4:33">
      <c r="D630" s="66"/>
      <c r="G630" s="66"/>
      <c r="V630" s="66"/>
      <c r="W630" s="66"/>
      <c r="X630" s="66"/>
      <c r="AB630" s="66"/>
      <c r="AG630" s="66"/>
    </row>
    <row r="631" spans="4:33">
      <c r="D631" s="66"/>
      <c r="G631" s="66"/>
      <c r="V631" s="66"/>
      <c r="W631" s="66"/>
      <c r="X631" s="66"/>
      <c r="AB631" s="66"/>
      <c r="AG631" s="66"/>
    </row>
    <row r="632" spans="4:33">
      <c r="D632" s="66"/>
      <c r="G632" s="66"/>
      <c r="V632" s="66"/>
      <c r="W632" s="66"/>
      <c r="X632" s="66"/>
      <c r="AB632" s="66"/>
      <c r="AG632" s="66"/>
    </row>
    <row r="633" spans="4:33">
      <c r="D633" s="66"/>
      <c r="G633" s="66"/>
      <c r="V633" s="66"/>
      <c r="W633" s="66"/>
      <c r="X633" s="66"/>
      <c r="AB633" s="66"/>
      <c r="AG633" s="66"/>
    </row>
    <row r="634" spans="4:33">
      <c r="D634" s="66"/>
      <c r="G634" s="66"/>
      <c r="V634" s="66"/>
      <c r="W634" s="66"/>
      <c r="X634" s="66"/>
      <c r="AB634" s="66"/>
      <c r="AG634" s="66"/>
    </row>
    <row r="635" spans="4:33">
      <c r="D635" s="66"/>
      <c r="G635" s="66"/>
      <c r="V635" s="66"/>
      <c r="W635" s="66"/>
      <c r="X635" s="66"/>
      <c r="AB635" s="66"/>
      <c r="AG635" s="66"/>
    </row>
    <row r="636" spans="4:33">
      <c r="D636" s="66"/>
      <c r="G636" s="66"/>
      <c r="V636" s="66"/>
      <c r="W636" s="66"/>
      <c r="X636" s="66"/>
      <c r="AB636" s="66"/>
      <c r="AG636" s="66"/>
    </row>
    <row r="637" spans="4:33">
      <c r="D637" s="66"/>
      <c r="G637" s="66"/>
      <c r="V637" s="66"/>
      <c r="W637" s="66"/>
      <c r="X637" s="66"/>
      <c r="AB637" s="66"/>
      <c r="AG637" s="66"/>
    </row>
    <row r="638" spans="4:33">
      <c r="D638" s="66"/>
      <c r="G638" s="66"/>
      <c r="V638" s="66"/>
      <c r="W638" s="66"/>
      <c r="X638" s="66"/>
      <c r="AB638" s="66"/>
      <c r="AG638" s="66"/>
    </row>
    <row r="639" spans="4:33">
      <c r="D639" s="66"/>
      <c r="G639" s="66"/>
      <c r="V639" s="66"/>
      <c r="W639" s="66"/>
      <c r="X639" s="66"/>
      <c r="AB639" s="66"/>
      <c r="AG639" s="66"/>
    </row>
    <row r="640" spans="4:33">
      <c r="D640" s="66"/>
      <c r="G640" s="66"/>
      <c r="V640" s="66"/>
      <c r="W640" s="66"/>
      <c r="X640" s="66"/>
      <c r="AB640" s="66"/>
      <c r="AG640" s="66"/>
    </row>
    <row r="641" spans="4:33">
      <c r="D641" s="66"/>
      <c r="G641" s="66"/>
      <c r="V641" s="66"/>
      <c r="W641" s="66"/>
      <c r="X641" s="66"/>
      <c r="AB641" s="66"/>
      <c r="AG641" s="66"/>
    </row>
    <row r="642" spans="4:33">
      <c r="D642" s="66"/>
      <c r="G642" s="66"/>
      <c r="V642" s="66"/>
      <c r="W642" s="66"/>
      <c r="X642" s="66"/>
      <c r="AB642" s="66"/>
      <c r="AG642" s="66"/>
    </row>
    <row r="643" spans="4:33">
      <c r="D643" s="66"/>
      <c r="G643" s="66"/>
      <c r="V643" s="66"/>
      <c r="W643" s="66"/>
      <c r="X643" s="66"/>
      <c r="AB643" s="66"/>
      <c r="AG643" s="66"/>
    </row>
    <row r="644" spans="4:33">
      <c r="D644" s="66"/>
      <c r="G644" s="66"/>
      <c r="V644" s="66"/>
      <c r="W644" s="66"/>
      <c r="X644" s="66"/>
      <c r="AB644" s="66"/>
      <c r="AG644" s="66"/>
    </row>
    <row r="645" spans="4:33">
      <c r="D645" s="66"/>
      <c r="G645" s="66"/>
      <c r="V645" s="66"/>
      <c r="W645" s="66"/>
      <c r="X645" s="66"/>
      <c r="AB645" s="66"/>
      <c r="AG645" s="66"/>
    </row>
    <row r="646" spans="4:33">
      <c r="D646" s="66"/>
      <c r="G646" s="66"/>
      <c r="V646" s="66"/>
      <c r="W646" s="66"/>
      <c r="X646" s="66"/>
      <c r="AB646" s="66"/>
      <c r="AG646" s="66"/>
    </row>
    <row r="647" spans="4:33">
      <c r="D647" s="66"/>
      <c r="G647" s="66"/>
      <c r="V647" s="66"/>
      <c r="W647" s="66"/>
      <c r="X647" s="66"/>
      <c r="AB647" s="66"/>
      <c r="AG647" s="66"/>
    </row>
    <row r="648" spans="4:33">
      <c r="D648" s="66"/>
      <c r="G648" s="66"/>
      <c r="V648" s="66"/>
      <c r="W648" s="66"/>
      <c r="X648" s="66"/>
      <c r="AB648" s="66"/>
      <c r="AG648" s="66"/>
    </row>
    <row r="649" spans="4:33">
      <c r="D649" s="66"/>
      <c r="G649" s="66"/>
      <c r="V649" s="66"/>
      <c r="W649" s="66"/>
      <c r="X649" s="66"/>
      <c r="AB649" s="66"/>
      <c r="AG649" s="66"/>
    </row>
    <row r="650" spans="4:33">
      <c r="D650" s="66"/>
      <c r="G650" s="66"/>
      <c r="V650" s="66"/>
      <c r="W650" s="66"/>
      <c r="X650" s="66"/>
      <c r="AB650" s="66"/>
      <c r="AG650" s="66"/>
    </row>
    <row r="651" spans="4:33">
      <c r="D651" s="66"/>
      <c r="G651" s="66"/>
      <c r="V651" s="66"/>
      <c r="W651" s="66"/>
      <c r="X651" s="66"/>
      <c r="AB651" s="66"/>
      <c r="AG651" s="66"/>
    </row>
    <row r="652" spans="4:33">
      <c r="D652" s="66"/>
      <c r="G652" s="66"/>
      <c r="V652" s="66"/>
      <c r="W652" s="66"/>
      <c r="X652" s="66"/>
      <c r="AB652" s="66"/>
      <c r="AG652" s="66"/>
    </row>
    <row r="653" spans="4:33">
      <c r="D653" s="66"/>
      <c r="G653" s="66"/>
      <c r="V653" s="66"/>
      <c r="W653" s="66"/>
      <c r="X653" s="66"/>
      <c r="AB653" s="66"/>
      <c r="AG653" s="66"/>
    </row>
    <row r="654" spans="4:33">
      <c r="D654" s="66"/>
      <c r="G654" s="66"/>
      <c r="V654" s="66"/>
      <c r="W654" s="66"/>
      <c r="X654" s="66"/>
      <c r="AB654" s="66"/>
      <c r="AG654" s="66"/>
    </row>
  </sheetData>
  <sortState ref="A2:AC654">
    <sortCondition ref="F1:F1048576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 tint="0.79998168889431442"/>
  </sheetPr>
  <dimension ref="A1:AG764"/>
  <sheetViews>
    <sheetView workbookViewId="0">
      <selection activeCell="A2" sqref="A2"/>
    </sheetView>
  </sheetViews>
  <sheetFormatPr defaultColWidth="11.42578125" defaultRowHeight="15"/>
  <cols>
    <col min="1" max="11" width="11.42578125" style="90"/>
    <col min="12" max="12" width="9.42578125" style="90" bestFit="1" customWidth="1"/>
    <col min="13" max="16384" width="11.42578125" style="90"/>
  </cols>
  <sheetData>
    <row r="1" spans="1:33" s="89" customFormat="1" ht="90">
      <c r="A1" s="87" t="s">
        <v>52</v>
      </c>
      <c r="B1" s="87" t="s">
        <v>53</v>
      </c>
      <c r="C1" s="87" t="s">
        <v>54</v>
      </c>
      <c r="D1" s="87" t="s">
        <v>55</v>
      </c>
      <c r="E1" s="87" t="s">
        <v>56</v>
      </c>
      <c r="F1" s="87" t="s">
        <v>57</v>
      </c>
      <c r="G1" s="87" t="s">
        <v>58</v>
      </c>
      <c r="H1" s="87" t="s">
        <v>59</v>
      </c>
      <c r="I1" s="87" t="s">
        <v>60</v>
      </c>
      <c r="J1" s="87" t="s">
        <v>61</v>
      </c>
      <c r="K1" s="87" t="s">
        <v>62</v>
      </c>
      <c r="L1" s="87" t="s">
        <v>63</v>
      </c>
      <c r="M1" s="87" t="s">
        <v>64</v>
      </c>
      <c r="N1" s="87" t="s">
        <v>65</v>
      </c>
      <c r="O1" s="87" t="s">
        <v>66</v>
      </c>
      <c r="P1" s="87" t="s">
        <v>67</v>
      </c>
      <c r="Q1" s="87" t="s">
        <v>68</v>
      </c>
      <c r="R1" s="88" t="s">
        <v>69</v>
      </c>
      <c r="S1" s="88" t="s">
        <v>70</v>
      </c>
      <c r="T1" s="88" t="s">
        <v>71</v>
      </c>
      <c r="U1" s="88" t="s">
        <v>72</v>
      </c>
      <c r="V1" s="88" t="s">
        <v>73</v>
      </c>
      <c r="W1" s="88" t="s">
        <v>74</v>
      </c>
      <c r="X1" s="88" t="s">
        <v>75</v>
      </c>
      <c r="Y1" s="88" t="s">
        <v>76</v>
      </c>
      <c r="Z1" s="88" t="s">
        <v>77</v>
      </c>
      <c r="AA1" s="88" t="s">
        <v>78</v>
      </c>
      <c r="AB1" s="88" t="s">
        <v>79</v>
      </c>
      <c r="AC1" s="88" t="s">
        <v>80</v>
      </c>
      <c r="AD1" s="88" t="s">
        <v>81</v>
      </c>
      <c r="AE1" s="88" t="s">
        <v>82</v>
      </c>
      <c r="AF1" s="88" t="s">
        <v>83</v>
      </c>
      <c r="AG1" s="88" t="s">
        <v>84</v>
      </c>
    </row>
    <row r="2" spans="1:33">
      <c r="D2" s="66"/>
      <c r="G2" s="66"/>
      <c r="V2" s="66"/>
      <c r="W2" s="66"/>
      <c r="X2" s="66"/>
      <c r="AB2" s="66"/>
      <c r="AG2" s="66"/>
    </row>
    <row r="3" spans="1:33">
      <c r="D3" s="66"/>
      <c r="G3" s="66"/>
      <c r="V3" s="66"/>
      <c r="W3" s="66"/>
      <c r="X3" s="66"/>
      <c r="AB3" s="66"/>
      <c r="AG3" s="66"/>
    </row>
    <row r="4" spans="1:33">
      <c r="D4" s="66"/>
      <c r="G4" s="66"/>
      <c r="V4" s="66"/>
      <c r="W4" s="66"/>
      <c r="X4" s="66"/>
      <c r="AB4" s="66"/>
      <c r="AG4" s="66"/>
    </row>
    <row r="5" spans="1:33">
      <c r="D5" s="66"/>
      <c r="G5" s="66"/>
      <c r="V5" s="66"/>
      <c r="W5" s="66"/>
      <c r="X5" s="66"/>
      <c r="AB5" s="66"/>
      <c r="AG5" s="66"/>
    </row>
    <row r="6" spans="1:33">
      <c r="D6" s="66"/>
      <c r="G6" s="66"/>
      <c r="V6" s="66"/>
      <c r="W6" s="66"/>
      <c r="X6" s="66"/>
      <c r="AB6" s="66"/>
      <c r="AG6" s="66"/>
    </row>
    <row r="7" spans="1:33">
      <c r="D7" s="66"/>
      <c r="G7" s="66"/>
      <c r="V7" s="66"/>
      <c r="W7" s="66"/>
      <c r="X7" s="66"/>
      <c r="AB7" s="66"/>
      <c r="AG7" s="66"/>
    </row>
    <row r="8" spans="1:33">
      <c r="D8" s="66"/>
      <c r="G8" s="66"/>
      <c r="V8" s="66"/>
      <c r="W8" s="66"/>
      <c r="X8" s="66"/>
      <c r="AB8" s="66"/>
      <c r="AG8" s="66"/>
    </row>
    <row r="9" spans="1:33">
      <c r="D9" s="66"/>
      <c r="G9" s="66"/>
      <c r="V9" s="66"/>
      <c r="W9" s="66"/>
      <c r="X9" s="66"/>
      <c r="AB9" s="66"/>
      <c r="AG9" s="66"/>
    </row>
    <row r="10" spans="1:33">
      <c r="D10" s="66"/>
      <c r="G10" s="66"/>
      <c r="V10" s="66"/>
      <c r="W10" s="66"/>
      <c r="X10" s="66"/>
      <c r="AB10" s="66"/>
      <c r="AG10" s="66"/>
    </row>
    <row r="11" spans="1:33">
      <c r="D11" s="66"/>
      <c r="G11" s="66"/>
      <c r="V11" s="66"/>
      <c r="W11" s="66"/>
      <c r="X11" s="66"/>
      <c r="AB11" s="66"/>
      <c r="AG11" s="66"/>
    </row>
    <row r="12" spans="1:33">
      <c r="D12" s="66"/>
      <c r="G12" s="66"/>
      <c r="V12" s="66"/>
      <c r="W12" s="66"/>
      <c r="X12" s="66"/>
      <c r="AB12" s="66"/>
      <c r="AG12" s="66"/>
    </row>
    <row r="13" spans="1:33">
      <c r="D13" s="66"/>
      <c r="G13" s="66"/>
      <c r="V13" s="66"/>
      <c r="W13" s="66"/>
      <c r="X13" s="66"/>
      <c r="AB13" s="66"/>
      <c r="AG13" s="66"/>
    </row>
    <row r="14" spans="1:33">
      <c r="D14" s="66"/>
      <c r="G14" s="66"/>
      <c r="V14" s="66"/>
      <c r="W14" s="66"/>
      <c r="X14" s="66"/>
      <c r="AB14" s="66"/>
      <c r="AG14" s="66"/>
    </row>
    <row r="15" spans="1:33">
      <c r="D15" s="66"/>
      <c r="G15" s="66"/>
      <c r="V15" s="66"/>
      <c r="W15" s="66"/>
      <c r="X15" s="66"/>
      <c r="AB15" s="66"/>
      <c r="AG15" s="66"/>
    </row>
    <row r="16" spans="1:33">
      <c r="D16" s="66"/>
      <c r="G16" s="66"/>
      <c r="V16" s="66"/>
      <c r="W16" s="66"/>
      <c r="X16" s="66"/>
      <c r="AB16" s="66"/>
      <c r="AG16" s="66"/>
    </row>
    <row r="17" spans="4:33">
      <c r="D17" s="66"/>
      <c r="G17" s="66"/>
      <c r="V17" s="66"/>
      <c r="W17" s="66"/>
      <c r="X17" s="66"/>
      <c r="AB17" s="66"/>
      <c r="AG17" s="66"/>
    </row>
    <row r="18" spans="4:33">
      <c r="D18" s="66"/>
      <c r="G18" s="66"/>
      <c r="V18" s="66"/>
      <c r="W18" s="66"/>
      <c r="X18" s="66"/>
      <c r="AB18" s="66"/>
      <c r="AG18" s="66"/>
    </row>
    <row r="19" spans="4:33">
      <c r="D19" s="66"/>
      <c r="G19" s="66"/>
      <c r="V19" s="66"/>
      <c r="W19" s="66"/>
      <c r="X19" s="66"/>
      <c r="AB19" s="66"/>
      <c r="AG19" s="66"/>
    </row>
    <row r="20" spans="4:33">
      <c r="D20" s="66"/>
      <c r="G20" s="66"/>
      <c r="V20" s="66"/>
      <c r="W20" s="66"/>
      <c r="X20" s="66"/>
      <c r="AB20" s="66"/>
      <c r="AG20" s="66"/>
    </row>
    <row r="21" spans="4:33">
      <c r="D21" s="66"/>
      <c r="G21" s="66"/>
      <c r="V21" s="66"/>
      <c r="W21" s="66"/>
      <c r="X21" s="66"/>
      <c r="AB21" s="66"/>
      <c r="AG21" s="66"/>
    </row>
    <row r="22" spans="4:33">
      <c r="D22" s="66"/>
      <c r="G22" s="66"/>
      <c r="V22" s="66"/>
      <c r="W22" s="66"/>
      <c r="X22" s="66"/>
      <c r="AB22" s="66"/>
      <c r="AG22" s="66"/>
    </row>
    <row r="23" spans="4:33">
      <c r="D23" s="66"/>
      <c r="G23" s="66"/>
      <c r="V23" s="66"/>
      <c r="W23" s="66"/>
      <c r="X23" s="66"/>
      <c r="AB23" s="66"/>
      <c r="AG23" s="66"/>
    </row>
    <row r="24" spans="4:33">
      <c r="D24" s="66"/>
      <c r="G24" s="66"/>
      <c r="V24" s="66"/>
      <c r="W24" s="66"/>
      <c r="X24" s="66"/>
      <c r="AB24" s="66"/>
      <c r="AG24" s="66"/>
    </row>
    <row r="25" spans="4:33">
      <c r="D25" s="66"/>
      <c r="G25" s="66"/>
      <c r="V25" s="66"/>
      <c r="W25" s="66"/>
      <c r="X25" s="66"/>
      <c r="AB25" s="66"/>
      <c r="AG25" s="66"/>
    </row>
    <row r="26" spans="4:33">
      <c r="D26" s="66"/>
      <c r="G26" s="66"/>
      <c r="V26" s="66"/>
      <c r="W26" s="66"/>
      <c r="X26" s="66"/>
      <c r="AB26" s="66"/>
      <c r="AG26" s="66"/>
    </row>
    <row r="27" spans="4:33">
      <c r="D27" s="66"/>
      <c r="G27" s="66"/>
      <c r="V27" s="66"/>
      <c r="W27" s="66"/>
      <c r="X27" s="66"/>
      <c r="AB27" s="66"/>
      <c r="AG27" s="66"/>
    </row>
    <row r="28" spans="4:33">
      <c r="D28" s="66"/>
      <c r="G28" s="66"/>
      <c r="V28" s="66"/>
      <c r="W28" s="66"/>
      <c r="X28" s="66"/>
      <c r="AB28" s="66"/>
      <c r="AG28" s="66"/>
    </row>
    <row r="29" spans="4:33">
      <c r="D29" s="66"/>
      <c r="G29" s="66"/>
      <c r="V29" s="66"/>
      <c r="W29" s="66"/>
      <c r="X29" s="66"/>
      <c r="AB29" s="66"/>
      <c r="AG29" s="66"/>
    </row>
    <row r="30" spans="4:33">
      <c r="D30" s="66"/>
      <c r="G30" s="66"/>
      <c r="V30" s="66"/>
      <c r="W30" s="66"/>
      <c r="X30" s="66"/>
      <c r="AB30" s="66"/>
      <c r="AG30" s="66"/>
    </row>
    <row r="31" spans="4:33">
      <c r="D31" s="66"/>
      <c r="G31" s="66"/>
      <c r="V31" s="66"/>
      <c r="W31" s="66"/>
      <c r="X31" s="66"/>
      <c r="AB31" s="66"/>
      <c r="AG31" s="66"/>
    </row>
    <row r="32" spans="4:33">
      <c r="D32" s="66"/>
      <c r="G32" s="66"/>
      <c r="V32" s="66"/>
      <c r="W32" s="66"/>
      <c r="X32" s="66"/>
      <c r="AB32" s="66"/>
      <c r="AG32" s="66"/>
    </row>
    <row r="33" spans="4:33">
      <c r="D33" s="66"/>
      <c r="G33" s="66"/>
      <c r="V33" s="66"/>
      <c r="W33" s="66"/>
      <c r="X33" s="66"/>
      <c r="AB33" s="66"/>
      <c r="AG33" s="66"/>
    </row>
    <row r="34" spans="4:33">
      <c r="D34" s="66"/>
      <c r="G34" s="66"/>
      <c r="V34" s="66"/>
      <c r="W34" s="66"/>
      <c r="X34" s="66"/>
      <c r="AB34" s="66"/>
      <c r="AG34" s="66"/>
    </row>
    <row r="35" spans="4:33">
      <c r="D35" s="66"/>
      <c r="G35" s="66"/>
      <c r="V35" s="66"/>
      <c r="W35" s="66"/>
      <c r="X35" s="66"/>
      <c r="AB35" s="66"/>
      <c r="AG35" s="66"/>
    </row>
    <row r="36" spans="4:33">
      <c r="D36" s="66"/>
      <c r="G36" s="66"/>
      <c r="V36" s="66"/>
      <c r="W36" s="66"/>
      <c r="X36" s="66"/>
      <c r="AB36" s="66"/>
      <c r="AG36" s="66"/>
    </row>
    <row r="37" spans="4:33">
      <c r="D37" s="66"/>
      <c r="G37" s="66"/>
      <c r="V37" s="66"/>
      <c r="W37" s="66"/>
      <c r="X37" s="66"/>
      <c r="AB37" s="66"/>
      <c r="AG37" s="66"/>
    </row>
    <row r="38" spans="4:33">
      <c r="D38" s="66"/>
      <c r="G38" s="66"/>
      <c r="V38" s="66"/>
      <c r="W38" s="66"/>
      <c r="X38" s="66"/>
      <c r="AB38" s="66"/>
      <c r="AG38" s="66"/>
    </row>
    <row r="39" spans="4:33">
      <c r="D39" s="66"/>
      <c r="G39" s="66"/>
      <c r="V39" s="66"/>
      <c r="W39" s="66"/>
      <c r="X39" s="66"/>
      <c r="AB39" s="66"/>
      <c r="AG39" s="66"/>
    </row>
    <row r="40" spans="4:33">
      <c r="D40" s="66"/>
      <c r="G40" s="66"/>
      <c r="V40" s="66"/>
      <c r="W40" s="66"/>
      <c r="X40" s="66"/>
      <c r="AB40" s="66"/>
      <c r="AG40" s="66"/>
    </row>
    <row r="41" spans="4:33">
      <c r="D41" s="66"/>
      <c r="G41" s="66"/>
      <c r="V41" s="66"/>
      <c r="W41" s="66"/>
      <c r="X41" s="66"/>
      <c r="AB41" s="66"/>
      <c r="AG41" s="66"/>
    </row>
    <row r="42" spans="4:33">
      <c r="D42" s="66"/>
      <c r="G42" s="66"/>
      <c r="V42" s="66"/>
      <c r="W42" s="66"/>
      <c r="X42" s="66"/>
      <c r="AB42" s="66"/>
      <c r="AG42" s="66"/>
    </row>
    <row r="43" spans="4:33">
      <c r="D43" s="66"/>
      <c r="G43" s="66"/>
      <c r="V43" s="66"/>
      <c r="W43" s="66"/>
      <c r="X43" s="66"/>
      <c r="AB43" s="66"/>
      <c r="AG43" s="66"/>
    </row>
    <row r="44" spans="4:33">
      <c r="D44" s="66"/>
      <c r="G44" s="66"/>
      <c r="V44" s="66"/>
      <c r="W44" s="66"/>
      <c r="X44" s="66"/>
      <c r="AB44" s="66"/>
      <c r="AG44" s="66"/>
    </row>
    <row r="45" spans="4:33">
      <c r="D45" s="66"/>
      <c r="G45" s="66"/>
      <c r="V45" s="66"/>
      <c r="W45" s="66"/>
      <c r="X45" s="66"/>
      <c r="AB45" s="66"/>
      <c r="AG45" s="66"/>
    </row>
    <row r="46" spans="4:33">
      <c r="D46" s="66"/>
      <c r="G46" s="66"/>
      <c r="V46" s="66"/>
      <c r="W46" s="66"/>
      <c r="X46" s="66"/>
      <c r="AB46" s="66"/>
      <c r="AG46" s="66"/>
    </row>
    <row r="47" spans="4:33">
      <c r="D47" s="66"/>
      <c r="G47" s="66"/>
      <c r="V47" s="66"/>
      <c r="W47" s="66"/>
      <c r="X47" s="66"/>
      <c r="AB47" s="66"/>
      <c r="AG47" s="66"/>
    </row>
    <row r="48" spans="4:33">
      <c r="D48" s="66"/>
      <c r="G48" s="66"/>
      <c r="V48" s="66"/>
      <c r="W48" s="66"/>
      <c r="X48" s="66"/>
      <c r="AB48" s="66"/>
      <c r="AG48" s="66"/>
    </row>
    <row r="49" spans="4:33">
      <c r="D49" s="66"/>
      <c r="G49" s="66"/>
      <c r="V49" s="66"/>
      <c r="W49" s="66"/>
      <c r="X49" s="66"/>
      <c r="AB49" s="66"/>
      <c r="AG49" s="66"/>
    </row>
    <row r="50" spans="4:33">
      <c r="D50" s="66"/>
      <c r="G50" s="66"/>
      <c r="V50" s="66"/>
      <c r="W50" s="66"/>
      <c r="X50" s="66"/>
      <c r="AB50" s="66"/>
      <c r="AG50" s="66"/>
    </row>
    <row r="51" spans="4:33">
      <c r="D51" s="66"/>
      <c r="G51" s="66"/>
      <c r="V51" s="66"/>
      <c r="W51" s="66"/>
      <c r="X51" s="66"/>
      <c r="AB51" s="66"/>
      <c r="AG51" s="66"/>
    </row>
    <row r="52" spans="4:33">
      <c r="D52" s="66"/>
      <c r="G52" s="66"/>
      <c r="V52" s="66"/>
      <c r="W52" s="66"/>
      <c r="X52" s="66"/>
      <c r="AB52" s="66"/>
      <c r="AG52" s="66"/>
    </row>
    <row r="53" spans="4:33">
      <c r="D53" s="66"/>
      <c r="G53" s="66"/>
      <c r="V53" s="66"/>
      <c r="W53" s="66"/>
      <c r="X53" s="66"/>
      <c r="AB53" s="66"/>
      <c r="AG53" s="66"/>
    </row>
    <row r="54" spans="4:33">
      <c r="D54" s="66"/>
      <c r="G54" s="66"/>
      <c r="V54" s="66"/>
      <c r="W54" s="66"/>
      <c r="X54" s="66"/>
      <c r="AB54" s="66"/>
      <c r="AG54" s="66"/>
    </row>
    <row r="55" spans="4:33">
      <c r="D55" s="66"/>
      <c r="G55" s="66"/>
      <c r="V55" s="66"/>
      <c r="W55" s="66"/>
      <c r="X55" s="66"/>
      <c r="AB55" s="66"/>
      <c r="AG55" s="66"/>
    </row>
    <row r="56" spans="4:33">
      <c r="D56" s="66"/>
      <c r="G56" s="66"/>
      <c r="V56" s="66"/>
      <c r="W56" s="66"/>
      <c r="X56" s="66"/>
      <c r="AB56" s="66"/>
      <c r="AG56" s="66"/>
    </row>
    <row r="57" spans="4:33">
      <c r="D57" s="66"/>
      <c r="G57" s="66"/>
      <c r="V57" s="66"/>
      <c r="W57" s="66"/>
      <c r="X57" s="66"/>
      <c r="AB57" s="66"/>
      <c r="AG57" s="66"/>
    </row>
    <row r="58" spans="4:33">
      <c r="D58" s="66"/>
      <c r="G58" s="66"/>
      <c r="V58" s="66"/>
      <c r="W58" s="66"/>
      <c r="X58" s="66"/>
      <c r="AB58" s="66"/>
      <c r="AG58" s="66"/>
    </row>
    <row r="59" spans="4:33">
      <c r="D59" s="66"/>
      <c r="G59" s="66"/>
      <c r="V59" s="66"/>
      <c r="W59" s="66"/>
      <c r="X59" s="66"/>
      <c r="AB59" s="66"/>
      <c r="AG59" s="66"/>
    </row>
    <row r="60" spans="4:33">
      <c r="D60" s="66"/>
      <c r="G60" s="66"/>
      <c r="V60" s="66"/>
      <c r="W60" s="66"/>
      <c r="X60" s="66"/>
      <c r="AB60" s="66"/>
      <c r="AG60" s="66"/>
    </row>
    <row r="61" spans="4:33">
      <c r="D61" s="66"/>
      <c r="G61" s="66"/>
      <c r="V61" s="66"/>
      <c r="W61" s="66"/>
      <c r="X61" s="66"/>
      <c r="AB61" s="66"/>
      <c r="AG61" s="66"/>
    </row>
    <row r="62" spans="4:33">
      <c r="D62" s="66"/>
      <c r="G62" s="66"/>
      <c r="V62" s="66"/>
      <c r="W62" s="66"/>
      <c r="X62" s="66"/>
      <c r="AB62" s="66"/>
      <c r="AG62" s="66"/>
    </row>
    <row r="63" spans="4:33">
      <c r="D63" s="66"/>
      <c r="G63" s="66"/>
      <c r="V63" s="66"/>
      <c r="W63" s="66"/>
      <c r="X63" s="66"/>
      <c r="AB63" s="66"/>
      <c r="AG63" s="66"/>
    </row>
    <row r="64" spans="4:33">
      <c r="D64" s="66"/>
      <c r="G64" s="66"/>
      <c r="V64" s="66"/>
      <c r="W64" s="66"/>
      <c r="X64" s="66"/>
      <c r="AB64" s="66"/>
      <c r="AG64" s="66"/>
    </row>
    <row r="65" spans="4:33">
      <c r="D65" s="66"/>
      <c r="G65" s="66"/>
      <c r="V65" s="66"/>
      <c r="W65" s="66"/>
      <c r="X65" s="66"/>
      <c r="AB65" s="66"/>
      <c r="AG65" s="66"/>
    </row>
    <row r="66" spans="4:33">
      <c r="D66" s="66"/>
      <c r="G66" s="66"/>
      <c r="V66" s="66"/>
      <c r="W66" s="66"/>
      <c r="X66" s="66"/>
      <c r="AB66" s="66"/>
      <c r="AG66" s="66"/>
    </row>
    <row r="67" spans="4:33">
      <c r="D67" s="66"/>
      <c r="G67" s="66"/>
      <c r="V67" s="66"/>
      <c r="W67" s="66"/>
      <c r="X67" s="66"/>
      <c r="AB67" s="66"/>
      <c r="AG67" s="66"/>
    </row>
    <row r="68" spans="4:33">
      <c r="D68" s="66"/>
      <c r="G68" s="66"/>
      <c r="V68" s="66"/>
      <c r="W68" s="66"/>
      <c r="X68" s="66"/>
      <c r="AB68" s="66"/>
      <c r="AG68" s="66"/>
    </row>
    <row r="69" spans="4:33">
      <c r="D69" s="66"/>
      <c r="G69" s="66"/>
      <c r="V69" s="66"/>
      <c r="W69" s="66"/>
      <c r="X69" s="66"/>
      <c r="AB69" s="66"/>
      <c r="AG69" s="66"/>
    </row>
    <row r="70" spans="4:33">
      <c r="D70" s="66"/>
      <c r="G70" s="66"/>
      <c r="V70" s="66"/>
      <c r="W70" s="66"/>
      <c r="X70" s="66"/>
      <c r="AB70" s="66"/>
      <c r="AG70" s="66"/>
    </row>
    <row r="71" spans="4:33">
      <c r="D71" s="66"/>
      <c r="G71" s="66"/>
      <c r="V71" s="66"/>
      <c r="W71" s="66"/>
      <c r="X71" s="66"/>
      <c r="AB71" s="66"/>
      <c r="AG71" s="66"/>
    </row>
    <row r="72" spans="4:33">
      <c r="D72" s="66"/>
      <c r="G72" s="66"/>
      <c r="V72" s="66"/>
      <c r="W72" s="66"/>
      <c r="X72" s="66"/>
      <c r="AB72" s="66"/>
      <c r="AG72" s="66"/>
    </row>
    <row r="73" spans="4:33">
      <c r="D73" s="66"/>
      <c r="G73" s="66"/>
      <c r="V73" s="66"/>
      <c r="W73" s="66"/>
      <c r="X73" s="66"/>
      <c r="AB73" s="66"/>
      <c r="AG73" s="66"/>
    </row>
    <row r="74" spans="4:33">
      <c r="D74" s="66"/>
      <c r="G74" s="66"/>
      <c r="V74" s="66"/>
      <c r="W74" s="66"/>
      <c r="X74" s="66"/>
      <c r="AB74" s="66"/>
      <c r="AG74" s="66"/>
    </row>
    <row r="75" spans="4:33">
      <c r="D75" s="66"/>
      <c r="G75" s="66"/>
      <c r="V75" s="66"/>
      <c r="W75" s="66"/>
      <c r="X75" s="66"/>
      <c r="AB75" s="66"/>
      <c r="AG75" s="66"/>
    </row>
    <row r="76" spans="4:33">
      <c r="D76" s="66"/>
      <c r="G76" s="66"/>
      <c r="V76" s="66"/>
      <c r="W76" s="66"/>
      <c r="X76" s="66"/>
      <c r="AB76" s="66"/>
      <c r="AG76" s="66"/>
    </row>
    <row r="77" spans="4:33">
      <c r="D77" s="66"/>
      <c r="G77" s="66"/>
      <c r="V77" s="66"/>
      <c r="W77" s="66"/>
      <c r="X77" s="66"/>
      <c r="AB77" s="66"/>
      <c r="AG77" s="66"/>
    </row>
    <row r="78" spans="4:33">
      <c r="D78" s="66"/>
      <c r="G78" s="66"/>
      <c r="V78" s="66"/>
      <c r="W78" s="66"/>
      <c r="X78" s="66"/>
      <c r="AB78" s="66"/>
      <c r="AG78" s="66"/>
    </row>
    <row r="79" spans="4:33">
      <c r="D79" s="66"/>
      <c r="G79" s="66"/>
      <c r="V79" s="66"/>
      <c r="W79" s="66"/>
      <c r="X79" s="66"/>
      <c r="AB79" s="66"/>
      <c r="AG79" s="66"/>
    </row>
    <row r="80" spans="4:33">
      <c r="D80" s="66"/>
      <c r="G80" s="66"/>
      <c r="V80" s="66"/>
      <c r="W80" s="66"/>
      <c r="X80" s="66"/>
      <c r="AB80" s="66"/>
      <c r="AG80" s="66"/>
    </row>
    <row r="81" spans="4:33">
      <c r="D81" s="66"/>
      <c r="G81" s="66"/>
      <c r="V81" s="66"/>
      <c r="W81" s="66"/>
      <c r="X81" s="66"/>
      <c r="AB81" s="66"/>
      <c r="AG81" s="66"/>
    </row>
    <row r="82" spans="4:33">
      <c r="D82" s="66"/>
      <c r="G82" s="66"/>
      <c r="V82" s="66"/>
      <c r="W82" s="66"/>
      <c r="X82" s="66"/>
      <c r="AB82" s="66"/>
      <c r="AG82" s="66"/>
    </row>
    <row r="83" spans="4:33">
      <c r="D83" s="66"/>
      <c r="G83" s="66"/>
      <c r="V83" s="66"/>
      <c r="W83" s="66"/>
      <c r="X83" s="66"/>
      <c r="AB83" s="66"/>
      <c r="AG83" s="66"/>
    </row>
    <row r="84" spans="4:33">
      <c r="D84" s="66"/>
      <c r="G84" s="66"/>
      <c r="V84" s="66"/>
      <c r="W84" s="66"/>
      <c r="X84" s="66"/>
      <c r="AB84" s="66"/>
      <c r="AG84" s="66"/>
    </row>
    <row r="85" spans="4:33">
      <c r="D85" s="66"/>
      <c r="G85" s="66"/>
      <c r="V85" s="66"/>
      <c r="W85" s="66"/>
      <c r="X85" s="66"/>
      <c r="AB85" s="66"/>
      <c r="AG85" s="66"/>
    </row>
    <row r="86" spans="4:33">
      <c r="D86" s="66"/>
      <c r="G86" s="66"/>
      <c r="V86" s="66"/>
      <c r="W86" s="66"/>
      <c r="X86" s="66"/>
      <c r="AB86" s="66"/>
      <c r="AG86" s="66"/>
    </row>
    <row r="87" spans="4:33">
      <c r="D87" s="66"/>
      <c r="G87" s="66"/>
      <c r="V87" s="66"/>
      <c r="W87" s="66"/>
      <c r="X87" s="66"/>
      <c r="AB87" s="66"/>
      <c r="AG87" s="66"/>
    </row>
    <row r="88" spans="4:33">
      <c r="D88" s="66"/>
      <c r="G88" s="66"/>
      <c r="V88" s="66"/>
      <c r="W88" s="66"/>
      <c r="X88" s="66"/>
      <c r="AB88" s="66"/>
      <c r="AG88" s="66"/>
    </row>
    <row r="89" spans="4:33">
      <c r="D89" s="66"/>
      <c r="G89" s="66"/>
      <c r="V89" s="66"/>
      <c r="W89" s="66"/>
      <c r="X89" s="66"/>
      <c r="AB89" s="66"/>
      <c r="AG89" s="66"/>
    </row>
    <row r="90" spans="4:33">
      <c r="D90" s="66"/>
      <c r="G90" s="66"/>
      <c r="V90" s="66"/>
      <c r="W90" s="66"/>
      <c r="X90" s="66"/>
      <c r="AB90" s="66"/>
      <c r="AG90" s="66"/>
    </row>
    <row r="91" spans="4:33">
      <c r="D91" s="66"/>
      <c r="G91" s="66"/>
      <c r="V91" s="66"/>
      <c r="W91" s="66"/>
      <c r="X91" s="66"/>
      <c r="AB91" s="66"/>
      <c r="AG91" s="66"/>
    </row>
    <row r="92" spans="4:33">
      <c r="D92" s="66"/>
      <c r="G92" s="66"/>
      <c r="V92" s="66"/>
      <c r="W92" s="66"/>
      <c r="X92" s="66"/>
      <c r="AB92" s="66"/>
      <c r="AG92" s="66"/>
    </row>
    <row r="93" spans="4:33">
      <c r="D93" s="66"/>
      <c r="G93" s="66"/>
      <c r="V93" s="66"/>
      <c r="W93" s="66"/>
      <c r="X93" s="66"/>
      <c r="AB93" s="66"/>
      <c r="AG93" s="66"/>
    </row>
    <row r="94" spans="4:33">
      <c r="D94" s="66"/>
      <c r="G94" s="66"/>
      <c r="V94" s="66"/>
      <c r="W94" s="66"/>
      <c r="X94" s="66"/>
      <c r="AB94" s="66"/>
      <c r="AG94" s="66"/>
    </row>
    <row r="95" spans="4:33">
      <c r="D95" s="66"/>
      <c r="G95" s="66"/>
      <c r="V95" s="66"/>
      <c r="W95" s="66"/>
      <c r="X95" s="66"/>
      <c r="AB95" s="66"/>
      <c r="AG95" s="66"/>
    </row>
    <row r="96" spans="4:33">
      <c r="D96" s="66"/>
      <c r="G96" s="66"/>
      <c r="V96" s="66"/>
      <c r="W96" s="66"/>
      <c r="X96" s="66"/>
      <c r="AB96" s="66"/>
      <c r="AG96" s="66"/>
    </row>
    <row r="97" spans="4:33">
      <c r="D97" s="66"/>
      <c r="G97" s="66"/>
      <c r="V97" s="66"/>
      <c r="W97" s="66"/>
      <c r="X97" s="66"/>
      <c r="AB97" s="66"/>
      <c r="AG97" s="66"/>
    </row>
    <row r="98" spans="4:33">
      <c r="D98" s="66"/>
      <c r="G98" s="66"/>
      <c r="V98" s="66"/>
      <c r="W98" s="66"/>
      <c r="X98" s="66"/>
      <c r="AB98" s="66"/>
      <c r="AG98" s="66"/>
    </row>
    <row r="99" spans="4:33">
      <c r="D99" s="66"/>
      <c r="G99" s="66"/>
      <c r="V99" s="66"/>
      <c r="W99" s="66"/>
      <c r="X99" s="66"/>
      <c r="AB99" s="66"/>
      <c r="AG99" s="66"/>
    </row>
    <row r="100" spans="4:33">
      <c r="D100" s="66"/>
      <c r="G100" s="66"/>
      <c r="V100" s="66"/>
      <c r="W100" s="66"/>
      <c r="X100" s="66"/>
      <c r="AB100" s="66"/>
      <c r="AG100" s="66"/>
    </row>
    <row r="101" spans="4:33">
      <c r="D101" s="66"/>
      <c r="G101" s="66"/>
      <c r="V101" s="66"/>
      <c r="W101" s="66"/>
      <c r="X101" s="66"/>
      <c r="AB101" s="66"/>
      <c r="AG101" s="66"/>
    </row>
    <row r="102" spans="4:33">
      <c r="D102" s="66"/>
      <c r="G102" s="66"/>
      <c r="V102" s="66"/>
      <c r="W102" s="66"/>
      <c r="X102" s="66"/>
      <c r="AB102" s="66"/>
      <c r="AG102" s="66"/>
    </row>
    <row r="103" spans="4:33">
      <c r="D103" s="66"/>
      <c r="G103" s="66"/>
      <c r="V103" s="66"/>
      <c r="W103" s="66"/>
      <c r="X103" s="66"/>
      <c r="AB103" s="66"/>
      <c r="AG103" s="66"/>
    </row>
    <row r="104" spans="4:33">
      <c r="D104" s="66"/>
      <c r="G104" s="66"/>
      <c r="V104" s="66"/>
      <c r="W104" s="66"/>
      <c r="X104" s="66"/>
      <c r="AB104" s="66"/>
      <c r="AG104" s="66"/>
    </row>
    <row r="105" spans="4:33">
      <c r="D105" s="66"/>
      <c r="G105" s="66"/>
      <c r="V105" s="66"/>
      <c r="W105" s="66"/>
      <c r="X105" s="66"/>
      <c r="AB105" s="66"/>
      <c r="AG105" s="66"/>
    </row>
    <row r="106" spans="4:33">
      <c r="D106" s="66"/>
      <c r="G106" s="66"/>
      <c r="V106" s="66"/>
      <c r="W106" s="66"/>
      <c r="X106" s="66"/>
      <c r="AB106" s="66"/>
      <c r="AG106" s="66"/>
    </row>
    <row r="107" spans="4:33">
      <c r="D107" s="66"/>
      <c r="G107" s="66"/>
      <c r="V107" s="66"/>
      <c r="W107" s="66"/>
      <c r="X107" s="66"/>
      <c r="AB107" s="66"/>
      <c r="AG107" s="66"/>
    </row>
    <row r="108" spans="4:33">
      <c r="D108" s="66"/>
      <c r="G108" s="66"/>
      <c r="V108" s="66"/>
      <c r="W108" s="66"/>
      <c r="X108" s="66"/>
      <c r="AB108" s="66"/>
      <c r="AG108" s="66"/>
    </row>
    <row r="109" spans="4:33">
      <c r="D109" s="66"/>
      <c r="G109" s="66"/>
      <c r="V109" s="66"/>
      <c r="W109" s="66"/>
      <c r="X109" s="66"/>
      <c r="AB109" s="66"/>
      <c r="AG109" s="66"/>
    </row>
    <row r="110" spans="4:33">
      <c r="D110" s="66"/>
      <c r="G110" s="66"/>
      <c r="V110" s="66"/>
      <c r="W110" s="66"/>
      <c r="X110" s="66"/>
      <c r="AB110" s="66"/>
      <c r="AG110" s="66"/>
    </row>
    <row r="111" spans="4:33">
      <c r="D111" s="66"/>
      <c r="G111" s="66"/>
      <c r="V111" s="66"/>
      <c r="W111" s="66"/>
      <c r="X111" s="66"/>
      <c r="AB111" s="66"/>
      <c r="AG111" s="66"/>
    </row>
    <row r="112" spans="4:33">
      <c r="D112" s="66"/>
      <c r="G112" s="66"/>
      <c r="V112" s="66"/>
      <c r="W112" s="66"/>
      <c r="X112" s="66"/>
      <c r="AB112" s="66"/>
      <c r="AG112" s="66"/>
    </row>
    <row r="113" spans="4:33">
      <c r="D113" s="66"/>
      <c r="G113" s="66"/>
      <c r="V113" s="66"/>
      <c r="W113" s="66"/>
      <c r="X113" s="66"/>
      <c r="AB113" s="66"/>
      <c r="AG113" s="66"/>
    </row>
    <row r="114" spans="4:33">
      <c r="D114" s="66"/>
      <c r="G114" s="66"/>
      <c r="V114" s="66"/>
      <c r="W114" s="66"/>
      <c r="X114" s="66"/>
      <c r="AB114" s="66"/>
      <c r="AG114" s="66"/>
    </row>
    <row r="115" spans="4:33">
      <c r="D115" s="66"/>
      <c r="G115" s="66"/>
      <c r="V115" s="66"/>
      <c r="W115" s="66"/>
      <c r="X115" s="66"/>
      <c r="AB115" s="66"/>
      <c r="AG115" s="66"/>
    </row>
    <row r="116" spans="4:33">
      <c r="D116" s="66"/>
      <c r="G116" s="66"/>
      <c r="V116" s="66"/>
      <c r="W116" s="66"/>
      <c r="X116" s="66"/>
      <c r="AB116" s="66"/>
      <c r="AG116" s="66"/>
    </row>
    <row r="117" spans="4:33">
      <c r="D117" s="66"/>
      <c r="G117" s="66"/>
      <c r="V117" s="66"/>
      <c r="W117" s="66"/>
      <c r="X117" s="66"/>
      <c r="AB117" s="66"/>
      <c r="AG117" s="66"/>
    </row>
    <row r="118" spans="4:33">
      <c r="D118" s="66"/>
      <c r="G118" s="66"/>
      <c r="V118" s="66"/>
      <c r="W118" s="66"/>
      <c r="X118" s="66"/>
      <c r="AB118" s="66"/>
      <c r="AG118" s="66"/>
    </row>
    <row r="119" spans="4:33">
      <c r="D119" s="66"/>
      <c r="G119" s="66"/>
      <c r="V119" s="66"/>
      <c r="W119" s="66"/>
      <c r="X119" s="66"/>
      <c r="AB119" s="66"/>
      <c r="AG119" s="66"/>
    </row>
    <row r="120" spans="4:33">
      <c r="D120" s="66"/>
      <c r="G120" s="66"/>
      <c r="V120" s="66"/>
      <c r="W120" s="66"/>
      <c r="X120" s="66"/>
      <c r="AB120" s="66"/>
      <c r="AG120" s="66"/>
    </row>
    <row r="121" spans="4:33">
      <c r="D121" s="66"/>
      <c r="G121" s="66"/>
      <c r="V121" s="66"/>
      <c r="W121" s="66"/>
      <c r="X121" s="66"/>
      <c r="AB121" s="66"/>
      <c r="AG121" s="66"/>
    </row>
    <row r="122" spans="4:33">
      <c r="D122" s="66"/>
      <c r="G122" s="66"/>
      <c r="V122" s="66"/>
      <c r="W122" s="66"/>
      <c r="X122" s="66"/>
      <c r="AB122" s="66"/>
      <c r="AG122" s="66"/>
    </row>
    <row r="123" spans="4:33">
      <c r="D123" s="66"/>
      <c r="G123" s="66"/>
      <c r="V123" s="66"/>
      <c r="W123" s="66"/>
      <c r="X123" s="66"/>
      <c r="AB123" s="66"/>
      <c r="AG123" s="66"/>
    </row>
    <row r="124" spans="4:33">
      <c r="D124" s="66"/>
      <c r="G124" s="66"/>
      <c r="V124" s="66"/>
      <c r="W124" s="66"/>
      <c r="X124" s="66"/>
      <c r="AB124" s="66"/>
      <c r="AG124" s="66"/>
    </row>
    <row r="125" spans="4:33">
      <c r="D125" s="66"/>
      <c r="G125" s="66"/>
      <c r="V125" s="66"/>
      <c r="W125" s="66"/>
      <c r="X125" s="66"/>
      <c r="AB125" s="66"/>
      <c r="AG125" s="66"/>
    </row>
    <row r="126" spans="4:33">
      <c r="D126" s="66"/>
      <c r="G126" s="66"/>
      <c r="V126" s="66"/>
      <c r="W126" s="66"/>
      <c r="X126" s="66"/>
      <c r="AB126" s="66"/>
      <c r="AG126" s="66"/>
    </row>
    <row r="127" spans="4:33">
      <c r="D127" s="66"/>
      <c r="G127" s="66"/>
      <c r="V127" s="66"/>
      <c r="W127" s="66"/>
      <c r="X127" s="66"/>
      <c r="AB127" s="66"/>
      <c r="AG127" s="66"/>
    </row>
    <row r="128" spans="4:33">
      <c r="D128" s="66"/>
      <c r="G128" s="66"/>
      <c r="V128" s="66"/>
      <c r="W128" s="66"/>
      <c r="X128" s="66"/>
      <c r="AB128" s="66"/>
      <c r="AG128" s="66"/>
    </row>
    <row r="129" spans="4:33">
      <c r="D129" s="66"/>
      <c r="G129" s="66"/>
      <c r="V129" s="66"/>
      <c r="W129" s="66"/>
      <c r="X129" s="66"/>
      <c r="AB129" s="66"/>
      <c r="AG129" s="66"/>
    </row>
    <row r="130" spans="4:33">
      <c r="D130" s="66"/>
      <c r="G130" s="66"/>
      <c r="V130" s="66"/>
      <c r="W130" s="66"/>
      <c r="X130" s="66"/>
      <c r="AB130" s="66"/>
      <c r="AG130" s="66"/>
    </row>
    <row r="131" spans="4:33">
      <c r="D131" s="66"/>
      <c r="G131" s="66"/>
      <c r="V131" s="66"/>
      <c r="W131" s="66"/>
      <c r="X131" s="66"/>
      <c r="AB131" s="66"/>
      <c r="AG131" s="66"/>
    </row>
    <row r="132" spans="4:33">
      <c r="D132" s="66"/>
      <c r="G132" s="66"/>
      <c r="V132" s="66"/>
      <c r="W132" s="66"/>
      <c r="X132" s="66"/>
      <c r="AB132" s="66"/>
      <c r="AG132" s="66"/>
    </row>
    <row r="133" spans="4:33">
      <c r="D133" s="66"/>
      <c r="G133" s="66"/>
      <c r="V133" s="66"/>
      <c r="W133" s="66"/>
      <c r="X133" s="66"/>
      <c r="AB133" s="66"/>
      <c r="AG133" s="66"/>
    </row>
    <row r="134" spans="4:33">
      <c r="D134" s="66"/>
      <c r="G134" s="66"/>
      <c r="V134" s="66"/>
      <c r="W134" s="66"/>
      <c r="X134" s="66"/>
      <c r="AB134" s="66"/>
      <c r="AG134" s="66"/>
    </row>
    <row r="135" spans="4:33">
      <c r="D135" s="66"/>
      <c r="G135" s="66"/>
      <c r="V135" s="66"/>
      <c r="W135" s="66"/>
      <c r="X135" s="66"/>
      <c r="AB135" s="66"/>
      <c r="AG135" s="66"/>
    </row>
    <row r="136" spans="4:33">
      <c r="D136" s="66"/>
      <c r="G136" s="66"/>
      <c r="V136" s="66"/>
      <c r="W136" s="66"/>
      <c r="X136" s="66"/>
      <c r="AB136" s="66"/>
      <c r="AG136" s="66"/>
    </row>
    <row r="137" spans="4:33">
      <c r="D137" s="66"/>
      <c r="G137" s="66"/>
      <c r="V137" s="66"/>
      <c r="W137" s="66"/>
      <c r="X137" s="66"/>
      <c r="AB137" s="66"/>
      <c r="AG137" s="66"/>
    </row>
    <row r="138" spans="4:33">
      <c r="D138" s="66"/>
      <c r="G138" s="66"/>
      <c r="V138" s="66"/>
      <c r="W138" s="66"/>
      <c r="X138" s="66"/>
      <c r="AB138" s="66"/>
      <c r="AG138" s="66"/>
    </row>
    <row r="139" spans="4:33">
      <c r="D139" s="66"/>
      <c r="G139" s="66"/>
      <c r="V139" s="66"/>
      <c r="W139" s="66"/>
      <c r="X139" s="66"/>
      <c r="AB139" s="66"/>
      <c r="AG139" s="66"/>
    </row>
    <row r="140" spans="4:33">
      <c r="D140" s="66"/>
      <c r="G140" s="66"/>
      <c r="V140" s="66"/>
      <c r="W140" s="66"/>
      <c r="X140" s="66"/>
      <c r="AB140" s="66"/>
      <c r="AG140" s="66"/>
    </row>
    <row r="141" spans="4:33">
      <c r="D141" s="66"/>
      <c r="G141" s="66"/>
      <c r="V141" s="66"/>
      <c r="W141" s="66"/>
      <c r="X141" s="66"/>
      <c r="AB141" s="66"/>
      <c r="AG141" s="66"/>
    </row>
    <row r="142" spans="4:33">
      <c r="D142" s="66"/>
      <c r="G142" s="66"/>
      <c r="V142" s="66"/>
      <c r="W142" s="66"/>
      <c r="X142" s="66"/>
      <c r="AB142" s="66"/>
      <c r="AG142" s="66"/>
    </row>
    <row r="143" spans="4:33">
      <c r="D143" s="66"/>
      <c r="G143" s="66"/>
      <c r="V143" s="66"/>
      <c r="W143" s="66"/>
      <c r="X143" s="66"/>
      <c r="AB143" s="66"/>
      <c r="AG143" s="66"/>
    </row>
    <row r="144" spans="4:33">
      <c r="D144" s="66"/>
      <c r="G144" s="66"/>
      <c r="V144" s="66"/>
      <c r="W144" s="66"/>
      <c r="X144" s="66"/>
      <c r="AB144" s="66"/>
      <c r="AG144" s="66"/>
    </row>
    <row r="145" spans="4:33">
      <c r="D145" s="66"/>
      <c r="G145" s="66"/>
      <c r="V145" s="66"/>
      <c r="W145" s="66"/>
      <c r="X145" s="66"/>
      <c r="AB145" s="66"/>
      <c r="AG145" s="66"/>
    </row>
    <row r="146" spans="4:33">
      <c r="D146" s="66"/>
      <c r="G146" s="66"/>
      <c r="V146" s="66"/>
      <c r="W146" s="66"/>
      <c r="X146" s="66"/>
      <c r="AB146" s="66"/>
      <c r="AG146" s="66"/>
    </row>
    <row r="147" spans="4:33">
      <c r="D147" s="66"/>
      <c r="G147" s="66"/>
      <c r="V147" s="66"/>
      <c r="W147" s="66"/>
      <c r="X147" s="66"/>
      <c r="AB147" s="66"/>
      <c r="AG147" s="66"/>
    </row>
    <row r="148" spans="4:33">
      <c r="D148" s="66"/>
      <c r="G148" s="66"/>
      <c r="V148" s="66"/>
      <c r="W148" s="66"/>
      <c r="X148" s="66"/>
      <c r="AB148" s="66"/>
      <c r="AG148" s="66"/>
    </row>
    <row r="149" spans="4:33">
      <c r="D149" s="66"/>
      <c r="G149" s="66"/>
      <c r="V149" s="66"/>
      <c r="W149" s="66"/>
      <c r="X149" s="66"/>
      <c r="AB149" s="66"/>
      <c r="AG149" s="66"/>
    </row>
    <row r="150" spans="4:33">
      <c r="D150" s="66"/>
      <c r="G150" s="66"/>
      <c r="V150" s="66"/>
      <c r="W150" s="66"/>
      <c r="X150" s="66"/>
      <c r="AB150" s="66"/>
      <c r="AG150" s="66"/>
    </row>
    <row r="151" spans="4:33">
      <c r="D151" s="66"/>
      <c r="G151" s="66"/>
      <c r="V151" s="66"/>
      <c r="W151" s="66"/>
      <c r="X151" s="66"/>
      <c r="AB151" s="66"/>
      <c r="AG151" s="66"/>
    </row>
    <row r="152" spans="4:33">
      <c r="D152" s="66"/>
      <c r="G152" s="66"/>
      <c r="V152" s="66"/>
      <c r="W152" s="66"/>
      <c r="X152" s="66"/>
      <c r="AB152" s="66"/>
      <c r="AG152" s="66"/>
    </row>
    <row r="153" spans="4:33">
      <c r="D153" s="66"/>
      <c r="G153" s="66"/>
      <c r="V153" s="66"/>
      <c r="W153" s="66"/>
      <c r="X153" s="66"/>
      <c r="AB153" s="66"/>
      <c r="AG153" s="66"/>
    </row>
    <row r="154" spans="4:33">
      <c r="D154" s="66"/>
      <c r="G154" s="66"/>
      <c r="V154" s="66"/>
      <c r="W154" s="66"/>
      <c r="X154" s="66"/>
      <c r="AB154" s="66"/>
      <c r="AG154" s="66"/>
    </row>
    <row r="155" spans="4:33">
      <c r="D155" s="66"/>
      <c r="G155" s="66"/>
      <c r="V155" s="66"/>
      <c r="W155" s="66"/>
      <c r="X155" s="66"/>
      <c r="AB155" s="66"/>
      <c r="AG155" s="66"/>
    </row>
    <row r="156" spans="4:33">
      <c r="D156" s="66"/>
      <c r="G156" s="66"/>
      <c r="V156" s="66"/>
      <c r="W156" s="66"/>
      <c r="X156" s="66"/>
      <c r="AB156" s="66"/>
      <c r="AG156" s="66"/>
    </row>
    <row r="157" spans="4:33">
      <c r="D157" s="66"/>
      <c r="G157" s="66"/>
      <c r="V157" s="66"/>
      <c r="W157" s="66"/>
      <c r="X157" s="66"/>
      <c r="AB157" s="66"/>
      <c r="AG157" s="66"/>
    </row>
    <row r="158" spans="4:33">
      <c r="D158" s="66"/>
      <c r="G158" s="66"/>
      <c r="V158" s="66"/>
      <c r="W158" s="66"/>
      <c r="X158" s="66"/>
      <c r="AB158" s="66"/>
      <c r="AG158" s="66"/>
    </row>
    <row r="159" spans="4:33">
      <c r="D159" s="66"/>
      <c r="G159" s="66"/>
      <c r="V159" s="66"/>
      <c r="W159" s="66"/>
      <c r="X159" s="66"/>
      <c r="AB159" s="66"/>
      <c r="AG159" s="66"/>
    </row>
    <row r="160" spans="4:33">
      <c r="D160" s="66"/>
      <c r="G160" s="66"/>
      <c r="V160" s="66"/>
      <c r="W160" s="66"/>
      <c r="X160" s="66"/>
      <c r="AB160" s="66"/>
      <c r="AG160" s="66"/>
    </row>
    <row r="161" spans="4:33">
      <c r="D161" s="66"/>
      <c r="G161" s="66"/>
      <c r="V161" s="66"/>
      <c r="W161" s="66"/>
      <c r="X161" s="66"/>
      <c r="AB161" s="66"/>
      <c r="AG161" s="66"/>
    </row>
    <row r="162" spans="4:33">
      <c r="D162" s="66"/>
      <c r="G162" s="66"/>
      <c r="V162" s="66"/>
      <c r="W162" s="66"/>
      <c r="X162" s="66"/>
      <c r="AB162" s="66"/>
      <c r="AG162" s="66"/>
    </row>
    <row r="163" spans="4:33">
      <c r="D163" s="66"/>
      <c r="G163" s="66"/>
      <c r="V163" s="66"/>
      <c r="W163" s="66"/>
      <c r="X163" s="66"/>
      <c r="AB163" s="66"/>
      <c r="AG163" s="66"/>
    </row>
    <row r="164" spans="4:33">
      <c r="D164" s="66"/>
      <c r="G164" s="66"/>
      <c r="V164" s="66"/>
      <c r="W164" s="66"/>
      <c r="X164" s="66"/>
      <c r="AB164" s="66"/>
      <c r="AG164" s="66"/>
    </row>
    <row r="165" spans="4:33">
      <c r="D165" s="66"/>
      <c r="G165" s="66"/>
      <c r="V165" s="66"/>
      <c r="W165" s="66"/>
      <c r="X165" s="66"/>
      <c r="AB165" s="66"/>
      <c r="AG165" s="66"/>
    </row>
    <row r="166" spans="4:33">
      <c r="D166" s="66"/>
      <c r="G166" s="66"/>
      <c r="V166" s="66"/>
      <c r="W166" s="66"/>
      <c r="X166" s="66"/>
      <c r="AB166" s="66"/>
      <c r="AG166" s="66"/>
    </row>
    <row r="167" spans="4:33">
      <c r="D167" s="66"/>
      <c r="G167" s="66"/>
      <c r="V167" s="66"/>
      <c r="W167" s="66"/>
      <c r="X167" s="66"/>
      <c r="AB167" s="66"/>
      <c r="AG167" s="66"/>
    </row>
    <row r="168" spans="4:33">
      <c r="D168" s="66"/>
      <c r="G168" s="66"/>
      <c r="V168" s="66"/>
      <c r="W168" s="66"/>
      <c r="X168" s="66"/>
      <c r="AB168" s="66"/>
      <c r="AG168" s="66"/>
    </row>
    <row r="169" spans="4:33">
      <c r="D169" s="66"/>
      <c r="G169" s="66"/>
      <c r="V169" s="66"/>
      <c r="W169" s="66"/>
      <c r="X169" s="66"/>
      <c r="AB169" s="66"/>
      <c r="AG169" s="66"/>
    </row>
    <row r="170" spans="4:33">
      <c r="D170" s="66"/>
      <c r="G170" s="66"/>
      <c r="V170" s="66"/>
      <c r="W170" s="66"/>
      <c r="X170" s="66"/>
      <c r="AB170" s="66"/>
      <c r="AG170" s="66"/>
    </row>
    <row r="171" spans="4:33">
      <c r="D171" s="66"/>
      <c r="G171" s="66"/>
      <c r="V171" s="66"/>
      <c r="W171" s="66"/>
      <c r="X171" s="66"/>
      <c r="AB171" s="66"/>
      <c r="AG171" s="66"/>
    </row>
    <row r="172" spans="4:33">
      <c r="D172" s="66"/>
      <c r="G172" s="66"/>
      <c r="V172" s="66"/>
      <c r="W172" s="66"/>
      <c r="X172" s="66"/>
      <c r="AB172" s="66"/>
      <c r="AG172" s="66"/>
    </row>
    <row r="173" spans="4:33">
      <c r="D173" s="66"/>
      <c r="G173" s="66"/>
      <c r="V173" s="66"/>
      <c r="W173" s="66"/>
      <c r="X173" s="66"/>
      <c r="AB173" s="66"/>
      <c r="AG173" s="66"/>
    </row>
    <row r="174" spans="4:33">
      <c r="D174" s="66"/>
      <c r="G174" s="66"/>
      <c r="V174" s="66"/>
      <c r="W174" s="66"/>
      <c r="X174" s="66"/>
      <c r="AB174" s="66"/>
      <c r="AG174" s="66"/>
    </row>
    <row r="175" spans="4:33">
      <c r="D175" s="66"/>
      <c r="G175" s="66"/>
      <c r="V175" s="66"/>
      <c r="W175" s="66"/>
      <c r="X175" s="66"/>
      <c r="AB175" s="66"/>
      <c r="AG175" s="66"/>
    </row>
    <row r="176" spans="4:33">
      <c r="D176" s="66"/>
      <c r="G176" s="66"/>
      <c r="V176" s="66"/>
      <c r="W176" s="66"/>
      <c r="X176" s="66"/>
      <c r="AB176" s="66"/>
      <c r="AG176" s="66"/>
    </row>
    <row r="177" spans="4:33">
      <c r="D177" s="66"/>
      <c r="G177" s="66"/>
      <c r="V177" s="66"/>
      <c r="W177" s="66"/>
      <c r="X177" s="66"/>
      <c r="AB177" s="66"/>
      <c r="AG177" s="66"/>
    </row>
    <row r="178" spans="4:33">
      <c r="D178" s="66"/>
      <c r="G178" s="66"/>
      <c r="V178" s="66"/>
      <c r="W178" s="66"/>
      <c r="X178" s="66"/>
      <c r="AB178" s="66"/>
      <c r="AG178" s="66"/>
    </row>
    <row r="179" spans="4:33">
      <c r="D179" s="66"/>
      <c r="G179" s="66"/>
      <c r="V179" s="66"/>
      <c r="W179" s="66"/>
      <c r="X179" s="66"/>
      <c r="AB179" s="66"/>
      <c r="AG179" s="66"/>
    </row>
    <row r="180" spans="4:33">
      <c r="D180" s="66"/>
      <c r="G180" s="66"/>
      <c r="V180" s="66"/>
      <c r="W180" s="66"/>
      <c r="X180" s="66"/>
      <c r="AB180" s="66"/>
      <c r="AG180" s="66"/>
    </row>
    <row r="181" spans="4:33">
      <c r="D181" s="66"/>
      <c r="G181" s="66"/>
      <c r="V181" s="66"/>
      <c r="W181" s="66"/>
      <c r="X181" s="66"/>
      <c r="AB181" s="66"/>
      <c r="AG181" s="66"/>
    </row>
    <row r="182" spans="4:33">
      <c r="D182" s="66"/>
      <c r="G182" s="66"/>
      <c r="V182" s="66"/>
      <c r="W182" s="66"/>
      <c r="X182" s="66"/>
      <c r="AB182" s="66"/>
      <c r="AG182" s="66"/>
    </row>
    <row r="183" spans="4:33">
      <c r="D183" s="66"/>
      <c r="G183" s="66"/>
      <c r="V183" s="66"/>
      <c r="W183" s="66"/>
      <c r="X183" s="66"/>
      <c r="AB183" s="66"/>
      <c r="AG183" s="66"/>
    </row>
    <row r="184" spans="4:33">
      <c r="D184" s="66"/>
      <c r="G184" s="66"/>
      <c r="V184" s="66"/>
      <c r="W184" s="66"/>
      <c r="X184" s="66"/>
      <c r="AB184" s="66"/>
      <c r="AG184" s="66"/>
    </row>
    <row r="185" spans="4:33">
      <c r="D185" s="66"/>
      <c r="G185" s="66"/>
      <c r="V185" s="66"/>
      <c r="W185" s="66"/>
      <c r="X185" s="66"/>
      <c r="AB185" s="66"/>
      <c r="AG185" s="66"/>
    </row>
    <row r="186" spans="4:33">
      <c r="D186" s="66"/>
      <c r="G186" s="66"/>
      <c r="V186" s="66"/>
      <c r="W186" s="66"/>
      <c r="X186" s="66"/>
      <c r="AB186" s="66"/>
      <c r="AG186" s="66"/>
    </row>
    <row r="187" spans="4:33">
      <c r="D187" s="66"/>
      <c r="G187" s="66"/>
      <c r="V187" s="66"/>
      <c r="W187" s="66"/>
      <c r="X187" s="66"/>
      <c r="AB187" s="66"/>
      <c r="AG187" s="66"/>
    </row>
    <row r="188" spans="4:33">
      <c r="D188" s="66"/>
      <c r="G188" s="66"/>
      <c r="V188" s="66"/>
      <c r="W188" s="66"/>
      <c r="X188" s="66"/>
      <c r="AB188" s="66"/>
      <c r="AG188" s="66"/>
    </row>
    <row r="189" spans="4:33">
      <c r="D189" s="66"/>
      <c r="G189" s="66"/>
      <c r="V189" s="66"/>
      <c r="W189" s="66"/>
      <c r="X189" s="66"/>
      <c r="AB189" s="66"/>
      <c r="AG189" s="66"/>
    </row>
    <row r="190" spans="4:33">
      <c r="D190" s="66"/>
      <c r="G190" s="66"/>
      <c r="V190" s="66"/>
      <c r="W190" s="66"/>
      <c r="X190" s="66"/>
      <c r="AB190" s="66"/>
      <c r="AG190" s="66"/>
    </row>
    <row r="191" spans="4:33">
      <c r="D191" s="66"/>
      <c r="G191" s="66"/>
      <c r="V191" s="66"/>
      <c r="W191" s="66"/>
      <c r="X191" s="66"/>
      <c r="AB191" s="66"/>
      <c r="AG191" s="66"/>
    </row>
    <row r="192" spans="4:33">
      <c r="D192" s="66"/>
      <c r="G192" s="66"/>
      <c r="V192" s="66"/>
      <c r="W192" s="66"/>
      <c r="X192" s="66"/>
      <c r="AB192" s="66"/>
      <c r="AG192" s="66"/>
    </row>
    <row r="193" spans="4:33">
      <c r="D193" s="66"/>
      <c r="G193" s="66"/>
      <c r="V193" s="66"/>
      <c r="W193" s="66"/>
      <c r="X193" s="66"/>
      <c r="AB193" s="66"/>
      <c r="AG193" s="66"/>
    </row>
    <row r="194" spans="4:33">
      <c r="D194" s="66"/>
      <c r="G194" s="66"/>
      <c r="V194" s="66"/>
      <c r="W194" s="66"/>
      <c r="X194" s="66"/>
      <c r="AB194" s="66"/>
      <c r="AG194" s="66"/>
    </row>
    <row r="195" spans="4:33">
      <c r="D195" s="66"/>
      <c r="G195" s="66"/>
      <c r="V195" s="66"/>
      <c r="W195" s="66"/>
      <c r="X195" s="66"/>
      <c r="AB195" s="66"/>
      <c r="AG195" s="66"/>
    </row>
    <row r="196" spans="4:33">
      <c r="D196" s="66"/>
      <c r="G196" s="66"/>
      <c r="V196" s="66"/>
      <c r="W196" s="66"/>
      <c r="X196" s="66"/>
      <c r="AB196" s="66"/>
      <c r="AG196" s="66"/>
    </row>
    <row r="197" spans="4:33">
      <c r="D197" s="66"/>
      <c r="G197" s="66"/>
      <c r="V197" s="66"/>
      <c r="W197" s="66"/>
      <c r="X197" s="66"/>
      <c r="AB197" s="66"/>
      <c r="AG197" s="66"/>
    </row>
    <row r="198" spans="4:33">
      <c r="D198" s="66"/>
      <c r="G198" s="66"/>
      <c r="V198" s="66"/>
      <c r="W198" s="66"/>
      <c r="X198" s="66"/>
      <c r="AB198" s="66"/>
      <c r="AG198" s="66"/>
    </row>
    <row r="199" spans="4:33">
      <c r="D199" s="66"/>
      <c r="G199" s="66"/>
      <c r="V199" s="66"/>
      <c r="W199" s="66"/>
      <c r="X199" s="66"/>
      <c r="AB199" s="66"/>
      <c r="AG199" s="66"/>
    </row>
    <row r="200" spans="4:33">
      <c r="D200" s="66"/>
      <c r="G200" s="66"/>
      <c r="V200" s="66"/>
      <c r="W200" s="66"/>
      <c r="X200" s="66"/>
      <c r="AB200" s="66"/>
      <c r="AG200" s="66"/>
    </row>
    <row r="201" spans="4:33">
      <c r="D201" s="66"/>
      <c r="G201" s="66"/>
      <c r="V201" s="66"/>
      <c r="W201" s="66"/>
      <c r="X201" s="66"/>
      <c r="AB201" s="66"/>
      <c r="AG201" s="66"/>
    </row>
    <row r="202" spans="4:33">
      <c r="D202" s="66"/>
      <c r="G202" s="66"/>
      <c r="V202" s="66"/>
      <c r="W202" s="66"/>
      <c r="X202" s="66"/>
      <c r="AB202" s="66"/>
      <c r="AG202" s="66"/>
    </row>
    <row r="203" spans="4:33">
      <c r="D203" s="66"/>
      <c r="G203" s="66"/>
      <c r="V203" s="66"/>
      <c r="W203" s="66"/>
      <c r="X203" s="66"/>
      <c r="AB203" s="66"/>
      <c r="AG203" s="66"/>
    </row>
    <row r="204" spans="4:33">
      <c r="D204" s="66"/>
      <c r="G204" s="66"/>
      <c r="V204" s="66"/>
      <c r="W204" s="66"/>
      <c r="X204" s="66"/>
      <c r="AB204" s="66"/>
      <c r="AG204" s="66"/>
    </row>
    <row r="205" spans="4:33">
      <c r="D205" s="66"/>
      <c r="G205" s="66"/>
      <c r="V205" s="66"/>
      <c r="W205" s="66"/>
      <c r="X205" s="66"/>
      <c r="AB205" s="66"/>
      <c r="AG205" s="66"/>
    </row>
    <row r="206" spans="4:33">
      <c r="D206" s="66"/>
      <c r="G206" s="66"/>
      <c r="V206" s="66"/>
      <c r="W206" s="66"/>
      <c r="X206" s="66"/>
      <c r="AB206" s="66"/>
      <c r="AG206" s="66"/>
    </row>
    <row r="207" spans="4:33">
      <c r="D207" s="66"/>
      <c r="G207" s="66"/>
      <c r="V207" s="66"/>
      <c r="W207" s="66"/>
      <c r="X207" s="66"/>
      <c r="AB207" s="66"/>
      <c r="AG207" s="66"/>
    </row>
    <row r="208" spans="4:33">
      <c r="D208" s="66"/>
      <c r="G208" s="66"/>
      <c r="V208" s="66"/>
      <c r="W208" s="66"/>
      <c r="X208" s="66"/>
      <c r="AB208" s="66"/>
      <c r="AG208" s="66"/>
    </row>
    <row r="209" spans="4:33">
      <c r="D209" s="66"/>
      <c r="G209" s="66"/>
      <c r="V209" s="66"/>
      <c r="W209" s="66"/>
      <c r="X209" s="66"/>
      <c r="AB209" s="66"/>
      <c r="AG209" s="66"/>
    </row>
    <row r="210" spans="4:33">
      <c r="D210" s="66"/>
      <c r="G210" s="66"/>
      <c r="V210" s="66"/>
      <c r="W210" s="66"/>
      <c r="X210" s="66"/>
      <c r="AB210" s="66"/>
      <c r="AG210" s="66"/>
    </row>
    <row r="211" spans="4:33">
      <c r="D211" s="66"/>
      <c r="G211" s="66"/>
      <c r="V211" s="66"/>
      <c r="W211" s="66"/>
      <c r="X211" s="66"/>
      <c r="AB211" s="66"/>
      <c r="AG211" s="66"/>
    </row>
    <row r="212" spans="4:33">
      <c r="D212" s="66"/>
      <c r="G212" s="66"/>
      <c r="V212" s="66"/>
      <c r="W212" s="66"/>
      <c r="X212" s="66"/>
      <c r="AB212" s="66"/>
      <c r="AG212" s="66"/>
    </row>
    <row r="213" spans="4:33">
      <c r="D213" s="66"/>
      <c r="G213" s="66"/>
      <c r="V213" s="66"/>
      <c r="W213" s="66"/>
      <c r="X213" s="66"/>
      <c r="AB213" s="66"/>
      <c r="AG213" s="66"/>
    </row>
    <row r="214" spans="4:33">
      <c r="D214" s="66"/>
      <c r="G214" s="66"/>
      <c r="V214" s="66"/>
      <c r="W214" s="66"/>
      <c r="X214" s="66"/>
      <c r="AB214" s="66"/>
      <c r="AG214" s="66"/>
    </row>
    <row r="215" spans="4:33">
      <c r="D215" s="66"/>
      <c r="G215" s="66"/>
      <c r="V215" s="66"/>
      <c r="W215" s="66"/>
      <c r="X215" s="66"/>
      <c r="AB215" s="66"/>
      <c r="AG215" s="66"/>
    </row>
    <row r="216" spans="4:33">
      <c r="D216" s="66"/>
      <c r="G216" s="66"/>
      <c r="V216" s="66"/>
      <c r="W216" s="66"/>
      <c r="X216" s="66"/>
      <c r="AB216" s="66"/>
      <c r="AG216" s="66"/>
    </row>
    <row r="217" spans="4:33">
      <c r="D217" s="66"/>
      <c r="G217" s="66"/>
      <c r="V217" s="66"/>
      <c r="W217" s="66"/>
      <c r="X217" s="66"/>
      <c r="AB217" s="66"/>
      <c r="AG217" s="66"/>
    </row>
    <row r="218" spans="4:33">
      <c r="D218" s="66"/>
      <c r="G218" s="66"/>
      <c r="V218" s="66"/>
      <c r="W218" s="66"/>
      <c r="X218" s="66"/>
      <c r="AB218" s="66"/>
      <c r="AG218" s="66"/>
    </row>
    <row r="219" spans="4:33">
      <c r="D219" s="66"/>
      <c r="G219" s="66"/>
      <c r="V219" s="66"/>
      <c r="W219" s="66"/>
      <c r="X219" s="66"/>
      <c r="AB219" s="66"/>
      <c r="AG219" s="66"/>
    </row>
    <row r="220" spans="4:33">
      <c r="D220" s="66"/>
      <c r="G220" s="66"/>
      <c r="V220" s="66"/>
      <c r="W220" s="66"/>
      <c r="X220" s="66"/>
      <c r="AB220" s="66"/>
      <c r="AG220" s="66"/>
    </row>
    <row r="221" spans="4:33">
      <c r="D221" s="66"/>
      <c r="G221" s="66"/>
      <c r="V221" s="66"/>
      <c r="W221" s="66"/>
      <c r="X221" s="66"/>
      <c r="AB221" s="66"/>
      <c r="AG221" s="66"/>
    </row>
    <row r="222" spans="4:33">
      <c r="D222" s="66"/>
      <c r="G222" s="66"/>
      <c r="V222" s="66"/>
      <c r="W222" s="66"/>
      <c r="X222" s="66"/>
      <c r="AB222" s="66"/>
      <c r="AG222" s="66"/>
    </row>
    <row r="223" spans="4:33">
      <c r="D223" s="66"/>
      <c r="G223" s="66"/>
      <c r="V223" s="66"/>
      <c r="W223" s="66"/>
      <c r="X223" s="66"/>
      <c r="AB223" s="66"/>
      <c r="AG223" s="66"/>
    </row>
    <row r="224" spans="4:33">
      <c r="D224" s="66"/>
      <c r="G224" s="66"/>
      <c r="V224" s="66"/>
      <c r="W224" s="66"/>
      <c r="X224" s="66"/>
      <c r="AB224" s="66"/>
      <c r="AG224" s="66"/>
    </row>
    <row r="225" spans="4:33">
      <c r="D225" s="66"/>
      <c r="G225" s="66"/>
      <c r="V225" s="66"/>
      <c r="W225" s="66"/>
      <c r="X225" s="66"/>
      <c r="AB225" s="66"/>
      <c r="AG225" s="66"/>
    </row>
    <row r="226" spans="4:33">
      <c r="D226" s="66"/>
      <c r="G226" s="66"/>
      <c r="V226" s="66"/>
      <c r="W226" s="66"/>
      <c r="X226" s="66"/>
      <c r="AB226" s="66"/>
      <c r="AG226" s="66"/>
    </row>
    <row r="227" spans="4:33">
      <c r="D227" s="66"/>
      <c r="G227" s="66"/>
      <c r="V227" s="66"/>
      <c r="W227" s="66"/>
      <c r="X227" s="66"/>
      <c r="AB227" s="66"/>
      <c r="AG227" s="66"/>
    </row>
    <row r="228" spans="4:33">
      <c r="D228" s="66"/>
      <c r="G228" s="66"/>
      <c r="V228" s="66"/>
      <c r="W228" s="66"/>
      <c r="X228" s="66"/>
      <c r="AB228" s="66"/>
      <c r="AG228" s="66"/>
    </row>
    <row r="229" spans="4:33">
      <c r="D229" s="66"/>
      <c r="G229" s="66"/>
      <c r="V229" s="66"/>
      <c r="W229" s="66"/>
      <c r="X229" s="66"/>
      <c r="AB229" s="66"/>
      <c r="AG229" s="66"/>
    </row>
    <row r="230" spans="4:33">
      <c r="D230" s="66"/>
      <c r="G230" s="66"/>
      <c r="V230" s="66"/>
      <c r="W230" s="66"/>
      <c r="X230" s="66"/>
      <c r="AB230" s="66"/>
      <c r="AG230" s="66"/>
    </row>
    <row r="231" spans="4:33">
      <c r="D231" s="66"/>
      <c r="G231" s="66"/>
      <c r="V231" s="66"/>
      <c r="W231" s="66"/>
      <c r="X231" s="66"/>
      <c r="AB231" s="66"/>
      <c r="AG231" s="66"/>
    </row>
    <row r="232" spans="4:33">
      <c r="D232" s="66"/>
      <c r="G232" s="66"/>
      <c r="V232" s="66"/>
      <c r="W232" s="66"/>
      <c r="X232" s="66"/>
      <c r="AB232" s="66"/>
      <c r="AG232" s="66"/>
    </row>
    <row r="233" spans="4:33">
      <c r="D233" s="66"/>
      <c r="G233" s="66"/>
      <c r="V233" s="66"/>
      <c r="W233" s="66"/>
      <c r="X233" s="66"/>
      <c r="AB233" s="66"/>
      <c r="AG233" s="66"/>
    </row>
    <row r="234" spans="4:33">
      <c r="D234" s="66"/>
      <c r="G234" s="66"/>
      <c r="V234" s="66"/>
      <c r="W234" s="66"/>
      <c r="X234" s="66"/>
      <c r="AB234" s="66"/>
      <c r="AG234" s="66"/>
    </row>
    <row r="235" spans="4:33">
      <c r="D235" s="66"/>
      <c r="G235" s="66"/>
      <c r="V235" s="66"/>
      <c r="W235" s="66"/>
      <c r="X235" s="66"/>
      <c r="AB235" s="66"/>
      <c r="AG235" s="66"/>
    </row>
    <row r="236" spans="4:33">
      <c r="D236" s="66"/>
      <c r="G236" s="66"/>
      <c r="V236" s="66"/>
      <c r="W236" s="66"/>
      <c r="X236" s="66"/>
      <c r="AB236" s="66"/>
      <c r="AG236" s="66"/>
    </row>
    <row r="237" spans="4:33">
      <c r="D237" s="66"/>
      <c r="G237" s="66"/>
      <c r="V237" s="66"/>
      <c r="W237" s="66"/>
      <c r="X237" s="66"/>
      <c r="AB237" s="66"/>
      <c r="AG237" s="66"/>
    </row>
    <row r="238" spans="4:33">
      <c r="D238" s="66"/>
      <c r="G238" s="66"/>
      <c r="V238" s="66"/>
      <c r="W238" s="66"/>
      <c r="X238" s="66"/>
      <c r="AB238" s="66"/>
      <c r="AG238" s="66"/>
    </row>
    <row r="239" spans="4:33">
      <c r="D239" s="66"/>
      <c r="G239" s="66"/>
      <c r="V239" s="66"/>
      <c r="W239" s="66"/>
      <c r="X239" s="66"/>
      <c r="AB239" s="66"/>
      <c r="AG239" s="66"/>
    </row>
    <row r="240" spans="4:33">
      <c r="D240" s="66"/>
      <c r="G240" s="66"/>
      <c r="V240" s="66"/>
      <c r="W240" s="66"/>
      <c r="X240" s="66"/>
      <c r="AB240" s="66"/>
      <c r="AG240" s="66"/>
    </row>
    <row r="241" spans="4:33">
      <c r="D241" s="66"/>
      <c r="G241" s="66"/>
      <c r="V241" s="66"/>
      <c r="W241" s="66"/>
      <c r="X241" s="66"/>
      <c r="AB241" s="66"/>
      <c r="AG241" s="66"/>
    </row>
    <row r="242" spans="4:33">
      <c r="D242" s="66"/>
      <c r="G242" s="66"/>
      <c r="V242" s="66"/>
      <c r="W242" s="66"/>
      <c r="X242" s="66"/>
      <c r="AB242" s="66"/>
      <c r="AG242" s="66"/>
    </row>
    <row r="243" spans="4:33">
      <c r="D243" s="66"/>
      <c r="G243" s="66"/>
      <c r="V243" s="66"/>
      <c r="W243" s="66"/>
      <c r="X243" s="66"/>
      <c r="AB243" s="66"/>
      <c r="AG243" s="66"/>
    </row>
    <row r="244" spans="4:33">
      <c r="D244" s="66"/>
      <c r="G244" s="66"/>
      <c r="V244" s="66"/>
      <c r="W244" s="66"/>
      <c r="X244" s="66"/>
      <c r="AB244" s="66"/>
      <c r="AG244" s="66"/>
    </row>
    <row r="245" spans="4:33">
      <c r="D245" s="66"/>
      <c r="G245" s="66"/>
      <c r="V245" s="66"/>
      <c r="W245" s="66"/>
      <c r="X245" s="66"/>
      <c r="AB245" s="66"/>
      <c r="AG245" s="66"/>
    </row>
    <row r="246" spans="4:33">
      <c r="D246" s="66"/>
      <c r="G246" s="66"/>
      <c r="V246" s="66"/>
      <c r="W246" s="66"/>
      <c r="X246" s="66"/>
      <c r="AB246" s="66"/>
      <c r="AG246" s="66"/>
    </row>
    <row r="247" spans="4:33">
      <c r="D247" s="66"/>
      <c r="G247" s="66"/>
      <c r="V247" s="66"/>
      <c r="W247" s="66"/>
      <c r="X247" s="66"/>
      <c r="AB247" s="66"/>
      <c r="AG247" s="66"/>
    </row>
    <row r="248" spans="4:33">
      <c r="D248" s="66"/>
      <c r="G248" s="66"/>
      <c r="V248" s="66"/>
      <c r="W248" s="66"/>
      <c r="X248" s="66"/>
      <c r="AB248" s="66"/>
      <c r="AG248" s="66"/>
    </row>
    <row r="249" spans="4:33">
      <c r="D249" s="66"/>
      <c r="G249" s="66"/>
      <c r="V249" s="66"/>
      <c r="W249" s="66"/>
      <c r="X249" s="66"/>
      <c r="AB249" s="66"/>
      <c r="AG249" s="66"/>
    </row>
    <row r="250" spans="4:33">
      <c r="D250" s="66"/>
      <c r="G250" s="66"/>
      <c r="V250" s="66"/>
      <c r="W250" s="66"/>
      <c r="X250" s="66"/>
      <c r="AB250" s="66"/>
      <c r="AG250" s="66"/>
    </row>
    <row r="251" spans="4:33">
      <c r="D251" s="66"/>
      <c r="G251" s="66"/>
      <c r="V251" s="66"/>
      <c r="W251" s="66"/>
      <c r="X251" s="66"/>
      <c r="AB251" s="66"/>
      <c r="AG251" s="66"/>
    </row>
    <row r="252" spans="4:33">
      <c r="D252" s="66"/>
      <c r="G252" s="66"/>
      <c r="V252" s="66"/>
      <c r="W252" s="66"/>
      <c r="X252" s="66"/>
      <c r="AB252" s="66"/>
      <c r="AG252" s="66"/>
    </row>
    <row r="253" spans="4:33">
      <c r="D253" s="66"/>
      <c r="G253" s="66"/>
      <c r="V253" s="66"/>
      <c r="W253" s="66"/>
      <c r="X253" s="66"/>
      <c r="AB253" s="66"/>
      <c r="AG253" s="66"/>
    </row>
    <row r="254" spans="4:33">
      <c r="D254" s="66"/>
      <c r="G254" s="66"/>
      <c r="V254" s="66"/>
      <c r="W254" s="66"/>
      <c r="X254" s="66"/>
      <c r="AB254" s="66"/>
      <c r="AG254" s="66"/>
    </row>
    <row r="255" spans="4:33">
      <c r="D255" s="66"/>
      <c r="G255" s="66"/>
      <c r="V255" s="66"/>
      <c r="W255" s="66"/>
      <c r="X255" s="66"/>
      <c r="AB255" s="66"/>
      <c r="AG255" s="66"/>
    </row>
    <row r="256" spans="4:33">
      <c r="D256" s="66"/>
      <c r="G256" s="66"/>
      <c r="V256" s="66"/>
      <c r="W256" s="66"/>
      <c r="X256" s="66"/>
      <c r="AB256" s="66"/>
      <c r="AG256" s="66"/>
    </row>
    <row r="257" spans="4:33">
      <c r="D257" s="66"/>
      <c r="G257" s="66"/>
      <c r="V257" s="66"/>
      <c r="W257" s="66"/>
      <c r="X257" s="66"/>
      <c r="AB257" s="66"/>
      <c r="AG257" s="66"/>
    </row>
    <row r="258" spans="4:33">
      <c r="D258" s="66"/>
      <c r="G258" s="66"/>
      <c r="V258" s="66"/>
      <c r="W258" s="66"/>
      <c r="X258" s="66"/>
      <c r="AB258" s="66"/>
      <c r="AG258" s="66"/>
    </row>
    <row r="259" spans="4:33">
      <c r="D259" s="66"/>
      <c r="G259" s="66"/>
      <c r="V259" s="66"/>
      <c r="W259" s="66"/>
      <c r="X259" s="66"/>
      <c r="AB259" s="66"/>
      <c r="AG259" s="66"/>
    </row>
    <row r="260" spans="4:33">
      <c r="D260" s="66"/>
      <c r="G260" s="66"/>
      <c r="V260" s="66"/>
      <c r="W260" s="66"/>
      <c r="X260" s="66"/>
      <c r="AB260" s="66"/>
      <c r="AG260" s="66"/>
    </row>
    <row r="261" spans="4:33">
      <c r="D261" s="66"/>
      <c r="G261" s="66"/>
      <c r="V261" s="66"/>
      <c r="W261" s="66"/>
      <c r="X261" s="66"/>
      <c r="AB261" s="66"/>
      <c r="AG261" s="66"/>
    </row>
    <row r="262" spans="4:33">
      <c r="D262" s="66"/>
      <c r="G262" s="66"/>
      <c r="V262" s="66"/>
      <c r="W262" s="66"/>
      <c r="X262" s="66"/>
      <c r="AB262" s="66"/>
      <c r="AG262" s="66"/>
    </row>
    <row r="263" spans="4:33">
      <c r="D263" s="66"/>
      <c r="G263" s="66"/>
      <c r="V263" s="66"/>
      <c r="W263" s="66"/>
      <c r="X263" s="66"/>
      <c r="AB263" s="66"/>
      <c r="AG263" s="66"/>
    </row>
    <row r="264" spans="4:33">
      <c r="D264" s="66"/>
      <c r="G264" s="66"/>
      <c r="V264" s="66"/>
      <c r="W264" s="66"/>
      <c r="X264" s="66"/>
      <c r="AB264" s="66"/>
      <c r="AG264" s="66"/>
    </row>
    <row r="265" spans="4:33">
      <c r="D265" s="66"/>
      <c r="G265" s="66"/>
      <c r="V265" s="66"/>
      <c r="W265" s="66"/>
      <c r="X265" s="66"/>
      <c r="AB265" s="66"/>
      <c r="AG265" s="66"/>
    </row>
    <row r="266" spans="4:33">
      <c r="D266" s="66"/>
      <c r="G266" s="66"/>
      <c r="V266" s="66"/>
      <c r="W266" s="66"/>
      <c r="X266" s="66"/>
      <c r="AB266" s="66"/>
      <c r="AG266" s="66"/>
    </row>
    <row r="267" spans="4:33">
      <c r="D267" s="66"/>
      <c r="G267" s="66"/>
      <c r="V267" s="66"/>
      <c r="W267" s="66"/>
      <c r="X267" s="66"/>
      <c r="AB267" s="66"/>
      <c r="AG267" s="66"/>
    </row>
    <row r="268" spans="4:33">
      <c r="D268" s="66"/>
      <c r="G268" s="66"/>
      <c r="V268" s="66"/>
      <c r="W268" s="66"/>
      <c r="X268" s="66"/>
      <c r="AB268" s="66"/>
      <c r="AG268" s="66"/>
    </row>
    <row r="269" spans="4:33">
      <c r="D269" s="66"/>
      <c r="G269" s="66"/>
      <c r="V269" s="66"/>
      <c r="W269" s="66"/>
      <c r="X269" s="66"/>
      <c r="AB269" s="66"/>
      <c r="AG269" s="66"/>
    </row>
    <row r="270" spans="4:33">
      <c r="D270" s="66"/>
      <c r="G270" s="66"/>
      <c r="V270" s="66"/>
      <c r="W270" s="66"/>
      <c r="X270" s="66"/>
      <c r="AB270" s="66"/>
      <c r="AG270" s="66"/>
    </row>
    <row r="271" spans="4:33">
      <c r="D271" s="66"/>
      <c r="G271" s="66"/>
      <c r="V271" s="66"/>
      <c r="W271" s="66"/>
      <c r="X271" s="66"/>
      <c r="AB271" s="66"/>
      <c r="AG271" s="66"/>
    </row>
    <row r="272" spans="4:33">
      <c r="D272" s="66"/>
      <c r="G272" s="66"/>
      <c r="V272" s="66"/>
      <c r="W272" s="66"/>
      <c r="X272" s="66"/>
      <c r="AB272" s="66"/>
      <c r="AG272" s="66"/>
    </row>
    <row r="273" spans="4:33">
      <c r="D273" s="66"/>
      <c r="G273" s="66"/>
      <c r="V273" s="66"/>
      <c r="W273" s="66"/>
      <c r="X273" s="66"/>
      <c r="AB273" s="66"/>
      <c r="AG273" s="66"/>
    </row>
    <row r="274" spans="4:33">
      <c r="D274" s="66"/>
      <c r="G274" s="66"/>
      <c r="V274" s="66"/>
      <c r="W274" s="66"/>
      <c r="X274" s="66"/>
      <c r="AB274" s="66"/>
      <c r="AG274" s="66"/>
    </row>
    <row r="275" spans="4:33">
      <c r="D275" s="66"/>
      <c r="G275" s="66"/>
      <c r="V275" s="66"/>
      <c r="W275" s="66"/>
      <c r="X275" s="66"/>
      <c r="AB275" s="66"/>
      <c r="AG275" s="66"/>
    </row>
    <row r="276" spans="4:33">
      <c r="D276" s="66"/>
      <c r="G276" s="66"/>
      <c r="V276" s="66"/>
      <c r="W276" s="66"/>
      <c r="X276" s="66"/>
      <c r="AB276" s="66"/>
      <c r="AG276" s="66"/>
    </row>
    <row r="277" spans="4:33">
      <c r="D277" s="66"/>
      <c r="G277" s="66"/>
      <c r="V277" s="66"/>
      <c r="W277" s="66"/>
      <c r="X277" s="66"/>
      <c r="AB277" s="66"/>
      <c r="AG277" s="66"/>
    </row>
    <row r="278" spans="4:33">
      <c r="D278" s="66"/>
      <c r="G278" s="66"/>
      <c r="V278" s="66"/>
      <c r="W278" s="66"/>
      <c r="X278" s="66"/>
      <c r="AB278" s="66"/>
      <c r="AG278" s="66"/>
    </row>
    <row r="279" spans="4:33">
      <c r="D279" s="66"/>
      <c r="G279" s="66"/>
      <c r="V279" s="66"/>
      <c r="W279" s="66"/>
      <c r="X279" s="66"/>
      <c r="AB279" s="66"/>
      <c r="AG279" s="66"/>
    </row>
    <row r="280" spans="4:33">
      <c r="D280" s="66"/>
      <c r="G280" s="66"/>
      <c r="V280" s="66"/>
      <c r="W280" s="66"/>
      <c r="X280" s="66"/>
      <c r="AB280" s="66"/>
      <c r="AG280" s="66"/>
    </row>
    <row r="281" spans="4:33">
      <c r="D281" s="66"/>
      <c r="G281" s="66"/>
      <c r="V281" s="66"/>
      <c r="W281" s="66"/>
      <c r="X281" s="66"/>
      <c r="AB281" s="66"/>
      <c r="AG281" s="66"/>
    </row>
    <row r="282" spans="4:33">
      <c r="D282" s="66"/>
      <c r="G282" s="66"/>
      <c r="V282" s="66"/>
      <c r="W282" s="66"/>
      <c r="X282" s="66"/>
      <c r="AB282" s="66"/>
      <c r="AG282" s="66"/>
    </row>
    <row r="283" spans="4:33">
      <c r="D283" s="66"/>
      <c r="G283" s="66"/>
      <c r="V283" s="66"/>
      <c r="W283" s="66"/>
      <c r="X283" s="66"/>
      <c r="AB283" s="66"/>
      <c r="AG283" s="66"/>
    </row>
    <row r="284" spans="4:33">
      <c r="D284" s="66"/>
      <c r="G284" s="66"/>
      <c r="V284" s="66"/>
      <c r="W284" s="66"/>
      <c r="X284" s="66"/>
      <c r="AB284" s="66"/>
      <c r="AG284" s="66"/>
    </row>
    <row r="285" spans="4:33">
      <c r="D285" s="66"/>
      <c r="G285" s="66"/>
      <c r="V285" s="66"/>
      <c r="W285" s="66"/>
      <c r="X285" s="66"/>
      <c r="AB285" s="66"/>
      <c r="AG285" s="66"/>
    </row>
    <row r="286" spans="4:33">
      <c r="D286" s="66"/>
      <c r="G286" s="66"/>
      <c r="V286" s="66"/>
      <c r="W286" s="66"/>
      <c r="X286" s="66"/>
      <c r="AB286" s="66"/>
      <c r="AG286" s="66"/>
    </row>
    <row r="287" spans="4:33">
      <c r="D287" s="66"/>
      <c r="G287" s="66"/>
      <c r="V287" s="66"/>
      <c r="W287" s="66"/>
      <c r="X287" s="66"/>
      <c r="AB287" s="66"/>
      <c r="AG287" s="66"/>
    </row>
    <row r="288" spans="4:33">
      <c r="D288" s="66"/>
      <c r="G288" s="66"/>
      <c r="V288" s="66"/>
      <c r="W288" s="66"/>
      <c r="X288" s="66"/>
      <c r="AB288" s="66"/>
      <c r="AG288" s="66"/>
    </row>
    <row r="289" spans="4:33">
      <c r="D289" s="66"/>
      <c r="G289" s="66"/>
      <c r="V289" s="66"/>
      <c r="W289" s="66"/>
      <c r="X289" s="66"/>
      <c r="AB289" s="66"/>
      <c r="AG289" s="66"/>
    </row>
    <row r="290" spans="4:33">
      <c r="D290" s="66"/>
      <c r="G290" s="66"/>
      <c r="V290" s="66"/>
      <c r="W290" s="66"/>
      <c r="X290" s="66"/>
      <c r="AB290" s="66"/>
      <c r="AG290" s="66"/>
    </row>
    <row r="291" spans="4:33">
      <c r="D291" s="66"/>
      <c r="G291" s="66"/>
      <c r="V291" s="66"/>
      <c r="W291" s="66"/>
      <c r="X291" s="66"/>
      <c r="AB291" s="66"/>
      <c r="AG291" s="66"/>
    </row>
    <row r="292" spans="4:33">
      <c r="D292" s="66"/>
      <c r="G292" s="66"/>
      <c r="V292" s="66"/>
      <c r="W292" s="66"/>
      <c r="X292" s="66"/>
      <c r="AB292" s="66"/>
      <c r="AG292" s="66"/>
    </row>
    <row r="293" spans="4:33">
      <c r="D293" s="66"/>
      <c r="G293" s="66"/>
      <c r="V293" s="66"/>
      <c r="W293" s="66"/>
      <c r="X293" s="66"/>
      <c r="AB293" s="66"/>
      <c r="AG293" s="66"/>
    </row>
    <row r="294" spans="4:33">
      <c r="D294" s="66"/>
      <c r="G294" s="66"/>
      <c r="V294" s="66"/>
      <c r="W294" s="66"/>
      <c r="X294" s="66"/>
      <c r="AB294" s="66"/>
      <c r="AG294" s="66"/>
    </row>
    <row r="295" spans="4:33">
      <c r="D295" s="66"/>
      <c r="G295" s="66"/>
      <c r="V295" s="66"/>
      <c r="W295" s="66"/>
      <c r="X295" s="66"/>
      <c r="AB295" s="66"/>
      <c r="AG295" s="66"/>
    </row>
    <row r="296" spans="4:33">
      <c r="D296" s="66"/>
      <c r="G296" s="66"/>
      <c r="V296" s="66"/>
      <c r="W296" s="66"/>
      <c r="X296" s="66"/>
      <c r="AB296" s="66"/>
      <c r="AG296" s="66"/>
    </row>
    <row r="297" spans="4:33">
      <c r="D297" s="66"/>
      <c r="G297" s="66"/>
      <c r="V297" s="66"/>
      <c r="W297" s="66"/>
      <c r="X297" s="66"/>
      <c r="AB297" s="66"/>
      <c r="AG297" s="66"/>
    </row>
    <row r="298" spans="4:33">
      <c r="D298" s="66"/>
      <c r="G298" s="66"/>
      <c r="V298" s="66"/>
      <c r="W298" s="66"/>
      <c r="X298" s="66"/>
      <c r="AB298" s="66"/>
      <c r="AG298" s="66"/>
    </row>
    <row r="299" spans="4:33">
      <c r="D299" s="66"/>
      <c r="G299" s="66"/>
      <c r="V299" s="66"/>
      <c r="W299" s="66"/>
      <c r="X299" s="66"/>
      <c r="AB299" s="66"/>
      <c r="AG299" s="66"/>
    </row>
    <row r="300" spans="4:33">
      <c r="D300" s="66"/>
      <c r="G300" s="66"/>
      <c r="V300" s="66"/>
      <c r="W300" s="66"/>
      <c r="X300" s="66"/>
      <c r="AB300" s="66"/>
      <c r="AG300" s="66"/>
    </row>
    <row r="301" spans="4:33">
      <c r="D301" s="66"/>
      <c r="G301" s="66"/>
      <c r="V301" s="66"/>
      <c r="W301" s="66"/>
      <c r="X301" s="66"/>
      <c r="AB301" s="66"/>
      <c r="AG301" s="66"/>
    </row>
    <row r="302" spans="4:33">
      <c r="D302" s="66"/>
      <c r="G302" s="66"/>
      <c r="V302" s="66"/>
      <c r="W302" s="66"/>
      <c r="X302" s="66"/>
      <c r="AB302" s="66"/>
      <c r="AG302" s="66"/>
    </row>
    <row r="303" spans="4:33">
      <c r="D303" s="66"/>
      <c r="G303" s="66"/>
      <c r="V303" s="66"/>
      <c r="W303" s="66"/>
      <c r="X303" s="66"/>
      <c r="AB303" s="66"/>
      <c r="AG303" s="66"/>
    </row>
    <row r="304" spans="4:33">
      <c r="D304" s="66"/>
      <c r="G304" s="66"/>
      <c r="V304" s="66"/>
      <c r="W304" s="66"/>
      <c r="X304" s="66"/>
      <c r="AB304" s="66"/>
      <c r="AG304" s="66"/>
    </row>
    <row r="305" spans="4:33">
      <c r="D305" s="66"/>
      <c r="G305" s="66"/>
      <c r="V305" s="66"/>
      <c r="W305" s="66"/>
      <c r="X305" s="66"/>
      <c r="AB305" s="66"/>
      <c r="AG305" s="66"/>
    </row>
    <row r="306" spans="4:33">
      <c r="D306" s="66"/>
      <c r="G306" s="66"/>
      <c r="V306" s="66"/>
      <c r="W306" s="66"/>
      <c r="X306" s="66"/>
      <c r="AB306" s="66"/>
      <c r="AG306" s="66"/>
    </row>
    <row r="307" spans="4:33">
      <c r="D307" s="66"/>
      <c r="G307" s="66"/>
      <c r="V307" s="66"/>
      <c r="W307" s="66"/>
      <c r="X307" s="66"/>
      <c r="AB307" s="66"/>
      <c r="AG307" s="66"/>
    </row>
    <row r="308" spans="4:33">
      <c r="D308" s="66"/>
      <c r="G308" s="66"/>
      <c r="V308" s="66"/>
      <c r="W308" s="66"/>
      <c r="X308" s="66"/>
      <c r="AB308" s="66"/>
      <c r="AG308" s="66"/>
    </row>
    <row r="309" spans="4:33">
      <c r="D309" s="66"/>
      <c r="G309" s="66"/>
      <c r="V309" s="66"/>
      <c r="W309" s="66"/>
      <c r="X309" s="66"/>
      <c r="AB309" s="66"/>
      <c r="AG309" s="66"/>
    </row>
    <row r="310" spans="4:33">
      <c r="D310" s="66"/>
      <c r="G310" s="66"/>
      <c r="V310" s="66"/>
      <c r="W310" s="66"/>
      <c r="X310" s="66"/>
      <c r="AB310" s="66"/>
      <c r="AG310" s="66"/>
    </row>
    <row r="311" spans="4:33">
      <c r="D311" s="66"/>
      <c r="G311" s="66"/>
      <c r="V311" s="66"/>
      <c r="W311" s="66"/>
      <c r="X311" s="66"/>
      <c r="AB311" s="66"/>
      <c r="AG311" s="66"/>
    </row>
    <row r="312" spans="4:33">
      <c r="D312" s="66"/>
      <c r="G312" s="66"/>
      <c r="V312" s="66"/>
      <c r="W312" s="66"/>
      <c r="X312" s="66"/>
      <c r="AB312" s="66"/>
      <c r="AG312" s="66"/>
    </row>
    <row r="313" spans="4:33">
      <c r="D313" s="66"/>
      <c r="G313" s="66"/>
      <c r="V313" s="66"/>
      <c r="W313" s="66"/>
      <c r="X313" s="66"/>
      <c r="AB313" s="66"/>
      <c r="AG313" s="66"/>
    </row>
    <row r="314" spans="4:33">
      <c r="D314" s="66"/>
      <c r="G314" s="66"/>
      <c r="V314" s="66"/>
      <c r="W314" s="66"/>
      <c r="X314" s="66"/>
      <c r="AB314" s="66"/>
      <c r="AG314" s="66"/>
    </row>
    <row r="315" spans="4:33">
      <c r="D315" s="66"/>
      <c r="G315" s="66"/>
      <c r="V315" s="66"/>
      <c r="W315" s="66"/>
      <c r="X315" s="66"/>
      <c r="AB315" s="66"/>
      <c r="AG315" s="66"/>
    </row>
    <row r="316" spans="4:33">
      <c r="D316" s="66"/>
      <c r="G316" s="66"/>
      <c r="V316" s="66"/>
      <c r="W316" s="66"/>
      <c r="X316" s="66"/>
      <c r="AB316" s="66"/>
      <c r="AG316" s="66"/>
    </row>
    <row r="317" spans="4:33">
      <c r="D317" s="66"/>
      <c r="G317" s="66"/>
      <c r="V317" s="66"/>
      <c r="W317" s="66"/>
      <c r="X317" s="66"/>
      <c r="AB317" s="66"/>
      <c r="AG317" s="66"/>
    </row>
    <row r="318" spans="4:33">
      <c r="D318" s="66"/>
      <c r="G318" s="66"/>
      <c r="V318" s="66"/>
      <c r="W318" s="66"/>
      <c r="X318" s="66"/>
      <c r="AB318" s="66"/>
      <c r="AG318" s="66"/>
    </row>
    <row r="319" spans="4:33">
      <c r="D319" s="66"/>
      <c r="G319" s="66"/>
      <c r="V319" s="66"/>
      <c r="W319" s="66"/>
      <c r="X319" s="66"/>
      <c r="AB319" s="66"/>
      <c r="AG319" s="66"/>
    </row>
    <row r="320" spans="4:33">
      <c r="D320" s="66"/>
      <c r="G320" s="66"/>
      <c r="V320" s="66"/>
      <c r="W320" s="66"/>
      <c r="X320" s="66"/>
      <c r="AB320" s="66"/>
      <c r="AG320" s="66"/>
    </row>
    <row r="321" spans="4:33">
      <c r="D321" s="66"/>
      <c r="G321" s="66"/>
      <c r="V321" s="66"/>
      <c r="W321" s="66"/>
      <c r="X321" s="66"/>
      <c r="AB321" s="66"/>
      <c r="AG321" s="66"/>
    </row>
    <row r="322" spans="4:33">
      <c r="D322" s="66"/>
      <c r="G322" s="66"/>
      <c r="V322" s="66"/>
      <c r="W322" s="66"/>
      <c r="X322" s="66"/>
      <c r="AB322" s="66"/>
      <c r="AG322" s="66"/>
    </row>
    <row r="323" spans="4:33">
      <c r="D323" s="66"/>
      <c r="G323" s="66"/>
      <c r="V323" s="66"/>
      <c r="W323" s="66"/>
      <c r="X323" s="66"/>
      <c r="AB323" s="66"/>
      <c r="AG323" s="66"/>
    </row>
    <row r="324" spans="4:33">
      <c r="D324" s="66"/>
      <c r="G324" s="66"/>
      <c r="V324" s="66"/>
      <c r="W324" s="66"/>
      <c r="X324" s="66"/>
      <c r="AB324" s="66"/>
      <c r="AG324" s="66"/>
    </row>
    <row r="325" spans="4:33">
      <c r="D325" s="66"/>
      <c r="G325" s="66"/>
      <c r="V325" s="66"/>
      <c r="W325" s="66"/>
      <c r="X325" s="66"/>
      <c r="AB325" s="66"/>
      <c r="AG325" s="66"/>
    </row>
    <row r="326" spans="4:33">
      <c r="D326" s="66"/>
      <c r="G326" s="66"/>
      <c r="V326" s="66"/>
      <c r="W326" s="66"/>
      <c r="X326" s="66"/>
      <c r="AB326" s="66"/>
      <c r="AG326" s="66"/>
    </row>
    <row r="327" spans="4:33">
      <c r="D327" s="66"/>
      <c r="G327" s="66"/>
      <c r="V327" s="66"/>
      <c r="W327" s="66"/>
      <c r="X327" s="66"/>
      <c r="AB327" s="66"/>
      <c r="AG327" s="66"/>
    </row>
    <row r="328" spans="4:33">
      <c r="D328" s="66"/>
      <c r="G328" s="66"/>
      <c r="V328" s="66"/>
      <c r="W328" s="66"/>
      <c r="X328" s="66"/>
      <c r="AB328" s="66"/>
      <c r="AG328" s="66"/>
    </row>
    <row r="329" spans="4:33">
      <c r="D329" s="66"/>
      <c r="G329" s="66"/>
      <c r="V329" s="66"/>
      <c r="W329" s="66"/>
      <c r="X329" s="66"/>
      <c r="AB329" s="66"/>
      <c r="AG329" s="66"/>
    </row>
    <row r="330" spans="4:33">
      <c r="D330" s="66"/>
      <c r="G330" s="66"/>
      <c r="V330" s="66"/>
      <c r="W330" s="66"/>
      <c r="X330" s="66"/>
      <c r="AB330" s="66"/>
      <c r="AG330" s="66"/>
    </row>
    <row r="331" spans="4:33">
      <c r="D331" s="66"/>
      <c r="G331" s="66"/>
      <c r="V331" s="66"/>
      <c r="W331" s="66"/>
      <c r="X331" s="66"/>
      <c r="AB331" s="66"/>
      <c r="AG331" s="66"/>
    </row>
    <row r="332" spans="4:33">
      <c r="D332" s="66"/>
      <c r="G332" s="66"/>
      <c r="V332" s="66"/>
      <c r="W332" s="66"/>
      <c r="X332" s="66"/>
      <c r="AB332" s="66"/>
      <c r="AG332" s="66"/>
    </row>
    <row r="333" spans="4:33">
      <c r="D333" s="66"/>
      <c r="G333" s="66"/>
      <c r="V333" s="66"/>
      <c r="W333" s="66"/>
      <c r="X333" s="66"/>
      <c r="AB333" s="66"/>
      <c r="AG333" s="66"/>
    </row>
    <row r="334" spans="4:33">
      <c r="D334" s="66"/>
      <c r="G334" s="66"/>
      <c r="V334" s="66"/>
      <c r="W334" s="66"/>
      <c r="X334" s="66"/>
      <c r="AB334" s="66"/>
      <c r="AG334" s="66"/>
    </row>
    <row r="335" spans="4:33">
      <c r="D335" s="66"/>
      <c r="G335" s="66"/>
      <c r="V335" s="66"/>
      <c r="W335" s="66"/>
      <c r="X335" s="66"/>
      <c r="AB335" s="66"/>
      <c r="AG335" s="66"/>
    </row>
    <row r="336" spans="4:33">
      <c r="D336" s="66"/>
      <c r="G336" s="66"/>
      <c r="V336" s="66"/>
      <c r="W336" s="66"/>
      <c r="X336" s="66"/>
      <c r="AB336" s="66"/>
      <c r="AG336" s="66"/>
    </row>
    <row r="337" spans="4:33">
      <c r="D337" s="66"/>
      <c r="G337" s="66"/>
      <c r="V337" s="66"/>
      <c r="W337" s="66"/>
      <c r="X337" s="66"/>
      <c r="AB337" s="66"/>
      <c r="AG337" s="66"/>
    </row>
    <row r="338" spans="4:33">
      <c r="D338" s="66"/>
      <c r="G338" s="66"/>
      <c r="V338" s="66"/>
      <c r="W338" s="66"/>
      <c r="X338" s="66"/>
      <c r="AB338" s="66"/>
      <c r="AG338" s="66"/>
    </row>
    <row r="339" spans="4:33">
      <c r="D339" s="66"/>
      <c r="G339" s="66"/>
      <c r="V339" s="66"/>
      <c r="W339" s="66"/>
      <c r="X339" s="66"/>
      <c r="AB339" s="66"/>
      <c r="AG339" s="66"/>
    </row>
    <row r="340" spans="4:33">
      <c r="D340" s="66"/>
      <c r="G340" s="66"/>
      <c r="V340" s="66"/>
      <c r="W340" s="66"/>
      <c r="X340" s="66"/>
      <c r="AB340" s="66"/>
      <c r="AG340" s="66"/>
    </row>
    <row r="341" spans="4:33">
      <c r="D341" s="66"/>
      <c r="G341" s="66"/>
      <c r="V341" s="66"/>
      <c r="W341" s="66"/>
      <c r="X341" s="66"/>
      <c r="AB341" s="66"/>
      <c r="AG341" s="66"/>
    </row>
    <row r="342" spans="4:33">
      <c r="D342" s="66"/>
      <c r="G342" s="66"/>
      <c r="V342" s="66"/>
      <c r="W342" s="66"/>
      <c r="X342" s="66"/>
      <c r="AB342" s="66"/>
      <c r="AG342" s="66"/>
    </row>
    <row r="343" spans="4:33">
      <c r="D343" s="66"/>
      <c r="G343" s="66"/>
      <c r="V343" s="66"/>
      <c r="W343" s="66"/>
      <c r="X343" s="66"/>
      <c r="AB343" s="66"/>
      <c r="AG343" s="66"/>
    </row>
    <row r="344" spans="4:33">
      <c r="D344" s="66"/>
      <c r="G344" s="66"/>
      <c r="V344" s="66"/>
      <c r="W344" s="66"/>
      <c r="X344" s="66"/>
      <c r="AB344" s="66"/>
      <c r="AG344" s="66"/>
    </row>
    <row r="345" spans="4:33">
      <c r="D345" s="66"/>
      <c r="G345" s="66"/>
      <c r="V345" s="66"/>
      <c r="W345" s="66"/>
      <c r="X345" s="66"/>
      <c r="AB345" s="66"/>
      <c r="AG345" s="66"/>
    </row>
    <row r="346" spans="4:33">
      <c r="D346" s="66"/>
      <c r="G346" s="66"/>
      <c r="V346" s="66"/>
      <c r="W346" s="66"/>
      <c r="X346" s="66"/>
      <c r="AB346" s="66"/>
      <c r="AG346" s="66"/>
    </row>
    <row r="347" spans="4:33">
      <c r="D347" s="66"/>
      <c r="G347" s="66"/>
      <c r="V347" s="66"/>
      <c r="W347" s="66"/>
      <c r="X347" s="66"/>
      <c r="AB347" s="66"/>
      <c r="AG347" s="66"/>
    </row>
    <row r="348" spans="4:33">
      <c r="D348" s="66"/>
      <c r="G348" s="66"/>
      <c r="V348" s="66"/>
      <c r="W348" s="66"/>
      <c r="X348" s="66"/>
      <c r="AB348" s="66"/>
      <c r="AG348" s="66"/>
    </row>
    <row r="349" spans="4:33">
      <c r="D349" s="66"/>
      <c r="G349" s="66"/>
      <c r="V349" s="66"/>
      <c r="W349" s="66"/>
      <c r="X349" s="66"/>
      <c r="AB349" s="66"/>
      <c r="AG349" s="66"/>
    </row>
    <row r="350" spans="4:33">
      <c r="D350" s="66"/>
      <c r="G350" s="66"/>
      <c r="V350" s="66"/>
      <c r="W350" s="66"/>
      <c r="X350" s="66"/>
      <c r="AB350" s="66"/>
      <c r="AG350" s="66"/>
    </row>
    <row r="351" spans="4:33">
      <c r="D351" s="66"/>
      <c r="G351" s="66"/>
      <c r="V351" s="66"/>
      <c r="W351" s="66"/>
      <c r="X351" s="66"/>
      <c r="AB351" s="66"/>
      <c r="AG351" s="66"/>
    </row>
    <row r="352" spans="4:33">
      <c r="D352" s="66"/>
      <c r="G352" s="66"/>
      <c r="V352" s="66"/>
      <c r="W352" s="66"/>
      <c r="X352" s="66"/>
      <c r="AB352" s="66"/>
      <c r="AG352" s="66"/>
    </row>
    <row r="353" spans="4:33">
      <c r="D353" s="66"/>
      <c r="G353" s="66"/>
      <c r="V353" s="66"/>
      <c r="W353" s="66"/>
      <c r="X353" s="66"/>
      <c r="AB353" s="66"/>
      <c r="AG353" s="66"/>
    </row>
    <row r="354" spans="4:33">
      <c r="D354" s="66"/>
      <c r="G354" s="66"/>
      <c r="V354" s="66"/>
      <c r="W354" s="66"/>
      <c r="X354" s="66"/>
      <c r="AB354" s="66"/>
      <c r="AG354" s="66"/>
    </row>
    <row r="355" spans="4:33">
      <c r="D355" s="66"/>
      <c r="G355" s="66"/>
      <c r="V355" s="66"/>
      <c r="W355" s="66"/>
      <c r="X355" s="66"/>
      <c r="AB355" s="66"/>
      <c r="AG355" s="66"/>
    </row>
    <row r="356" spans="4:33">
      <c r="D356" s="66"/>
      <c r="G356" s="66"/>
      <c r="V356" s="66"/>
      <c r="W356" s="66"/>
      <c r="X356" s="66"/>
      <c r="AB356" s="66"/>
      <c r="AG356" s="66"/>
    </row>
    <row r="357" spans="4:33">
      <c r="D357" s="66"/>
      <c r="G357" s="66"/>
      <c r="V357" s="66"/>
      <c r="W357" s="66"/>
      <c r="X357" s="66"/>
      <c r="AB357" s="66"/>
      <c r="AG357" s="66"/>
    </row>
    <row r="358" spans="4:33">
      <c r="D358" s="66"/>
      <c r="G358" s="66"/>
      <c r="V358" s="66"/>
      <c r="W358" s="66"/>
      <c r="X358" s="66"/>
      <c r="AB358" s="66"/>
      <c r="AG358" s="66"/>
    </row>
    <row r="359" spans="4:33">
      <c r="D359" s="66"/>
      <c r="G359" s="66"/>
      <c r="V359" s="66"/>
      <c r="W359" s="66"/>
      <c r="X359" s="66"/>
      <c r="AB359" s="66"/>
      <c r="AG359" s="66"/>
    </row>
    <row r="360" spans="4:33">
      <c r="D360" s="66"/>
      <c r="G360" s="66"/>
      <c r="V360" s="66"/>
      <c r="W360" s="66"/>
      <c r="X360" s="66"/>
      <c r="AB360" s="66"/>
      <c r="AG360" s="66"/>
    </row>
    <row r="361" spans="4:33">
      <c r="D361" s="66"/>
      <c r="G361" s="66"/>
      <c r="V361" s="66"/>
      <c r="W361" s="66"/>
      <c r="X361" s="66"/>
      <c r="AB361" s="66"/>
      <c r="AG361" s="66"/>
    </row>
    <row r="362" spans="4:33">
      <c r="D362" s="66"/>
      <c r="G362" s="66"/>
      <c r="V362" s="66"/>
      <c r="W362" s="66"/>
      <c r="X362" s="66"/>
      <c r="AB362" s="66"/>
      <c r="AG362" s="66"/>
    </row>
    <row r="363" spans="4:33">
      <c r="D363" s="66"/>
      <c r="G363" s="66"/>
      <c r="V363" s="66"/>
      <c r="W363" s="66"/>
      <c r="X363" s="66"/>
      <c r="AB363" s="66"/>
      <c r="AG363" s="66"/>
    </row>
    <row r="364" spans="4:33">
      <c r="D364" s="66"/>
      <c r="G364" s="66"/>
      <c r="V364" s="66"/>
      <c r="W364" s="66"/>
      <c r="X364" s="66"/>
      <c r="AB364" s="66"/>
      <c r="AG364" s="66"/>
    </row>
    <row r="365" spans="4:33">
      <c r="D365" s="66"/>
      <c r="G365" s="66"/>
      <c r="V365" s="66"/>
      <c r="W365" s="66"/>
      <c r="X365" s="66"/>
      <c r="AB365" s="66"/>
      <c r="AG365" s="66"/>
    </row>
    <row r="366" spans="4:33">
      <c r="D366" s="66"/>
      <c r="G366" s="66"/>
      <c r="V366" s="66"/>
      <c r="W366" s="66"/>
      <c r="X366" s="66"/>
      <c r="AB366" s="66"/>
      <c r="AG366" s="66"/>
    </row>
    <row r="367" spans="4:33">
      <c r="D367" s="66"/>
      <c r="G367" s="66"/>
      <c r="V367" s="66"/>
      <c r="W367" s="66"/>
      <c r="X367" s="66"/>
      <c r="AB367" s="66"/>
      <c r="AG367" s="66"/>
    </row>
    <row r="368" spans="4:33">
      <c r="D368" s="66"/>
      <c r="G368" s="66"/>
      <c r="V368" s="66"/>
      <c r="W368" s="66"/>
      <c r="X368" s="66"/>
      <c r="AB368" s="66"/>
      <c r="AG368" s="66"/>
    </row>
    <row r="369" spans="4:33">
      <c r="D369" s="66"/>
      <c r="G369" s="66"/>
      <c r="V369" s="66"/>
      <c r="W369" s="66"/>
      <c r="X369" s="66"/>
      <c r="AB369" s="66"/>
      <c r="AG369" s="66"/>
    </row>
    <row r="370" spans="4:33">
      <c r="D370" s="66"/>
      <c r="G370" s="66"/>
      <c r="V370" s="66"/>
      <c r="W370" s="66"/>
      <c r="X370" s="66"/>
      <c r="AB370" s="66"/>
      <c r="AG370" s="66"/>
    </row>
    <row r="371" spans="4:33">
      <c r="D371" s="66"/>
      <c r="G371" s="66"/>
      <c r="V371" s="66"/>
      <c r="W371" s="66"/>
      <c r="X371" s="66"/>
      <c r="AB371" s="66"/>
      <c r="AG371" s="66"/>
    </row>
    <row r="372" spans="4:33">
      <c r="D372" s="66"/>
      <c r="G372" s="66"/>
      <c r="V372" s="66"/>
      <c r="W372" s="66"/>
      <c r="X372" s="66"/>
      <c r="AB372" s="66"/>
      <c r="AG372" s="66"/>
    </row>
    <row r="373" spans="4:33">
      <c r="D373" s="66"/>
      <c r="G373" s="66"/>
      <c r="V373" s="66"/>
      <c r="W373" s="66"/>
      <c r="X373" s="66"/>
      <c r="AB373" s="66"/>
      <c r="AG373" s="66"/>
    </row>
    <row r="374" spans="4:33">
      <c r="D374" s="66"/>
      <c r="G374" s="66"/>
      <c r="V374" s="66"/>
      <c r="W374" s="66"/>
      <c r="X374" s="66"/>
      <c r="AB374" s="66"/>
      <c r="AG374" s="66"/>
    </row>
    <row r="375" spans="4:33">
      <c r="D375" s="66"/>
      <c r="G375" s="66"/>
      <c r="V375" s="66"/>
      <c r="W375" s="66"/>
      <c r="X375" s="66"/>
      <c r="AB375" s="66"/>
      <c r="AG375" s="66"/>
    </row>
    <row r="376" spans="4:33">
      <c r="D376" s="66"/>
      <c r="G376" s="66"/>
      <c r="V376" s="66"/>
      <c r="W376" s="66"/>
      <c r="X376" s="66"/>
      <c r="AB376" s="66"/>
      <c r="AG376" s="66"/>
    </row>
    <row r="377" spans="4:33">
      <c r="D377" s="66"/>
      <c r="G377" s="66"/>
      <c r="V377" s="66"/>
      <c r="W377" s="66"/>
      <c r="X377" s="66"/>
      <c r="AB377" s="66"/>
      <c r="AG377" s="66"/>
    </row>
    <row r="378" spans="4:33">
      <c r="D378" s="66"/>
      <c r="G378" s="66"/>
      <c r="V378" s="66"/>
      <c r="W378" s="66"/>
      <c r="X378" s="66"/>
      <c r="AB378" s="66"/>
      <c r="AG378" s="66"/>
    </row>
    <row r="379" spans="4:33">
      <c r="D379" s="66"/>
      <c r="G379" s="66"/>
      <c r="V379" s="66"/>
      <c r="W379" s="66"/>
      <c r="X379" s="66"/>
      <c r="AB379" s="66"/>
      <c r="AG379" s="66"/>
    </row>
    <row r="380" spans="4:33">
      <c r="D380" s="66"/>
      <c r="G380" s="66"/>
      <c r="V380" s="66"/>
      <c r="W380" s="66"/>
      <c r="X380" s="66"/>
      <c r="AB380" s="66"/>
      <c r="AG380" s="66"/>
    </row>
    <row r="381" spans="4:33">
      <c r="D381" s="66"/>
      <c r="G381" s="66"/>
      <c r="V381" s="66"/>
      <c r="W381" s="66"/>
      <c r="X381" s="66"/>
      <c r="AB381" s="66"/>
      <c r="AG381" s="66"/>
    </row>
    <row r="382" spans="4:33">
      <c r="D382" s="66"/>
      <c r="G382" s="66"/>
      <c r="V382" s="66"/>
      <c r="W382" s="66"/>
      <c r="X382" s="66"/>
      <c r="AB382" s="66"/>
      <c r="AG382" s="66"/>
    </row>
    <row r="383" spans="4:33">
      <c r="D383" s="66"/>
      <c r="G383" s="66"/>
      <c r="V383" s="66"/>
      <c r="W383" s="66"/>
      <c r="X383" s="66"/>
      <c r="AB383" s="66"/>
      <c r="AG383" s="66"/>
    </row>
    <row r="384" spans="4:33">
      <c r="D384" s="66"/>
      <c r="G384" s="66"/>
      <c r="V384" s="66"/>
      <c r="W384" s="66"/>
      <c r="X384" s="66"/>
      <c r="AB384" s="66"/>
      <c r="AG384" s="66"/>
    </row>
    <row r="385" spans="4:33">
      <c r="D385" s="66"/>
      <c r="G385" s="66"/>
      <c r="V385" s="66"/>
      <c r="W385" s="66"/>
      <c r="X385" s="66"/>
      <c r="AB385" s="66"/>
      <c r="AG385" s="66"/>
    </row>
    <row r="386" spans="4:33">
      <c r="D386" s="66"/>
      <c r="G386" s="66"/>
      <c r="V386" s="66"/>
      <c r="W386" s="66"/>
      <c r="X386" s="66"/>
      <c r="AB386" s="66"/>
      <c r="AG386" s="66"/>
    </row>
    <row r="387" spans="4:33">
      <c r="D387" s="66"/>
      <c r="G387" s="66"/>
      <c r="V387" s="66"/>
      <c r="W387" s="66"/>
      <c r="X387" s="66"/>
      <c r="AB387" s="66"/>
      <c r="AG387" s="66"/>
    </row>
    <row r="388" spans="4:33">
      <c r="D388" s="66"/>
      <c r="G388" s="66"/>
      <c r="V388" s="66"/>
      <c r="W388" s="66"/>
      <c r="X388" s="66"/>
      <c r="AB388" s="66"/>
      <c r="AG388" s="66"/>
    </row>
    <row r="389" spans="4:33">
      <c r="D389" s="66"/>
      <c r="G389" s="66"/>
      <c r="V389" s="66"/>
      <c r="W389" s="66"/>
      <c r="X389" s="66"/>
      <c r="AB389" s="66"/>
      <c r="AG389" s="66"/>
    </row>
    <row r="390" spans="4:33">
      <c r="D390" s="66"/>
      <c r="G390" s="66"/>
      <c r="V390" s="66"/>
      <c r="W390" s="66"/>
      <c r="X390" s="66"/>
      <c r="AB390" s="66"/>
      <c r="AG390" s="66"/>
    </row>
    <row r="391" spans="4:33">
      <c r="D391" s="66"/>
      <c r="G391" s="66"/>
      <c r="V391" s="66"/>
      <c r="W391" s="66"/>
      <c r="X391" s="66"/>
      <c r="AB391" s="66"/>
      <c r="AG391" s="66"/>
    </row>
    <row r="392" spans="4:33">
      <c r="D392" s="66"/>
      <c r="G392" s="66"/>
      <c r="V392" s="66"/>
      <c r="W392" s="66"/>
      <c r="X392" s="66"/>
      <c r="AB392" s="66"/>
      <c r="AG392" s="66"/>
    </row>
    <row r="393" spans="4:33">
      <c r="D393" s="66"/>
      <c r="G393" s="66"/>
      <c r="V393" s="66"/>
      <c r="W393" s="66"/>
      <c r="X393" s="66"/>
      <c r="AB393" s="66"/>
      <c r="AG393" s="66"/>
    </row>
    <row r="394" spans="4:33">
      <c r="D394" s="66"/>
      <c r="G394" s="66"/>
      <c r="V394" s="66"/>
      <c r="W394" s="66"/>
      <c r="X394" s="66"/>
      <c r="AB394" s="66"/>
      <c r="AG394" s="66"/>
    </row>
    <row r="395" spans="4:33">
      <c r="D395" s="66"/>
      <c r="G395" s="66"/>
      <c r="V395" s="66"/>
      <c r="W395" s="66"/>
      <c r="X395" s="66"/>
      <c r="AB395" s="66"/>
      <c r="AG395" s="66"/>
    </row>
    <row r="396" spans="4:33">
      <c r="D396" s="66"/>
      <c r="G396" s="66"/>
      <c r="V396" s="66"/>
      <c r="W396" s="66"/>
      <c r="X396" s="66"/>
      <c r="AB396" s="66"/>
      <c r="AG396" s="66"/>
    </row>
    <row r="397" spans="4:33">
      <c r="D397" s="66"/>
      <c r="G397" s="66"/>
      <c r="V397" s="66"/>
      <c r="W397" s="66"/>
      <c r="X397" s="66"/>
      <c r="AB397" s="66"/>
      <c r="AG397" s="66"/>
    </row>
    <row r="398" spans="4:33">
      <c r="D398" s="66"/>
      <c r="G398" s="66"/>
      <c r="V398" s="66"/>
      <c r="W398" s="66"/>
      <c r="X398" s="66"/>
      <c r="AB398" s="66"/>
      <c r="AG398" s="66"/>
    </row>
    <row r="399" spans="4:33">
      <c r="D399" s="66"/>
      <c r="G399" s="66"/>
      <c r="V399" s="66"/>
      <c r="W399" s="66"/>
      <c r="X399" s="66"/>
      <c r="AB399" s="66"/>
      <c r="AG399" s="66"/>
    </row>
    <row r="400" spans="4:33">
      <c r="D400" s="66"/>
      <c r="G400" s="66"/>
      <c r="V400" s="66"/>
      <c r="W400" s="66"/>
      <c r="X400" s="66"/>
      <c r="AB400" s="66"/>
      <c r="AG400" s="66"/>
    </row>
    <row r="401" spans="4:33">
      <c r="D401" s="66"/>
      <c r="G401" s="66"/>
      <c r="V401" s="66"/>
      <c r="W401" s="66"/>
      <c r="X401" s="66"/>
      <c r="AB401" s="66"/>
      <c r="AG401" s="66"/>
    </row>
    <row r="402" spans="4:33">
      <c r="D402" s="66"/>
      <c r="G402" s="66"/>
      <c r="V402" s="66"/>
      <c r="W402" s="66"/>
      <c r="X402" s="66"/>
      <c r="AB402" s="66"/>
      <c r="AG402" s="66"/>
    </row>
    <row r="403" spans="4:33">
      <c r="D403" s="66"/>
      <c r="G403" s="66"/>
      <c r="V403" s="66"/>
      <c r="W403" s="66"/>
      <c r="X403" s="66"/>
      <c r="AB403" s="66"/>
      <c r="AG403" s="66"/>
    </row>
    <row r="404" spans="4:33">
      <c r="D404" s="66"/>
      <c r="G404" s="66"/>
      <c r="V404" s="66"/>
      <c r="W404" s="66"/>
      <c r="X404" s="66"/>
      <c r="AB404" s="66"/>
      <c r="AG404" s="66"/>
    </row>
    <row r="405" spans="4:33">
      <c r="D405" s="66"/>
      <c r="G405" s="66"/>
      <c r="V405" s="66"/>
      <c r="W405" s="66"/>
      <c r="X405" s="66"/>
      <c r="AB405" s="66"/>
      <c r="AG405" s="66"/>
    </row>
    <row r="406" spans="4:33">
      <c r="D406" s="66"/>
      <c r="G406" s="66"/>
      <c r="V406" s="66"/>
      <c r="W406" s="66"/>
      <c r="X406" s="66"/>
      <c r="AB406" s="66"/>
      <c r="AG406" s="66"/>
    </row>
    <row r="407" spans="4:33">
      <c r="D407" s="66"/>
      <c r="G407" s="66"/>
      <c r="V407" s="66"/>
      <c r="W407" s="66"/>
      <c r="X407" s="66"/>
      <c r="AB407" s="66"/>
      <c r="AG407" s="66"/>
    </row>
    <row r="408" spans="4:33">
      <c r="D408" s="66"/>
      <c r="G408" s="66"/>
      <c r="V408" s="66"/>
      <c r="W408" s="66"/>
      <c r="X408" s="66"/>
      <c r="AB408" s="66"/>
      <c r="AG408" s="66"/>
    </row>
    <row r="409" spans="4:33">
      <c r="D409" s="66"/>
      <c r="G409" s="66"/>
      <c r="V409" s="66"/>
      <c r="W409" s="66"/>
      <c r="X409" s="66"/>
      <c r="AB409" s="66"/>
      <c r="AG409" s="66"/>
    </row>
    <row r="410" spans="4:33">
      <c r="D410" s="66"/>
      <c r="G410" s="66"/>
      <c r="V410" s="66"/>
      <c r="W410" s="66"/>
      <c r="X410" s="66"/>
      <c r="AB410" s="66"/>
      <c r="AG410" s="66"/>
    </row>
    <row r="411" spans="4:33">
      <c r="D411" s="66"/>
      <c r="G411" s="66"/>
      <c r="V411" s="66"/>
      <c r="W411" s="66"/>
      <c r="X411" s="66"/>
      <c r="AB411" s="66"/>
      <c r="AG411" s="66"/>
    </row>
    <row r="412" spans="4:33">
      <c r="D412" s="66"/>
      <c r="G412" s="66"/>
      <c r="V412" s="66"/>
      <c r="W412" s="66"/>
      <c r="X412" s="66"/>
      <c r="AB412" s="66"/>
      <c r="AG412" s="66"/>
    </row>
    <row r="413" spans="4:33">
      <c r="D413" s="66"/>
      <c r="G413" s="66"/>
      <c r="V413" s="66"/>
      <c r="W413" s="66"/>
      <c r="X413" s="66"/>
      <c r="AB413" s="66"/>
      <c r="AG413" s="66"/>
    </row>
    <row r="414" spans="4:33">
      <c r="D414" s="66"/>
      <c r="G414" s="66"/>
      <c r="V414" s="66"/>
      <c r="W414" s="66"/>
      <c r="X414" s="66"/>
      <c r="AB414" s="66"/>
      <c r="AG414" s="66"/>
    </row>
    <row r="415" spans="4:33">
      <c r="D415" s="66"/>
      <c r="G415" s="66"/>
      <c r="V415" s="66"/>
      <c r="W415" s="66"/>
      <c r="X415" s="66"/>
      <c r="AB415" s="66"/>
      <c r="AG415" s="66"/>
    </row>
    <row r="416" spans="4:33">
      <c r="D416" s="66"/>
      <c r="G416" s="66"/>
      <c r="V416" s="66"/>
      <c r="W416" s="66"/>
      <c r="X416" s="66"/>
      <c r="AB416" s="66"/>
      <c r="AG416" s="66"/>
    </row>
    <row r="417" spans="4:33">
      <c r="D417" s="66"/>
      <c r="G417" s="66"/>
      <c r="V417" s="66"/>
      <c r="W417" s="66"/>
      <c r="X417" s="66"/>
      <c r="AB417" s="66"/>
      <c r="AG417" s="66"/>
    </row>
    <row r="418" spans="4:33">
      <c r="D418" s="66"/>
      <c r="G418" s="66"/>
      <c r="V418" s="66"/>
      <c r="W418" s="66"/>
      <c r="X418" s="66"/>
      <c r="AB418" s="66"/>
      <c r="AG418" s="66"/>
    </row>
    <row r="419" spans="4:33">
      <c r="D419" s="66"/>
      <c r="G419" s="66"/>
      <c r="V419" s="66"/>
      <c r="W419" s="66"/>
      <c r="X419" s="66"/>
      <c r="AB419" s="66"/>
      <c r="AG419" s="66"/>
    </row>
    <row r="420" spans="4:33">
      <c r="D420" s="66"/>
      <c r="G420" s="66"/>
      <c r="V420" s="66"/>
      <c r="W420" s="66"/>
      <c r="X420" s="66"/>
      <c r="AB420" s="66"/>
      <c r="AG420" s="66"/>
    </row>
    <row r="421" spans="4:33">
      <c r="D421" s="66"/>
      <c r="G421" s="66"/>
      <c r="V421" s="66"/>
      <c r="W421" s="66"/>
      <c r="X421" s="66"/>
      <c r="AB421" s="66"/>
      <c r="AG421" s="66"/>
    </row>
    <row r="422" spans="4:33">
      <c r="D422" s="66"/>
      <c r="G422" s="66"/>
      <c r="V422" s="66"/>
      <c r="W422" s="66"/>
      <c r="X422" s="66"/>
      <c r="AB422" s="66"/>
      <c r="AG422" s="66"/>
    </row>
    <row r="423" spans="4:33">
      <c r="D423" s="66"/>
      <c r="G423" s="66"/>
      <c r="V423" s="66"/>
      <c r="W423" s="66"/>
      <c r="X423" s="66"/>
      <c r="AB423" s="66"/>
      <c r="AG423" s="66"/>
    </row>
    <row r="424" spans="4:33">
      <c r="D424" s="66"/>
      <c r="G424" s="66"/>
      <c r="V424" s="66"/>
      <c r="W424" s="66"/>
      <c r="X424" s="66"/>
      <c r="AB424" s="66"/>
      <c r="AG424" s="66"/>
    </row>
    <row r="425" spans="4:33">
      <c r="D425" s="66"/>
      <c r="G425" s="66"/>
      <c r="V425" s="66"/>
      <c r="W425" s="66"/>
      <c r="X425" s="66"/>
      <c r="AB425" s="66"/>
      <c r="AG425" s="66"/>
    </row>
    <row r="426" spans="4:33">
      <c r="D426" s="66"/>
      <c r="G426" s="66"/>
      <c r="V426" s="66"/>
      <c r="W426" s="66"/>
      <c r="X426" s="66"/>
      <c r="AB426" s="66"/>
      <c r="AG426" s="66"/>
    </row>
    <row r="427" spans="4:33">
      <c r="D427" s="66"/>
      <c r="G427" s="66"/>
      <c r="V427" s="66"/>
      <c r="W427" s="66"/>
      <c r="X427" s="66"/>
      <c r="AB427" s="66"/>
      <c r="AG427" s="66"/>
    </row>
    <row r="428" spans="4:33">
      <c r="D428" s="66"/>
      <c r="G428" s="66"/>
      <c r="V428" s="66"/>
      <c r="W428" s="66"/>
      <c r="X428" s="66"/>
      <c r="AB428" s="66"/>
      <c r="AG428" s="66"/>
    </row>
    <row r="429" spans="4:33">
      <c r="D429" s="66"/>
      <c r="G429" s="66"/>
      <c r="V429" s="66"/>
      <c r="W429" s="66"/>
      <c r="X429" s="66"/>
      <c r="AB429" s="66"/>
      <c r="AG429" s="66"/>
    </row>
    <row r="430" spans="4:33">
      <c r="D430" s="66"/>
      <c r="G430" s="66"/>
      <c r="V430" s="66"/>
      <c r="W430" s="66"/>
      <c r="X430" s="66"/>
      <c r="AB430" s="66"/>
      <c r="AG430" s="66"/>
    </row>
    <row r="431" spans="4:33">
      <c r="D431" s="66"/>
      <c r="G431" s="66"/>
      <c r="V431" s="66"/>
      <c r="W431" s="66"/>
      <c r="X431" s="66"/>
      <c r="AB431" s="66"/>
      <c r="AG431" s="66"/>
    </row>
    <row r="432" spans="4:33">
      <c r="D432" s="66"/>
      <c r="G432" s="66"/>
      <c r="V432" s="66"/>
      <c r="W432" s="66"/>
      <c r="X432" s="66"/>
      <c r="AB432" s="66"/>
      <c r="AG432" s="66"/>
    </row>
    <row r="433" spans="4:33">
      <c r="D433" s="66"/>
      <c r="G433" s="66"/>
      <c r="V433" s="66"/>
      <c r="W433" s="66"/>
      <c r="X433" s="66"/>
      <c r="AB433" s="66"/>
      <c r="AG433" s="66"/>
    </row>
    <row r="434" spans="4:33">
      <c r="D434" s="66"/>
      <c r="G434" s="66"/>
      <c r="V434" s="66"/>
      <c r="W434" s="66"/>
      <c r="X434" s="66"/>
      <c r="AB434" s="66"/>
      <c r="AG434" s="66"/>
    </row>
    <row r="435" spans="4:33">
      <c r="D435" s="66"/>
      <c r="G435" s="66"/>
      <c r="V435" s="66"/>
      <c r="W435" s="66"/>
      <c r="X435" s="66"/>
      <c r="AB435" s="66"/>
      <c r="AG435" s="66"/>
    </row>
    <row r="436" spans="4:33">
      <c r="D436" s="66"/>
      <c r="G436" s="66"/>
      <c r="V436" s="66"/>
      <c r="W436" s="66"/>
      <c r="X436" s="66"/>
      <c r="AB436" s="66"/>
      <c r="AG436" s="66"/>
    </row>
    <row r="437" spans="4:33">
      <c r="D437" s="66"/>
      <c r="G437" s="66"/>
      <c r="V437" s="66"/>
      <c r="W437" s="66"/>
      <c r="X437" s="66"/>
      <c r="AB437" s="66"/>
      <c r="AG437" s="66"/>
    </row>
    <row r="438" spans="4:33">
      <c r="D438" s="66"/>
      <c r="G438" s="66"/>
      <c r="V438" s="66"/>
      <c r="W438" s="66"/>
      <c r="X438" s="66"/>
      <c r="AB438" s="66"/>
      <c r="AG438" s="66"/>
    </row>
    <row r="439" spans="4:33">
      <c r="D439" s="66"/>
      <c r="G439" s="66"/>
      <c r="V439" s="66"/>
      <c r="W439" s="66"/>
      <c r="X439" s="66"/>
      <c r="AB439" s="66"/>
      <c r="AG439" s="66"/>
    </row>
    <row r="440" spans="4:33">
      <c r="D440" s="66"/>
      <c r="G440" s="66"/>
      <c r="V440" s="66"/>
      <c r="W440" s="66"/>
      <c r="X440" s="66"/>
      <c r="AB440" s="66"/>
      <c r="AG440" s="66"/>
    </row>
    <row r="441" spans="4:33">
      <c r="D441" s="66"/>
      <c r="G441" s="66"/>
      <c r="V441" s="66"/>
      <c r="W441" s="66"/>
      <c r="X441" s="66"/>
      <c r="AB441" s="66"/>
      <c r="AG441" s="66"/>
    </row>
    <row r="442" spans="4:33">
      <c r="D442" s="66"/>
      <c r="G442" s="66"/>
      <c r="V442" s="66"/>
      <c r="W442" s="66"/>
      <c r="X442" s="66"/>
      <c r="AB442" s="66"/>
      <c r="AG442" s="66"/>
    </row>
    <row r="443" spans="4:33">
      <c r="D443" s="66"/>
      <c r="G443" s="66"/>
      <c r="V443" s="66"/>
      <c r="W443" s="66"/>
      <c r="X443" s="66"/>
      <c r="AB443" s="66"/>
      <c r="AG443" s="66"/>
    </row>
    <row r="444" spans="4:33">
      <c r="D444" s="66"/>
      <c r="G444" s="66"/>
      <c r="V444" s="66"/>
      <c r="W444" s="66"/>
      <c r="X444" s="66"/>
      <c r="AB444" s="66"/>
      <c r="AG444" s="66"/>
    </row>
    <row r="445" spans="4:33">
      <c r="D445" s="66"/>
      <c r="G445" s="66"/>
      <c r="V445" s="66"/>
      <c r="W445" s="66"/>
      <c r="X445" s="66"/>
      <c r="AB445" s="66"/>
      <c r="AG445" s="66"/>
    </row>
    <row r="446" spans="4:33">
      <c r="D446" s="66"/>
      <c r="G446" s="66"/>
      <c r="V446" s="66"/>
      <c r="W446" s="66"/>
      <c r="X446" s="66"/>
      <c r="AB446" s="66"/>
      <c r="AG446" s="66"/>
    </row>
    <row r="447" spans="4:33">
      <c r="D447" s="66"/>
      <c r="G447" s="66"/>
      <c r="V447" s="66"/>
      <c r="W447" s="66"/>
      <c r="X447" s="66"/>
      <c r="AB447" s="66"/>
      <c r="AG447" s="66"/>
    </row>
    <row r="448" spans="4:33">
      <c r="D448" s="66"/>
      <c r="G448" s="66"/>
      <c r="V448" s="66"/>
      <c r="W448" s="66"/>
      <c r="X448" s="66"/>
      <c r="AB448" s="66"/>
      <c r="AG448" s="66"/>
    </row>
    <row r="449" spans="4:33">
      <c r="D449" s="66"/>
      <c r="G449" s="66"/>
      <c r="V449" s="66"/>
      <c r="W449" s="66"/>
      <c r="X449" s="66"/>
      <c r="AB449" s="66"/>
      <c r="AG449" s="66"/>
    </row>
    <row r="450" spans="4:33">
      <c r="D450" s="66"/>
      <c r="G450" s="66"/>
      <c r="V450" s="66"/>
      <c r="W450" s="66"/>
      <c r="X450" s="66"/>
      <c r="AB450" s="66"/>
      <c r="AG450" s="66"/>
    </row>
    <row r="451" spans="4:33">
      <c r="D451" s="66"/>
      <c r="G451" s="66"/>
      <c r="V451" s="66"/>
      <c r="W451" s="66"/>
      <c r="X451" s="66"/>
      <c r="AB451" s="66"/>
      <c r="AG451" s="66"/>
    </row>
    <row r="452" spans="4:33">
      <c r="D452" s="66"/>
      <c r="G452" s="66"/>
      <c r="V452" s="66"/>
      <c r="W452" s="66"/>
      <c r="X452" s="66"/>
      <c r="AB452" s="66"/>
      <c r="AG452" s="66"/>
    </row>
    <row r="453" spans="4:33">
      <c r="D453" s="66"/>
      <c r="G453" s="66"/>
      <c r="V453" s="66"/>
      <c r="W453" s="66"/>
      <c r="X453" s="66"/>
      <c r="AB453" s="66"/>
      <c r="AG453" s="66"/>
    </row>
    <row r="454" spans="4:33">
      <c r="D454" s="66"/>
      <c r="G454" s="66"/>
      <c r="V454" s="66"/>
      <c r="W454" s="66"/>
      <c r="X454" s="66"/>
      <c r="AB454" s="66"/>
      <c r="AG454" s="66"/>
    </row>
    <row r="455" spans="4:33">
      <c r="D455" s="66"/>
      <c r="G455" s="66"/>
      <c r="V455" s="66"/>
      <c r="W455" s="66"/>
      <c r="X455" s="66"/>
      <c r="AB455" s="66"/>
      <c r="AG455" s="66"/>
    </row>
    <row r="456" spans="4:33">
      <c r="D456" s="66"/>
      <c r="G456" s="66"/>
      <c r="V456" s="66"/>
      <c r="W456" s="66"/>
      <c r="X456" s="66"/>
      <c r="AB456" s="66"/>
      <c r="AG456" s="66"/>
    </row>
    <row r="457" spans="4:33">
      <c r="D457" s="66"/>
      <c r="G457" s="66"/>
      <c r="V457" s="66"/>
      <c r="W457" s="66"/>
      <c r="X457" s="66"/>
      <c r="AB457" s="66"/>
      <c r="AG457" s="66"/>
    </row>
    <row r="458" spans="4:33">
      <c r="D458" s="66"/>
      <c r="G458" s="66"/>
      <c r="V458" s="66"/>
      <c r="W458" s="66"/>
      <c r="X458" s="66"/>
      <c r="AB458" s="66"/>
      <c r="AG458" s="66"/>
    </row>
    <row r="459" spans="4:33">
      <c r="D459" s="66"/>
      <c r="G459" s="66"/>
      <c r="V459" s="66"/>
      <c r="W459" s="66"/>
      <c r="X459" s="66"/>
      <c r="AB459" s="66"/>
      <c r="AG459" s="66"/>
    </row>
    <row r="460" spans="4:33">
      <c r="D460" s="66"/>
      <c r="G460" s="66"/>
      <c r="V460" s="66"/>
      <c r="W460" s="66"/>
      <c r="X460" s="66"/>
      <c r="AB460" s="66"/>
      <c r="AG460" s="66"/>
    </row>
    <row r="461" spans="4:33">
      <c r="D461" s="66"/>
      <c r="G461" s="66"/>
      <c r="V461" s="66"/>
      <c r="W461" s="66"/>
      <c r="X461" s="66"/>
      <c r="AB461" s="66"/>
      <c r="AG461" s="66"/>
    </row>
    <row r="462" spans="4:33">
      <c r="D462" s="66"/>
      <c r="G462" s="66"/>
      <c r="V462" s="66"/>
      <c r="W462" s="66"/>
      <c r="X462" s="66"/>
      <c r="AB462" s="66"/>
      <c r="AG462" s="66"/>
    </row>
    <row r="463" spans="4:33">
      <c r="D463" s="66"/>
      <c r="G463" s="66"/>
      <c r="V463" s="66"/>
      <c r="W463" s="66"/>
      <c r="X463" s="66"/>
      <c r="AB463" s="66"/>
      <c r="AG463" s="66"/>
    </row>
    <row r="464" spans="4:33">
      <c r="D464" s="66"/>
      <c r="G464" s="66"/>
      <c r="V464" s="66"/>
      <c r="W464" s="66"/>
      <c r="X464" s="66"/>
      <c r="AB464" s="66"/>
      <c r="AG464" s="66"/>
    </row>
    <row r="465" spans="4:33">
      <c r="D465" s="66"/>
      <c r="G465" s="66"/>
      <c r="V465" s="66"/>
      <c r="W465" s="66"/>
      <c r="X465" s="66"/>
      <c r="AB465" s="66"/>
      <c r="AG465" s="66"/>
    </row>
    <row r="466" spans="4:33">
      <c r="D466" s="66"/>
      <c r="G466" s="66"/>
      <c r="V466" s="66"/>
      <c r="W466" s="66"/>
      <c r="X466" s="66"/>
      <c r="AB466" s="66"/>
      <c r="AG466" s="66"/>
    </row>
    <row r="467" spans="4:33">
      <c r="D467" s="66"/>
      <c r="G467" s="66"/>
      <c r="V467" s="66"/>
      <c r="W467" s="66"/>
      <c r="X467" s="66"/>
      <c r="AB467" s="66"/>
      <c r="AG467" s="66"/>
    </row>
    <row r="468" spans="4:33">
      <c r="D468" s="66"/>
      <c r="G468" s="66"/>
      <c r="V468" s="66"/>
      <c r="W468" s="66"/>
      <c r="X468" s="66"/>
      <c r="AB468" s="66"/>
      <c r="AG468" s="66"/>
    </row>
    <row r="469" spans="4:33">
      <c r="D469" s="66"/>
      <c r="G469" s="66"/>
      <c r="V469" s="66"/>
      <c r="W469" s="66"/>
      <c r="X469" s="66"/>
      <c r="AB469" s="66"/>
      <c r="AG469" s="66"/>
    </row>
    <row r="470" spans="4:33">
      <c r="D470" s="66"/>
      <c r="G470" s="66"/>
      <c r="V470" s="66"/>
      <c r="W470" s="66"/>
      <c r="X470" s="66"/>
      <c r="AB470" s="66"/>
      <c r="AG470" s="66"/>
    </row>
    <row r="471" spans="4:33">
      <c r="D471" s="66"/>
      <c r="G471" s="66"/>
      <c r="V471" s="66"/>
      <c r="W471" s="66"/>
      <c r="X471" s="66"/>
      <c r="AB471" s="66"/>
      <c r="AG471" s="66"/>
    </row>
    <row r="472" spans="4:33">
      <c r="D472" s="66"/>
      <c r="G472" s="66"/>
      <c r="V472" s="66"/>
      <c r="W472" s="66"/>
      <c r="X472" s="66"/>
      <c r="AB472" s="66"/>
      <c r="AG472" s="66"/>
    </row>
    <row r="473" spans="4:33">
      <c r="D473" s="66"/>
      <c r="G473" s="66"/>
      <c r="V473" s="66"/>
      <c r="W473" s="66"/>
      <c r="X473" s="66"/>
      <c r="AB473" s="66"/>
      <c r="AG473" s="66"/>
    </row>
    <row r="474" spans="4:33">
      <c r="D474" s="66"/>
      <c r="G474" s="66"/>
      <c r="V474" s="66"/>
      <c r="W474" s="66"/>
      <c r="X474" s="66"/>
      <c r="AB474" s="66"/>
      <c r="AG474" s="66"/>
    </row>
    <row r="475" spans="4:33">
      <c r="D475" s="66"/>
      <c r="G475" s="66"/>
      <c r="V475" s="66"/>
      <c r="W475" s="66"/>
      <c r="X475" s="66"/>
      <c r="AB475" s="66"/>
      <c r="AG475" s="66"/>
    </row>
    <row r="476" spans="4:33">
      <c r="D476" s="66"/>
      <c r="G476" s="66"/>
      <c r="V476" s="66"/>
      <c r="W476" s="66"/>
      <c r="X476" s="66"/>
      <c r="AB476" s="66"/>
      <c r="AG476" s="66"/>
    </row>
    <row r="477" spans="4:33">
      <c r="D477" s="66"/>
      <c r="G477" s="66"/>
      <c r="V477" s="66"/>
      <c r="W477" s="66"/>
      <c r="X477" s="66"/>
      <c r="AB477" s="66"/>
      <c r="AG477" s="66"/>
    </row>
    <row r="478" spans="4:33">
      <c r="D478" s="66"/>
      <c r="G478" s="66"/>
      <c r="V478" s="66"/>
      <c r="W478" s="66"/>
      <c r="X478" s="66"/>
      <c r="AB478" s="66"/>
      <c r="AG478" s="66"/>
    </row>
    <row r="479" spans="4:33">
      <c r="D479" s="66"/>
      <c r="G479" s="66"/>
      <c r="V479" s="66"/>
      <c r="W479" s="66"/>
      <c r="X479" s="66"/>
      <c r="AB479" s="66"/>
      <c r="AG479" s="66"/>
    </row>
    <row r="480" spans="4:33">
      <c r="D480" s="66"/>
      <c r="G480" s="66"/>
      <c r="V480" s="66"/>
      <c r="W480" s="66"/>
      <c r="X480" s="66"/>
      <c r="AB480" s="66"/>
      <c r="AG480" s="66"/>
    </row>
    <row r="481" spans="4:33">
      <c r="D481" s="66"/>
      <c r="G481" s="66"/>
      <c r="V481" s="66"/>
      <c r="W481" s="66"/>
      <c r="X481" s="66"/>
      <c r="AB481" s="66"/>
      <c r="AG481" s="66"/>
    </row>
    <row r="482" spans="4:33">
      <c r="D482" s="66"/>
      <c r="G482" s="66"/>
      <c r="V482" s="66"/>
      <c r="W482" s="66"/>
      <c r="X482" s="66"/>
      <c r="AB482" s="66"/>
      <c r="AG482" s="66"/>
    </row>
    <row r="483" spans="4:33">
      <c r="D483" s="66"/>
      <c r="G483" s="66"/>
      <c r="V483" s="66"/>
      <c r="W483" s="66"/>
      <c r="X483" s="66"/>
      <c r="AB483" s="66"/>
      <c r="AG483" s="66"/>
    </row>
    <row r="484" spans="4:33">
      <c r="D484" s="66"/>
      <c r="G484" s="66"/>
      <c r="V484" s="66"/>
      <c r="W484" s="66"/>
      <c r="X484" s="66"/>
      <c r="AB484" s="66"/>
      <c r="AG484" s="66"/>
    </row>
    <row r="485" spans="4:33">
      <c r="D485" s="66"/>
      <c r="G485" s="66"/>
      <c r="V485" s="66"/>
      <c r="W485" s="66"/>
      <c r="X485" s="66"/>
      <c r="AB485" s="66"/>
      <c r="AG485" s="66"/>
    </row>
    <row r="486" spans="4:33">
      <c r="D486" s="66"/>
      <c r="G486" s="66"/>
      <c r="V486" s="66"/>
      <c r="W486" s="66"/>
      <c r="X486" s="66"/>
      <c r="AB486" s="66"/>
      <c r="AG486" s="66"/>
    </row>
    <row r="487" spans="4:33">
      <c r="D487" s="66"/>
      <c r="G487" s="66"/>
      <c r="V487" s="66"/>
      <c r="W487" s="66"/>
      <c r="X487" s="66"/>
      <c r="AB487" s="66"/>
      <c r="AG487" s="66"/>
    </row>
    <row r="488" spans="4:33">
      <c r="D488" s="66"/>
      <c r="G488" s="66"/>
      <c r="V488" s="66"/>
      <c r="W488" s="66"/>
      <c r="X488" s="66"/>
      <c r="AB488" s="66"/>
      <c r="AG488" s="66"/>
    </row>
    <row r="489" spans="4:33">
      <c r="D489" s="66"/>
      <c r="G489" s="66"/>
      <c r="V489" s="66"/>
      <c r="W489" s="66"/>
      <c r="X489" s="66"/>
      <c r="AB489" s="66"/>
      <c r="AG489" s="66"/>
    </row>
    <row r="490" spans="4:33">
      <c r="D490" s="66"/>
      <c r="G490" s="66"/>
      <c r="V490" s="66"/>
      <c r="W490" s="66"/>
      <c r="X490" s="66"/>
      <c r="AB490" s="66"/>
      <c r="AG490" s="66"/>
    </row>
    <row r="491" spans="4:33">
      <c r="D491" s="66"/>
      <c r="G491" s="66"/>
      <c r="V491" s="66"/>
      <c r="W491" s="66"/>
      <c r="X491" s="66"/>
      <c r="AB491" s="66"/>
      <c r="AG491" s="66"/>
    </row>
    <row r="492" spans="4:33">
      <c r="D492" s="66"/>
      <c r="G492" s="66"/>
      <c r="V492" s="66"/>
      <c r="W492" s="66"/>
      <c r="X492" s="66"/>
      <c r="AB492" s="66"/>
      <c r="AG492" s="66"/>
    </row>
    <row r="493" spans="4:33">
      <c r="D493" s="66"/>
      <c r="G493" s="66"/>
      <c r="V493" s="66"/>
      <c r="W493" s="66"/>
      <c r="X493" s="66"/>
      <c r="AB493" s="66"/>
      <c r="AG493" s="66"/>
    </row>
    <row r="494" spans="4:33">
      <c r="D494" s="66"/>
      <c r="G494" s="66"/>
      <c r="V494" s="66"/>
      <c r="W494" s="66"/>
      <c r="X494" s="66"/>
      <c r="AB494" s="66"/>
      <c r="AG494" s="66"/>
    </row>
    <row r="495" spans="4:33">
      <c r="D495" s="66"/>
      <c r="G495" s="66"/>
      <c r="V495" s="66"/>
      <c r="W495" s="66"/>
      <c r="X495" s="66"/>
      <c r="AB495" s="66"/>
      <c r="AG495" s="66"/>
    </row>
    <row r="496" spans="4:33">
      <c r="D496" s="66"/>
      <c r="G496" s="66"/>
      <c r="V496" s="66"/>
      <c r="W496" s="66"/>
      <c r="X496" s="66"/>
      <c r="AB496" s="66"/>
      <c r="AG496" s="66"/>
    </row>
    <row r="497" spans="4:33">
      <c r="D497" s="66"/>
      <c r="G497" s="66"/>
      <c r="V497" s="66"/>
      <c r="W497" s="66"/>
      <c r="X497" s="66"/>
      <c r="AB497" s="66"/>
      <c r="AG497" s="66"/>
    </row>
    <row r="498" spans="4:33">
      <c r="D498" s="66"/>
      <c r="G498" s="66"/>
      <c r="V498" s="66"/>
      <c r="W498" s="66"/>
      <c r="X498" s="66"/>
      <c r="AB498" s="66"/>
      <c r="AG498" s="66"/>
    </row>
    <row r="499" spans="4:33">
      <c r="D499" s="66"/>
      <c r="G499" s="66"/>
      <c r="V499" s="66"/>
      <c r="W499" s="66"/>
      <c r="X499" s="66"/>
      <c r="AB499" s="66"/>
      <c r="AG499" s="66"/>
    </row>
    <row r="500" spans="4:33">
      <c r="D500" s="66"/>
      <c r="G500" s="66"/>
      <c r="V500" s="66"/>
      <c r="W500" s="66"/>
      <c r="X500" s="66"/>
      <c r="AB500" s="66"/>
      <c r="AG500" s="66"/>
    </row>
    <row r="501" spans="4:33">
      <c r="D501" s="66"/>
      <c r="G501" s="66"/>
      <c r="V501" s="66"/>
      <c r="W501" s="66"/>
      <c r="X501" s="66"/>
      <c r="AB501" s="66"/>
      <c r="AG501" s="66"/>
    </row>
    <row r="502" spans="4:33">
      <c r="D502" s="66"/>
      <c r="G502" s="66"/>
      <c r="V502" s="66"/>
      <c r="W502" s="66"/>
      <c r="X502" s="66"/>
      <c r="AB502" s="66"/>
      <c r="AG502" s="66"/>
    </row>
    <row r="503" spans="4:33">
      <c r="D503" s="66"/>
      <c r="G503" s="66"/>
      <c r="V503" s="66"/>
      <c r="W503" s="66"/>
      <c r="X503" s="66"/>
      <c r="AB503" s="66"/>
      <c r="AG503" s="66"/>
    </row>
    <row r="504" spans="4:33">
      <c r="D504" s="66"/>
      <c r="G504" s="66"/>
      <c r="V504" s="66"/>
      <c r="W504" s="66"/>
      <c r="X504" s="66"/>
      <c r="AB504" s="66"/>
      <c r="AG504" s="66"/>
    </row>
    <row r="505" spans="4:33">
      <c r="D505" s="66"/>
      <c r="G505" s="66"/>
      <c r="V505" s="66"/>
      <c r="W505" s="66"/>
      <c r="X505" s="66"/>
      <c r="AB505" s="66"/>
      <c r="AG505" s="66"/>
    </row>
    <row r="506" spans="4:33">
      <c r="D506" s="66"/>
      <c r="G506" s="66"/>
      <c r="V506" s="66"/>
      <c r="W506" s="66"/>
      <c r="X506" s="66"/>
      <c r="AB506" s="66"/>
      <c r="AG506" s="66"/>
    </row>
    <row r="507" spans="4:33">
      <c r="D507" s="66"/>
      <c r="G507" s="66"/>
      <c r="V507" s="66"/>
      <c r="W507" s="66"/>
      <c r="X507" s="66"/>
      <c r="AB507" s="66"/>
      <c r="AG507" s="66"/>
    </row>
    <row r="508" spans="4:33">
      <c r="D508" s="66"/>
      <c r="G508" s="66"/>
      <c r="V508" s="66"/>
      <c r="W508" s="66"/>
      <c r="X508" s="66"/>
      <c r="AB508" s="66"/>
      <c r="AG508" s="66"/>
    </row>
    <row r="509" spans="4:33">
      <c r="D509" s="66"/>
      <c r="G509" s="66"/>
      <c r="V509" s="66"/>
      <c r="W509" s="66"/>
      <c r="X509" s="66"/>
      <c r="AB509" s="66"/>
      <c r="AG509" s="66"/>
    </row>
    <row r="510" spans="4:33">
      <c r="D510" s="66"/>
      <c r="G510" s="66"/>
      <c r="V510" s="66"/>
      <c r="W510" s="66"/>
      <c r="X510" s="66"/>
      <c r="AB510" s="66"/>
      <c r="AG510" s="66"/>
    </row>
    <row r="511" spans="4:33">
      <c r="D511" s="66"/>
      <c r="G511" s="66"/>
      <c r="V511" s="66"/>
      <c r="W511" s="66"/>
      <c r="X511" s="66"/>
      <c r="AB511" s="66"/>
      <c r="AG511" s="66"/>
    </row>
    <row r="512" spans="4:33">
      <c r="D512" s="66"/>
      <c r="G512" s="66"/>
      <c r="V512" s="66"/>
      <c r="W512" s="66"/>
      <c r="X512" s="66"/>
      <c r="AB512" s="66"/>
      <c r="AG512" s="66"/>
    </row>
    <row r="513" spans="4:33">
      <c r="D513" s="66"/>
      <c r="G513" s="66"/>
      <c r="V513" s="66"/>
      <c r="W513" s="66"/>
      <c r="X513" s="66"/>
      <c r="AB513" s="66"/>
      <c r="AG513" s="66"/>
    </row>
    <row r="514" spans="4:33">
      <c r="D514" s="66"/>
      <c r="G514" s="66"/>
      <c r="V514" s="66"/>
      <c r="W514" s="66"/>
      <c r="X514" s="66"/>
      <c r="AB514" s="66"/>
      <c r="AG514" s="66"/>
    </row>
    <row r="515" spans="4:33">
      <c r="D515" s="66"/>
      <c r="G515" s="66"/>
      <c r="V515" s="66"/>
      <c r="W515" s="66"/>
      <c r="X515" s="66"/>
      <c r="AB515" s="66"/>
      <c r="AG515" s="66"/>
    </row>
    <row r="516" spans="4:33">
      <c r="D516" s="66"/>
      <c r="G516" s="66"/>
      <c r="V516" s="66"/>
      <c r="W516" s="66"/>
      <c r="X516" s="66"/>
      <c r="AB516" s="66"/>
      <c r="AG516" s="66"/>
    </row>
    <row r="517" spans="4:33">
      <c r="D517" s="66"/>
      <c r="G517" s="66"/>
      <c r="V517" s="66"/>
      <c r="W517" s="66"/>
      <c r="X517" s="66"/>
      <c r="AB517" s="66"/>
      <c r="AG517" s="66"/>
    </row>
    <row r="518" spans="4:33">
      <c r="D518" s="66"/>
      <c r="G518" s="66"/>
      <c r="V518" s="66"/>
      <c r="W518" s="66"/>
      <c r="X518" s="66"/>
      <c r="AB518" s="66"/>
      <c r="AG518" s="66"/>
    </row>
    <row r="519" spans="4:33">
      <c r="D519" s="66"/>
      <c r="G519" s="66"/>
      <c r="V519" s="66"/>
      <c r="W519" s="66"/>
      <c r="X519" s="66"/>
      <c r="AB519" s="66"/>
      <c r="AG519" s="66"/>
    </row>
    <row r="520" spans="4:33">
      <c r="D520" s="66"/>
      <c r="G520" s="66"/>
      <c r="V520" s="66"/>
      <c r="W520" s="66"/>
      <c r="X520" s="66"/>
      <c r="AB520" s="66"/>
      <c r="AG520" s="66"/>
    </row>
    <row r="521" spans="4:33">
      <c r="D521" s="66"/>
      <c r="G521" s="66"/>
      <c r="V521" s="66"/>
      <c r="W521" s="66"/>
      <c r="X521" s="66"/>
      <c r="AB521" s="66"/>
      <c r="AG521" s="66"/>
    </row>
    <row r="522" spans="4:33">
      <c r="D522" s="66"/>
      <c r="G522" s="66"/>
      <c r="V522" s="66"/>
      <c r="W522" s="66"/>
      <c r="X522" s="66"/>
      <c r="AB522" s="66"/>
      <c r="AG522" s="66"/>
    </row>
    <row r="523" spans="4:33">
      <c r="D523" s="66"/>
      <c r="G523" s="66"/>
      <c r="V523" s="66"/>
      <c r="W523" s="66"/>
      <c r="X523" s="66"/>
      <c r="AB523" s="66"/>
      <c r="AG523" s="66"/>
    </row>
    <row r="524" spans="4:33">
      <c r="D524" s="66"/>
      <c r="G524" s="66"/>
      <c r="V524" s="66"/>
      <c r="W524" s="66"/>
      <c r="X524" s="66"/>
      <c r="AB524" s="66"/>
      <c r="AG524" s="66"/>
    </row>
    <row r="525" spans="4:33">
      <c r="D525" s="66"/>
      <c r="G525" s="66"/>
      <c r="V525" s="66"/>
      <c r="W525" s="66"/>
      <c r="X525" s="66"/>
      <c r="AB525" s="66"/>
      <c r="AG525" s="66"/>
    </row>
    <row r="526" spans="4:33">
      <c r="D526" s="66"/>
      <c r="G526" s="66"/>
      <c r="V526" s="66"/>
      <c r="W526" s="66"/>
      <c r="X526" s="66"/>
      <c r="AB526" s="66"/>
      <c r="AG526" s="66"/>
    </row>
    <row r="527" spans="4:33">
      <c r="D527" s="66"/>
      <c r="G527" s="66"/>
      <c r="V527" s="66"/>
      <c r="W527" s="66"/>
      <c r="X527" s="66"/>
      <c r="AB527" s="66"/>
      <c r="AG527" s="66"/>
    </row>
    <row r="528" spans="4:33">
      <c r="D528" s="66"/>
      <c r="G528" s="66"/>
      <c r="V528" s="66"/>
      <c r="W528" s="66"/>
      <c r="X528" s="66"/>
      <c r="AB528" s="66"/>
      <c r="AG528" s="66"/>
    </row>
    <row r="529" spans="4:33">
      <c r="D529" s="66"/>
      <c r="G529" s="66"/>
      <c r="V529" s="66"/>
      <c r="W529" s="66"/>
      <c r="X529" s="66"/>
      <c r="AB529" s="66"/>
      <c r="AG529" s="66"/>
    </row>
    <row r="530" spans="4:33">
      <c r="D530" s="66"/>
      <c r="G530" s="66"/>
      <c r="V530" s="66"/>
      <c r="W530" s="66"/>
      <c r="X530" s="66"/>
      <c r="AB530" s="66"/>
      <c r="AG530" s="66"/>
    </row>
    <row r="531" spans="4:33">
      <c r="D531" s="66"/>
      <c r="G531" s="66"/>
      <c r="V531" s="66"/>
      <c r="W531" s="66"/>
      <c r="X531" s="66"/>
      <c r="AB531" s="66"/>
      <c r="AG531" s="66"/>
    </row>
    <row r="532" spans="4:33">
      <c r="D532" s="66"/>
      <c r="G532" s="66"/>
      <c r="V532" s="66"/>
      <c r="W532" s="66"/>
      <c r="X532" s="66"/>
      <c r="AB532" s="66"/>
      <c r="AG532" s="66"/>
    </row>
    <row r="533" spans="4:33">
      <c r="D533" s="66"/>
      <c r="G533" s="66"/>
      <c r="V533" s="66"/>
      <c r="W533" s="66"/>
      <c r="X533" s="66"/>
      <c r="AB533" s="66"/>
      <c r="AG533" s="66"/>
    </row>
    <row r="534" spans="4:33">
      <c r="D534" s="66"/>
      <c r="G534" s="66"/>
      <c r="V534" s="66"/>
      <c r="W534" s="66"/>
      <c r="X534" s="66"/>
      <c r="AB534" s="66"/>
      <c r="AG534" s="66"/>
    </row>
    <row r="535" spans="4:33">
      <c r="D535" s="66"/>
      <c r="G535" s="66"/>
      <c r="V535" s="66"/>
      <c r="W535" s="66"/>
      <c r="X535" s="66"/>
      <c r="AB535" s="66"/>
      <c r="AG535" s="66"/>
    </row>
    <row r="536" spans="4:33">
      <c r="D536" s="66"/>
      <c r="G536" s="66"/>
      <c r="V536" s="66"/>
      <c r="W536" s="66"/>
      <c r="X536" s="66"/>
      <c r="AB536" s="66"/>
      <c r="AG536" s="66"/>
    </row>
    <row r="537" spans="4:33">
      <c r="D537" s="66"/>
      <c r="G537" s="66"/>
      <c r="V537" s="66"/>
      <c r="W537" s="66"/>
      <c r="X537" s="66"/>
      <c r="AB537" s="66"/>
      <c r="AG537" s="66"/>
    </row>
    <row r="538" spans="4:33">
      <c r="D538" s="66"/>
      <c r="G538" s="66"/>
      <c r="V538" s="66"/>
      <c r="W538" s="66"/>
      <c r="X538" s="66"/>
      <c r="AB538" s="66"/>
      <c r="AG538" s="66"/>
    </row>
    <row r="539" spans="4:33">
      <c r="D539" s="66"/>
      <c r="G539" s="66"/>
      <c r="V539" s="66"/>
      <c r="W539" s="66"/>
      <c r="X539" s="66"/>
      <c r="AB539" s="66"/>
      <c r="AG539" s="66"/>
    </row>
    <row r="540" spans="4:33">
      <c r="D540" s="66"/>
      <c r="G540" s="66"/>
      <c r="V540" s="66"/>
      <c r="W540" s="66"/>
      <c r="X540" s="66"/>
      <c r="AB540" s="66"/>
      <c r="AG540" s="66"/>
    </row>
    <row r="541" spans="4:33">
      <c r="D541" s="66"/>
      <c r="G541" s="66"/>
      <c r="V541" s="66"/>
      <c r="W541" s="66"/>
      <c r="X541" s="66"/>
      <c r="AB541" s="66"/>
      <c r="AG541" s="66"/>
    </row>
    <row r="542" spans="4:33">
      <c r="D542" s="66"/>
      <c r="G542" s="66"/>
      <c r="V542" s="66"/>
      <c r="W542" s="66"/>
      <c r="X542" s="66"/>
      <c r="AB542" s="66"/>
      <c r="AG542" s="66"/>
    </row>
    <row r="543" spans="4:33">
      <c r="D543" s="66"/>
      <c r="G543" s="66"/>
      <c r="V543" s="66"/>
      <c r="W543" s="66"/>
      <c r="X543" s="66"/>
      <c r="AB543" s="66"/>
      <c r="AG543" s="66"/>
    </row>
    <row r="544" spans="4:33">
      <c r="D544" s="66"/>
      <c r="G544" s="66"/>
      <c r="V544" s="66"/>
      <c r="W544" s="66"/>
      <c r="X544" s="66"/>
      <c r="AB544" s="66"/>
      <c r="AG544" s="66"/>
    </row>
    <row r="545" spans="4:33">
      <c r="D545" s="66"/>
      <c r="G545" s="66"/>
      <c r="V545" s="66"/>
      <c r="W545" s="66"/>
      <c r="X545" s="66"/>
      <c r="AB545" s="66"/>
      <c r="AG545" s="66"/>
    </row>
    <row r="546" spans="4:33">
      <c r="D546" s="66"/>
      <c r="G546" s="66"/>
      <c r="V546" s="66"/>
      <c r="W546" s="66"/>
      <c r="X546" s="66"/>
      <c r="AB546" s="66"/>
      <c r="AG546" s="66"/>
    </row>
    <row r="547" spans="4:33">
      <c r="D547" s="66"/>
      <c r="G547" s="66"/>
      <c r="V547" s="66"/>
      <c r="W547" s="66"/>
      <c r="X547" s="66"/>
      <c r="AB547" s="66"/>
      <c r="AG547" s="66"/>
    </row>
    <row r="548" spans="4:33">
      <c r="D548" s="66"/>
      <c r="G548" s="66"/>
      <c r="V548" s="66"/>
      <c r="W548" s="66"/>
      <c r="X548" s="66"/>
      <c r="AB548" s="66"/>
      <c r="AG548" s="66"/>
    </row>
    <row r="549" spans="4:33">
      <c r="D549" s="66"/>
      <c r="G549" s="66"/>
      <c r="V549" s="66"/>
      <c r="W549" s="66"/>
      <c r="X549" s="66"/>
      <c r="AB549" s="66"/>
      <c r="AG549" s="66"/>
    </row>
    <row r="550" spans="4:33">
      <c r="D550" s="66"/>
      <c r="G550" s="66"/>
      <c r="V550" s="66"/>
      <c r="W550" s="66"/>
      <c r="X550" s="66"/>
      <c r="AB550" s="66"/>
      <c r="AG550" s="66"/>
    </row>
    <row r="551" spans="4:33">
      <c r="D551" s="66"/>
      <c r="G551" s="66"/>
      <c r="V551" s="66"/>
      <c r="W551" s="66"/>
      <c r="X551" s="66"/>
      <c r="AB551" s="66"/>
      <c r="AG551" s="66"/>
    </row>
    <row r="552" spans="4:33">
      <c r="D552" s="66"/>
      <c r="G552" s="66"/>
      <c r="V552" s="66"/>
      <c r="W552" s="66"/>
      <c r="X552" s="66"/>
      <c r="AB552" s="66"/>
      <c r="AG552" s="66"/>
    </row>
    <row r="553" spans="4:33">
      <c r="D553" s="66"/>
      <c r="G553" s="66"/>
      <c r="V553" s="66"/>
      <c r="W553" s="66"/>
      <c r="X553" s="66"/>
      <c r="AB553" s="66"/>
      <c r="AG553" s="66"/>
    </row>
    <row r="554" spans="4:33">
      <c r="D554" s="66"/>
      <c r="G554" s="66"/>
      <c r="V554" s="66"/>
      <c r="W554" s="66"/>
      <c r="X554" s="66"/>
      <c r="AB554" s="66"/>
      <c r="AG554" s="66"/>
    </row>
    <row r="555" spans="4:33">
      <c r="D555" s="66"/>
      <c r="G555" s="66"/>
      <c r="V555" s="66"/>
      <c r="W555" s="66"/>
      <c r="X555" s="66"/>
      <c r="AB555" s="66"/>
      <c r="AG555" s="66"/>
    </row>
    <row r="556" spans="4:33">
      <c r="D556" s="66"/>
      <c r="G556" s="66"/>
      <c r="V556" s="66"/>
      <c r="W556" s="66"/>
      <c r="X556" s="66"/>
      <c r="AB556" s="66"/>
      <c r="AG556" s="66"/>
    </row>
    <row r="557" spans="4:33">
      <c r="D557" s="66"/>
      <c r="G557" s="66"/>
      <c r="V557" s="66"/>
      <c r="W557" s="66"/>
      <c r="X557" s="66"/>
      <c r="AB557" s="66"/>
      <c r="AG557" s="66"/>
    </row>
    <row r="558" spans="4:33">
      <c r="D558" s="66"/>
      <c r="G558" s="66"/>
      <c r="V558" s="66"/>
      <c r="W558" s="66"/>
      <c r="X558" s="66"/>
      <c r="AB558" s="66"/>
      <c r="AG558" s="66"/>
    </row>
    <row r="559" spans="4:33">
      <c r="D559" s="66"/>
      <c r="G559" s="66"/>
      <c r="V559" s="66"/>
      <c r="W559" s="66"/>
      <c r="X559" s="66"/>
      <c r="AB559" s="66"/>
      <c r="AG559" s="66"/>
    </row>
    <row r="560" spans="4:33">
      <c r="D560" s="66"/>
      <c r="G560" s="66"/>
      <c r="V560" s="66"/>
      <c r="W560" s="66"/>
      <c r="X560" s="66"/>
      <c r="AB560" s="66"/>
      <c r="AG560" s="66"/>
    </row>
    <row r="561" spans="4:33">
      <c r="D561" s="66"/>
      <c r="G561" s="66"/>
      <c r="V561" s="66"/>
      <c r="W561" s="66"/>
      <c r="X561" s="66"/>
      <c r="AB561" s="66"/>
      <c r="AG561" s="66"/>
    </row>
    <row r="562" spans="4:33">
      <c r="D562" s="66"/>
      <c r="G562" s="66"/>
      <c r="V562" s="66"/>
      <c r="W562" s="66"/>
      <c r="X562" s="66"/>
      <c r="AB562" s="66"/>
      <c r="AG562" s="66"/>
    </row>
    <row r="563" spans="4:33">
      <c r="D563" s="66"/>
      <c r="G563" s="66"/>
      <c r="V563" s="66"/>
      <c r="W563" s="66"/>
      <c r="X563" s="66"/>
      <c r="AB563" s="66"/>
      <c r="AG563" s="66"/>
    </row>
    <row r="564" spans="4:33">
      <c r="D564" s="66"/>
      <c r="G564" s="66"/>
      <c r="V564" s="66"/>
      <c r="W564" s="66"/>
      <c r="X564" s="66"/>
      <c r="AB564" s="66"/>
      <c r="AG564" s="66"/>
    </row>
    <row r="565" spans="4:33">
      <c r="D565" s="66"/>
      <c r="G565" s="66"/>
      <c r="V565" s="66"/>
      <c r="W565" s="66"/>
      <c r="X565" s="66"/>
      <c r="AB565" s="66"/>
      <c r="AG565" s="66"/>
    </row>
    <row r="566" spans="4:33">
      <c r="D566" s="66"/>
      <c r="G566" s="66"/>
      <c r="V566" s="66"/>
      <c r="W566" s="66"/>
      <c r="X566" s="66"/>
      <c r="AB566" s="66"/>
      <c r="AG566" s="66"/>
    </row>
    <row r="567" spans="4:33">
      <c r="D567" s="66"/>
      <c r="G567" s="66"/>
      <c r="V567" s="66"/>
      <c r="W567" s="66"/>
      <c r="X567" s="66"/>
      <c r="AB567" s="66"/>
      <c r="AG567" s="66"/>
    </row>
    <row r="568" spans="4:33">
      <c r="D568" s="66"/>
      <c r="G568" s="66"/>
      <c r="V568" s="66"/>
      <c r="W568" s="66"/>
      <c r="X568" s="66"/>
      <c r="AB568" s="66"/>
      <c r="AG568" s="66"/>
    </row>
    <row r="569" spans="4:33">
      <c r="D569" s="66"/>
      <c r="G569" s="66"/>
      <c r="V569" s="66"/>
      <c r="W569" s="66"/>
      <c r="X569" s="66"/>
      <c r="AB569" s="66"/>
      <c r="AG569" s="66"/>
    </row>
    <row r="570" spans="4:33">
      <c r="D570" s="66"/>
      <c r="G570" s="66"/>
      <c r="V570" s="66"/>
      <c r="W570" s="66"/>
      <c r="X570" s="66"/>
      <c r="AB570" s="66"/>
      <c r="AG570" s="66"/>
    </row>
    <row r="571" spans="4:33">
      <c r="D571" s="66"/>
      <c r="G571" s="66"/>
      <c r="V571" s="66"/>
      <c r="W571" s="66"/>
      <c r="X571" s="66"/>
      <c r="AB571" s="66"/>
      <c r="AG571" s="66"/>
    </row>
    <row r="572" spans="4:33">
      <c r="D572" s="66"/>
      <c r="G572" s="66"/>
      <c r="V572" s="66"/>
      <c r="W572" s="66"/>
      <c r="X572" s="66"/>
      <c r="AB572" s="66"/>
      <c r="AG572" s="66"/>
    </row>
    <row r="573" spans="4:33">
      <c r="D573" s="66"/>
      <c r="G573" s="66"/>
      <c r="V573" s="66"/>
      <c r="W573" s="66"/>
      <c r="X573" s="66"/>
      <c r="AB573" s="66"/>
      <c r="AG573" s="66"/>
    </row>
    <row r="574" spans="4:33">
      <c r="D574" s="66"/>
      <c r="G574" s="66"/>
      <c r="V574" s="66"/>
      <c r="W574" s="66"/>
      <c r="X574" s="66"/>
      <c r="AB574" s="66"/>
      <c r="AG574" s="66"/>
    </row>
    <row r="575" spans="4:33">
      <c r="D575" s="66"/>
      <c r="G575" s="66"/>
      <c r="V575" s="66"/>
      <c r="W575" s="66"/>
      <c r="X575" s="66"/>
      <c r="AB575" s="66"/>
      <c r="AG575" s="66"/>
    </row>
    <row r="576" spans="4:33">
      <c r="D576" s="66"/>
      <c r="G576" s="66"/>
      <c r="V576" s="66"/>
      <c r="W576" s="66"/>
      <c r="X576" s="66"/>
      <c r="AB576" s="66"/>
      <c r="AG576" s="66"/>
    </row>
    <row r="577" spans="4:33">
      <c r="D577" s="66"/>
      <c r="G577" s="66"/>
      <c r="V577" s="66"/>
      <c r="W577" s="66"/>
      <c r="X577" s="66"/>
      <c r="AB577" s="66"/>
      <c r="AG577" s="66"/>
    </row>
    <row r="578" spans="4:33">
      <c r="D578" s="66"/>
      <c r="G578" s="66"/>
      <c r="V578" s="66"/>
      <c r="W578" s="66"/>
      <c r="X578" s="66"/>
      <c r="AB578" s="66"/>
      <c r="AG578" s="66"/>
    </row>
    <row r="579" spans="4:33">
      <c r="D579" s="66"/>
      <c r="G579" s="66"/>
      <c r="V579" s="66"/>
      <c r="W579" s="66"/>
      <c r="X579" s="66"/>
      <c r="AB579" s="66"/>
      <c r="AG579" s="66"/>
    </row>
    <row r="580" spans="4:33">
      <c r="D580" s="66"/>
      <c r="G580" s="66"/>
      <c r="V580" s="66"/>
      <c r="W580" s="66"/>
      <c r="X580" s="66"/>
      <c r="AB580" s="66"/>
      <c r="AG580" s="66"/>
    </row>
    <row r="581" spans="4:33">
      <c r="D581" s="66"/>
      <c r="G581" s="66"/>
      <c r="V581" s="66"/>
      <c r="W581" s="66"/>
      <c r="X581" s="66"/>
      <c r="AB581" s="66"/>
      <c r="AG581" s="66"/>
    </row>
    <row r="582" spans="4:33">
      <c r="D582" s="66"/>
      <c r="G582" s="66"/>
      <c r="V582" s="66"/>
      <c r="W582" s="66"/>
      <c r="X582" s="66"/>
      <c r="AB582" s="66"/>
      <c r="AG582" s="66"/>
    </row>
    <row r="583" spans="4:33">
      <c r="D583" s="66"/>
      <c r="G583" s="66"/>
      <c r="V583" s="66"/>
      <c r="W583" s="66"/>
      <c r="X583" s="66"/>
      <c r="AB583" s="66"/>
      <c r="AG583" s="66"/>
    </row>
    <row r="584" spans="4:33">
      <c r="D584" s="66"/>
      <c r="G584" s="66"/>
      <c r="V584" s="66"/>
      <c r="W584" s="66"/>
      <c r="X584" s="66"/>
      <c r="AB584" s="66"/>
      <c r="AG584" s="66"/>
    </row>
    <row r="585" spans="4:33">
      <c r="D585" s="66"/>
      <c r="G585" s="66"/>
      <c r="V585" s="66"/>
      <c r="W585" s="66"/>
      <c r="X585" s="66"/>
      <c r="AB585" s="66"/>
      <c r="AG585" s="66"/>
    </row>
    <row r="586" spans="4:33">
      <c r="D586" s="66"/>
      <c r="G586" s="66"/>
      <c r="V586" s="66"/>
      <c r="W586" s="66"/>
      <c r="X586" s="66"/>
      <c r="AB586" s="66"/>
      <c r="AG586" s="66"/>
    </row>
    <row r="587" spans="4:33">
      <c r="D587" s="66"/>
      <c r="G587" s="66"/>
      <c r="V587" s="66"/>
      <c r="W587" s="66"/>
      <c r="X587" s="66"/>
      <c r="AB587" s="66"/>
      <c r="AG587" s="66"/>
    </row>
    <row r="588" spans="4:33">
      <c r="D588" s="66"/>
      <c r="G588" s="66"/>
      <c r="V588" s="66"/>
      <c r="W588" s="66"/>
      <c r="X588" s="66"/>
      <c r="AB588" s="66"/>
      <c r="AG588" s="66"/>
    </row>
    <row r="589" spans="4:33">
      <c r="D589" s="66"/>
      <c r="G589" s="66"/>
      <c r="V589" s="66"/>
      <c r="W589" s="66"/>
      <c r="X589" s="66"/>
      <c r="AB589" s="66"/>
      <c r="AG589" s="66"/>
    </row>
    <row r="590" spans="4:33">
      <c r="D590" s="66"/>
      <c r="G590" s="66"/>
      <c r="V590" s="66"/>
      <c r="W590" s="66"/>
      <c r="X590" s="66"/>
      <c r="AB590" s="66"/>
      <c r="AG590" s="66"/>
    </row>
    <row r="591" spans="4:33">
      <c r="D591" s="66"/>
      <c r="G591" s="66"/>
      <c r="V591" s="66"/>
      <c r="W591" s="66"/>
      <c r="X591" s="66"/>
      <c r="AB591" s="66"/>
      <c r="AG591" s="66"/>
    </row>
    <row r="592" spans="4:33">
      <c r="D592" s="66"/>
      <c r="G592" s="66"/>
      <c r="V592" s="66"/>
      <c r="W592" s="66"/>
      <c r="X592" s="66"/>
      <c r="AB592" s="66"/>
      <c r="AG592" s="66"/>
    </row>
    <row r="593" spans="4:33">
      <c r="D593" s="66"/>
      <c r="G593" s="66"/>
      <c r="V593" s="66"/>
      <c r="W593" s="66"/>
      <c r="X593" s="66"/>
      <c r="AB593" s="66"/>
      <c r="AG593" s="66"/>
    </row>
    <row r="594" spans="4:33">
      <c r="D594" s="66"/>
      <c r="G594" s="66"/>
      <c r="V594" s="66"/>
      <c r="W594" s="66"/>
      <c r="X594" s="66"/>
      <c r="AB594" s="66"/>
      <c r="AG594" s="66"/>
    </row>
    <row r="595" spans="4:33">
      <c r="D595" s="66"/>
      <c r="G595" s="66"/>
      <c r="V595" s="66"/>
      <c r="W595" s="66"/>
      <c r="X595" s="66"/>
      <c r="AB595" s="66"/>
      <c r="AG595" s="66"/>
    </row>
    <row r="596" spans="4:33">
      <c r="D596" s="66"/>
      <c r="G596" s="66"/>
      <c r="V596" s="66"/>
      <c r="W596" s="66"/>
      <c r="X596" s="66"/>
      <c r="AB596" s="66"/>
      <c r="AG596" s="66"/>
    </row>
    <row r="597" spans="4:33">
      <c r="D597" s="66"/>
      <c r="G597" s="66"/>
      <c r="V597" s="66"/>
      <c r="W597" s="66"/>
      <c r="X597" s="66"/>
      <c r="AB597" s="66"/>
      <c r="AG597" s="66"/>
    </row>
    <row r="598" spans="4:33">
      <c r="D598" s="66"/>
      <c r="G598" s="66"/>
      <c r="V598" s="66"/>
      <c r="W598" s="66"/>
      <c r="X598" s="66"/>
      <c r="AB598" s="66"/>
      <c r="AG598" s="66"/>
    </row>
    <row r="599" spans="4:33">
      <c r="D599" s="66"/>
      <c r="G599" s="66"/>
      <c r="V599" s="66"/>
      <c r="W599" s="66"/>
      <c r="X599" s="66"/>
      <c r="AB599" s="66"/>
      <c r="AG599" s="66"/>
    </row>
    <row r="600" spans="4:33">
      <c r="D600" s="66"/>
      <c r="G600" s="66"/>
      <c r="V600" s="66"/>
      <c r="W600" s="66"/>
      <c r="X600" s="66"/>
      <c r="AB600" s="66"/>
      <c r="AG600" s="66"/>
    </row>
    <row r="601" spans="4:33">
      <c r="D601" s="66"/>
      <c r="G601" s="66"/>
      <c r="V601" s="66"/>
      <c r="W601" s="66"/>
      <c r="X601" s="66"/>
      <c r="AB601" s="66"/>
      <c r="AG601" s="66"/>
    </row>
    <row r="602" spans="4:33">
      <c r="D602" s="66"/>
      <c r="G602" s="66"/>
      <c r="V602" s="66"/>
      <c r="W602" s="66"/>
      <c r="X602" s="66"/>
      <c r="AB602" s="66"/>
      <c r="AG602" s="66"/>
    </row>
    <row r="603" spans="4:33">
      <c r="D603" s="66"/>
      <c r="G603" s="66"/>
      <c r="V603" s="66"/>
      <c r="W603" s="66"/>
      <c r="X603" s="66"/>
      <c r="AB603" s="66"/>
      <c r="AG603" s="66"/>
    </row>
    <row r="604" spans="4:33">
      <c r="D604" s="66"/>
      <c r="G604" s="66"/>
      <c r="V604" s="66"/>
      <c r="W604" s="66"/>
      <c r="X604" s="66"/>
      <c r="AB604" s="66"/>
      <c r="AG604" s="66"/>
    </row>
    <row r="605" spans="4:33">
      <c r="D605" s="66"/>
      <c r="G605" s="66"/>
      <c r="V605" s="66"/>
      <c r="W605" s="66"/>
      <c r="X605" s="66"/>
      <c r="AB605" s="66"/>
      <c r="AG605" s="66"/>
    </row>
    <row r="606" spans="4:33">
      <c r="D606" s="66"/>
      <c r="G606" s="66"/>
      <c r="V606" s="66"/>
      <c r="W606" s="66"/>
      <c r="X606" s="66"/>
      <c r="AB606" s="66"/>
      <c r="AG606" s="66"/>
    </row>
    <row r="607" spans="4:33">
      <c r="D607" s="66"/>
      <c r="G607" s="66"/>
      <c r="V607" s="66"/>
      <c r="W607" s="66"/>
      <c r="X607" s="66"/>
      <c r="AB607" s="66"/>
      <c r="AG607" s="66"/>
    </row>
    <row r="608" spans="4:33">
      <c r="D608" s="66"/>
      <c r="G608" s="66"/>
      <c r="V608" s="66"/>
      <c r="W608" s="66"/>
      <c r="X608" s="66"/>
      <c r="AB608" s="66"/>
      <c r="AG608" s="66"/>
    </row>
    <row r="609" spans="4:33">
      <c r="D609" s="66"/>
      <c r="G609" s="66"/>
      <c r="V609" s="66"/>
      <c r="W609" s="66"/>
      <c r="X609" s="66"/>
      <c r="AB609" s="66"/>
      <c r="AG609" s="66"/>
    </row>
    <row r="610" spans="4:33">
      <c r="D610" s="66"/>
      <c r="G610" s="66"/>
      <c r="V610" s="66"/>
      <c r="W610" s="66"/>
      <c r="X610" s="66"/>
      <c r="AB610" s="66"/>
      <c r="AG610" s="66"/>
    </row>
    <row r="611" spans="4:33">
      <c r="D611" s="66"/>
      <c r="G611" s="66"/>
      <c r="V611" s="66"/>
      <c r="W611" s="66"/>
      <c r="X611" s="66"/>
      <c r="AB611" s="66"/>
      <c r="AG611" s="66"/>
    </row>
    <row r="612" spans="4:33">
      <c r="D612" s="66"/>
      <c r="G612" s="66"/>
      <c r="V612" s="66"/>
      <c r="W612" s="66"/>
      <c r="X612" s="66"/>
      <c r="AB612" s="66"/>
      <c r="AG612" s="66"/>
    </row>
    <row r="613" spans="4:33">
      <c r="D613" s="66"/>
      <c r="G613" s="66"/>
      <c r="V613" s="66"/>
      <c r="W613" s="66"/>
      <c r="X613" s="66"/>
      <c r="AB613" s="66"/>
      <c r="AG613" s="66"/>
    </row>
    <row r="614" spans="4:33">
      <c r="D614" s="66"/>
      <c r="G614" s="66"/>
      <c r="V614" s="66"/>
      <c r="W614" s="66"/>
      <c r="X614" s="66"/>
      <c r="AB614" s="66"/>
      <c r="AG614" s="66"/>
    </row>
    <row r="615" spans="4:33">
      <c r="D615" s="66"/>
      <c r="G615" s="66"/>
      <c r="V615" s="66"/>
      <c r="W615" s="66"/>
      <c r="X615" s="66"/>
      <c r="AB615" s="66"/>
      <c r="AG615" s="66"/>
    </row>
    <row r="616" spans="4:33">
      <c r="D616" s="66"/>
      <c r="G616" s="66"/>
      <c r="V616" s="66"/>
      <c r="W616" s="66"/>
      <c r="X616" s="66"/>
      <c r="AB616" s="66"/>
      <c r="AG616" s="66"/>
    </row>
    <row r="617" spans="4:33">
      <c r="D617" s="66"/>
      <c r="G617" s="66"/>
      <c r="V617" s="66"/>
      <c r="W617" s="66"/>
      <c r="X617" s="66"/>
      <c r="AB617" s="66"/>
      <c r="AG617" s="66"/>
    </row>
    <row r="618" spans="4:33">
      <c r="D618" s="66"/>
      <c r="G618" s="66"/>
      <c r="V618" s="66"/>
      <c r="W618" s="66"/>
      <c r="X618" s="66"/>
      <c r="AB618" s="66"/>
      <c r="AG618" s="66"/>
    </row>
    <row r="619" spans="4:33">
      <c r="D619" s="66"/>
      <c r="G619" s="66"/>
      <c r="V619" s="66"/>
      <c r="W619" s="66"/>
      <c r="X619" s="66"/>
      <c r="AB619" s="66"/>
      <c r="AG619" s="66"/>
    </row>
    <row r="620" spans="4:33">
      <c r="D620" s="66"/>
      <c r="G620" s="66"/>
      <c r="V620" s="66"/>
      <c r="W620" s="66"/>
      <c r="X620" s="66"/>
      <c r="AB620" s="66"/>
      <c r="AG620" s="66"/>
    </row>
    <row r="621" spans="4:33">
      <c r="D621" s="66"/>
      <c r="G621" s="66"/>
      <c r="V621" s="66"/>
      <c r="W621" s="66"/>
      <c r="X621" s="66"/>
      <c r="AB621" s="66"/>
      <c r="AG621" s="66"/>
    </row>
    <row r="622" spans="4:33">
      <c r="D622" s="66"/>
      <c r="G622" s="66"/>
      <c r="V622" s="66"/>
      <c r="W622" s="66"/>
      <c r="X622" s="66"/>
      <c r="AB622" s="66"/>
      <c r="AG622" s="66"/>
    </row>
    <row r="623" spans="4:33">
      <c r="D623" s="66"/>
      <c r="G623" s="66"/>
      <c r="V623" s="66"/>
      <c r="W623" s="66"/>
      <c r="X623" s="66"/>
      <c r="AB623" s="66"/>
      <c r="AG623" s="66"/>
    </row>
    <row r="624" spans="4:33">
      <c r="D624" s="66"/>
      <c r="G624" s="66"/>
      <c r="V624" s="66"/>
      <c r="W624" s="66"/>
      <c r="X624" s="66"/>
      <c r="AB624" s="66"/>
      <c r="AG624" s="66"/>
    </row>
    <row r="625" spans="4:33">
      <c r="D625" s="66"/>
      <c r="G625" s="66"/>
      <c r="V625" s="66"/>
      <c r="W625" s="66"/>
      <c r="X625" s="66"/>
      <c r="AB625" s="66"/>
      <c r="AG625" s="66"/>
    </row>
    <row r="626" spans="4:33">
      <c r="D626" s="66"/>
      <c r="G626" s="66"/>
      <c r="V626" s="66"/>
      <c r="W626" s="66"/>
      <c r="X626" s="66"/>
      <c r="AB626" s="66"/>
      <c r="AG626" s="66"/>
    </row>
    <row r="627" spans="4:33">
      <c r="D627" s="66"/>
      <c r="G627" s="66"/>
      <c r="V627" s="66"/>
      <c r="W627" s="66"/>
      <c r="X627" s="66"/>
      <c r="AB627" s="66"/>
      <c r="AG627" s="66"/>
    </row>
    <row r="628" spans="4:33">
      <c r="D628" s="66"/>
      <c r="G628" s="66"/>
      <c r="V628" s="66"/>
      <c r="W628" s="66"/>
      <c r="X628" s="66"/>
      <c r="AB628" s="66"/>
      <c r="AG628" s="66"/>
    </row>
    <row r="629" spans="4:33">
      <c r="D629" s="66"/>
      <c r="G629" s="66"/>
      <c r="V629" s="66"/>
      <c r="W629" s="66"/>
      <c r="X629" s="66"/>
      <c r="AB629" s="66"/>
      <c r="AG629" s="66"/>
    </row>
    <row r="630" spans="4:33">
      <c r="D630" s="66"/>
      <c r="G630" s="66"/>
      <c r="V630" s="66"/>
      <c r="W630" s="66"/>
      <c r="X630" s="66"/>
      <c r="AB630" s="66"/>
      <c r="AG630" s="66"/>
    </row>
    <row r="631" spans="4:33">
      <c r="D631" s="66"/>
      <c r="G631" s="66"/>
      <c r="V631" s="66"/>
      <c r="W631" s="66"/>
      <c r="X631" s="66"/>
      <c r="AB631" s="66"/>
      <c r="AG631" s="66"/>
    </row>
    <row r="632" spans="4:33">
      <c r="D632" s="66"/>
      <c r="G632" s="66"/>
      <c r="V632" s="66"/>
      <c r="W632" s="66"/>
      <c r="X632" s="66"/>
      <c r="AB632" s="66"/>
      <c r="AG632" s="66"/>
    </row>
    <row r="633" spans="4:33">
      <c r="D633" s="66"/>
      <c r="G633" s="66"/>
      <c r="V633" s="66"/>
      <c r="W633" s="66"/>
      <c r="X633" s="66"/>
      <c r="AB633" s="66"/>
      <c r="AG633" s="66"/>
    </row>
    <row r="634" spans="4:33">
      <c r="D634" s="66"/>
      <c r="G634" s="66"/>
      <c r="V634" s="66"/>
      <c r="W634" s="66"/>
      <c r="X634" s="66"/>
      <c r="AB634" s="66"/>
      <c r="AG634" s="66"/>
    </row>
    <row r="635" spans="4:33">
      <c r="D635" s="66"/>
      <c r="G635" s="66"/>
      <c r="V635" s="66"/>
      <c r="W635" s="66"/>
      <c r="X635" s="66"/>
      <c r="AB635" s="66"/>
      <c r="AG635" s="66"/>
    </row>
    <row r="636" spans="4:33">
      <c r="D636" s="66"/>
      <c r="G636" s="66"/>
      <c r="V636" s="66"/>
      <c r="W636" s="66"/>
      <c r="X636" s="66"/>
      <c r="AB636" s="66"/>
      <c r="AG636" s="66"/>
    </row>
    <row r="637" spans="4:33">
      <c r="D637" s="66"/>
      <c r="G637" s="66"/>
      <c r="V637" s="66"/>
      <c r="W637" s="66"/>
      <c r="X637" s="66"/>
      <c r="AB637" s="66"/>
      <c r="AG637" s="66"/>
    </row>
    <row r="638" spans="4:33">
      <c r="D638" s="66"/>
      <c r="G638" s="66"/>
      <c r="V638" s="66"/>
      <c r="W638" s="66"/>
      <c r="X638" s="66"/>
      <c r="AB638" s="66"/>
      <c r="AG638" s="66"/>
    </row>
    <row r="639" spans="4:33">
      <c r="D639" s="66"/>
      <c r="G639" s="66"/>
      <c r="V639" s="66"/>
      <c r="W639" s="66"/>
      <c r="X639" s="66"/>
      <c r="AB639" s="66"/>
      <c r="AG639" s="66"/>
    </row>
    <row r="640" spans="4:33">
      <c r="D640" s="66"/>
      <c r="G640" s="66"/>
      <c r="V640" s="66"/>
      <c r="W640" s="66"/>
      <c r="X640" s="66"/>
      <c r="AB640" s="66"/>
      <c r="AG640" s="66"/>
    </row>
    <row r="641" spans="4:33">
      <c r="D641" s="66"/>
      <c r="G641" s="66"/>
      <c r="V641" s="66"/>
      <c r="W641" s="66"/>
      <c r="X641" s="66"/>
      <c r="AB641" s="66"/>
      <c r="AG641" s="66"/>
    </row>
    <row r="642" spans="4:33">
      <c r="D642" s="66"/>
      <c r="G642" s="66"/>
      <c r="V642" s="66"/>
      <c r="W642" s="66"/>
      <c r="X642" s="66"/>
      <c r="AB642" s="66"/>
      <c r="AG642" s="66"/>
    </row>
    <row r="643" spans="4:33">
      <c r="D643" s="66"/>
      <c r="G643" s="66"/>
      <c r="V643" s="66"/>
      <c r="W643" s="66"/>
      <c r="X643" s="66"/>
      <c r="AB643" s="66"/>
      <c r="AG643" s="66"/>
    </row>
    <row r="644" spans="4:33">
      <c r="D644" s="66"/>
      <c r="G644" s="66"/>
      <c r="V644" s="66"/>
      <c r="W644" s="66"/>
      <c r="X644" s="66"/>
      <c r="AB644" s="66"/>
      <c r="AG644" s="66"/>
    </row>
    <row r="645" spans="4:33">
      <c r="D645" s="66"/>
      <c r="G645" s="66"/>
      <c r="V645" s="66"/>
      <c r="W645" s="66"/>
      <c r="X645" s="66"/>
      <c r="AB645" s="66"/>
      <c r="AG645" s="66"/>
    </row>
    <row r="646" spans="4:33">
      <c r="D646" s="66"/>
      <c r="G646" s="66"/>
      <c r="V646" s="66"/>
      <c r="W646" s="66"/>
      <c r="X646" s="66"/>
      <c r="AB646" s="66"/>
      <c r="AG646" s="66"/>
    </row>
    <row r="647" spans="4:33">
      <c r="D647" s="66"/>
      <c r="G647" s="66"/>
      <c r="V647" s="66"/>
      <c r="W647" s="66"/>
      <c r="X647" s="66"/>
      <c r="AB647" s="66"/>
      <c r="AG647" s="66"/>
    </row>
    <row r="648" spans="4:33">
      <c r="D648" s="66"/>
      <c r="G648" s="66"/>
      <c r="V648" s="66"/>
      <c r="W648" s="66"/>
      <c r="X648" s="66"/>
      <c r="AB648" s="66"/>
      <c r="AG648" s="66"/>
    </row>
    <row r="649" spans="4:33">
      <c r="D649" s="66"/>
      <c r="G649" s="66"/>
      <c r="V649" s="66"/>
      <c r="W649" s="66"/>
      <c r="X649" s="66"/>
      <c r="AB649" s="66"/>
      <c r="AG649" s="66"/>
    </row>
    <row r="650" spans="4:33">
      <c r="D650" s="66"/>
      <c r="G650" s="66"/>
      <c r="V650" s="66"/>
      <c r="W650" s="66"/>
      <c r="X650" s="66"/>
      <c r="AB650" s="66"/>
      <c r="AG650" s="66"/>
    </row>
    <row r="651" spans="4:33">
      <c r="D651" s="66"/>
      <c r="G651" s="66"/>
      <c r="V651" s="66"/>
      <c r="W651" s="66"/>
      <c r="X651" s="66"/>
      <c r="AB651" s="66"/>
      <c r="AG651" s="66"/>
    </row>
    <row r="652" spans="4:33">
      <c r="D652" s="66"/>
      <c r="G652" s="66"/>
      <c r="V652" s="66"/>
      <c r="W652" s="66"/>
      <c r="X652" s="66"/>
      <c r="AB652" s="66"/>
      <c r="AG652" s="66"/>
    </row>
    <row r="653" spans="4:33">
      <c r="D653" s="66"/>
      <c r="G653" s="66"/>
      <c r="V653" s="66"/>
      <c r="W653" s="66"/>
      <c r="X653" s="66"/>
      <c r="AB653" s="66"/>
      <c r="AG653" s="66"/>
    </row>
    <row r="654" spans="4:33">
      <c r="D654" s="66"/>
      <c r="G654" s="66"/>
      <c r="V654" s="66"/>
      <c r="W654" s="66"/>
      <c r="X654" s="66"/>
      <c r="AB654" s="66"/>
      <c r="AG654" s="66"/>
    </row>
    <row r="655" spans="4:33">
      <c r="D655" s="66"/>
      <c r="G655" s="66"/>
      <c r="V655" s="66"/>
      <c r="W655" s="66"/>
      <c r="X655" s="66"/>
      <c r="AB655" s="66"/>
      <c r="AG655" s="66"/>
    </row>
    <row r="656" spans="4:33">
      <c r="D656" s="66"/>
      <c r="G656" s="66"/>
      <c r="V656" s="66"/>
      <c r="W656" s="66"/>
      <c r="X656" s="66"/>
      <c r="AB656" s="66"/>
      <c r="AG656" s="66"/>
    </row>
    <row r="657" spans="4:33">
      <c r="D657" s="66"/>
      <c r="G657" s="66"/>
      <c r="V657" s="66"/>
      <c r="W657" s="66"/>
      <c r="X657" s="66"/>
      <c r="AB657" s="66"/>
      <c r="AG657" s="66"/>
    </row>
    <row r="658" spans="4:33">
      <c r="D658" s="66"/>
      <c r="G658" s="66"/>
      <c r="V658" s="66"/>
      <c r="W658" s="66"/>
      <c r="X658" s="66"/>
      <c r="AB658" s="66"/>
      <c r="AG658" s="66"/>
    </row>
    <row r="659" spans="4:33">
      <c r="D659" s="66"/>
      <c r="G659" s="66"/>
      <c r="V659" s="66"/>
      <c r="W659" s="66"/>
      <c r="X659" s="66"/>
      <c r="AB659" s="66"/>
      <c r="AG659" s="66"/>
    </row>
    <row r="660" spans="4:33">
      <c r="D660" s="66"/>
      <c r="G660" s="66"/>
      <c r="V660" s="66"/>
      <c r="W660" s="66"/>
      <c r="X660" s="66"/>
      <c r="AB660" s="66"/>
      <c r="AG660" s="66"/>
    </row>
    <row r="661" spans="4:33">
      <c r="D661" s="66"/>
      <c r="G661" s="66"/>
      <c r="V661" s="66"/>
      <c r="W661" s="66"/>
      <c r="X661" s="66"/>
      <c r="AB661" s="66"/>
      <c r="AG661" s="66"/>
    </row>
    <row r="662" spans="4:33">
      <c r="D662" s="66"/>
      <c r="G662" s="66"/>
      <c r="V662" s="66"/>
      <c r="W662" s="66"/>
      <c r="X662" s="66"/>
      <c r="AB662" s="66"/>
      <c r="AG662" s="66"/>
    </row>
    <row r="663" spans="4:33">
      <c r="D663" s="66"/>
      <c r="G663" s="66"/>
      <c r="V663" s="66"/>
      <c r="W663" s="66"/>
      <c r="X663" s="66"/>
      <c r="AB663" s="66"/>
      <c r="AG663" s="66"/>
    </row>
    <row r="664" spans="4:33">
      <c r="D664" s="66"/>
      <c r="G664" s="66"/>
      <c r="V664" s="66"/>
      <c r="W664" s="66"/>
      <c r="X664" s="66"/>
      <c r="AB664" s="66"/>
      <c r="AG664" s="66"/>
    </row>
    <row r="665" spans="4:33">
      <c r="D665" s="66"/>
      <c r="G665" s="66"/>
      <c r="V665" s="66"/>
      <c r="W665" s="66"/>
      <c r="X665" s="66"/>
      <c r="AB665" s="66"/>
      <c r="AG665" s="66"/>
    </row>
    <row r="666" spans="4:33">
      <c r="D666" s="66"/>
      <c r="G666" s="66"/>
      <c r="V666" s="66"/>
      <c r="W666" s="66"/>
      <c r="X666" s="66"/>
      <c r="AB666" s="66"/>
      <c r="AG666" s="66"/>
    </row>
    <row r="667" spans="4:33">
      <c r="D667" s="66"/>
      <c r="G667" s="66"/>
      <c r="V667" s="66"/>
      <c r="W667" s="66"/>
      <c r="X667" s="66"/>
      <c r="AB667" s="66"/>
      <c r="AG667" s="66"/>
    </row>
    <row r="668" spans="4:33">
      <c r="D668" s="66"/>
      <c r="G668" s="66"/>
      <c r="V668" s="66"/>
      <c r="W668" s="66"/>
      <c r="X668" s="66"/>
      <c r="AB668" s="66"/>
      <c r="AG668" s="66"/>
    </row>
    <row r="669" spans="4:33">
      <c r="D669" s="66"/>
      <c r="G669" s="66"/>
      <c r="V669" s="66"/>
      <c r="W669" s="66"/>
      <c r="X669" s="66"/>
      <c r="AB669" s="66"/>
      <c r="AG669" s="66"/>
    </row>
    <row r="670" spans="4:33">
      <c r="D670" s="66"/>
      <c r="G670" s="66"/>
      <c r="V670" s="66"/>
      <c r="W670" s="66"/>
      <c r="X670" s="66"/>
      <c r="AB670" s="66"/>
      <c r="AG670" s="66"/>
    </row>
    <row r="671" spans="4:33">
      <c r="D671" s="66"/>
      <c r="G671" s="66"/>
      <c r="V671" s="66"/>
      <c r="W671" s="66"/>
      <c r="X671" s="66"/>
      <c r="AB671" s="66"/>
      <c r="AG671" s="66"/>
    </row>
    <row r="672" spans="4:33">
      <c r="D672" s="66"/>
      <c r="G672" s="66"/>
      <c r="V672" s="66"/>
      <c r="W672" s="66"/>
      <c r="X672" s="66"/>
      <c r="AB672" s="66"/>
      <c r="AG672" s="66"/>
    </row>
    <row r="673" spans="4:33">
      <c r="D673" s="66"/>
      <c r="G673" s="66"/>
      <c r="V673" s="66"/>
      <c r="W673" s="66"/>
      <c r="X673" s="66"/>
      <c r="AB673" s="66"/>
      <c r="AG673" s="66"/>
    </row>
    <row r="674" spans="4:33">
      <c r="D674" s="66"/>
      <c r="G674" s="66"/>
      <c r="V674" s="66"/>
      <c r="W674" s="66"/>
      <c r="X674" s="66"/>
      <c r="AB674" s="66"/>
      <c r="AG674" s="66"/>
    </row>
    <row r="675" spans="4:33">
      <c r="D675" s="66"/>
      <c r="G675" s="66"/>
      <c r="V675" s="66"/>
      <c r="W675" s="66"/>
      <c r="X675" s="66"/>
      <c r="AB675" s="66"/>
      <c r="AG675" s="66"/>
    </row>
    <row r="676" spans="4:33">
      <c r="D676" s="66"/>
      <c r="G676" s="66"/>
      <c r="V676" s="66"/>
      <c r="W676" s="66"/>
      <c r="X676" s="66"/>
      <c r="AB676" s="66"/>
      <c r="AG676" s="66"/>
    </row>
    <row r="677" spans="4:33">
      <c r="D677" s="66"/>
      <c r="G677" s="66"/>
      <c r="V677" s="66"/>
      <c r="W677" s="66"/>
      <c r="X677" s="66"/>
      <c r="AB677" s="66"/>
      <c r="AG677" s="66"/>
    </row>
    <row r="678" spans="4:33">
      <c r="D678" s="66"/>
      <c r="G678" s="66"/>
      <c r="V678" s="66"/>
      <c r="W678" s="66"/>
      <c r="X678" s="66"/>
      <c r="AB678" s="66"/>
      <c r="AG678" s="66"/>
    </row>
    <row r="679" spans="4:33">
      <c r="D679" s="66"/>
      <c r="G679" s="66"/>
      <c r="V679" s="66"/>
      <c r="W679" s="66"/>
      <c r="X679" s="66"/>
      <c r="AB679" s="66"/>
      <c r="AG679" s="66"/>
    </row>
    <row r="680" spans="4:33">
      <c r="D680" s="66"/>
      <c r="G680" s="66"/>
      <c r="V680" s="66"/>
      <c r="W680" s="66"/>
      <c r="X680" s="66"/>
      <c r="AB680" s="66"/>
      <c r="AG680" s="66"/>
    </row>
    <row r="681" spans="4:33">
      <c r="D681" s="66"/>
      <c r="G681" s="66"/>
      <c r="V681" s="66"/>
      <c r="W681" s="66"/>
      <c r="X681" s="66"/>
      <c r="AB681" s="66"/>
      <c r="AG681" s="66"/>
    </row>
    <row r="682" spans="4:33">
      <c r="D682" s="66"/>
      <c r="G682" s="66"/>
      <c r="V682" s="66"/>
      <c r="W682" s="66"/>
      <c r="X682" s="66"/>
      <c r="AB682" s="66"/>
      <c r="AG682" s="66"/>
    </row>
    <row r="683" spans="4:33">
      <c r="D683" s="66"/>
      <c r="G683" s="66"/>
      <c r="V683" s="66"/>
      <c r="W683" s="66"/>
      <c r="X683" s="66"/>
      <c r="AB683" s="66"/>
      <c r="AG683" s="66"/>
    </row>
    <row r="684" spans="4:33">
      <c r="D684" s="66"/>
      <c r="G684" s="66"/>
      <c r="V684" s="66"/>
      <c r="W684" s="66"/>
      <c r="X684" s="66"/>
      <c r="AB684" s="66"/>
      <c r="AG684" s="66"/>
    </row>
    <row r="685" spans="4:33">
      <c r="D685" s="66"/>
      <c r="G685" s="66"/>
      <c r="V685" s="66"/>
      <c r="W685" s="66"/>
      <c r="X685" s="66"/>
      <c r="AB685" s="66"/>
      <c r="AG685" s="66"/>
    </row>
    <row r="686" spans="4:33">
      <c r="D686" s="66"/>
      <c r="G686" s="66"/>
      <c r="V686" s="66"/>
      <c r="W686" s="66"/>
      <c r="X686" s="66"/>
      <c r="AB686" s="66"/>
      <c r="AG686" s="66"/>
    </row>
    <row r="687" spans="4:33">
      <c r="D687" s="66"/>
      <c r="G687" s="66"/>
      <c r="V687" s="66"/>
      <c r="W687" s="66"/>
      <c r="X687" s="66"/>
      <c r="AB687" s="66"/>
      <c r="AG687" s="66"/>
    </row>
    <row r="688" spans="4:33">
      <c r="D688" s="66"/>
      <c r="G688" s="66"/>
      <c r="V688" s="66"/>
      <c r="W688" s="66"/>
      <c r="X688" s="66"/>
      <c r="AB688" s="66"/>
      <c r="AG688" s="66"/>
    </row>
    <row r="689" spans="4:33">
      <c r="D689" s="66"/>
      <c r="G689" s="66"/>
      <c r="V689" s="66"/>
      <c r="W689" s="66"/>
      <c r="X689" s="66"/>
      <c r="AB689" s="66"/>
      <c r="AG689" s="66"/>
    </row>
    <row r="690" spans="4:33">
      <c r="D690" s="66"/>
      <c r="G690" s="66"/>
      <c r="V690" s="66"/>
      <c r="W690" s="66"/>
      <c r="X690" s="66"/>
      <c r="AB690" s="66"/>
      <c r="AG690" s="66"/>
    </row>
    <row r="691" spans="4:33">
      <c r="D691" s="66"/>
      <c r="G691" s="66"/>
      <c r="V691" s="66"/>
      <c r="W691" s="66"/>
      <c r="X691" s="66"/>
      <c r="AB691" s="66"/>
      <c r="AG691" s="66"/>
    </row>
    <row r="692" spans="4:33">
      <c r="D692" s="66"/>
      <c r="G692" s="66"/>
      <c r="V692" s="66"/>
      <c r="W692" s="66"/>
      <c r="X692" s="66"/>
      <c r="AB692" s="66"/>
      <c r="AG692" s="66"/>
    </row>
    <row r="693" spans="4:33">
      <c r="D693" s="66"/>
      <c r="G693" s="66"/>
      <c r="V693" s="66"/>
      <c r="W693" s="66"/>
      <c r="X693" s="66"/>
      <c r="AB693" s="66"/>
      <c r="AG693" s="66"/>
    </row>
    <row r="694" spans="4:33">
      <c r="D694" s="66"/>
      <c r="G694" s="66"/>
      <c r="V694" s="66"/>
      <c r="W694" s="66"/>
      <c r="X694" s="66"/>
      <c r="AB694" s="66"/>
      <c r="AG694" s="66"/>
    </row>
    <row r="695" spans="4:33">
      <c r="D695" s="66"/>
      <c r="G695" s="66"/>
      <c r="V695" s="66"/>
      <c r="W695" s="66"/>
      <c r="X695" s="66"/>
      <c r="AB695" s="66"/>
      <c r="AG695" s="66"/>
    </row>
    <row r="696" spans="4:33">
      <c r="D696" s="66"/>
      <c r="G696" s="66"/>
      <c r="V696" s="66"/>
      <c r="W696" s="66"/>
      <c r="X696" s="66"/>
      <c r="AB696" s="66"/>
      <c r="AG696" s="66"/>
    </row>
    <row r="697" spans="4:33">
      <c r="D697" s="66"/>
      <c r="G697" s="66"/>
      <c r="V697" s="66"/>
      <c r="W697" s="66"/>
      <c r="X697" s="66"/>
      <c r="AB697" s="66"/>
      <c r="AG697" s="66"/>
    </row>
    <row r="698" spans="4:33">
      <c r="D698" s="66"/>
      <c r="G698" s="66"/>
      <c r="V698" s="66"/>
      <c r="W698" s="66"/>
      <c r="X698" s="66"/>
      <c r="AB698" s="66"/>
      <c r="AG698" s="66"/>
    </row>
    <row r="699" spans="4:33">
      <c r="D699" s="66"/>
      <c r="G699" s="66"/>
      <c r="V699" s="66"/>
      <c r="W699" s="66"/>
      <c r="X699" s="66"/>
      <c r="AB699" s="66"/>
      <c r="AG699" s="66"/>
    </row>
    <row r="700" spans="4:33">
      <c r="D700" s="66"/>
      <c r="G700" s="66"/>
      <c r="V700" s="66"/>
      <c r="W700" s="66"/>
      <c r="X700" s="66"/>
      <c r="AB700" s="66"/>
      <c r="AG700" s="66"/>
    </row>
    <row r="701" spans="4:33">
      <c r="D701" s="66"/>
      <c r="G701" s="66"/>
      <c r="V701" s="66"/>
      <c r="W701" s="66"/>
      <c r="X701" s="66"/>
      <c r="AB701" s="66"/>
      <c r="AG701" s="66"/>
    </row>
    <row r="702" spans="4:33">
      <c r="D702" s="66"/>
      <c r="G702" s="66"/>
      <c r="V702" s="66"/>
      <c r="W702" s="66"/>
      <c r="X702" s="66"/>
      <c r="AB702" s="66"/>
      <c r="AG702" s="66"/>
    </row>
    <row r="703" spans="4:33">
      <c r="D703" s="66"/>
      <c r="G703" s="66"/>
      <c r="V703" s="66"/>
      <c r="W703" s="66"/>
      <c r="X703" s="66"/>
      <c r="AB703" s="66"/>
      <c r="AG703" s="66"/>
    </row>
    <row r="704" spans="4:33">
      <c r="D704" s="66"/>
      <c r="G704" s="66"/>
      <c r="V704" s="66"/>
      <c r="W704" s="66"/>
      <c r="X704" s="66"/>
      <c r="AB704" s="66"/>
      <c r="AG704" s="66"/>
    </row>
    <row r="705" spans="4:33">
      <c r="D705" s="66"/>
      <c r="G705" s="66"/>
      <c r="V705" s="66"/>
      <c r="W705" s="66"/>
      <c r="X705" s="66"/>
      <c r="AB705" s="66"/>
      <c r="AG705" s="66"/>
    </row>
    <row r="706" spans="4:33">
      <c r="D706" s="66"/>
      <c r="G706" s="66"/>
      <c r="V706" s="66"/>
      <c r="W706" s="66"/>
      <c r="X706" s="66"/>
      <c r="AB706" s="66"/>
      <c r="AG706" s="66"/>
    </row>
    <row r="707" spans="4:33">
      <c r="D707" s="66"/>
      <c r="G707" s="66"/>
      <c r="V707" s="66"/>
      <c r="W707" s="66"/>
      <c r="X707" s="66"/>
      <c r="AB707" s="66"/>
      <c r="AG707" s="66"/>
    </row>
    <row r="708" spans="4:33">
      <c r="D708" s="66"/>
      <c r="G708" s="66"/>
      <c r="V708" s="66"/>
      <c r="W708" s="66"/>
      <c r="X708" s="66"/>
      <c r="AB708" s="66"/>
      <c r="AG708" s="66"/>
    </row>
    <row r="709" spans="4:33">
      <c r="D709" s="66"/>
      <c r="G709" s="66"/>
      <c r="V709" s="66"/>
      <c r="W709" s="66"/>
      <c r="X709" s="66"/>
      <c r="AB709" s="66"/>
      <c r="AG709" s="66"/>
    </row>
    <row r="710" spans="4:33">
      <c r="D710" s="66"/>
      <c r="G710" s="66"/>
      <c r="V710" s="66"/>
      <c r="W710" s="66"/>
      <c r="X710" s="66"/>
      <c r="AB710" s="66"/>
      <c r="AG710" s="66"/>
    </row>
    <row r="711" spans="4:33">
      <c r="D711" s="66"/>
      <c r="G711" s="66"/>
      <c r="V711" s="66"/>
      <c r="W711" s="66"/>
      <c r="X711" s="66"/>
      <c r="AB711" s="66"/>
      <c r="AG711" s="66"/>
    </row>
    <row r="712" spans="4:33">
      <c r="D712" s="66"/>
      <c r="G712" s="66"/>
      <c r="V712" s="66"/>
      <c r="W712" s="66"/>
      <c r="X712" s="66"/>
      <c r="AB712" s="66"/>
      <c r="AG712" s="66"/>
    </row>
    <row r="713" spans="4:33">
      <c r="D713" s="66"/>
      <c r="G713" s="66"/>
      <c r="V713" s="66"/>
      <c r="W713" s="66"/>
      <c r="X713" s="66"/>
      <c r="AB713" s="66"/>
      <c r="AG713" s="66"/>
    </row>
    <row r="714" spans="4:33">
      <c r="D714" s="66"/>
      <c r="G714" s="66"/>
      <c r="V714" s="66"/>
      <c r="W714" s="66"/>
      <c r="X714" s="66"/>
      <c r="AB714" s="66"/>
      <c r="AG714" s="66"/>
    </row>
    <row r="715" spans="4:33">
      <c r="D715" s="66"/>
      <c r="G715" s="66"/>
      <c r="V715" s="66"/>
      <c r="W715" s="66"/>
      <c r="X715" s="66"/>
      <c r="AB715" s="66"/>
      <c r="AG715" s="66"/>
    </row>
    <row r="716" spans="4:33">
      <c r="D716" s="66"/>
      <c r="G716" s="66"/>
      <c r="V716" s="66"/>
      <c r="W716" s="66"/>
      <c r="X716" s="66"/>
      <c r="AB716" s="66"/>
      <c r="AG716" s="66"/>
    </row>
    <row r="717" spans="4:33">
      <c r="D717" s="66"/>
      <c r="G717" s="66"/>
      <c r="V717" s="66"/>
      <c r="W717" s="66"/>
      <c r="X717" s="66"/>
      <c r="AB717" s="66"/>
      <c r="AG717" s="66"/>
    </row>
    <row r="718" spans="4:33">
      <c r="D718" s="66"/>
      <c r="G718" s="66"/>
      <c r="V718" s="66"/>
      <c r="W718" s="66"/>
      <c r="X718" s="66"/>
      <c r="AB718" s="66"/>
      <c r="AG718" s="66"/>
    </row>
    <row r="719" spans="4:33">
      <c r="D719" s="66"/>
      <c r="G719" s="66"/>
      <c r="V719" s="66"/>
      <c r="W719" s="66"/>
      <c r="X719" s="66"/>
      <c r="AB719" s="66"/>
      <c r="AG719" s="66"/>
    </row>
    <row r="720" spans="4:33">
      <c r="D720" s="66"/>
      <c r="G720" s="66"/>
      <c r="V720" s="66"/>
      <c r="W720" s="66"/>
      <c r="X720" s="66"/>
      <c r="AB720" s="66"/>
      <c r="AG720" s="66"/>
    </row>
    <row r="721" spans="4:33">
      <c r="D721" s="66"/>
      <c r="G721" s="66"/>
      <c r="V721" s="66"/>
      <c r="W721" s="66"/>
      <c r="X721" s="66"/>
      <c r="AB721" s="66"/>
      <c r="AG721" s="66"/>
    </row>
    <row r="722" spans="4:33">
      <c r="D722" s="66"/>
      <c r="G722" s="66"/>
      <c r="V722" s="66"/>
      <c r="W722" s="66"/>
      <c r="X722" s="66"/>
      <c r="AB722" s="66"/>
      <c r="AG722" s="66"/>
    </row>
    <row r="723" spans="4:33">
      <c r="D723" s="66"/>
      <c r="G723" s="66"/>
      <c r="V723" s="66"/>
      <c r="W723" s="66"/>
      <c r="X723" s="66"/>
      <c r="AB723" s="66"/>
      <c r="AG723" s="66"/>
    </row>
    <row r="724" spans="4:33">
      <c r="D724" s="66"/>
      <c r="G724" s="66"/>
      <c r="V724" s="66"/>
      <c r="W724" s="66"/>
      <c r="X724" s="66"/>
      <c r="AB724" s="66"/>
      <c r="AG724" s="66"/>
    </row>
    <row r="725" spans="4:33">
      <c r="D725" s="66"/>
      <c r="G725" s="66"/>
      <c r="V725" s="66"/>
      <c r="W725" s="66"/>
      <c r="X725" s="66"/>
      <c r="AB725" s="66"/>
      <c r="AG725" s="66"/>
    </row>
    <row r="726" spans="4:33">
      <c r="D726" s="66"/>
      <c r="G726" s="66"/>
      <c r="V726" s="66"/>
      <c r="W726" s="66"/>
      <c r="X726" s="66"/>
      <c r="AB726" s="66"/>
      <c r="AG726" s="66"/>
    </row>
    <row r="727" spans="4:33">
      <c r="D727" s="66"/>
      <c r="G727" s="66"/>
      <c r="V727" s="66"/>
      <c r="W727" s="66"/>
      <c r="X727" s="66"/>
      <c r="AB727" s="66"/>
      <c r="AG727" s="66"/>
    </row>
    <row r="728" spans="4:33">
      <c r="D728" s="66"/>
      <c r="G728" s="66"/>
      <c r="V728" s="66"/>
      <c r="W728" s="66"/>
      <c r="X728" s="66"/>
      <c r="AB728" s="66"/>
      <c r="AG728" s="66"/>
    </row>
    <row r="729" spans="4:33">
      <c r="D729" s="66"/>
      <c r="G729" s="66"/>
      <c r="V729" s="66"/>
      <c r="W729" s="66"/>
      <c r="X729" s="66"/>
      <c r="AB729" s="66"/>
      <c r="AG729" s="66"/>
    </row>
    <row r="730" spans="4:33">
      <c r="D730" s="66"/>
      <c r="G730" s="66"/>
      <c r="V730" s="66"/>
      <c r="W730" s="66"/>
      <c r="X730" s="66"/>
      <c r="AB730" s="66"/>
      <c r="AG730" s="66"/>
    </row>
    <row r="731" spans="4:33">
      <c r="D731" s="66"/>
      <c r="G731" s="66"/>
      <c r="V731" s="66"/>
      <c r="W731" s="66"/>
      <c r="X731" s="66"/>
      <c r="AB731" s="66"/>
      <c r="AG731" s="66"/>
    </row>
    <row r="732" spans="4:33">
      <c r="D732" s="66"/>
      <c r="G732" s="66"/>
      <c r="V732" s="66"/>
      <c r="W732" s="66"/>
      <c r="X732" s="66"/>
      <c r="AB732" s="66"/>
      <c r="AG732" s="66"/>
    </row>
    <row r="733" spans="4:33">
      <c r="D733" s="66"/>
      <c r="G733" s="66"/>
      <c r="V733" s="66"/>
      <c r="W733" s="66"/>
      <c r="X733" s="66"/>
      <c r="AB733" s="66"/>
      <c r="AG733" s="66"/>
    </row>
    <row r="734" spans="4:33">
      <c r="D734" s="66"/>
      <c r="G734" s="66"/>
      <c r="V734" s="66"/>
      <c r="W734" s="66"/>
      <c r="X734" s="66"/>
      <c r="AB734" s="66"/>
      <c r="AG734" s="66"/>
    </row>
    <row r="735" spans="4:33">
      <c r="D735" s="66"/>
      <c r="G735" s="66"/>
      <c r="V735" s="66"/>
      <c r="W735" s="66"/>
      <c r="X735" s="66"/>
      <c r="AB735" s="66"/>
      <c r="AG735" s="66"/>
    </row>
    <row r="736" spans="4:33">
      <c r="D736" s="66"/>
      <c r="G736" s="66"/>
      <c r="V736" s="66"/>
      <c r="W736" s="66"/>
      <c r="X736" s="66"/>
      <c r="AB736" s="66"/>
      <c r="AG736" s="66"/>
    </row>
    <row r="737" spans="4:33">
      <c r="D737" s="66"/>
      <c r="G737" s="66"/>
      <c r="V737" s="66"/>
      <c r="W737" s="66"/>
      <c r="X737" s="66"/>
      <c r="AB737" s="66"/>
      <c r="AG737" s="66"/>
    </row>
    <row r="738" spans="4:33">
      <c r="D738" s="66"/>
      <c r="G738" s="66"/>
      <c r="V738" s="66"/>
      <c r="W738" s="66"/>
      <c r="X738" s="66"/>
      <c r="AB738" s="66"/>
      <c r="AG738" s="66"/>
    </row>
    <row r="739" spans="4:33">
      <c r="D739" s="66"/>
      <c r="G739" s="66"/>
      <c r="V739" s="66"/>
      <c r="W739" s="66"/>
      <c r="X739" s="66"/>
      <c r="AB739" s="66"/>
      <c r="AG739" s="66"/>
    </row>
    <row r="740" spans="4:33">
      <c r="D740" s="66"/>
      <c r="G740" s="66"/>
      <c r="V740" s="66"/>
      <c r="W740" s="66"/>
      <c r="X740" s="66"/>
      <c r="AB740" s="66"/>
      <c r="AG740" s="66"/>
    </row>
    <row r="741" spans="4:33">
      <c r="D741" s="66"/>
      <c r="G741" s="66"/>
      <c r="V741" s="66"/>
      <c r="W741" s="66"/>
      <c r="X741" s="66"/>
      <c r="AB741" s="66"/>
      <c r="AG741" s="66"/>
    </row>
    <row r="742" spans="4:33">
      <c r="D742" s="66"/>
      <c r="G742" s="66"/>
      <c r="V742" s="66"/>
      <c r="W742" s="66"/>
      <c r="X742" s="66"/>
      <c r="AB742" s="66"/>
      <c r="AG742" s="66"/>
    </row>
    <row r="743" spans="4:33">
      <c r="D743" s="66"/>
      <c r="G743" s="66"/>
      <c r="V743" s="66"/>
      <c r="W743" s="66"/>
      <c r="X743" s="66"/>
      <c r="AB743" s="66"/>
      <c r="AG743" s="66"/>
    </row>
    <row r="744" spans="4:33">
      <c r="D744" s="66"/>
      <c r="G744" s="66"/>
      <c r="V744" s="66"/>
      <c r="W744" s="66"/>
      <c r="X744" s="66"/>
      <c r="AB744" s="66"/>
      <c r="AG744" s="66"/>
    </row>
    <row r="745" spans="4:33">
      <c r="D745" s="66"/>
      <c r="G745" s="66"/>
      <c r="V745" s="66"/>
      <c r="W745" s="66"/>
      <c r="X745" s="66"/>
      <c r="AB745" s="66"/>
      <c r="AG745" s="66"/>
    </row>
    <row r="746" spans="4:33">
      <c r="D746" s="66"/>
      <c r="G746" s="66"/>
      <c r="V746" s="66"/>
      <c r="W746" s="66"/>
      <c r="X746" s="66"/>
      <c r="AB746" s="66"/>
      <c r="AG746" s="66"/>
    </row>
    <row r="747" spans="4:33">
      <c r="D747" s="66"/>
      <c r="G747" s="66"/>
      <c r="V747" s="66"/>
      <c r="W747" s="66"/>
      <c r="X747" s="66"/>
      <c r="AB747" s="66"/>
      <c r="AG747" s="66"/>
    </row>
    <row r="748" spans="4:33">
      <c r="D748" s="66"/>
      <c r="G748" s="66"/>
      <c r="V748" s="66"/>
      <c r="W748" s="66"/>
      <c r="X748" s="66"/>
      <c r="AB748" s="66"/>
      <c r="AG748" s="66"/>
    </row>
    <row r="749" spans="4:33">
      <c r="D749" s="66"/>
      <c r="G749" s="66"/>
      <c r="V749" s="66"/>
      <c r="W749" s="66"/>
      <c r="X749" s="66"/>
      <c r="AB749" s="66"/>
      <c r="AG749" s="66"/>
    </row>
    <row r="750" spans="4:33">
      <c r="D750" s="66"/>
      <c r="G750" s="66"/>
      <c r="V750" s="66"/>
      <c r="W750" s="66"/>
      <c r="X750" s="66"/>
      <c r="AB750" s="66"/>
      <c r="AG750" s="66"/>
    </row>
    <row r="751" spans="4:33">
      <c r="D751" s="66"/>
      <c r="G751" s="66"/>
      <c r="V751" s="66"/>
      <c r="W751" s="66"/>
      <c r="X751" s="66"/>
      <c r="AB751" s="66"/>
      <c r="AG751" s="66"/>
    </row>
    <row r="752" spans="4:33">
      <c r="D752" s="66"/>
      <c r="G752" s="66"/>
      <c r="V752" s="66"/>
      <c r="W752" s="66"/>
      <c r="X752" s="66"/>
      <c r="AB752" s="66"/>
      <c r="AG752" s="66"/>
    </row>
    <row r="753" spans="4:33">
      <c r="D753" s="66"/>
      <c r="G753" s="66"/>
      <c r="V753" s="66"/>
      <c r="W753" s="66"/>
      <c r="X753" s="66"/>
      <c r="AB753" s="66"/>
      <c r="AG753" s="66"/>
    </row>
    <row r="754" spans="4:33">
      <c r="D754" s="66"/>
      <c r="G754" s="66"/>
      <c r="V754" s="66"/>
      <c r="W754" s="66"/>
      <c r="X754" s="66"/>
      <c r="AB754" s="66"/>
      <c r="AG754" s="66"/>
    </row>
    <row r="755" spans="4:33">
      <c r="D755" s="66"/>
      <c r="G755" s="66"/>
      <c r="V755" s="66"/>
      <c r="W755" s="66"/>
      <c r="X755" s="66"/>
      <c r="AB755" s="66"/>
      <c r="AG755" s="66"/>
    </row>
    <row r="756" spans="4:33">
      <c r="D756" s="66"/>
      <c r="G756" s="66"/>
      <c r="V756" s="66"/>
      <c r="W756" s="66"/>
      <c r="X756" s="66"/>
      <c r="AB756" s="66"/>
      <c r="AG756" s="66"/>
    </row>
    <row r="757" spans="4:33">
      <c r="D757" s="66"/>
      <c r="G757" s="66"/>
      <c r="V757" s="66"/>
      <c r="W757" s="66"/>
      <c r="X757" s="66"/>
      <c r="AB757" s="66"/>
      <c r="AG757" s="66"/>
    </row>
    <row r="758" spans="4:33">
      <c r="D758" s="66"/>
      <c r="G758" s="66"/>
      <c r="V758" s="66"/>
      <c r="W758" s="66"/>
      <c r="X758" s="66"/>
      <c r="AB758" s="66"/>
      <c r="AG758" s="66"/>
    </row>
    <row r="759" spans="4:33">
      <c r="D759" s="66"/>
      <c r="G759" s="66"/>
      <c r="V759" s="66"/>
      <c r="W759" s="66"/>
      <c r="X759" s="66"/>
      <c r="AB759" s="66"/>
      <c r="AG759" s="66"/>
    </row>
    <row r="760" spans="4:33">
      <c r="D760" s="66"/>
      <c r="G760" s="66"/>
      <c r="V760" s="66"/>
      <c r="W760" s="66"/>
      <c r="X760" s="66"/>
      <c r="AB760" s="66"/>
      <c r="AG760" s="66"/>
    </row>
    <row r="761" spans="4:33">
      <c r="D761" s="66"/>
      <c r="G761" s="66"/>
      <c r="V761" s="66"/>
      <c r="W761" s="66"/>
      <c r="X761" s="66"/>
      <c r="AB761" s="66"/>
      <c r="AG761" s="66"/>
    </row>
    <row r="762" spans="4:33">
      <c r="D762" s="66"/>
      <c r="G762" s="66"/>
      <c r="V762" s="66"/>
      <c r="W762" s="66"/>
      <c r="X762" s="66"/>
      <c r="AB762" s="66"/>
      <c r="AG762" s="66"/>
    </row>
    <row r="763" spans="4:33">
      <c r="D763" s="66"/>
      <c r="G763" s="66"/>
      <c r="V763" s="66"/>
      <c r="W763" s="66"/>
      <c r="X763" s="66"/>
      <c r="AB763" s="66"/>
      <c r="AG763" s="66"/>
    </row>
    <row r="764" spans="4:33">
      <c r="D764" s="66"/>
      <c r="G764" s="66"/>
      <c r="V764" s="66"/>
      <c r="W764" s="66"/>
      <c r="X764" s="66"/>
      <c r="AB764" s="66"/>
      <c r="AG764" s="66"/>
    </row>
  </sheetData>
  <sortState ref="A2:AG764">
    <sortCondition ref="F1:F1048576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 tint="0.79998168889431442"/>
  </sheetPr>
  <dimension ref="A1:AG764"/>
  <sheetViews>
    <sheetView workbookViewId="0">
      <selection activeCell="A2" sqref="A2"/>
    </sheetView>
  </sheetViews>
  <sheetFormatPr defaultColWidth="11.42578125" defaultRowHeight="15"/>
  <cols>
    <col min="1" max="8" width="11.42578125" style="90"/>
    <col min="9" max="9" width="24.140625" style="90" bestFit="1" customWidth="1"/>
    <col min="10" max="11" width="11.42578125" style="90"/>
    <col min="12" max="12" width="14.140625" style="90" bestFit="1" customWidth="1"/>
    <col min="13" max="16384" width="11.42578125" style="90"/>
  </cols>
  <sheetData>
    <row r="1" spans="1:33" s="89" customFormat="1" ht="90">
      <c r="A1" s="87" t="s">
        <v>52</v>
      </c>
      <c r="B1" s="87" t="s">
        <v>53</v>
      </c>
      <c r="C1" s="87" t="s">
        <v>54</v>
      </c>
      <c r="D1" s="87" t="s">
        <v>55</v>
      </c>
      <c r="E1" s="87" t="s">
        <v>56</v>
      </c>
      <c r="F1" s="87" t="s">
        <v>57</v>
      </c>
      <c r="G1" s="87" t="s">
        <v>58</v>
      </c>
      <c r="H1" s="87" t="s">
        <v>59</v>
      </c>
      <c r="I1" s="87" t="s">
        <v>60</v>
      </c>
      <c r="J1" s="87" t="s">
        <v>61</v>
      </c>
      <c r="K1" s="87" t="s">
        <v>62</v>
      </c>
      <c r="L1" s="87" t="s">
        <v>63</v>
      </c>
      <c r="M1" s="87" t="s">
        <v>64</v>
      </c>
      <c r="N1" s="87" t="s">
        <v>65</v>
      </c>
      <c r="O1" s="87" t="s">
        <v>66</v>
      </c>
      <c r="P1" s="87" t="s">
        <v>67</v>
      </c>
      <c r="Q1" s="87" t="s">
        <v>68</v>
      </c>
      <c r="R1" s="88" t="s">
        <v>69</v>
      </c>
      <c r="S1" s="88" t="s">
        <v>70</v>
      </c>
      <c r="T1" s="88" t="s">
        <v>71</v>
      </c>
      <c r="U1" s="88" t="s">
        <v>72</v>
      </c>
      <c r="V1" s="88" t="s">
        <v>73</v>
      </c>
      <c r="W1" s="88" t="s">
        <v>74</v>
      </c>
      <c r="X1" s="88" t="s">
        <v>75</v>
      </c>
      <c r="Y1" s="88" t="s">
        <v>76</v>
      </c>
      <c r="Z1" s="88" t="s">
        <v>77</v>
      </c>
      <c r="AA1" s="88" t="s">
        <v>78</v>
      </c>
      <c r="AB1" s="88" t="s">
        <v>79</v>
      </c>
      <c r="AC1" s="88" t="s">
        <v>80</v>
      </c>
      <c r="AD1" s="88" t="s">
        <v>81</v>
      </c>
      <c r="AE1" s="88" t="s">
        <v>82</v>
      </c>
      <c r="AF1" s="88" t="s">
        <v>83</v>
      </c>
      <c r="AG1" s="88" t="s">
        <v>84</v>
      </c>
    </row>
    <row r="2" spans="1:33">
      <c r="D2" s="66"/>
      <c r="G2" s="66"/>
      <c r="V2" s="66"/>
      <c r="W2" s="66"/>
      <c r="X2" s="66"/>
      <c r="AB2" s="66"/>
      <c r="AG2" s="66"/>
    </row>
    <row r="3" spans="1:33">
      <c r="D3" s="66"/>
      <c r="G3" s="66"/>
      <c r="V3" s="66"/>
      <c r="W3" s="66"/>
      <c r="X3" s="66"/>
      <c r="AB3" s="66"/>
      <c r="AG3" s="66"/>
    </row>
    <row r="4" spans="1:33">
      <c r="D4" s="66"/>
      <c r="G4" s="66"/>
      <c r="V4" s="66"/>
      <c r="W4" s="66"/>
      <c r="X4" s="66"/>
      <c r="AB4" s="66"/>
      <c r="AG4" s="66"/>
    </row>
    <row r="5" spans="1:33">
      <c r="D5" s="66"/>
      <c r="G5" s="66"/>
      <c r="V5" s="66"/>
      <c r="W5" s="66"/>
      <c r="X5" s="66"/>
      <c r="AB5" s="66"/>
      <c r="AG5" s="66"/>
    </row>
    <row r="6" spans="1:33">
      <c r="D6" s="66"/>
      <c r="G6" s="66"/>
      <c r="V6" s="66"/>
      <c r="W6" s="66"/>
      <c r="X6" s="66"/>
      <c r="AB6" s="66"/>
      <c r="AG6" s="66"/>
    </row>
    <row r="7" spans="1:33">
      <c r="D7" s="66"/>
      <c r="G7" s="66"/>
      <c r="V7" s="66"/>
      <c r="W7" s="66"/>
      <c r="X7" s="66"/>
      <c r="AB7" s="66"/>
      <c r="AG7" s="66"/>
    </row>
    <row r="8" spans="1:33">
      <c r="D8" s="66"/>
      <c r="G8" s="66"/>
      <c r="V8" s="66"/>
      <c r="W8" s="66"/>
      <c r="X8" s="66"/>
      <c r="AB8" s="66"/>
      <c r="AG8" s="66"/>
    </row>
    <row r="9" spans="1:33">
      <c r="D9" s="66"/>
      <c r="G9" s="66"/>
      <c r="V9" s="66"/>
      <c r="W9" s="66"/>
      <c r="X9" s="66"/>
      <c r="AB9" s="66"/>
      <c r="AG9" s="66"/>
    </row>
    <row r="10" spans="1:33">
      <c r="D10" s="66"/>
      <c r="G10" s="66"/>
      <c r="V10" s="66"/>
      <c r="W10" s="66"/>
      <c r="X10" s="66"/>
      <c r="AB10" s="66"/>
      <c r="AG10" s="66"/>
    </row>
    <row r="11" spans="1:33">
      <c r="D11" s="66"/>
      <c r="G11" s="66"/>
      <c r="V11" s="66"/>
      <c r="W11" s="66"/>
      <c r="X11" s="66"/>
      <c r="AB11" s="66"/>
      <c r="AG11" s="66"/>
    </row>
    <row r="12" spans="1:33">
      <c r="D12" s="66"/>
      <c r="G12" s="66"/>
      <c r="V12" s="66"/>
      <c r="W12" s="66"/>
      <c r="X12" s="66"/>
      <c r="AB12" s="66"/>
      <c r="AG12" s="66"/>
    </row>
    <row r="13" spans="1:33">
      <c r="D13" s="66"/>
      <c r="G13" s="66"/>
      <c r="V13" s="66"/>
      <c r="W13" s="66"/>
      <c r="X13" s="66"/>
      <c r="AB13" s="66"/>
      <c r="AG13" s="66"/>
    </row>
    <row r="14" spans="1:33">
      <c r="D14" s="66"/>
      <c r="G14" s="66"/>
      <c r="V14" s="66"/>
      <c r="W14" s="66"/>
      <c r="X14" s="66"/>
      <c r="AB14" s="66"/>
      <c r="AG14" s="66"/>
    </row>
    <row r="15" spans="1:33">
      <c r="D15" s="66"/>
      <c r="G15" s="66"/>
      <c r="V15" s="66"/>
      <c r="W15" s="66"/>
      <c r="X15" s="66"/>
      <c r="AB15" s="66"/>
      <c r="AG15" s="66"/>
    </row>
    <row r="16" spans="1:33">
      <c r="D16" s="66"/>
      <c r="G16" s="66"/>
      <c r="V16" s="66"/>
      <c r="W16" s="66"/>
      <c r="X16" s="66"/>
      <c r="AB16" s="66"/>
      <c r="AG16" s="66"/>
    </row>
    <row r="17" spans="4:33">
      <c r="D17" s="66"/>
      <c r="G17" s="66"/>
      <c r="V17" s="66"/>
      <c r="W17" s="66"/>
      <c r="X17" s="66"/>
      <c r="AB17" s="66"/>
      <c r="AG17" s="66"/>
    </row>
    <row r="18" spans="4:33">
      <c r="D18" s="66"/>
      <c r="G18" s="66"/>
      <c r="V18" s="66"/>
      <c r="W18" s="66"/>
      <c r="X18" s="66"/>
      <c r="AB18" s="66"/>
      <c r="AG18" s="66"/>
    </row>
    <row r="19" spans="4:33">
      <c r="D19" s="66"/>
      <c r="G19" s="66"/>
      <c r="V19" s="66"/>
      <c r="W19" s="66"/>
      <c r="X19" s="66"/>
      <c r="AB19" s="66"/>
      <c r="AG19" s="66"/>
    </row>
    <row r="20" spans="4:33">
      <c r="D20" s="66"/>
      <c r="G20" s="66"/>
      <c r="V20" s="66"/>
      <c r="W20" s="66"/>
      <c r="X20" s="66"/>
      <c r="AB20" s="66"/>
      <c r="AG20" s="66"/>
    </row>
    <row r="21" spans="4:33">
      <c r="D21" s="66"/>
      <c r="G21" s="66"/>
      <c r="V21" s="66"/>
      <c r="W21" s="66"/>
      <c r="X21" s="66"/>
      <c r="AB21" s="66"/>
      <c r="AG21" s="66"/>
    </row>
    <row r="22" spans="4:33">
      <c r="D22" s="66"/>
      <c r="G22" s="66"/>
      <c r="V22" s="66"/>
      <c r="W22" s="66"/>
      <c r="X22" s="66"/>
      <c r="AB22" s="66"/>
      <c r="AG22" s="66"/>
    </row>
    <row r="23" spans="4:33">
      <c r="D23" s="66"/>
      <c r="G23" s="66"/>
      <c r="V23" s="66"/>
      <c r="W23" s="66"/>
      <c r="X23" s="66"/>
      <c r="AB23" s="66"/>
      <c r="AG23" s="66"/>
    </row>
    <row r="24" spans="4:33">
      <c r="D24" s="66"/>
      <c r="G24" s="66"/>
      <c r="V24" s="66"/>
      <c r="W24" s="66"/>
      <c r="X24" s="66"/>
      <c r="AB24" s="66"/>
      <c r="AG24" s="66"/>
    </row>
    <row r="25" spans="4:33">
      <c r="D25" s="66"/>
      <c r="G25" s="66"/>
      <c r="V25" s="66"/>
      <c r="W25" s="66"/>
      <c r="X25" s="66"/>
      <c r="AB25" s="66"/>
      <c r="AG25" s="66"/>
    </row>
    <row r="26" spans="4:33">
      <c r="D26" s="66"/>
      <c r="G26" s="66"/>
      <c r="V26" s="66"/>
      <c r="W26" s="66"/>
      <c r="X26" s="66"/>
      <c r="AB26" s="66"/>
      <c r="AG26" s="66"/>
    </row>
    <row r="27" spans="4:33">
      <c r="D27" s="66"/>
      <c r="G27" s="66"/>
      <c r="V27" s="66"/>
      <c r="W27" s="66"/>
      <c r="X27" s="66"/>
      <c r="AB27" s="66"/>
      <c r="AG27" s="66"/>
    </row>
    <row r="28" spans="4:33">
      <c r="D28" s="66"/>
      <c r="G28" s="66"/>
      <c r="V28" s="66"/>
      <c r="W28" s="66"/>
      <c r="X28" s="66"/>
      <c r="AB28" s="66"/>
      <c r="AG28" s="66"/>
    </row>
    <row r="29" spans="4:33">
      <c r="D29" s="66"/>
      <c r="G29" s="66"/>
      <c r="V29" s="66"/>
      <c r="W29" s="66"/>
      <c r="X29" s="66"/>
      <c r="AB29" s="66"/>
      <c r="AG29" s="66"/>
    </row>
    <row r="30" spans="4:33">
      <c r="D30" s="66"/>
      <c r="G30" s="66"/>
      <c r="V30" s="66"/>
      <c r="W30" s="66"/>
      <c r="X30" s="66"/>
      <c r="AB30" s="66"/>
      <c r="AG30" s="66"/>
    </row>
    <row r="31" spans="4:33">
      <c r="D31" s="66"/>
      <c r="G31" s="66"/>
      <c r="V31" s="66"/>
      <c r="W31" s="66"/>
      <c r="X31" s="66"/>
      <c r="AB31" s="66"/>
      <c r="AG31" s="66"/>
    </row>
    <row r="32" spans="4:33">
      <c r="D32" s="66"/>
      <c r="G32" s="66"/>
      <c r="V32" s="66"/>
      <c r="W32" s="66"/>
      <c r="X32" s="66"/>
      <c r="AB32" s="66"/>
      <c r="AG32" s="66"/>
    </row>
    <row r="33" spans="4:33">
      <c r="D33" s="66"/>
      <c r="G33" s="66"/>
      <c r="V33" s="66"/>
      <c r="W33" s="66"/>
      <c r="X33" s="66"/>
      <c r="AB33" s="66"/>
      <c r="AG33" s="66"/>
    </row>
    <row r="34" spans="4:33">
      <c r="D34" s="66"/>
      <c r="G34" s="66"/>
      <c r="V34" s="66"/>
      <c r="W34" s="66"/>
      <c r="X34" s="66"/>
      <c r="AB34" s="66"/>
      <c r="AG34" s="66"/>
    </row>
    <row r="35" spans="4:33">
      <c r="D35" s="66"/>
      <c r="G35" s="66"/>
      <c r="V35" s="66"/>
      <c r="W35" s="66"/>
      <c r="X35" s="66"/>
      <c r="AB35" s="66"/>
      <c r="AG35" s="66"/>
    </row>
    <row r="36" spans="4:33">
      <c r="D36" s="66"/>
      <c r="G36" s="66"/>
      <c r="V36" s="66"/>
      <c r="W36" s="66"/>
      <c r="X36" s="66"/>
      <c r="AB36" s="66"/>
      <c r="AG36" s="66"/>
    </row>
    <row r="37" spans="4:33">
      <c r="D37" s="66"/>
      <c r="G37" s="66"/>
      <c r="V37" s="66"/>
      <c r="W37" s="66"/>
      <c r="X37" s="66"/>
      <c r="AB37" s="66"/>
      <c r="AG37" s="66"/>
    </row>
    <row r="38" spans="4:33">
      <c r="D38" s="66"/>
      <c r="G38" s="66"/>
      <c r="V38" s="66"/>
      <c r="W38" s="66"/>
      <c r="X38" s="66"/>
      <c r="AB38" s="66"/>
      <c r="AG38" s="66"/>
    </row>
    <row r="39" spans="4:33">
      <c r="D39" s="66"/>
      <c r="G39" s="66"/>
      <c r="V39" s="66"/>
      <c r="W39" s="66"/>
      <c r="X39" s="66"/>
      <c r="AB39" s="66"/>
      <c r="AG39" s="66"/>
    </row>
    <row r="40" spans="4:33">
      <c r="D40" s="66"/>
      <c r="G40" s="66"/>
      <c r="V40" s="66"/>
      <c r="W40" s="66"/>
      <c r="X40" s="66"/>
      <c r="AB40" s="66"/>
      <c r="AG40" s="66"/>
    </row>
    <row r="41" spans="4:33">
      <c r="D41" s="66"/>
      <c r="G41" s="66"/>
      <c r="V41" s="66"/>
      <c r="W41" s="66"/>
      <c r="X41" s="66"/>
      <c r="AB41" s="66"/>
      <c r="AG41" s="66"/>
    </row>
    <row r="42" spans="4:33">
      <c r="D42" s="66"/>
      <c r="G42" s="66"/>
      <c r="V42" s="66"/>
      <c r="W42" s="66"/>
      <c r="X42" s="66"/>
      <c r="AB42" s="66"/>
      <c r="AG42" s="66"/>
    </row>
    <row r="43" spans="4:33">
      <c r="D43" s="66"/>
      <c r="G43" s="66"/>
      <c r="V43" s="66"/>
      <c r="W43" s="66"/>
      <c r="X43" s="66"/>
      <c r="AB43" s="66"/>
      <c r="AG43" s="66"/>
    </row>
    <row r="44" spans="4:33">
      <c r="D44" s="66"/>
      <c r="G44" s="66"/>
      <c r="V44" s="66"/>
      <c r="W44" s="66"/>
      <c r="X44" s="66"/>
      <c r="AB44" s="66"/>
      <c r="AG44" s="66"/>
    </row>
    <row r="45" spans="4:33">
      <c r="D45" s="66"/>
      <c r="G45" s="66"/>
      <c r="V45" s="66"/>
      <c r="W45" s="66"/>
      <c r="X45" s="66"/>
      <c r="AB45" s="66"/>
      <c r="AG45" s="66"/>
    </row>
    <row r="46" spans="4:33">
      <c r="D46" s="66"/>
      <c r="G46" s="66"/>
      <c r="V46" s="66"/>
      <c r="W46" s="66"/>
      <c r="X46" s="66"/>
      <c r="AB46" s="66"/>
      <c r="AG46" s="66"/>
    </row>
    <row r="47" spans="4:33">
      <c r="D47" s="66"/>
      <c r="G47" s="66"/>
      <c r="V47" s="66"/>
      <c r="W47" s="66"/>
      <c r="X47" s="66"/>
      <c r="AB47" s="66"/>
      <c r="AG47" s="66"/>
    </row>
    <row r="48" spans="4:33">
      <c r="D48" s="66"/>
      <c r="G48" s="66"/>
      <c r="V48" s="66"/>
      <c r="W48" s="66"/>
      <c r="X48" s="66"/>
      <c r="AB48" s="66"/>
      <c r="AG48" s="66"/>
    </row>
    <row r="49" spans="4:33">
      <c r="D49" s="66"/>
      <c r="G49" s="66"/>
      <c r="V49" s="66"/>
      <c r="W49" s="66"/>
      <c r="X49" s="66"/>
      <c r="AB49" s="66"/>
      <c r="AG49" s="66"/>
    </row>
    <row r="50" spans="4:33">
      <c r="D50" s="66"/>
      <c r="G50" s="66"/>
      <c r="V50" s="66"/>
      <c r="W50" s="66"/>
      <c r="X50" s="66"/>
      <c r="AB50" s="66"/>
      <c r="AG50" s="66"/>
    </row>
    <row r="51" spans="4:33">
      <c r="D51" s="66"/>
      <c r="G51" s="66"/>
      <c r="V51" s="66"/>
      <c r="W51" s="66"/>
      <c r="X51" s="66"/>
      <c r="AB51" s="66"/>
      <c r="AG51" s="66"/>
    </row>
    <row r="52" spans="4:33">
      <c r="D52" s="66"/>
      <c r="G52" s="66"/>
      <c r="V52" s="66"/>
      <c r="W52" s="66"/>
      <c r="X52" s="66"/>
      <c r="AB52" s="66"/>
      <c r="AG52" s="66"/>
    </row>
    <row r="53" spans="4:33">
      <c r="D53" s="66"/>
      <c r="G53" s="66"/>
      <c r="V53" s="66"/>
      <c r="W53" s="66"/>
      <c r="X53" s="66"/>
      <c r="AB53" s="66"/>
      <c r="AG53" s="66"/>
    </row>
    <row r="54" spans="4:33">
      <c r="D54" s="66"/>
      <c r="G54" s="66"/>
      <c r="V54" s="66"/>
      <c r="W54" s="66"/>
      <c r="X54" s="66"/>
      <c r="AB54" s="66"/>
      <c r="AG54" s="66"/>
    </row>
    <row r="55" spans="4:33">
      <c r="D55" s="66"/>
      <c r="G55" s="66"/>
      <c r="V55" s="66"/>
      <c r="W55" s="66"/>
      <c r="X55" s="66"/>
      <c r="AB55" s="66"/>
      <c r="AG55" s="66"/>
    </row>
    <row r="56" spans="4:33">
      <c r="D56" s="66"/>
      <c r="G56" s="66"/>
      <c r="V56" s="66"/>
      <c r="W56" s="66"/>
      <c r="X56" s="66"/>
      <c r="AB56" s="66"/>
      <c r="AG56" s="66"/>
    </row>
    <row r="57" spans="4:33">
      <c r="D57" s="66"/>
      <c r="G57" s="66"/>
      <c r="V57" s="66"/>
      <c r="W57" s="66"/>
      <c r="X57" s="66"/>
      <c r="AB57" s="66"/>
      <c r="AG57" s="66"/>
    </row>
    <row r="58" spans="4:33">
      <c r="D58" s="66"/>
      <c r="G58" s="66"/>
      <c r="V58" s="66"/>
      <c r="W58" s="66"/>
      <c r="X58" s="66"/>
      <c r="AB58" s="66"/>
      <c r="AG58" s="66"/>
    </row>
    <row r="59" spans="4:33">
      <c r="D59" s="66"/>
      <c r="G59" s="66"/>
      <c r="V59" s="66"/>
      <c r="W59" s="66"/>
      <c r="X59" s="66"/>
      <c r="AB59" s="66"/>
      <c r="AG59" s="66"/>
    </row>
    <row r="60" spans="4:33">
      <c r="D60" s="66"/>
      <c r="G60" s="66"/>
      <c r="V60" s="66"/>
      <c r="W60" s="66"/>
      <c r="X60" s="66"/>
      <c r="AB60" s="66"/>
      <c r="AG60" s="66"/>
    </row>
    <row r="61" spans="4:33">
      <c r="D61" s="66"/>
      <c r="G61" s="66"/>
      <c r="V61" s="66"/>
      <c r="W61" s="66"/>
      <c r="X61" s="66"/>
      <c r="AB61" s="66"/>
      <c r="AG61" s="66"/>
    </row>
    <row r="62" spans="4:33">
      <c r="D62" s="66"/>
      <c r="G62" s="66"/>
      <c r="V62" s="66"/>
      <c r="W62" s="66"/>
      <c r="X62" s="66"/>
      <c r="AB62" s="66"/>
      <c r="AG62" s="66"/>
    </row>
    <row r="63" spans="4:33">
      <c r="D63" s="66"/>
      <c r="G63" s="66"/>
      <c r="V63" s="66"/>
      <c r="W63" s="66"/>
      <c r="X63" s="66"/>
      <c r="AB63" s="66"/>
      <c r="AG63" s="66"/>
    </row>
    <row r="64" spans="4:33">
      <c r="D64" s="66"/>
      <c r="G64" s="66"/>
      <c r="V64" s="66"/>
      <c r="W64" s="66"/>
      <c r="X64" s="66"/>
      <c r="AB64" s="66"/>
      <c r="AG64" s="66"/>
    </row>
    <row r="65" spans="4:33">
      <c r="D65" s="66"/>
      <c r="G65" s="66"/>
      <c r="V65" s="66"/>
      <c r="W65" s="66"/>
      <c r="X65" s="66"/>
      <c r="AB65" s="66"/>
      <c r="AG65" s="66"/>
    </row>
    <row r="66" spans="4:33">
      <c r="D66" s="66"/>
      <c r="G66" s="66"/>
      <c r="V66" s="66"/>
      <c r="W66" s="66"/>
      <c r="X66" s="66"/>
      <c r="AB66" s="66"/>
      <c r="AG66" s="66"/>
    </row>
    <row r="67" spans="4:33">
      <c r="D67" s="66"/>
      <c r="G67" s="66"/>
      <c r="V67" s="66"/>
      <c r="W67" s="66"/>
      <c r="X67" s="66"/>
      <c r="AB67" s="66"/>
      <c r="AG67" s="66"/>
    </row>
    <row r="68" spans="4:33">
      <c r="D68" s="66"/>
      <c r="G68" s="66"/>
      <c r="V68" s="66"/>
      <c r="W68" s="66"/>
      <c r="X68" s="66"/>
      <c r="AB68" s="66"/>
      <c r="AG68" s="66"/>
    </row>
    <row r="69" spans="4:33">
      <c r="D69" s="66"/>
      <c r="G69" s="66"/>
      <c r="V69" s="66"/>
      <c r="W69" s="66"/>
      <c r="X69" s="66"/>
      <c r="AB69" s="66"/>
      <c r="AG69" s="66"/>
    </row>
    <row r="70" spans="4:33">
      <c r="D70" s="66"/>
      <c r="G70" s="66"/>
      <c r="V70" s="66"/>
      <c r="W70" s="66"/>
      <c r="X70" s="66"/>
      <c r="AB70" s="66"/>
      <c r="AG70" s="66"/>
    </row>
    <row r="71" spans="4:33">
      <c r="D71" s="66"/>
      <c r="G71" s="66"/>
      <c r="V71" s="66"/>
      <c r="W71" s="66"/>
      <c r="X71" s="66"/>
      <c r="AB71" s="66"/>
      <c r="AG71" s="66"/>
    </row>
    <row r="72" spans="4:33">
      <c r="D72" s="66"/>
      <c r="G72" s="66"/>
      <c r="V72" s="66"/>
      <c r="W72" s="66"/>
      <c r="X72" s="66"/>
      <c r="AB72" s="66"/>
      <c r="AG72" s="66"/>
    </row>
    <row r="73" spans="4:33">
      <c r="D73" s="66"/>
      <c r="G73" s="66"/>
      <c r="V73" s="66"/>
      <c r="W73" s="66"/>
      <c r="X73" s="66"/>
      <c r="AB73" s="66"/>
      <c r="AG73" s="66"/>
    </row>
    <row r="74" spans="4:33">
      <c r="D74" s="66"/>
      <c r="G74" s="66"/>
      <c r="V74" s="66"/>
      <c r="W74" s="66"/>
      <c r="X74" s="66"/>
      <c r="AB74" s="66"/>
      <c r="AG74" s="66"/>
    </row>
    <row r="75" spans="4:33">
      <c r="D75" s="66"/>
      <c r="G75" s="66"/>
      <c r="V75" s="66"/>
      <c r="W75" s="66"/>
      <c r="X75" s="66"/>
      <c r="AB75" s="66"/>
      <c r="AG75" s="66"/>
    </row>
    <row r="76" spans="4:33">
      <c r="D76" s="66"/>
      <c r="G76" s="66"/>
      <c r="V76" s="66"/>
      <c r="W76" s="66"/>
      <c r="X76" s="66"/>
      <c r="AB76" s="66"/>
      <c r="AG76" s="66"/>
    </row>
    <row r="77" spans="4:33">
      <c r="D77" s="66"/>
      <c r="G77" s="66"/>
      <c r="V77" s="66"/>
      <c r="W77" s="66"/>
      <c r="X77" s="66"/>
      <c r="AB77" s="66"/>
      <c r="AG77" s="66"/>
    </row>
    <row r="78" spans="4:33">
      <c r="D78" s="66"/>
      <c r="G78" s="66"/>
      <c r="V78" s="66"/>
      <c r="W78" s="66"/>
      <c r="X78" s="66"/>
      <c r="AB78" s="66"/>
      <c r="AG78" s="66"/>
    </row>
    <row r="79" spans="4:33">
      <c r="D79" s="66"/>
      <c r="G79" s="66"/>
      <c r="V79" s="66"/>
      <c r="W79" s="66"/>
      <c r="X79" s="66"/>
      <c r="AB79" s="66"/>
      <c r="AG79" s="66"/>
    </row>
    <row r="80" spans="4:33">
      <c r="D80" s="66"/>
      <c r="G80" s="66"/>
      <c r="V80" s="66"/>
      <c r="W80" s="66"/>
      <c r="X80" s="66"/>
      <c r="AB80" s="66"/>
      <c r="AG80" s="66"/>
    </row>
    <row r="81" spans="4:33">
      <c r="D81" s="66"/>
      <c r="G81" s="66"/>
      <c r="V81" s="66"/>
      <c r="W81" s="66"/>
      <c r="X81" s="66"/>
      <c r="AB81" s="66"/>
      <c r="AG81" s="66"/>
    </row>
    <row r="82" spans="4:33">
      <c r="D82" s="66"/>
      <c r="G82" s="66"/>
      <c r="V82" s="66"/>
      <c r="W82" s="66"/>
      <c r="X82" s="66"/>
      <c r="AB82" s="66"/>
      <c r="AG82" s="66"/>
    </row>
    <row r="83" spans="4:33">
      <c r="D83" s="66"/>
      <c r="G83" s="66"/>
      <c r="V83" s="66"/>
      <c r="W83" s="66"/>
      <c r="X83" s="66"/>
      <c r="AB83" s="66"/>
      <c r="AG83" s="66"/>
    </row>
    <row r="84" spans="4:33">
      <c r="D84" s="66"/>
      <c r="G84" s="66"/>
      <c r="V84" s="66"/>
      <c r="W84" s="66"/>
      <c r="X84" s="66"/>
      <c r="AB84" s="66"/>
      <c r="AG84" s="66"/>
    </row>
    <row r="85" spans="4:33">
      <c r="D85" s="66"/>
      <c r="G85" s="66"/>
      <c r="V85" s="66"/>
      <c r="W85" s="66"/>
      <c r="X85" s="66"/>
      <c r="AB85" s="66"/>
      <c r="AG85" s="66"/>
    </row>
    <row r="86" spans="4:33">
      <c r="D86" s="66"/>
      <c r="G86" s="66"/>
      <c r="V86" s="66"/>
      <c r="W86" s="66"/>
      <c r="X86" s="66"/>
      <c r="AB86" s="66"/>
      <c r="AG86" s="66"/>
    </row>
    <row r="87" spans="4:33">
      <c r="D87" s="66"/>
      <c r="G87" s="66"/>
      <c r="V87" s="66"/>
      <c r="W87" s="66"/>
      <c r="X87" s="66"/>
      <c r="AB87" s="66"/>
      <c r="AG87" s="66"/>
    </row>
    <row r="88" spans="4:33">
      <c r="D88" s="66"/>
      <c r="G88" s="66"/>
      <c r="V88" s="66"/>
      <c r="W88" s="66"/>
      <c r="X88" s="66"/>
      <c r="AB88" s="66"/>
      <c r="AG88" s="66"/>
    </row>
    <row r="89" spans="4:33">
      <c r="D89" s="66"/>
      <c r="G89" s="66"/>
      <c r="V89" s="66"/>
      <c r="W89" s="66"/>
      <c r="X89" s="66"/>
      <c r="AB89" s="66"/>
      <c r="AG89" s="66"/>
    </row>
    <row r="90" spans="4:33">
      <c r="D90" s="66"/>
      <c r="G90" s="66"/>
      <c r="V90" s="66"/>
      <c r="W90" s="66"/>
      <c r="X90" s="66"/>
      <c r="AB90" s="66"/>
      <c r="AG90" s="66"/>
    </row>
    <row r="91" spans="4:33">
      <c r="D91" s="66"/>
      <c r="G91" s="66"/>
      <c r="V91" s="66"/>
      <c r="W91" s="66"/>
      <c r="X91" s="66"/>
      <c r="AB91" s="66"/>
      <c r="AG91" s="66"/>
    </row>
    <row r="92" spans="4:33">
      <c r="D92" s="66"/>
      <c r="G92" s="66"/>
      <c r="V92" s="66"/>
      <c r="W92" s="66"/>
      <c r="X92" s="66"/>
      <c r="AB92" s="66"/>
      <c r="AG92" s="66"/>
    </row>
    <row r="93" spans="4:33">
      <c r="D93" s="66"/>
      <c r="G93" s="66"/>
      <c r="V93" s="66"/>
      <c r="W93" s="66"/>
      <c r="X93" s="66"/>
      <c r="AB93" s="66"/>
      <c r="AG93" s="66"/>
    </row>
    <row r="94" spans="4:33">
      <c r="D94" s="66"/>
      <c r="G94" s="66"/>
      <c r="V94" s="66"/>
      <c r="W94" s="66"/>
      <c r="X94" s="66"/>
      <c r="AB94" s="66"/>
      <c r="AG94" s="66"/>
    </row>
    <row r="95" spans="4:33">
      <c r="D95" s="66"/>
      <c r="G95" s="66"/>
      <c r="V95" s="66"/>
      <c r="W95" s="66"/>
      <c r="X95" s="66"/>
      <c r="AB95" s="66"/>
      <c r="AG95" s="66"/>
    </row>
    <row r="96" spans="4:33">
      <c r="D96" s="66"/>
      <c r="G96" s="66"/>
      <c r="V96" s="66"/>
      <c r="W96" s="66"/>
      <c r="X96" s="66"/>
      <c r="AB96" s="66"/>
      <c r="AG96" s="66"/>
    </row>
    <row r="97" spans="4:33">
      <c r="D97" s="66"/>
      <c r="G97" s="66"/>
      <c r="V97" s="66"/>
      <c r="W97" s="66"/>
      <c r="X97" s="66"/>
      <c r="AB97" s="66"/>
      <c r="AG97" s="66"/>
    </row>
    <row r="98" spans="4:33">
      <c r="D98" s="66"/>
      <c r="G98" s="66"/>
      <c r="V98" s="66"/>
      <c r="W98" s="66"/>
      <c r="X98" s="66"/>
      <c r="AB98" s="66"/>
      <c r="AG98" s="66"/>
    </row>
    <row r="99" spans="4:33">
      <c r="D99" s="66"/>
      <c r="G99" s="66"/>
      <c r="V99" s="66"/>
      <c r="W99" s="66"/>
      <c r="X99" s="66"/>
      <c r="AB99" s="66"/>
      <c r="AG99" s="66"/>
    </row>
    <row r="100" spans="4:33">
      <c r="D100" s="66"/>
      <c r="G100" s="66"/>
      <c r="V100" s="66"/>
      <c r="W100" s="66"/>
      <c r="X100" s="66"/>
      <c r="AB100" s="66"/>
      <c r="AG100" s="66"/>
    </row>
    <row r="101" spans="4:33">
      <c r="D101" s="66"/>
      <c r="G101" s="66"/>
      <c r="V101" s="66"/>
      <c r="W101" s="66"/>
      <c r="X101" s="66"/>
      <c r="AB101" s="66"/>
      <c r="AG101" s="66"/>
    </row>
    <row r="102" spans="4:33">
      <c r="D102" s="66"/>
      <c r="G102" s="66"/>
      <c r="V102" s="66"/>
      <c r="W102" s="66"/>
      <c r="X102" s="66"/>
      <c r="AB102" s="66"/>
      <c r="AG102" s="66"/>
    </row>
    <row r="103" spans="4:33">
      <c r="D103" s="66"/>
      <c r="G103" s="66"/>
      <c r="V103" s="66"/>
      <c r="W103" s="66"/>
      <c r="X103" s="66"/>
      <c r="AB103" s="66"/>
      <c r="AG103" s="66"/>
    </row>
    <row r="104" spans="4:33">
      <c r="D104" s="66"/>
      <c r="G104" s="66"/>
      <c r="V104" s="66"/>
      <c r="W104" s="66"/>
      <c r="X104" s="66"/>
      <c r="AB104" s="66"/>
      <c r="AG104" s="66"/>
    </row>
    <row r="105" spans="4:33">
      <c r="D105" s="66"/>
      <c r="G105" s="66"/>
      <c r="V105" s="66"/>
      <c r="W105" s="66"/>
      <c r="X105" s="66"/>
      <c r="AB105" s="66"/>
      <c r="AG105" s="66"/>
    </row>
    <row r="106" spans="4:33">
      <c r="D106" s="66"/>
      <c r="G106" s="66"/>
      <c r="V106" s="66"/>
      <c r="W106" s="66"/>
      <c r="X106" s="66"/>
      <c r="AB106" s="66"/>
      <c r="AG106" s="66"/>
    </row>
    <row r="107" spans="4:33">
      <c r="D107" s="66"/>
      <c r="G107" s="66"/>
      <c r="V107" s="66"/>
      <c r="W107" s="66"/>
      <c r="X107" s="66"/>
      <c r="AB107" s="66"/>
      <c r="AG107" s="66"/>
    </row>
    <row r="108" spans="4:33">
      <c r="D108" s="66"/>
      <c r="G108" s="66"/>
      <c r="V108" s="66"/>
      <c r="W108" s="66"/>
      <c r="X108" s="66"/>
      <c r="AB108" s="66"/>
      <c r="AG108" s="66"/>
    </row>
    <row r="109" spans="4:33">
      <c r="D109" s="66"/>
      <c r="G109" s="66"/>
      <c r="V109" s="66"/>
      <c r="W109" s="66"/>
      <c r="X109" s="66"/>
      <c r="AB109" s="66"/>
      <c r="AG109" s="66"/>
    </row>
    <row r="110" spans="4:33">
      <c r="D110" s="66"/>
      <c r="G110" s="66"/>
      <c r="V110" s="66"/>
      <c r="W110" s="66"/>
      <c r="X110" s="66"/>
      <c r="AB110" s="66"/>
      <c r="AG110" s="66"/>
    </row>
    <row r="111" spans="4:33">
      <c r="D111" s="66"/>
      <c r="G111" s="66"/>
      <c r="V111" s="66"/>
      <c r="W111" s="66"/>
      <c r="X111" s="66"/>
      <c r="AB111" s="66"/>
      <c r="AG111" s="66"/>
    </row>
    <row r="112" spans="4:33">
      <c r="D112" s="66"/>
      <c r="G112" s="66"/>
      <c r="V112" s="66"/>
      <c r="W112" s="66"/>
      <c r="X112" s="66"/>
      <c r="AB112" s="66"/>
      <c r="AG112" s="66"/>
    </row>
    <row r="113" spans="4:33">
      <c r="D113" s="66"/>
      <c r="G113" s="66"/>
      <c r="V113" s="66"/>
      <c r="W113" s="66"/>
      <c r="X113" s="66"/>
      <c r="AB113" s="66"/>
      <c r="AG113" s="66"/>
    </row>
    <row r="114" spans="4:33">
      <c r="D114" s="66"/>
      <c r="G114" s="66"/>
      <c r="V114" s="66"/>
      <c r="W114" s="66"/>
      <c r="X114" s="66"/>
      <c r="AB114" s="66"/>
      <c r="AG114" s="66"/>
    </row>
    <row r="115" spans="4:33">
      <c r="D115" s="66"/>
      <c r="G115" s="66"/>
      <c r="V115" s="66"/>
      <c r="W115" s="66"/>
      <c r="X115" s="66"/>
      <c r="AB115" s="66"/>
      <c r="AG115" s="66"/>
    </row>
    <row r="116" spans="4:33">
      <c r="D116" s="66"/>
      <c r="G116" s="66"/>
      <c r="V116" s="66"/>
      <c r="W116" s="66"/>
      <c r="X116" s="66"/>
      <c r="AB116" s="66"/>
      <c r="AG116" s="66"/>
    </row>
    <row r="117" spans="4:33">
      <c r="D117" s="66"/>
      <c r="G117" s="66"/>
      <c r="V117" s="66"/>
      <c r="W117" s="66"/>
      <c r="X117" s="66"/>
      <c r="AB117" s="66"/>
      <c r="AG117" s="66"/>
    </row>
    <row r="118" spans="4:33">
      <c r="D118" s="66"/>
      <c r="G118" s="66"/>
      <c r="V118" s="66"/>
      <c r="W118" s="66"/>
      <c r="X118" s="66"/>
      <c r="AB118" s="66"/>
      <c r="AG118" s="66"/>
    </row>
    <row r="119" spans="4:33">
      <c r="D119" s="66"/>
      <c r="G119" s="66"/>
      <c r="V119" s="66"/>
      <c r="W119" s="66"/>
      <c r="X119" s="66"/>
      <c r="AB119" s="66"/>
      <c r="AG119" s="66"/>
    </row>
    <row r="120" spans="4:33">
      <c r="D120" s="66"/>
      <c r="G120" s="66"/>
      <c r="V120" s="66"/>
      <c r="W120" s="66"/>
      <c r="X120" s="66"/>
      <c r="AB120" s="66"/>
      <c r="AG120" s="66"/>
    </row>
    <row r="121" spans="4:33">
      <c r="D121" s="66"/>
      <c r="G121" s="66"/>
      <c r="V121" s="66"/>
      <c r="W121" s="66"/>
      <c r="X121" s="66"/>
      <c r="AB121" s="66"/>
      <c r="AG121" s="66"/>
    </row>
    <row r="122" spans="4:33">
      <c r="D122" s="66"/>
      <c r="G122" s="66"/>
      <c r="V122" s="66"/>
      <c r="W122" s="66"/>
      <c r="X122" s="66"/>
      <c r="AB122" s="66"/>
      <c r="AG122" s="66"/>
    </row>
    <row r="123" spans="4:33">
      <c r="D123" s="66"/>
      <c r="G123" s="66"/>
      <c r="V123" s="66"/>
      <c r="W123" s="66"/>
      <c r="X123" s="66"/>
      <c r="AB123" s="66"/>
      <c r="AG123" s="66"/>
    </row>
    <row r="124" spans="4:33">
      <c r="D124" s="66"/>
      <c r="G124" s="66"/>
      <c r="V124" s="66"/>
      <c r="W124" s="66"/>
      <c r="X124" s="66"/>
      <c r="AB124" s="66"/>
      <c r="AG124" s="66"/>
    </row>
    <row r="125" spans="4:33">
      <c r="D125" s="66"/>
      <c r="G125" s="66"/>
      <c r="V125" s="66"/>
      <c r="W125" s="66"/>
      <c r="X125" s="66"/>
      <c r="AB125" s="66"/>
      <c r="AG125" s="66"/>
    </row>
    <row r="126" spans="4:33">
      <c r="D126" s="66"/>
      <c r="G126" s="66"/>
      <c r="V126" s="66"/>
      <c r="W126" s="66"/>
      <c r="X126" s="66"/>
      <c r="AB126" s="66"/>
      <c r="AG126" s="66"/>
    </row>
    <row r="127" spans="4:33">
      <c r="D127" s="66"/>
      <c r="G127" s="66"/>
      <c r="V127" s="66"/>
      <c r="W127" s="66"/>
      <c r="X127" s="66"/>
      <c r="AB127" s="66"/>
      <c r="AG127" s="66"/>
    </row>
    <row r="128" spans="4:33">
      <c r="D128" s="66"/>
      <c r="G128" s="66"/>
      <c r="V128" s="66"/>
      <c r="W128" s="66"/>
      <c r="X128" s="66"/>
      <c r="AB128" s="66"/>
      <c r="AG128" s="66"/>
    </row>
    <row r="129" spans="4:33">
      <c r="D129" s="66"/>
      <c r="G129" s="66"/>
      <c r="V129" s="66"/>
      <c r="W129" s="66"/>
      <c r="X129" s="66"/>
      <c r="AB129" s="66"/>
      <c r="AG129" s="66"/>
    </row>
    <row r="130" spans="4:33">
      <c r="D130" s="66"/>
      <c r="G130" s="66"/>
      <c r="V130" s="66"/>
      <c r="W130" s="66"/>
      <c r="X130" s="66"/>
      <c r="AB130" s="66"/>
      <c r="AG130" s="66"/>
    </row>
    <row r="131" spans="4:33">
      <c r="D131" s="66"/>
      <c r="G131" s="66"/>
      <c r="V131" s="66"/>
      <c r="W131" s="66"/>
      <c r="X131" s="66"/>
      <c r="AB131" s="66"/>
      <c r="AG131" s="66"/>
    </row>
    <row r="132" spans="4:33">
      <c r="D132" s="66"/>
      <c r="G132" s="66"/>
      <c r="V132" s="66"/>
      <c r="W132" s="66"/>
      <c r="X132" s="66"/>
      <c r="AB132" s="66"/>
      <c r="AG132" s="66"/>
    </row>
    <row r="133" spans="4:33">
      <c r="D133" s="66"/>
      <c r="G133" s="66"/>
      <c r="V133" s="66"/>
      <c r="W133" s="66"/>
      <c r="X133" s="66"/>
      <c r="AB133" s="66"/>
      <c r="AG133" s="66"/>
    </row>
    <row r="134" spans="4:33">
      <c r="D134" s="66"/>
      <c r="G134" s="66"/>
      <c r="V134" s="66"/>
      <c r="W134" s="66"/>
      <c r="X134" s="66"/>
      <c r="AB134" s="66"/>
      <c r="AG134" s="66"/>
    </row>
    <row r="135" spans="4:33">
      <c r="D135" s="66"/>
      <c r="G135" s="66"/>
      <c r="V135" s="66"/>
      <c r="W135" s="66"/>
      <c r="X135" s="66"/>
      <c r="AB135" s="66"/>
      <c r="AG135" s="66"/>
    </row>
    <row r="136" spans="4:33">
      <c r="D136" s="66"/>
      <c r="G136" s="66"/>
      <c r="V136" s="66"/>
      <c r="W136" s="66"/>
      <c r="X136" s="66"/>
      <c r="AB136" s="66"/>
      <c r="AG136" s="66"/>
    </row>
    <row r="137" spans="4:33">
      <c r="D137" s="66"/>
      <c r="G137" s="66"/>
      <c r="V137" s="66"/>
      <c r="W137" s="66"/>
      <c r="X137" s="66"/>
      <c r="AB137" s="66"/>
      <c r="AG137" s="66"/>
    </row>
    <row r="138" spans="4:33">
      <c r="D138" s="66"/>
      <c r="G138" s="66"/>
      <c r="V138" s="66"/>
      <c r="W138" s="66"/>
      <c r="X138" s="66"/>
      <c r="AB138" s="66"/>
      <c r="AG138" s="66"/>
    </row>
    <row r="139" spans="4:33">
      <c r="D139" s="66"/>
      <c r="G139" s="66"/>
      <c r="V139" s="66"/>
      <c r="W139" s="66"/>
      <c r="X139" s="66"/>
      <c r="AB139" s="66"/>
      <c r="AG139" s="66"/>
    </row>
    <row r="140" spans="4:33">
      <c r="D140" s="66"/>
      <c r="G140" s="66"/>
      <c r="V140" s="66"/>
      <c r="W140" s="66"/>
      <c r="X140" s="66"/>
      <c r="AB140" s="66"/>
      <c r="AG140" s="66"/>
    </row>
    <row r="141" spans="4:33">
      <c r="D141" s="66"/>
      <c r="G141" s="66"/>
      <c r="V141" s="66"/>
      <c r="W141" s="66"/>
      <c r="X141" s="66"/>
      <c r="AB141" s="66"/>
      <c r="AG141" s="66"/>
    </row>
    <row r="142" spans="4:33">
      <c r="D142" s="66"/>
      <c r="G142" s="66"/>
      <c r="V142" s="66"/>
      <c r="W142" s="66"/>
      <c r="X142" s="66"/>
      <c r="AB142" s="66"/>
      <c r="AG142" s="66"/>
    </row>
    <row r="143" spans="4:33">
      <c r="D143" s="66"/>
      <c r="G143" s="66"/>
      <c r="V143" s="66"/>
      <c r="W143" s="66"/>
      <c r="X143" s="66"/>
      <c r="AB143" s="66"/>
      <c r="AG143" s="66"/>
    </row>
    <row r="144" spans="4:33">
      <c r="D144" s="66"/>
      <c r="G144" s="66"/>
      <c r="V144" s="66"/>
      <c r="W144" s="66"/>
      <c r="X144" s="66"/>
      <c r="AB144" s="66"/>
      <c r="AG144" s="66"/>
    </row>
    <row r="145" spans="4:33">
      <c r="D145" s="66"/>
      <c r="G145" s="66"/>
      <c r="V145" s="66"/>
      <c r="W145" s="66"/>
      <c r="X145" s="66"/>
      <c r="AB145" s="66"/>
      <c r="AG145" s="66"/>
    </row>
    <row r="146" spans="4:33">
      <c r="D146" s="66"/>
      <c r="G146" s="66"/>
      <c r="V146" s="66"/>
      <c r="W146" s="66"/>
      <c r="X146" s="66"/>
      <c r="AB146" s="66"/>
      <c r="AG146" s="66"/>
    </row>
    <row r="147" spans="4:33">
      <c r="D147" s="66"/>
      <c r="G147" s="66"/>
      <c r="V147" s="66"/>
      <c r="W147" s="66"/>
      <c r="X147" s="66"/>
      <c r="AB147" s="66"/>
      <c r="AG147" s="66"/>
    </row>
    <row r="148" spans="4:33">
      <c r="D148" s="66"/>
      <c r="G148" s="66"/>
      <c r="V148" s="66"/>
      <c r="W148" s="66"/>
      <c r="X148" s="66"/>
      <c r="AB148" s="66"/>
      <c r="AG148" s="66"/>
    </row>
    <row r="149" spans="4:33">
      <c r="D149" s="66"/>
      <c r="G149" s="66"/>
      <c r="V149" s="66"/>
      <c r="W149" s="66"/>
      <c r="X149" s="66"/>
      <c r="AB149" s="66"/>
      <c r="AG149" s="66"/>
    </row>
    <row r="150" spans="4:33">
      <c r="D150" s="66"/>
      <c r="G150" s="66"/>
      <c r="V150" s="66"/>
      <c r="W150" s="66"/>
      <c r="X150" s="66"/>
      <c r="AB150" s="66"/>
      <c r="AG150" s="66"/>
    </row>
    <row r="151" spans="4:33">
      <c r="D151" s="66"/>
      <c r="G151" s="66"/>
      <c r="V151" s="66"/>
      <c r="W151" s="66"/>
      <c r="X151" s="66"/>
      <c r="AB151" s="66"/>
      <c r="AG151" s="66"/>
    </row>
    <row r="152" spans="4:33">
      <c r="D152" s="66"/>
      <c r="G152" s="66"/>
      <c r="V152" s="66"/>
      <c r="W152" s="66"/>
      <c r="X152" s="66"/>
      <c r="AB152" s="66"/>
      <c r="AG152" s="66"/>
    </row>
    <row r="153" spans="4:33">
      <c r="D153" s="66"/>
      <c r="G153" s="66"/>
      <c r="V153" s="66"/>
      <c r="W153" s="66"/>
      <c r="X153" s="66"/>
      <c r="AB153" s="66"/>
      <c r="AG153" s="66"/>
    </row>
    <row r="154" spans="4:33">
      <c r="D154" s="66"/>
      <c r="G154" s="66"/>
      <c r="V154" s="66"/>
      <c r="W154" s="66"/>
      <c r="X154" s="66"/>
      <c r="AB154" s="66"/>
      <c r="AG154" s="66"/>
    </row>
    <row r="155" spans="4:33">
      <c r="D155" s="66"/>
      <c r="G155" s="66"/>
      <c r="V155" s="66"/>
      <c r="W155" s="66"/>
      <c r="X155" s="66"/>
      <c r="AB155" s="66"/>
      <c r="AG155" s="66"/>
    </row>
    <row r="156" spans="4:33">
      <c r="D156" s="66"/>
      <c r="G156" s="66"/>
      <c r="V156" s="66"/>
      <c r="W156" s="66"/>
      <c r="X156" s="66"/>
      <c r="AB156" s="66"/>
      <c r="AG156" s="66"/>
    </row>
    <row r="157" spans="4:33">
      <c r="D157" s="66"/>
      <c r="G157" s="66"/>
      <c r="V157" s="66"/>
      <c r="W157" s="66"/>
      <c r="X157" s="66"/>
      <c r="AB157" s="66"/>
      <c r="AG157" s="66"/>
    </row>
    <row r="158" spans="4:33">
      <c r="D158" s="66"/>
      <c r="G158" s="66"/>
      <c r="V158" s="66"/>
      <c r="W158" s="66"/>
      <c r="X158" s="66"/>
      <c r="AB158" s="66"/>
      <c r="AG158" s="66"/>
    </row>
    <row r="159" spans="4:33">
      <c r="D159" s="66"/>
      <c r="G159" s="66"/>
      <c r="V159" s="66"/>
      <c r="W159" s="66"/>
      <c r="X159" s="66"/>
      <c r="AB159" s="66"/>
      <c r="AG159" s="66"/>
    </row>
    <row r="160" spans="4:33">
      <c r="D160" s="66"/>
      <c r="G160" s="66"/>
      <c r="V160" s="66"/>
      <c r="W160" s="66"/>
      <c r="X160" s="66"/>
      <c r="AB160" s="66"/>
      <c r="AG160" s="66"/>
    </row>
    <row r="161" spans="4:33">
      <c r="D161" s="66"/>
      <c r="G161" s="66"/>
      <c r="V161" s="66"/>
      <c r="W161" s="66"/>
      <c r="X161" s="66"/>
      <c r="AB161" s="66"/>
      <c r="AG161" s="66"/>
    </row>
    <row r="162" spans="4:33">
      <c r="D162" s="66"/>
      <c r="G162" s="66"/>
      <c r="V162" s="66"/>
      <c r="W162" s="66"/>
      <c r="X162" s="66"/>
      <c r="AB162" s="66"/>
      <c r="AG162" s="66"/>
    </row>
    <row r="163" spans="4:33">
      <c r="D163" s="66"/>
      <c r="G163" s="66"/>
      <c r="V163" s="66"/>
      <c r="W163" s="66"/>
      <c r="X163" s="66"/>
      <c r="AB163" s="66"/>
      <c r="AG163" s="66"/>
    </row>
    <row r="164" spans="4:33">
      <c r="D164" s="66"/>
      <c r="G164" s="66"/>
      <c r="V164" s="66"/>
      <c r="W164" s="66"/>
      <c r="X164" s="66"/>
      <c r="AB164" s="66"/>
      <c r="AG164" s="66"/>
    </row>
    <row r="165" spans="4:33">
      <c r="D165" s="66"/>
      <c r="G165" s="66"/>
      <c r="V165" s="66"/>
      <c r="W165" s="66"/>
      <c r="X165" s="66"/>
      <c r="AB165" s="66"/>
      <c r="AG165" s="66"/>
    </row>
    <row r="166" spans="4:33">
      <c r="D166" s="66"/>
      <c r="G166" s="66"/>
      <c r="V166" s="66"/>
      <c r="W166" s="66"/>
      <c r="X166" s="66"/>
      <c r="AB166" s="66"/>
      <c r="AG166" s="66"/>
    </row>
    <row r="167" spans="4:33">
      <c r="D167" s="66"/>
      <c r="G167" s="66"/>
      <c r="V167" s="66"/>
      <c r="W167" s="66"/>
      <c r="X167" s="66"/>
      <c r="AB167" s="66"/>
      <c r="AG167" s="66"/>
    </row>
    <row r="168" spans="4:33">
      <c r="D168" s="66"/>
      <c r="G168" s="66"/>
      <c r="V168" s="66"/>
      <c r="W168" s="66"/>
      <c r="X168" s="66"/>
      <c r="AB168" s="66"/>
      <c r="AG168" s="66"/>
    </row>
    <row r="169" spans="4:33">
      <c r="D169" s="66"/>
      <c r="G169" s="66"/>
      <c r="V169" s="66"/>
      <c r="W169" s="66"/>
      <c r="X169" s="66"/>
      <c r="AB169" s="66"/>
      <c r="AG169" s="66"/>
    </row>
    <row r="170" spans="4:33">
      <c r="D170" s="66"/>
      <c r="G170" s="66"/>
      <c r="V170" s="66"/>
      <c r="W170" s="66"/>
      <c r="X170" s="66"/>
      <c r="AB170" s="66"/>
      <c r="AG170" s="66"/>
    </row>
    <row r="171" spans="4:33">
      <c r="D171" s="66"/>
      <c r="G171" s="66"/>
      <c r="V171" s="66"/>
      <c r="W171" s="66"/>
      <c r="X171" s="66"/>
      <c r="AB171" s="66"/>
      <c r="AG171" s="66"/>
    </row>
    <row r="172" spans="4:33">
      <c r="D172" s="66"/>
      <c r="G172" s="66"/>
      <c r="V172" s="66"/>
      <c r="W172" s="66"/>
      <c r="X172" s="66"/>
      <c r="AB172" s="66"/>
      <c r="AG172" s="66"/>
    </row>
    <row r="173" spans="4:33">
      <c r="D173" s="66"/>
      <c r="G173" s="66"/>
      <c r="V173" s="66"/>
      <c r="W173" s="66"/>
      <c r="X173" s="66"/>
      <c r="AB173" s="66"/>
      <c r="AG173" s="66"/>
    </row>
    <row r="174" spans="4:33">
      <c r="D174" s="66"/>
      <c r="G174" s="66"/>
      <c r="V174" s="66"/>
      <c r="W174" s="66"/>
      <c r="X174" s="66"/>
      <c r="AB174" s="66"/>
      <c r="AG174" s="66"/>
    </row>
    <row r="175" spans="4:33">
      <c r="D175" s="66"/>
      <c r="G175" s="66"/>
      <c r="V175" s="66"/>
      <c r="W175" s="66"/>
      <c r="X175" s="66"/>
      <c r="AB175" s="66"/>
      <c r="AG175" s="66"/>
    </row>
    <row r="176" spans="4:33">
      <c r="D176" s="66"/>
      <c r="G176" s="66"/>
      <c r="V176" s="66"/>
      <c r="W176" s="66"/>
      <c r="X176" s="66"/>
      <c r="AB176" s="66"/>
      <c r="AG176" s="66"/>
    </row>
    <row r="177" spans="4:33">
      <c r="D177" s="66"/>
      <c r="G177" s="66"/>
      <c r="V177" s="66"/>
      <c r="W177" s="66"/>
      <c r="X177" s="66"/>
      <c r="AB177" s="66"/>
      <c r="AG177" s="66"/>
    </row>
    <row r="178" spans="4:33">
      <c r="D178" s="66"/>
      <c r="G178" s="66"/>
      <c r="V178" s="66"/>
      <c r="W178" s="66"/>
      <c r="X178" s="66"/>
      <c r="AB178" s="66"/>
      <c r="AG178" s="66"/>
    </row>
    <row r="179" spans="4:33">
      <c r="D179" s="66"/>
      <c r="G179" s="66"/>
      <c r="V179" s="66"/>
      <c r="W179" s="66"/>
      <c r="X179" s="66"/>
      <c r="AB179" s="66"/>
      <c r="AG179" s="66"/>
    </row>
    <row r="180" spans="4:33">
      <c r="D180" s="66"/>
      <c r="G180" s="66"/>
      <c r="V180" s="66"/>
      <c r="W180" s="66"/>
      <c r="X180" s="66"/>
      <c r="AB180" s="66"/>
      <c r="AG180" s="66"/>
    </row>
    <row r="181" spans="4:33">
      <c r="D181" s="66"/>
      <c r="G181" s="66"/>
      <c r="V181" s="66"/>
      <c r="W181" s="66"/>
      <c r="X181" s="66"/>
      <c r="AB181" s="66"/>
      <c r="AG181" s="66"/>
    </row>
    <row r="182" spans="4:33">
      <c r="D182" s="66"/>
      <c r="G182" s="66"/>
      <c r="V182" s="66"/>
      <c r="W182" s="66"/>
      <c r="X182" s="66"/>
      <c r="AB182" s="66"/>
      <c r="AG182" s="66"/>
    </row>
    <row r="183" spans="4:33">
      <c r="D183" s="66"/>
      <c r="G183" s="66"/>
      <c r="V183" s="66"/>
      <c r="W183" s="66"/>
      <c r="X183" s="66"/>
      <c r="AB183" s="66"/>
      <c r="AG183" s="66"/>
    </row>
    <row r="184" spans="4:33">
      <c r="D184" s="66"/>
      <c r="G184" s="66"/>
      <c r="V184" s="66"/>
      <c r="W184" s="66"/>
      <c r="X184" s="66"/>
      <c r="AB184" s="66"/>
      <c r="AG184" s="66"/>
    </row>
    <row r="185" spans="4:33">
      <c r="D185" s="66"/>
      <c r="G185" s="66"/>
      <c r="V185" s="66"/>
      <c r="W185" s="66"/>
      <c r="X185" s="66"/>
      <c r="AB185" s="66"/>
      <c r="AG185" s="66"/>
    </row>
    <row r="186" spans="4:33">
      <c r="D186" s="66"/>
      <c r="G186" s="66"/>
      <c r="V186" s="66"/>
      <c r="W186" s="66"/>
      <c r="X186" s="66"/>
      <c r="AB186" s="66"/>
      <c r="AG186" s="66"/>
    </row>
    <row r="187" spans="4:33">
      <c r="D187" s="66"/>
      <c r="G187" s="66"/>
      <c r="V187" s="66"/>
      <c r="W187" s="66"/>
      <c r="X187" s="66"/>
      <c r="AB187" s="66"/>
      <c r="AG187" s="66"/>
    </row>
    <row r="188" spans="4:33">
      <c r="D188" s="66"/>
      <c r="G188" s="66"/>
      <c r="V188" s="66"/>
      <c r="W188" s="66"/>
      <c r="X188" s="66"/>
      <c r="AB188" s="66"/>
      <c r="AG188" s="66"/>
    </row>
    <row r="189" spans="4:33">
      <c r="D189" s="66"/>
      <c r="G189" s="66"/>
      <c r="V189" s="66"/>
      <c r="W189" s="66"/>
      <c r="X189" s="66"/>
      <c r="AB189" s="66"/>
      <c r="AG189" s="66"/>
    </row>
    <row r="190" spans="4:33">
      <c r="D190" s="66"/>
      <c r="G190" s="66"/>
      <c r="V190" s="66"/>
      <c r="W190" s="66"/>
      <c r="X190" s="66"/>
      <c r="AB190" s="66"/>
      <c r="AG190" s="66"/>
    </row>
    <row r="191" spans="4:33">
      <c r="D191" s="66"/>
      <c r="G191" s="66"/>
      <c r="V191" s="66"/>
      <c r="W191" s="66"/>
      <c r="X191" s="66"/>
      <c r="AB191" s="66"/>
      <c r="AG191" s="66"/>
    </row>
    <row r="192" spans="4:33">
      <c r="D192" s="66"/>
      <c r="G192" s="66"/>
      <c r="V192" s="66"/>
      <c r="W192" s="66"/>
      <c r="X192" s="66"/>
      <c r="AB192" s="66"/>
      <c r="AG192" s="66"/>
    </row>
    <row r="193" spans="4:33">
      <c r="D193" s="66"/>
      <c r="G193" s="66"/>
      <c r="V193" s="66"/>
      <c r="W193" s="66"/>
      <c r="X193" s="66"/>
      <c r="AB193" s="66"/>
      <c r="AG193" s="66"/>
    </row>
    <row r="194" spans="4:33">
      <c r="D194" s="66"/>
      <c r="G194" s="66"/>
      <c r="V194" s="66"/>
      <c r="W194" s="66"/>
      <c r="X194" s="66"/>
      <c r="AB194" s="66"/>
      <c r="AG194" s="66"/>
    </row>
    <row r="195" spans="4:33">
      <c r="D195" s="66"/>
      <c r="G195" s="66"/>
      <c r="V195" s="66"/>
      <c r="W195" s="66"/>
      <c r="X195" s="66"/>
      <c r="AB195" s="66"/>
      <c r="AG195" s="66"/>
    </row>
    <row r="196" spans="4:33">
      <c r="D196" s="66"/>
      <c r="G196" s="66"/>
      <c r="V196" s="66"/>
      <c r="W196" s="66"/>
      <c r="X196" s="66"/>
      <c r="AB196" s="66"/>
      <c r="AG196" s="66"/>
    </row>
    <row r="197" spans="4:33">
      <c r="D197" s="66"/>
      <c r="G197" s="66"/>
      <c r="V197" s="66"/>
      <c r="W197" s="66"/>
      <c r="X197" s="66"/>
      <c r="AB197" s="66"/>
      <c r="AG197" s="66"/>
    </row>
    <row r="198" spans="4:33">
      <c r="D198" s="66"/>
      <c r="G198" s="66"/>
      <c r="V198" s="66"/>
      <c r="W198" s="66"/>
      <c r="X198" s="66"/>
      <c r="AB198" s="66"/>
      <c r="AG198" s="66"/>
    </row>
    <row r="199" spans="4:33">
      <c r="D199" s="66"/>
      <c r="G199" s="66"/>
      <c r="V199" s="66"/>
      <c r="W199" s="66"/>
      <c r="X199" s="66"/>
      <c r="AB199" s="66"/>
      <c r="AG199" s="66"/>
    </row>
    <row r="200" spans="4:33">
      <c r="D200" s="66"/>
      <c r="G200" s="66"/>
      <c r="V200" s="66"/>
      <c r="W200" s="66"/>
      <c r="X200" s="66"/>
      <c r="AB200" s="66"/>
      <c r="AG200" s="66"/>
    </row>
    <row r="201" spans="4:33">
      <c r="D201" s="66"/>
      <c r="G201" s="66"/>
      <c r="V201" s="66"/>
      <c r="W201" s="66"/>
      <c r="X201" s="66"/>
      <c r="AB201" s="66"/>
      <c r="AG201" s="66"/>
    </row>
    <row r="202" spans="4:33">
      <c r="D202" s="66"/>
      <c r="G202" s="66"/>
      <c r="V202" s="66"/>
      <c r="W202" s="66"/>
      <c r="X202" s="66"/>
      <c r="AB202" s="66"/>
      <c r="AG202" s="66"/>
    </row>
    <row r="203" spans="4:33">
      <c r="D203" s="66"/>
      <c r="G203" s="66"/>
      <c r="V203" s="66"/>
      <c r="W203" s="66"/>
      <c r="X203" s="66"/>
      <c r="AB203" s="66"/>
      <c r="AG203" s="66"/>
    </row>
    <row r="204" spans="4:33">
      <c r="D204" s="66"/>
      <c r="G204" s="66"/>
      <c r="V204" s="66"/>
      <c r="W204" s="66"/>
      <c r="X204" s="66"/>
      <c r="AB204" s="66"/>
      <c r="AG204" s="66"/>
    </row>
    <row r="205" spans="4:33">
      <c r="D205" s="66"/>
      <c r="G205" s="66"/>
      <c r="V205" s="66"/>
      <c r="W205" s="66"/>
      <c r="X205" s="66"/>
      <c r="AB205" s="66"/>
      <c r="AG205" s="66"/>
    </row>
    <row r="206" spans="4:33">
      <c r="D206" s="66"/>
      <c r="G206" s="66"/>
      <c r="V206" s="66"/>
      <c r="W206" s="66"/>
      <c r="X206" s="66"/>
      <c r="AB206" s="66"/>
      <c r="AG206" s="66"/>
    </row>
    <row r="207" spans="4:33">
      <c r="D207" s="66"/>
      <c r="G207" s="66"/>
      <c r="V207" s="66"/>
      <c r="W207" s="66"/>
      <c r="X207" s="66"/>
      <c r="AB207" s="66"/>
      <c r="AG207" s="66"/>
    </row>
    <row r="208" spans="4:33">
      <c r="D208" s="66"/>
      <c r="G208" s="66"/>
      <c r="V208" s="66"/>
      <c r="W208" s="66"/>
      <c r="X208" s="66"/>
      <c r="AB208" s="66"/>
      <c r="AG208" s="66"/>
    </row>
    <row r="209" spans="4:33">
      <c r="D209" s="66"/>
      <c r="G209" s="66"/>
      <c r="V209" s="66"/>
      <c r="W209" s="66"/>
      <c r="X209" s="66"/>
      <c r="AB209" s="66"/>
      <c r="AG209" s="66"/>
    </row>
    <row r="210" spans="4:33">
      <c r="D210" s="66"/>
      <c r="G210" s="66"/>
      <c r="V210" s="66"/>
      <c r="W210" s="66"/>
      <c r="X210" s="66"/>
      <c r="AB210" s="66"/>
      <c r="AG210" s="66"/>
    </row>
    <row r="211" spans="4:33">
      <c r="D211" s="66"/>
      <c r="G211" s="66"/>
      <c r="V211" s="66"/>
      <c r="W211" s="66"/>
      <c r="X211" s="66"/>
      <c r="AB211" s="66"/>
      <c r="AG211" s="66"/>
    </row>
    <row r="212" spans="4:33">
      <c r="D212" s="66"/>
      <c r="G212" s="66"/>
      <c r="V212" s="66"/>
      <c r="W212" s="66"/>
      <c r="X212" s="66"/>
      <c r="AB212" s="66"/>
      <c r="AG212" s="66"/>
    </row>
    <row r="213" spans="4:33">
      <c r="D213" s="66"/>
      <c r="G213" s="66"/>
      <c r="V213" s="66"/>
      <c r="W213" s="66"/>
      <c r="X213" s="66"/>
      <c r="AB213" s="66"/>
      <c r="AG213" s="66"/>
    </row>
    <row r="214" spans="4:33">
      <c r="D214" s="66"/>
      <c r="G214" s="66"/>
      <c r="V214" s="66"/>
      <c r="W214" s="66"/>
      <c r="X214" s="66"/>
      <c r="AB214" s="66"/>
      <c r="AG214" s="66"/>
    </row>
    <row r="215" spans="4:33">
      <c r="D215" s="66"/>
      <c r="G215" s="66"/>
      <c r="V215" s="66"/>
      <c r="W215" s="66"/>
      <c r="X215" s="66"/>
      <c r="AB215" s="66"/>
      <c r="AG215" s="66"/>
    </row>
    <row r="216" spans="4:33">
      <c r="D216" s="66"/>
      <c r="G216" s="66"/>
      <c r="V216" s="66"/>
      <c r="W216" s="66"/>
      <c r="X216" s="66"/>
      <c r="AB216" s="66"/>
      <c r="AG216" s="66"/>
    </row>
    <row r="217" spans="4:33">
      <c r="D217" s="66"/>
      <c r="G217" s="66"/>
      <c r="V217" s="66"/>
      <c r="W217" s="66"/>
      <c r="X217" s="66"/>
      <c r="AB217" s="66"/>
      <c r="AG217" s="66"/>
    </row>
    <row r="218" spans="4:33">
      <c r="D218" s="66"/>
      <c r="G218" s="66"/>
      <c r="V218" s="66"/>
      <c r="W218" s="66"/>
      <c r="X218" s="66"/>
      <c r="AB218" s="66"/>
      <c r="AG218" s="66"/>
    </row>
    <row r="219" spans="4:33">
      <c r="D219" s="66"/>
      <c r="G219" s="66"/>
      <c r="V219" s="66"/>
      <c r="W219" s="66"/>
      <c r="X219" s="66"/>
      <c r="AB219" s="66"/>
      <c r="AG219" s="66"/>
    </row>
    <row r="220" spans="4:33">
      <c r="D220" s="66"/>
      <c r="G220" s="66"/>
      <c r="V220" s="66"/>
      <c r="W220" s="66"/>
      <c r="X220" s="66"/>
      <c r="AB220" s="66"/>
      <c r="AG220" s="66"/>
    </row>
    <row r="221" spans="4:33">
      <c r="D221" s="66"/>
      <c r="G221" s="66"/>
      <c r="V221" s="66"/>
      <c r="W221" s="66"/>
      <c r="X221" s="66"/>
      <c r="AB221" s="66"/>
      <c r="AG221" s="66"/>
    </row>
    <row r="222" spans="4:33">
      <c r="D222" s="66"/>
      <c r="G222" s="66"/>
      <c r="V222" s="66"/>
      <c r="W222" s="66"/>
      <c r="X222" s="66"/>
      <c r="AB222" s="66"/>
      <c r="AG222" s="66"/>
    </row>
    <row r="223" spans="4:33">
      <c r="D223" s="66"/>
      <c r="G223" s="66"/>
      <c r="V223" s="66"/>
      <c r="W223" s="66"/>
      <c r="X223" s="66"/>
      <c r="AB223" s="66"/>
      <c r="AG223" s="66"/>
    </row>
    <row r="224" spans="4:33">
      <c r="D224" s="66"/>
      <c r="G224" s="66"/>
      <c r="V224" s="66"/>
      <c r="W224" s="66"/>
      <c r="X224" s="66"/>
      <c r="AB224" s="66"/>
      <c r="AG224" s="66"/>
    </row>
    <row r="225" spans="4:33">
      <c r="D225" s="66"/>
      <c r="G225" s="66"/>
      <c r="V225" s="66"/>
      <c r="W225" s="66"/>
      <c r="X225" s="66"/>
      <c r="AB225" s="66"/>
      <c r="AG225" s="66"/>
    </row>
    <row r="226" spans="4:33">
      <c r="D226" s="66"/>
      <c r="G226" s="66"/>
      <c r="V226" s="66"/>
      <c r="W226" s="66"/>
      <c r="X226" s="66"/>
      <c r="AB226" s="66"/>
      <c r="AG226" s="66"/>
    </row>
    <row r="227" spans="4:33">
      <c r="D227" s="66"/>
      <c r="G227" s="66"/>
      <c r="V227" s="66"/>
      <c r="W227" s="66"/>
      <c r="X227" s="66"/>
      <c r="AB227" s="66"/>
      <c r="AG227" s="66"/>
    </row>
    <row r="228" spans="4:33">
      <c r="D228" s="66"/>
      <c r="G228" s="66"/>
      <c r="V228" s="66"/>
      <c r="W228" s="66"/>
      <c r="X228" s="66"/>
      <c r="AB228" s="66"/>
      <c r="AG228" s="66"/>
    </row>
    <row r="229" spans="4:33">
      <c r="D229" s="66"/>
      <c r="G229" s="66"/>
      <c r="V229" s="66"/>
      <c r="W229" s="66"/>
      <c r="X229" s="66"/>
      <c r="AB229" s="66"/>
      <c r="AG229" s="66"/>
    </row>
    <row r="230" spans="4:33">
      <c r="D230" s="66"/>
      <c r="G230" s="66"/>
      <c r="V230" s="66"/>
      <c r="W230" s="66"/>
      <c r="X230" s="66"/>
      <c r="AB230" s="66"/>
      <c r="AG230" s="66"/>
    </row>
    <row r="231" spans="4:33">
      <c r="D231" s="66"/>
      <c r="G231" s="66"/>
      <c r="V231" s="66"/>
      <c r="W231" s="66"/>
      <c r="X231" s="66"/>
      <c r="AB231" s="66"/>
      <c r="AG231" s="66"/>
    </row>
    <row r="232" spans="4:33">
      <c r="D232" s="66"/>
      <c r="G232" s="66"/>
      <c r="V232" s="66"/>
      <c r="W232" s="66"/>
      <c r="X232" s="66"/>
      <c r="AB232" s="66"/>
      <c r="AG232" s="66"/>
    </row>
    <row r="233" spans="4:33">
      <c r="D233" s="66"/>
      <c r="G233" s="66"/>
      <c r="V233" s="66"/>
      <c r="W233" s="66"/>
      <c r="X233" s="66"/>
      <c r="AB233" s="66"/>
      <c r="AG233" s="66"/>
    </row>
    <row r="234" spans="4:33">
      <c r="D234" s="66"/>
      <c r="G234" s="66"/>
      <c r="V234" s="66"/>
      <c r="W234" s="66"/>
      <c r="X234" s="66"/>
      <c r="AB234" s="66"/>
      <c r="AG234" s="66"/>
    </row>
    <row r="235" spans="4:33">
      <c r="D235" s="66"/>
      <c r="G235" s="66"/>
      <c r="V235" s="66"/>
      <c r="W235" s="66"/>
      <c r="X235" s="66"/>
      <c r="AB235" s="66"/>
      <c r="AG235" s="66"/>
    </row>
    <row r="236" spans="4:33">
      <c r="D236" s="66"/>
      <c r="G236" s="66"/>
      <c r="V236" s="66"/>
      <c r="W236" s="66"/>
      <c r="X236" s="66"/>
      <c r="AB236" s="66"/>
      <c r="AG236" s="66"/>
    </row>
    <row r="237" spans="4:33">
      <c r="D237" s="66"/>
      <c r="G237" s="66"/>
      <c r="V237" s="66"/>
      <c r="W237" s="66"/>
      <c r="X237" s="66"/>
      <c r="AB237" s="66"/>
      <c r="AG237" s="66"/>
    </row>
    <row r="238" spans="4:33">
      <c r="D238" s="66"/>
      <c r="G238" s="66"/>
      <c r="V238" s="66"/>
      <c r="W238" s="66"/>
      <c r="X238" s="66"/>
      <c r="AB238" s="66"/>
      <c r="AG238" s="66"/>
    </row>
    <row r="239" spans="4:33">
      <c r="D239" s="66"/>
      <c r="G239" s="66"/>
      <c r="V239" s="66"/>
      <c r="W239" s="66"/>
      <c r="X239" s="66"/>
      <c r="AB239" s="66"/>
      <c r="AG239" s="66"/>
    </row>
    <row r="240" spans="4:33">
      <c r="D240" s="66"/>
      <c r="G240" s="66"/>
      <c r="V240" s="66"/>
      <c r="W240" s="66"/>
      <c r="X240" s="66"/>
      <c r="AB240" s="66"/>
      <c r="AG240" s="66"/>
    </row>
    <row r="241" spans="4:33">
      <c r="D241" s="66"/>
      <c r="G241" s="66"/>
      <c r="V241" s="66"/>
      <c r="W241" s="66"/>
      <c r="X241" s="66"/>
      <c r="AB241" s="66"/>
      <c r="AG241" s="66"/>
    </row>
    <row r="242" spans="4:33">
      <c r="D242" s="66"/>
      <c r="G242" s="66"/>
      <c r="V242" s="66"/>
      <c r="W242" s="66"/>
      <c r="X242" s="66"/>
      <c r="AB242" s="66"/>
      <c r="AG242" s="66"/>
    </row>
    <row r="243" spans="4:33">
      <c r="D243" s="66"/>
      <c r="G243" s="66"/>
      <c r="V243" s="66"/>
      <c r="W243" s="66"/>
      <c r="X243" s="66"/>
      <c r="AB243" s="66"/>
      <c r="AG243" s="66"/>
    </row>
    <row r="244" spans="4:33">
      <c r="D244" s="66"/>
      <c r="G244" s="66"/>
      <c r="V244" s="66"/>
      <c r="W244" s="66"/>
      <c r="X244" s="66"/>
      <c r="AB244" s="66"/>
      <c r="AG244" s="66"/>
    </row>
    <row r="245" spans="4:33">
      <c r="D245" s="66"/>
      <c r="G245" s="66"/>
      <c r="V245" s="66"/>
      <c r="W245" s="66"/>
      <c r="X245" s="66"/>
      <c r="AB245" s="66"/>
      <c r="AG245" s="66"/>
    </row>
    <row r="246" spans="4:33">
      <c r="D246" s="66"/>
      <c r="G246" s="66"/>
      <c r="V246" s="66"/>
      <c r="W246" s="66"/>
      <c r="X246" s="66"/>
      <c r="AB246" s="66"/>
      <c r="AG246" s="66"/>
    </row>
    <row r="247" spans="4:33">
      <c r="D247" s="66"/>
      <c r="G247" s="66"/>
      <c r="V247" s="66"/>
      <c r="W247" s="66"/>
      <c r="X247" s="66"/>
      <c r="AB247" s="66"/>
      <c r="AG247" s="66"/>
    </row>
    <row r="248" spans="4:33">
      <c r="D248" s="66"/>
      <c r="G248" s="66"/>
      <c r="V248" s="66"/>
      <c r="W248" s="66"/>
      <c r="X248" s="66"/>
      <c r="AB248" s="66"/>
      <c r="AG248" s="66"/>
    </row>
    <row r="249" spans="4:33">
      <c r="D249" s="66"/>
      <c r="G249" s="66"/>
      <c r="V249" s="66"/>
      <c r="W249" s="66"/>
      <c r="X249" s="66"/>
      <c r="AB249" s="66"/>
      <c r="AG249" s="66"/>
    </row>
    <row r="250" spans="4:33">
      <c r="D250" s="66"/>
      <c r="G250" s="66"/>
      <c r="V250" s="66"/>
      <c r="W250" s="66"/>
      <c r="X250" s="66"/>
      <c r="AB250" s="66"/>
      <c r="AG250" s="66"/>
    </row>
    <row r="251" spans="4:33">
      <c r="D251" s="66"/>
      <c r="G251" s="66"/>
      <c r="V251" s="66"/>
      <c r="W251" s="66"/>
      <c r="X251" s="66"/>
      <c r="AB251" s="66"/>
      <c r="AG251" s="66"/>
    </row>
    <row r="252" spans="4:33">
      <c r="D252" s="66"/>
      <c r="G252" s="66"/>
      <c r="V252" s="66"/>
      <c r="W252" s="66"/>
      <c r="X252" s="66"/>
      <c r="AB252" s="66"/>
      <c r="AG252" s="66"/>
    </row>
    <row r="253" spans="4:33">
      <c r="D253" s="66"/>
      <c r="G253" s="66"/>
      <c r="V253" s="66"/>
      <c r="W253" s="66"/>
      <c r="X253" s="66"/>
      <c r="AB253" s="66"/>
      <c r="AG253" s="66"/>
    </row>
    <row r="254" spans="4:33">
      <c r="D254" s="66"/>
      <c r="G254" s="66"/>
      <c r="V254" s="66"/>
      <c r="W254" s="66"/>
      <c r="X254" s="66"/>
      <c r="AB254" s="66"/>
      <c r="AG254" s="66"/>
    </row>
    <row r="255" spans="4:33">
      <c r="D255" s="66"/>
      <c r="G255" s="66"/>
      <c r="V255" s="66"/>
      <c r="W255" s="66"/>
      <c r="X255" s="66"/>
      <c r="AB255" s="66"/>
      <c r="AG255" s="66"/>
    </row>
    <row r="256" spans="4:33">
      <c r="D256" s="66"/>
      <c r="G256" s="66"/>
      <c r="V256" s="66"/>
      <c r="W256" s="66"/>
      <c r="X256" s="66"/>
      <c r="AB256" s="66"/>
      <c r="AG256" s="66"/>
    </row>
    <row r="257" spans="4:33">
      <c r="D257" s="66"/>
      <c r="G257" s="66"/>
      <c r="V257" s="66"/>
      <c r="W257" s="66"/>
      <c r="X257" s="66"/>
      <c r="AB257" s="66"/>
      <c r="AG257" s="66"/>
    </row>
    <row r="258" spans="4:33">
      <c r="D258" s="66"/>
      <c r="G258" s="66"/>
      <c r="V258" s="66"/>
      <c r="W258" s="66"/>
      <c r="X258" s="66"/>
      <c r="AB258" s="66"/>
      <c r="AG258" s="66"/>
    </row>
    <row r="259" spans="4:33">
      <c r="D259" s="66"/>
      <c r="G259" s="66"/>
      <c r="V259" s="66"/>
      <c r="W259" s="66"/>
      <c r="X259" s="66"/>
      <c r="AB259" s="66"/>
      <c r="AG259" s="66"/>
    </row>
    <row r="260" spans="4:33">
      <c r="D260" s="66"/>
      <c r="G260" s="66"/>
      <c r="V260" s="66"/>
      <c r="W260" s="66"/>
      <c r="X260" s="66"/>
      <c r="AB260" s="66"/>
      <c r="AG260" s="66"/>
    </row>
    <row r="261" spans="4:33">
      <c r="D261" s="66"/>
      <c r="G261" s="66"/>
      <c r="V261" s="66"/>
      <c r="W261" s="66"/>
      <c r="X261" s="66"/>
      <c r="AB261" s="66"/>
      <c r="AG261" s="66"/>
    </row>
    <row r="262" spans="4:33">
      <c r="D262" s="66"/>
      <c r="G262" s="66"/>
      <c r="V262" s="66"/>
      <c r="W262" s="66"/>
      <c r="X262" s="66"/>
      <c r="AB262" s="66"/>
      <c r="AG262" s="66"/>
    </row>
    <row r="263" spans="4:33">
      <c r="D263" s="66"/>
      <c r="G263" s="66"/>
      <c r="V263" s="66"/>
      <c r="W263" s="66"/>
      <c r="X263" s="66"/>
      <c r="AB263" s="66"/>
      <c r="AG263" s="66"/>
    </row>
    <row r="264" spans="4:33">
      <c r="D264" s="66"/>
      <c r="G264" s="66"/>
      <c r="V264" s="66"/>
      <c r="W264" s="66"/>
      <c r="X264" s="66"/>
      <c r="AB264" s="66"/>
      <c r="AG264" s="66"/>
    </row>
    <row r="265" spans="4:33">
      <c r="D265" s="66"/>
      <c r="G265" s="66"/>
      <c r="V265" s="66"/>
      <c r="W265" s="66"/>
      <c r="X265" s="66"/>
      <c r="AB265" s="66"/>
      <c r="AG265" s="66"/>
    </row>
    <row r="266" spans="4:33">
      <c r="D266" s="66"/>
      <c r="G266" s="66"/>
      <c r="V266" s="66"/>
      <c r="W266" s="66"/>
      <c r="X266" s="66"/>
      <c r="AB266" s="66"/>
      <c r="AG266" s="66"/>
    </row>
    <row r="267" spans="4:33">
      <c r="D267" s="66"/>
      <c r="G267" s="66"/>
      <c r="V267" s="66"/>
      <c r="W267" s="66"/>
      <c r="X267" s="66"/>
      <c r="AB267" s="66"/>
      <c r="AG267" s="66"/>
    </row>
    <row r="268" spans="4:33">
      <c r="D268" s="66"/>
      <c r="G268" s="66"/>
      <c r="V268" s="66"/>
      <c r="W268" s="66"/>
      <c r="X268" s="66"/>
      <c r="AB268" s="66"/>
      <c r="AG268" s="66"/>
    </row>
    <row r="269" spans="4:33">
      <c r="D269" s="66"/>
      <c r="G269" s="66"/>
      <c r="V269" s="66"/>
      <c r="W269" s="66"/>
      <c r="X269" s="66"/>
      <c r="AB269" s="66"/>
      <c r="AG269" s="66"/>
    </row>
    <row r="270" spans="4:33">
      <c r="D270" s="66"/>
      <c r="G270" s="66"/>
      <c r="V270" s="66"/>
      <c r="W270" s="66"/>
      <c r="X270" s="66"/>
      <c r="AB270" s="66"/>
      <c r="AG270" s="66"/>
    </row>
    <row r="271" spans="4:33">
      <c r="D271" s="66"/>
      <c r="G271" s="66"/>
      <c r="V271" s="66"/>
      <c r="W271" s="66"/>
      <c r="X271" s="66"/>
      <c r="AB271" s="66"/>
      <c r="AG271" s="66"/>
    </row>
    <row r="272" spans="4:33">
      <c r="D272" s="66"/>
      <c r="G272" s="66"/>
      <c r="V272" s="66"/>
      <c r="W272" s="66"/>
      <c r="X272" s="66"/>
      <c r="AB272" s="66"/>
      <c r="AG272" s="66"/>
    </row>
    <row r="273" spans="4:33">
      <c r="D273" s="66"/>
      <c r="G273" s="66"/>
      <c r="V273" s="66"/>
      <c r="W273" s="66"/>
      <c r="X273" s="66"/>
      <c r="AB273" s="66"/>
      <c r="AG273" s="66"/>
    </row>
    <row r="274" spans="4:33">
      <c r="D274" s="66"/>
      <c r="G274" s="66"/>
      <c r="V274" s="66"/>
      <c r="W274" s="66"/>
      <c r="X274" s="66"/>
      <c r="AB274" s="66"/>
      <c r="AG274" s="66"/>
    </row>
    <row r="275" spans="4:33">
      <c r="D275" s="66"/>
      <c r="G275" s="66"/>
      <c r="V275" s="66"/>
      <c r="W275" s="66"/>
      <c r="X275" s="66"/>
      <c r="AB275" s="66"/>
      <c r="AG275" s="66"/>
    </row>
    <row r="276" spans="4:33">
      <c r="D276" s="66"/>
      <c r="G276" s="66"/>
      <c r="V276" s="66"/>
      <c r="W276" s="66"/>
      <c r="X276" s="66"/>
      <c r="AB276" s="66"/>
      <c r="AG276" s="66"/>
    </row>
    <row r="277" spans="4:33">
      <c r="D277" s="66"/>
      <c r="G277" s="66"/>
      <c r="V277" s="66"/>
      <c r="W277" s="66"/>
      <c r="X277" s="66"/>
      <c r="AB277" s="66"/>
      <c r="AG277" s="66"/>
    </row>
    <row r="278" spans="4:33">
      <c r="D278" s="66"/>
      <c r="G278" s="66"/>
      <c r="V278" s="66"/>
      <c r="W278" s="66"/>
      <c r="X278" s="66"/>
      <c r="AB278" s="66"/>
      <c r="AG278" s="66"/>
    </row>
    <row r="279" spans="4:33">
      <c r="D279" s="66"/>
      <c r="G279" s="66"/>
      <c r="V279" s="66"/>
      <c r="W279" s="66"/>
      <c r="X279" s="66"/>
      <c r="AB279" s="66"/>
      <c r="AG279" s="66"/>
    </row>
    <row r="280" spans="4:33">
      <c r="D280" s="66"/>
      <c r="G280" s="66"/>
      <c r="V280" s="66"/>
      <c r="W280" s="66"/>
      <c r="X280" s="66"/>
      <c r="AB280" s="66"/>
      <c r="AG280" s="66"/>
    </row>
    <row r="281" spans="4:33">
      <c r="D281" s="66"/>
      <c r="G281" s="66"/>
      <c r="V281" s="66"/>
      <c r="W281" s="66"/>
      <c r="X281" s="66"/>
      <c r="AB281" s="66"/>
      <c r="AG281" s="66"/>
    </row>
    <row r="282" spans="4:33">
      <c r="D282" s="66"/>
      <c r="G282" s="66"/>
      <c r="V282" s="66"/>
      <c r="W282" s="66"/>
      <c r="X282" s="66"/>
      <c r="AB282" s="66"/>
      <c r="AG282" s="66"/>
    </row>
    <row r="283" spans="4:33">
      <c r="D283" s="66"/>
      <c r="G283" s="66"/>
      <c r="V283" s="66"/>
      <c r="W283" s="66"/>
      <c r="X283" s="66"/>
      <c r="AB283" s="66"/>
      <c r="AG283" s="66"/>
    </row>
    <row r="284" spans="4:33">
      <c r="D284" s="66"/>
      <c r="G284" s="66"/>
      <c r="V284" s="66"/>
      <c r="W284" s="66"/>
      <c r="X284" s="66"/>
      <c r="AB284" s="66"/>
      <c r="AG284" s="66"/>
    </row>
    <row r="285" spans="4:33">
      <c r="D285" s="66"/>
      <c r="G285" s="66"/>
      <c r="V285" s="66"/>
      <c r="W285" s="66"/>
      <c r="X285" s="66"/>
      <c r="AB285" s="66"/>
      <c r="AG285" s="66"/>
    </row>
    <row r="286" spans="4:33">
      <c r="D286" s="66"/>
      <c r="G286" s="66"/>
      <c r="V286" s="66"/>
      <c r="W286" s="66"/>
      <c r="X286" s="66"/>
      <c r="AB286" s="66"/>
      <c r="AG286" s="66"/>
    </row>
    <row r="287" spans="4:33">
      <c r="D287" s="66"/>
      <c r="G287" s="66"/>
      <c r="V287" s="66"/>
      <c r="W287" s="66"/>
      <c r="X287" s="66"/>
      <c r="AB287" s="66"/>
      <c r="AG287" s="66"/>
    </row>
    <row r="288" spans="4:33">
      <c r="D288" s="66"/>
      <c r="G288" s="66"/>
      <c r="V288" s="66"/>
      <c r="W288" s="66"/>
      <c r="X288" s="66"/>
      <c r="AB288" s="66"/>
      <c r="AG288" s="66"/>
    </row>
    <row r="289" spans="4:33">
      <c r="D289" s="66"/>
      <c r="G289" s="66"/>
      <c r="V289" s="66"/>
      <c r="W289" s="66"/>
      <c r="X289" s="66"/>
      <c r="AB289" s="66"/>
      <c r="AG289" s="66"/>
    </row>
    <row r="290" spans="4:33">
      <c r="D290" s="66"/>
      <c r="G290" s="66"/>
      <c r="V290" s="66"/>
      <c r="W290" s="66"/>
      <c r="X290" s="66"/>
      <c r="AB290" s="66"/>
      <c r="AG290" s="66"/>
    </row>
    <row r="291" spans="4:33">
      <c r="D291" s="66"/>
      <c r="G291" s="66"/>
      <c r="V291" s="66"/>
      <c r="W291" s="66"/>
      <c r="X291" s="66"/>
      <c r="AB291" s="66"/>
      <c r="AG291" s="66"/>
    </row>
    <row r="292" spans="4:33">
      <c r="D292" s="66"/>
      <c r="G292" s="66"/>
      <c r="V292" s="66"/>
      <c r="W292" s="66"/>
      <c r="X292" s="66"/>
      <c r="AB292" s="66"/>
      <c r="AG292" s="66"/>
    </row>
    <row r="293" spans="4:33">
      <c r="D293" s="66"/>
      <c r="G293" s="66"/>
      <c r="V293" s="66"/>
      <c r="W293" s="66"/>
      <c r="X293" s="66"/>
      <c r="AB293" s="66"/>
      <c r="AG293" s="66"/>
    </row>
    <row r="294" spans="4:33">
      <c r="D294" s="66"/>
      <c r="G294" s="66"/>
      <c r="V294" s="66"/>
      <c r="W294" s="66"/>
      <c r="X294" s="66"/>
      <c r="AB294" s="66"/>
      <c r="AG294" s="66"/>
    </row>
    <row r="295" spans="4:33">
      <c r="D295" s="66"/>
      <c r="G295" s="66"/>
      <c r="V295" s="66"/>
      <c r="W295" s="66"/>
      <c r="X295" s="66"/>
      <c r="AB295" s="66"/>
      <c r="AG295" s="66"/>
    </row>
    <row r="296" spans="4:33">
      <c r="D296" s="66"/>
      <c r="G296" s="66"/>
      <c r="V296" s="66"/>
      <c r="W296" s="66"/>
      <c r="X296" s="66"/>
      <c r="AB296" s="66"/>
      <c r="AG296" s="66"/>
    </row>
    <row r="297" spans="4:33">
      <c r="D297" s="66"/>
      <c r="G297" s="66"/>
      <c r="V297" s="66"/>
      <c r="W297" s="66"/>
      <c r="X297" s="66"/>
      <c r="AB297" s="66"/>
      <c r="AG297" s="66"/>
    </row>
    <row r="298" spans="4:33">
      <c r="D298" s="66"/>
      <c r="G298" s="66"/>
      <c r="V298" s="66"/>
      <c r="W298" s="66"/>
      <c r="X298" s="66"/>
      <c r="AB298" s="66"/>
      <c r="AG298" s="66"/>
    </row>
    <row r="299" spans="4:33">
      <c r="D299" s="66"/>
      <c r="G299" s="66"/>
      <c r="V299" s="66"/>
      <c r="W299" s="66"/>
      <c r="X299" s="66"/>
      <c r="AB299" s="66"/>
      <c r="AG299" s="66"/>
    </row>
    <row r="300" spans="4:33">
      <c r="D300" s="66"/>
      <c r="G300" s="66"/>
      <c r="V300" s="66"/>
      <c r="W300" s="66"/>
      <c r="X300" s="66"/>
      <c r="AB300" s="66"/>
      <c r="AG300" s="66"/>
    </row>
    <row r="301" spans="4:33">
      <c r="D301" s="66"/>
      <c r="G301" s="66"/>
      <c r="V301" s="66"/>
      <c r="W301" s="66"/>
      <c r="X301" s="66"/>
      <c r="AB301" s="66"/>
      <c r="AG301" s="66"/>
    </row>
    <row r="302" spans="4:33">
      <c r="D302" s="66"/>
      <c r="G302" s="66"/>
      <c r="V302" s="66"/>
      <c r="W302" s="66"/>
      <c r="X302" s="66"/>
      <c r="AB302" s="66"/>
      <c r="AG302" s="66"/>
    </row>
    <row r="303" spans="4:33">
      <c r="D303" s="66"/>
      <c r="G303" s="66"/>
      <c r="V303" s="66"/>
      <c r="W303" s="66"/>
      <c r="X303" s="66"/>
      <c r="AB303" s="66"/>
      <c r="AG303" s="66"/>
    </row>
    <row r="304" spans="4:33">
      <c r="D304" s="66"/>
      <c r="G304" s="66"/>
      <c r="V304" s="66"/>
      <c r="W304" s="66"/>
      <c r="X304" s="66"/>
      <c r="AB304" s="66"/>
      <c r="AG304" s="66"/>
    </row>
    <row r="305" spans="4:33">
      <c r="D305" s="66"/>
      <c r="G305" s="66"/>
      <c r="V305" s="66"/>
      <c r="W305" s="66"/>
      <c r="X305" s="66"/>
      <c r="AB305" s="66"/>
      <c r="AG305" s="66"/>
    </row>
    <row r="306" spans="4:33">
      <c r="D306" s="66"/>
      <c r="G306" s="66"/>
      <c r="V306" s="66"/>
      <c r="W306" s="66"/>
      <c r="X306" s="66"/>
      <c r="AB306" s="66"/>
      <c r="AG306" s="66"/>
    </row>
    <row r="307" spans="4:33">
      <c r="D307" s="66"/>
      <c r="G307" s="66"/>
      <c r="V307" s="66"/>
      <c r="W307" s="66"/>
      <c r="X307" s="66"/>
      <c r="AB307" s="66"/>
      <c r="AG307" s="66"/>
    </row>
    <row r="308" spans="4:33">
      <c r="D308" s="66"/>
      <c r="G308" s="66"/>
      <c r="V308" s="66"/>
      <c r="W308" s="66"/>
      <c r="X308" s="66"/>
      <c r="AB308" s="66"/>
      <c r="AG308" s="66"/>
    </row>
    <row r="309" spans="4:33">
      <c r="D309" s="66"/>
      <c r="G309" s="66"/>
      <c r="V309" s="66"/>
      <c r="W309" s="66"/>
      <c r="X309" s="66"/>
      <c r="AB309" s="66"/>
      <c r="AG309" s="66"/>
    </row>
    <row r="310" spans="4:33">
      <c r="D310" s="66"/>
      <c r="G310" s="66"/>
      <c r="V310" s="66"/>
      <c r="W310" s="66"/>
      <c r="X310" s="66"/>
      <c r="AB310" s="66"/>
      <c r="AG310" s="66"/>
    </row>
    <row r="311" spans="4:33">
      <c r="D311" s="66"/>
      <c r="G311" s="66"/>
      <c r="V311" s="66"/>
      <c r="W311" s="66"/>
      <c r="X311" s="66"/>
      <c r="AB311" s="66"/>
      <c r="AG311" s="66"/>
    </row>
    <row r="312" spans="4:33">
      <c r="D312" s="66"/>
      <c r="G312" s="66"/>
      <c r="V312" s="66"/>
      <c r="W312" s="66"/>
      <c r="X312" s="66"/>
      <c r="AB312" s="66"/>
      <c r="AG312" s="66"/>
    </row>
    <row r="313" spans="4:33">
      <c r="D313" s="66"/>
      <c r="G313" s="66"/>
      <c r="V313" s="66"/>
      <c r="W313" s="66"/>
      <c r="X313" s="66"/>
      <c r="AB313" s="66"/>
      <c r="AG313" s="66"/>
    </row>
    <row r="314" spans="4:33">
      <c r="D314" s="66"/>
      <c r="G314" s="66"/>
      <c r="V314" s="66"/>
      <c r="W314" s="66"/>
      <c r="X314" s="66"/>
      <c r="AB314" s="66"/>
      <c r="AG314" s="66"/>
    </row>
    <row r="315" spans="4:33">
      <c r="D315" s="66"/>
      <c r="G315" s="66"/>
      <c r="V315" s="66"/>
      <c r="W315" s="66"/>
      <c r="X315" s="66"/>
      <c r="AB315" s="66"/>
      <c r="AG315" s="66"/>
    </row>
    <row r="316" spans="4:33">
      <c r="D316" s="66"/>
      <c r="G316" s="66"/>
      <c r="V316" s="66"/>
      <c r="W316" s="66"/>
      <c r="X316" s="66"/>
      <c r="AB316" s="66"/>
      <c r="AG316" s="66"/>
    </row>
    <row r="317" spans="4:33">
      <c r="D317" s="66"/>
      <c r="G317" s="66"/>
      <c r="V317" s="66"/>
      <c r="W317" s="66"/>
      <c r="X317" s="66"/>
      <c r="AB317" s="66"/>
      <c r="AG317" s="66"/>
    </row>
    <row r="318" spans="4:33">
      <c r="D318" s="66"/>
      <c r="G318" s="66"/>
      <c r="V318" s="66"/>
      <c r="W318" s="66"/>
      <c r="X318" s="66"/>
      <c r="AB318" s="66"/>
      <c r="AG318" s="66"/>
    </row>
    <row r="319" spans="4:33">
      <c r="D319" s="66"/>
      <c r="G319" s="66"/>
      <c r="V319" s="66"/>
      <c r="W319" s="66"/>
      <c r="X319" s="66"/>
      <c r="AB319" s="66"/>
      <c r="AG319" s="66"/>
    </row>
    <row r="320" spans="4:33">
      <c r="D320" s="66"/>
      <c r="G320" s="66"/>
      <c r="V320" s="66"/>
      <c r="W320" s="66"/>
      <c r="X320" s="66"/>
      <c r="AB320" s="66"/>
      <c r="AG320" s="66"/>
    </row>
    <row r="321" spans="4:33">
      <c r="D321" s="66"/>
      <c r="G321" s="66"/>
      <c r="V321" s="66"/>
      <c r="W321" s="66"/>
      <c r="X321" s="66"/>
      <c r="AB321" s="66"/>
      <c r="AG321" s="66"/>
    </row>
    <row r="322" spans="4:33">
      <c r="D322" s="66"/>
      <c r="G322" s="66"/>
      <c r="V322" s="66"/>
      <c r="W322" s="66"/>
      <c r="X322" s="66"/>
      <c r="AB322" s="66"/>
      <c r="AG322" s="66"/>
    </row>
    <row r="323" spans="4:33">
      <c r="D323" s="66"/>
      <c r="G323" s="66"/>
      <c r="V323" s="66"/>
      <c r="W323" s="66"/>
      <c r="X323" s="66"/>
      <c r="AB323" s="66"/>
      <c r="AG323" s="66"/>
    </row>
    <row r="324" spans="4:33">
      <c r="D324" s="66"/>
      <c r="G324" s="66"/>
      <c r="V324" s="66"/>
      <c r="W324" s="66"/>
      <c r="X324" s="66"/>
      <c r="AB324" s="66"/>
      <c r="AG324" s="66"/>
    </row>
    <row r="325" spans="4:33">
      <c r="D325" s="66"/>
      <c r="G325" s="66"/>
      <c r="V325" s="66"/>
      <c r="W325" s="66"/>
      <c r="X325" s="66"/>
      <c r="AB325" s="66"/>
      <c r="AG325" s="66"/>
    </row>
    <row r="326" spans="4:33">
      <c r="D326" s="66"/>
      <c r="G326" s="66"/>
      <c r="V326" s="66"/>
      <c r="W326" s="66"/>
      <c r="X326" s="66"/>
      <c r="AB326" s="66"/>
      <c r="AG326" s="66"/>
    </row>
    <row r="327" spans="4:33">
      <c r="D327" s="66"/>
      <c r="G327" s="66"/>
      <c r="V327" s="66"/>
      <c r="W327" s="66"/>
      <c r="X327" s="66"/>
      <c r="AB327" s="66"/>
      <c r="AG327" s="66"/>
    </row>
    <row r="328" spans="4:33">
      <c r="D328" s="66"/>
      <c r="G328" s="66"/>
      <c r="V328" s="66"/>
      <c r="W328" s="66"/>
      <c r="X328" s="66"/>
      <c r="AB328" s="66"/>
      <c r="AG328" s="66"/>
    </row>
    <row r="329" spans="4:33">
      <c r="D329" s="66"/>
      <c r="G329" s="66"/>
      <c r="V329" s="66"/>
      <c r="W329" s="66"/>
      <c r="X329" s="66"/>
      <c r="AB329" s="66"/>
      <c r="AG329" s="66"/>
    </row>
    <row r="330" spans="4:33">
      <c r="D330" s="66"/>
      <c r="G330" s="66"/>
      <c r="V330" s="66"/>
      <c r="W330" s="66"/>
      <c r="X330" s="66"/>
      <c r="AB330" s="66"/>
      <c r="AG330" s="66"/>
    </row>
    <row r="331" spans="4:33">
      <c r="D331" s="66"/>
      <c r="G331" s="66"/>
      <c r="V331" s="66"/>
      <c r="W331" s="66"/>
      <c r="X331" s="66"/>
      <c r="AB331" s="66"/>
      <c r="AG331" s="66"/>
    </row>
    <row r="332" spans="4:33">
      <c r="D332" s="66"/>
      <c r="G332" s="66"/>
      <c r="V332" s="66"/>
      <c r="W332" s="66"/>
      <c r="X332" s="66"/>
      <c r="AB332" s="66"/>
      <c r="AG332" s="66"/>
    </row>
    <row r="333" spans="4:33">
      <c r="D333" s="66"/>
      <c r="G333" s="66"/>
      <c r="V333" s="66"/>
      <c r="W333" s="66"/>
      <c r="X333" s="66"/>
      <c r="AB333" s="66"/>
      <c r="AG333" s="66"/>
    </row>
    <row r="334" spans="4:33">
      <c r="D334" s="66"/>
      <c r="G334" s="66"/>
      <c r="V334" s="66"/>
      <c r="W334" s="66"/>
      <c r="X334" s="66"/>
      <c r="AB334" s="66"/>
      <c r="AG334" s="66"/>
    </row>
    <row r="335" spans="4:33">
      <c r="D335" s="66"/>
      <c r="G335" s="66"/>
      <c r="V335" s="66"/>
      <c r="W335" s="66"/>
      <c r="X335" s="66"/>
      <c r="AB335" s="66"/>
      <c r="AG335" s="66"/>
    </row>
    <row r="336" spans="4:33">
      <c r="D336" s="66"/>
      <c r="G336" s="66"/>
      <c r="V336" s="66"/>
      <c r="W336" s="66"/>
      <c r="X336" s="66"/>
      <c r="AB336" s="66"/>
      <c r="AG336" s="66"/>
    </row>
    <row r="337" spans="4:33">
      <c r="D337" s="66"/>
      <c r="G337" s="66"/>
      <c r="V337" s="66"/>
      <c r="W337" s="66"/>
      <c r="X337" s="66"/>
      <c r="AB337" s="66"/>
      <c r="AG337" s="66"/>
    </row>
    <row r="338" spans="4:33">
      <c r="D338" s="66"/>
      <c r="G338" s="66"/>
      <c r="V338" s="66"/>
      <c r="W338" s="66"/>
      <c r="X338" s="66"/>
      <c r="AB338" s="66"/>
      <c r="AG338" s="66"/>
    </row>
    <row r="339" spans="4:33">
      <c r="D339" s="66"/>
      <c r="G339" s="66"/>
      <c r="V339" s="66"/>
      <c r="W339" s="66"/>
      <c r="X339" s="66"/>
      <c r="AB339" s="66"/>
      <c r="AG339" s="66"/>
    </row>
    <row r="340" spans="4:33">
      <c r="D340" s="66"/>
      <c r="G340" s="66"/>
      <c r="V340" s="66"/>
      <c r="W340" s="66"/>
      <c r="X340" s="66"/>
      <c r="AB340" s="66"/>
      <c r="AG340" s="66"/>
    </row>
    <row r="341" spans="4:33">
      <c r="D341" s="66"/>
      <c r="G341" s="66"/>
      <c r="V341" s="66"/>
      <c r="W341" s="66"/>
      <c r="X341" s="66"/>
      <c r="AB341" s="66"/>
      <c r="AG341" s="66"/>
    </row>
    <row r="342" spans="4:33">
      <c r="D342" s="66"/>
      <c r="G342" s="66"/>
      <c r="V342" s="66"/>
      <c r="W342" s="66"/>
      <c r="X342" s="66"/>
      <c r="AB342" s="66"/>
      <c r="AG342" s="66"/>
    </row>
    <row r="343" spans="4:33">
      <c r="D343" s="66"/>
      <c r="G343" s="66"/>
      <c r="V343" s="66"/>
      <c r="W343" s="66"/>
      <c r="X343" s="66"/>
      <c r="AB343" s="66"/>
      <c r="AG343" s="66"/>
    </row>
    <row r="344" spans="4:33">
      <c r="D344" s="66"/>
      <c r="G344" s="66"/>
      <c r="V344" s="66"/>
      <c r="W344" s="66"/>
      <c r="X344" s="66"/>
      <c r="AB344" s="66"/>
      <c r="AG344" s="66"/>
    </row>
    <row r="345" spans="4:33">
      <c r="D345" s="66"/>
      <c r="G345" s="66"/>
      <c r="V345" s="66"/>
      <c r="W345" s="66"/>
      <c r="X345" s="66"/>
      <c r="AB345" s="66"/>
      <c r="AG345" s="66"/>
    </row>
    <row r="346" spans="4:33">
      <c r="D346" s="66"/>
      <c r="G346" s="66"/>
      <c r="V346" s="66"/>
      <c r="W346" s="66"/>
      <c r="X346" s="66"/>
      <c r="AB346" s="66"/>
      <c r="AG346" s="66"/>
    </row>
    <row r="347" spans="4:33">
      <c r="D347" s="66"/>
      <c r="G347" s="66"/>
      <c r="V347" s="66"/>
      <c r="W347" s="66"/>
      <c r="X347" s="66"/>
      <c r="AB347" s="66"/>
      <c r="AG347" s="66"/>
    </row>
    <row r="348" spans="4:33">
      <c r="D348" s="66"/>
      <c r="G348" s="66"/>
      <c r="V348" s="66"/>
      <c r="W348" s="66"/>
      <c r="X348" s="66"/>
      <c r="AB348" s="66"/>
      <c r="AG348" s="66"/>
    </row>
    <row r="349" spans="4:33">
      <c r="D349" s="66"/>
      <c r="G349" s="66"/>
      <c r="V349" s="66"/>
      <c r="W349" s="66"/>
      <c r="X349" s="66"/>
      <c r="AB349" s="66"/>
      <c r="AG349" s="66"/>
    </row>
    <row r="350" spans="4:33">
      <c r="D350" s="66"/>
      <c r="G350" s="66"/>
      <c r="V350" s="66"/>
      <c r="W350" s="66"/>
      <c r="X350" s="66"/>
      <c r="AB350" s="66"/>
      <c r="AG350" s="66"/>
    </row>
    <row r="351" spans="4:33">
      <c r="D351" s="66"/>
      <c r="G351" s="66"/>
      <c r="V351" s="66"/>
      <c r="W351" s="66"/>
      <c r="X351" s="66"/>
      <c r="AB351" s="66"/>
      <c r="AG351" s="66"/>
    </row>
    <row r="352" spans="4:33">
      <c r="D352" s="66"/>
      <c r="G352" s="66"/>
      <c r="V352" s="66"/>
      <c r="W352" s="66"/>
      <c r="X352" s="66"/>
      <c r="AB352" s="66"/>
      <c r="AG352" s="66"/>
    </row>
    <row r="353" spans="4:33">
      <c r="D353" s="66"/>
      <c r="G353" s="66"/>
      <c r="V353" s="66"/>
      <c r="W353" s="66"/>
      <c r="X353" s="66"/>
      <c r="AB353" s="66"/>
      <c r="AG353" s="66"/>
    </row>
    <row r="354" spans="4:33">
      <c r="D354" s="66"/>
      <c r="G354" s="66"/>
      <c r="V354" s="66"/>
      <c r="W354" s="66"/>
      <c r="X354" s="66"/>
      <c r="AB354" s="66"/>
      <c r="AG354" s="66"/>
    </row>
    <row r="355" spans="4:33">
      <c r="D355" s="66"/>
      <c r="G355" s="66"/>
      <c r="V355" s="66"/>
      <c r="W355" s="66"/>
      <c r="X355" s="66"/>
      <c r="AB355" s="66"/>
      <c r="AG355" s="66"/>
    </row>
    <row r="356" spans="4:33">
      <c r="D356" s="66"/>
      <c r="G356" s="66"/>
      <c r="V356" s="66"/>
      <c r="W356" s="66"/>
      <c r="X356" s="66"/>
      <c r="AB356" s="66"/>
      <c r="AG356" s="66"/>
    </row>
    <row r="357" spans="4:33">
      <c r="D357" s="66"/>
      <c r="G357" s="66"/>
      <c r="V357" s="66"/>
      <c r="W357" s="66"/>
      <c r="X357" s="66"/>
      <c r="AB357" s="66"/>
      <c r="AG357" s="66"/>
    </row>
    <row r="358" spans="4:33">
      <c r="D358" s="66"/>
      <c r="G358" s="66"/>
      <c r="V358" s="66"/>
      <c r="W358" s="66"/>
      <c r="X358" s="66"/>
      <c r="AB358" s="66"/>
      <c r="AG358" s="66"/>
    </row>
    <row r="359" spans="4:33">
      <c r="D359" s="66"/>
      <c r="G359" s="66"/>
      <c r="V359" s="66"/>
      <c r="W359" s="66"/>
      <c r="X359" s="66"/>
      <c r="AB359" s="66"/>
      <c r="AG359" s="66"/>
    </row>
    <row r="360" spans="4:33">
      <c r="D360" s="66"/>
      <c r="G360" s="66"/>
      <c r="V360" s="66"/>
      <c r="W360" s="66"/>
      <c r="X360" s="66"/>
      <c r="AB360" s="66"/>
      <c r="AG360" s="66"/>
    </row>
    <row r="361" spans="4:33">
      <c r="D361" s="66"/>
      <c r="G361" s="66"/>
      <c r="V361" s="66"/>
      <c r="W361" s="66"/>
      <c r="X361" s="66"/>
      <c r="AB361" s="66"/>
      <c r="AG361" s="66"/>
    </row>
    <row r="362" spans="4:33">
      <c r="D362" s="66"/>
      <c r="G362" s="66"/>
      <c r="V362" s="66"/>
      <c r="W362" s="66"/>
      <c r="X362" s="66"/>
      <c r="AB362" s="66"/>
      <c r="AG362" s="66"/>
    </row>
    <row r="363" spans="4:33">
      <c r="D363" s="66"/>
      <c r="G363" s="66"/>
      <c r="V363" s="66"/>
      <c r="W363" s="66"/>
      <c r="X363" s="66"/>
      <c r="AB363" s="66"/>
      <c r="AG363" s="66"/>
    </row>
    <row r="364" spans="4:33">
      <c r="D364" s="66"/>
      <c r="G364" s="66"/>
      <c r="V364" s="66"/>
      <c r="W364" s="66"/>
      <c r="X364" s="66"/>
      <c r="AB364" s="66"/>
      <c r="AG364" s="66"/>
    </row>
    <row r="365" spans="4:33">
      <c r="D365" s="66"/>
      <c r="G365" s="66"/>
      <c r="V365" s="66"/>
      <c r="W365" s="66"/>
      <c r="X365" s="66"/>
      <c r="AB365" s="66"/>
      <c r="AG365" s="66"/>
    </row>
    <row r="366" spans="4:33">
      <c r="D366" s="66"/>
      <c r="G366" s="66"/>
      <c r="V366" s="66"/>
      <c r="W366" s="66"/>
      <c r="X366" s="66"/>
      <c r="AB366" s="66"/>
      <c r="AG366" s="66"/>
    </row>
    <row r="367" spans="4:33">
      <c r="D367" s="66"/>
      <c r="G367" s="66"/>
      <c r="V367" s="66"/>
      <c r="W367" s="66"/>
      <c r="X367" s="66"/>
      <c r="AB367" s="66"/>
      <c r="AG367" s="66"/>
    </row>
    <row r="368" spans="4:33">
      <c r="D368" s="66"/>
      <c r="G368" s="66"/>
      <c r="V368" s="66"/>
      <c r="W368" s="66"/>
      <c r="X368" s="66"/>
      <c r="AB368" s="66"/>
      <c r="AG368" s="66"/>
    </row>
    <row r="369" spans="4:33">
      <c r="D369" s="66"/>
      <c r="G369" s="66"/>
      <c r="V369" s="66"/>
      <c r="W369" s="66"/>
      <c r="X369" s="66"/>
      <c r="AB369" s="66"/>
      <c r="AG369" s="66"/>
    </row>
    <row r="370" spans="4:33">
      <c r="D370" s="66"/>
      <c r="G370" s="66"/>
      <c r="V370" s="66"/>
      <c r="W370" s="66"/>
      <c r="X370" s="66"/>
      <c r="AB370" s="66"/>
      <c r="AG370" s="66"/>
    </row>
    <row r="371" spans="4:33">
      <c r="D371" s="66"/>
      <c r="G371" s="66"/>
      <c r="V371" s="66"/>
      <c r="W371" s="66"/>
      <c r="X371" s="66"/>
      <c r="AB371" s="66"/>
      <c r="AG371" s="66"/>
    </row>
    <row r="372" spans="4:33">
      <c r="D372" s="66"/>
      <c r="G372" s="66"/>
      <c r="V372" s="66"/>
      <c r="W372" s="66"/>
      <c r="X372" s="66"/>
      <c r="AB372" s="66"/>
      <c r="AG372" s="66"/>
    </row>
    <row r="373" spans="4:33">
      <c r="D373" s="66"/>
      <c r="G373" s="66"/>
      <c r="V373" s="66"/>
      <c r="W373" s="66"/>
      <c r="X373" s="66"/>
      <c r="AB373" s="66"/>
      <c r="AG373" s="66"/>
    </row>
    <row r="374" spans="4:33">
      <c r="D374" s="66"/>
      <c r="G374" s="66"/>
      <c r="V374" s="66"/>
      <c r="W374" s="66"/>
      <c r="X374" s="66"/>
      <c r="AB374" s="66"/>
      <c r="AG374" s="66"/>
    </row>
    <row r="375" spans="4:33">
      <c r="D375" s="66"/>
      <c r="G375" s="66"/>
      <c r="V375" s="66"/>
      <c r="W375" s="66"/>
      <c r="X375" s="66"/>
      <c r="AB375" s="66"/>
      <c r="AG375" s="66"/>
    </row>
    <row r="376" spans="4:33">
      <c r="D376" s="66"/>
      <c r="G376" s="66"/>
      <c r="V376" s="66"/>
      <c r="W376" s="66"/>
      <c r="X376" s="66"/>
      <c r="AB376" s="66"/>
      <c r="AG376" s="66"/>
    </row>
    <row r="377" spans="4:33">
      <c r="D377" s="66"/>
      <c r="G377" s="66"/>
      <c r="V377" s="66"/>
      <c r="W377" s="66"/>
      <c r="X377" s="66"/>
      <c r="AB377" s="66"/>
      <c r="AG377" s="66"/>
    </row>
    <row r="378" spans="4:33">
      <c r="D378" s="66"/>
      <c r="G378" s="66"/>
      <c r="V378" s="66"/>
      <c r="W378" s="66"/>
      <c r="X378" s="66"/>
      <c r="AB378" s="66"/>
      <c r="AG378" s="66"/>
    </row>
    <row r="379" spans="4:33">
      <c r="D379" s="66"/>
      <c r="G379" s="66"/>
      <c r="V379" s="66"/>
      <c r="W379" s="66"/>
      <c r="X379" s="66"/>
      <c r="AB379" s="66"/>
      <c r="AG379" s="66"/>
    </row>
    <row r="380" spans="4:33">
      <c r="D380" s="66"/>
      <c r="G380" s="66"/>
      <c r="V380" s="66"/>
      <c r="W380" s="66"/>
      <c r="X380" s="66"/>
      <c r="AB380" s="66"/>
      <c r="AG380" s="66"/>
    </row>
    <row r="381" spans="4:33">
      <c r="D381" s="66"/>
      <c r="G381" s="66"/>
      <c r="V381" s="66"/>
      <c r="W381" s="66"/>
      <c r="X381" s="66"/>
      <c r="AB381" s="66"/>
      <c r="AG381" s="66"/>
    </row>
    <row r="382" spans="4:33">
      <c r="D382" s="66"/>
      <c r="G382" s="66"/>
      <c r="V382" s="66"/>
      <c r="W382" s="66"/>
      <c r="X382" s="66"/>
      <c r="AB382" s="66"/>
      <c r="AG382" s="66"/>
    </row>
    <row r="383" spans="4:33">
      <c r="D383" s="66"/>
      <c r="G383" s="66"/>
      <c r="V383" s="66"/>
      <c r="W383" s="66"/>
      <c r="X383" s="66"/>
      <c r="AB383" s="66"/>
      <c r="AG383" s="66"/>
    </row>
    <row r="384" spans="4:33">
      <c r="D384" s="66"/>
      <c r="G384" s="66"/>
      <c r="V384" s="66"/>
      <c r="W384" s="66"/>
      <c r="X384" s="66"/>
      <c r="AB384" s="66"/>
      <c r="AG384" s="66"/>
    </row>
    <row r="385" spans="4:33">
      <c r="D385" s="66"/>
      <c r="G385" s="66"/>
      <c r="V385" s="66"/>
      <c r="W385" s="66"/>
      <c r="X385" s="66"/>
      <c r="AB385" s="66"/>
      <c r="AG385" s="66"/>
    </row>
    <row r="386" spans="4:33">
      <c r="D386" s="66"/>
      <c r="G386" s="66"/>
      <c r="V386" s="66"/>
      <c r="W386" s="66"/>
      <c r="X386" s="66"/>
      <c r="AB386" s="66"/>
      <c r="AG386" s="66"/>
    </row>
    <row r="387" spans="4:33">
      <c r="D387" s="66"/>
      <c r="G387" s="66"/>
      <c r="V387" s="66"/>
      <c r="W387" s="66"/>
      <c r="X387" s="66"/>
      <c r="AB387" s="66"/>
      <c r="AG387" s="66"/>
    </row>
    <row r="388" spans="4:33">
      <c r="D388" s="66"/>
      <c r="G388" s="66"/>
      <c r="V388" s="66"/>
      <c r="W388" s="66"/>
      <c r="X388" s="66"/>
      <c r="AB388" s="66"/>
      <c r="AG388" s="66"/>
    </row>
    <row r="389" spans="4:33">
      <c r="D389" s="66"/>
      <c r="G389" s="66"/>
      <c r="V389" s="66"/>
      <c r="W389" s="66"/>
      <c r="X389" s="66"/>
      <c r="AB389" s="66"/>
      <c r="AG389" s="66"/>
    </row>
    <row r="390" spans="4:33">
      <c r="D390" s="66"/>
      <c r="G390" s="66"/>
      <c r="V390" s="66"/>
      <c r="W390" s="66"/>
      <c r="X390" s="66"/>
      <c r="AB390" s="66"/>
      <c r="AG390" s="66"/>
    </row>
    <row r="391" spans="4:33">
      <c r="D391" s="66"/>
      <c r="G391" s="66"/>
      <c r="V391" s="66"/>
      <c r="W391" s="66"/>
      <c r="X391" s="66"/>
      <c r="AB391" s="66"/>
      <c r="AG391" s="66"/>
    </row>
    <row r="392" spans="4:33">
      <c r="D392" s="66"/>
      <c r="G392" s="66"/>
      <c r="V392" s="66"/>
      <c r="W392" s="66"/>
      <c r="X392" s="66"/>
      <c r="AB392" s="66"/>
      <c r="AG392" s="66"/>
    </row>
    <row r="393" spans="4:33">
      <c r="D393" s="66"/>
      <c r="G393" s="66"/>
      <c r="V393" s="66"/>
      <c r="W393" s="66"/>
      <c r="X393" s="66"/>
      <c r="AB393" s="66"/>
      <c r="AG393" s="66"/>
    </row>
    <row r="394" spans="4:33">
      <c r="D394" s="66"/>
      <c r="G394" s="66"/>
      <c r="V394" s="66"/>
      <c r="W394" s="66"/>
      <c r="X394" s="66"/>
      <c r="AB394" s="66"/>
      <c r="AG394" s="66"/>
    </row>
    <row r="395" spans="4:33">
      <c r="D395" s="66"/>
      <c r="G395" s="66"/>
      <c r="V395" s="66"/>
      <c r="W395" s="66"/>
      <c r="X395" s="66"/>
      <c r="AB395" s="66"/>
      <c r="AG395" s="66"/>
    </row>
    <row r="396" spans="4:33">
      <c r="D396" s="66"/>
      <c r="G396" s="66"/>
      <c r="V396" s="66"/>
      <c r="W396" s="66"/>
      <c r="X396" s="66"/>
      <c r="AB396" s="66"/>
      <c r="AG396" s="66"/>
    </row>
    <row r="397" spans="4:33">
      <c r="D397" s="66"/>
      <c r="G397" s="66"/>
      <c r="V397" s="66"/>
      <c r="W397" s="66"/>
      <c r="X397" s="66"/>
      <c r="AB397" s="66"/>
      <c r="AG397" s="66"/>
    </row>
    <row r="398" spans="4:33">
      <c r="D398" s="66"/>
      <c r="G398" s="66"/>
      <c r="V398" s="66"/>
      <c r="W398" s="66"/>
      <c r="X398" s="66"/>
      <c r="AB398" s="66"/>
      <c r="AG398" s="66"/>
    </row>
    <row r="399" spans="4:33">
      <c r="D399" s="66"/>
      <c r="G399" s="66"/>
      <c r="V399" s="66"/>
      <c r="W399" s="66"/>
      <c r="X399" s="66"/>
      <c r="AB399" s="66"/>
      <c r="AG399" s="66"/>
    </row>
    <row r="400" spans="4:33">
      <c r="D400" s="66"/>
      <c r="G400" s="66"/>
      <c r="V400" s="66"/>
      <c r="W400" s="66"/>
      <c r="X400" s="66"/>
      <c r="AB400" s="66"/>
      <c r="AG400" s="66"/>
    </row>
    <row r="401" spans="4:33">
      <c r="D401" s="66"/>
      <c r="G401" s="66"/>
      <c r="V401" s="66"/>
      <c r="W401" s="66"/>
      <c r="X401" s="66"/>
      <c r="AB401" s="66"/>
      <c r="AG401" s="66"/>
    </row>
    <row r="402" spans="4:33">
      <c r="D402" s="66"/>
      <c r="G402" s="66"/>
      <c r="V402" s="66"/>
      <c r="W402" s="66"/>
      <c r="X402" s="66"/>
      <c r="AB402" s="66"/>
      <c r="AG402" s="66"/>
    </row>
    <row r="403" spans="4:33">
      <c r="D403" s="66"/>
      <c r="G403" s="66"/>
      <c r="V403" s="66"/>
      <c r="W403" s="66"/>
      <c r="X403" s="66"/>
      <c r="AB403" s="66"/>
      <c r="AG403" s="66"/>
    </row>
    <row r="404" spans="4:33">
      <c r="D404" s="66"/>
      <c r="G404" s="66"/>
      <c r="V404" s="66"/>
      <c r="W404" s="66"/>
      <c r="X404" s="66"/>
      <c r="AB404" s="66"/>
      <c r="AG404" s="66"/>
    </row>
    <row r="405" spans="4:33">
      <c r="D405" s="66"/>
      <c r="G405" s="66"/>
      <c r="V405" s="66"/>
      <c r="W405" s="66"/>
      <c r="X405" s="66"/>
      <c r="AB405" s="66"/>
      <c r="AG405" s="66"/>
    </row>
    <row r="406" spans="4:33">
      <c r="D406" s="66"/>
      <c r="G406" s="66"/>
      <c r="V406" s="66"/>
      <c r="W406" s="66"/>
      <c r="X406" s="66"/>
      <c r="AB406" s="66"/>
      <c r="AG406" s="66"/>
    </row>
    <row r="407" spans="4:33">
      <c r="D407" s="66"/>
      <c r="G407" s="66"/>
      <c r="V407" s="66"/>
      <c r="W407" s="66"/>
      <c r="X407" s="66"/>
      <c r="AB407" s="66"/>
      <c r="AG407" s="66"/>
    </row>
    <row r="408" spans="4:33">
      <c r="D408" s="66"/>
      <c r="G408" s="66"/>
      <c r="V408" s="66"/>
      <c r="W408" s="66"/>
      <c r="X408" s="66"/>
      <c r="AB408" s="66"/>
      <c r="AG408" s="66"/>
    </row>
    <row r="409" spans="4:33">
      <c r="D409" s="66"/>
      <c r="G409" s="66"/>
      <c r="V409" s="66"/>
      <c r="W409" s="66"/>
      <c r="X409" s="66"/>
      <c r="AB409" s="66"/>
      <c r="AG409" s="66"/>
    </row>
    <row r="410" spans="4:33">
      <c r="D410" s="66"/>
      <c r="G410" s="66"/>
      <c r="V410" s="66"/>
      <c r="W410" s="66"/>
      <c r="X410" s="66"/>
      <c r="AB410" s="66"/>
      <c r="AG410" s="66"/>
    </row>
    <row r="411" spans="4:33">
      <c r="D411" s="66"/>
      <c r="G411" s="66"/>
      <c r="V411" s="66"/>
      <c r="W411" s="66"/>
      <c r="X411" s="66"/>
      <c r="AB411" s="66"/>
      <c r="AG411" s="66"/>
    </row>
    <row r="412" spans="4:33">
      <c r="D412" s="66"/>
      <c r="G412" s="66"/>
      <c r="V412" s="66"/>
      <c r="W412" s="66"/>
      <c r="X412" s="66"/>
      <c r="AB412" s="66"/>
      <c r="AG412" s="66"/>
    </row>
    <row r="413" spans="4:33">
      <c r="D413" s="66"/>
      <c r="G413" s="66"/>
      <c r="V413" s="66"/>
      <c r="W413" s="66"/>
      <c r="X413" s="66"/>
      <c r="AB413" s="66"/>
      <c r="AG413" s="66"/>
    </row>
    <row r="414" spans="4:33">
      <c r="D414" s="66"/>
      <c r="G414" s="66"/>
      <c r="V414" s="66"/>
      <c r="W414" s="66"/>
      <c r="X414" s="66"/>
      <c r="AB414" s="66"/>
      <c r="AG414" s="66"/>
    </row>
    <row r="415" spans="4:33">
      <c r="D415" s="66"/>
      <c r="G415" s="66"/>
      <c r="V415" s="66"/>
      <c r="W415" s="66"/>
      <c r="X415" s="66"/>
      <c r="AB415" s="66"/>
      <c r="AG415" s="66"/>
    </row>
    <row r="416" spans="4:33">
      <c r="D416" s="66"/>
      <c r="G416" s="66"/>
      <c r="V416" s="66"/>
      <c r="W416" s="66"/>
      <c r="X416" s="66"/>
      <c r="AB416" s="66"/>
      <c r="AG416" s="66"/>
    </row>
    <row r="417" spans="4:33">
      <c r="D417" s="66"/>
      <c r="G417" s="66"/>
      <c r="V417" s="66"/>
      <c r="W417" s="66"/>
      <c r="X417" s="66"/>
      <c r="AB417" s="66"/>
      <c r="AG417" s="66"/>
    </row>
    <row r="418" spans="4:33">
      <c r="D418" s="66"/>
      <c r="G418" s="66"/>
      <c r="V418" s="66"/>
      <c r="W418" s="66"/>
      <c r="X418" s="66"/>
      <c r="AB418" s="66"/>
      <c r="AG418" s="66"/>
    </row>
    <row r="419" spans="4:33">
      <c r="D419" s="66"/>
      <c r="G419" s="66"/>
      <c r="V419" s="66"/>
      <c r="W419" s="66"/>
      <c r="X419" s="66"/>
      <c r="AB419" s="66"/>
      <c r="AG419" s="66"/>
    </row>
    <row r="420" spans="4:33">
      <c r="D420" s="66"/>
      <c r="G420" s="66"/>
      <c r="V420" s="66"/>
      <c r="W420" s="66"/>
      <c r="X420" s="66"/>
      <c r="AB420" s="66"/>
      <c r="AG420" s="66"/>
    </row>
    <row r="421" spans="4:33">
      <c r="D421" s="66"/>
      <c r="G421" s="66"/>
      <c r="V421" s="66"/>
      <c r="W421" s="66"/>
      <c r="X421" s="66"/>
      <c r="AB421" s="66"/>
      <c r="AG421" s="66"/>
    </row>
    <row r="422" spans="4:33">
      <c r="D422" s="66"/>
      <c r="G422" s="66"/>
      <c r="V422" s="66"/>
      <c r="W422" s="66"/>
      <c r="X422" s="66"/>
      <c r="AB422" s="66"/>
      <c r="AG422" s="66"/>
    </row>
    <row r="423" spans="4:33">
      <c r="D423" s="66"/>
      <c r="G423" s="66"/>
      <c r="V423" s="66"/>
      <c r="W423" s="66"/>
      <c r="X423" s="66"/>
      <c r="AB423" s="66"/>
      <c r="AG423" s="66"/>
    </row>
    <row r="424" spans="4:33">
      <c r="D424" s="66"/>
      <c r="G424" s="66"/>
      <c r="V424" s="66"/>
      <c r="W424" s="66"/>
      <c r="X424" s="66"/>
      <c r="AB424" s="66"/>
      <c r="AG424" s="66"/>
    </row>
    <row r="425" spans="4:33">
      <c r="D425" s="66"/>
      <c r="G425" s="66"/>
      <c r="V425" s="66"/>
      <c r="W425" s="66"/>
      <c r="X425" s="66"/>
      <c r="AB425" s="66"/>
      <c r="AG425" s="66"/>
    </row>
    <row r="426" spans="4:33">
      <c r="D426" s="66"/>
      <c r="G426" s="66"/>
      <c r="V426" s="66"/>
      <c r="W426" s="66"/>
      <c r="X426" s="66"/>
      <c r="AB426" s="66"/>
      <c r="AG426" s="66"/>
    </row>
    <row r="427" spans="4:33">
      <c r="D427" s="66"/>
      <c r="G427" s="66"/>
      <c r="V427" s="66"/>
      <c r="W427" s="66"/>
      <c r="X427" s="66"/>
      <c r="AB427" s="66"/>
      <c r="AG427" s="66"/>
    </row>
    <row r="428" spans="4:33">
      <c r="D428" s="66"/>
      <c r="G428" s="66"/>
      <c r="V428" s="66"/>
      <c r="W428" s="66"/>
      <c r="X428" s="66"/>
      <c r="AB428" s="66"/>
      <c r="AG428" s="66"/>
    </row>
    <row r="429" spans="4:33">
      <c r="D429" s="66"/>
      <c r="G429" s="66"/>
      <c r="V429" s="66"/>
      <c r="W429" s="66"/>
      <c r="X429" s="66"/>
      <c r="AB429" s="66"/>
      <c r="AG429" s="66"/>
    </row>
    <row r="430" spans="4:33">
      <c r="D430" s="66"/>
      <c r="G430" s="66"/>
      <c r="V430" s="66"/>
      <c r="W430" s="66"/>
      <c r="X430" s="66"/>
      <c r="AB430" s="66"/>
      <c r="AG430" s="66"/>
    </row>
    <row r="431" spans="4:33">
      <c r="D431" s="66"/>
      <c r="G431" s="66"/>
      <c r="V431" s="66"/>
      <c r="W431" s="66"/>
      <c r="X431" s="66"/>
      <c r="AB431" s="66"/>
      <c r="AG431" s="66"/>
    </row>
    <row r="432" spans="4:33">
      <c r="D432" s="66"/>
      <c r="G432" s="66"/>
      <c r="V432" s="66"/>
      <c r="W432" s="66"/>
      <c r="X432" s="66"/>
      <c r="AB432" s="66"/>
      <c r="AG432" s="66"/>
    </row>
    <row r="433" spans="4:33">
      <c r="D433" s="66"/>
      <c r="G433" s="66"/>
      <c r="V433" s="66"/>
      <c r="W433" s="66"/>
      <c r="X433" s="66"/>
      <c r="AB433" s="66"/>
      <c r="AG433" s="66"/>
    </row>
    <row r="434" spans="4:33">
      <c r="D434" s="66"/>
      <c r="G434" s="66"/>
      <c r="V434" s="66"/>
      <c r="W434" s="66"/>
      <c r="X434" s="66"/>
      <c r="AB434" s="66"/>
      <c r="AG434" s="66"/>
    </row>
    <row r="435" spans="4:33">
      <c r="D435" s="66"/>
      <c r="G435" s="66"/>
      <c r="V435" s="66"/>
      <c r="W435" s="66"/>
      <c r="X435" s="66"/>
      <c r="AB435" s="66"/>
      <c r="AG435" s="66"/>
    </row>
    <row r="436" spans="4:33">
      <c r="D436" s="66"/>
      <c r="G436" s="66"/>
      <c r="V436" s="66"/>
      <c r="W436" s="66"/>
      <c r="X436" s="66"/>
      <c r="AB436" s="66"/>
      <c r="AG436" s="66"/>
    </row>
    <row r="437" spans="4:33">
      <c r="D437" s="66"/>
      <c r="G437" s="66"/>
      <c r="V437" s="66"/>
      <c r="W437" s="66"/>
      <c r="X437" s="66"/>
      <c r="AB437" s="66"/>
      <c r="AG437" s="66"/>
    </row>
    <row r="438" spans="4:33">
      <c r="D438" s="66"/>
      <c r="G438" s="66"/>
      <c r="V438" s="66"/>
      <c r="W438" s="66"/>
      <c r="X438" s="66"/>
      <c r="AB438" s="66"/>
      <c r="AG438" s="66"/>
    </row>
    <row r="439" spans="4:33">
      <c r="D439" s="66"/>
      <c r="G439" s="66"/>
      <c r="V439" s="66"/>
      <c r="W439" s="66"/>
      <c r="X439" s="66"/>
      <c r="AB439" s="66"/>
      <c r="AG439" s="66"/>
    </row>
    <row r="440" spans="4:33">
      <c r="D440" s="66"/>
      <c r="G440" s="66"/>
      <c r="V440" s="66"/>
      <c r="W440" s="66"/>
      <c r="X440" s="66"/>
      <c r="AB440" s="66"/>
      <c r="AG440" s="66"/>
    </row>
    <row r="441" spans="4:33">
      <c r="D441" s="66"/>
      <c r="G441" s="66"/>
      <c r="V441" s="66"/>
      <c r="W441" s="66"/>
      <c r="X441" s="66"/>
      <c r="AB441" s="66"/>
      <c r="AG441" s="66"/>
    </row>
    <row r="442" spans="4:33">
      <c r="D442" s="66"/>
      <c r="G442" s="66"/>
      <c r="V442" s="66"/>
      <c r="W442" s="66"/>
      <c r="X442" s="66"/>
      <c r="AB442" s="66"/>
      <c r="AG442" s="66"/>
    </row>
    <row r="443" spans="4:33">
      <c r="D443" s="66"/>
      <c r="G443" s="66"/>
      <c r="V443" s="66"/>
      <c r="W443" s="66"/>
      <c r="X443" s="66"/>
      <c r="AB443" s="66"/>
      <c r="AG443" s="66"/>
    </row>
    <row r="444" spans="4:33">
      <c r="D444" s="66"/>
      <c r="G444" s="66"/>
      <c r="V444" s="66"/>
      <c r="W444" s="66"/>
      <c r="X444" s="66"/>
      <c r="AB444" s="66"/>
      <c r="AG444" s="66"/>
    </row>
    <row r="445" spans="4:33">
      <c r="D445" s="66"/>
      <c r="G445" s="66"/>
      <c r="V445" s="66"/>
      <c r="W445" s="66"/>
      <c r="X445" s="66"/>
      <c r="AB445" s="66"/>
      <c r="AG445" s="66"/>
    </row>
    <row r="446" spans="4:33">
      <c r="D446" s="66"/>
      <c r="G446" s="66"/>
      <c r="V446" s="66"/>
      <c r="W446" s="66"/>
      <c r="X446" s="66"/>
      <c r="AB446" s="66"/>
      <c r="AG446" s="66"/>
    </row>
    <row r="447" spans="4:33">
      <c r="D447" s="66"/>
      <c r="G447" s="66"/>
      <c r="V447" s="66"/>
      <c r="W447" s="66"/>
      <c r="X447" s="66"/>
      <c r="AB447" s="66"/>
      <c r="AG447" s="66"/>
    </row>
    <row r="448" spans="4:33">
      <c r="D448" s="66"/>
      <c r="G448" s="66"/>
      <c r="V448" s="66"/>
      <c r="W448" s="66"/>
      <c r="X448" s="66"/>
      <c r="AB448" s="66"/>
      <c r="AG448" s="66"/>
    </row>
    <row r="449" spans="4:33">
      <c r="D449" s="66"/>
      <c r="G449" s="66"/>
      <c r="V449" s="66"/>
      <c r="W449" s="66"/>
      <c r="X449" s="66"/>
      <c r="AB449" s="66"/>
      <c r="AG449" s="66"/>
    </row>
    <row r="450" spans="4:33">
      <c r="D450" s="66"/>
      <c r="G450" s="66"/>
      <c r="V450" s="66"/>
      <c r="W450" s="66"/>
      <c r="X450" s="66"/>
      <c r="AB450" s="66"/>
      <c r="AG450" s="66"/>
    </row>
    <row r="451" spans="4:33">
      <c r="D451" s="66"/>
      <c r="G451" s="66"/>
      <c r="V451" s="66"/>
      <c r="W451" s="66"/>
      <c r="X451" s="66"/>
      <c r="AB451" s="66"/>
      <c r="AG451" s="66"/>
    </row>
    <row r="452" spans="4:33">
      <c r="D452" s="66"/>
      <c r="G452" s="66"/>
      <c r="V452" s="66"/>
      <c r="W452" s="66"/>
      <c r="X452" s="66"/>
      <c r="AB452" s="66"/>
      <c r="AG452" s="66"/>
    </row>
    <row r="453" spans="4:33">
      <c r="D453" s="66"/>
      <c r="G453" s="66"/>
      <c r="V453" s="66"/>
      <c r="W453" s="66"/>
      <c r="X453" s="66"/>
      <c r="AB453" s="66"/>
      <c r="AG453" s="66"/>
    </row>
    <row r="454" spans="4:33">
      <c r="D454" s="66"/>
      <c r="G454" s="66"/>
      <c r="V454" s="66"/>
      <c r="W454" s="66"/>
      <c r="X454" s="66"/>
      <c r="AB454" s="66"/>
      <c r="AG454" s="66"/>
    </row>
    <row r="455" spans="4:33">
      <c r="D455" s="66"/>
      <c r="G455" s="66"/>
      <c r="V455" s="66"/>
      <c r="W455" s="66"/>
      <c r="X455" s="66"/>
      <c r="AB455" s="66"/>
      <c r="AG455" s="66"/>
    </row>
    <row r="456" spans="4:33">
      <c r="D456" s="66"/>
      <c r="G456" s="66"/>
      <c r="V456" s="66"/>
      <c r="W456" s="66"/>
      <c r="X456" s="66"/>
      <c r="AB456" s="66"/>
      <c r="AG456" s="66"/>
    </row>
    <row r="457" spans="4:33">
      <c r="D457" s="66"/>
      <c r="G457" s="66"/>
      <c r="V457" s="66"/>
      <c r="W457" s="66"/>
      <c r="X457" s="66"/>
      <c r="AB457" s="66"/>
      <c r="AG457" s="66"/>
    </row>
    <row r="458" spans="4:33">
      <c r="D458" s="66"/>
      <c r="G458" s="66"/>
      <c r="V458" s="66"/>
      <c r="W458" s="66"/>
      <c r="X458" s="66"/>
      <c r="AB458" s="66"/>
      <c r="AG458" s="66"/>
    </row>
    <row r="459" spans="4:33">
      <c r="D459" s="66"/>
      <c r="G459" s="66"/>
      <c r="V459" s="66"/>
      <c r="W459" s="66"/>
      <c r="X459" s="66"/>
      <c r="AB459" s="66"/>
      <c r="AG459" s="66"/>
    </row>
    <row r="460" spans="4:33">
      <c r="D460" s="66"/>
      <c r="G460" s="66"/>
      <c r="V460" s="66"/>
      <c r="W460" s="66"/>
      <c r="X460" s="66"/>
      <c r="AB460" s="66"/>
      <c r="AG460" s="66"/>
    </row>
    <row r="461" spans="4:33">
      <c r="D461" s="66"/>
      <c r="G461" s="66"/>
      <c r="V461" s="66"/>
      <c r="W461" s="66"/>
      <c r="X461" s="66"/>
      <c r="AB461" s="66"/>
      <c r="AG461" s="66"/>
    </row>
    <row r="462" spans="4:33">
      <c r="D462" s="66"/>
      <c r="G462" s="66"/>
      <c r="V462" s="66"/>
      <c r="W462" s="66"/>
      <c r="X462" s="66"/>
      <c r="AB462" s="66"/>
      <c r="AG462" s="66"/>
    </row>
    <row r="463" spans="4:33">
      <c r="D463" s="66"/>
      <c r="G463" s="66"/>
      <c r="V463" s="66"/>
      <c r="W463" s="66"/>
      <c r="X463" s="66"/>
      <c r="AB463" s="66"/>
      <c r="AG463" s="66"/>
    </row>
    <row r="464" spans="4:33">
      <c r="D464" s="66"/>
      <c r="G464" s="66"/>
      <c r="V464" s="66"/>
      <c r="W464" s="66"/>
      <c r="X464" s="66"/>
      <c r="AB464" s="66"/>
      <c r="AG464" s="66"/>
    </row>
    <row r="465" spans="4:33">
      <c r="D465" s="66"/>
      <c r="G465" s="66"/>
      <c r="V465" s="66"/>
      <c r="W465" s="66"/>
      <c r="X465" s="66"/>
      <c r="AB465" s="66"/>
      <c r="AG465" s="66"/>
    </row>
    <row r="466" spans="4:33">
      <c r="D466" s="66"/>
      <c r="G466" s="66"/>
      <c r="V466" s="66"/>
      <c r="W466" s="66"/>
      <c r="X466" s="66"/>
      <c r="AB466" s="66"/>
      <c r="AG466" s="66"/>
    </row>
    <row r="467" spans="4:33">
      <c r="D467" s="66"/>
      <c r="G467" s="66"/>
      <c r="V467" s="66"/>
      <c r="W467" s="66"/>
      <c r="X467" s="66"/>
      <c r="AB467" s="66"/>
      <c r="AG467" s="66"/>
    </row>
    <row r="468" spans="4:33">
      <c r="D468" s="66"/>
      <c r="G468" s="66"/>
      <c r="V468" s="66"/>
      <c r="W468" s="66"/>
      <c r="X468" s="66"/>
      <c r="AB468" s="66"/>
      <c r="AG468" s="66"/>
    </row>
    <row r="469" spans="4:33">
      <c r="D469" s="66"/>
      <c r="G469" s="66"/>
      <c r="V469" s="66"/>
      <c r="W469" s="66"/>
      <c r="X469" s="66"/>
      <c r="AB469" s="66"/>
      <c r="AG469" s="66"/>
    </row>
    <row r="470" spans="4:33">
      <c r="D470" s="66"/>
      <c r="G470" s="66"/>
      <c r="V470" s="66"/>
      <c r="W470" s="66"/>
      <c r="X470" s="66"/>
      <c r="AB470" s="66"/>
      <c r="AG470" s="66"/>
    </row>
    <row r="471" spans="4:33">
      <c r="D471" s="66"/>
      <c r="G471" s="66"/>
      <c r="V471" s="66"/>
      <c r="W471" s="66"/>
      <c r="X471" s="66"/>
      <c r="AB471" s="66"/>
      <c r="AG471" s="66"/>
    </row>
    <row r="472" spans="4:33">
      <c r="D472" s="66"/>
      <c r="G472" s="66"/>
      <c r="V472" s="66"/>
      <c r="W472" s="66"/>
      <c r="X472" s="66"/>
      <c r="AB472" s="66"/>
      <c r="AG472" s="66"/>
    </row>
    <row r="473" spans="4:33">
      <c r="D473" s="66"/>
      <c r="G473" s="66"/>
      <c r="V473" s="66"/>
      <c r="W473" s="66"/>
      <c r="X473" s="66"/>
      <c r="AB473" s="66"/>
      <c r="AG473" s="66"/>
    </row>
    <row r="474" spans="4:33">
      <c r="D474" s="66"/>
      <c r="G474" s="66"/>
      <c r="V474" s="66"/>
      <c r="W474" s="66"/>
      <c r="X474" s="66"/>
      <c r="AB474" s="66"/>
      <c r="AG474" s="66"/>
    </row>
    <row r="475" spans="4:33">
      <c r="D475" s="66"/>
      <c r="G475" s="66"/>
      <c r="V475" s="66"/>
      <c r="W475" s="66"/>
      <c r="X475" s="66"/>
      <c r="AB475" s="66"/>
      <c r="AG475" s="66"/>
    </row>
    <row r="476" spans="4:33">
      <c r="D476" s="66"/>
      <c r="G476" s="66"/>
      <c r="V476" s="66"/>
      <c r="W476" s="66"/>
      <c r="X476" s="66"/>
      <c r="AB476" s="66"/>
      <c r="AG476" s="66"/>
    </row>
    <row r="477" spans="4:33">
      <c r="D477" s="66"/>
      <c r="G477" s="66"/>
      <c r="V477" s="66"/>
      <c r="W477" s="66"/>
      <c r="X477" s="66"/>
      <c r="AB477" s="66"/>
      <c r="AG477" s="66"/>
    </row>
    <row r="478" spans="4:33">
      <c r="D478" s="66"/>
      <c r="G478" s="66"/>
      <c r="V478" s="66"/>
      <c r="W478" s="66"/>
      <c r="X478" s="66"/>
      <c r="AB478" s="66"/>
      <c r="AG478" s="66"/>
    </row>
    <row r="479" spans="4:33">
      <c r="D479" s="66"/>
      <c r="G479" s="66"/>
      <c r="V479" s="66"/>
      <c r="W479" s="66"/>
      <c r="X479" s="66"/>
      <c r="AB479" s="66"/>
      <c r="AG479" s="66"/>
    </row>
    <row r="480" spans="4:33">
      <c r="D480" s="66"/>
      <c r="G480" s="66"/>
      <c r="V480" s="66"/>
      <c r="W480" s="66"/>
      <c r="X480" s="66"/>
      <c r="AB480" s="66"/>
      <c r="AG480" s="66"/>
    </row>
    <row r="481" spans="4:33">
      <c r="D481" s="66"/>
      <c r="G481" s="66"/>
      <c r="V481" s="66"/>
      <c r="W481" s="66"/>
      <c r="X481" s="66"/>
      <c r="AB481" s="66"/>
      <c r="AG481" s="66"/>
    </row>
    <row r="482" spans="4:33">
      <c r="D482" s="66"/>
      <c r="G482" s="66"/>
      <c r="V482" s="66"/>
      <c r="W482" s="66"/>
      <c r="X482" s="66"/>
      <c r="AB482" s="66"/>
      <c r="AG482" s="66"/>
    </row>
    <row r="483" spans="4:33">
      <c r="D483" s="66"/>
      <c r="G483" s="66"/>
      <c r="V483" s="66"/>
      <c r="W483" s="66"/>
      <c r="X483" s="66"/>
      <c r="AB483" s="66"/>
      <c r="AG483" s="66"/>
    </row>
    <row r="484" spans="4:33">
      <c r="D484" s="66"/>
      <c r="G484" s="66"/>
      <c r="V484" s="66"/>
      <c r="W484" s="66"/>
      <c r="X484" s="66"/>
      <c r="AB484" s="66"/>
      <c r="AG484" s="66"/>
    </row>
    <row r="485" spans="4:33">
      <c r="D485" s="66"/>
      <c r="G485" s="66"/>
      <c r="V485" s="66"/>
      <c r="W485" s="66"/>
      <c r="X485" s="66"/>
      <c r="AB485" s="66"/>
      <c r="AG485" s="66"/>
    </row>
    <row r="486" spans="4:33">
      <c r="D486" s="66"/>
      <c r="G486" s="66"/>
      <c r="V486" s="66"/>
      <c r="W486" s="66"/>
      <c r="X486" s="66"/>
      <c r="AB486" s="66"/>
      <c r="AG486" s="66"/>
    </row>
    <row r="487" spans="4:33">
      <c r="D487" s="66"/>
      <c r="G487" s="66"/>
      <c r="V487" s="66"/>
      <c r="W487" s="66"/>
      <c r="X487" s="66"/>
      <c r="AB487" s="66"/>
      <c r="AG487" s="66"/>
    </row>
    <row r="488" spans="4:33">
      <c r="D488" s="66"/>
      <c r="G488" s="66"/>
      <c r="V488" s="66"/>
      <c r="W488" s="66"/>
      <c r="X488" s="66"/>
      <c r="AB488" s="66"/>
      <c r="AG488" s="66"/>
    </row>
    <row r="489" spans="4:33">
      <c r="D489" s="66"/>
      <c r="G489" s="66"/>
      <c r="V489" s="66"/>
      <c r="W489" s="66"/>
      <c r="X489" s="66"/>
      <c r="AB489" s="66"/>
      <c r="AG489" s="66"/>
    </row>
    <row r="490" spans="4:33">
      <c r="D490" s="66"/>
      <c r="G490" s="66"/>
      <c r="V490" s="66"/>
      <c r="W490" s="66"/>
      <c r="X490" s="66"/>
      <c r="AB490" s="66"/>
      <c r="AG490" s="66"/>
    </row>
    <row r="491" spans="4:33">
      <c r="D491" s="66"/>
      <c r="G491" s="66"/>
      <c r="V491" s="66"/>
      <c r="W491" s="66"/>
      <c r="X491" s="66"/>
      <c r="AB491" s="66"/>
      <c r="AG491" s="66"/>
    </row>
    <row r="492" spans="4:33">
      <c r="D492" s="66"/>
      <c r="G492" s="66"/>
      <c r="V492" s="66"/>
      <c r="W492" s="66"/>
      <c r="X492" s="66"/>
      <c r="AB492" s="66"/>
      <c r="AG492" s="66"/>
    </row>
    <row r="493" spans="4:33">
      <c r="D493" s="66"/>
      <c r="G493" s="66"/>
      <c r="V493" s="66"/>
      <c r="W493" s="66"/>
      <c r="X493" s="66"/>
      <c r="AB493" s="66"/>
      <c r="AG493" s="66"/>
    </row>
    <row r="494" spans="4:33">
      <c r="D494" s="66"/>
      <c r="G494" s="66"/>
      <c r="V494" s="66"/>
      <c r="W494" s="66"/>
      <c r="X494" s="66"/>
      <c r="AB494" s="66"/>
      <c r="AG494" s="66"/>
    </row>
    <row r="495" spans="4:33">
      <c r="D495" s="66"/>
      <c r="G495" s="66"/>
      <c r="V495" s="66"/>
      <c r="W495" s="66"/>
      <c r="X495" s="66"/>
      <c r="AB495" s="66"/>
      <c r="AG495" s="66"/>
    </row>
    <row r="496" spans="4:33">
      <c r="D496" s="66"/>
      <c r="G496" s="66"/>
      <c r="V496" s="66"/>
      <c r="W496" s="66"/>
      <c r="X496" s="66"/>
      <c r="AB496" s="66"/>
      <c r="AG496" s="66"/>
    </row>
    <row r="497" spans="4:33">
      <c r="D497" s="66"/>
      <c r="G497" s="66"/>
      <c r="V497" s="66"/>
      <c r="W497" s="66"/>
      <c r="X497" s="66"/>
      <c r="AB497" s="66"/>
      <c r="AG497" s="66"/>
    </row>
    <row r="498" spans="4:33">
      <c r="D498" s="66"/>
      <c r="G498" s="66"/>
      <c r="V498" s="66"/>
      <c r="W498" s="66"/>
      <c r="X498" s="66"/>
      <c r="AB498" s="66"/>
      <c r="AG498" s="66"/>
    </row>
    <row r="499" spans="4:33">
      <c r="D499" s="66"/>
      <c r="G499" s="66"/>
      <c r="V499" s="66"/>
      <c r="W499" s="66"/>
      <c r="X499" s="66"/>
      <c r="AB499" s="66"/>
      <c r="AG499" s="66"/>
    </row>
    <row r="500" spans="4:33">
      <c r="D500" s="66"/>
      <c r="G500" s="66"/>
      <c r="V500" s="66"/>
      <c r="W500" s="66"/>
      <c r="X500" s="66"/>
      <c r="AB500" s="66"/>
      <c r="AG500" s="66"/>
    </row>
    <row r="501" spans="4:33">
      <c r="D501" s="66"/>
      <c r="G501" s="66"/>
      <c r="V501" s="66"/>
      <c r="W501" s="66"/>
      <c r="X501" s="66"/>
      <c r="AB501" s="66"/>
      <c r="AG501" s="66"/>
    </row>
    <row r="502" spans="4:33">
      <c r="D502" s="66"/>
      <c r="G502" s="66"/>
      <c r="V502" s="66"/>
      <c r="W502" s="66"/>
      <c r="X502" s="66"/>
      <c r="AB502" s="66"/>
      <c r="AG502" s="66"/>
    </row>
    <row r="503" spans="4:33">
      <c r="D503" s="66"/>
      <c r="G503" s="66"/>
      <c r="V503" s="66"/>
      <c r="W503" s="66"/>
      <c r="X503" s="66"/>
      <c r="AB503" s="66"/>
      <c r="AG503" s="66"/>
    </row>
    <row r="504" spans="4:33">
      <c r="D504" s="66"/>
      <c r="G504" s="66"/>
      <c r="V504" s="66"/>
      <c r="W504" s="66"/>
      <c r="X504" s="66"/>
      <c r="AB504" s="66"/>
      <c r="AG504" s="66"/>
    </row>
    <row r="505" spans="4:33">
      <c r="D505" s="66"/>
      <c r="G505" s="66"/>
      <c r="V505" s="66"/>
      <c r="W505" s="66"/>
      <c r="X505" s="66"/>
      <c r="AB505" s="66"/>
      <c r="AG505" s="66"/>
    </row>
    <row r="506" spans="4:33">
      <c r="D506" s="66"/>
      <c r="G506" s="66"/>
      <c r="V506" s="66"/>
      <c r="W506" s="66"/>
      <c r="X506" s="66"/>
      <c r="AB506" s="66"/>
      <c r="AG506" s="66"/>
    </row>
    <row r="507" spans="4:33">
      <c r="D507" s="66"/>
      <c r="G507" s="66"/>
      <c r="V507" s="66"/>
      <c r="W507" s="66"/>
      <c r="X507" s="66"/>
      <c r="AB507" s="66"/>
      <c r="AG507" s="66"/>
    </row>
    <row r="508" spans="4:33">
      <c r="D508" s="66"/>
      <c r="G508" s="66"/>
      <c r="V508" s="66"/>
      <c r="W508" s="66"/>
      <c r="X508" s="66"/>
      <c r="AB508" s="66"/>
      <c r="AG508" s="66"/>
    </row>
    <row r="509" spans="4:33">
      <c r="D509" s="66"/>
      <c r="G509" s="66"/>
      <c r="V509" s="66"/>
      <c r="W509" s="66"/>
      <c r="X509" s="66"/>
      <c r="AB509" s="66"/>
      <c r="AG509" s="66"/>
    </row>
    <row r="510" spans="4:33">
      <c r="D510" s="66"/>
      <c r="G510" s="66"/>
      <c r="V510" s="66"/>
      <c r="W510" s="66"/>
      <c r="X510" s="66"/>
      <c r="AB510" s="66"/>
      <c r="AG510" s="66"/>
    </row>
    <row r="511" spans="4:33">
      <c r="D511" s="66"/>
      <c r="G511" s="66"/>
      <c r="V511" s="66"/>
      <c r="W511" s="66"/>
      <c r="X511" s="66"/>
      <c r="AB511" s="66"/>
      <c r="AG511" s="66"/>
    </row>
    <row r="512" spans="4:33">
      <c r="D512" s="66"/>
      <c r="G512" s="66"/>
      <c r="V512" s="66"/>
      <c r="W512" s="66"/>
      <c r="X512" s="66"/>
      <c r="AB512" s="66"/>
      <c r="AG512" s="66"/>
    </row>
    <row r="513" spans="4:33">
      <c r="D513" s="66"/>
      <c r="G513" s="66"/>
      <c r="V513" s="66"/>
      <c r="W513" s="66"/>
      <c r="X513" s="66"/>
      <c r="AB513" s="66"/>
      <c r="AG513" s="66"/>
    </row>
    <row r="514" spans="4:33">
      <c r="D514" s="66"/>
      <c r="G514" s="66"/>
      <c r="V514" s="66"/>
      <c r="W514" s="66"/>
      <c r="X514" s="66"/>
      <c r="AB514" s="66"/>
      <c r="AG514" s="66"/>
    </row>
    <row r="515" spans="4:33">
      <c r="D515" s="66"/>
      <c r="G515" s="66"/>
      <c r="V515" s="66"/>
      <c r="W515" s="66"/>
      <c r="X515" s="66"/>
      <c r="AB515" s="66"/>
      <c r="AG515" s="66"/>
    </row>
    <row r="516" spans="4:33">
      <c r="D516" s="66"/>
      <c r="G516" s="66"/>
      <c r="V516" s="66"/>
      <c r="W516" s="66"/>
      <c r="X516" s="66"/>
      <c r="AB516" s="66"/>
      <c r="AG516" s="66"/>
    </row>
    <row r="517" spans="4:33">
      <c r="D517" s="66"/>
      <c r="G517" s="66"/>
      <c r="V517" s="66"/>
      <c r="W517" s="66"/>
      <c r="X517" s="66"/>
      <c r="AB517" s="66"/>
      <c r="AG517" s="66"/>
    </row>
    <row r="518" spans="4:33">
      <c r="D518" s="66"/>
      <c r="G518" s="66"/>
      <c r="V518" s="66"/>
      <c r="W518" s="66"/>
      <c r="X518" s="66"/>
      <c r="AB518" s="66"/>
      <c r="AG518" s="66"/>
    </row>
    <row r="519" spans="4:33">
      <c r="D519" s="66"/>
      <c r="G519" s="66"/>
      <c r="V519" s="66"/>
      <c r="W519" s="66"/>
      <c r="X519" s="66"/>
      <c r="AB519" s="66"/>
      <c r="AG519" s="66"/>
    </row>
    <row r="520" spans="4:33">
      <c r="D520" s="66"/>
      <c r="G520" s="66"/>
      <c r="V520" s="66"/>
      <c r="W520" s="66"/>
      <c r="X520" s="66"/>
      <c r="AB520" s="66"/>
      <c r="AG520" s="66"/>
    </row>
    <row r="521" spans="4:33">
      <c r="D521" s="66"/>
      <c r="G521" s="66"/>
      <c r="V521" s="66"/>
      <c r="W521" s="66"/>
      <c r="X521" s="66"/>
      <c r="AB521" s="66"/>
      <c r="AG521" s="66"/>
    </row>
    <row r="522" spans="4:33">
      <c r="D522" s="66"/>
      <c r="G522" s="66"/>
      <c r="V522" s="66"/>
      <c r="W522" s="66"/>
      <c r="X522" s="66"/>
      <c r="AB522" s="66"/>
      <c r="AG522" s="66"/>
    </row>
    <row r="523" spans="4:33">
      <c r="D523" s="66"/>
      <c r="G523" s="66"/>
      <c r="V523" s="66"/>
      <c r="W523" s="66"/>
      <c r="X523" s="66"/>
      <c r="AB523" s="66"/>
      <c r="AG523" s="66"/>
    </row>
    <row r="524" spans="4:33">
      <c r="D524" s="66"/>
      <c r="G524" s="66"/>
      <c r="V524" s="66"/>
      <c r="W524" s="66"/>
      <c r="X524" s="66"/>
      <c r="AB524" s="66"/>
      <c r="AG524" s="66"/>
    </row>
    <row r="525" spans="4:33">
      <c r="D525" s="66"/>
      <c r="G525" s="66"/>
      <c r="V525" s="66"/>
      <c r="W525" s="66"/>
      <c r="X525" s="66"/>
      <c r="AB525" s="66"/>
      <c r="AG525" s="66"/>
    </row>
    <row r="526" spans="4:33">
      <c r="D526" s="66"/>
      <c r="G526" s="66"/>
      <c r="V526" s="66"/>
      <c r="W526" s="66"/>
      <c r="X526" s="66"/>
      <c r="AB526" s="66"/>
      <c r="AG526" s="66"/>
    </row>
    <row r="527" spans="4:33">
      <c r="D527" s="66"/>
      <c r="G527" s="66"/>
      <c r="V527" s="66"/>
      <c r="W527" s="66"/>
      <c r="X527" s="66"/>
      <c r="AB527" s="66"/>
      <c r="AG527" s="66"/>
    </row>
    <row r="528" spans="4:33">
      <c r="D528" s="66"/>
      <c r="G528" s="66"/>
      <c r="V528" s="66"/>
      <c r="W528" s="66"/>
      <c r="X528" s="66"/>
      <c r="AB528" s="66"/>
      <c r="AG528" s="66"/>
    </row>
    <row r="529" spans="4:33">
      <c r="D529" s="66"/>
      <c r="G529" s="66"/>
      <c r="V529" s="66"/>
      <c r="W529" s="66"/>
      <c r="X529" s="66"/>
      <c r="AB529" s="66"/>
      <c r="AG529" s="66"/>
    </row>
    <row r="530" spans="4:33">
      <c r="D530" s="66"/>
      <c r="G530" s="66"/>
      <c r="V530" s="66"/>
      <c r="W530" s="66"/>
      <c r="X530" s="66"/>
      <c r="AB530" s="66"/>
      <c r="AG530" s="66"/>
    </row>
    <row r="531" spans="4:33">
      <c r="D531" s="66"/>
      <c r="G531" s="66"/>
      <c r="V531" s="66"/>
      <c r="W531" s="66"/>
      <c r="X531" s="66"/>
      <c r="AB531" s="66"/>
      <c r="AG531" s="66"/>
    </row>
    <row r="532" spans="4:33">
      <c r="D532" s="66"/>
      <c r="G532" s="66"/>
      <c r="V532" s="66"/>
      <c r="W532" s="66"/>
      <c r="X532" s="66"/>
      <c r="AB532" s="66"/>
      <c r="AG532" s="66"/>
    </row>
    <row r="533" spans="4:33">
      <c r="D533" s="66"/>
      <c r="G533" s="66"/>
      <c r="V533" s="66"/>
      <c r="W533" s="66"/>
      <c r="X533" s="66"/>
      <c r="AB533" s="66"/>
      <c r="AG533" s="66"/>
    </row>
    <row r="534" spans="4:33">
      <c r="D534" s="66"/>
      <c r="G534" s="66"/>
      <c r="V534" s="66"/>
      <c r="W534" s="66"/>
      <c r="X534" s="66"/>
      <c r="AB534" s="66"/>
      <c r="AG534" s="66"/>
    </row>
    <row r="535" spans="4:33">
      <c r="D535" s="66"/>
      <c r="G535" s="66"/>
      <c r="V535" s="66"/>
      <c r="W535" s="66"/>
      <c r="X535" s="66"/>
      <c r="AB535" s="66"/>
      <c r="AG535" s="66"/>
    </row>
    <row r="536" spans="4:33">
      <c r="D536" s="66"/>
      <c r="G536" s="66"/>
      <c r="V536" s="66"/>
      <c r="W536" s="66"/>
      <c r="X536" s="66"/>
      <c r="AB536" s="66"/>
      <c r="AG536" s="66"/>
    </row>
    <row r="537" spans="4:33">
      <c r="D537" s="66"/>
      <c r="G537" s="66"/>
      <c r="V537" s="66"/>
      <c r="W537" s="66"/>
      <c r="X537" s="66"/>
      <c r="AB537" s="66"/>
      <c r="AG537" s="66"/>
    </row>
    <row r="538" spans="4:33">
      <c r="D538" s="66"/>
      <c r="G538" s="66"/>
      <c r="V538" s="66"/>
      <c r="W538" s="66"/>
      <c r="X538" s="66"/>
      <c r="AB538" s="66"/>
      <c r="AG538" s="66"/>
    </row>
    <row r="539" spans="4:33">
      <c r="D539" s="66"/>
      <c r="G539" s="66"/>
      <c r="V539" s="66"/>
      <c r="W539" s="66"/>
      <c r="X539" s="66"/>
      <c r="AB539" s="66"/>
      <c r="AG539" s="66"/>
    </row>
    <row r="540" spans="4:33">
      <c r="D540" s="66"/>
      <c r="G540" s="66"/>
      <c r="V540" s="66"/>
      <c r="W540" s="66"/>
      <c r="X540" s="66"/>
      <c r="AB540" s="66"/>
      <c r="AG540" s="66"/>
    </row>
    <row r="541" spans="4:33">
      <c r="D541" s="66"/>
      <c r="G541" s="66"/>
      <c r="V541" s="66"/>
      <c r="W541" s="66"/>
      <c r="X541" s="66"/>
      <c r="AB541" s="66"/>
      <c r="AG541" s="66"/>
    </row>
    <row r="542" spans="4:33">
      <c r="D542" s="66"/>
      <c r="G542" s="66"/>
      <c r="V542" s="66"/>
      <c r="W542" s="66"/>
      <c r="X542" s="66"/>
      <c r="AB542" s="66"/>
      <c r="AG542" s="66"/>
    </row>
    <row r="543" spans="4:33">
      <c r="D543" s="66"/>
      <c r="G543" s="66"/>
      <c r="V543" s="66"/>
      <c r="W543" s="66"/>
      <c r="X543" s="66"/>
      <c r="AB543" s="66"/>
      <c r="AG543" s="66"/>
    </row>
    <row r="544" spans="4:33">
      <c r="D544" s="66"/>
      <c r="G544" s="66"/>
      <c r="V544" s="66"/>
      <c r="W544" s="66"/>
      <c r="X544" s="66"/>
      <c r="AB544" s="66"/>
      <c r="AG544" s="66"/>
    </row>
    <row r="545" spans="4:33">
      <c r="D545" s="66"/>
      <c r="G545" s="66"/>
      <c r="V545" s="66"/>
      <c r="W545" s="66"/>
      <c r="X545" s="66"/>
      <c r="AB545" s="66"/>
      <c r="AG545" s="66"/>
    </row>
    <row r="546" spans="4:33">
      <c r="D546" s="66"/>
      <c r="G546" s="66"/>
      <c r="V546" s="66"/>
      <c r="W546" s="66"/>
      <c r="X546" s="66"/>
      <c r="AB546" s="66"/>
      <c r="AG546" s="66"/>
    </row>
    <row r="547" spans="4:33">
      <c r="D547" s="66"/>
      <c r="G547" s="66"/>
      <c r="V547" s="66"/>
      <c r="W547" s="66"/>
      <c r="X547" s="66"/>
      <c r="AB547" s="66"/>
      <c r="AG547" s="66"/>
    </row>
    <row r="548" spans="4:33">
      <c r="D548" s="66"/>
      <c r="G548" s="66"/>
      <c r="V548" s="66"/>
      <c r="W548" s="66"/>
      <c r="X548" s="66"/>
      <c r="AB548" s="66"/>
      <c r="AG548" s="66"/>
    </row>
    <row r="549" spans="4:33">
      <c r="D549" s="66"/>
      <c r="G549" s="66"/>
      <c r="V549" s="66"/>
      <c r="W549" s="66"/>
      <c r="X549" s="66"/>
      <c r="AB549" s="66"/>
      <c r="AG549" s="66"/>
    </row>
    <row r="550" spans="4:33">
      <c r="D550" s="66"/>
      <c r="G550" s="66"/>
      <c r="V550" s="66"/>
      <c r="W550" s="66"/>
      <c r="X550" s="66"/>
      <c r="AB550" s="66"/>
      <c r="AG550" s="66"/>
    </row>
    <row r="551" spans="4:33">
      <c r="D551" s="66"/>
      <c r="G551" s="66"/>
      <c r="V551" s="66"/>
      <c r="W551" s="66"/>
      <c r="X551" s="66"/>
      <c r="AB551" s="66"/>
      <c r="AG551" s="66"/>
    </row>
    <row r="552" spans="4:33">
      <c r="D552" s="66"/>
      <c r="G552" s="66"/>
      <c r="V552" s="66"/>
      <c r="W552" s="66"/>
      <c r="X552" s="66"/>
      <c r="AB552" s="66"/>
      <c r="AG552" s="66"/>
    </row>
    <row r="553" spans="4:33">
      <c r="D553" s="66"/>
      <c r="G553" s="66"/>
      <c r="V553" s="66"/>
      <c r="W553" s="66"/>
      <c r="X553" s="66"/>
      <c r="AB553" s="66"/>
      <c r="AG553" s="66"/>
    </row>
    <row r="554" spans="4:33">
      <c r="D554" s="66"/>
      <c r="G554" s="66"/>
      <c r="V554" s="66"/>
      <c r="W554" s="66"/>
      <c r="X554" s="66"/>
      <c r="AB554" s="66"/>
      <c r="AG554" s="66"/>
    </row>
    <row r="555" spans="4:33">
      <c r="D555" s="66"/>
      <c r="G555" s="66"/>
      <c r="V555" s="66"/>
      <c r="W555" s="66"/>
      <c r="X555" s="66"/>
      <c r="AB555" s="66"/>
      <c r="AG555" s="66"/>
    </row>
    <row r="556" spans="4:33">
      <c r="D556" s="66"/>
      <c r="G556" s="66"/>
      <c r="V556" s="66"/>
      <c r="W556" s="66"/>
      <c r="X556" s="66"/>
      <c r="AB556" s="66"/>
      <c r="AG556" s="66"/>
    </row>
    <row r="557" spans="4:33">
      <c r="D557" s="66"/>
      <c r="G557" s="66"/>
      <c r="V557" s="66"/>
      <c r="W557" s="66"/>
      <c r="X557" s="66"/>
      <c r="AB557" s="66"/>
      <c r="AG557" s="66"/>
    </row>
    <row r="558" spans="4:33">
      <c r="D558" s="66"/>
      <c r="G558" s="66"/>
      <c r="V558" s="66"/>
      <c r="W558" s="66"/>
      <c r="X558" s="66"/>
      <c r="AB558" s="66"/>
      <c r="AG558" s="66"/>
    </row>
    <row r="559" spans="4:33">
      <c r="D559" s="66"/>
      <c r="G559" s="66"/>
      <c r="V559" s="66"/>
      <c r="W559" s="66"/>
      <c r="X559" s="66"/>
      <c r="AB559" s="66"/>
      <c r="AG559" s="66"/>
    </row>
    <row r="560" spans="4:33">
      <c r="D560" s="66"/>
      <c r="G560" s="66"/>
      <c r="V560" s="66"/>
      <c r="W560" s="66"/>
      <c r="X560" s="66"/>
      <c r="AB560" s="66"/>
      <c r="AG560" s="66"/>
    </row>
    <row r="561" spans="4:33">
      <c r="D561" s="66"/>
      <c r="G561" s="66"/>
      <c r="V561" s="66"/>
      <c r="W561" s="66"/>
      <c r="X561" s="66"/>
      <c r="AB561" s="66"/>
      <c r="AG561" s="66"/>
    </row>
    <row r="562" spans="4:33">
      <c r="D562" s="66"/>
      <c r="G562" s="66"/>
      <c r="V562" s="66"/>
      <c r="W562" s="66"/>
      <c r="X562" s="66"/>
      <c r="AB562" s="66"/>
      <c r="AG562" s="66"/>
    </row>
    <row r="563" spans="4:33">
      <c r="D563" s="66"/>
      <c r="G563" s="66"/>
      <c r="V563" s="66"/>
      <c r="W563" s="66"/>
      <c r="X563" s="66"/>
      <c r="AB563" s="66"/>
      <c r="AG563" s="66"/>
    </row>
    <row r="564" spans="4:33">
      <c r="D564" s="66"/>
      <c r="G564" s="66"/>
      <c r="V564" s="66"/>
      <c r="W564" s="66"/>
      <c r="X564" s="66"/>
      <c r="AB564" s="66"/>
      <c r="AG564" s="66"/>
    </row>
    <row r="565" spans="4:33">
      <c r="D565" s="66"/>
      <c r="G565" s="66"/>
      <c r="V565" s="66"/>
      <c r="W565" s="66"/>
      <c r="X565" s="66"/>
      <c r="AB565" s="66"/>
      <c r="AG565" s="66"/>
    </row>
    <row r="566" spans="4:33">
      <c r="D566" s="66"/>
      <c r="G566" s="66"/>
      <c r="V566" s="66"/>
      <c r="W566" s="66"/>
      <c r="X566" s="66"/>
      <c r="AB566" s="66"/>
      <c r="AG566" s="66"/>
    </row>
    <row r="567" spans="4:33">
      <c r="D567" s="66"/>
      <c r="G567" s="66"/>
      <c r="V567" s="66"/>
      <c r="W567" s="66"/>
      <c r="X567" s="66"/>
      <c r="AB567" s="66"/>
      <c r="AG567" s="66"/>
    </row>
    <row r="568" spans="4:33">
      <c r="D568" s="66"/>
      <c r="G568" s="66"/>
      <c r="V568" s="66"/>
      <c r="W568" s="66"/>
      <c r="X568" s="66"/>
      <c r="AB568" s="66"/>
      <c r="AG568" s="66"/>
    </row>
    <row r="569" spans="4:33">
      <c r="D569" s="66"/>
      <c r="G569" s="66"/>
      <c r="V569" s="66"/>
      <c r="W569" s="66"/>
      <c r="X569" s="66"/>
      <c r="AB569" s="66"/>
      <c r="AG569" s="66"/>
    </row>
    <row r="570" spans="4:33">
      <c r="D570" s="66"/>
      <c r="G570" s="66"/>
      <c r="V570" s="66"/>
      <c r="W570" s="66"/>
      <c r="X570" s="66"/>
      <c r="AB570" s="66"/>
      <c r="AG570" s="66"/>
    </row>
    <row r="571" spans="4:33">
      <c r="D571" s="66"/>
      <c r="G571" s="66"/>
      <c r="V571" s="66"/>
      <c r="W571" s="66"/>
      <c r="X571" s="66"/>
      <c r="AB571" s="66"/>
      <c r="AG571" s="66"/>
    </row>
    <row r="572" spans="4:33">
      <c r="D572" s="66"/>
      <c r="G572" s="66"/>
      <c r="V572" s="66"/>
      <c r="W572" s="66"/>
      <c r="X572" s="66"/>
      <c r="AB572" s="66"/>
      <c r="AG572" s="66"/>
    </row>
    <row r="573" spans="4:33">
      <c r="D573" s="66"/>
      <c r="G573" s="66"/>
      <c r="V573" s="66"/>
      <c r="W573" s="66"/>
      <c r="X573" s="66"/>
      <c r="AB573" s="66"/>
      <c r="AG573" s="66"/>
    </row>
    <row r="574" spans="4:33">
      <c r="D574" s="66"/>
      <c r="G574" s="66"/>
      <c r="V574" s="66"/>
      <c r="W574" s="66"/>
      <c r="X574" s="66"/>
      <c r="AB574" s="66"/>
      <c r="AG574" s="66"/>
    </row>
    <row r="575" spans="4:33">
      <c r="D575" s="66"/>
      <c r="G575" s="66"/>
      <c r="V575" s="66"/>
      <c r="W575" s="66"/>
      <c r="X575" s="66"/>
      <c r="AB575" s="66"/>
      <c r="AG575" s="66"/>
    </row>
    <row r="576" spans="4:33">
      <c r="D576" s="66"/>
      <c r="G576" s="66"/>
      <c r="V576" s="66"/>
      <c r="W576" s="66"/>
      <c r="X576" s="66"/>
      <c r="AB576" s="66"/>
      <c r="AG576" s="66"/>
    </row>
    <row r="577" spans="4:33">
      <c r="D577" s="66"/>
      <c r="G577" s="66"/>
      <c r="V577" s="66"/>
      <c r="W577" s="66"/>
      <c r="X577" s="66"/>
      <c r="AB577" s="66"/>
      <c r="AG577" s="66"/>
    </row>
    <row r="578" spans="4:33">
      <c r="D578" s="66"/>
      <c r="G578" s="66"/>
      <c r="V578" s="66"/>
      <c r="W578" s="66"/>
      <c r="X578" s="66"/>
      <c r="AB578" s="66"/>
      <c r="AG578" s="66"/>
    </row>
    <row r="579" spans="4:33">
      <c r="D579" s="66"/>
      <c r="G579" s="66"/>
      <c r="V579" s="66"/>
      <c r="W579" s="66"/>
      <c r="X579" s="66"/>
      <c r="AB579" s="66"/>
      <c r="AG579" s="66"/>
    </row>
    <row r="580" spans="4:33">
      <c r="D580" s="66"/>
      <c r="G580" s="66"/>
      <c r="V580" s="66"/>
      <c r="W580" s="66"/>
      <c r="X580" s="66"/>
      <c r="AB580" s="66"/>
      <c r="AG580" s="66"/>
    </row>
    <row r="581" spans="4:33">
      <c r="D581" s="66"/>
      <c r="G581" s="66"/>
      <c r="V581" s="66"/>
      <c r="W581" s="66"/>
      <c r="X581" s="66"/>
      <c r="AB581" s="66"/>
      <c r="AG581" s="66"/>
    </row>
    <row r="582" spans="4:33">
      <c r="D582" s="66"/>
      <c r="G582" s="66"/>
      <c r="V582" s="66"/>
      <c r="W582" s="66"/>
      <c r="X582" s="66"/>
      <c r="AB582" s="66"/>
      <c r="AG582" s="66"/>
    </row>
    <row r="583" spans="4:33">
      <c r="D583" s="66"/>
      <c r="G583" s="66"/>
      <c r="V583" s="66"/>
      <c r="W583" s="66"/>
      <c r="X583" s="66"/>
      <c r="AB583" s="66"/>
      <c r="AG583" s="66"/>
    </row>
    <row r="584" spans="4:33">
      <c r="D584" s="66"/>
      <c r="G584" s="66"/>
      <c r="V584" s="66"/>
      <c r="W584" s="66"/>
      <c r="X584" s="66"/>
      <c r="AB584" s="66"/>
      <c r="AG584" s="66"/>
    </row>
    <row r="585" spans="4:33">
      <c r="D585" s="66"/>
      <c r="G585" s="66"/>
      <c r="V585" s="66"/>
      <c r="W585" s="66"/>
      <c r="X585" s="66"/>
      <c r="AB585" s="66"/>
      <c r="AG585" s="66"/>
    </row>
    <row r="586" spans="4:33">
      <c r="D586" s="66"/>
      <c r="G586" s="66"/>
      <c r="V586" s="66"/>
      <c r="W586" s="66"/>
      <c r="X586" s="66"/>
      <c r="AB586" s="66"/>
      <c r="AG586" s="66"/>
    </row>
    <row r="587" spans="4:33">
      <c r="D587" s="66"/>
      <c r="G587" s="66"/>
      <c r="V587" s="66"/>
      <c r="W587" s="66"/>
      <c r="X587" s="66"/>
      <c r="AB587" s="66"/>
      <c r="AG587" s="66"/>
    </row>
    <row r="588" spans="4:33">
      <c r="D588" s="66"/>
      <c r="G588" s="66"/>
      <c r="V588" s="66"/>
      <c r="W588" s="66"/>
      <c r="X588" s="66"/>
      <c r="AB588" s="66"/>
      <c r="AG588" s="66"/>
    </row>
    <row r="589" spans="4:33">
      <c r="D589" s="66"/>
      <c r="G589" s="66"/>
      <c r="V589" s="66"/>
      <c r="W589" s="66"/>
      <c r="X589" s="66"/>
      <c r="AB589" s="66"/>
      <c r="AG589" s="66"/>
    </row>
    <row r="590" spans="4:33">
      <c r="D590" s="66"/>
      <c r="G590" s="66"/>
      <c r="V590" s="66"/>
      <c r="W590" s="66"/>
      <c r="X590" s="66"/>
      <c r="AB590" s="66"/>
      <c r="AG590" s="66"/>
    </row>
    <row r="591" spans="4:33">
      <c r="D591" s="66"/>
      <c r="G591" s="66"/>
      <c r="V591" s="66"/>
      <c r="W591" s="66"/>
      <c r="X591" s="66"/>
      <c r="AB591" s="66"/>
      <c r="AG591" s="66"/>
    </row>
    <row r="592" spans="4:33">
      <c r="D592" s="66"/>
      <c r="G592" s="66"/>
      <c r="V592" s="66"/>
      <c r="W592" s="66"/>
      <c r="X592" s="66"/>
      <c r="AB592" s="66"/>
      <c r="AG592" s="66"/>
    </row>
    <row r="593" spans="4:33">
      <c r="D593" s="66"/>
      <c r="G593" s="66"/>
      <c r="V593" s="66"/>
      <c r="W593" s="66"/>
      <c r="X593" s="66"/>
      <c r="AB593" s="66"/>
      <c r="AG593" s="66"/>
    </row>
    <row r="594" spans="4:33">
      <c r="D594" s="66"/>
      <c r="G594" s="66"/>
      <c r="V594" s="66"/>
      <c r="W594" s="66"/>
      <c r="X594" s="66"/>
      <c r="AB594" s="66"/>
      <c r="AG594" s="66"/>
    </row>
    <row r="595" spans="4:33">
      <c r="D595" s="66"/>
      <c r="G595" s="66"/>
      <c r="V595" s="66"/>
      <c r="W595" s="66"/>
      <c r="X595" s="66"/>
      <c r="AB595" s="66"/>
      <c r="AG595" s="66"/>
    </row>
    <row r="596" spans="4:33">
      <c r="D596" s="66"/>
      <c r="G596" s="66"/>
      <c r="V596" s="66"/>
      <c r="W596" s="66"/>
      <c r="X596" s="66"/>
      <c r="AB596" s="66"/>
      <c r="AG596" s="66"/>
    </row>
    <row r="597" spans="4:33">
      <c r="D597" s="66"/>
      <c r="G597" s="66"/>
      <c r="V597" s="66"/>
      <c r="W597" s="66"/>
      <c r="X597" s="66"/>
      <c r="AB597" s="66"/>
      <c r="AG597" s="66"/>
    </row>
    <row r="598" spans="4:33">
      <c r="D598" s="66"/>
      <c r="G598" s="66"/>
      <c r="V598" s="66"/>
      <c r="W598" s="66"/>
      <c r="X598" s="66"/>
      <c r="AB598" s="66"/>
      <c r="AG598" s="66"/>
    </row>
    <row r="599" spans="4:33">
      <c r="D599" s="66"/>
      <c r="G599" s="66"/>
      <c r="V599" s="66"/>
      <c r="W599" s="66"/>
      <c r="X599" s="66"/>
      <c r="AB599" s="66"/>
      <c r="AG599" s="66"/>
    </row>
    <row r="600" spans="4:33">
      <c r="D600" s="66"/>
      <c r="G600" s="66"/>
      <c r="V600" s="66"/>
      <c r="W600" s="66"/>
      <c r="X600" s="66"/>
      <c r="AB600" s="66"/>
      <c r="AG600" s="66"/>
    </row>
    <row r="601" spans="4:33">
      <c r="D601" s="66"/>
      <c r="G601" s="66"/>
      <c r="V601" s="66"/>
      <c r="W601" s="66"/>
      <c r="X601" s="66"/>
      <c r="AB601" s="66"/>
      <c r="AG601" s="66"/>
    </row>
    <row r="602" spans="4:33">
      <c r="D602" s="66"/>
      <c r="G602" s="66"/>
      <c r="V602" s="66"/>
      <c r="W602" s="66"/>
      <c r="X602" s="66"/>
      <c r="AB602" s="66"/>
      <c r="AG602" s="66"/>
    </row>
    <row r="603" spans="4:33">
      <c r="D603" s="66"/>
      <c r="G603" s="66"/>
      <c r="V603" s="66"/>
      <c r="W603" s="66"/>
      <c r="X603" s="66"/>
      <c r="AB603" s="66"/>
      <c r="AG603" s="66"/>
    </row>
    <row r="604" spans="4:33">
      <c r="D604" s="66"/>
      <c r="G604" s="66"/>
      <c r="V604" s="66"/>
      <c r="W604" s="66"/>
      <c r="X604" s="66"/>
      <c r="AB604" s="66"/>
      <c r="AG604" s="66"/>
    </row>
    <row r="605" spans="4:33">
      <c r="D605" s="66"/>
      <c r="G605" s="66"/>
      <c r="V605" s="66"/>
      <c r="W605" s="66"/>
      <c r="X605" s="66"/>
      <c r="AB605" s="66"/>
      <c r="AG605" s="66"/>
    </row>
    <row r="606" spans="4:33">
      <c r="D606" s="66"/>
      <c r="G606" s="66"/>
      <c r="V606" s="66"/>
      <c r="W606" s="66"/>
      <c r="X606" s="66"/>
      <c r="AB606" s="66"/>
      <c r="AG606" s="66"/>
    </row>
    <row r="607" spans="4:33">
      <c r="D607" s="66"/>
      <c r="G607" s="66"/>
      <c r="V607" s="66"/>
      <c r="W607" s="66"/>
      <c r="X607" s="66"/>
      <c r="AB607" s="66"/>
      <c r="AG607" s="66"/>
    </row>
    <row r="608" spans="4:33">
      <c r="D608" s="66"/>
      <c r="G608" s="66"/>
      <c r="V608" s="66"/>
      <c r="W608" s="66"/>
      <c r="X608" s="66"/>
      <c r="AB608" s="66"/>
      <c r="AG608" s="66"/>
    </row>
    <row r="609" spans="4:33">
      <c r="D609" s="66"/>
      <c r="G609" s="66"/>
      <c r="V609" s="66"/>
      <c r="W609" s="66"/>
      <c r="X609" s="66"/>
      <c r="AB609" s="66"/>
      <c r="AG609" s="66"/>
    </row>
    <row r="610" spans="4:33">
      <c r="D610" s="66"/>
      <c r="G610" s="66"/>
      <c r="V610" s="66"/>
      <c r="W610" s="66"/>
      <c r="X610" s="66"/>
      <c r="AB610" s="66"/>
      <c r="AG610" s="66"/>
    </row>
    <row r="611" spans="4:33">
      <c r="D611" s="66"/>
      <c r="G611" s="66"/>
      <c r="V611" s="66"/>
      <c r="W611" s="66"/>
      <c r="X611" s="66"/>
      <c r="AB611" s="66"/>
      <c r="AG611" s="66"/>
    </row>
    <row r="612" spans="4:33">
      <c r="D612" s="66"/>
      <c r="G612" s="66"/>
      <c r="V612" s="66"/>
      <c r="W612" s="66"/>
      <c r="X612" s="66"/>
      <c r="AB612" s="66"/>
      <c r="AG612" s="66"/>
    </row>
    <row r="613" spans="4:33">
      <c r="D613" s="66"/>
      <c r="G613" s="66"/>
      <c r="V613" s="66"/>
      <c r="W613" s="66"/>
      <c r="X613" s="66"/>
      <c r="AB613" s="66"/>
      <c r="AG613" s="66"/>
    </row>
    <row r="614" spans="4:33">
      <c r="D614" s="66"/>
      <c r="G614" s="66"/>
      <c r="V614" s="66"/>
      <c r="W614" s="66"/>
      <c r="X614" s="66"/>
      <c r="AB614" s="66"/>
      <c r="AG614" s="66"/>
    </row>
    <row r="615" spans="4:33">
      <c r="D615" s="66"/>
      <c r="G615" s="66"/>
      <c r="V615" s="66"/>
      <c r="W615" s="66"/>
      <c r="X615" s="66"/>
      <c r="AB615" s="66"/>
      <c r="AG615" s="66"/>
    </row>
    <row r="616" spans="4:33">
      <c r="D616" s="66"/>
      <c r="G616" s="66"/>
      <c r="V616" s="66"/>
      <c r="W616" s="66"/>
      <c r="X616" s="66"/>
      <c r="AB616" s="66"/>
      <c r="AG616" s="66"/>
    </row>
    <row r="617" spans="4:33">
      <c r="D617" s="66"/>
      <c r="G617" s="66"/>
      <c r="V617" s="66"/>
      <c r="W617" s="66"/>
      <c r="X617" s="66"/>
      <c r="AB617" s="66"/>
      <c r="AG617" s="66"/>
    </row>
    <row r="618" spans="4:33">
      <c r="D618" s="66"/>
      <c r="G618" s="66"/>
      <c r="V618" s="66"/>
      <c r="W618" s="66"/>
      <c r="X618" s="66"/>
      <c r="AB618" s="66"/>
      <c r="AG618" s="66"/>
    </row>
    <row r="619" spans="4:33">
      <c r="D619" s="66"/>
      <c r="G619" s="66"/>
      <c r="V619" s="66"/>
      <c r="W619" s="66"/>
      <c r="X619" s="66"/>
      <c r="AB619" s="66"/>
      <c r="AG619" s="66"/>
    </row>
    <row r="620" spans="4:33">
      <c r="D620" s="66"/>
      <c r="G620" s="66"/>
      <c r="V620" s="66"/>
      <c r="W620" s="66"/>
      <c r="X620" s="66"/>
      <c r="AB620" s="66"/>
      <c r="AG620" s="66"/>
    </row>
    <row r="621" spans="4:33">
      <c r="D621" s="66"/>
      <c r="G621" s="66"/>
      <c r="V621" s="66"/>
      <c r="W621" s="66"/>
      <c r="X621" s="66"/>
      <c r="AB621" s="66"/>
      <c r="AG621" s="66"/>
    </row>
    <row r="622" spans="4:33">
      <c r="D622" s="66"/>
      <c r="G622" s="66"/>
      <c r="V622" s="66"/>
      <c r="W622" s="66"/>
      <c r="X622" s="66"/>
      <c r="AB622" s="66"/>
      <c r="AG622" s="66"/>
    </row>
    <row r="623" spans="4:33">
      <c r="D623" s="66"/>
      <c r="G623" s="66"/>
      <c r="V623" s="66"/>
      <c r="W623" s="66"/>
      <c r="X623" s="66"/>
      <c r="AB623" s="66"/>
      <c r="AG623" s="66"/>
    </row>
    <row r="624" spans="4:33">
      <c r="D624" s="66"/>
      <c r="G624" s="66"/>
      <c r="V624" s="66"/>
      <c r="W624" s="66"/>
      <c r="X624" s="66"/>
      <c r="AB624" s="66"/>
      <c r="AG624" s="66"/>
    </row>
    <row r="625" spans="4:33">
      <c r="D625" s="66"/>
      <c r="G625" s="66"/>
      <c r="V625" s="66"/>
      <c r="W625" s="66"/>
      <c r="X625" s="66"/>
      <c r="AB625" s="66"/>
      <c r="AG625" s="66"/>
    </row>
    <row r="626" spans="4:33">
      <c r="D626" s="66"/>
      <c r="G626" s="66"/>
      <c r="V626" s="66"/>
      <c r="W626" s="66"/>
      <c r="X626" s="66"/>
      <c r="AB626" s="66"/>
      <c r="AG626" s="66"/>
    </row>
    <row r="627" spans="4:33">
      <c r="D627" s="66"/>
      <c r="G627" s="66"/>
      <c r="V627" s="66"/>
      <c r="W627" s="66"/>
      <c r="X627" s="66"/>
      <c r="AB627" s="66"/>
      <c r="AG627" s="66"/>
    </row>
    <row r="628" spans="4:33">
      <c r="D628" s="66"/>
      <c r="G628" s="66"/>
      <c r="V628" s="66"/>
      <c r="W628" s="66"/>
      <c r="X628" s="66"/>
      <c r="AB628" s="66"/>
      <c r="AG628" s="66"/>
    </row>
    <row r="629" spans="4:33">
      <c r="D629" s="66"/>
      <c r="G629" s="66"/>
      <c r="V629" s="66"/>
      <c r="W629" s="66"/>
      <c r="X629" s="66"/>
      <c r="AB629" s="66"/>
      <c r="AG629" s="66"/>
    </row>
    <row r="630" spans="4:33">
      <c r="D630" s="66"/>
      <c r="G630" s="66"/>
      <c r="V630" s="66"/>
      <c r="W630" s="66"/>
      <c r="X630" s="66"/>
      <c r="AB630" s="66"/>
      <c r="AG630" s="66"/>
    </row>
    <row r="631" spans="4:33">
      <c r="D631" s="66"/>
      <c r="G631" s="66"/>
      <c r="V631" s="66"/>
      <c r="W631" s="66"/>
      <c r="X631" s="66"/>
      <c r="AB631" s="66"/>
      <c r="AG631" s="66"/>
    </row>
    <row r="632" spans="4:33">
      <c r="D632" s="66"/>
      <c r="G632" s="66"/>
      <c r="V632" s="66"/>
      <c r="W632" s="66"/>
      <c r="X632" s="66"/>
      <c r="AB632" s="66"/>
      <c r="AG632" s="66"/>
    </row>
    <row r="633" spans="4:33">
      <c r="D633" s="66"/>
      <c r="G633" s="66"/>
      <c r="V633" s="66"/>
      <c r="W633" s="66"/>
      <c r="X633" s="66"/>
      <c r="AB633" s="66"/>
      <c r="AG633" s="66"/>
    </row>
    <row r="634" spans="4:33">
      <c r="D634" s="66"/>
      <c r="G634" s="66"/>
      <c r="V634" s="66"/>
      <c r="W634" s="66"/>
      <c r="X634" s="66"/>
      <c r="AB634" s="66"/>
      <c r="AG634" s="66"/>
    </row>
    <row r="635" spans="4:33">
      <c r="D635" s="66"/>
      <c r="G635" s="66"/>
      <c r="V635" s="66"/>
      <c r="W635" s="66"/>
      <c r="X635" s="66"/>
      <c r="AB635" s="66"/>
      <c r="AG635" s="66"/>
    </row>
    <row r="636" spans="4:33">
      <c r="D636" s="66"/>
      <c r="G636" s="66"/>
      <c r="V636" s="66"/>
      <c r="W636" s="66"/>
      <c r="X636" s="66"/>
      <c r="AB636" s="66"/>
      <c r="AG636" s="66"/>
    </row>
    <row r="637" spans="4:33">
      <c r="D637" s="66"/>
      <c r="G637" s="66"/>
      <c r="V637" s="66"/>
      <c r="W637" s="66"/>
      <c r="X637" s="66"/>
      <c r="AB637" s="66"/>
      <c r="AG637" s="66"/>
    </row>
    <row r="638" spans="4:33">
      <c r="D638" s="66"/>
      <c r="G638" s="66"/>
      <c r="V638" s="66"/>
      <c r="W638" s="66"/>
      <c r="X638" s="66"/>
      <c r="AB638" s="66"/>
      <c r="AG638" s="66"/>
    </row>
    <row r="639" spans="4:33">
      <c r="D639" s="66"/>
      <c r="G639" s="66"/>
      <c r="V639" s="66"/>
      <c r="W639" s="66"/>
      <c r="X639" s="66"/>
      <c r="AB639" s="66"/>
      <c r="AG639" s="66"/>
    </row>
    <row r="640" spans="4:33">
      <c r="D640" s="66"/>
      <c r="G640" s="66"/>
      <c r="V640" s="66"/>
      <c r="W640" s="66"/>
      <c r="X640" s="66"/>
      <c r="AB640" s="66"/>
      <c r="AG640" s="66"/>
    </row>
    <row r="641" spans="4:33">
      <c r="D641" s="66"/>
      <c r="G641" s="66"/>
      <c r="V641" s="66"/>
      <c r="W641" s="66"/>
      <c r="X641" s="66"/>
      <c r="AB641" s="66"/>
      <c r="AG641" s="66"/>
    </row>
    <row r="642" spans="4:33">
      <c r="D642" s="66"/>
      <c r="G642" s="66"/>
      <c r="V642" s="66"/>
      <c r="W642" s="66"/>
      <c r="X642" s="66"/>
      <c r="AB642" s="66"/>
      <c r="AG642" s="66"/>
    </row>
    <row r="643" spans="4:33">
      <c r="D643" s="66"/>
      <c r="G643" s="66"/>
      <c r="V643" s="66"/>
      <c r="W643" s="66"/>
      <c r="X643" s="66"/>
      <c r="AB643" s="66"/>
      <c r="AG643" s="66"/>
    </row>
    <row r="644" spans="4:33">
      <c r="D644" s="66"/>
      <c r="G644" s="66"/>
      <c r="V644" s="66"/>
      <c r="W644" s="66"/>
      <c r="X644" s="66"/>
      <c r="AB644" s="66"/>
      <c r="AG644" s="66"/>
    </row>
    <row r="645" spans="4:33">
      <c r="D645" s="66"/>
      <c r="G645" s="66"/>
      <c r="V645" s="66"/>
      <c r="W645" s="66"/>
      <c r="X645" s="66"/>
      <c r="AB645" s="66"/>
      <c r="AG645" s="66"/>
    </row>
    <row r="646" spans="4:33">
      <c r="D646" s="66"/>
      <c r="G646" s="66"/>
      <c r="V646" s="66"/>
      <c r="W646" s="66"/>
      <c r="X646" s="66"/>
      <c r="AB646" s="66"/>
      <c r="AG646" s="66"/>
    </row>
    <row r="647" spans="4:33">
      <c r="D647" s="66"/>
      <c r="G647" s="66"/>
      <c r="V647" s="66"/>
      <c r="W647" s="66"/>
      <c r="X647" s="66"/>
      <c r="AB647" s="66"/>
      <c r="AG647" s="66"/>
    </row>
    <row r="648" spans="4:33">
      <c r="D648" s="66"/>
      <c r="G648" s="66"/>
      <c r="V648" s="66"/>
      <c r="W648" s="66"/>
      <c r="X648" s="66"/>
      <c r="AB648" s="66"/>
      <c r="AG648" s="66"/>
    </row>
    <row r="649" spans="4:33">
      <c r="D649" s="66"/>
      <c r="G649" s="66"/>
      <c r="V649" s="66"/>
      <c r="W649" s="66"/>
      <c r="X649" s="66"/>
      <c r="AB649" s="66"/>
      <c r="AG649" s="66"/>
    </row>
    <row r="650" spans="4:33">
      <c r="D650" s="66"/>
      <c r="G650" s="66"/>
      <c r="V650" s="66"/>
      <c r="W650" s="66"/>
      <c r="X650" s="66"/>
      <c r="AB650" s="66"/>
      <c r="AG650" s="66"/>
    </row>
    <row r="651" spans="4:33">
      <c r="D651" s="66"/>
      <c r="G651" s="66"/>
      <c r="V651" s="66"/>
      <c r="W651" s="66"/>
      <c r="X651" s="66"/>
      <c r="AB651" s="66"/>
      <c r="AG651" s="66"/>
    </row>
    <row r="652" spans="4:33">
      <c r="D652" s="66"/>
      <c r="G652" s="66"/>
      <c r="V652" s="66"/>
      <c r="W652" s="66"/>
      <c r="X652" s="66"/>
      <c r="AB652" s="66"/>
      <c r="AG652" s="66"/>
    </row>
    <row r="653" spans="4:33">
      <c r="D653" s="66"/>
      <c r="G653" s="66"/>
      <c r="V653" s="66"/>
      <c r="W653" s="66"/>
      <c r="X653" s="66"/>
      <c r="AB653" s="66"/>
      <c r="AG653" s="66"/>
    </row>
    <row r="654" spans="4:33">
      <c r="D654" s="66"/>
      <c r="G654" s="66"/>
      <c r="V654" s="66"/>
      <c r="W654" s="66"/>
      <c r="X654" s="66"/>
      <c r="AB654" s="66"/>
      <c r="AG654" s="66"/>
    </row>
    <row r="655" spans="4:33">
      <c r="D655" s="66"/>
      <c r="G655" s="66"/>
      <c r="V655" s="66"/>
      <c r="W655" s="66"/>
      <c r="X655" s="66"/>
      <c r="AB655" s="66"/>
      <c r="AG655" s="66"/>
    </row>
    <row r="656" spans="4:33">
      <c r="D656" s="66"/>
      <c r="G656" s="66"/>
      <c r="V656" s="66"/>
      <c r="W656" s="66"/>
      <c r="X656" s="66"/>
      <c r="AB656" s="66"/>
      <c r="AG656" s="66"/>
    </row>
    <row r="657" spans="4:33">
      <c r="D657" s="66"/>
      <c r="G657" s="66"/>
      <c r="V657" s="66"/>
      <c r="W657" s="66"/>
      <c r="X657" s="66"/>
      <c r="AB657" s="66"/>
      <c r="AG657" s="66"/>
    </row>
    <row r="658" spans="4:33">
      <c r="D658" s="66"/>
      <c r="G658" s="66"/>
      <c r="V658" s="66"/>
      <c r="W658" s="66"/>
      <c r="X658" s="66"/>
      <c r="AB658" s="66"/>
      <c r="AG658" s="66"/>
    </row>
    <row r="659" spans="4:33">
      <c r="D659" s="66"/>
      <c r="G659" s="66"/>
      <c r="V659" s="66"/>
      <c r="W659" s="66"/>
      <c r="X659" s="66"/>
      <c r="AB659" s="66"/>
      <c r="AG659" s="66"/>
    </row>
    <row r="660" spans="4:33">
      <c r="D660" s="66"/>
      <c r="G660" s="66"/>
      <c r="V660" s="66"/>
      <c r="W660" s="66"/>
      <c r="X660" s="66"/>
      <c r="AB660" s="66"/>
      <c r="AG660" s="66"/>
    </row>
    <row r="661" spans="4:33">
      <c r="D661" s="66"/>
      <c r="G661" s="66"/>
      <c r="V661" s="66"/>
      <c r="W661" s="66"/>
      <c r="X661" s="66"/>
      <c r="AB661" s="66"/>
      <c r="AG661" s="66"/>
    </row>
    <row r="662" spans="4:33">
      <c r="D662" s="66"/>
      <c r="G662" s="66"/>
      <c r="V662" s="66"/>
      <c r="W662" s="66"/>
      <c r="X662" s="66"/>
      <c r="AB662" s="66"/>
      <c r="AG662" s="66"/>
    </row>
    <row r="663" spans="4:33">
      <c r="D663" s="66"/>
      <c r="G663" s="66"/>
      <c r="V663" s="66"/>
      <c r="W663" s="66"/>
      <c r="X663" s="66"/>
      <c r="AB663" s="66"/>
      <c r="AG663" s="66"/>
    </row>
    <row r="664" spans="4:33">
      <c r="D664" s="66"/>
      <c r="G664" s="66"/>
      <c r="V664" s="66"/>
      <c r="W664" s="66"/>
      <c r="X664" s="66"/>
      <c r="AB664" s="66"/>
      <c r="AG664" s="66"/>
    </row>
    <row r="665" spans="4:33">
      <c r="D665" s="66"/>
      <c r="G665" s="66"/>
      <c r="V665" s="66"/>
      <c r="W665" s="66"/>
      <c r="X665" s="66"/>
      <c r="AB665" s="66"/>
      <c r="AG665" s="66"/>
    </row>
    <row r="666" spans="4:33">
      <c r="D666" s="66"/>
      <c r="G666" s="66"/>
      <c r="V666" s="66"/>
      <c r="W666" s="66"/>
      <c r="X666" s="66"/>
      <c r="AB666" s="66"/>
      <c r="AG666" s="66"/>
    </row>
    <row r="667" spans="4:33">
      <c r="D667" s="66"/>
      <c r="G667" s="66"/>
      <c r="V667" s="66"/>
      <c r="W667" s="66"/>
      <c r="X667" s="66"/>
      <c r="AB667" s="66"/>
      <c r="AG667" s="66"/>
    </row>
    <row r="668" spans="4:33">
      <c r="D668" s="66"/>
      <c r="G668" s="66"/>
      <c r="V668" s="66"/>
      <c r="W668" s="66"/>
      <c r="X668" s="66"/>
      <c r="AB668" s="66"/>
      <c r="AG668" s="66"/>
    </row>
    <row r="669" spans="4:33">
      <c r="D669" s="66"/>
      <c r="G669" s="66"/>
      <c r="V669" s="66"/>
      <c r="W669" s="66"/>
      <c r="X669" s="66"/>
      <c r="AB669" s="66"/>
      <c r="AG669" s="66"/>
    </row>
    <row r="670" spans="4:33">
      <c r="D670" s="66"/>
      <c r="G670" s="66"/>
      <c r="V670" s="66"/>
      <c r="W670" s="66"/>
      <c r="X670" s="66"/>
      <c r="AB670" s="66"/>
      <c r="AG670" s="66"/>
    </row>
    <row r="671" spans="4:33">
      <c r="D671" s="66"/>
      <c r="G671" s="66"/>
      <c r="V671" s="66"/>
      <c r="W671" s="66"/>
      <c r="X671" s="66"/>
      <c r="AB671" s="66"/>
      <c r="AG671" s="66"/>
    </row>
    <row r="672" spans="4:33">
      <c r="D672" s="66"/>
      <c r="G672" s="66"/>
      <c r="V672" s="66"/>
      <c r="W672" s="66"/>
      <c r="X672" s="66"/>
      <c r="AB672" s="66"/>
      <c r="AG672" s="66"/>
    </row>
    <row r="673" spans="4:33">
      <c r="D673" s="66"/>
      <c r="G673" s="66"/>
      <c r="V673" s="66"/>
      <c r="W673" s="66"/>
      <c r="X673" s="66"/>
      <c r="AB673" s="66"/>
      <c r="AG673" s="66"/>
    </row>
    <row r="674" spans="4:33">
      <c r="D674" s="66"/>
      <c r="G674" s="66"/>
      <c r="V674" s="66"/>
      <c r="W674" s="66"/>
      <c r="X674" s="66"/>
      <c r="AB674" s="66"/>
      <c r="AG674" s="66"/>
    </row>
    <row r="675" spans="4:33">
      <c r="D675" s="66"/>
      <c r="G675" s="66"/>
      <c r="V675" s="66"/>
      <c r="W675" s="66"/>
      <c r="X675" s="66"/>
      <c r="AB675" s="66"/>
      <c r="AG675" s="66"/>
    </row>
    <row r="676" spans="4:33">
      <c r="D676" s="66"/>
      <c r="G676" s="66"/>
      <c r="V676" s="66"/>
      <c r="W676" s="66"/>
      <c r="X676" s="66"/>
      <c r="AB676" s="66"/>
      <c r="AG676" s="66"/>
    </row>
    <row r="677" spans="4:33">
      <c r="D677" s="66"/>
      <c r="G677" s="66"/>
      <c r="V677" s="66"/>
      <c r="W677" s="66"/>
      <c r="X677" s="66"/>
      <c r="AB677" s="66"/>
      <c r="AG677" s="66"/>
    </row>
    <row r="678" spans="4:33">
      <c r="D678" s="66"/>
      <c r="G678" s="66"/>
      <c r="V678" s="66"/>
      <c r="W678" s="66"/>
      <c r="X678" s="66"/>
      <c r="AB678" s="66"/>
      <c r="AG678" s="66"/>
    </row>
    <row r="679" spans="4:33">
      <c r="D679" s="66"/>
      <c r="G679" s="66"/>
      <c r="V679" s="66"/>
      <c r="W679" s="66"/>
      <c r="X679" s="66"/>
      <c r="AB679" s="66"/>
      <c r="AG679" s="66"/>
    </row>
    <row r="680" spans="4:33">
      <c r="D680" s="66"/>
      <c r="G680" s="66"/>
      <c r="V680" s="66"/>
      <c r="W680" s="66"/>
      <c r="X680" s="66"/>
      <c r="AB680" s="66"/>
      <c r="AG680" s="66"/>
    </row>
    <row r="681" spans="4:33">
      <c r="D681" s="66"/>
      <c r="G681" s="66"/>
      <c r="V681" s="66"/>
      <c r="W681" s="66"/>
      <c r="X681" s="66"/>
      <c r="AB681" s="66"/>
      <c r="AG681" s="66"/>
    </row>
    <row r="682" spans="4:33">
      <c r="D682" s="66"/>
      <c r="G682" s="66"/>
      <c r="V682" s="66"/>
      <c r="W682" s="66"/>
      <c r="X682" s="66"/>
      <c r="AB682" s="66"/>
      <c r="AG682" s="66"/>
    </row>
    <row r="683" spans="4:33">
      <c r="D683" s="66"/>
      <c r="G683" s="66"/>
      <c r="V683" s="66"/>
      <c r="W683" s="66"/>
      <c r="X683" s="66"/>
      <c r="AB683" s="66"/>
      <c r="AG683" s="66"/>
    </row>
    <row r="684" spans="4:33">
      <c r="D684" s="66"/>
      <c r="G684" s="66"/>
      <c r="V684" s="66"/>
      <c r="W684" s="66"/>
      <c r="X684" s="66"/>
      <c r="AB684" s="66"/>
      <c r="AG684" s="66"/>
    </row>
    <row r="685" spans="4:33">
      <c r="D685" s="66"/>
      <c r="G685" s="66"/>
      <c r="V685" s="66"/>
      <c r="W685" s="66"/>
      <c r="X685" s="66"/>
      <c r="AB685" s="66"/>
      <c r="AG685" s="66"/>
    </row>
    <row r="686" spans="4:33">
      <c r="D686" s="66"/>
      <c r="G686" s="66"/>
      <c r="V686" s="66"/>
      <c r="W686" s="66"/>
      <c r="X686" s="66"/>
      <c r="AB686" s="66"/>
      <c r="AG686" s="66"/>
    </row>
    <row r="687" spans="4:33">
      <c r="D687" s="66"/>
      <c r="G687" s="66"/>
      <c r="V687" s="66"/>
      <c r="W687" s="66"/>
      <c r="X687" s="66"/>
      <c r="AB687" s="66"/>
      <c r="AG687" s="66"/>
    </row>
    <row r="688" spans="4:33">
      <c r="D688" s="66"/>
      <c r="G688" s="66"/>
      <c r="V688" s="66"/>
      <c r="W688" s="66"/>
      <c r="X688" s="66"/>
      <c r="AB688" s="66"/>
      <c r="AG688" s="66"/>
    </row>
    <row r="689" spans="4:33">
      <c r="D689" s="66"/>
      <c r="G689" s="66"/>
      <c r="V689" s="66"/>
      <c r="W689" s="66"/>
      <c r="X689" s="66"/>
      <c r="AB689" s="66"/>
      <c r="AG689" s="66"/>
    </row>
    <row r="690" spans="4:33">
      <c r="D690" s="66"/>
      <c r="G690" s="66"/>
      <c r="V690" s="66"/>
      <c r="W690" s="66"/>
      <c r="X690" s="66"/>
      <c r="AB690" s="66"/>
      <c r="AG690" s="66"/>
    </row>
    <row r="691" spans="4:33">
      <c r="D691" s="66"/>
      <c r="G691" s="66"/>
      <c r="V691" s="66"/>
      <c r="W691" s="66"/>
      <c r="X691" s="66"/>
      <c r="AB691" s="66"/>
      <c r="AG691" s="66"/>
    </row>
    <row r="692" spans="4:33">
      <c r="D692" s="66"/>
      <c r="G692" s="66"/>
      <c r="V692" s="66"/>
      <c r="W692" s="66"/>
      <c r="X692" s="66"/>
      <c r="AB692" s="66"/>
      <c r="AG692" s="66"/>
    </row>
    <row r="693" spans="4:33">
      <c r="D693" s="66"/>
      <c r="G693" s="66"/>
      <c r="V693" s="66"/>
      <c r="W693" s="66"/>
      <c r="X693" s="66"/>
      <c r="AB693" s="66"/>
      <c r="AG693" s="66"/>
    </row>
    <row r="694" spans="4:33">
      <c r="D694" s="66"/>
      <c r="G694" s="66"/>
      <c r="V694" s="66"/>
      <c r="W694" s="66"/>
      <c r="X694" s="66"/>
      <c r="AB694" s="66"/>
      <c r="AG694" s="66"/>
    </row>
    <row r="695" spans="4:33">
      <c r="D695" s="66"/>
      <c r="G695" s="66"/>
      <c r="V695" s="66"/>
      <c r="W695" s="66"/>
      <c r="X695" s="66"/>
      <c r="AB695" s="66"/>
      <c r="AG695" s="66"/>
    </row>
    <row r="696" spans="4:33">
      <c r="D696" s="66"/>
      <c r="G696" s="66"/>
      <c r="V696" s="66"/>
      <c r="W696" s="66"/>
      <c r="X696" s="66"/>
      <c r="AB696" s="66"/>
      <c r="AG696" s="66"/>
    </row>
    <row r="697" spans="4:33">
      <c r="D697" s="66"/>
      <c r="G697" s="66"/>
      <c r="V697" s="66"/>
      <c r="W697" s="66"/>
      <c r="X697" s="66"/>
      <c r="AB697" s="66"/>
      <c r="AG697" s="66"/>
    </row>
    <row r="698" spans="4:33">
      <c r="D698" s="66"/>
      <c r="G698" s="66"/>
      <c r="V698" s="66"/>
      <c r="W698" s="66"/>
      <c r="X698" s="66"/>
      <c r="AB698" s="66"/>
      <c r="AG698" s="66"/>
    </row>
    <row r="699" spans="4:33">
      <c r="D699" s="66"/>
      <c r="G699" s="66"/>
      <c r="V699" s="66"/>
      <c r="W699" s="66"/>
      <c r="X699" s="66"/>
      <c r="AB699" s="66"/>
      <c r="AG699" s="66"/>
    </row>
    <row r="700" spans="4:33">
      <c r="D700" s="66"/>
      <c r="G700" s="66"/>
      <c r="V700" s="66"/>
      <c r="W700" s="66"/>
      <c r="X700" s="66"/>
      <c r="AB700" s="66"/>
      <c r="AG700" s="66"/>
    </row>
    <row r="701" spans="4:33">
      <c r="D701" s="66"/>
      <c r="G701" s="66"/>
      <c r="V701" s="66"/>
      <c r="W701" s="66"/>
      <c r="X701" s="66"/>
      <c r="AB701" s="66"/>
      <c r="AG701" s="66"/>
    </row>
    <row r="702" spans="4:33">
      <c r="D702" s="66"/>
      <c r="G702" s="66"/>
      <c r="V702" s="66"/>
      <c r="W702" s="66"/>
      <c r="X702" s="66"/>
      <c r="AB702" s="66"/>
      <c r="AG702" s="66"/>
    </row>
    <row r="703" spans="4:33">
      <c r="D703" s="66"/>
      <c r="G703" s="66"/>
      <c r="V703" s="66"/>
      <c r="W703" s="66"/>
      <c r="X703" s="66"/>
      <c r="AB703" s="66"/>
      <c r="AG703" s="66"/>
    </row>
    <row r="704" spans="4:33">
      <c r="D704" s="66"/>
      <c r="G704" s="66"/>
      <c r="V704" s="66"/>
      <c r="W704" s="66"/>
      <c r="X704" s="66"/>
      <c r="AB704" s="66"/>
      <c r="AG704" s="66"/>
    </row>
    <row r="705" spans="4:33">
      <c r="D705" s="66"/>
      <c r="G705" s="66"/>
      <c r="V705" s="66"/>
      <c r="W705" s="66"/>
      <c r="X705" s="66"/>
      <c r="AB705" s="66"/>
      <c r="AG705" s="66"/>
    </row>
    <row r="706" spans="4:33">
      <c r="D706" s="66"/>
      <c r="G706" s="66"/>
      <c r="V706" s="66"/>
      <c r="W706" s="66"/>
      <c r="X706" s="66"/>
      <c r="AB706" s="66"/>
      <c r="AG706" s="66"/>
    </row>
    <row r="707" spans="4:33">
      <c r="D707" s="66"/>
      <c r="G707" s="66"/>
      <c r="V707" s="66"/>
      <c r="W707" s="66"/>
      <c r="X707" s="66"/>
      <c r="AB707" s="66"/>
      <c r="AG707" s="66"/>
    </row>
    <row r="708" spans="4:33">
      <c r="D708" s="66"/>
      <c r="G708" s="66"/>
      <c r="V708" s="66"/>
      <c r="W708" s="66"/>
      <c r="X708" s="66"/>
      <c r="AB708" s="66"/>
      <c r="AG708" s="66"/>
    </row>
    <row r="709" spans="4:33">
      <c r="D709" s="66"/>
      <c r="G709" s="66"/>
      <c r="V709" s="66"/>
      <c r="W709" s="66"/>
      <c r="X709" s="66"/>
      <c r="AB709" s="66"/>
      <c r="AG709" s="66"/>
    </row>
    <row r="710" spans="4:33">
      <c r="D710" s="66"/>
      <c r="G710" s="66"/>
      <c r="V710" s="66"/>
      <c r="W710" s="66"/>
      <c r="X710" s="66"/>
      <c r="AB710" s="66"/>
      <c r="AG710" s="66"/>
    </row>
    <row r="711" spans="4:33">
      <c r="D711" s="66"/>
      <c r="G711" s="66"/>
      <c r="V711" s="66"/>
      <c r="W711" s="66"/>
      <c r="X711" s="66"/>
      <c r="AB711" s="66"/>
      <c r="AG711" s="66"/>
    </row>
    <row r="712" spans="4:33">
      <c r="D712" s="66"/>
      <c r="G712" s="66"/>
      <c r="V712" s="66"/>
      <c r="W712" s="66"/>
      <c r="X712" s="66"/>
      <c r="AB712" s="66"/>
      <c r="AG712" s="66"/>
    </row>
    <row r="713" spans="4:33">
      <c r="D713" s="66"/>
      <c r="G713" s="66"/>
      <c r="V713" s="66"/>
      <c r="W713" s="66"/>
      <c r="X713" s="66"/>
      <c r="AB713" s="66"/>
      <c r="AG713" s="66"/>
    </row>
    <row r="714" spans="4:33">
      <c r="D714" s="66"/>
      <c r="G714" s="66"/>
      <c r="V714" s="66"/>
      <c r="W714" s="66"/>
      <c r="X714" s="66"/>
      <c r="AB714" s="66"/>
      <c r="AG714" s="66"/>
    </row>
    <row r="715" spans="4:33">
      <c r="D715" s="66"/>
      <c r="G715" s="66"/>
      <c r="V715" s="66"/>
      <c r="W715" s="66"/>
      <c r="X715" s="66"/>
      <c r="AB715" s="66"/>
      <c r="AG715" s="66"/>
    </row>
    <row r="716" spans="4:33">
      <c r="D716" s="66"/>
      <c r="G716" s="66"/>
      <c r="V716" s="66"/>
      <c r="W716" s="66"/>
      <c r="X716" s="66"/>
      <c r="AB716" s="66"/>
      <c r="AG716" s="66"/>
    </row>
    <row r="717" spans="4:33">
      <c r="D717" s="66"/>
      <c r="G717" s="66"/>
      <c r="V717" s="66"/>
      <c r="W717" s="66"/>
      <c r="X717" s="66"/>
      <c r="AB717" s="66"/>
      <c r="AG717" s="66"/>
    </row>
    <row r="718" spans="4:33">
      <c r="D718" s="66"/>
      <c r="G718" s="66"/>
      <c r="V718" s="66"/>
      <c r="W718" s="66"/>
      <c r="X718" s="66"/>
      <c r="AB718" s="66"/>
      <c r="AG718" s="66"/>
    </row>
    <row r="719" spans="4:33">
      <c r="D719" s="66"/>
      <c r="G719" s="66"/>
      <c r="V719" s="66"/>
      <c r="W719" s="66"/>
      <c r="X719" s="66"/>
      <c r="AB719" s="66"/>
      <c r="AG719" s="66"/>
    </row>
    <row r="720" spans="4:33">
      <c r="D720" s="66"/>
      <c r="G720" s="66"/>
      <c r="V720" s="66"/>
      <c r="W720" s="66"/>
      <c r="X720" s="66"/>
      <c r="AB720" s="66"/>
      <c r="AG720" s="66"/>
    </row>
    <row r="721" spans="4:33">
      <c r="D721" s="66"/>
      <c r="G721" s="66"/>
      <c r="V721" s="66"/>
      <c r="W721" s="66"/>
      <c r="X721" s="66"/>
      <c r="AB721" s="66"/>
      <c r="AG721" s="66"/>
    </row>
    <row r="722" spans="4:33">
      <c r="D722" s="66"/>
      <c r="G722" s="66"/>
      <c r="V722" s="66"/>
      <c r="W722" s="66"/>
      <c r="X722" s="66"/>
      <c r="AB722" s="66"/>
      <c r="AG722" s="66"/>
    </row>
    <row r="723" spans="4:33">
      <c r="D723" s="66"/>
      <c r="G723" s="66"/>
      <c r="V723" s="66"/>
      <c r="W723" s="66"/>
      <c r="X723" s="66"/>
      <c r="AB723" s="66"/>
      <c r="AG723" s="66"/>
    </row>
    <row r="724" spans="4:33">
      <c r="D724" s="66"/>
      <c r="G724" s="66"/>
      <c r="V724" s="66"/>
      <c r="W724" s="66"/>
      <c r="X724" s="66"/>
      <c r="AB724" s="66"/>
      <c r="AG724" s="66"/>
    </row>
    <row r="725" spans="4:33">
      <c r="D725" s="66"/>
      <c r="G725" s="66"/>
      <c r="V725" s="66"/>
      <c r="W725" s="66"/>
      <c r="X725" s="66"/>
      <c r="AB725" s="66"/>
      <c r="AG725" s="66"/>
    </row>
    <row r="726" spans="4:33">
      <c r="D726" s="66"/>
      <c r="G726" s="66"/>
      <c r="V726" s="66"/>
      <c r="W726" s="66"/>
      <c r="X726" s="66"/>
      <c r="AB726" s="66"/>
      <c r="AG726" s="66"/>
    </row>
    <row r="727" spans="4:33">
      <c r="D727" s="66"/>
      <c r="G727" s="66"/>
      <c r="V727" s="66"/>
      <c r="W727" s="66"/>
      <c r="X727" s="66"/>
      <c r="AB727" s="66"/>
      <c r="AG727" s="66"/>
    </row>
    <row r="728" spans="4:33">
      <c r="D728" s="66"/>
      <c r="G728" s="66"/>
      <c r="V728" s="66"/>
      <c r="W728" s="66"/>
      <c r="X728" s="66"/>
      <c r="AB728" s="66"/>
      <c r="AG728" s="66"/>
    </row>
    <row r="729" spans="4:33">
      <c r="D729" s="66"/>
      <c r="G729" s="66"/>
      <c r="V729" s="66"/>
      <c r="W729" s="66"/>
      <c r="X729" s="66"/>
      <c r="AB729" s="66"/>
      <c r="AG729" s="66"/>
    </row>
    <row r="730" spans="4:33">
      <c r="D730" s="66"/>
      <c r="G730" s="66"/>
      <c r="V730" s="66"/>
      <c r="W730" s="66"/>
      <c r="X730" s="66"/>
      <c r="AB730" s="66"/>
      <c r="AG730" s="66"/>
    </row>
    <row r="731" spans="4:33">
      <c r="D731" s="66"/>
      <c r="G731" s="66"/>
      <c r="V731" s="66"/>
      <c r="W731" s="66"/>
      <c r="X731" s="66"/>
      <c r="AB731" s="66"/>
      <c r="AG731" s="66"/>
    </row>
    <row r="732" spans="4:33">
      <c r="D732" s="66"/>
      <c r="G732" s="66"/>
      <c r="V732" s="66"/>
      <c r="W732" s="66"/>
      <c r="X732" s="66"/>
      <c r="AB732" s="66"/>
      <c r="AG732" s="66"/>
    </row>
    <row r="733" spans="4:33">
      <c r="D733" s="66"/>
      <c r="G733" s="66"/>
      <c r="V733" s="66"/>
      <c r="W733" s="66"/>
      <c r="X733" s="66"/>
      <c r="AB733" s="66"/>
      <c r="AG733" s="66"/>
    </row>
    <row r="734" spans="4:33">
      <c r="D734" s="66"/>
      <c r="G734" s="66"/>
      <c r="V734" s="66"/>
      <c r="W734" s="66"/>
      <c r="X734" s="66"/>
      <c r="AB734" s="66"/>
      <c r="AG734" s="66"/>
    </row>
    <row r="735" spans="4:33">
      <c r="D735" s="66"/>
      <c r="G735" s="66"/>
      <c r="V735" s="66"/>
      <c r="W735" s="66"/>
      <c r="X735" s="66"/>
      <c r="AB735" s="66"/>
      <c r="AG735" s="66"/>
    </row>
    <row r="736" spans="4:33">
      <c r="D736" s="66"/>
      <c r="G736" s="66"/>
      <c r="V736" s="66"/>
      <c r="W736" s="66"/>
      <c r="X736" s="66"/>
      <c r="AB736" s="66"/>
      <c r="AG736" s="66"/>
    </row>
    <row r="737" spans="4:33">
      <c r="D737" s="66"/>
      <c r="G737" s="66"/>
      <c r="V737" s="66"/>
      <c r="W737" s="66"/>
      <c r="X737" s="66"/>
      <c r="AB737" s="66"/>
      <c r="AG737" s="66"/>
    </row>
    <row r="738" spans="4:33">
      <c r="D738" s="66"/>
      <c r="G738" s="66"/>
      <c r="V738" s="66"/>
      <c r="W738" s="66"/>
      <c r="X738" s="66"/>
      <c r="AB738" s="66"/>
      <c r="AG738" s="66"/>
    </row>
    <row r="739" spans="4:33">
      <c r="D739" s="66"/>
      <c r="G739" s="66"/>
      <c r="V739" s="66"/>
      <c r="W739" s="66"/>
      <c r="X739" s="66"/>
      <c r="AB739" s="66"/>
      <c r="AG739" s="66"/>
    </row>
    <row r="740" spans="4:33">
      <c r="D740" s="66"/>
      <c r="G740" s="66"/>
      <c r="V740" s="66"/>
      <c r="W740" s="66"/>
      <c r="X740" s="66"/>
      <c r="AB740" s="66"/>
      <c r="AG740" s="66"/>
    </row>
    <row r="741" spans="4:33">
      <c r="D741" s="66"/>
      <c r="G741" s="66"/>
      <c r="V741" s="66"/>
      <c r="W741" s="66"/>
      <c r="X741" s="66"/>
      <c r="AB741" s="66"/>
      <c r="AG741" s="66"/>
    </row>
    <row r="742" spans="4:33">
      <c r="D742" s="66"/>
      <c r="G742" s="66"/>
      <c r="V742" s="66"/>
      <c r="W742" s="66"/>
      <c r="X742" s="66"/>
      <c r="AB742" s="66"/>
      <c r="AG742" s="66"/>
    </row>
    <row r="743" spans="4:33">
      <c r="D743" s="66"/>
      <c r="G743" s="66"/>
      <c r="V743" s="66"/>
      <c r="W743" s="66"/>
      <c r="X743" s="66"/>
      <c r="AB743" s="66"/>
      <c r="AG743" s="66"/>
    </row>
    <row r="744" spans="4:33">
      <c r="D744" s="66"/>
      <c r="G744" s="66"/>
      <c r="V744" s="66"/>
      <c r="W744" s="66"/>
      <c r="X744" s="66"/>
      <c r="AB744" s="66"/>
      <c r="AG744" s="66"/>
    </row>
    <row r="745" spans="4:33">
      <c r="D745" s="66"/>
      <c r="G745" s="66"/>
      <c r="V745" s="66"/>
      <c r="W745" s="66"/>
      <c r="X745" s="66"/>
      <c r="AB745" s="66"/>
      <c r="AG745" s="66"/>
    </row>
    <row r="746" spans="4:33">
      <c r="D746" s="66"/>
      <c r="G746" s="66"/>
      <c r="V746" s="66"/>
      <c r="W746" s="66"/>
      <c r="X746" s="66"/>
      <c r="AB746" s="66"/>
      <c r="AG746" s="66"/>
    </row>
    <row r="747" spans="4:33">
      <c r="D747" s="66"/>
      <c r="G747" s="66"/>
      <c r="V747" s="66"/>
      <c r="W747" s="66"/>
      <c r="X747" s="66"/>
      <c r="AB747" s="66"/>
      <c r="AG747" s="66"/>
    </row>
    <row r="748" spans="4:33">
      <c r="D748" s="66"/>
      <c r="G748" s="66"/>
      <c r="V748" s="66"/>
      <c r="W748" s="66"/>
      <c r="X748" s="66"/>
      <c r="AB748" s="66"/>
      <c r="AG748" s="66"/>
    </row>
    <row r="749" spans="4:33">
      <c r="D749" s="66"/>
      <c r="G749" s="66"/>
      <c r="V749" s="66"/>
      <c r="W749" s="66"/>
      <c r="X749" s="66"/>
      <c r="AB749" s="66"/>
      <c r="AG749" s="66"/>
    </row>
    <row r="750" spans="4:33">
      <c r="D750" s="66"/>
      <c r="G750" s="66"/>
      <c r="V750" s="66"/>
      <c r="W750" s="66"/>
      <c r="X750" s="66"/>
      <c r="AB750" s="66"/>
      <c r="AG750" s="66"/>
    </row>
    <row r="751" spans="4:33">
      <c r="D751" s="66"/>
      <c r="G751" s="66"/>
      <c r="V751" s="66"/>
      <c r="W751" s="66"/>
      <c r="X751" s="66"/>
      <c r="AB751" s="66"/>
      <c r="AG751" s="66"/>
    </row>
    <row r="752" spans="4:33">
      <c r="D752" s="66"/>
      <c r="G752" s="66"/>
      <c r="V752" s="66"/>
      <c r="W752" s="66"/>
      <c r="X752" s="66"/>
      <c r="AB752" s="66"/>
      <c r="AG752" s="66"/>
    </row>
    <row r="753" spans="4:33">
      <c r="D753" s="66"/>
      <c r="G753" s="66"/>
      <c r="V753" s="66"/>
      <c r="W753" s="66"/>
      <c r="X753" s="66"/>
      <c r="AB753" s="66"/>
      <c r="AG753" s="66"/>
    </row>
    <row r="754" spans="4:33">
      <c r="D754" s="66"/>
      <c r="G754" s="66"/>
      <c r="V754" s="66"/>
      <c r="W754" s="66"/>
      <c r="X754" s="66"/>
      <c r="AB754" s="66"/>
      <c r="AG754" s="66"/>
    </row>
    <row r="755" spans="4:33">
      <c r="D755" s="66"/>
      <c r="G755" s="66"/>
      <c r="V755" s="66"/>
      <c r="W755" s="66"/>
      <c r="X755" s="66"/>
      <c r="AB755" s="66"/>
      <c r="AG755" s="66"/>
    </row>
    <row r="756" spans="4:33">
      <c r="D756" s="66"/>
      <c r="G756" s="66"/>
      <c r="V756" s="66"/>
      <c r="W756" s="66"/>
      <c r="X756" s="66"/>
      <c r="AB756" s="66"/>
      <c r="AG756" s="66"/>
    </row>
    <row r="757" spans="4:33">
      <c r="D757" s="66"/>
      <c r="G757" s="66"/>
      <c r="V757" s="66"/>
      <c r="W757" s="66"/>
      <c r="X757" s="66"/>
      <c r="AB757" s="66"/>
      <c r="AG757" s="66"/>
    </row>
    <row r="758" spans="4:33">
      <c r="D758" s="66"/>
      <c r="G758" s="66"/>
      <c r="V758" s="66"/>
      <c r="W758" s="66"/>
      <c r="X758" s="66"/>
      <c r="AB758" s="66"/>
      <c r="AG758" s="66"/>
    </row>
    <row r="759" spans="4:33">
      <c r="D759" s="66"/>
      <c r="G759" s="66"/>
      <c r="V759" s="66"/>
      <c r="W759" s="66"/>
      <c r="X759" s="66"/>
      <c r="AB759" s="66"/>
      <c r="AG759" s="66"/>
    </row>
    <row r="760" spans="4:33">
      <c r="D760" s="66"/>
      <c r="G760" s="66"/>
      <c r="V760" s="66"/>
      <c r="W760" s="66"/>
      <c r="X760" s="66"/>
      <c r="AB760" s="66"/>
      <c r="AG760" s="66"/>
    </row>
    <row r="761" spans="4:33">
      <c r="D761" s="66"/>
      <c r="G761" s="66"/>
      <c r="V761" s="66"/>
      <c r="W761" s="66"/>
      <c r="X761" s="66"/>
      <c r="AB761" s="66"/>
      <c r="AG761" s="66"/>
    </row>
    <row r="762" spans="4:33">
      <c r="D762" s="66"/>
      <c r="G762" s="66"/>
      <c r="V762" s="66"/>
      <c r="W762" s="66"/>
      <c r="X762" s="66"/>
      <c r="AB762" s="66"/>
      <c r="AG762" s="66"/>
    </row>
    <row r="763" spans="4:33">
      <c r="D763" s="66"/>
      <c r="G763" s="66"/>
      <c r="V763" s="66"/>
      <c r="W763" s="66"/>
      <c r="X763" s="66"/>
      <c r="AB763" s="66"/>
      <c r="AG763" s="66"/>
    </row>
    <row r="764" spans="4:33">
      <c r="D764" s="66"/>
      <c r="G764" s="66"/>
      <c r="V764" s="66"/>
      <c r="W764" s="66"/>
      <c r="X764" s="66"/>
      <c r="AB764" s="66"/>
      <c r="AG764" s="66"/>
    </row>
  </sheetData>
  <sortState ref="A2:AG764">
    <sortCondition ref="F1:F1048576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theme="9" tint="0.79998168889431442"/>
  </sheetPr>
  <dimension ref="A1:AG764"/>
  <sheetViews>
    <sheetView workbookViewId="0">
      <selection activeCell="A2" sqref="A2"/>
    </sheetView>
  </sheetViews>
  <sheetFormatPr defaultColWidth="11.42578125" defaultRowHeight="15"/>
  <cols>
    <col min="1" max="11" width="11.42578125" style="90"/>
    <col min="12" max="12" width="17.7109375" style="90" bestFit="1" customWidth="1"/>
    <col min="13" max="16384" width="11.42578125" style="90"/>
  </cols>
  <sheetData>
    <row r="1" spans="1:33" s="89" customFormat="1" ht="90">
      <c r="A1" s="87" t="s">
        <v>52</v>
      </c>
      <c r="B1" s="87" t="s">
        <v>53</v>
      </c>
      <c r="C1" s="87" t="s">
        <v>54</v>
      </c>
      <c r="D1" s="87" t="s">
        <v>55</v>
      </c>
      <c r="E1" s="87" t="s">
        <v>56</v>
      </c>
      <c r="F1" s="87" t="s">
        <v>57</v>
      </c>
      <c r="G1" s="87" t="s">
        <v>58</v>
      </c>
      <c r="H1" s="87" t="s">
        <v>59</v>
      </c>
      <c r="I1" s="87" t="s">
        <v>60</v>
      </c>
      <c r="J1" s="87" t="s">
        <v>61</v>
      </c>
      <c r="K1" s="87" t="s">
        <v>62</v>
      </c>
      <c r="L1" s="87" t="s">
        <v>63</v>
      </c>
      <c r="M1" s="87" t="s">
        <v>64</v>
      </c>
      <c r="N1" s="87" t="s">
        <v>65</v>
      </c>
      <c r="O1" s="87" t="s">
        <v>66</v>
      </c>
      <c r="P1" s="87" t="s">
        <v>67</v>
      </c>
      <c r="Q1" s="87" t="s">
        <v>68</v>
      </c>
      <c r="R1" s="88" t="s">
        <v>69</v>
      </c>
      <c r="S1" s="88" t="s">
        <v>70</v>
      </c>
      <c r="T1" s="88" t="s">
        <v>71</v>
      </c>
      <c r="U1" s="88" t="s">
        <v>72</v>
      </c>
      <c r="V1" s="88" t="s">
        <v>73</v>
      </c>
      <c r="W1" s="88" t="s">
        <v>74</v>
      </c>
      <c r="X1" s="88" t="s">
        <v>75</v>
      </c>
      <c r="Y1" s="88" t="s">
        <v>76</v>
      </c>
      <c r="Z1" s="88" t="s">
        <v>77</v>
      </c>
      <c r="AA1" s="88" t="s">
        <v>78</v>
      </c>
      <c r="AB1" s="88" t="s">
        <v>79</v>
      </c>
      <c r="AC1" s="88" t="s">
        <v>80</v>
      </c>
      <c r="AD1" s="88" t="s">
        <v>81</v>
      </c>
      <c r="AE1" s="88" t="s">
        <v>82</v>
      </c>
      <c r="AF1" s="88" t="s">
        <v>83</v>
      </c>
      <c r="AG1" s="88" t="s">
        <v>84</v>
      </c>
    </row>
    <row r="2" spans="1:33">
      <c r="D2" s="66"/>
      <c r="G2" s="66"/>
      <c r="V2" s="66"/>
      <c r="W2" s="66"/>
      <c r="X2" s="66"/>
      <c r="AB2" s="66"/>
      <c r="AG2" s="66"/>
    </row>
    <row r="3" spans="1:33">
      <c r="D3" s="66"/>
      <c r="G3" s="66"/>
      <c r="V3" s="66"/>
      <c r="W3" s="66"/>
      <c r="X3" s="66"/>
      <c r="AB3" s="66"/>
      <c r="AG3" s="66"/>
    </row>
    <row r="4" spans="1:33">
      <c r="D4" s="66"/>
      <c r="G4" s="66"/>
      <c r="V4" s="66"/>
      <c r="W4" s="66"/>
      <c r="X4" s="66"/>
      <c r="AB4" s="66"/>
      <c r="AG4" s="66"/>
    </row>
    <row r="5" spans="1:33">
      <c r="D5" s="66"/>
      <c r="G5" s="66"/>
      <c r="V5" s="66"/>
      <c r="W5" s="66"/>
      <c r="X5" s="66"/>
      <c r="AB5" s="66"/>
      <c r="AG5" s="66"/>
    </row>
    <row r="6" spans="1:33">
      <c r="D6" s="66"/>
      <c r="G6" s="66"/>
      <c r="V6" s="66"/>
      <c r="W6" s="66"/>
      <c r="X6" s="66"/>
      <c r="AB6" s="66"/>
      <c r="AG6" s="66"/>
    </row>
    <row r="7" spans="1:33">
      <c r="D7" s="66"/>
      <c r="G7" s="66"/>
      <c r="V7" s="66"/>
      <c r="W7" s="66"/>
      <c r="X7" s="66"/>
      <c r="AB7" s="66"/>
      <c r="AG7" s="66"/>
    </row>
    <row r="8" spans="1:33">
      <c r="D8" s="66"/>
      <c r="G8" s="66"/>
      <c r="V8" s="66"/>
      <c r="W8" s="66"/>
      <c r="X8" s="66"/>
      <c r="AB8" s="66"/>
      <c r="AG8" s="66"/>
    </row>
    <row r="9" spans="1:33">
      <c r="D9" s="66"/>
      <c r="G9" s="66"/>
      <c r="V9" s="66"/>
      <c r="W9" s="66"/>
      <c r="X9" s="66"/>
      <c r="AB9" s="66"/>
      <c r="AG9" s="66"/>
    </row>
    <row r="10" spans="1:33">
      <c r="D10" s="66"/>
      <c r="G10" s="66"/>
      <c r="V10" s="66"/>
      <c r="W10" s="66"/>
      <c r="X10" s="66"/>
      <c r="AB10" s="66"/>
      <c r="AG10" s="66"/>
    </row>
    <row r="11" spans="1:33">
      <c r="D11" s="66"/>
      <c r="G11" s="66"/>
      <c r="V11" s="66"/>
      <c r="W11" s="66"/>
      <c r="X11" s="66"/>
      <c r="AB11" s="66"/>
      <c r="AG11" s="66"/>
    </row>
    <row r="12" spans="1:33">
      <c r="D12" s="66"/>
      <c r="G12" s="66"/>
      <c r="V12" s="66"/>
      <c r="W12" s="66"/>
      <c r="X12" s="66"/>
      <c r="AB12" s="66"/>
      <c r="AG12" s="66"/>
    </row>
    <row r="13" spans="1:33">
      <c r="D13" s="66"/>
      <c r="G13" s="66"/>
      <c r="V13" s="66"/>
      <c r="W13" s="66"/>
      <c r="X13" s="66"/>
      <c r="AB13" s="66"/>
      <c r="AG13" s="66"/>
    </row>
    <row r="14" spans="1:33">
      <c r="D14" s="66"/>
      <c r="G14" s="66"/>
      <c r="V14" s="66"/>
      <c r="W14" s="66"/>
      <c r="X14" s="66"/>
      <c r="AB14" s="66"/>
      <c r="AG14" s="66"/>
    </row>
    <row r="15" spans="1:33">
      <c r="D15" s="66"/>
      <c r="G15" s="66"/>
      <c r="V15" s="66"/>
      <c r="W15" s="66"/>
      <c r="X15" s="66"/>
      <c r="AB15" s="66"/>
      <c r="AG15" s="66"/>
    </row>
    <row r="16" spans="1:33">
      <c r="D16" s="66"/>
      <c r="G16" s="66"/>
      <c r="V16" s="66"/>
      <c r="W16" s="66"/>
      <c r="X16" s="66"/>
      <c r="AB16" s="66"/>
      <c r="AG16" s="66"/>
    </row>
    <row r="17" spans="4:33">
      <c r="D17" s="66"/>
      <c r="G17" s="66"/>
      <c r="V17" s="66"/>
      <c r="W17" s="66"/>
      <c r="X17" s="66"/>
      <c r="AB17" s="66"/>
      <c r="AG17" s="66"/>
    </row>
    <row r="18" spans="4:33">
      <c r="D18" s="66"/>
      <c r="G18" s="66"/>
      <c r="V18" s="66"/>
      <c r="W18" s="66"/>
      <c r="X18" s="66"/>
      <c r="AB18" s="66"/>
      <c r="AG18" s="66"/>
    </row>
    <row r="19" spans="4:33">
      <c r="D19" s="66"/>
      <c r="G19" s="66"/>
      <c r="V19" s="66"/>
      <c r="W19" s="66"/>
      <c r="X19" s="66"/>
      <c r="AB19" s="66"/>
      <c r="AG19" s="66"/>
    </row>
    <row r="20" spans="4:33">
      <c r="D20" s="66"/>
      <c r="G20" s="66"/>
      <c r="V20" s="66"/>
      <c r="W20" s="66"/>
      <c r="X20" s="66"/>
      <c r="AB20" s="66"/>
      <c r="AG20" s="66"/>
    </row>
    <row r="21" spans="4:33">
      <c r="D21" s="66"/>
      <c r="G21" s="66"/>
      <c r="V21" s="66"/>
      <c r="W21" s="66"/>
      <c r="X21" s="66"/>
      <c r="AB21" s="66"/>
      <c r="AG21" s="66"/>
    </row>
    <row r="22" spans="4:33">
      <c r="D22" s="66"/>
      <c r="G22" s="66"/>
      <c r="V22" s="66"/>
      <c r="W22" s="66"/>
      <c r="X22" s="66"/>
      <c r="AB22" s="66"/>
      <c r="AG22" s="66"/>
    </row>
    <row r="23" spans="4:33">
      <c r="D23" s="66"/>
      <c r="G23" s="66"/>
      <c r="V23" s="66"/>
      <c r="W23" s="66"/>
      <c r="X23" s="66"/>
      <c r="AB23" s="66"/>
      <c r="AG23" s="66"/>
    </row>
    <row r="24" spans="4:33">
      <c r="D24" s="66"/>
      <c r="G24" s="66"/>
      <c r="V24" s="66"/>
      <c r="W24" s="66"/>
      <c r="X24" s="66"/>
      <c r="AB24" s="66"/>
      <c r="AG24" s="66"/>
    </row>
    <row r="25" spans="4:33">
      <c r="D25" s="66"/>
      <c r="G25" s="66"/>
      <c r="V25" s="66"/>
      <c r="W25" s="66"/>
      <c r="X25" s="66"/>
      <c r="AB25" s="66"/>
      <c r="AG25" s="66"/>
    </row>
    <row r="26" spans="4:33">
      <c r="D26" s="66"/>
      <c r="G26" s="66"/>
      <c r="V26" s="66"/>
      <c r="W26" s="66"/>
      <c r="X26" s="66"/>
      <c r="AB26" s="66"/>
      <c r="AG26" s="66"/>
    </row>
    <row r="27" spans="4:33">
      <c r="D27" s="66"/>
      <c r="G27" s="66"/>
      <c r="V27" s="66"/>
      <c r="W27" s="66"/>
      <c r="X27" s="66"/>
      <c r="AB27" s="66"/>
      <c r="AG27" s="66"/>
    </row>
    <row r="28" spans="4:33">
      <c r="D28" s="66"/>
      <c r="G28" s="66"/>
      <c r="V28" s="66"/>
      <c r="W28" s="66"/>
      <c r="X28" s="66"/>
      <c r="AB28" s="66"/>
      <c r="AG28" s="66"/>
    </row>
    <row r="29" spans="4:33">
      <c r="D29" s="66"/>
      <c r="G29" s="66"/>
      <c r="V29" s="66"/>
      <c r="W29" s="66"/>
      <c r="X29" s="66"/>
      <c r="AB29" s="66"/>
      <c r="AG29" s="66"/>
    </row>
    <row r="30" spans="4:33">
      <c r="D30" s="66"/>
      <c r="G30" s="66"/>
      <c r="V30" s="66"/>
      <c r="W30" s="66"/>
      <c r="X30" s="66"/>
      <c r="AB30" s="66"/>
      <c r="AG30" s="66"/>
    </row>
    <row r="31" spans="4:33">
      <c r="D31" s="66"/>
      <c r="G31" s="66"/>
      <c r="V31" s="66"/>
      <c r="W31" s="66"/>
      <c r="X31" s="66"/>
      <c r="AB31" s="66"/>
      <c r="AG31" s="66"/>
    </row>
    <row r="32" spans="4:33">
      <c r="D32" s="66"/>
      <c r="G32" s="66"/>
      <c r="V32" s="66"/>
      <c r="W32" s="66"/>
      <c r="X32" s="66"/>
      <c r="AB32" s="66"/>
      <c r="AG32" s="66"/>
    </row>
    <row r="33" spans="4:33">
      <c r="D33" s="66"/>
      <c r="G33" s="66"/>
      <c r="V33" s="66"/>
      <c r="W33" s="66"/>
      <c r="X33" s="66"/>
      <c r="AB33" s="66"/>
      <c r="AG33" s="66"/>
    </row>
    <row r="34" spans="4:33">
      <c r="D34" s="66"/>
      <c r="G34" s="66"/>
      <c r="V34" s="66"/>
      <c r="W34" s="66"/>
      <c r="X34" s="66"/>
      <c r="AB34" s="66"/>
      <c r="AG34" s="66"/>
    </row>
    <row r="35" spans="4:33">
      <c r="D35" s="66"/>
      <c r="G35" s="66"/>
      <c r="V35" s="66"/>
      <c r="W35" s="66"/>
      <c r="X35" s="66"/>
      <c r="AB35" s="66"/>
      <c r="AG35" s="66"/>
    </row>
    <row r="36" spans="4:33">
      <c r="D36" s="66"/>
      <c r="G36" s="66"/>
      <c r="V36" s="66"/>
      <c r="W36" s="66"/>
      <c r="X36" s="66"/>
      <c r="AB36" s="66"/>
      <c r="AG36" s="66"/>
    </row>
    <row r="37" spans="4:33">
      <c r="D37" s="66"/>
      <c r="G37" s="66"/>
      <c r="V37" s="66"/>
      <c r="W37" s="66"/>
      <c r="X37" s="66"/>
      <c r="AB37" s="66"/>
      <c r="AG37" s="66"/>
    </row>
    <row r="38" spans="4:33">
      <c r="D38" s="66"/>
      <c r="G38" s="66"/>
      <c r="V38" s="66"/>
      <c r="W38" s="66"/>
      <c r="X38" s="66"/>
      <c r="AB38" s="66"/>
      <c r="AG38" s="66"/>
    </row>
    <row r="39" spans="4:33">
      <c r="D39" s="66"/>
      <c r="G39" s="66"/>
      <c r="V39" s="66"/>
      <c r="W39" s="66"/>
      <c r="X39" s="66"/>
      <c r="AB39" s="66"/>
      <c r="AG39" s="66"/>
    </row>
    <row r="40" spans="4:33">
      <c r="D40" s="66"/>
      <c r="G40" s="66"/>
      <c r="V40" s="66"/>
      <c r="W40" s="66"/>
      <c r="X40" s="66"/>
      <c r="AB40" s="66"/>
      <c r="AG40" s="66"/>
    </row>
    <row r="41" spans="4:33">
      <c r="D41" s="66"/>
      <c r="G41" s="66"/>
      <c r="V41" s="66"/>
      <c r="W41" s="66"/>
      <c r="X41" s="66"/>
      <c r="AB41" s="66"/>
      <c r="AG41" s="66"/>
    </row>
    <row r="42" spans="4:33">
      <c r="D42" s="66"/>
      <c r="G42" s="66"/>
      <c r="V42" s="66"/>
      <c r="W42" s="66"/>
      <c r="X42" s="66"/>
      <c r="AB42" s="66"/>
      <c r="AG42" s="66"/>
    </row>
    <row r="43" spans="4:33">
      <c r="D43" s="66"/>
      <c r="G43" s="66"/>
      <c r="V43" s="66"/>
      <c r="W43" s="66"/>
      <c r="X43" s="66"/>
      <c r="AB43" s="66"/>
      <c r="AG43" s="66"/>
    </row>
    <row r="44" spans="4:33">
      <c r="D44" s="66"/>
      <c r="G44" s="66"/>
      <c r="V44" s="66"/>
      <c r="W44" s="66"/>
      <c r="X44" s="66"/>
      <c r="AB44" s="66"/>
      <c r="AG44" s="66"/>
    </row>
    <row r="45" spans="4:33">
      <c r="D45" s="66"/>
      <c r="G45" s="66"/>
      <c r="V45" s="66"/>
      <c r="W45" s="66"/>
      <c r="X45" s="66"/>
      <c r="AB45" s="66"/>
      <c r="AG45" s="66"/>
    </row>
    <row r="46" spans="4:33">
      <c r="D46" s="66"/>
      <c r="G46" s="66"/>
      <c r="V46" s="66"/>
      <c r="W46" s="66"/>
      <c r="X46" s="66"/>
      <c r="AB46" s="66"/>
      <c r="AG46" s="66"/>
    </row>
    <row r="47" spans="4:33">
      <c r="D47" s="66"/>
      <c r="G47" s="66"/>
      <c r="V47" s="66"/>
      <c r="W47" s="66"/>
      <c r="X47" s="66"/>
      <c r="AB47" s="66"/>
      <c r="AG47" s="66"/>
    </row>
    <row r="48" spans="4:33">
      <c r="D48" s="66"/>
      <c r="G48" s="66"/>
      <c r="V48" s="66"/>
      <c r="W48" s="66"/>
      <c r="X48" s="66"/>
      <c r="AB48" s="66"/>
      <c r="AG48" s="66"/>
    </row>
    <row r="49" spans="4:33">
      <c r="D49" s="66"/>
      <c r="G49" s="66"/>
      <c r="V49" s="66"/>
      <c r="W49" s="66"/>
      <c r="X49" s="66"/>
      <c r="AB49" s="66"/>
      <c r="AG49" s="66"/>
    </row>
    <row r="50" spans="4:33">
      <c r="D50" s="66"/>
      <c r="G50" s="66"/>
      <c r="V50" s="66"/>
      <c r="W50" s="66"/>
      <c r="X50" s="66"/>
      <c r="AB50" s="66"/>
      <c r="AG50" s="66"/>
    </row>
    <row r="51" spans="4:33">
      <c r="D51" s="66"/>
      <c r="G51" s="66"/>
      <c r="V51" s="66"/>
      <c r="W51" s="66"/>
      <c r="X51" s="66"/>
      <c r="AB51" s="66"/>
      <c r="AG51" s="66"/>
    </row>
    <row r="52" spans="4:33">
      <c r="D52" s="66"/>
      <c r="G52" s="66"/>
      <c r="V52" s="66"/>
      <c r="W52" s="66"/>
      <c r="X52" s="66"/>
      <c r="AB52" s="66"/>
      <c r="AG52" s="66"/>
    </row>
    <row r="53" spans="4:33">
      <c r="D53" s="66"/>
      <c r="G53" s="66"/>
      <c r="V53" s="66"/>
      <c r="W53" s="66"/>
      <c r="X53" s="66"/>
      <c r="AB53" s="66"/>
      <c r="AG53" s="66"/>
    </row>
    <row r="54" spans="4:33">
      <c r="D54" s="66"/>
      <c r="G54" s="66"/>
      <c r="V54" s="66"/>
      <c r="W54" s="66"/>
      <c r="X54" s="66"/>
      <c r="AB54" s="66"/>
      <c r="AG54" s="66"/>
    </row>
    <row r="55" spans="4:33">
      <c r="D55" s="66"/>
      <c r="G55" s="66"/>
      <c r="V55" s="66"/>
      <c r="W55" s="66"/>
      <c r="X55" s="66"/>
      <c r="AB55" s="66"/>
      <c r="AG55" s="66"/>
    </row>
    <row r="56" spans="4:33">
      <c r="D56" s="66"/>
      <c r="G56" s="66"/>
      <c r="V56" s="66"/>
      <c r="W56" s="66"/>
      <c r="X56" s="66"/>
      <c r="AB56" s="66"/>
      <c r="AG56" s="66"/>
    </row>
    <row r="57" spans="4:33">
      <c r="D57" s="66"/>
      <c r="G57" s="66"/>
      <c r="V57" s="66"/>
      <c r="W57" s="66"/>
      <c r="X57" s="66"/>
      <c r="AB57" s="66"/>
      <c r="AG57" s="66"/>
    </row>
    <row r="58" spans="4:33">
      <c r="D58" s="66"/>
      <c r="G58" s="66"/>
      <c r="V58" s="66"/>
      <c r="W58" s="66"/>
      <c r="X58" s="66"/>
      <c r="AB58" s="66"/>
      <c r="AG58" s="66"/>
    </row>
    <row r="59" spans="4:33">
      <c r="D59" s="66"/>
      <c r="G59" s="66"/>
      <c r="V59" s="66"/>
      <c r="W59" s="66"/>
      <c r="X59" s="66"/>
      <c r="AB59" s="66"/>
      <c r="AG59" s="66"/>
    </row>
    <row r="60" spans="4:33">
      <c r="D60" s="66"/>
      <c r="G60" s="66"/>
      <c r="V60" s="66"/>
      <c r="W60" s="66"/>
      <c r="X60" s="66"/>
      <c r="AB60" s="66"/>
      <c r="AG60" s="66"/>
    </row>
    <row r="61" spans="4:33">
      <c r="D61" s="66"/>
      <c r="G61" s="66"/>
      <c r="V61" s="66"/>
      <c r="W61" s="66"/>
      <c r="X61" s="66"/>
      <c r="AB61" s="66"/>
      <c r="AG61" s="66"/>
    </row>
    <row r="62" spans="4:33">
      <c r="D62" s="66"/>
      <c r="G62" s="66"/>
      <c r="V62" s="66"/>
      <c r="W62" s="66"/>
      <c r="X62" s="66"/>
      <c r="AB62" s="66"/>
      <c r="AG62" s="66"/>
    </row>
    <row r="63" spans="4:33">
      <c r="D63" s="66"/>
      <c r="G63" s="66"/>
      <c r="V63" s="66"/>
      <c r="W63" s="66"/>
      <c r="X63" s="66"/>
      <c r="AB63" s="66"/>
      <c r="AG63" s="66"/>
    </row>
    <row r="64" spans="4:33">
      <c r="D64" s="66"/>
      <c r="G64" s="66"/>
      <c r="V64" s="66"/>
      <c r="W64" s="66"/>
      <c r="X64" s="66"/>
      <c r="AB64" s="66"/>
      <c r="AG64" s="66"/>
    </row>
    <row r="65" spans="4:33">
      <c r="D65" s="66"/>
      <c r="G65" s="66"/>
      <c r="V65" s="66"/>
      <c r="W65" s="66"/>
      <c r="X65" s="66"/>
      <c r="AB65" s="66"/>
      <c r="AG65" s="66"/>
    </row>
    <row r="66" spans="4:33">
      <c r="D66" s="66"/>
      <c r="G66" s="66"/>
      <c r="V66" s="66"/>
      <c r="W66" s="66"/>
      <c r="X66" s="66"/>
      <c r="AB66" s="66"/>
      <c r="AG66" s="66"/>
    </row>
    <row r="67" spans="4:33">
      <c r="D67" s="66"/>
      <c r="G67" s="66"/>
      <c r="V67" s="66"/>
      <c r="W67" s="66"/>
      <c r="X67" s="66"/>
      <c r="AB67" s="66"/>
      <c r="AG67" s="66"/>
    </row>
    <row r="68" spans="4:33">
      <c r="D68" s="66"/>
      <c r="G68" s="66"/>
      <c r="V68" s="66"/>
      <c r="W68" s="66"/>
      <c r="X68" s="66"/>
      <c r="AB68" s="66"/>
      <c r="AG68" s="66"/>
    </row>
    <row r="69" spans="4:33">
      <c r="D69" s="66"/>
      <c r="G69" s="66"/>
      <c r="V69" s="66"/>
      <c r="W69" s="66"/>
      <c r="X69" s="66"/>
      <c r="AB69" s="66"/>
      <c r="AG69" s="66"/>
    </row>
    <row r="70" spans="4:33">
      <c r="D70" s="66"/>
      <c r="G70" s="66"/>
      <c r="V70" s="66"/>
      <c r="W70" s="66"/>
      <c r="X70" s="66"/>
      <c r="AB70" s="66"/>
      <c r="AG70" s="66"/>
    </row>
    <row r="71" spans="4:33">
      <c r="D71" s="66"/>
      <c r="G71" s="66"/>
      <c r="V71" s="66"/>
      <c r="W71" s="66"/>
      <c r="X71" s="66"/>
      <c r="AB71" s="66"/>
      <c r="AG71" s="66"/>
    </row>
    <row r="72" spans="4:33">
      <c r="D72" s="66"/>
      <c r="G72" s="66"/>
      <c r="V72" s="66"/>
      <c r="W72" s="66"/>
      <c r="X72" s="66"/>
      <c r="AB72" s="66"/>
      <c r="AG72" s="66"/>
    </row>
    <row r="73" spans="4:33">
      <c r="D73" s="66"/>
      <c r="G73" s="66"/>
      <c r="V73" s="66"/>
      <c r="W73" s="66"/>
      <c r="X73" s="66"/>
      <c r="AB73" s="66"/>
      <c r="AG73" s="66"/>
    </row>
    <row r="74" spans="4:33">
      <c r="D74" s="66"/>
      <c r="G74" s="66"/>
      <c r="V74" s="66"/>
      <c r="W74" s="66"/>
      <c r="X74" s="66"/>
      <c r="AB74" s="66"/>
      <c r="AG74" s="66"/>
    </row>
    <row r="75" spans="4:33">
      <c r="D75" s="66"/>
      <c r="G75" s="66"/>
      <c r="V75" s="66"/>
      <c r="W75" s="66"/>
      <c r="X75" s="66"/>
      <c r="AB75" s="66"/>
      <c r="AG75" s="66"/>
    </row>
    <row r="76" spans="4:33">
      <c r="D76" s="66"/>
      <c r="G76" s="66"/>
      <c r="V76" s="66"/>
      <c r="W76" s="66"/>
      <c r="X76" s="66"/>
      <c r="AB76" s="66"/>
      <c r="AG76" s="66"/>
    </row>
    <row r="77" spans="4:33">
      <c r="D77" s="66"/>
      <c r="G77" s="66"/>
      <c r="V77" s="66"/>
      <c r="W77" s="66"/>
      <c r="X77" s="66"/>
      <c r="AB77" s="66"/>
      <c r="AG77" s="66"/>
    </row>
    <row r="78" spans="4:33">
      <c r="D78" s="66"/>
      <c r="G78" s="66"/>
      <c r="V78" s="66"/>
      <c r="W78" s="66"/>
      <c r="X78" s="66"/>
      <c r="AB78" s="66"/>
      <c r="AG78" s="66"/>
    </row>
    <row r="79" spans="4:33">
      <c r="D79" s="66"/>
      <c r="G79" s="66"/>
      <c r="V79" s="66"/>
      <c r="W79" s="66"/>
      <c r="X79" s="66"/>
      <c r="AB79" s="66"/>
      <c r="AG79" s="66"/>
    </row>
    <row r="80" spans="4:33">
      <c r="D80" s="66"/>
      <c r="G80" s="66"/>
      <c r="V80" s="66"/>
      <c r="W80" s="66"/>
      <c r="X80" s="66"/>
      <c r="AB80" s="66"/>
      <c r="AG80" s="66"/>
    </row>
    <row r="81" spans="4:33">
      <c r="D81" s="66"/>
      <c r="G81" s="66"/>
      <c r="V81" s="66"/>
      <c r="W81" s="66"/>
      <c r="X81" s="66"/>
      <c r="AB81" s="66"/>
      <c r="AG81" s="66"/>
    </row>
    <row r="82" spans="4:33">
      <c r="D82" s="66"/>
      <c r="G82" s="66"/>
      <c r="V82" s="66"/>
      <c r="W82" s="66"/>
      <c r="X82" s="66"/>
      <c r="AB82" s="66"/>
      <c r="AG82" s="66"/>
    </row>
    <row r="83" spans="4:33">
      <c r="D83" s="66"/>
      <c r="G83" s="66"/>
      <c r="V83" s="66"/>
      <c r="W83" s="66"/>
      <c r="X83" s="66"/>
      <c r="AB83" s="66"/>
      <c r="AG83" s="66"/>
    </row>
    <row r="84" spans="4:33">
      <c r="D84" s="66"/>
      <c r="G84" s="66"/>
      <c r="V84" s="66"/>
      <c r="W84" s="66"/>
      <c r="X84" s="66"/>
      <c r="AB84" s="66"/>
      <c r="AG84" s="66"/>
    </row>
    <row r="85" spans="4:33">
      <c r="D85" s="66"/>
      <c r="G85" s="66"/>
      <c r="V85" s="66"/>
      <c r="W85" s="66"/>
      <c r="X85" s="66"/>
      <c r="AB85" s="66"/>
      <c r="AG85" s="66"/>
    </row>
    <row r="86" spans="4:33">
      <c r="D86" s="66"/>
      <c r="G86" s="66"/>
      <c r="V86" s="66"/>
      <c r="W86" s="66"/>
      <c r="X86" s="66"/>
      <c r="AB86" s="66"/>
      <c r="AG86" s="66"/>
    </row>
    <row r="87" spans="4:33">
      <c r="D87" s="66"/>
      <c r="G87" s="66"/>
      <c r="V87" s="66"/>
      <c r="W87" s="66"/>
      <c r="X87" s="66"/>
      <c r="AB87" s="66"/>
      <c r="AG87" s="66"/>
    </row>
    <row r="88" spans="4:33">
      <c r="D88" s="66"/>
      <c r="G88" s="66"/>
      <c r="V88" s="66"/>
      <c r="W88" s="66"/>
      <c r="X88" s="66"/>
      <c r="AB88" s="66"/>
      <c r="AG88" s="66"/>
    </row>
    <row r="89" spans="4:33">
      <c r="D89" s="66"/>
      <c r="G89" s="66"/>
      <c r="V89" s="66"/>
      <c r="W89" s="66"/>
      <c r="X89" s="66"/>
      <c r="AB89" s="66"/>
      <c r="AG89" s="66"/>
    </row>
    <row r="90" spans="4:33">
      <c r="D90" s="66"/>
      <c r="G90" s="66"/>
      <c r="V90" s="66"/>
      <c r="W90" s="66"/>
      <c r="X90" s="66"/>
      <c r="AB90" s="66"/>
      <c r="AG90" s="66"/>
    </row>
    <row r="91" spans="4:33">
      <c r="D91" s="66"/>
      <c r="G91" s="66"/>
      <c r="V91" s="66"/>
      <c r="W91" s="66"/>
      <c r="X91" s="66"/>
      <c r="AB91" s="66"/>
      <c r="AG91" s="66"/>
    </row>
    <row r="92" spans="4:33">
      <c r="D92" s="66"/>
      <c r="G92" s="66"/>
      <c r="V92" s="66"/>
      <c r="W92" s="66"/>
      <c r="X92" s="66"/>
      <c r="AB92" s="66"/>
      <c r="AG92" s="66"/>
    </row>
    <row r="93" spans="4:33">
      <c r="D93" s="66"/>
      <c r="G93" s="66"/>
      <c r="V93" s="66"/>
      <c r="W93" s="66"/>
      <c r="X93" s="66"/>
      <c r="AB93" s="66"/>
      <c r="AG93" s="66"/>
    </row>
    <row r="94" spans="4:33">
      <c r="D94" s="66"/>
      <c r="G94" s="66"/>
      <c r="V94" s="66"/>
      <c r="W94" s="66"/>
      <c r="X94" s="66"/>
      <c r="AB94" s="66"/>
      <c r="AG94" s="66"/>
    </row>
    <row r="95" spans="4:33">
      <c r="D95" s="66"/>
      <c r="G95" s="66"/>
      <c r="V95" s="66"/>
      <c r="W95" s="66"/>
      <c r="X95" s="66"/>
      <c r="AB95" s="66"/>
      <c r="AG95" s="66"/>
    </row>
    <row r="96" spans="4:33">
      <c r="D96" s="66"/>
      <c r="G96" s="66"/>
      <c r="V96" s="66"/>
      <c r="W96" s="66"/>
      <c r="X96" s="66"/>
      <c r="AB96" s="66"/>
      <c r="AG96" s="66"/>
    </row>
    <row r="97" spans="4:33">
      <c r="D97" s="66"/>
      <c r="G97" s="66"/>
      <c r="V97" s="66"/>
      <c r="W97" s="66"/>
      <c r="X97" s="66"/>
      <c r="AB97" s="66"/>
      <c r="AG97" s="66"/>
    </row>
    <row r="98" spans="4:33">
      <c r="D98" s="66"/>
      <c r="G98" s="66"/>
      <c r="V98" s="66"/>
      <c r="W98" s="66"/>
      <c r="X98" s="66"/>
      <c r="AB98" s="66"/>
      <c r="AG98" s="66"/>
    </row>
    <row r="99" spans="4:33">
      <c r="D99" s="66"/>
      <c r="G99" s="66"/>
      <c r="V99" s="66"/>
      <c r="W99" s="66"/>
      <c r="X99" s="66"/>
      <c r="AB99" s="66"/>
      <c r="AG99" s="66"/>
    </row>
    <row r="100" spans="4:33">
      <c r="D100" s="66"/>
      <c r="G100" s="66"/>
      <c r="V100" s="66"/>
      <c r="W100" s="66"/>
      <c r="X100" s="66"/>
      <c r="AB100" s="66"/>
      <c r="AG100" s="66"/>
    </row>
    <row r="101" spans="4:33">
      <c r="D101" s="66"/>
      <c r="G101" s="66"/>
      <c r="V101" s="66"/>
      <c r="W101" s="66"/>
      <c r="X101" s="66"/>
      <c r="AB101" s="66"/>
      <c r="AG101" s="66"/>
    </row>
    <row r="102" spans="4:33">
      <c r="D102" s="66"/>
      <c r="G102" s="66"/>
      <c r="V102" s="66"/>
      <c r="W102" s="66"/>
      <c r="X102" s="66"/>
      <c r="AB102" s="66"/>
      <c r="AG102" s="66"/>
    </row>
    <row r="103" spans="4:33">
      <c r="D103" s="66"/>
      <c r="G103" s="66"/>
      <c r="V103" s="66"/>
      <c r="W103" s="66"/>
      <c r="X103" s="66"/>
      <c r="AB103" s="66"/>
      <c r="AG103" s="66"/>
    </row>
    <row r="104" spans="4:33">
      <c r="D104" s="66"/>
      <c r="G104" s="66"/>
      <c r="V104" s="66"/>
      <c r="W104" s="66"/>
      <c r="X104" s="66"/>
      <c r="AB104" s="66"/>
      <c r="AG104" s="66"/>
    </row>
    <row r="105" spans="4:33">
      <c r="D105" s="66"/>
      <c r="G105" s="66"/>
      <c r="V105" s="66"/>
      <c r="W105" s="66"/>
      <c r="X105" s="66"/>
      <c r="AB105" s="66"/>
      <c r="AG105" s="66"/>
    </row>
    <row r="106" spans="4:33">
      <c r="D106" s="66"/>
      <c r="G106" s="66"/>
      <c r="V106" s="66"/>
      <c r="W106" s="66"/>
      <c r="X106" s="66"/>
      <c r="AB106" s="66"/>
      <c r="AG106" s="66"/>
    </row>
    <row r="107" spans="4:33">
      <c r="D107" s="66"/>
      <c r="G107" s="66"/>
      <c r="V107" s="66"/>
      <c r="W107" s="66"/>
      <c r="X107" s="66"/>
      <c r="AB107" s="66"/>
      <c r="AG107" s="66"/>
    </row>
    <row r="108" spans="4:33">
      <c r="D108" s="66"/>
      <c r="G108" s="66"/>
      <c r="V108" s="66"/>
      <c r="W108" s="66"/>
      <c r="X108" s="66"/>
      <c r="AB108" s="66"/>
      <c r="AG108" s="66"/>
    </row>
    <row r="109" spans="4:33">
      <c r="D109" s="66"/>
      <c r="G109" s="66"/>
      <c r="V109" s="66"/>
      <c r="W109" s="66"/>
      <c r="X109" s="66"/>
      <c r="AB109" s="66"/>
      <c r="AG109" s="66"/>
    </row>
    <row r="110" spans="4:33">
      <c r="D110" s="66"/>
      <c r="G110" s="66"/>
      <c r="V110" s="66"/>
      <c r="W110" s="66"/>
      <c r="X110" s="66"/>
      <c r="AB110" s="66"/>
      <c r="AG110" s="66"/>
    </row>
    <row r="111" spans="4:33">
      <c r="D111" s="66"/>
      <c r="G111" s="66"/>
      <c r="V111" s="66"/>
      <c r="W111" s="66"/>
      <c r="X111" s="66"/>
      <c r="AB111" s="66"/>
      <c r="AG111" s="66"/>
    </row>
    <row r="112" spans="4:33">
      <c r="D112" s="66"/>
      <c r="G112" s="66"/>
      <c r="V112" s="66"/>
      <c r="W112" s="66"/>
      <c r="X112" s="66"/>
      <c r="AB112" s="66"/>
      <c r="AG112" s="66"/>
    </row>
    <row r="113" spans="4:33">
      <c r="D113" s="66"/>
      <c r="G113" s="66"/>
      <c r="V113" s="66"/>
      <c r="W113" s="66"/>
      <c r="X113" s="66"/>
      <c r="AB113" s="66"/>
      <c r="AG113" s="66"/>
    </row>
    <row r="114" spans="4:33">
      <c r="D114" s="66"/>
      <c r="G114" s="66"/>
      <c r="V114" s="66"/>
      <c r="W114" s="66"/>
      <c r="X114" s="66"/>
      <c r="AB114" s="66"/>
      <c r="AG114" s="66"/>
    </row>
    <row r="115" spans="4:33">
      <c r="D115" s="66"/>
      <c r="G115" s="66"/>
      <c r="V115" s="66"/>
      <c r="W115" s="66"/>
      <c r="X115" s="66"/>
      <c r="AB115" s="66"/>
      <c r="AG115" s="66"/>
    </row>
    <row r="116" spans="4:33">
      <c r="D116" s="66"/>
      <c r="G116" s="66"/>
      <c r="V116" s="66"/>
      <c r="W116" s="66"/>
      <c r="X116" s="66"/>
      <c r="AB116" s="66"/>
      <c r="AG116" s="66"/>
    </row>
    <row r="117" spans="4:33">
      <c r="D117" s="66"/>
      <c r="G117" s="66"/>
      <c r="V117" s="66"/>
      <c r="W117" s="66"/>
      <c r="X117" s="66"/>
      <c r="AB117" s="66"/>
      <c r="AG117" s="66"/>
    </row>
    <row r="118" spans="4:33">
      <c r="D118" s="66"/>
      <c r="G118" s="66"/>
      <c r="V118" s="66"/>
      <c r="W118" s="66"/>
      <c r="X118" s="66"/>
      <c r="AB118" s="66"/>
      <c r="AG118" s="66"/>
    </row>
    <row r="119" spans="4:33">
      <c r="D119" s="66"/>
      <c r="G119" s="66"/>
      <c r="V119" s="66"/>
      <c r="W119" s="66"/>
      <c r="X119" s="66"/>
      <c r="AB119" s="66"/>
      <c r="AG119" s="66"/>
    </row>
    <row r="120" spans="4:33">
      <c r="D120" s="66"/>
      <c r="G120" s="66"/>
      <c r="V120" s="66"/>
      <c r="W120" s="66"/>
      <c r="X120" s="66"/>
      <c r="AB120" s="66"/>
      <c r="AG120" s="66"/>
    </row>
    <row r="121" spans="4:33">
      <c r="D121" s="66"/>
      <c r="G121" s="66"/>
      <c r="V121" s="66"/>
      <c r="W121" s="66"/>
      <c r="X121" s="66"/>
      <c r="AB121" s="66"/>
      <c r="AG121" s="66"/>
    </row>
    <row r="122" spans="4:33">
      <c r="D122" s="66"/>
      <c r="G122" s="66"/>
      <c r="V122" s="66"/>
      <c r="W122" s="66"/>
      <c r="X122" s="66"/>
      <c r="AB122" s="66"/>
      <c r="AG122" s="66"/>
    </row>
    <row r="123" spans="4:33">
      <c r="D123" s="66"/>
      <c r="G123" s="66"/>
      <c r="V123" s="66"/>
      <c r="W123" s="66"/>
      <c r="X123" s="66"/>
      <c r="AB123" s="66"/>
      <c r="AG123" s="66"/>
    </row>
    <row r="124" spans="4:33">
      <c r="D124" s="66"/>
      <c r="G124" s="66"/>
      <c r="V124" s="66"/>
      <c r="W124" s="66"/>
      <c r="X124" s="66"/>
      <c r="AB124" s="66"/>
      <c r="AG124" s="66"/>
    </row>
    <row r="125" spans="4:33">
      <c r="D125" s="66"/>
      <c r="G125" s="66"/>
      <c r="V125" s="66"/>
      <c r="W125" s="66"/>
      <c r="X125" s="66"/>
      <c r="AB125" s="66"/>
      <c r="AG125" s="66"/>
    </row>
    <row r="126" spans="4:33">
      <c r="D126" s="66"/>
      <c r="G126" s="66"/>
      <c r="V126" s="66"/>
      <c r="W126" s="66"/>
      <c r="X126" s="66"/>
      <c r="AB126" s="66"/>
      <c r="AG126" s="66"/>
    </row>
    <row r="127" spans="4:33">
      <c r="D127" s="66"/>
      <c r="G127" s="66"/>
      <c r="V127" s="66"/>
      <c r="W127" s="66"/>
      <c r="X127" s="66"/>
      <c r="AB127" s="66"/>
      <c r="AG127" s="66"/>
    </row>
    <row r="128" spans="4:33">
      <c r="D128" s="66"/>
      <c r="G128" s="66"/>
      <c r="V128" s="66"/>
      <c r="W128" s="66"/>
      <c r="X128" s="66"/>
      <c r="AB128" s="66"/>
      <c r="AG128" s="66"/>
    </row>
    <row r="129" spans="4:33">
      <c r="D129" s="66"/>
      <c r="G129" s="66"/>
      <c r="V129" s="66"/>
      <c r="W129" s="66"/>
      <c r="X129" s="66"/>
      <c r="AB129" s="66"/>
      <c r="AG129" s="66"/>
    </row>
    <row r="130" spans="4:33">
      <c r="D130" s="66"/>
      <c r="G130" s="66"/>
      <c r="V130" s="66"/>
      <c r="W130" s="66"/>
      <c r="X130" s="66"/>
      <c r="AB130" s="66"/>
      <c r="AG130" s="66"/>
    </row>
    <row r="131" spans="4:33">
      <c r="D131" s="66"/>
      <c r="G131" s="66"/>
      <c r="V131" s="66"/>
      <c r="W131" s="66"/>
      <c r="X131" s="66"/>
      <c r="AB131" s="66"/>
      <c r="AG131" s="66"/>
    </row>
    <row r="132" spans="4:33">
      <c r="D132" s="66"/>
      <c r="G132" s="66"/>
      <c r="V132" s="66"/>
      <c r="W132" s="66"/>
      <c r="X132" s="66"/>
      <c r="AB132" s="66"/>
      <c r="AG132" s="66"/>
    </row>
    <row r="133" spans="4:33">
      <c r="D133" s="66"/>
      <c r="G133" s="66"/>
      <c r="V133" s="66"/>
      <c r="W133" s="66"/>
      <c r="X133" s="66"/>
      <c r="AB133" s="66"/>
      <c r="AG133" s="66"/>
    </row>
    <row r="134" spans="4:33">
      <c r="D134" s="66"/>
      <c r="G134" s="66"/>
      <c r="V134" s="66"/>
      <c r="W134" s="66"/>
      <c r="X134" s="66"/>
      <c r="AB134" s="66"/>
      <c r="AG134" s="66"/>
    </row>
    <row r="135" spans="4:33">
      <c r="D135" s="66"/>
      <c r="G135" s="66"/>
      <c r="V135" s="66"/>
      <c r="W135" s="66"/>
      <c r="X135" s="66"/>
      <c r="AB135" s="66"/>
      <c r="AG135" s="66"/>
    </row>
    <row r="136" spans="4:33">
      <c r="D136" s="66"/>
      <c r="G136" s="66"/>
      <c r="V136" s="66"/>
      <c r="W136" s="66"/>
      <c r="X136" s="66"/>
      <c r="AB136" s="66"/>
      <c r="AG136" s="66"/>
    </row>
    <row r="137" spans="4:33">
      <c r="D137" s="66"/>
      <c r="G137" s="66"/>
      <c r="V137" s="66"/>
      <c r="W137" s="66"/>
      <c r="X137" s="66"/>
      <c r="AB137" s="66"/>
      <c r="AG137" s="66"/>
    </row>
    <row r="138" spans="4:33">
      <c r="D138" s="66"/>
      <c r="G138" s="66"/>
      <c r="V138" s="66"/>
      <c r="W138" s="66"/>
      <c r="X138" s="66"/>
      <c r="AB138" s="66"/>
      <c r="AG138" s="66"/>
    </row>
    <row r="139" spans="4:33">
      <c r="D139" s="66"/>
      <c r="G139" s="66"/>
      <c r="V139" s="66"/>
      <c r="W139" s="66"/>
      <c r="X139" s="66"/>
      <c r="AB139" s="66"/>
      <c r="AG139" s="66"/>
    </row>
    <row r="140" spans="4:33">
      <c r="D140" s="66"/>
      <c r="G140" s="66"/>
      <c r="V140" s="66"/>
      <c r="W140" s="66"/>
      <c r="X140" s="66"/>
      <c r="AB140" s="66"/>
      <c r="AG140" s="66"/>
    </row>
    <row r="141" spans="4:33">
      <c r="D141" s="66"/>
      <c r="G141" s="66"/>
      <c r="V141" s="66"/>
      <c r="W141" s="66"/>
      <c r="X141" s="66"/>
      <c r="AB141" s="66"/>
      <c r="AG141" s="66"/>
    </row>
    <row r="142" spans="4:33">
      <c r="D142" s="66"/>
      <c r="G142" s="66"/>
      <c r="V142" s="66"/>
      <c r="W142" s="66"/>
      <c r="X142" s="66"/>
      <c r="AB142" s="66"/>
      <c r="AG142" s="66"/>
    </row>
    <row r="143" spans="4:33">
      <c r="D143" s="66"/>
      <c r="G143" s="66"/>
      <c r="V143" s="66"/>
      <c r="W143" s="66"/>
      <c r="X143" s="66"/>
      <c r="AB143" s="66"/>
      <c r="AG143" s="66"/>
    </row>
    <row r="144" spans="4:33">
      <c r="D144" s="66"/>
      <c r="G144" s="66"/>
      <c r="V144" s="66"/>
      <c r="W144" s="66"/>
      <c r="X144" s="66"/>
      <c r="AB144" s="66"/>
      <c r="AG144" s="66"/>
    </row>
    <row r="145" spans="4:33">
      <c r="D145" s="66"/>
      <c r="G145" s="66"/>
      <c r="V145" s="66"/>
      <c r="W145" s="66"/>
      <c r="X145" s="66"/>
      <c r="AB145" s="66"/>
      <c r="AG145" s="66"/>
    </row>
    <row r="146" spans="4:33">
      <c r="D146" s="66"/>
      <c r="G146" s="66"/>
      <c r="V146" s="66"/>
      <c r="W146" s="66"/>
      <c r="X146" s="66"/>
      <c r="AB146" s="66"/>
      <c r="AG146" s="66"/>
    </row>
    <row r="147" spans="4:33">
      <c r="D147" s="66"/>
      <c r="G147" s="66"/>
      <c r="V147" s="66"/>
      <c r="W147" s="66"/>
      <c r="X147" s="66"/>
      <c r="AB147" s="66"/>
      <c r="AG147" s="66"/>
    </row>
    <row r="148" spans="4:33">
      <c r="D148" s="66"/>
      <c r="G148" s="66"/>
      <c r="V148" s="66"/>
      <c r="W148" s="66"/>
      <c r="X148" s="66"/>
      <c r="AB148" s="66"/>
      <c r="AG148" s="66"/>
    </row>
    <row r="149" spans="4:33">
      <c r="D149" s="66"/>
      <c r="G149" s="66"/>
      <c r="V149" s="66"/>
      <c r="W149" s="66"/>
      <c r="X149" s="66"/>
      <c r="AB149" s="66"/>
      <c r="AG149" s="66"/>
    </row>
    <row r="150" spans="4:33">
      <c r="D150" s="66"/>
      <c r="G150" s="66"/>
      <c r="V150" s="66"/>
      <c r="W150" s="66"/>
      <c r="X150" s="66"/>
      <c r="AB150" s="66"/>
      <c r="AG150" s="66"/>
    </row>
    <row r="151" spans="4:33">
      <c r="D151" s="66"/>
      <c r="G151" s="66"/>
      <c r="V151" s="66"/>
      <c r="W151" s="66"/>
      <c r="X151" s="66"/>
      <c r="AB151" s="66"/>
      <c r="AG151" s="66"/>
    </row>
    <row r="152" spans="4:33">
      <c r="D152" s="66"/>
      <c r="G152" s="66"/>
      <c r="V152" s="66"/>
      <c r="W152" s="66"/>
      <c r="X152" s="66"/>
      <c r="AB152" s="66"/>
      <c r="AG152" s="66"/>
    </row>
    <row r="153" spans="4:33">
      <c r="D153" s="66"/>
      <c r="G153" s="66"/>
      <c r="V153" s="66"/>
      <c r="W153" s="66"/>
      <c r="X153" s="66"/>
      <c r="AB153" s="66"/>
      <c r="AG153" s="66"/>
    </row>
    <row r="154" spans="4:33">
      <c r="D154" s="66"/>
      <c r="G154" s="66"/>
      <c r="V154" s="66"/>
      <c r="W154" s="66"/>
      <c r="X154" s="66"/>
      <c r="AB154" s="66"/>
      <c r="AG154" s="66"/>
    </row>
    <row r="155" spans="4:33">
      <c r="D155" s="66"/>
      <c r="G155" s="66"/>
      <c r="V155" s="66"/>
      <c r="W155" s="66"/>
      <c r="X155" s="66"/>
      <c r="AB155" s="66"/>
      <c r="AG155" s="66"/>
    </row>
    <row r="156" spans="4:33">
      <c r="D156" s="66"/>
      <c r="G156" s="66"/>
      <c r="V156" s="66"/>
      <c r="W156" s="66"/>
      <c r="X156" s="66"/>
      <c r="AB156" s="66"/>
      <c r="AG156" s="66"/>
    </row>
    <row r="157" spans="4:33">
      <c r="D157" s="66"/>
      <c r="G157" s="66"/>
      <c r="V157" s="66"/>
      <c r="W157" s="66"/>
      <c r="X157" s="66"/>
      <c r="AB157" s="66"/>
      <c r="AG157" s="66"/>
    </row>
    <row r="158" spans="4:33">
      <c r="D158" s="66"/>
      <c r="G158" s="66"/>
      <c r="V158" s="66"/>
      <c r="W158" s="66"/>
      <c r="X158" s="66"/>
      <c r="AB158" s="66"/>
      <c r="AG158" s="66"/>
    </row>
    <row r="159" spans="4:33">
      <c r="D159" s="66"/>
      <c r="G159" s="66"/>
      <c r="V159" s="66"/>
      <c r="W159" s="66"/>
      <c r="X159" s="66"/>
      <c r="AB159" s="66"/>
      <c r="AG159" s="66"/>
    </row>
    <row r="160" spans="4:33">
      <c r="D160" s="66"/>
      <c r="G160" s="66"/>
      <c r="V160" s="66"/>
      <c r="W160" s="66"/>
      <c r="X160" s="66"/>
      <c r="AB160" s="66"/>
      <c r="AG160" s="66"/>
    </row>
    <row r="161" spans="4:33">
      <c r="D161" s="66"/>
      <c r="G161" s="66"/>
      <c r="V161" s="66"/>
      <c r="W161" s="66"/>
      <c r="X161" s="66"/>
      <c r="AB161" s="66"/>
      <c r="AG161" s="66"/>
    </row>
    <row r="162" spans="4:33">
      <c r="D162" s="66"/>
      <c r="G162" s="66"/>
      <c r="V162" s="66"/>
      <c r="W162" s="66"/>
      <c r="X162" s="66"/>
      <c r="AB162" s="66"/>
      <c r="AG162" s="66"/>
    </row>
    <row r="163" spans="4:33">
      <c r="D163" s="66"/>
      <c r="G163" s="66"/>
      <c r="V163" s="66"/>
      <c r="W163" s="66"/>
      <c r="X163" s="66"/>
      <c r="AB163" s="66"/>
      <c r="AG163" s="66"/>
    </row>
    <row r="164" spans="4:33">
      <c r="D164" s="66"/>
      <c r="G164" s="66"/>
      <c r="V164" s="66"/>
      <c r="W164" s="66"/>
      <c r="X164" s="66"/>
      <c r="AB164" s="66"/>
      <c r="AG164" s="66"/>
    </row>
    <row r="165" spans="4:33">
      <c r="D165" s="66"/>
      <c r="G165" s="66"/>
      <c r="V165" s="66"/>
      <c r="W165" s="66"/>
      <c r="X165" s="66"/>
      <c r="AB165" s="66"/>
      <c r="AG165" s="66"/>
    </row>
    <row r="166" spans="4:33">
      <c r="D166" s="66"/>
      <c r="G166" s="66"/>
      <c r="V166" s="66"/>
      <c r="W166" s="66"/>
      <c r="X166" s="66"/>
      <c r="AB166" s="66"/>
      <c r="AG166" s="66"/>
    </row>
    <row r="167" spans="4:33">
      <c r="D167" s="66"/>
      <c r="G167" s="66"/>
      <c r="V167" s="66"/>
      <c r="W167" s="66"/>
      <c r="X167" s="66"/>
      <c r="AB167" s="66"/>
      <c r="AG167" s="66"/>
    </row>
    <row r="168" spans="4:33">
      <c r="D168" s="66"/>
      <c r="G168" s="66"/>
      <c r="V168" s="66"/>
      <c r="W168" s="66"/>
      <c r="X168" s="66"/>
      <c r="AB168" s="66"/>
      <c r="AG168" s="66"/>
    </row>
    <row r="169" spans="4:33">
      <c r="D169" s="66"/>
      <c r="G169" s="66"/>
      <c r="V169" s="66"/>
      <c r="W169" s="66"/>
      <c r="X169" s="66"/>
      <c r="AB169" s="66"/>
      <c r="AG169" s="66"/>
    </row>
    <row r="170" spans="4:33">
      <c r="D170" s="66"/>
      <c r="G170" s="66"/>
      <c r="V170" s="66"/>
      <c r="W170" s="66"/>
      <c r="X170" s="66"/>
      <c r="AB170" s="66"/>
      <c r="AG170" s="66"/>
    </row>
    <row r="171" spans="4:33">
      <c r="D171" s="66"/>
      <c r="G171" s="66"/>
      <c r="V171" s="66"/>
      <c r="W171" s="66"/>
      <c r="X171" s="66"/>
      <c r="AB171" s="66"/>
      <c r="AG171" s="66"/>
    </row>
    <row r="172" spans="4:33">
      <c r="D172" s="66"/>
      <c r="G172" s="66"/>
      <c r="V172" s="66"/>
      <c r="W172" s="66"/>
      <c r="X172" s="66"/>
      <c r="AB172" s="66"/>
      <c r="AG172" s="66"/>
    </row>
    <row r="173" spans="4:33">
      <c r="D173" s="66"/>
      <c r="G173" s="66"/>
      <c r="V173" s="66"/>
      <c r="W173" s="66"/>
      <c r="X173" s="66"/>
      <c r="AB173" s="66"/>
      <c r="AG173" s="66"/>
    </row>
    <row r="174" spans="4:33">
      <c r="D174" s="66"/>
      <c r="G174" s="66"/>
      <c r="V174" s="66"/>
      <c r="W174" s="66"/>
      <c r="X174" s="66"/>
      <c r="AB174" s="66"/>
      <c r="AG174" s="66"/>
    </row>
    <row r="175" spans="4:33">
      <c r="D175" s="66"/>
      <c r="G175" s="66"/>
      <c r="V175" s="66"/>
      <c r="W175" s="66"/>
      <c r="X175" s="66"/>
      <c r="AB175" s="66"/>
      <c r="AG175" s="66"/>
    </row>
    <row r="176" spans="4:33">
      <c r="D176" s="66"/>
      <c r="G176" s="66"/>
      <c r="V176" s="66"/>
      <c r="W176" s="66"/>
      <c r="X176" s="66"/>
      <c r="AB176" s="66"/>
      <c r="AG176" s="66"/>
    </row>
    <row r="177" spans="4:33">
      <c r="D177" s="66"/>
      <c r="G177" s="66"/>
      <c r="V177" s="66"/>
      <c r="W177" s="66"/>
      <c r="X177" s="66"/>
      <c r="AB177" s="66"/>
      <c r="AG177" s="66"/>
    </row>
    <row r="178" spans="4:33">
      <c r="D178" s="66"/>
      <c r="G178" s="66"/>
      <c r="V178" s="66"/>
      <c r="W178" s="66"/>
      <c r="X178" s="66"/>
      <c r="AB178" s="66"/>
      <c r="AG178" s="66"/>
    </row>
    <row r="179" spans="4:33">
      <c r="D179" s="66"/>
      <c r="G179" s="66"/>
      <c r="V179" s="66"/>
      <c r="W179" s="66"/>
      <c r="X179" s="66"/>
      <c r="AB179" s="66"/>
      <c r="AG179" s="66"/>
    </row>
    <row r="180" spans="4:33">
      <c r="D180" s="66"/>
      <c r="G180" s="66"/>
      <c r="V180" s="66"/>
      <c r="W180" s="66"/>
      <c r="X180" s="66"/>
      <c r="AB180" s="66"/>
      <c r="AG180" s="66"/>
    </row>
    <row r="181" spans="4:33">
      <c r="D181" s="66"/>
      <c r="G181" s="66"/>
      <c r="V181" s="66"/>
      <c r="W181" s="66"/>
      <c r="X181" s="66"/>
      <c r="AB181" s="66"/>
      <c r="AG181" s="66"/>
    </row>
    <row r="182" spans="4:33">
      <c r="D182" s="66"/>
      <c r="G182" s="66"/>
      <c r="V182" s="66"/>
      <c r="W182" s="66"/>
      <c r="X182" s="66"/>
      <c r="AB182" s="66"/>
      <c r="AG182" s="66"/>
    </row>
    <row r="183" spans="4:33">
      <c r="D183" s="66"/>
      <c r="G183" s="66"/>
      <c r="V183" s="66"/>
      <c r="W183" s="66"/>
      <c r="X183" s="66"/>
      <c r="AB183" s="66"/>
      <c r="AG183" s="66"/>
    </row>
    <row r="184" spans="4:33">
      <c r="D184" s="66"/>
      <c r="G184" s="66"/>
      <c r="V184" s="66"/>
      <c r="W184" s="66"/>
      <c r="X184" s="66"/>
      <c r="AB184" s="66"/>
      <c r="AG184" s="66"/>
    </row>
    <row r="185" spans="4:33">
      <c r="D185" s="66"/>
      <c r="G185" s="66"/>
      <c r="V185" s="66"/>
      <c r="W185" s="66"/>
      <c r="X185" s="66"/>
      <c r="AB185" s="66"/>
      <c r="AG185" s="66"/>
    </row>
    <row r="186" spans="4:33">
      <c r="D186" s="66"/>
      <c r="G186" s="66"/>
      <c r="V186" s="66"/>
      <c r="W186" s="66"/>
      <c r="X186" s="66"/>
      <c r="AB186" s="66"/>
      <c r="AG186" s="66"/>
    </row>
    <row r="187" spans="4:33">
      <c r="D187" s="66"/>
      <c r="G187" s="66"/>
      <c r="V187" s="66"/>
      <c r="W187" s="66"/>
      <c r="X187" s="66"/>
      <c r="AB187" s="66"/>
      <c r="AG187" s="66"/>
    </row>
    <row r="188" spans="4:33">
      <c r="D188" s="66"/>
      <c r="G188" s="66"/>
      <c r="V188" s="66"/>
      <c r="W188" s="66"/>
      <c r="X188" s="66"/>
      <c r="AB188" s="66"/>
      <c r="AG188" s="66"/>
    </row>
    <row r="189" spans="4:33">
      <c r="D189" s="66"/>
      <c r="G189" s="66"/>
      <c r="V189" s="66"/>
      <c r="W189" s="66"/>
      <c r="X189" s="66"/>
      <c r="AB189" s="66"/>
      <c r="AG189" s="66"/>
    </row>
    <row r="190" spans="4:33">
      <c r="D190" s="66"/>
      <c r="G190" s="66"/>
      <c r="V190" s="66"/>
      <c r="W190" s="66"/>
      <c r="X190" s="66"/>
      <c r="AB190" s="66"/>
      <c r="AG190" s="66"/>
    </row>
    <row r="191" spans="4:33">
      <c r="D191" s="66"/>
      <c r="G191" s="66"/>
      <c r="V191" s="66"/>
      <c r="W191" s="66"/>
      <c r="X191" s="66"/>
      <c r="AB191" s="66"/>
      <c r="AG191" s="66"/>
    </row>
    <row r="192" spans="4:33">
      <c r="D192" s="66"/>
      <c r="G192" s="66"/>
      <c r="V192" s="66"/>
      <c r="W192" s="66"/>
      <c r="X192" s="66"/>
      <c r="AB192" s="66"/>
      <c r="AG192" s="66"/>
    </row>
    <row r="193" spans="4:33">
      <c r="D193" s="66"/>
      <c r="G193" s="66"/>
      <c r="V193" s="66"/>
      <c r="W193" s="66"/>
      <c r="X193" s="66"/>
      <c r="AB193" s="66"/>
      <c r="AG193" s="66"/>
    </row>
    <row r="194" spans="4:33">
      <c r="D194" s="66"/>
      <c r="G194" s="66"/>
      <c r="V194" s="66"/>
      <c r="W194" s="66"/>
      <c r="X194" s="66"/>
      <c r="AB194" s="66"/>
      <c r="AG194" s="66"/>
    </row>
    <row r="195" spans="4:33">
      <c r="D195" s="66"/>
      <c r="G195" s="66"/>
      <c r="V195" s="66"/>
      <c r="W195" s="66"/>
      <c r="X195" s="66"/>
      <c r="AB195" s="66"/>
      <c r="AG195" s="66"/>
    </row>
    <row r="196" spans="4:33">
      <c r="D196" s="66"/>
      <c r="G196" s="66"/>
      <c r="V196" s="66"/>
      <c r="W196" s="66"/>
      <c r="X196" s="66"/>
      <c r="AB196" s="66"/>
      <c r="AG196" s="66"/>
    </row>
    <row r="197" spans="4:33">
      <c r="D197" s="66"/>
      <c r="G197" s="66"/>
      <c r="V197" s="66"/>
      <c r="W197" s="66"/>
      <c r="X197" s="66"/>
      <c r="AB197" s="66"/>
      <c r="AG197" s="66"/>
    </row>
    <row r="198" spans="4:33">
      <c r="D198" s="66"/>
      <c r="G198" s="66"/>
      <c r="V198" s="66"/>
      <c r="W198" s="66"/>
      <c r="X198" s="66"/>
      <c r="AB198" s="66"/>
      <c r="AG198" s="66"/>
    </row>
    <row r="199" spans="4:33">
      <c r="D199" s="66"/>
      <c r="G199" s="66"/>
      <c r="V199" s="66"/>
      <c r="W199" s="66"/>
      <c r="X199" s="66"/>
      <c r="AB199" s="66"/>
      <c r="AG199" s="66"/>
    </row>
    <row r="200" spans="4:33">
      <c r="D200" s="66"/>
      <c r="G200" s="66"/>
      <c r="V200" s="66"/>
      <c r="W200" s="66"/>
      <c r="X200" s="66"/>
      <c r="AB200" s="66"/>
      <c r="AG200" s="66"/>
    </row>
    <row r="201" spans="4:33">
      <c r="D201" s="66"/>
      <c r="G201" s="66"/>
      <c r="V201" s="66"/>
      <c r="W201" s="66"/>
      <c r="X201" s="66"/>
      <c r="AB201" s="66"/>
      <c r="AG201" s="66"/>
    </row>
    <row r="202" spans="4:33">
      <c r="D202" s="66"/>
      <c r="G202" s="66"/>
      <c r="V202" s="66"/>
      <c r="W202" s="66"/>
      <c r="X202" s="66"/>
      <c r="AB202" s="66"/>
      <c r="AG202" s="66"/>
    </row>
    <row r="203" spans="4:33">
      <c r="D203" s="66"/>
      <c r="G203" s="66"/>
      <c r="V203" s="66"/>
      <c r="W203" s="66"/>
      <c r="X203" s="66"/>
      <c r="AB203" s="66"/>
      <c r="AG203" s="66"/>
    </row>
    <row r="204" spans="4:33">
      <c r="D204" s="66"/>
      <c r="G204" s="66"/>
      <c r="V204" s="66"/>
      <c r="W204" s="66"/>
      <c r="X204" s="66"/>
      <c r="AB204" s="66"/>
      <c r="AG204" s="66"/>
    </row>
    <row r="205" spans="4:33">
      <c r="D205" s="66"/>
      <c r="G205" s="66"/>
      <c r="V205" s="66"/>
      <c r="W205" s="66"/>
      <c r="X205" s="66"/>
      <c r="AB205" s="66"/>
      <c r="AG205" s="66"/>
    </row>
    <row r="206" spans="4:33">
      <c r="D206" s="66"/>
      <c r="G206" s="66"/>
      <c r="V206" s="66"/>
      <c r="W206" s="66"/>
      <c r="X206" s="66"/>
      <c r="AB206" s="66"/>
      <c r="AG206" s="66"/>
    </row>
    <row r="207" spans="4:33">
      <c r="D207" s="66"/>
      <c r="G207" s="66"/>
      <c r="V207" s="66"/>
      <c r="W207" s="66"/>
      <c r="X207" s="66"/>
      <c r="AB207" s="66"/>
      <c r="AG207" s="66"/>
    </row>
    <row r="208" spans="4:33">
      <c r="D208" s="66"/>
      <c r="G208" s="66"/>
      <c r="V208" s="66"/>
      <c r="W208" s="66"/>
      <c r="X208" s="66"/>
      <c r="AB208" s="66"/>
      <c r="AG208" s="66"/>
    </row>
    <row r="209" spans="4:33">
      <c r="D209" s="66"/>
      <c r="G209" s="66"/>
      <c r="V209" s="66"/>
      <c r="W209" s="66"/>
      <c r="X209" s="66"/>
      <c r="AB209" s="66"/>
      <c r="AG209" s="66"/>
    </row>
    <row r="210" spans="4:33">
      <c r="D210" s="66"/>
      <c r="G210" s="66"/>
      <c r="V210" s="66"/>
      <c r="W210" s="66"/>
      <c r="X210" s="66"/>
      <c r="AB210" s="66"/>
      <c r="AG210" s="66"/>
    </row>
    <row r="211" spans="4:33">
      <c r="D211" s="66"/>
      <c r="G211" s="66"/>
      <c r="V211" s="66"/>
      <c r="W211" s="66"/>
      <c r="X211" s="66"/>
      <c r="AB211" s="66"/>
      <c r="AG211" s="66"/>
    </row>
    <row r="212" spans="4:33">
      <c r="D212" s="66"/>
      <c r="G212" s="66"/>
      <c r="V212" s="66"/>
      <c r="W212" s="66"/>
      <c r="X212" s="66"/>
      <c r="AB212" s="66"/>
      <c r="AG212" s="66"/>
    </row>
    <row r="213" spans="4:33">
      <c r="D213" s="66"/>
      <c r="G213" s="66"/>
      <c r="V213" s="66"/>
      <c r="W213" s="66"/>
      <c r="X213" s="66"/>
      <c r="AB213" s="66"/>
      <c r="AG213" s="66"/>
    </row>
    <row r="214" spans="4:33">
      <c r="D214" s="66"/>
      <c r="G214" s="66"/>
      <c r="V214" s="66"/>
      <c r="W214" s="66"/>
      <c r="X214" s="66"/>
      <c r="AB214" s="66"/>
      <c r="AG214" s="66"/>
    </row>
    <row r="215" spans="4:33">
      <c r="D215" s="66"/>
      <c r="G215" s="66"/>
      <c r="V215" s="66"/>
      <c r="W215" s="66"/>
      <c r="X215" s="66"/>
      <c r="AB215" s="66"/>
      <c r="AG215" s="66"/>
    </row>
    <row r="216" spans="4:33">
      <c r="D216" s="66"/>
      <c r="G216" s="66"/>
      <c r="V216" s="66"/>
      <c r="W216" s="66"/>
      <c r="X216" s="66"/>
      <c r="AB216" s="66"/>
      <c r="AG216" s="66"/>
    </row>
    <row r="217" spans="4:33">
      <c r="D217" s="66"/>
      <c r="G217" s="66"/>
      <c r="V217" s="66"/>
      <c r="W217" s="66"/>
      <c r="X217" s="66"/>
      <c r="AB217" s="66"/>
      <c r="AG217" s="66"/>
    </row>
    <row r="218" spans="4:33">
      <c r="D218" s="66"/>
      <c r="G218" s="66"/>
      <c r="V218" s="66"/>
      <c r="W218" s="66"/>
      <c r="X218" s="66"/>
      <c r="AB218" s="66"/>
      <c r="AG218" s="66"/>
    </row>
    <row r="219" spans="4:33">
      <c r="D219" s="66"/>
      <c r="G219" s="66"/>
      <c r="V219" s="66"/>
      <c r="W219" s="66"/>
      <c r="X219" s="66"/>
      <c r="AB219" s="66"/>
      <c r="AG219" s="66"/>
    </row>
    <row r="220" spans="4:33">
      <c r="D220" s="66"/>
      <c r="G220" s="66"/>
      <c r="V220" s="66"/>
      <c r="W220" s="66"/>
      <c r="X220" s="66"/>
      <c r="AB220" s="66"/>
      <c r="AG220" s="66"/>
    </row>
    <row r="221" spans="4:33">
      <c r="D221" s="66"/>
      <c r="G221" s="66"/>
      <c r="V221" s="66"/>
      <c r="W221" s="66"/>
      <c r="X221" s="66"/>
      <c r="AB221" s="66"/>
      <c r="AG221" s="66"/>
    </row>
    <row r="222" spans="4:33">
      <c r="D222" s="66"/>
      <c r="G222" s="66"/>
      <c r="V222" s="66"/>
      <c r="W222" s="66"/>
      <c r="X222" s="66"/>
      <c r="AB222" s="66"/>
      <c r="AG222" s="66"/>
    </row>
    <row r="223" spans="4:33">
      <c r="D223" s="66"/>
      <c r="G223" s="66"/>
      <c r="V223" s="66"/>
      <c r="W223" s="66"/>
      <c r="X223" s="66"/>
      <c r="AB223" s="66"/>
      <c r="AG223" s="66"/>
    </row>
    <row r="224" spans="4:33">
      <c r="D224" s="66"/>
      <c r="G224" s="66"/>
      <c r="V224" s="66"/>
      <c r="W224" s="66"/>
      <c r="X224" s="66"/>
      <c r="AB224" s="66"/>
      <c r="AG224" s="66"/>
    </row>
    <row r="225" spans="4:33">
      <c r="D225" s="66"/>
      <c r="G225" s="66"/>
      <c r="V225" s="66"/>
      <c r="W225" s="66"/>
      <c r="X225" s="66"/>
      <c r="AB225" s="66"/>
      <c r="AG225" s="66"/>
    </row>
    <row r="226" spans="4:33">
      <c r="D226" s="66"/>
      <c r="G226" s="66"/>
      <c r="V226" s="66"/>
      <c r="W226" s="66"/>
      <c r="X226" s="66"/>
      <c r="AB226" s="66"/>
      <c r="AG226" s="66"/>
    </row>
    <row r="227" spans="4:33">
      <c r="D227" s="66"/>
      <c r="G227" s="66"/>
      <c r="V227" s="66"/>
      <c r="W227" s="66"/>
      <c r="X227" s="66"/>
      <c r="AB227" s="66"/>
      <c r="AG227" s="66"/>
    </row>
    <row r="228" spans="4:33">
      <c r="D228" s="66"/>
      <c r="G228" s="66"/>
      <c r="V228" s="66"/>
      <c r="W228" s="66"/>
      <c r="X228" s="66"/>
      <c r="AB228" s="66"/>
      <c r="AG228" s="66"/>
    </row>
    <row r="229" spans="4:33">
      <c r="D229" s="66"/>
      <c r="G229" s="66"/>
      <c r="V229" s="66"/>
      <c r="W229" s="66"/>
      <c r="X229" s="66"/>
      <c r="AB229" s="66"/>
      <c r="AG229" s="66"/>
    </row>
    <row r="230" spans="4:33">
      <c r="D230" s="66"/>
      <c r="G230" s="66"/>
      <c r="V230" s="66"/>
      <c r="W230" s="66"/>
      <c r="X230" s="66"/>
      <c r="AB230" s="66"/>
      <c r="AG230" s="66"/>
    </row>
    <row r="231" spans="4:33">
      <c r="D231" s="66"/>
      <c r="G231" s="66"/>
      <c r="V231" s="66"/>
      <c r="W231" s="66"/>
      <c r="X231" s="66"/>
      <c r="AB231" s="66"/>
      <c r="AG231" s="66"/>
    </row>
    <row r="232" spans="4:33">
      <c r="D232" s="66"/>
      <c r="G232" s="66"/>
      <c r="V232" s="66"/>
      <c r="W232" s="66"/>
      <c r="X232" s="66"/>
      <c r="AB232" s="66"/>
      <c r="AG232" s="66"/>
    </row>
    <row r="233" spans="4:33">
      <c r="D233" s="66"/>
      <c r="G233" s="66"/>
      <c r="V233" s="66"/>
      <c r="W233" s="66"/>
      <c r="X233" s="66"/>
      <c r="AB233" s="66"/>
      <c r="AG233" s="66"/>
    </row>
    <row r="234" spans="4:33">
      <c r="D234" s="66"/>
      <c r="G234" s="66"/>
      <c r="V234" s="66"/>
      <c r="W234" s="66"/>
      <c r="X234" s="66"/>
      <c r="AB234" s="66"/>
      <c r="AG234" s="66"/>
    </row>
    <row r="235" spans="4:33">
      <c r="D235" s="66"/>
      <c r="G235" s="66"/>
      <c r="V235" s="66"/>
      <c r="W235" s="66"/>
      <c r="X235" s="66"/>
      <c r="AB235" s="66"/>
      <c r="AG235" s="66"/>
    </row>
    <row r="236" spans="4:33">
      <c r="D236" s="66"/>
      <c r="G236" s="66"/>
      <c r="V236" s="66"/>
      <c r="W236" s="66"/>
      <c r="X236" s="66"/>
      <c r="AB236" s="66"/>
      <c r="AG236" s="66"/>
    </row>
    <row r="237" spans="4:33">
      <c r="D237" s="66"/>
      <c r="G237" s="66"/>
      <c r="V237" s="66"/>
      <c r="W237" s="66"/>
      <c r="X237" s="66"/>
      <c r="AB237" s="66"/>
      <c r="AG237" s="66"/>
    </row>
    <row r="238" spans="4:33">
      <c r="D238" s="66"/>
      <c r="G238" s="66"/>
      <c r="V238" s="66"/>
      <c r="W238" s="66"/>
      <c r="X238" s="66"/>
      <c r="AB238" s="66"/>
      <c r="AG238" s="66"/>
    </row>
    <row r="239" spans="4:33">
      <c r="D239" s="66"/>
      <c r="G239" s="66"/>
      <c r="V239" s="66"/>
      <c r="W239" s="66"/>
      <c r="X239" s="66"/>
      <c r="AB239" s="66"/>
      <c r="AG239" s="66"/>
    </row>
    <row r="240" spans="4:33">
      <c r="D240" s="66"/>
      <c r="G240" s="66"/>
      <c r="V240" s="66"/>
      <c r="W240" s="66"/>
      <c r="X240" s="66"/>
      <c r="AB240" s="66"/>
      <c r="AG240" s="66"/>
    </row>
    <row r="241" spans="4:33">
      <c r="D241" s="66"/>
      <c r="G241" s="66"/>
      <c r="V241" s="66"/>
      <c r="W241" s="66"/>
      <c r="X241" s="66"/>
      <c r="AB241" s="66"/>
      <c r="AG241" s="66"/>
    </row>
    <row r="242" spans="4:33">
      <c r="D242" s="66"/>
      <c r="G242" s="66"/>
      <c r="V242" s="66"/>
      <c r="W242" s="66"/>
      <c r="X242" s="66"/>
      <c r="AB242" s="66"/>
      <c r="AG242" s="66"/>
    </row>
    <row r="243" spans="4:33">
      <c r="D243" s="66"/>
      <c r="G243" s="66"/>
      <c r="V243" s="66"/>
      <c r="W243" s="66"/>
      <c r="X243" s="66"/>
      <c r="AB243" s="66"/>
      <c r="AG243" s="66"/>
    </row>
    <row r="244" spans="4:33">
      <c r="D244" s="66"/>
      <c r="G244" s="66"/>
      <c r="V244" s="66"/>
      <c r="W244" s="66"/>
      <c r="X244" s="66"/>
      <c r="AB244" s="66"/>
      <c r="AG244" s="66"/>
    </row>
    <row r="245" spans="4:33">
      <c r="D245" s="66"/>
      <c r="G245" s="66"/>
      <c r="V245" s="66"/>
      <c r="W245" s="66"/>
      <c r="X245" s="66"/>
      <c r="AB245" s="66"/>
      <c r="AG245" s="66"/>
    </row>
    <row r="246" spans="4:33">
      <c r="D246" s="66"/>
      <c r="G246" s="66"/>
      <c r="V246" s="66"/>
      <c r="W246" s="66"/>
      <c r="X246" s="66"/>
      <c r="AB246" s="66"/>
      <c r="AG246" s="66"/>
    </row>
    <row r="247" spans="4:33">
      <c r="D247" s="66"/>
      <c r="G247" s="66"/>
      <c r="V247" s="66"/>
      <c r="W247" s="66"/>
      <c r="X247" s="66"/>
      <c r="AB247" s="66"/>
      <c r="AG247" s="66"/>
    </row>
    <row r="248" spans="4:33">
      <c r="D248" s="66"/>
      <c r="G248" s="66"/>
      <c r="V248" s="66"/>
      <c r="W248" s="66"/>
      <c r="X248" s="66"/>
      <c r="AB248" s="66"/>
      <c r="AG248" s="66"/>
    </row>
    <row r="249" spans="4:33">
      <c r="D249" s="66"/>
      <c r="G249" s="66"/>
      <c r="V249" s="66"/>
      <c r="W249" s="66"/>
      <c r="X249" s="66"/>
      <c r="AB249" s="66"/>
      <c r="AG249" s="66"/>
    </row>
    <row r="250" spans="4:33">
      <c r="D250" s="66"/>
      <c r="G250" s="66"/>
      <c r="V250" s="66"/>
      <c r="W250" s="66"/>
      <c r="X250" s="66"/>
      <c r="AB250" s="66"/>
      <c r="AG250" s="66"/>
    </row>
    <row r="251" spans="4:33">
      <c r="D251" s="66"/>
      <c r="G251" s="66"/>
      <c r="V251" s="66"/>
      <c r="W251" s="66"/>
      <c r="X251" s="66"/>
      <c r="AB251" s="66"/>
      <c r="AG251" s="66"/>
    </row>
    <row r="252" spans="4:33">
      <c r="D252" s="66"/>
      <c r="G252" s="66"/>
      <c r="V252" s="66"/>
      <c r="W252" s="66"/>
      <c r="X252" s="66"/>
      <c r="AB252" s="66"/>
      <c r="AG252" s="66"/>
    </row>
    <row r="253" spans="4:33">
      <c r="D253" s="66"/>
      <c r="G253" s="66"/>
      <c r="V253" s="66"/>
      <c r="W253" s="66"/>
      <c r="X253" s="66"/>
      <c r="AB253" s="66"/>
      <c r="AG253" s="66"/>
    </row>
    <row r="254" spans="4:33">
      <c r="D254" s="66"/>
      <c r="G254" s="66"/>
      <c r="V254" s="66"/>
      <c r="W254" s="66"/>
      <c r="X254" s="66"/>
      <c r="AB254" s="66"/>
      <c r="AG254" s="66"/>
    </row>
    <row r="255" spans="4:33">
      <c r="D255" s="66"/>
      <c r="G255" s="66"/>
      <c r="V255" s="66"/>
      <c r="W255" s="66"/>
      <c r="X255" s="66"/>
      <c r="AB255" s="66"/>
      <c r="AG255" s="66"/>
    </row>
    <row r="256" spans="4:33">
      <c r="D256" s="66"/>
      <c r="G256" s="66"/>
      <c r="V256" s="66"/>
      <c r="W256" s="66"/>
      <c r="X256" s="66"/>
      <c r="AB256" s="66"/>
      <c r="AG256" s="66"/>
    </row>
    <row r="257" spans="4:33">
      <c r="D257" s="66"/>
      <c r="G257" s="66"/>
      <c r="V257" s="66"/>
      <c r="W257" s="66"/>
      <c r="X257" s="66"/>
      <c r="AB257" s="66"/>
      <c r="AG257" s="66"/>
    </row>
    <row r="258" spans="4:33">
      <c r="D258" s="66"/>
      <c r="G258" s="66"/>
      <c r="V258" s="66"/>
      <c r="W258" s="66"/>
      <c r="X258" s="66"/>
      <c r="AB258" s="66"/>
      <c r="AG258" s="66"/>
    </row>
    <row r="259" spans="4:33">
      <c r="D259" s="66"/>
      <c r="G259" s="66"/>
      <c r="V259" s="66"/>
      <c r="W259" s="66"/>
      <c r="X259" s="66"/>
      <c r="AB259" s="66"/>
      <c r="AG259" s="66"/>
    </row>
    <row r="260" spans="4:33">
      <c r="D260" s="66"/>
      <c r="G260" s="66"/>
      <c r="V260" s="66"/>
      <c r="W260" s="66"/>
      <c r="X260" s="66"/>
      <c r="AB260" s="66"/>
      <c r="AG260" s="66"/>
    </row>
    <row r="261" spans="4:33">
      <c r="D261" s="66"/>
      <c r="G261" s="66"/>
      <c r="V261" s="66"/>
      <c r="W261" s="66"/>
      <c r="X261" s="66"/>
      <c r="AB261" s="66"/>
      <c r="AG261" s="66"/>
    </row>
    <row r="262" spans="4:33">
      <c r="D262" s="66"/>
      <c r="G262" s="66"/>
      <c r="V262" s="66"/>
      <c r="W262" s="66"/>
      <c r="X262" s="66"/>
      <c r="AB262" s="66"/>
      <c r="AG262" s="66"/>
    </row>
    <row r="263" spans="4:33">
      <c r="D263" s="66"/>
      <c r="G263" s="66"/>
      <c r="V263" s="66"/>
      <c r="W263" s="66"/>
      <c r="X263" s="66"/>
      <c r="AB263" s="66"/>
      <c r="AG263" s="66"/>
    </row>
    <row r="264" spans="4:33">
      <c r="D264" s="66"/>
      <c r="G264" s="66"/>
      <c r="V264" s="66"/>
      <c r="W264" s="66"/>
      <c r="X264" s="66"/>
      <c r="AB264" s="66"/>
      <c r="AG264" s="66"/>
    </row>
    <row r="265" spans="4:33">
      <c r="D265" s="66"/>
      <c r="G265" s="66"/>
      <c r="V265" s="66"/>
      <c r="W265" s="66"/>
      <c r="X265" s="66"/>
      <c r="AB265" s="66"/>
      <c r="AG265" s="66"/>
    </row>
    <row r="266" spans="4:33">
      <c r="D266" s="66"/>
      <c r="G266" s="66"/>
      <c r="V266" s="66"/>
      <c r="W266" s="66"/>
      <c r="X266" s="66"/>
      <c r="AB266" s="66"/>
      <c r="AG266" s="66"/>
    </row>
    <row r="267" spans="4:33">
      <c r="D267" s="66"/>
      <c r="G267" s="66"/>
      <c r="V267" s="66"/>
      <c r="W267" s="66"/>
      <c r="X267" s="66"/>
      <c r="AB267" s="66"/>
      <c r="AG267" s="66"/>
    </row>
    <row r="268" spans="4:33">
      <c r="D268" s="66"/>
      <c r="G268" s="66"/>
      <c r="V268" s="66"/>
      <c r="W268" s="66"/>
      <c r="X268" s="66"/>
      <c r="AB268" s="66"/>
      <c r="AG268" s="66"/>
    </row>
    <row r="269" spans="4:33">
      <c r="D269" s="66"/>
      <c r="G269" s="66"/>
      <c r="V269" s="66"/>
      <c r="W269" s="66"/>
      <c r="X269" s="66"/>
      <c r="AB269" s="66"/>
      <c r="AG269" s="66"/>
    </row>
    <row r="270" spans="4:33">
      <c r="D270" s="66"/>
      <c r="G270" s="66"/>
      <c r="V270" s="66"/>
      <c r="W270" s="66"/>
      <c r="X270" s="66"/>
      <c r="AB270" s="66"/>
      <c r="AG270" s="66"/>
    </row>
    <row r="271" spans="4:33">
      <c r="D271" s="66"/>
      <c r="G271" s="66"/>
      <c r="V271" s="66"/>
      <c r="W271" s="66"/>
      <c r="X271" s="66"/>
      <c r="AB271" s="66"/>
      <c r="AG271" s="66"/>
    </row>
    <row r="272" spans="4:33">
      <c r="D272" s="66"/>
      <c r="G272" s="66"/>
      <c r="V272" s="66"/>
      <c r="W272" s="66"/>
      <c r="X272" s="66"/>
      <c r="AB272" s="66"/>
      <c r="AG272" s="66"/>
    </row>
    <row r="273" spans="4:33">
      <c r="D273" s="66"/>
      <c r="G273" s="66"/>
      <c r="V273" s="66"/>
      <c r="W273" s="66"/>
      <c r="X273" s="66"/>
      <c r="AB273" s="66"/>
      <c r="AG273" s="66"/>
    </row>
    <row r="274" spans="4:33">
      <c r="D274" s="66"/>
      <c r="G274" s="66"/>
      <c r="V274" s="66"/>
      <c r="W274" s="66"/>
      <c r="X274" s="66"/>
      <c r="AB274" s="66"/>
      <c r="AG274" s="66"/>
    </row>
    <row r="275" spans="4:33">
      <c r="D275" s="66"/>
      <c r="G275" s="66"/>
      <c r="V275" s="66"/>
      <c r="W275" s="66"/>
      <c r="X275" s="66"/>
      <c r="AB275" s="66"/>
      <c r="AG275" s="66"/>
    </row>
    <row r="276" spans="4:33">
      <c r="D276" s="66"/>
      <c r="G276" s="66"/>
      <c r="V276" s="66"/>
      <c r="W276" s="66"/>
      <c r="X276" s="66"/>
      <c r="AB276" s="66"/>
      <c r="AG276" s="66"/>
    </row>
    <row r="277" spans="4:33">
      <c r="D277" s="66"/>
      <c r="G277" s="66"/>
      <c r="V277" s="66"/>
      <c r="W277" s="66"/>
      <c r="X277" s="66"/>
      <c r="AB277" s="66"/>
      <c r="AG277" s="66"/>
    </row>
    <row r="278" spans="4:33">
      <c r="D278" s="66"/>
      <c r="G278" s="66"/>
      <c r="V278" s="66"/>
      <c r="W278" s="66"/>
      <c r="X278" s="66"/>
      <c r="AB278" s="66"/>
      <c r="AG278" s="66"/>
    </row>
    <row r="279" spans="4:33">
      <c r="D279" s="66"/>
      <c r="G279" s="66"/>
      <c r="V279" s="66"/>
      <c r="W279" s="66"/>
      <c r="X279" s="66"/>
      <c r="AB279" s="66"/>
      <c r="AG279" s="66"/>
    </row>
    <row r="280" spans="4:33">
      <c r="D280" s="66"/>
      <c r="G280" s="66"/>
      <c r="V280" s="66"/>
      <c r="W280" s="66"/>
      <c r="X280" s="66"/>
      <c r="AB280" s="66"/>
      <c r="AG280" s="66"/>
    </row>
    <row r="281" spans="4:33">
      <c r="D281" s="66"/>
      <c r="G281" s="66"/>
      <c r="V281" s="66"/>
      <c r="W281" s="66"/>
      <c r="X281" s="66"/>
      <c r="AB281" s="66"/>
      <c r="AG281" s="66"/>
    </row>
    <row r="282" spans="4:33">
      <c r="D282" s="66"/>
      <c r="G282" s="66"/>
      <c r="V282" s="66"/>
      <c r="W282" s="66"/>
      <c r="X282" s="66"/>
      <c r="AB282" s="66"/>
      <c r="AG282" s="66"/>
    </row>
    <row r="283" spans="4:33">
      <c r="D283" s="66"/>
      <c r="G283" s="66"/>
      <c r="V283" s="66"/>
      <c r="W283" s="66"/>
      <c r="X283" s="66"/>
      <c r="AB283" s="66"/>
      <c r="AG283" s="66"/>
    </row>
    <row r="284" spans="4:33">
      <c r="D284" s="66"/>
      <c r="G284" s="66"/>
      <c r="V284" s="66"/>
      <c r="W284" s="66"/>
      <c r="X284" s="66"/>
      <c r="AB284" s="66"/>
      <c r="AG284" s="66"/>
    </row>
    <row r="285" spans="4:33">
      <c r="D285" s="66"/>
      <c r="G285" s="66"/>
      <c r="V285" s="66"/>
      <c r="W285" s="66"/>
      <c r="X285" s="66"/>
      <c r="AB285" s="66"/>
      <c r="AG285" s="66"/>
    </row>
    <row r="286" spans="4:33">
      <c r="D286" s="66"/>
      <c r="G286" s="66"/>
      <c r="V286" s="66"/>
      <c r="W286" s="66"/>
      <c r="X286" s="66"/>
      <c r="AB286" s="66"/>
      <c r="AG286" s="66"/>
    </row>
    <row r="287" spans="4:33">
      <c r="D287" s="66"/>
      <c r="G287" s="66"/>
      <c r="V287" s="66"/>
      <c r="W287" s="66"/>
      <c r="X287" s="66"/>
      <c r="AB287" s="66"/>
      <c r="AG287" s="66"/>
    </row>
    <row r="288" spans="4:33">
      <c r="D288" s="66"/>
      <c r="G288" s="66"/>
      <c r="V288" s="66"/>
      <c r="W288" s="66"/>
      <c r="X288" s="66"/>
      <c r="AB288" s="66"/>
      <c r="AG288" s="66"/>
    </row>
    <row r="289" spans="4:33">
      <c r="D289" s="66"/>
      <c r="G289" s="66"/>
      <c r="V289" s="66"/>
      <c r="W289" s="66"/>
      <c r="X289" s="66"/>
      <c r="AB289" s="66"/>
      <c r="AG289" s="66"/>
    </row>
    <row r="290" spans="4:33">
      <c r="D290" s="66"/>
      <c r="G290" s="66"/>
      <c r="V290" s="66"/>
      <c r="W290" s="66"/>
      <c r="X290" s="66"/>
      <c r="AB290" s="66"/>
      <c r="AG290" s="66"/>
    </row>
    <row r="291" spans="4:33">
      <c r="D291" s="66"/>
      <c r="G291" s="66"/>
      <c r="V291" s="66"/>
      <c r="W291" s="66"/>
      <c r="X291" s="66"/>
      <c r="AB291" s="66"/>
      <c r="AG291" s="66"/>
    </row>
    <row r="292" spans="4:33">
      <c r="D292" s="66"/>
      <c r="G292" s="66"/>
      <c r="V292" s="66"/>
      <c r="W292" s="66"/>
      <c r="X292" s="66"/>
      <c r="AB292" s="66"/>
      <c r="AG292" s="66"/>
    </row>
    <row r="293" spans="4:33">
      <c r="D293" s="66"/>
      <c r="G293" s="66"/>
      <c r="V293" s="66"/>
      <c r="W293" s="66"/>
      <c r="X293" s="66"/>
      <c r="AB293" s="66"/>
      <c r="AG293" s="66"/>
    </row>
    <row r="294" spans="4:33">
      <c r="D294" s="66"/>
      <c r="G294" s="66"/>
      <c r="V294" s="66"/>
      <c r="W294" s="66"/>
      <c r="X294" s="66"/>
      <c r="AB294" s="66"/>
      <c r="AG294" s="66"/>
    </row>
    <row r="295" spans="4:33">
      <c r="D295" s="66"/>
      <c r="G295" s="66"/>
      <c r="V295" s="66"/>
      <c r="W295" s="66"/>
      <c r="X295" s="66"/>
      <c r="AB295" s="66"/>
      <c r="AG295" s="66"/>
    </row>
    <row r="296" spans="4:33">
      <c r="D296" s="66"/>
      <c r="G296" s="66"/>
      <c r="V296" s="66"/>
      <c r="W296" s="66"/>
      <c r="X296" s="66"/>
      <c r="AB296" s="66"/>
      <c r="AG296" s="66"/>
    </row>
    <row r="297" spans="4:33">
      <c r="D297" s="66"/>
      <c r="G297" s="66"/>
      <c r="V297" s="66"/>
      <c r="W297" s="66"/>
      <c r="X297" s="66"/>
      <c r="AB297" s="66"/>
      <c r="AG297" s="66"/>
    </row>
    <row r="298" spans="4:33">
      <c r="D298" s="66"/>
      <c r="G298" s="66"/>
      <c r="V298" s="66"/>
      <c r="W298" s="66"/>
      <c r="X298" s="66"/>
      <c r="AB298" s="66"/>
      <c r="AG298" s="66"/>
    </row>
    <row r="299" spans="4:33">
      <c r="D299" s="66"/>
      <c r="G299" s="66"/>
      <c r="V299" s="66"/>
      <c r="W299" s="66"/>
      <c r="X299" s="66"/>
      <c r="AB299" s="66"/>
      <c r="AG299" s="66"/>
    </row>
    <row r="300" spans="4:33">
      <c r="D300" s="66"/>
      <c r="G300" s="66"/>
      <c r="V300" s="66"/>
      <c r="W300" s="66"/>
      <c r="X300" s="66"/>
      <c r="AB300" s="66"/>
      <c r="AG300" s="66"/>
    </row>
    <row r="301" spans="4:33">
      <c r="D301" s="66"/>
      <c r="G301" s="66"/>
      <c r="V301" s="66"/>
      <c r="W301" s="66"/>
      <c r="X301" s="66"/>
      <c r="AB301" s="66"/>
      <c r="AG301" s="66"/>
    </row>
    <row r="302" spans="4:33">
      <c r="D302" s="66"/>
      <c r="G302" s="66"/>
      <c r="V302" s="66"/>
      <c r="W302" s="66"/>
      <c r="X302" s="66"/>
      <c r="AB302" s="66"/>
      <c r="AG302" s="66"/>
    </row>
    <row r="303" spans="4:33">
      <c r="D303" s="66"/>
      <c r="G303" s="66"/>
      <c r="V303" s="66"/>
      <c r="W303" s="66"/>
      <c r="X303" s="66"/>
      <c r="AB303" s="66"/>
      <c r="AG303" s="66"/>
    </row>
    <row r="304" spans="4:33">
      <c r="D304" s="66"/>
      <c r="G304" s="66"/>
      <c r="V304" s="66"/>
      <c r="W304" s="66"/>
      <c r="X304" s="66"/>
      <c r="AB304" s="66"/>
      <c r="AG304" s="66"/>
    </row>
    <row r="305" spans="4:33">
      <c r="D305" s="66"/>
      <c r="G305" s="66"/>
      <c r="V305" s="66"/>
      <c r="W305" s="66"/>
      <c r="X305" s="66"/>
      <c r="AB305" s="66"/>
      <c r="AG305" s="66"/>
    </row>
    <row r="306" spans="4:33">
      <c r="D306" s="66"/>
      <c r="G306" s="66"/>
      <c r="V306" s="66"/>
      <c r="W306" s="66"/>
      <c r="X306" s="66"/>
      <c r="AB306" s="66"/>
      <c r="AG306" s="66"/>
    </row>
    <row r="307" spans="4:33">
      <c r="D307" s="66"/>
      <c r="G307" s="66"/>
      <c r="V307" s="66"/>
      <c r="W307" s="66"/>
      <c r="X307" s="66"/>
      <c r="AB307" s="66"/>
      <c r="AG307" s="66"/>
    </row>
    <row r="308" spans="4:33">
      <c r="D308" s="66"/>
      <c r="G308" s="66"/>
      <c r="V308" s="66"/>
      <c r="W308" s="66"/>
      <c r="X308" s="66"/>
      <c r="AB308" s="66"/>
      <c r="AG308" s="66"/>
    </row>
    <row r="309" spans="4:33">
      <c r="D309" s="66"/>
      <c r="G309" s="66"/>
      <c r="V309" s="66"/>
      <c r="W309" s="66"/>
      <c r="X309" s="66"/>
      <c r="AB309" s="66"/>
      <c r="AG309" s="66"/>
    </row>
    <row r="310" spans="4:33">
      <c r="D310" s="66"/>
      <c r="G310" s="66"/>
      <c r="V310" s="66"/>
      <c r="W310" s="66"/>
      <c r="X310" s="66"/>
      <c r="AB310" s="66"/>
      <c r="AG310" s="66"/>
    </row>
    <row r="311" spans="4:33">
      <c r="D311" s="66"/>
      <c r="G311" s="66"/>
      <c r="V311" s="66"/>
      <c r="W311" s="66"/>
      <c r="X311" s="66"/>
      <c r="AB311" s="66"/>
      <c r="AG311" s="66"/>
    </row>
    <row r="312" spans="4:33">
      <c r="D312" s="66"/>
      <c r="G312" s="66"/>
      <c r="V312" s="66"/>
      <c r="W312" s="66"/>
      <c r="X312" s="66"/>
      <c r="AB312" s="66"/>
      <c r="AG312" s="66"/>
    </row>
    <row r="313" spans="4:33">
      <c r="D313" s="66"/>
      <c r="G313" s="66"/>
      <c r="V313" s="66"/>
      <c r="W313" s="66"/>
      <c r="X313" s="66"/>
      <c r="AB313" s="66"/>
      <c r="AG313" s="66"/>
    </row>
    <row r="314" spans="4:33">
      <c r="D314" s="66"/>
      <c r="G314" s="66"/>
      <c r="V314" s="66"/>
      <c r="W314" s="66"/>
      <c r="X314" s="66"/>
      <c r="AB314" s="66"/>
      <c r="AG314" s="66"/>
    </row>
    <row r="315" spans="4:33">
      <c r="D315" s="66"/>
      <c r="G315" s="66"/>
      <c r="V315" s="66"/>
      <c r="W315" s="66"/>
      <c r="X315" s="66"/>
      <c r="AB315" s="66"/>
      <c r="AG315" s="66"/>
    </row>
    <row r="316" spans="4:33">
      <c r="D316" s="66"/>
      <c r="G316" s="66"/>
      <c r="V316" s="66"/>
      <c r="W316" s="66"/>
      <c r="X316" s="66"/>
      <c r="AB316" s="66"/>
      <c r="AG316" s="66"/>
    </row>
    <row r="317" spans="4:33">
      <c r="D317" s="66"/>
      <c r="G317" s="66"/>
      <c r="V317" s="66"/>
      <c r="W317" s="66"/>
      <c r="X317" s="66"/>
      <c r="AB317" s="66"/>
      <c r="AG317" s="66"/>
    </row>
    <row r="318" spans="4:33">
      <c r="D318" s="66"/>
      <c r="G318" s="66"/>
      <c r="V318" s="66"/>
      <c r="W318" s="66"/>
      <c r="X318" s="66"/>
      <c r="AB318" s="66"/>
      <c r="AG318" s="66"/>
    </row>
    <row r="319" spans="4:33">
      <c r="D319" s="66"/>
      <c r="G319" s="66"/>
      <c r="V319" s="66"/>
      <c r="W319" s="66"/>
      <c r="X319" s="66"/>
      <c r="AB319" s="66"/>
      <c r="AG319" s="66"/>
    </row>
    <row r="320" spans="4:33">
      <c r="D320" s="66"/>
      <c r="G320" s="66"/>
      <c r="V320" s="66"/>
      <c r="W320" s="66"/>
      <c r="X320" s="66"/>
      <c r="AB320" s="66"/>
      <c r="AG320" s="66"/>
    </row>
    <row r="321" spans="4:33">
      <c r="D321" s="66"/>
      <c r="G321" s="66"/>
      <c r="V321" s="66"/>
      <c r="W321" s="66"/>
      <c r="X321" s="66"/>
      <c r="AB321" s="66"/>
      <c r="AG321" s="66"/>
    </row>
    <row r="322" spans="4:33">
      <c r="D322" s="66"/>
      <c r="G322" s="66"/>
      <c r="V322" s="66"/>
      <c r="W322" s="66"/>
      <c r="X322" s="66"/>
      <c r="AB322" s="66"/>
      <c r="AG322" s="66"/>
    </row>
    <row r="323" spans="4:33">
      <c r="D323" s="66"/>
      <c r="G323" s="66"/>
      <c r="V323" s="66"/>
      <c r="W323" s="66"/>
      <c r="X323" s="66"/>
      <c r="AB323" s="66"/>
      <c r="AG323" s="66"/>
    </row>
    <row r="324" spans="4:33">
      <c r="D324" s="66"/>
      <c r="G324" s="66"/>
      <c r="V324" s="66"/>
      <c r="W324" s="66"/>
      <c r="X324" s="66"/>
      <c r="AB324" s="66"/>
      <c r="AG324" s="66"/>
    </row>
    <row r="325" spans="4:33">
      <c r="D325" s="66"/>
      <c r="G325" s="66"/>
      <c r="V325" s="66"/>
      <c r="W325" s="66"/>
      <c r="X325" s="66"/>
      <c r="AB325" s="66"/>
      <c r="AG325" s="66"/>
    </row>
    <row r="326" spans="4:33">
      <c r="D326" s="66"/>
      <c r="G326" s="66"/>
      <c r="V326" s="66"/>
      <c r="W326" s="66"/>
      <c r="X326" s="66"/>
      <c r="AB326" s="66"/>
      <c r="AG326" s="66"/>
    </row>
    <row r="327" spans="4:33">
      <c r="D327" s="66"/>
      <c r="G327" s="66"/>
      <c r="V327" s="66"/>
      <c r="W327" s="66"/>
      <c r="X327" s="66"/>
      <c r="AB327" s="66"/>
      <c r="AG327" s="66"/>
    </row>
    <row r="328" spans="4:33">
      <c r="D328" s="66"/>
      <c r="G328" s="66"/>
      <c r="V328" s="66"/>
      <c r="W328" s="66"/>
      <c r="X328" s="66"/>
      <c r="AB328" s="66"/>
      <c r="AG328" s="66"/>
    </row>
    <row r="329" spans="4:33">
      <c r="D329" s="66"/>
      <c r="G329" s="66"/>
      <c r="V329" s="66"/>
      <c r="W329" s="66"/>
      <c r="X329" s="66"/>
      <c r="AB329" s="66"/>
      <c r="AG329" s="66"/>
    </row>
    <row r="330" spans="4:33">
      <c r="D330" s="66"/>
      <c r="G330" s="66"/>
      <c r="V330" s="66"/>
      <c r="W330" s="66"/>
      <c r="X330" s="66"/>
      <c r="AB330" s="66"/>
      <c r="AG330" s="66"/>
    </row>
    <row r="331" spans="4:33">
      <c r="D331" s="66"/>
      <c r="G331" s="66"/>
      <c r="V331" s="66"/>
      <c r="W331" s="66"/>
      <c r="X331" s="66"/>
      <c r="AB331" s="66"/>
      <c r="AG331" s="66"/>
    </row>
    <row r="332" spans="4:33">
      <c r="D332" s="66"/>
      <c r="G332" s="66"/>
      <c r="V332" s="66"/>
      <c r="W332" s="66"/>
      <c r="X332" s="66"/>
      <c r="AB332" s="66"/>
      <c r="AG332" s="66"/>
    </row>
    <row r="333" spans="4:33">
      <c r="D333" s="66"/>
      <c r="G333" s="66"/>
      <c r="V333" s="66"/>
      <c r="W333" s="66"/>
      <c r="X333" s="66"/>
      <c r="AB333" s="66"/>
      <c r="AG333" s="66"/>
    </row>
    <row r="334" spans="4:33">
      <c r="D334" s="66"/>
      <c r="G334" s="66"/>
      <c r="V334" s="66"/>
      <c r="W334" s="66"/>
      <c r="X334" s="66"/>
      <c r="AB334" s="66"/>
      <c r="AG334" s="66"/>
    </row>
    <row r="335" spans="4:33">
      <c r="D335" s="66"/>
      <c r="G335" s="66"/>
      <c r="V335" s="66"/>
      <c r="W335" s="66"/>
      <c r="X335" s="66"/>
      <c r="AB335" s="66"/>
      <c r="AG335" s="66"/>
    </row>
    <row r="336" spans="4:33">
      <c r="D336" s="66"/>
      <c r="G336" s="66"/>
      <c r="V336" s="66"/>
      <c r="W336" s="66"/>
      <c r="X336" s="66"/>
      <c r="AB336" s="66"/>
      <c r="AG336" s="66"/>
    </row>
    <row r="337" spans="4:33">
      <c r="D337" s="66"/>
      <c r="G337" s="66"/>
      <c r="V337" s="66"/>
      <c r="W337" s="66"/>
      <c r="X337" s="66"/>
      <c r="AB337" s="66"/>
      <c r="AG337" s="66"/>
    </row>
    <row r="338" spans="4:33">
      <c r="D338" s="66"/>
      <c r="G338" s="66"/>
      <c r="V338" s="66"/>
      <c r="W338" s="66"/>
      <c r="X338" s="66"/>
      <c r="AB338" s="66"/>
      <c r="AG338" s="66"/>
    </row>
    <row r="339" spans="4:33">
      <c r="D339" s="66"/>
      <c r="G339" s="66"/>
      <c r="V339" s="66"/>
      <c r="W339" s="66"/>
      <c r="X339" s="66"/>
      <c r="AB339" s="66"/>
      <c r="AG339" s="66"/>
    </row>
    <row r="340" spans="4:33">
      <c r="D340" s="66"/>
      <c r="G340" s="66"/>
      <c r="V340" s="66"/>
      <c r="W340" s="66"/>
      <c r="X340" s="66"/>
      <c r="AB340" s="66"/>
      <c r="AG340" s="66"/>
    </row>
    <row r="341" spans="4:33">
      <c r="D341" s="66"/>
      <c r="G341" s="66"/>
      <c r="V341" s="66"/>
      <c r="W341" s="66"/>
      <c r="X341" s="66"/>
      <c r="AB341" s="66"/>
      <c r="AG341" s="66"/>
    </row>
    <row r="342" spans="4:33">
      <c r="D342" s="66"/>
      <c r="G342" s="66"/>
      <c r="V342" s="66"/>
      <c r="W342" s="66"/>
      <c r="X342" s="66"/>
      <c r="AB342" s="66"/>
      <c r="AG342" s="66"/>
    </row>
    <row r="343" spans="4:33">
      <c r="D343" s="66"/>
      <c r="G343" s="66"/>
      <c r="V343" s="66"/>
      <c r="W343" s="66"/>
      <c r="X343" s="66"/>
      <c r="AB343" s="66"/>
      <c r="AG343" s="66"/>
    </row>
    <row r="344" spans="4:33">
      <c r="D344" s="66"/>
      <c r="G344" s="66"/>
      <c r="V344" s="66"/>
      <c r="W344" s="66"/>
      <c r="X344" s="66"/>
      <c r="AB344" s="66"/>
      <c r="AG344" s="66"/>
    </row>
    <row r="345" spans="4:33">
      <c r="D345" s="66"/>
      <c r="G345" s="66"/>
      <c r="V345" s="66"/>
      <c r="W345" s="66"/>
      <c r="X345" s="66"/>
      <c r="AB345" s="66"/>
      <c r="AG345" s="66"/>
    </row>
    <row r="346" spans="4:33">
      <c r="D346" s="66"/>
      <c r="G346" s="66"/>
      <c r="V346" s="66"/>
      <c r="W346" s="66"/>
      <c r="X346" s="66"/>
      <c r="AB346" s="66"/>
      <c r="AG346" s="66"/>
    </row>
    <row r="347" spans="4:33">
      <c r="D347" s="66"/>
      <c r="G347" s="66"/>
      <c r="V347" s="66"/>
      <c r="W347" s="66"/>
      <c r="X347" s="66"/>
      <c r="AB347" s="66"/>
      <c r="AG347" s="66"/>
    </row>
    <row r="348" spans="4:33">
      <c r="D348" s="66"/>
      <c r="G348" s="66"/>
      <c r="V348" s="66"/>
      <c r="W348" s="66"/>
      <c r="X348" s="66"/>
      <c r="AB348" s="66"/>
      <c r="AG348" s="66"/>
    </row>
    <row r="349" spans="4:33">
      <c r="D349" s="66"/>
      <c r="G349" s="66"/>
      <c r="V349" s="66"/>
      <c r="W349" s="66"/>
      <c r="X349" s="66"/>
      <c r="AB349" s="66"/>
      <c r="AG349" s="66"/>
    </row>
    <row r="350" spans="4:33">
      <c r="D350" s="66"/>
      <c r="G350" s="66"/>
      <c r="V350" s="66"/>
      <c r="W350" s="66"/>
      <c r="X350" s="66"/>
      <c r="AB350" s="66"/>
      <c r="AG350" s="66"/>
    </row>
    <row r="351" spans="4:33">
      <c r="D351" s="66"/>
      <c r="G351" s="66"/>
      <c r="V351" s="66"/>
      <c r="W351" s="66"/>
      <c r="X351" s="66"/>
      <c r="AB351" s="66"/>
      <c r="AG351" s="66"/>
    </row>
    <row r="352" spans="4:33">
      <c r="D352" s="66"/>
      <c r="G352" s="66"/>
      <c r="V352" s="66"/>
      <c r="W352" s="66"/>
      <c r="X352" s="66"/>
      <c r="AB352" s="66"/>
      <c r="AG352" s="66"/>
    </row>
    <row r="353" spans="4:33">
      <c r="D353" s="66"/>
      <c r="G353" s="66"/>
      <c r="V353" s="66"/>
      <c r="W353" s="66"/>
      <c r="X353" s="66"/>
      <c r="AB353" s="66"/>
      <c r="AG353" s="66"/>
    </row>
    <row r="354" spans="4:33">
      <c r="D354" s="66"/>
      <c r="G354" s="66"/>
      <c r="V354" s="66"/>
      <c r="W354" s="66"/>
      <c r="X354" s="66"/>
      <c r="AB354" s="66"/>
      <c r="AG354" s="66"/>
    </row>
    <row r="355" spans="4:33">
      <c r="D355" s="66"/>
      <c r="G355" s="66"/>
      <c r="V355" s="66"/>
      <c r="W355" s="66"/>
      <c r="X355" s="66"/>
      <c r="AB355" s="66"/>
      <c r="AG355" s="66"/>
    </row>
    <row r="356" spans="4:33">
      <c r="D356" s="66"/>
      <c r="G356" s="66"/>
      <c r="V356" s="66"/>
      <c r="W356" s="66"/>
      <c r="X356" s="66"/>
      <c r="AB356" s="66"/>
      <c r="AG356" s="66"/>
    </row>
    <row r="357" spans="4:33">
      <c r="D357" s="66"/>
      <c r="G357" s="66"/>
      <c r="V357" s="66"/>
      <c r="W357" s="66"/>
      <c r="X357" s="66"/>
      <c r="AB357" s="66"/>
      <c r="AG357" s="66"/>
    </row>
    <row r="358" spans="4:33">
      <c r="D358" s="66"/>
      <c r="G358" s="66"/>
      <c r="V358" s="66"/>
      <c r="W358" s="66"/>
      <c r="X358" s="66"/>
      <c r="AB358" s="66"/>
      <c r="AG358" s="66"/>
    </row>
    <row r="359" spans="4:33">
      <c r="D359" s="66"/>
      <c r="G359" s="66"/>
      <c r="V359" s="66"/>
      <c r="W359" s="66"/>
      <c r="X359" s="66"/>
      <c r="AB359" s="66"/>
      <c r="AG359" s="66"/>
    </row>
    <row r="360" spans="4:33">
      <c r="D360" s="66"/>
      <c r="G360" s="66"/>
      <c r="V360" s="66"/>
      <c r="W360" s="66"/>
      <c r="X360" s="66"/>
      <c r="AB360" s="66"/>
      <c r="AG360" s="66"/>
    </row>
    <row r="361" spans="4:33">
      <c r="D361" s="66"/>
      <c r="G361" s="66"/>
      <c r="V361" s="66"/>
      <c r="W361" s="66"/>
      <c r="X361" s="66"/>
      <c r="AB361" s="66"/>
      <c r="AG361" s="66"/>
    </row>
    <row r="362" spans="4:33">
      <c r="D362" s="66"/>
      <c r="G362" s="66"/>
      <c r="V362" s="66"/>
      <c r="W362" s="66"/>
      <c r="X362" s="66"/>
      <c r="AB362" s="66"/>
      <c r="AG362" s="66"/>
    </row>
    <row r="363" spans="4:33">
      <c r="D363" s="66"/>
      <c r="G363" s="66"/>
      <c r="V363" s="66"/>
      <c r="W363" s="66"/>
      <c r="X363" s="66"/>
      <c r="AB363" s="66"/>
      <c r="AG363" s="66"/>
    </row>
    <row r="364" spans="4:33">
      <c r="D364" s="66"/>
      <c r="G364" s="66"/>
      <c r="V364" s="66"/>
      <c r="W364" s="66"/>
      <c r="X364" s="66"/>
      <c r="AB364" s="66"/>
      <c r="AG364" s="66"/>
    </row>
    <row r="365" spans="4:33">
      <c r="D365" s="66"/>
      <c r="G365" s="66"/>
      <c r="V365" s="66"/>
      <c r="W365" s="66"/>
      <c r="X365" s="66"/>
      <c r="AB365" s="66"/>
      <c r="AG365" s="66"/>
    </row>
    <row r="366" spans="4:33">
      <c r="D366" s="66"/>
      <c r="G366" s="66"/>
      <c r="V366" s="66"/>
      <c r="W366" s="66"/>
      <c r="X366" s="66"/>
      <c r="AB366" s="66"/>
      <c r="AG366" s="66"/>
    </row>
    <row r="367" spans="4:33">
      <c r="D367" s="66"/>
      <c r="G367" s="66"/>
      <c r="V367" s="66"/>
      <c r="W367" s="66"/>
      <c r="X367" s="66"/>
      <c r="AB367" s="66"/>
      <c r="AG367" s="66"/>
    </row>
    <row r="368" spans="4:33">
      <c r="D368" s="66"/>
      <c r="G368" s="66"/>
      <c r="V368" s="66"/>
      <c r="W368" s="66"/>
      <c r="X368" s="66"/>
      <c r="AB368" s="66"/>
      <c r="AG368" s="66"/>
    </row>
    <row r="369" spans="4:33">
      <c r="D369" s="66"/>
      <c r="G369" s="66"/>
      <c r="V369" s="66"/>
      <c r="W369" s="66"/>
      <c r="X369" s="66"/>
      <c r="AB369" s="66"/>
      <c r="AG369" s="66"/>
    </row>
    <row r="370" spans="4:33">
      <c r="D370" s="66"/>
      <c r="G370" s="66"/>
      <c r="V370" s="66"/>
      <c r="W370" s="66"/>
      <c r="X370" s="66"/>
      <c r="AB370" s="66"/>
      <c r="AG370" s="66"/>
    </row>
    <row r="371" spans="4:33">
      <c r="D371" s="66"/>
      <c r="G371" s="66"/>
      <c r="V371" s="66"/>
      <c r="W371" s="66"/>
      <c r="X371" s="66"/>
      <c r="AB371" s="66"/>
      <c r="AG371" s="66"/>
    </row>
    <row r="372" spans="4:33">
      <c r="D372" s="66"/>
      <c r="G372" s="66"/>
      <c r="V372" s="66"/>
      <c r="W372" s="66"/>
      <c r="X372" s="66"/>
      <c r="AB372" s="66"/>
      <c r="AG372" s="66"/>
    </row>
    <row r="373" spans="4:33">
      <c r="D373" s="66"/>
      <c r="G373" s="66"/>
      <c r="V373" s="66"/>
      <c r="W373" s="66"/>
      <c r="X373" s="66"/>
      <c r="AB373" s="66"/>
      <c r="AG373" s="66"/>
    </row>
    <row r="374" spans="4:33">
      <c r="D374" s="66"/>
      <c r="G374" s="66"/>
      <c r="V374" s="66"/>
      <c r="W374" s="66"/>
      <c r="X374" s="66"/>
      <c r="AB374" s="66"/>
      <c r="AG374" s="66"/>
    </row>
    <row r="375" spans="4:33">
      <c r="D375" s="66"/>
      <c r="G375" s="66"/>
      <c r="V375" s="66"/>
      <c r="W375" s="66"/>
      <c r="X375" s="66"/>
      <c r="AB375" s="66"/>
      <c r="AG375" s="66"/>
    </row>
    <row r="376" spans="4:33">
      <c r="D376" s="66"/>
      <c r="G376" s="66"/>
      <c r="V376" s="66"/>
      <c r="W376" s="66"/>
      <c r="X376" s="66"/>
      <c r="AB376" s="66"/>
      <c r="AG376" s="66"/>
    </row>
    <row r="377" spans="4:33">
      <c r="D377" s="66"/>
      <c r="G377" s="66"/>
      <c r="V377" s="66"/>
      <c r="W377" s="66"/>
      <c r="X377" s="66"/>
      <c r="AB377" s="66"/>
      <c r="AG377" s="66"/>
    </row>
    <row r="378" spans="4:33">
      <c r="D378" s="66"/>
      <c r="G378" s="66"/>
      <c r="V378" s="66"/>
      <c r="W378" s="66"/>
      <c r="X378" s="66"/>
      <c r="AB378" s="66"/>
      <c r="AG378" s="66"/>
    </row>
    <row r="379" spans="4:33">
      <c r="D379" s="66"/>
      <c r="G379" s="66"/>
      <c r="V379" s="66"/>
      <c r="W379" s="66"/>
      <c r="X379" s="66"/>
      <c r="AB379" s="66"/>
      <c r="AG379" s="66"/>
    </row>
    <row r="380" spans="4:33">
      <c r="D380" s="66"/>
      <c r="G380" s="66"/>
      <c r="V380" s="66"/>
      <c r="W380" s="66"/>
      <c r="X380" s="66"/>
      <c r="AB380" s="66"/>
      <c r="AG380" s="66"/>
    </row>
    <row r="381" spans="4:33">
      <c r="D381" s="66"/>
      <c r="G381" s="66"/>
      <c r="V381" s="66"/>
      <c r="W381" s="66"/>
      <c r="X381" s="66"/>
      <c r="AB381" s="66"/>
      <c r="AG381" s="66"/>
    </row>
    <row r="382" spans="4:33">
      <c r="D382" s="66"/>
      <c r="G382" s="66"/>
      <c r="V382" s="66"/>
      <c r="W382" s="66"/>
      <c r="X382" s="66"/>
      <c r="AB382" s="66"/>
      <c r="AG382" s="66"/>
    </row>
    <row r="383" spans="4:33">
      <c r="D383" s="66"/>
      <c r="G383" s="66"/>
      <c r="V383" s="66"/>
      <c r="W383" s="66"/>
      <c r="X383" s="66"/>
      <c r="AB383" s="66"/>
      <c r="AG383" s="66"/>
    </row>
    <row r="384" spans="4:33">
      <c r="D384" s="66"/>
      <c r="G384" s="66"/>
      <c r="V384" s="66"/>
      <c r="W384" s="66"/>
      <c r="X384" s="66"/>
      <c r="AB384" s="66"/>
      <c r="AG384" s="66"/>
    </row>
    <row r="385" spans="4:33">
      <c r="D385" s="66"/>
      <c r="G385" s="66"/>
      <c r="V385" s="66"/>
      <c r="W385" s="66"/>
      <c r="X385" s="66"/>
      <c r="AB385" s="66"/>
      <c r="AG385" s="66"/>
    </row>
    <row r="386" spans="4:33">
      <c r="D386" s="66"/>
      <c r="G386" s="66"/>
      <c r="V386" s="66"/>
      <c r="W386" s="66"/>
      <c r="X386" s="66"/>
      <c r="AB386" s="66"/>
      <c r="AG386" s="66"/>
    </row>
    <row r="387" spans="4:33">
      <c r="D387" s="66"/>
      <c r="G387" s="66"/>
      <c r="V387" s="66"/>
      <c r="W387" s="66"/>
      <c r="X387" s="66"/>
      <c r="AB387" s="66"/>
      <c r="AG387" s="66"/>
    </row>
    <row r="388" spans="4:33">
      <c r="D388" s="66"/>
      <c r="G388" s="66"/>
      <c r="V388" s="66"/>
      <c r="W388" s="66"/>
      <c r="X388" s="66"/>
      <c r="AB388" s="66"/>
      <c r="AG388" s="66"/>
    </row>
    <row r="389" spans="4:33">
      <c r="D389" s="66"/>
      <c r="G389" s="66"/>
      <c r="V389" s="66"/>
      <c r="W389" s="66"/>
      <c r="X389" s="66"/>
      <c r="AB389" s="66"/>
      <c r="AG389" s="66"/>
    </row>
    <row r="390" spans="4:33">
      <c r="D390" s="66"/>
      <c r="G390" s="66"/>
      <c r="V390" s="66"/>
      <c r="W390" s="66"/>
      <c r="X390" s="66"/>
      <c r="AB390" s="66"/>
      <c r="AG390" s="66"/>
    </row>
    <row r="391" spans="4:33">
      <c r="D391" s="66"/>
      <c r="G391" s="66"/>
      <c r="V391" s="66"/>
      <c r="W391" s="66"/>
      <c r="X391" s="66"/>
      <c r="AB391" s="66"/>
      <c r="AG391" s="66"/>
    </row>
    <row r="392" spans="4:33">
      <c r="D392" s="66"/>
      <c r="G392" s="66"/>
      <c r="V392" s="66"/>
      <c r="W392" s="66"/>
      <c r="X392" s="66"/>
      <c r="AB392" s="66"/>
      <c r="AG392" s="66"/>
    </row>
    <row r="393" spans="4:33">
      <c r="D393" s="66"/>
      <c r="G393" s="66"/>
      <c r="V393" s="66"/>
      <c r="W393" s="66"/>
      <c r="X393" s="66"/>
      <c r="AB393" s="66"/>
      <c r="AG393" s="66"/>
    </row>
    <row r="394" spans="4:33">
      <c r="D394" s="66"/>
      <c r="G394" s="66"/>
      <c r="V394" s="66"/>
      <c r="W394" s="66"/>
      <c r="X394" s="66"/>
      <c r="AB394" s="66"/>
      <c r="AG394" s="66"/>
    </row>
    <row r="395" spans="4:33">
      <c r="D395" s="66"/>
      <c r="G395" s="66"/>
      <c r="V395" s="66"/>
      <c r="W395" s="66"/>
      <c r="X395" s="66"/>
      <c r="AB395" s="66"/>
      <c r="AG395" s="66"/>
    </row>
    <row r="396" spans="4:33">
      <c r="D396" s="66"/>
      <c r="G396" s="66"/>
      <c r="V396" s="66"/>
      <c r="W396" s="66"/>
      <c r="X396" s="66"/>
      <c r="AB396" s="66"/>
      <c r="AG396" s="66"/>
    </row>
    <row r="397" spans="4:33">
      <c r="D397" s="66"/>
      <c r="G397" s="66"/>
      <c r="V397" s="66"/>
      <c r="W397" s="66"/>
      <c r="X397" s="66"/>
      <c r="AB397" s="66"/>
      <c r="AG397" s="66"/>
    </row>
    <row r="398" spans="4:33">
      <c r="D398" s="66"/>
      <c r="G398" s="66"/>
      <c r="V398" s="66"/>
      <c r="W398" s="66"/>
      <c r="X398" s="66"/>
      <c r="AB398" s="66"/>
      <c r="AG398" s="66"/>
    </row>
    <row r="399" spans="4:33">
      <c r="D399" s="66"/>
      <c r="G399" s="66"/>
      <c r="V399" s="66"/>
      <c r="W399" s="66"/>
      <c r="X399" s="66"/>
      <c r="AB399" s="66"/>
      <c r="AG399" s="66"/>
    </row>
    <row r="400" spans="4:33">
      <c r="D400" s="66"/>
      <c r="G400" s="66"/>
      <c r="V400" s="66"/>
      <c r="W400" s="66"/>
      <c r="X400" s="66"/>
      <c r="AB400" s="66"/>
      <c r="AG400" s="66"/>
    </row>
    <row r="401" spans="4:33">
      <c r="D401" s="66"/>
      <c r="G401" s="66"/>
      <c r="V401" s="66"/>
      <c r="W401" s="66"/>
      <c r="X401" s="66"/>
      <c r="AB401" s="66"/>
      <c r="AG401" s="66"/>
    </row>
    <row r="402" spans="4:33">
      <c r="D402" s="66"/>
      <c r="G402" s="66"/>
      <c r="V402" s="66"/>
      <c r="W402" s="66"/>
      <c r="X402" s="66"/>
      <c r="AB402" s="66"/>
      <c r="AG402" s="66"/>
    </row>
    <row r="403" spans="4:33">
      <c r="D403" s="66"/>
      <c r="G403" s="66"/>
      <c r="V403" s="66"/>
      <c r="W403" s="66"/>
      <c r="X403" s="66"/>
      <c r="AB403" s="66"/>
      <c r="AG403" s="66"/>
    </row>
    <row r="404" spans="4:33">
      <c r="D404" s="66"/>
      <c r="G404" s="66"/>
      <c r="V404" s="66"/>
      <c r="W404" s="66"/>
      <c r="X404" s="66"/>
      <c r="AB404" s="66"/>
      <c r="AG404" s="66"/>
    </row>
    <row r="405" spans="4:33">
      <c r="D405" s="66"/>
      <c r="G405" s="66"/>
      <c r="V405" s="66"/>
      <c r="W405" s="66"/>
      <c r="X405" s="66"/>
      <c r="AB405" s="66"/>
      <c r="AG405" s="66"/>
    </row>
    <row r="406" spans="4:33">
      <c r="D406" s="66"/>
      <c r="G406" s="66"/>
      <c r="V406" s="66"/>
      <c r="W406" s="66"/>
      <c r="X406" s="66"/>
      <c r="AB406" s="66"/>
      <c r="AG406" s="66"/>
    </row>
    <row r="407" spans="4:33">
      <c r="D407" s="66"/>
      <c r="G407" s="66"/>
      <c r="V407" s="66"/>
      <c r="W407" s="66"/>
      <c r="X407" s="66"/>
      <c r="AB407" s="66"/>
      <c r="AG407" s="66"/>
    </row>
    <row r="408" spans="4:33">
      <c r="D408" s="66"/>
      <c r="G408" s="66"/>
      <c r="V408" s="66"/>
      <c r="W408" s="66"/>
      <c r="X408" s="66"/>
      <c r="AB408" s="66"/>
      <c r="AG408" s="66"/>
    </row>
    <row r="409" spans="4:33">
      <c r="D409" s="66"/>
      <c r="G409" s="66"/>
      <c r="V409" s="66"/>
      <c r="W409" s="66"/>
      <c r="X409" s="66"/>
      <c r="AB409" s="66"/>
      <c r="AG409" s="66"/>
    </row>
    <row r="410" spans="4:33">
      <c r="D410" s="66"/>
      <c r="G410" s="66"/>
      <c r="V410" s="66"/>
      <c r="W410" s="66"/>
      <c r="X410" s="66"/>
      <c r="AB410" s="66"/>
      <c r="AG410" s="66"/>
    </row>
    <row r="411" spans="4:33">
      <c r="D411" s="66"/>
      <c r="G411" s="66"/>
      <c r="V411" s="66"/>
      <c r="W411" s="66"/>
      <c r="X411" s="66"/>
      <c r="AB411" s="66"/>
      <c r="AG411" s="66"/>
    </row>
    <row r="412" spans="4:33">
      <c r="D412" s="66"/>
      <c r="G412" s="66"/>
      <c r="V412" s="66"/>
      <c r="W412" s="66"/>
      <c r="X412" s="66"/>
      <c r="AB412" s="66"/>
      <c r="AG412" s="66"/>
    </row>
    <row r="413" spans="4:33">
      <c r="D413" s="66"/>
      <c r="G413" s="66"/>
      <c r="V413" s="66"/>
      <c r="W413" s="66"/>
      <c r="X413" s="66"/>
      <c r="AB413" s="66"/>
      <c r="AG413" s="66"/>
    </row>
    <row r="414" spans="4:33">
      <c r="D414" s="66"/>
      <c r="G414" s="66"/>
      <c r="V414" s="66"/>
      <c r="W414" s="66"/>
      <c r="X414" s="66"/>
      <c r="AB414" s="66"/>
      <c r="AG414" s="66"/>
    </row>
    <row r="415" spans="4:33">
      <c r="D415" s="66"/>
      <c r="G415" s="66"/>
      <c r="V415" s="66"/>
      <c r="W415" s="66"/>
      <c r="X415" s="66"/>
      <c r="AB415" s="66"/>
      <c r="AG415" s="66"/>
    </row>
    <row r="416" spans="4:33">
      <c r="D416" s="66"/>
      <c r="G416" s="66"/>
      <c r="V416" s="66"/>
      <c r="W416" s="66"/>
      <c r="X416" s="66"/>
      <c r="AB416" s="66"/>
      <c r="AG416" s="66"/>
    </row>
    <row r="417" spans="4:33">
      <c r="D417" s="66"/>
      <c r="G417" s="66"/>
      <c r="V417" s="66"/>
      <c r="W417" s="66"/>
      <c r="X417" s="66"/>
      <c r="AB417" s="66"/>
      <c r="AG417" s="66"/>
    </row>
    <row r="418" spans="4:33">
      <c r="D418" s="66"/>
      <c r="G418" s="66"/>
      <c r="V418" s="66"/>
      <c r="W418" s="66"/>
      <c r="X418" s="66"/>
      <c r="AB418" s="66"/>
      <c r="AG418" s="66"/>
    </row>
    <row r="419" spans="4:33">
      <c r="D419" s="66"/>
      <c r="G419" s="66"/>
      <c r="V419" s="66"/>
      <c r="W419" s="66"/>
      <c r="X419" s="66"/>
      <c r="AB419" s="66"/>
      <c r="AG419" s="66"/>
    </row>
    <row r="420" spans="4:33">
      <c r="D420" s="66"/>
      <c r="G420" s="66"/>
      <c r="V420" s="66"/>
      <c r="W420" s="66"/>
      <c r="X420" s="66"/>
      <c r="AB420" s="66"/>
      <c r="AG420" s="66"/>
    </row>
    <row r="421" spans="4:33">
      <c r="D421" s="66"/>
      <c r="G421" s="66"/>
      <c r="V421" s="66"/>
      <c r="W421" s="66"/>
      <c r="X421" s="66"/>
      <c r="AB421" s="66"/>
      <c r="AG421" s="66"/>
    </row>
    <row r="422" spans="4:33">
      <c r="D422" s="66"/>
      <c r="G422" s="66"/>
      <c r="V422" s="66"/>
      <c r="W422" s="66"/>
      <c r="X422" s="66"/>
      <c r="AB422" s="66"/>
      <c r="AG422" s="66"/>
    </row>
    <row r="423" spans="4:33">
      <c r="D423" s="66"/>
      <c r="G423" s="66"/>
      <c r="V423" s="66"/>
      <c r="W423" s="66"/>
      <c r="X423" s="66"/>
      <c r="AB423" s="66"/>
      <c r="AG423" s="66"/>
    </row>
    <row r="424" spans="4:33">
      <c r="D424" s="66"/>
      <c r="G424" s="66"/>
      <c r="V424" s="66"/>
      <c r="W424" s="66"/>
      <c r="X424" s="66"/>
      <c r="AB424" s="66"/>
      <c r="AG424" s="66"/>
    </row>
    <row r="425" spans="4:33">
      <c r="D425" s="66"/>
      <c r="G425" s="66"/>
      <c r="V425" s="66"/>
      <c r="W425" s="66"/>
      <c r="X425" s="66"/>
      <c r="AB425" s="66"/>
      <c r="AG425" s="66"/>
    </row>
    <row r="426" spans="4:33">
      <c r="D426" s="66"/>
      <c r="G426" s="66"/>
      <c r="V426" s="66"/>
      <c r="W426" s="66"/>
      <c r="X426" s="66"/>
      <c r="AB426" s="66"/>
      <c r="AG426" s="66"/>
    </row>
    <row r="427" spans="4:33">
      <c r="D427" s="66"/>
      <c r="G427" s="66"/>
      <c r="V427" s="66"/>
      <c r="W427" s="66"/>
      <c r="X427" s="66"/>
      <c r="AB427" s="66"/>
      <c r="AG427" s="66"/>
    </row>
    <row r="428" spans="4:33">
      <c r="D428" s="66"/>
      <c r="G428" s="66"/>
      <c r="V428" s="66"/>
      <c r="W428" s="66"/>
      <c r="X428" s="66"/>
      <c r="AB428" s="66"/>
      <c r="AG428" s="66"/>
    </row>
    <row r="429" spans="4:33">
      <c r="D429" s="66"/>
      <c r="G429" s="66"/>
      <c r="V429" s="66"/>
      <c r="W429" s="66"/>
      <c r="X429" s="66"/>
      <c r="AB429" s="66"/>
      <c r="AG429" s="66"/>
    </row>
    <row r="430" spans="4:33">
      <c r="D430" s="66"/>
      <c r="G430" s="66"/>
      <c r="V430" s="66"/>
      <c r="W430" s="66"/>
      <c r="X430" s="66"/>
      <c r="AB430" s="66"/>
      <c r="AG430" s="66"/>
    </row>
    <row r="431" spans="4:33">
      <c r="D431" s="66"/>
      <c r="G431" s="66"/>
      <c r="V431" s="66"/>
      <c r="W431" s="66"/>
      <c r="X431" s="66"/>
      <c r="AB431" s="66"/>
      <c r="AG431" s="66"/>
    </row>
    <row r="432" spans="4:33">
      <c r="D432" s="66"/>
      <c r="G432" s="66"/>
      <c r="V432" s="66"/>
      <c r="W432" s="66"/>
      <c r="X432" s="66"/>
      <c r="AB432" s="66"/>
      <c r="AG432" s="66"/>
    </row>
    <row r="433" spans="4:33">
      <c r="D433" s="66"/>
      <c r="G433" s="66"/>
      <c r="V433" s="66"/>
      <c r="W433" s="66"/>
      <c r="X433" s="66"/>
      <c r="AB433" s="66"/>
      <c r="AG433" s="66"/>
    </row>
    <row r="434" spans="4:33">
      <c r="D434" s="66"/>
      <c r="G434" s="66"/>
      <c r="V434" s="66"/>
      <c r="W434" s="66"/>
      <c r="X434" s="66"/>
      <c r="AB434" s="66"/>
      <c r="AG434" s="66"/>
    </row>
    <row r="435" spans="4:33">
      <c r="D435" s="66"/>
      <c r="G435" s="66"/>
      <c r="V435" s="66"/>
      <c r="W435" s="66"/>
      <c r="X435" s="66"/>
      <c r="AB435" s="66"/>
      <c r="AG435" s="66"/>
    </row>
    <row r="436" spans="4:33">
      <c r="D436" s="66"/>
      <c r="G436" s="66"/>
      <c r="V436" s="66"/>
      <c r="W436" s="66"/>
      <c r="X436" s="66"/>
      <c r="AB436" s="66"/>
      <c r="AG436" s="66"/>
    </row>
    <row r="437" spans="4:33">
      <c r="D437" s="66"/>
      <c r="G437" s="66"/>
      <c r="V437" s="66"/>
      <c r="W437" s="66"/>
      <c r="X437" s="66"/>
      <c r="AB437" s="66"/>
      <c r="AG437" s="66"/>
    </row>
    <row r="438" spans="4:33">
      <c r="D438" s="66"/>
      <c r="G438" s="66"/>
      <c r="V438" s="66"/>
      <c r="W438" s="66"/>
      <c r="X438" s="66"/>
      <c r="AB438" s="66"/>
      <c r="AG438" s="66"/>
    </row>
    <row r="439" spans="4:33">
      <c r="D439" s="66"/>
      <c r="G439" s="66"/>
      <c r="V439" s="66"/>
      <c r="W439" s="66"/>
      <c r="X439" s="66"/>
      <c r="AB439" s="66"/>
      <c r="AG439" s="66"/>
    </row>
    <row r="440" spans="4:33">
      <c r="D440" s="66"/>
      <c r="G440" s="66"/>
      <c r="V440" s="66"/>
      <c r="W440" s="66"/>
      <c r="X440" s="66"/>
      <c r="AB440" s="66"/>
      <c r="AG440" s="66"/>
    </row>
    <row r="441" spans="4:33">
      <c r="D441" s="66"/>
      <c r="G441" s="66"/>
      <c r="V441" s="66"/>
      <c r="W441" s="66"/>
      <c r="X441" s="66"/>
      <c r="AB441" s="66"/>
      <c r="AG441" s="66"/>
    </row>
    <row r="442" spans="4:33">
      <c r="D442" s="66"/>
      <c r="G442" s="66"/>
      <c r="V442" s="66"/>
      <c r="W442" s="66"/>
      <c r="X442" s="66"/>
      <c r="AB442" s="66"/>
      <c r="AG442" s="66"/>
    </row>
    <row r="443" spans="4:33">
      <c r="D443" s="66"/>
      <c r="G443" s="66"/>
      <c r="V443" s="66"/>
      <c r="W443" s="66"/>
      <c r="X443" s="66"/>
      <c r="AB443" s="66"/>
      <c r="AG443" s="66"/>
    </row>
    <row r="444" spans="4:33">
      <c r="D444" s="66"/>
      <c r="G444" s="66"/>
      <c r="V444" s="66"/>
      <c r="W444" s="66"/>
      <c r="X444" s="66"/>
      <c r="AB444" s="66"/>
      <c r="AG444" s="66"/>
    </row>
    <row r="445" spans="4:33">
      <c r="D445" s="66"/>
      <c r="G445" s="66"/>
      <c r="V445" s="66"/>
      <c r="W445" s="66"/>
      <c r="X445" s="66"/>
      <c r="AB445" s="66"/>
      <c r="AG445" s="66"/>
    </row>
    <row r="446" spans="4:33">
      <c r="D446" s="66"/>
      <c r="G446" s="66"/>
      <c r="V446" s="66"/>
      <c r="W446" s="66"/>
      <c r="X446" s="66"/>
      <c r="AB446" s="66"/>
      <c r="AG446" s="66"/>
    </row>
    <row r="447" spans="4:33">
      <c r="D447" s="66"/>
      <c r="G447" s="66"/>
      <c r="V447" s="66"/>
      <c r="W447" s="66"/>
      <c r="X447" s="66"/>
      <c r="AB447" s="66"/>
      <c r="AG447" s="66"/>
    </row>
    <row r="448" spans="4:33">
      <c r="D448" s="66"/>
      <c r="G448" s="66"/>
      <c r="V448" s="66"/>
      <c r="W448" s="66"/>
      <c r="X448" s="66"/>
      <c r="AB448" s="66"/>
      <c r="AG448" s="66"/>
    </row>
    <row r="449" spans="4:33">
      <c r="D449" s="66"/>
      <c r="G449" s="66"/>
      <c r="V449" s="66"/>
      <c r="W449" s="66"/>
      <c r="X449" s="66"/>
      <c r="AB449" s="66"/>
      <c r="AG449" s="66"/>
    </row>
    <row r="450" spans="4:33">
      <c r="D450" s="66"/>
      <c r="G450" s="66"/>
      <c r="V450" s="66"/>
      <c r="W450" s="66"/>
      <c r="X450" s="66"/>
      <c r="AB450" s="66"/>
      <c r="AG450" s="66"/>
    </row>
    <row r="451" spans="4:33">
      <c r="D451" s="66"/>
      <c r="G451" s="66"/>
      <c r="V451" s="66"/>
      <c r="W451" s="66"/>
      <c r="X451" s="66"/>
      <c r="AB451" s="66"/>
      <c r="AG451" s="66"/>
    </row>
    <row r="452" spans="4:33">
      <c r="D452" s="66"/>
      <c r="G452" s="66"/>
      <c r="V452" s="66"/>
      <c r="W452" s="66"/>
      <c r="X452" s="66"/>
      <c r="AB452" s="66"/>
      <c r="AG452" s="66"/>
    </row>
    <row r="453" spans="4:33">
      <c r="D453" s="66"/>
      <c r="G453" s="66"/>
      <c r="V453" s="66"/>
      <c r="W453" s="66"/>
      <c r="X453" s="66"/>
      <c r="AB453" s="66"/>
      <c r="AG453" s="66"/>
    </row>
    <row r="454" spans="4:33">
      <c r="D454" s="66"/>
      <c r="G454" s="66"/>
      <c r="V454" s="66"/>
      <c r="W454" s="66"/>
      <c r="X454" s="66"/>
      <c r="AB454" s="66"/>
      <c r="AG454" s="66"/>
    </row>
    <row r="455" spans="4:33">
      <c r="D455" s="66"/>
      <c r="G455" s="66"/>
      <c r="V455" s="66"/>
      <c r="W455" s="66"/>
      <c r="X455" s="66"/>
      <c r="AB455" s="66"/>
      <c r="AG455" s="66"/>
    </row>
    <row r="456" spans="4:33">
      <c r="D456" s="66"/>
      <c r="G456" s="66"/>
      <c r="V456" s="66"/>
      <c r="W456" s="66"/>
      <c r="X456" s="66"/>
      <c r="AB456" s="66"/>
      <c r="AG456" s="66"/>
    </row>
    <row r="457" spans="4:33">
      <c r="D457" s="66"/>
      <c r="G457" s="66"/>
      <c r="V457" s="66"/>
      <c r="W457" s="66"/>
      <c r="X457" s="66"/>
      <c r="AB457" s="66"/>
      <c r="AG457" s="66"/>
    </row>
    <row r="458" spans="4:33">
      <c r="D458" s="66"/>
      <c r="G458" s="66"/>
      <c r="V458" s="66"/>
      <c r="W458" s="66"/>
      <c r="X458" s="66"/>
      <c r="AB458" s="66"/>
      <c r="AG458" s="66"/>
    </row>
    <row r="459" spans="4:33">
      <c r="D459" s="66"/>
      <c r="G459" s="66"/>
      <c r="V459" s="66"/>
      <c r="W459" s="66"/>
      <c r="X459" s="66"/>
      <c r="AB459" s="66"/>
      <c r="AG459" s="66"/>
    </row>
    <row r="460" spans="4:33">
      <c r="D460" s="66"/>
      <c r="G460" s="66"/>
      <c r="V460" s="66"/>
      <c r="W460" s="66"/>
      <c r="X460" s="66"/>
      <c r="AB460" s="66"/>
      <c r="AG460" s="66"/>
    </row>
    <row r="461" spans="4:33">
      <c r="D461" s="66"/>
      <c r="G461" s="66"/>
      <c r="V461" s="66"/>
      <c r="W461" s="66"/>
      <c r="X461" s="66"/>
      <c r="AB461" s="66"/>
      <c r="AG461" s="66"/>
    </row>
    <row r="462" spans="4:33">
      <c r="D462" s="66"/>
      <c r="G462" s="66"/>
      <c r="V462" s="66"/>
      <c r="W462" s="66"/>
      <c r="X462" s="66"/>
      <c r="AB462" s="66"/>
      <c r="AG462" s="66"/>
    </row>
    <row r="463" spans="4:33">
      <c r="D463" s="66"/>
      <c r="G463" s="66"/>
      <c r="V463" s="66"/>
      <c r="W463" s="66"/>
      <c r="X463" s="66"/>
      <c r="AB463" s="66"/>
      <c r="AG463" s="66"/>
    </row>
    <row r="464" spans="4:33">
      <c r="D464" s="66"/>
      <c r="G464" s="66"/>
      <c r="V464" s="66"/>
      <c r="W464" s="66"/>
      <c r="X464" s="66"/>
      <c r="AB464" s="66"/>
      <c r="AG464" s="66"/>
    </row>
    <row r="465" spans="4:33">
      <c r="D465" s="66"/>
      <c r="G465" s="66"/>
      <c r="V465" s="66"/>
      <c r="W465" s="66"/>
      <c r="X465" s="66"/>
      <c r="AB465" s="66"/>
      <c r="AG465" s="66"/>
    </row>
    <row r="466" spans="4:33">
      <c r="D466" s="66"/>
      <c r="G466" s="66"/>
      <c r="V466" s="66"/>
      <c r="W466" s="66"/>
      <c r="X466" s="66"/>
      <c r="AB466" s="66"/>
      <c r="AG466" s="66"/>
    </row>
    <row r="467" spans="4:33">
      <c r="D467" s="66"/>
      <c r="G467" s="66"/>
      <c r="V467" s="66"/>
      <c r="W467" s="66"/>
      <c r="X467" s="66"/>
      <c r="AB467" s="66"/>
      <c r="AG467" s="66"/>
    </row>
    <row r="468" spans="4:33">
      <c r="D468" s="66"/>
      <c r="G468" s="66"/>
      <c r="V468" s="66"/>
      <c r="W468" s="66"/>
      <c r="X468" s="66"/>
      <c r="AB468" s="66"/>
      <c r="AG468" s="66"/>
    </row>
    <row r="469" spans="4:33">
      <c r="D469" s="66"/>
      <c r="G469" s="66"/>
      <c r="V469" s="66"/>
      <c r="W469" s="66"/>
      <c r="X469" s="66"/>
      <c r="AB469" s="66"/>
      <c r="AG469" s="66"/>
    </row>
    <row r="470" spans="4:33">
      <c r="D470" s="66"/>
      <c r="G470" s="66"/>
      <c r="V470" s="66"/>
      <c r="W470" s="66"/>
      <c r="X470" s="66"/>
      <c r="AB470" s="66"/>
      <c r="AG470" s="66"/>
    </row>
    <row r="471" spans="4:33">
      <c r="D471" s="66"/>
      <c r="G471" s="66"/>
      <c r="V471" s="66"/>
      <c r="W471" s="66"/>
      <c r="X471" s="66"/>
      <c r="AB471" s="66"/>
      <c r="AG471" s="66"/>
    </row>
    <row r="472" spans="4:33">
      <c r="D472" s="66"/>
      <c r="G472" s="66"/>
      <c r="V472" s="66"/>
      <c r="W472" s="66"/>
      <c r="X472" s="66"/>
      <c r="AB472" s="66"/>
      <c r="AG472" s="66"/>
    </row>
    <row r="473" spans="4:33">
      <c r="D473" s="66"/>
      <c r="G473" s="66"/>
      <c r="V473" s="66"/>
      <c r="W473" s="66"/>
      <c r="X473" s="66"/>
      <c r="AB473" s="66"/>
      <c r="AG473" s="66"/>
    </row>
    <row r="474" spans="4:33">
      <c r="D474" s="66"/>
      <c r="G474" s="66"/>
      <c r="V474" s="66"/>
      <c r="W474" s="66"/>
      <c r="X474" s="66"/>
      <c r="AB474" s="66"/>
      <c r="AG474" s="66"/>
    </row>
    <row r="475" spans="4:33">
      <c r="D475" s="66"/>
      <c r="G475" s="66"/>
      <c r="V475" s="66"/>
      <c r="W475" s="66"/>
      <c r="X475" s="66"/>
      <c r="AB475" s="66"/>
      <c r="AG475" s="66"/>
    </row>
    <row r="476" spans="4:33">
      <c r="D476" s="66"/>
      <c r="G476" s="66"/>
      <c r="V476" s="66"/>
      <c r="W476" s="66"/>
      <c r="X476" s="66"/>
      <c r="AB476" s="66"/>
      <c r="AG476" s="66"/>
    </row>
    <row r="477" spans="4:33">
      <c r="D477" s="66"/>
      <c r="G477" s="66"/>
      <c r="V477" s="66"/>
      <c r="W477" s="66"/>
      <c r="X477" s="66"/>
      <c r="AB477" s="66"/>
      <c r="AG477" s="66"/>
    </row>
    <row r="478" spans="4:33">
      <c r="D478" s="66"/>
      <c r="G478" s="66"/>
      <c r="V478" s="66"/>
      <c r="W478" s="66"/>
      <c r="X478" s="66"/>
      <c r="AB478" s="66"/>
      <c r="AG478" s="66"/>
    </row>
    <row r="479" spans="4:33">
      <c r="D479" s="66"/>
      <c r="G479" s="66"/>
      <c r="V479" s="66"/>
      <c r="W479" s="66"/>
      <c r="X479" s="66"/>
      <c r="AB479" s="66"/>
      <c r="AG479" s="66"/>
    </row>
    <row r="480" spans="4:33">
      <c r="D480" s="66"/>
      <c r="G480" s="66"/>
      <c r="V480" s="66"/>
      <c r="W480" s="66"/>
      <c r="X480" s="66"/>
      <c r="AB480" s="66"/>
      <c r="AG480" s="66"/>
    </row>
    <row r="481" spans="4:33">
      <c r="D481" s="66"/>
      <c r="G481" s="66"/>
      <c r="V481" s="66"/>
      <c r="W481" s="66"/>
      <c r="X481" s="66"/>
      <c r="AB481" s="66"/>
      <c r="AG481" s="66"/>
    </row>
    <row r="482" spans="4:33">
      <c r="D482" s="66"/>
      <c r="G482" s="66"/>
      <c r="V482" s="66"/>
      <c r="W482" s="66"/>
      <c r="X482" s="66"/>
      <c r="AB482" s="66"/>
      <c r="AG482" s="66"/>
    </row>
    <row r="483" spans="4:33">
      <c r="D483" s="66"/>
      <c r="G483" s="66"/>
      <c r="V483" s="66"/>
      <c r="W483" s="66"/>
      <c r="X483" s="66"/>
      <c r="AB483" s="66"/>
      <c r="AG483" s="66"/>
    </row>
    <row r="484" spans="4:33">
      <c r="D484" s="66"/>
      <c r="G484" s="66"/>
      <c r="V484" s="66"/>
      <c r="W484" s="66"/>
      <c r="X484" s="66"/>
      <c r="AB484" s="66"/>
      <c r="AG484" s="66"/>
    </row>
    <row r="485" spans="4:33">
      <c r="D485" s="66"/>
      <c r="G485" s="66"/>
      <c r="V485" s="66"/>
      <c r="W485" s="66"/>
      <c r="X485" s="66"/>
      <c r="AB485" s="66"/>
      <c r="AG485" s="66"/>
    </row>
    <row r="486" spans="4:33">
      <c r="D486" s="66"/>
      <c r="G486" s="66"/>
      <c r="V486" s="66"/>
      <c r="W486" s="66"/>
      <c r="X486" s="66"/>
      <c r="AB486" s="66"/>
      <c r="AG486" s="66"/>
    </row>
    <row r="487" spans="4:33">
      <c r="D487" s="66"/>
      <c r="G487" s="66"/>
      <c r="V487" s="66"/>
      <c r="W487" s="66"/>
      <c r="X487" s="66"/>
      <c r="AB487" s="66"/>
      <c r="AG487" s="66"/>
    </row>
    <row r="488" spans="4:33">
      <c r="D488" s="66"/>
      <c r="G488" s="66"/>
      <c r="V488" s="66"/>
      <c r="W488" s="66"/>
      <c r="X488" s="66"/>
      <c r="AB488" s="66"/>
      <c r="AG488" s="66"/>
    </row>
    <row r="489" spans="4:33">
      <c r="D489" s="66"/>
      <c r="G489" s="66"/>
      <c r="V489" s="66"/>
      <c r="W489" s="66"/>
      <c r="X489" s="66"/>
      <c r="AB489" s="66"/>
      <c r="AG489" s="66"/>
    </row>
    <row r="490" spans="4:33">
      <c r="D490" s="66"/>
      <c r="G490" s="66"/>
      <c r="V490" s="66"/>
      <c r="W490" s="66"/>
      <c r="X490" s="66"/>
      <c r="AB490" s="66"/>
      <c r="AG490" s="66"/>
    </row>
    <row r="491" spans="4:33">
      <c r="D491" s="66"/>
      <c r="G491" s="66"/>
      <c r="V491" s="66"/>
      <c r="W491" s="66"/>
      <c r="X491" s="66"/>
      <c r="AB491" s="66"/>
      <c r="AG491" s="66"/>
    </row>
    <row r="492" spans="4:33">
      <c r="D492" s="66"/>
      <c r="G492" s="66"/>
      <c r="V492" s="66"/>
      <c r="W492" s="66"/>
      <c r="X492" s="66"/>
      <c r="AB492" s="66"/>
      <c r="AG492" s="66"/>
    </row>
    <row r="493" spans="4:33">
      <c r="D493" s="66"/>
      <c r="G493" s="66"/>
      <c r="V493" s="66"/>
      <c r="W493" s="66"/>
      <c r="X493" s="66"/>
      <c r="AB493" s="66"/>
      <c r="AG493" s="66"/>
    </row>
    <row r="494" spans="4:33">
      <c r="D494" s="66"/>
      <c r="G494" s="66"/>
      <c r="V494" s="66"/>
      <c r="W494" s="66"/>
      <c r="X494" s="66"/>
      <c r="AB494" s="66"/>
      <c r="AG494" s="66"/>
    </row>
    <row r="495" spans="4:33">
      <c r="D495" s="66"/>
      <c r="G495" s="66"/>
      <c r="V495" s="66"/>
      <c r="W495" s="66"/>
      <c r="X495" s="66"/>
      <c r="AB495" s="66"/>
      <c r="AG495" s="66"/>
    </row>
    <row r="496" spans="4:33">
      <c r="D496" s="66"/>
      <c r="G496" s="66"/>
      <c r="V496" s="66"/>
      <c r="W496" s="66"/>
      <c r="X496" s="66"/>
      <c r="AB496" s="66"/>
      <c r="AG496" s="66"/>
    </row>
    <row r="497" spans="4:33">
      <c r="D497" s="66"/>
      <c r="G497" s="66"/>
      <c r="V497" s="66"/>
      <c r="W497" s="66"/>
      <c r="X497" s="66"/>
      <c r="AB497" s="66"/>
      <c r="AG497" s="66"/>
    </row>
    <row r="498" spans="4:33">
      <c r="D498" s="66"/>
      <c r="G498" s="66"/>
      <c r="V498" s="66"/>
      <c r="W498" s="66"/>
      <c r="X498" s="66"/>
      <c r="AB498" s="66"/>
      <c r="AG498" s="66"/>
    </row>
    <row r="499" spans="4:33">
      <c r="D499" s="66"/>
      <c r="G499" s="66"/>
      <c r="V499" s="66"/>
      <c r="W499" s="66"/>
      <c r="X499" s="66"/>
      <c r="AB499" s="66"/>
      <c r="AG499" s="66"/>
    </row>
    <row r="500" spans="4:33">
      <c r="D500" s="66"/>
      <c r="G500" s="66"/>
      <c r="V500" s="66"/>
      <c r="W500" s="66"/>
      <c r="X500" s="66"/>
      <c r="AB500" s="66"/>
      <c r="AG500" s="66"/>
    </row>
    <row r="501" spans="4:33">
      <c r="D501" s="66"/>
      <c r="G501" s="66"/>
      <c r="V501" s="66"/>
      <c r="W501" s="66"/>
      <c r="X501" s="66"/>
      <c r="AB501" s="66"/>
      <c r="AG501" s="66"/>
    </row>
    <row r="502" spans="4:33">
      <c r="D502" s="66"/>
      <c r="G502" s="66"/>
      <c r="V502" s="66"/>
      <c r="W502" s="66"/>
      <c r="X502" s="66"/>
      <c r="AB502" s="66"/>
      <c r="AG502" s="66"/>
    </row>
    <row r="503" spans="4:33">
      <c r="D503" s="66"/>
      <c r="G503" s="66"/>
      <c r="V503" s="66"/>
      <c r="W503" s="66"/>
      <c r="X503" s="66"/>
      <c r="AB503" s="66"/>
      <c r="AG503" s="66"/>
    </row>
    <row r="504" spans="4:33">
      <c r="D504" s="66"/>
      <c r="G504" s="66"/>
      <c r="V504" s="66"/>
      <c r="W504" s="66"/>
      <c r="X504" s="66"/>
      <c r="AB504" s="66"/>
      <c r="AG504" s="66"/>
    </row>
    <row r="505" spans="4:33">
      <c r="D505" s="66"/>
      <c r="G505" s="66"/>
      <c r="V505" s="66"/>
      <c r="W505" s="66"/>
      <c r="X505" s="66"/>
      <c r="AB505" s="66"/>
      <c r="AG505" s="66"/>
    </row>
    <row r="506" spans="4:33">
      <c r="D506" s="66"/>
      <c r="G506" s="66"/>
      <c r="V506" s="66"/>
      <c r="W506" s="66"/>
      <c r="X506" s="66"/>
      <c r="AB506" s="66"/>
      <c r="AG506" s="66"/>
    </row>
    <row r="507" spans="4:33">
      <c r="D507" s="66"/>
      <c r="G507" s="66"/>
      <c r="V507" s="66"/>
      <c r="W507" s="66"/>
      <c r="X507" s="66"/>
      <c r="AB507" s="66"/>
      <c r="AG507" s="66"/>
    </row>
    <row r="508" spans="4:33">
      <c r="D508" s="66"/>
      <c r="G508" s="66"/>
      <c r="V508" s="66"/>
      <c r="W508" s="66"/>
      <c r="X508" s="66"/>
      <c r="AB508" s="66"/>
      <c r="AG508" s="66"/>
    </row>
    <row r="509" spans="4:33">
      <c r="D509" s="66"/>
      <c r="G509" s="66"/>
      <c r="V509" s="66"/>
      <c r="W509" s="66"/>
      <c r="X509" s="66"/>
      <c r="AB509" s="66"/>
      <c r="AG509" s="66"/>
    </row>
    <row r="510" spans="4:33">
      <c r="D510" s="66"/>
      <c r="G510" s="66"/>
      <c r="V510" s="66"/>
      <c r="W510" s="66"/>
      <c r="X510" s="66"/>
      <c r="AB510" s="66"/>
      <c r="AG510" s="66"/>
    </row>
    <row r="511" spans="4:33">
      <c r="D511" s="66"/>
      <c r="G511" s="66"/>
      <c r="V511" s="66"/>
      <c r="W511" s="66"/>
      <c r="X511" s="66"/>
      <c r="AB511" s="66"/>
      <c r="AG511" s="66"/>
    </row>
    <row r="512" spans="4:33">
      <c r="D512" s="66"/>
      <c r="G512" s="66"/>
      <c r="V512" s="66"/>
      <c r="W512" s="66"/>
      <c r="X512" s="66"/>
      <c r="AB512" s="66"/>
      <c r="AG512" s="66"/>
    </row>
    <row r="513" spans="4:33">
      <c r="D513" s="66"/>
      <c r="G513" s="66"/>
      <c r="V513" s="66"/>
      <c r="W513" s="66"/>
      <c r="X513" s="66"/>
      <c r="AB513" s="66"/>
      <c r="AG513" s="66"/>
    </row>
    <row r="514" spans="4:33">
      <c r="D514" s="66"/>
      <c r="G514" s="66"/>
      <c r="V514" s="66"/>
      <c r="W514" s="66"/>
      <c r="X514" s="66"/>
      <c r="AB514" s="66"/>
      <c r="AG514" s="66"/>
    </row>
    <row r="515" spans="4:33">
      <c r="D515" s="66"/>
      <c r="G515" s="66"/>
      <c r="V515" s="66"/>
      <c r="W515" s="66"/>
      <c r="X515" s="66"/>
      <c r="AB515" s="66"/>
      <c r="AG515" s="66"/>
    </row>
    <row r="516" spans="4:33">
      <c r="D516" s="66"/>
      <c r="G516" s="66"/>
      <c r="V516" s="66"/>
      <c r="W516" s="66"/>
      <c r="X516" s="66"/>
      <c r="AB516" s="66"/>
      <c r="AG516" s="66"/>
    </row>
    <row r="517" spans="4:33">
      <c r="D517" s="66"/>
      <c r="G517" s="66"/>
      <c r="V517" s="66"/>
      <c r="W517" s="66"/>
      <c r="X517" s="66"/>
      <c r="AB517" s="66"/>
      <c r="AG517" s="66"/>
    </row>
    <row r="518" spans="4:33">
      <c r="D518" s="66"/>
      <c r="G518" s="66"/>
      <c r="V518" s="66"/>
      <c r="W518" s="66"/>
      <c r="X518" s="66"/>
      <c r="AB518" s="66"/>
      <c r="AG518" s="66"/>
    </row>
    <row r="519" spans="4:33">
      <c r="D519" s="66"/>
      <c r="G519" s="66"/>
      <c r="V519" s="66"/>
      <c r="W519" s="66"/>
      <c r="X519" s="66"/>
      <c r="AB519" s="66"/>
      <c r="AG519" s="66"/>
    </row>
    <row r="520" spans="4:33">
      <c r="D520" s="66"/>
      <c r="G520" s="66"/>
      <c r="V520" s="66"/>
      <c r="W520" s="66"/>
      <c r="X520" s="66"/>
      <c r="AB520" s="66"/>
      <c r="AG520" s="66"/>
    </row>
    <row r="521" spans="4:33">
      <c r="D521" s="66"/>
      <c r="G521" s="66"/>
      <c r="V521" s="66"/>
      <c r="W521" s="66"/>
      <c r="X521" s="66"/>
      <c r="AB521" s="66"/>
      <c r="AG521" s="66"/>
    </row>
    <row r="522" spans="4:33">
      <c r="D522" s="66"/>
      <c r="G522" s="66"/>
      <c r="V522" s="66"/>
      <c r="W522" s="66"/>
      <c r="X522" s="66"/>
      <c r="AB522" s="66"/>
      <c r="AG522" s="66"/>
    </row>
    <row r="523" spans="4:33">
      <c r="D523" s="66"/>
      <c r="G523" s="66"/>
      <c r="V523" s="66"/>
      <c r="W523" s="66"/>
      <c r="X523" s="66"/>
      <c r="AB523" s="66"/>
      <c r="AG523" s="66"/>
    </row>
    <row r="524" spans="4:33">
      <c r="D524" s="66"/>
      <c r="G524" s="66"/>
      <c r="V524" s="66"/>
      <c r="W524" s="66"/>
      <c r="X524" s="66"/>
      <c r="AB524" s="66"/>
      <c r="AG524" s="66"/>
    </row>
    <row r="525" spans="4:33">
      <c r="D525" s="66"/>
      <c r="G525" s="66"/>
      <c r="V525" s="66"/>
      <c r="W525" s="66"/>
      <c r="X525" s="66"/>
      <c r="AB525" s="66"/>
      <c r="AG525" s="66"/>
    </row>
    <row r="526" spans="4:33">
      <c r="D526" s="66"/>
      <c r="G526" s="66"/>
      <c r="V526" s="66"/>
      <c r="W526" s="66"/>
      <c r="X526" s="66"/>
      <c r="AB526" s="66"/>
      <c r="AG526" s="66"/>
    </row>
    <row r="527" spans="4:33">
      <c r="D527" s="66"/>
      <c r="G527" s="66"/>
      <c r="V527" s="66"/>
      <c r="W527" s="66"/>
      <c r="X527" s="66"/>
      <c r="AB527" s="66"/>
      <c r="AG527" s="66"/>
    </row>
    <row r="528" spans="4:33">
      <c r="D528" s="66"/>
      <c r="G528" s="66"/>
      <c r="V528" s="66"/>
      <c r="W528" s="66"/>
      <c r="X528" s="66"/>
      <c r="AB528" s="66"/>
      <c r="AG528" s="66"/>
    </row>
    <row r="529" spans="4:33">
      <c r="D529" s="66"/>
      <c r="G529" s="66"/>
      <c r="V529" s="66"/>
      <c r="W529" s="66"/>
      <c r="X529" s="66"/>
      <c r="AB529" s="66"/>
      <c r="AG529" s="66"/>
    </row>
    <row r="530" spans="4:33">
      <c r="D530" s="66"/>
      <c r="G530" s="66"/>
      <c r="V530" s="66"/>
      <c r="W530" s="66"/>
      <c r="X530" s="66"/>
      <c r="AB530" s="66"/>
      <c r="AG530" s="66"/>
    </row>
    <row r="531" spans="4:33">
      <c r="D531" s="66"/>
      <c r="G531" s="66"/>
      <c r="V531" s="66"/>
      <c r="W531" s="66"/>
      <c r="X531" s="66"/>
      <c r="AB531" s="66"/>
      <c r="AG531" s="66"/>
    </row>
    <row r="532" spans="4:33">
      <c r="D532" s="66"/>
      <c r="G532" s="66"/>
      <c r="V532" s="66"/>
      <c r="W532" s="66"/>
      <c r="X532" s="66"/>
      <c r="AB532" s="66"/>
      <c r="AG532" s="66"/>
    </row>
    <row r="533" spans="4:33">
      <c r="D533" s="66"/>
      <c r="G533" s="66"/>
      <c r="V533" s="66"/>
      <c r="W533" s="66"/>
      <c r="X533" s="66"/>
      <c r="AB533" s="66"/>
      <c r="AG533" s="66"/>
    </row>
    <row r="534" spans="4:33">
      <c r="D534" s="66"/>
      <c r="G534" s="66"/>
      <c r="V534" s="66"/>
      <c r="W534" s="66"/>
      <c r="X534" s="66"/>
      <c r="AB534" s="66"/>
      <c r="AG534" s="66"/>
    </row>
    <row r="535" spans="4:33">
      <c r="D535" s="66"/>
      <c r="G535" s="66"/>
      <c r="V535" s="66"/>
      <c r="W535" s="66"/>
      <c r="X535" s="66"/>
      <c r="AB535" s="66"/>
      <c r="AG535" s="66"/>
    </row>
    <row r="536" spans="4:33">
      <c r="D536" s="66"/>
      <c r="G536" s="66"/>
      <c r="V536" s="66"/>
      <c r="W536" s="66"/>
      <c r="X536" s="66"/>
      <c r="AB536" s="66"/>
      <c r="AG536" s="66"/>
    </row>
    <row r="537" spans="4:33">
      <c r="D537" s="66"/>
      <c r="G537" s="66"/>
      <c r="V537" s="66"/>
      <c r="W537" s="66"/>
      <c r="X537" s="66"/>
      <c r="AB537" s="66"/>
      <c r="AG537" s="66"/>
    </row>
    <row r="538" spans="4:33">
      <c r="D538" s="66"/>
      <c r="G538" s="66"/>
      <c r="V538" s="66"/>
      <c r="W538" s="66"/>
      <c r="X538" s="66"/>
      <c r="AB538" s="66"/>
      <c r="AG538" s="66"/>
    </row>
    <row r="539" spans="4:33">
      <c r="D539" s="66"/>
      <c r="G539" s="66"/>
      <c r="V539" s="66"/>
      <c r="W539" s="66"/>
      <c r="X539" s="66"/>
      <c r="AB539" s="66"/>
      <c r="AG539" s="66"/>
    </row>
    <row r="540" spans="4:33">
      <c r="D540" s="66"/>
      <c r="G540" s="66"/>
      <c r="V540" s="66"/>
      <c r="W540" s="66"/>
      <c r="X540" s="66"/>
      <c r="AB540" s="66"/>
      <c r="AG540" s="66"/>
    </row>
    <row r="541" spans="4:33">
      <c r="D541" s="66"/>
      <c r="G541" s="66"/>
      <c r="V541" s="66"/>
      <c r="W541" s="66"/>
      <c r="X541" s="66"/>
      <c r="AB541" s="66"/>
      <c r="AG541" s="66"/>
    </row>
    <row r="542" spans="4:33">
      <c r="D542" s="66"/>
      <c r="G542" s="66"/>
      <c r="V542" s="66"/>
      <c r="W542" s="66"/>
      <c r="X542" s="66"/>
      <c r="AB542" s="66"/>
      <c r="AG542" s="66"/>
    </row>
    <row r="543" spans="4:33">
      <c r="D543" s="66"/>
      <c r="G543" s="66"/>
      <c r="V543" s="66"/>
      <c r="W543" s="66"/>
      <c r="X543" s="66"/>
      <c r="AB543" s="66"/>
      <c r="AG543" s="66"/>
    </row>
    <row r="544" spans="4:33">
      <c r="D544" s="66"/>
      <c r="G544" s="66"/>
      <c r="V544" s="66"/>
      <c r="W544" s="66"/>
      <c r="X544" s="66"/>
      <c r="AB544" s="66"/>
      <c r="AG544" s="66"/>
    </row>
    <row r="545" spans="4:33">
      <c r="D545" s="66"/>
      <c r="G545" s="66"/>
      <c r="V545" s="66"/>
      <c r="W545" s="66"/>
      <c r="X545" s="66"/>
      <c r="AB545" s="66"/>
      <c r="AG545" s="66"/>
    </row>
    <row r="546" spans="4:33">
      <c r="D546" s="66"/>
      <c r="G546" s="66"/>
      <c r="V546" s="66"/>
      <c r="W546" s="66"/>
      <c r="X546" s="66"/>
      <c r="AB546" s="66"/>
      <c r="AG546" s="66"/>
    </row>
    <row r="547" spans="4:33">
      <c r="D547" s="66"/>
      <c r="G547" s="66"/>
      <c r="V547" s="66"/>
      <c r="W547" s="66"/>
      <c r="X547" s="66"/>
      <c r="AB547" s="66"/>
      <c r="AG547" s="66"/>
    </row>
    <row r="548" spans="4:33">
      <c r="D548" s="66"/>
      <c r="G548" s="66"/>
      <c r="V548" s="66"/>
      <c r="W548" s="66"/>
      <c r="X548" s="66"/>
      <c r="AB548" s="66"/>
      <c r="AG548" s="66"/>
    </row>
    <row r="549" spans="4:33">
      <c r="D549" s="66"/>
      <c r="G549" s="66"/>
      <c r="V549" s="66"/>
      <c r="W549" s="66"/>
      <c r="X549" s="66"/>
      <c r="AB549" s="66"/>
      <c r="AG549" s="66"/>
    </row>
    <row r="550" spans="4:33">
      <c r="D550" s="66"/>
      <c r="G550" s="66"/>
      <c r="V550" s="66"/>
      <c r="W550" s="66"/>
      <c r="X550" s="66"/>
      <c r="AB550" s="66"/>
      <c r="AG550" s="66"/>
    </row>
    <row r="551" spans="4:33">
      <c r="D551" s="66"/>
      <c r="G551" s="66"/>
      <c r="V551" s="66"/>
      <c r="W551" s="66"/>
      <c r="X551" s="66"/>
      <c r="AB551" s="66"/>
      <c r="AG551" s="66"/>
    </row>
    <row r="552" spans="4:33">
      <c r="D552" s="66"/>
      <c r="G552" s="66"/>
      <c r="V552" s="66"/>
      <c r="W552" s="66"/>
      <c r="X552" s="66"/>
      <c r="AB552" s="66"/>
      <c r="AG552" s="66"/>
    </row>
    <row r="553" spans="4:33">
      <c r="D553" s="66"/>
      <c r="G553" s="66"/>
      <c r="V553" s="66"/>
      <c r="W553" s="66"/>
      <c r="X553" s="66"/>
      <c r="AB553" s="66"/>
      <c r="AG553" s="66"/>
    </row>
    <row r="554" spans="4:33">
      <c r="D554" s="66"/>
      <c r="G554" s="66"/>
      <c r="V554" s="66"/>
      <c r="W554" s="66"/>
      <c r="X554" s="66"/>
      <c r="AB554" s="66"/>
      <c r="AG554" s="66"/>
    </row>
    <row r="555" spans="4:33">
      <c r="D555" s="66"/>
      <c r="G555" s="66"/>
      <c r="V555" s="66"/>
      <c r="W555" s="66"/>
      <c r="X555" s="66"/>
      <c r="AB555" s="66"/>
      <c r="AG555" s="66"/>
    </row>
    <row r="556" spans="4:33">
      <c r="D556" s="66"/>
      <c r="G556" s="66"/>
      <c r="V556" s="66"/>
      <c r="W556" s="66"/>
      <c r="X556" s="66"/>
      <c r="AB556" s="66"/>
      <c r="AG556" s="66"/>
    </row>
    <row r="557" spans="4:33">
      <c r="D557" s="66"/>
      <c r="G557" s="66"/>
      <c r="V557" s="66"/>
      <c r="W557" s="66"/>
      <c r="X557" s="66"/>
      <c r="AB557" s="66"/>
      <c r="AG557" s="66"/>
    </row>
    <row r="558" spans="4:33">
      <c r="D558" s="66"/>
      <c r="G558" s="66"/>
      <c r="V558" s="66"/>
      <c r="W558" s="66"/>
      <c r="X558" s="66"/>
      <c r="AB558" s="66"/>
      <c r="AG558" s="66"/>
    </row>
    <row r="559" spans="4:33">
      <c r="D559" s="66"/>
      <c r="G559" s="66"/>
      <c r="V559" s="66"/>
      <c r="W559" s="66"/>
      <c r="X559" s="66"/>
      <c r="AB559" s="66"/>
      <c r="AG559" s="66"/>
    </row>
    <row r="560" spans="4:33">
      <c r="D560" s="66"/>
      <c r="G560" s="66"/>
      <c r="V560" s="66"/>
      <c r="W560" s="66"/>
      <c r="X560" s="66"/>
      <c r="AB560" s="66"/>
      <c r="AG560" s="66"/>
    </row>
    <row r="561" spans="4:33">
      <c r="D561" s="66"/>
      <c r="G561" s="66"/>
      <c r="V561" s="66"/>
      <c r="W561" s="66"/>
      <c r="X561" s="66"/>
      <c r="AB561" s="66"/>
      <c r="AG561" s="66"/>
    </row>
    <row r="562" spans="4:33">
      <c r="D562" s="66"/>
      <c r="G562" s="66"/>
      <c r="V562" s="66"/>
      <c r="W562" s="66"/>
      <c r="X562" s="66"/>
      <c r="AB562" s="66"/>
      <c r="AG562" s="66"/>
    </row>
    <row r="563" spans="4:33">
      <c r="D563" s="66"/>
      <c r="G563" s="66"/>
      <c r="V563" s="66"/>
      <c r="W563" s="66"/>
      <c r="X563" s="66"/>
      <c r="AB563" s="66"/>
      <c r="AG563" s="66"/>
    </row>
    <row r="564" spans="4:33">
      <c r="D564" s="66"/>
      <c r="G564" s="66"/>
      <c r="V564" s="66"/>
      <c r="W564" s="66"/>
      <c r="X564" s="66"/>
      <c r="AB564" s="66"/>
      <c r="AG564" s="66"/>
    </row>
    <row r="565" spans="4:33">
      <c r="D565" s="66"/>
      <c r="G565" s="66"/>
      <c r="V565" s="66"/>
      <c r="W565" s="66"/>
      <c r="X565" s="66"/>
      <c r="AB565" s="66"/>
      <c r="AG565" s="66"/>
    </row>
    <row r="566" spans="4:33">
      <c r="D566" s="66"/>
      <c r="G566" s="66"/>
      <c r="V566" s="66"/>
      <c r="W566" s="66"/>
      <c r="X566" s="66"/>
      <c r="AB566" s="66"/>
      <c r="AG566" s="66"/>
    </row>
    <row r="567" spans="4:33">
      <c r="D567" s="66"/>
      <c r="G567" s="66"/>
      <c r="V567" s="66"/>
      <c r="W567" s="66"/>
      <c r="X567" s="66"/>
      <c r="AB567" s="66"/>
      <c r="AG567" s="66"/>
    </row>
    <row r="568" spans="4:33">
      <c r="D568" s="66"/>
      <c r="G568" s="66"/>
      <c r="V568" s="66"/>
      <c r="W568" s="66"/>
      <c r="X568" s="66"/>
      <c r="AB568" s="66"/>
      <c r="AG568" s="66"/>
    </row>
    <row r="569" spans="4:33">
      <c r="D569" s="66"/>
      <c r="G569" s="66"/>
      <c r="V569" s="66"/>
      <c r="W569" s="66"/>
      <c r="X569" s="66"/>
      <c r="AB569" s="66"/>
      <c r="AG569" s="66"/>
    </row>
    <row r="570" spans="4:33">
      <c r="D570" s="66"/>
      <c r="G570" s="66"/>
      <c r="V570" s="66"/>
      <c r="W570" s="66"/>
      <c r="X570" s="66"/>
      <c r="AB570" s="66"/>
      <c r="AG570" s="66"/>
    </row>
    <row r="571" spans="4:33">
      <c r="D571" s="66"/>
      <c r="G571" s="66"/>
      <c r="V571" s="66"/>
      <c r="W571" s="66"/>
      <c r="X571" s="66"/>
      <c r="AB571" s="66"/>
      <c r="AG571" s="66"/>
    </row>
    <row r="572" spans="4:33">
      <c r="D572" s="66"/>
      <c r="G572" s="66"/>
      <c r="V572" s="66"/>
      <c r="W572" s="66"/>
      <c r="X572" s="66"/>
      <c r="AB572" s="66"/>
      <c r="AG572" s="66"/>
    </row>
    <row r="573" spans="4:33">
      <c r="D573" s="66"/>
      <c r="G573" s="66"/>
      <c r="V573" s="66"/>
      <c r="W573" s="66"/>
      <c r="X573" s="66"/>
      <c r="AB573" s="66"/>
      <c r="AG573" s="66"/>
    </row>
    <row r="574" spans="4:33">
      <c r="D574" s="66"/>
      <c r="G574" s="66"/>
      <c r="V574" s="66"/>
      <c r="W574" s="66"/>
      <c r="X574" s="66"/>
      <c r="AB574" s="66"/>
      <c r="AG574" s="66"/>
    </row>
    <row r="575" spans="4:33">
      <c r="D575" s="66"/>
      <c r="G575" s="66"/>
      <c r="V575" s="66"/>
      <c r="W575" s="66"/>
      <c r="X575" s="66"/>
      <c r="AB575" s="66"/>
      <c r="AG575" s="66"/>
    </row>
    <row r="576" spans="4:33">
      <c r="D576" s="66"/>
      <c r="G576" s="66"/>
      <c r="V576" s="66"/>
      <c r="W576" s="66"/>
      <c r="X576" s="66"/>
      <c r="AB576" s="66"/>
      <c r="AG576" s="66"/>
    </row>
    <row r="577" spans="4:33">
      <c r="D577" s="66"/>
      <c r="G577" s="66"/>
      <c r="V577" s="66"/>
      <c r="W577" s="66"/>
      <c r="X577" s="66"/>
      <c r="AB577" s="66"/>
      <c r="AG577" s="66"/>
    </row>
    <row r="578" spans="4:33">
      <c r="D578" s="66"/>
      <c r="G578" s="66"/>
      <c r="V578" s="66"/>
      <c r="W578" s="66"/>
      <c r="X578" s="66"/>
      <c r="AB578" s="66"/>
      <c r="AG578" s="66"/>
    </row>
    <row r="579" spans="4:33">
      <c r="D579" s="66"/>
      <c r="G579" s="66"/>
      <c r="V579" s="66"/>
      <c r="W579" s="66"/>
      <c r="X579" s="66"/>
      <c r="AB579" s="66"/>
      <c r="AG579" s="66"/>
    </row>
    <row r="580" spans="4:33">
      <c r="D580" s="66"/>
      <c r="G580" s="66"/>
      <c r="V580" s="66"/>
      <c r="W580" s="66"/>
      <c r="X580" s="66"/>
      <c r="AB580" s="66"/>
      <c r="AG580" s="66"/>
    </row>
    <row r="581" spans="4:33">
      <c r="D581" s="66"/>
      <c r="G581" s="66"/>
      <c r="V581" s="66"/>
      <c r="W581" s="66"/>
      <c r="X581" s="66"/>
      <c r="AB581" s="66"/>
      <c r="AG581" s="66"/>
    </row>
    <row r="582" spans="4:33">
      <c r="D582" s="66"/>
      <c r="G582" s="66"/>
      <c r="V582" s="66"/>
      <c r="W582" s="66"/>
      <c r="X582" s="66"/>
      <c r="AB582" s="66"/>
      <c r="AG582" s="66"/>
    </row>
    <row r="583" spans="4:33">
      <c r="D583" s="66"/>
      <c r="G583" s="66"/>
      <c r="V583" s="66"/>
      <c r="W583" s="66"/>
      <c r="X583" s="66"/>
      <c r="AB583" s="66"/>
      <c r="AG583" s="66"/>
    </row>
    <row r="584" spans="4:33">
      <c r="D584" s="66"/>
      <c r="G584" s="66"/>
      <c r="V584" s="66"/>
      <c r="W584" s="66"/>
      <c r="X584" s="66"/>
      <c r="AB584" s="66"/>
      <c r="AG584" s="66"/>
    </row>
    <row r="585" spans="4:33">
      <c r="D585" s="66"/>
      <c r="G585" s="66"/>
      <c r="V585" s="66"/>
      <c r="W585" s="66"/>
      <c r="X585" s="66"/>
      <c r="AB585" s="66"/>
      <c r="AG585" s="66"/>
    </row>
    <row r="586" spans="4:33">
      <c r="D586" s="66"/>
      <c r="G586" s="66"/>
      <c r="V586" s="66"/>
      <c r="W586" s="66"/>
      <c r="X586" s="66"/>
      <c r="AB586" s="66"/>
      <c r="AG586" s="66"/>
    </row>
    <row r="587" spans="4:33">
      <c r="D587" s="66"/>
      <c r="G587" s="66"/>
      <c r="V587" s="66"/>
      <c r="W587" s="66"/>
      <c r="X587" s="66"/>
      <c r="AB587" s="66"/>
      <c r="AG587" s="66"/>
    </row>
    <row r="588" spans="4:33">
      <c r="D588" s="66"/>
      <c r="G588" s="66"/>
      <c r="V588" s="66"/>
      <c r="W588" s="66"/>
      <c r="X588" s="66"/>
      <c r="AB588" s="66"/>
      <c r="AG588" s="66"/>
    </row>
    <row r="589" spans="4:33">
      <c r="D589" s="66"/>
      <c r="G589" s="66"/>
      <c r="V589" s="66"/>
      <c r="W589" s="66"/>
      <c r="X589" s="66"/>
      <c r="AB589" s="66"/>
      <c r="AG589" s="66"/>
    </row>
    <row r="590" spans="4:33">
      <c r="D590" s="66"/>
      <c r="G590" s="66"/>
      <c r="V590" s="66"/>
      <c r="W590" s="66"/>
      <c r="X590" s="66"/>
      <c r="AB590" s="66"/>
      <c r="AG590" s="66"/>
    </row>
    <row r="591" spans="4:33">
      <c r="D591" s="66"/>
      <c r="G591" s="66"/>
      <c r="V591" s="66"/>
      <c r="W591" s="66"/>
      <c r="X591" s="66"/>
      <c r="AB591" s="66"/>
      <c r="AG591" s="66"/>
    </row>
    <row r="592" spans="4:33">
      <c r="D592" s="66"/>
      <c r="G592" s="66"/>
      <c r="V592" s="66"/>
      <c r="W592" s="66"/>
      <c r="X592" s="66"/>
      <c r="AB592" s="66"/>
      <c r="AG592" s="66"/>
    </row>
    <row r="593" spans="4:33">
      <c r="D593" s="66"/>
      <c r="G593" s="66"/>
      <c r="V593" s="66"/>
      <c r="W593" s="66"/>
      <c r="X593" s="66"/>
      <c r="AB593" s="66"/>
      <c r="AG593" s="66"/>
    </row>
    <row r="594" spans="4:33">
      <c r="D594" s="66"/>
      <c r="G594" s="66"/>
      <c r="V594" s="66"/>
      <c r="W594" s="66"/>
      <c r="X594" s="66"/>
      <c r="AB594" s="66"/>
      <c r="AG594" s="66"/>
    </row>
    <row r="595" spans="4:33">
      <c r="D595" s="66"/>
      <c r="G595" s="66"/>
      <c r="V595" s="66"/>
      <c r="W595" s="66"/>
      <c r="X595" s="66"/>
      <c r="AB595" s="66"/>
      <c r="AG595" s="66"/>
    </row>
    <row r="596" spans="4:33">
      <c r="D596" s="66"/>
      <c r="G596" s="66"/>
      <c r="V596" s="66"/>
      <c r="W596" s="66"/>
      <c r="X596" s="66"/>
      <c r="AB596" s="66"/>
      <c r="AG596" s="66"/>
    </row>
    <row r="597" spans="4:33">
      <c r="D597" s="66"/>
      <c r="G597" s="66"/>
      <c r="V597" s="66"/>
      <c r="W597" s="66"/>
      <c r="X597" s="66"/>
      <c r="AB597" s="66"/>
      <c r="AG597" s="66"/>
    </row>
    <row r="598" spans="4:33">
      <c r="D598" s="66"/>
      <c r="G598" s="66"/>
      <c r="V598" s="66"/>
      <c r="W598" s="66"/>
      <c r="X598" s="66"/>
      <c r="AB598" s="66"/>
      <c r="AG598" s="66"/>
    </row>
    <row r="599" spans="4:33">
      <c r="D599" s="66"/>
      <c r="G599" s="66"/>
      <c r="V599" s="66"/>
      <c r="W599" s="66"/>
      <c r="X599" s="66"/>
      <c r="AB599" s="66"/>
      <c r="AG599" s="66"/>
    </row>
    <row r="600" spans="4:33">
      <c r="D600" s="66"/>
      <c r="G600" s="66"/>
      <c r="V600" s="66"/>
      <c r="W600" s="66"/>
      <c r="X600" s="66"/>
      <c r="AB600" s="66"/>
      <c r="AG600" s="66"/>
    </row>
    <row r="601" spans="4:33">
      <c r="D601" s="66"/>
      <c r="G601" s="66"/>
      <c r="V601" s="66"/>
      <c r="W601" s="66"/>
      <c r="X601" s="66"/>
      <c r="AB601" s="66"/>
      <c r="AG601" s="66"/>
    </row>
    <row r="602" spans="4:33">
      <c r="D602" s="66"/>
      <c r="G602" s="66"/>
      <c r="V602" s="66"/>
      <c r="W602" s="66"/>
      <c r="X602" s="66"/>
      <c r="AB602" s="66"/>
      <c r="AG602" s="66"/>
    </row>
    <row r="603" spans="4:33">
      <c r="D603" s="66"/>
      <c r="G603" s="66"/>
      <c r="V603" s="66"/>
      <c r="W603" s="66"/>
      <c r="X603" s="66"/>
      <c r="AB603" s="66"/>
      <c r="AG603" s="66"/>
    </row>
    <row r="604" spans="4:33">
      <c r="D604" s="66"/>
      <c r="G604" s="66"/>
      <c r="V604" s="66"/>
      <c r="W604" s="66"/>
      <c r="X604" s="66"/>
      <c r="AB604" s="66"/>
      <c r="AG604" s="66"/>
    </row>
    <row r="605" spans="4:33">
      <c r="D605" s="66"/>
      <c r="G605" s="66"/>
      <c r="V605" s="66"/>
      <c r="W605" s="66"/>
      <c r="X605" s="66"/>
      <c r="AB605" s="66"/>
      <c r="AG605" s="66"/>
    </row>
    <row r="606" spans="4:33">
      <c r="D606" s="66"/>
      <c r="G606" s="66"/>
      <c r="V606" s="66"/>
      <c r="W606" s="66"/>
      <c r="X606" s="66"/>
      <c r="AB606" s="66"/>
      <c r="AG606" s="66"/>
    </row>
    <row r="607" spans="4:33">
      <c r="D607" s="66"/>
      <c r="G607" s="66"/>
      <c r="V607" s="66"/>
      <c r="W607" s="66"/>
      <c r="X607" s="66"/>
      <c r="AB607" s="66"/>
      <c r="AG607" s="66"/>
    </row>
    <row r="608" spans="4:33">
      <c r="D608" s="66"/>
      <c r="G608" s="66"/>
      <c r="V608" s="66"/>
      <c r="W608" s="66"/>
      <c r="X608" s="66"/>
      <c r="AB608" s="66"/>
      <c r="AG608" s="66"/>
    </row>
    <row r="609" spans="4:33">
      <c r="D609" s="66"/>
      <c r="G609" s="66"/>
      <c r="V609" s="66"/>
      <c r="W609" s="66"/>
      <c r="X609" s="66"/>
      <c r="AB609" s="66"/>
      <c r="AG609" s="66"/>
    </row>
    <row r="610" spans="4:33">
      <c r="D610" s="66"/>
      <c r="G610" s="66"/>
      <c r="V610" s="66"/>
      <c r="W610" s="66"/>
      <c r="X610" s="66"/>
      <c r="AB610" s="66"/>
      <c r="AG610" s="66"/>
    </row>
    <row r="611" spans="4:33">
      <c r="D611" s="66"/>
      <c r="G611" s="66"/>
      <c r="V611" s="66"/>
      <c r="W611" s="66"/>
      <c r="X611" s="66"/>
      <c r="AB611" s="66"/>
      <c r="AG611" s="66"/>
    </row>
    <row r="612" spans="4:33">
      <c r="D612" s="66"/>
      <c r="G612" s="66"/>
      <c r="V612" s="66"/>
      <c r="W612" s="66"/>
      <c r="X612" s="66"/>
      <c r="AB612" s="66"/>
      <c r="AG612" s="66"/>
    </row>
    <row r="613" spans="4:33">
      <c r="D613" s="66"/>
      <c r="G613" s="66"/>
      <c r="V613" s="66"/>
      <c r="W613" s="66"/>
      <c r="X613" s="66"/>
      <c r="AB613" s="66"/>
      <c r="AG613" s="66"/>
    </row>
    <row r="614" spans="4:33">
      <c r="D614" s="66"/>
      <c r="G614" s="66"/>
      <c r="V614" s="66"/>
      <c r="W614" s="66"/>
      <c r="X614" s="66"/>
      <c r="AB614" s="66"/>
      <c r="AG614" s="66"/>
    </row>
    <row r="615" spans="4:33">
      <c r="D615" s="66"/>
      <c r="G615" s="66"/>
      <c r="V615" s="66"/>
      <c r="W615" s="66"/>
      <c r="X615" s="66"/>
      <c r="AB615" s="66"/>
      <c r="AG615" s="66"/>
    </row>
    <row r="616" spans="4:33">
      <c r="D616" s="66"/>
      <c r="G616" s="66"/>
      <c r="V616" s="66"/>
      <c r="W616" s="66"/>
      <c r="X616" s="66"/>
      <c r="AB616" s="66"/>
      <c r="AG616" s="66"/>
    </row>
    <row r="617" spans="4:33">
      <c r="D617" s="66"/>
      <c r="G617" s="66"/>
      <c r="V617" s="66"/>
      <c r="W617" s="66"/>
      <c r="X617" s="66"/>
      <c r="AB617" s="66"/>
      <c r="AG617" s="66"/>
    </row>
    <row r="618" spans="4:33">
      <c r="D618" s="66"/>
      <c r="G618" s="66"/>
      <c r="V618" s="66"/>
      <c r="W618" s="66"/>
      <c r="X618" s="66"/>
      <c r="AB618" s="66"/>
      <c r="AG618" s="66"/>
    </row>
    <row r="619" spans="4:33">
      <c r="D619" s="66"/>
      <c r="G619" s="66"/>
      <c r="V619" s="66"/>
      <c r="W619" s="66"/>
      <c r="X619" s="66"/>
      <c r="AB619" s="66"/>
      <c r="AG619" s="66"/>
    </row>
    <row r="620" spans="4:33">
      <c r="D620" s="66"/>
      <c r="G620" s="66"/>
      <c r="V620" s="66"/>
      <c r="W620" s="66"/>
      <c r="X620" s="66"/>
      <c r="AB620" s="66"/>
      <c r="AG620" s="66"/>
    </row>
    <row r="621" spans="4:33">
      <c r="D621" s="66"/>
      <c r="G621" s="66"/>
      <c r="V621" s="66"/>
      <c r="W621" s="66"/>
      <c r="X621" s="66"/>
      <c r="AB621" s="66"/>
      <c r="AG621" s="66"/>
    </row>
    <row r="622" spans="4:33">
      <c r="D622" s="66"/>
      <c r="G622" s="66"/>
      <c r="V622" s="66"/>
      <c r="W622" s="66"/>
      <c r="X622" s="66"/>
      <c r="AB622" s="66"/>
      <c r="AG622" s="66"/>
    </row>
    <row r="623" spans="4:33">
      <c r="D623" s="66"/>
      <c r="G623" s="66"/>
      <c r="V623" s="66"/>
      <c r="W623" s="66"/>
      <c r="X623" s="66"/>
      <c r="AB623" s="66"/>
      <c r="AG623" s="66"/>
    </row>
    <row r="624" spans="4:33">
      <c r="D624" s="66"/>
      <c r="G624" s="66"/>
      <c r="V624" s="66"/>
      <c r="W624" s="66"/>
      <c r="X624" s="66"/>
      <c r="AB624" s="66"/>
      <c r="AG624" s="66"/>
    </row>
    <row r="625" spans="4:33">
      <c r="D625" s="66"/>
      <c r="G625" s="66"/>
      <c r="V625" s="66"/>
      <c r="W625" s="66"/>
      <c r="X625" s="66"/>
      <c r="AB625" s="66"/>
      <c r="AG625" s="66"/>
    </row>
    <row r="626" spans="4:33">
      <c r="D626" s="66"/>
      <c r="G626" s="66"/>
      <c r="V626" s="66"/>
      <c r="W626" s="66"/>
      <c r="X626" s="66"/>
      <c r="AB626" s="66"/>
      <c r="AG626" s="66"/>
    </row>
    <row r="627" spans="4:33">
      <c r="D627" s="66"/>
      <c r="G627" s="66"/>
      <c r="V627" s="66"/>
      <c r="W627" s="66"/>
      <c r="X627" s="66"/>
      <c r="AB627" s="66"/>
      <c r="AG627" s="66"/>
    </row>
    <row r="628" spans="4:33">
      <c r="D628" s="66"/>
      <c r="G628" s="66"/>
      <c r="V628" s="66"/>
      <c r="W628" s="66"/>
      <c r="X628" s="66"/>
      <c r="AB628" s="66"/>
      <c r="AG628" s="66"/>
    </row>
    <row r="629" spans="4:33">
      <c r="D629" s="66"/>
      <c r="G629" s="66"/>
      <c r="V629" s="66"/>
      <c r="W629" s="66"/>
      <c r="X629" s="66"/>
      <c r="AB629" s="66"/>
      <c r="AG629" s="66"/>
    </row>
    <row r="630" spans="4:33">
      <c r="D630" s="66"/>
      <c r="G630" s="66"/>
      <c r="V630" s="66"/>
      <c r="W630" s="66"/>
      <c r="X630" s="66"/>
      <c r="AB630" s="66"/>
      <c r="AG630" s="66"/>
    </row>
    <row r="631" spans="4:33">
      <c r="D631" s="66"/>
      <c r="G631" s="66"/>
      <c r="V631" s="66"/>
      <c r="W631" s="66"/>
      <c r="X631" s="66"/>
      <c r="AB631" s="66"/>
      <c r="AG631" s="66"/>
    </row>
    <row r="632" spans="4:33">
      <c r="D632" s="66"/>
      <c r="G632" s="66"/>
      <c r="V632" s="66"/>
      <c r="W632" s="66"/>
      <c r="X632" s="66"/>
      <c r="AB632" s="66"/>
      <c r="AG632" s="66"/>
    </row>
    <row r="633" spans="4:33">
      <c r="D633" s="66"/>
      <c r="G633" s="66"/>
      <c r="V633" s="66"/>
      <c r="W633" s="66"/>
      <c r="X633" s="66"/>
      <c r="AB633" s="66"/>
      <c r="AG633" s="66"/>
    </row>
    <row r="634" spans="4:33">
      <c r="D634" s="66"/>
      <c r="G634" s="66"/>
      <c r="V634" s="66"/>
      <c r="W634" s="66"/>
      <c r="X634" s="66"/>
      <c r="AB634" s="66"/>
      <c r="AG634" s="66"/>
    </row>
    <row r="635" spans="4:33">
      <c r="D635" s="66"/>
      <c r="G635" s="66"/>
      <c r="V635" s="66"/>
      <c r="W635" s="66"/>
      <c r="X635" s="66"/>
      <c r="AB635" s="66"/>
      <c r="AG635" s="66"/>
    </row>
    <row r="636" spans="4:33">
      <c r="D636" s="66"/>
      <c r="G636" s="66"/>
      <c r="V636" s="66"/>
      <c r="W636" s="66"/>
      <c r="X636" s="66"/>
      <c r="AB636" s="66"/>
      <c r="AG636" s="66"/>
    </row>
    <row r="637" spans="4:33">
      <c r="D637" s="66"/>
      <c r="G637" s="66"/>
      <c r="V637" s="66"/>
      <c r="W637" s="66"/>
      <c r="X637" s="66"/>
      <c r="AB637" s="66"/>
      <c r="AG637" s="66"/>
    </row>
    <row r="638" spans="4:33">
      <c r="D638" s="66"/>
      <c r="G638" s="66"/>
      <c r="V638" s="66"/>
      <c r="W638" s="66"/>
      <c r="X638" s="66"/>
      <c r="AB638" s="66"/>
      <c r="AG638" s="66"/>
    </row>
    <row r="639" spans="4:33">
      <c r="D639" s="66"/>
      <c r="G639" s="66"/>
      <c r="V639" s="66"/>
      <c r="W639" s="66"/>
      <c r="X639" s="66"/>
      <c r="AB639" s="66"/>
      <c r="AG639" s="66"/>
    </row>
    <row r="640" spans="4:33">
      <c r="D640" s="66"/>
      <c r="G640" s="66"/>
      <c r="V640" s="66"/>
      <c r="W640" s="66"/>
      <c r="X640" s="66"/>
      <c r="AB640" s="66"/>
      <c r="AG640" s="66"/>
    </row>
    <row r="641" spans="4:33">
      <c r="D641" s="66"/>
      <c r="G641" s="66"/>
      <c r="V641" s="66"/>
      <c r="W641" s="66"/>
      <c r="X641" s="66"/>
      <c r="AB641" s="66"/>
      <c r="AG641" s="66"/>
    </row>
    <row r="642" spans="4:33">
      <c r="D642" s="66"/>
      <c r="G642" s="66"/>
      <c r="V642" s="66"/>
      <c r="W642" s="66"/>
      <c r="X642" s="66"/>
      <c r="AB642" s="66"/>
      <c r="AG642" s="66"/>
    </row>
    <row r="643" spans="4:33">
      <c r="D643" s="66"/>
      <c r="G643" s="66"/>
      <c r="V643" s="66"/>
      <c r="W643" s="66"/>
      <c r="X643" s="66"/>
      <c r="AB643" s="66"/>
      <c r="AG643" s="66"/>
    </row>
    <row r="644" spans="4:33">
      <c r="D644" s="66"/>
      <c r="G644" s="66"/>
      <c r="V644" s="66"/>
      <c r="W644" s="66"/>
      <c r="X644" s="66"/>
      <c r="AB644" s="66"/>
      <c r="AG644" s="66"/>
    </row>
    <row r="645" spans="4:33">
      <c r="D645" s="66"/>
      <c r="G645" s="66"/>
      <c r="V645" s="66"/>
      <c r="W645" s="66"/>
      <c r="X645" s="66"/>
      <c r="AB645" s="66"/>
      <c r="AG645" s="66"/>
    </row>
    <row r="646" spans="4:33">
      <c r="D646" s="66"/>
      <c r="G646" s="66"/>
      <c r="V646" s="66"/>
      <c r="W646" s="66"/>
      <c r="X646" s="66"/>
      <c r="AB646" s="66"/>
      <c r="AG646" s="66"/>
    </row>
    <row r="647" spans="4:33">
      <c r="D647" s="66"/>
      <c r="G647" s="66"/>
      <c r="V647" s="66"/>
      <c r="W647" s="66"/>
      <c r="X647" s="66"/>
      <c r="AB647" s="66"/>
      <c r="AG647" s="66"/>
    </row>
    <row r="648" spans="4:33">
      <c r="D648" s="66"/>
      <c r="G648" s="66"/>
      <c r="V648" s="66"/>
      <c r="W648" s="66"/>
      <c r="X648" s="66"/>
      <c r="AB648" s="66"/>
      <c r="AG648" s="66"/>
    </row>
    <row r="649" spans="4:33">
      <c r="D649" s="66"/>
      <c r="G649" s="66"/>
      <c r="V649" s="66"/>
      <c r="W649" s="66"/>
      <c r="X649" s="66"/>
      <c r="AB649" s="66"/>
      <c r="AG649" s="66"/>
    </row>
    <row r="650" spans="4:33">
      <c r="D650" s="66"/>
      <c r="G650" s="66"/>
      <c r="V650" s="66"/>
      <c r="W650" s="66"/>
      <c r="X650" s="66"/>
      <c r="AB650" s="66"/>
      <c r="AG650" s="66"/>
    </row>
    <row r="651" spans="4:33">
      <c r="D651" s="66"/>
      <c r="G651" s="66"/>
      <c r="V651" s="66"/>
      <c r="W651" s="66"/>
      <c r="X651" s="66"/>
      <c r="AB651" s="66"/>
      <c r="AG651" s="66"/>
    </row>
    <row r="652" spans="4:33">
      <c r="D652" s="66"/>
      <c r="G652" s="66"/>
      <c r="V652" s="66"/>
      <c r="W652" s="66"/>
      <c r="X652" s="66"/>
      <c r="AB652" s="66"/>
      <c r="AG652" s="66"/>
    </row>
    <row r="653" spans="4:33">
      <c r="D653" s="66"/>
      <c r="G653" s="66"/>
      <c r="V653" s="66"/>
      <c r="W653" s="66"/>
      <c r="X653" s="66"/>
      <c r="AB653" s="66"/>
      <c r="AG653" s="66"/>
    </row>
    <row r="654" spans="4:33">
      <c r="D654" s="66"/>
      <c r="G654" s="66"/>
      <c r="V654" s="66"/>
      <c r="W654" s="66"/>
      <c r="X654" s="66"/>
      <c r="AB654" s="66"/>
      <c r="AG654" s="66"/>
    </row>
    <row r="655" spans="4:33">
      <c r="D655" s="66"/>
      <c r="G655" s="66"/>
      <c r="V655" s="66"/>
      <c r="W655" s="66"/>
      <c r="X655" s="66"/>
      <c r="AB655" s="66"/>
      <c r="AG655" s="66"/>
    </row>
    <row r="656" spans="4:33">
      <c r="D656" s="66"/>
      <c r="G656" s="66"/>
      <c r="V656" s="66"/>
      <c r="W656" s="66"/>
      <c r="X656" s="66"/>
      <c r="AB656" s="66"/>
      <c r="AG656" s="66"/>
    </row>
    <row r="657" spans="4:33">
      <c r="D657" s="66"/>
      <c r="G657" s="66"/>
      <c r="V657" s="66"/>
      <c r="W657" s="66"/>
      <c r="X657" s="66"/>
      <c r="AB657" s="66"/>
      <c r="AG657" s="66"/>
    </row>
    <row r="658" spans="4:33">
      <c r="D658" s="66"/>
      <c r="G658" s="66"/>
      <c r="V658" s="66"/>
      <c r="W658" s="66"/>
      <c r="X658" s="66"/>
      <c r="AB658" s="66"/>
      <c r="AG658" s="66"/>
    </row>
    <row r="659" spans="4:33">
      <c r="D659" s="66"/>
      <c r="G659" s="66"/>
      <c r="V659" s="66"/>
      <c r="W659" s="66"/>
      <c r="X659" s="66"/>
      <c r="AB659" s="66"/>
      <c r="AG659" s="66"/>
    </row>
    <row r="660" spans="4:33">
      <c r="D660" s="66"/>
      <c r="G660" s="66"/>
      <c r="V660" s="66"/>
      <c r="W660" s="66"/>
      <c r="X660" s="66"/>
      <c r="AB660" s="66"/>
      <c r="AG660" s="66"/>
    </row>
    <row r="661" spans="4:33">
      <c r="D661" s="66"/>
      <c r="G661" s="66"/>
      <c r="V661" s="66"/>
      <c r="W661" s="66"/>
      <c r="X661" s="66"/>
      <c r="AB661" s="66"/>
      <c r="AG661" s="66"/>
    </row>
    <row r="662" spans="4:33">
      <c r="D662" s="66"/>
      <c r="G662" s="66"/>
      <c r="V662" s="66"/>
      <c r="W662" s="66"/>
      <c r="X662" s="66"/>
      <c r="AB662" s="66"/>
      <c r="AG662" s="66"/>
    </row>
    <row r="663" spans="4:33">
      <c r="D663" s="66"/>
      <c r="G663" s="66"/>
      <c r="V663" s="66"/>
      <c r="W663" s="66"/>
      <c r="X663" s="66"/>
      <c r="AB663" s="66"/>
      <c r="AG663" s="66"/>
    </row>
    <row r="664" spans="4:33">
      <c r="D664" s="66"/>
      <c r="G664" s="66"/>
      <c r="V664" s="66"/>
      <c r="W664" s="66"/>
      <c r="X664" s="66"/>
      <c r="AB664" s="66"/>
      <c r="AG664" s="66"/>
    </row>
    <row r="665" spans="4:33">
      <c r="D665" s="66"/>
      <c r="G665" s="66"/>
      <c r="V665" s="66"/>
      <c r="W665" s="66"/>
      <c r="X665" s="66"/>
      <c r="AB665" s="66"/>
      <c r="AG665" s="66"/>
    </row>
    <row r="666" spans="4:33">
      <c r="D666" s="66"/>
      <c r="G666" s="66"/>
      <c r="V666" s="66"/>
      <c r="W666" s="66"/>
      <c r="X666" s="66"/>
      <c r="AB666" s="66"/>
      <c r="AG666" s="66"/>
    </row>
    <row r="667" spans="4:33">
      <c r="D667" s="66"/>
      <c r="G667" s="66"/>
      <c r="V667" s="66"/>
      <c r="W667" s="66"/>
      <c r="X667" s="66"/>
      <c r="AB667" s="66"/>
      <c r="AG667" s="66"/>
    </row>
    <row r="668" spans="4:33">
      <c r="D668" s="66"/>
      <c r="G668" s="66"/>
      <c r="V668" s="66"/>
      <c r="W668" s="66"/>
      <c r="X668" s="66"/>
      <c r="AB668" s="66"/>
      <c r="AG668" s="66"/>
    </row>
    <row r="669" spans="4:33">
      <c r="D669" s="66"/>
      <c r="G669" s="66"/>
      <c r="V669" s="66"/>
      <c r="W669" s="66"/>
      <c r="X669" s="66"/>
      <c r="AB669" s="66"/>
      <c r="AG669" s="66"/>
    </row>
    <row r="670" spans="4:33">
      <c r="D670" s="66"/>
      <c r="G670" s="66"/>
      <c r="V670" s="66"/>
      <c r="W670" s="66"/>
      <c r="X670" s="66"/>
      <c r="AB670" s="66"/>
      <c r="AG670" s="66"/>
    </row>
    <row r="671" spans="4:33">
      <c r="D671" s="66"/>
      <c r="G671" s="66"/>
      <c r="V671" s="66"/>
      <c r="W671" s="66"/>
      <c r="X671" s="66"/>
      <c r="AB671" s="66"/>
      <c r="AG671" s="66"/>
    </row>
    <row r="672" spans="4:33">
      <c r="D672" s="66"/>
      <c r="G672" s="66"/>
      <c r="V672" s="66"/>
      <c r="W672" s="66"/>
      <c r="X672" s="66"/>
      <c r="AB672" s="66"/>
      <c r="AG672" s="66"/>
    </row>
    <row r="673" spans="4:33">
      <c r="D673" s="66"/>
      <c r="G673" s="66"/>
      <c r="V673" s="66"/>
      <c r="W673" s="66"/>
      <c r="X673" s="66"/>
      <c r="AB673" s="66"/>
      <c r="AG673" s="66"/>
    </row>
    <row r="674" spans="4:33">
      <c r="D674" s="66"/>
      <c r="G674" s="66"/>
      <c r="V674" s="66"/>
      <c r="W674" s="66"/>
      <c r="X674" s="66"/>
      <c r="AB674" s="66"/>
      <c r="AG674" s="66"/>
    </row>
    <row r="675" spans="4:33">
      <c r="D675" s="66"/>
      <c r="G675" s="66"/>
      <c r="V675" s="66"/>
      <c r="W675" s="66"/>
      <c r="X675" s="66"/>
      <c r="AB675" s="66"/>
      <c r="AG675" s="66"/>
    </row>
    <row r="676" spans="4:33">
      <c r="D676" s="66"/>
      <c r="G676" s="66"/>
      <c r="V676" s="66"/>
      <c r="W676" s="66"/>
      <c r="X676" s="66"/>
      <c r="AB676" s="66"/>
      <c r="AG676" s="66"/>
    </row>
    <row r="677" spans="4:33">
      <c r="D677" s="66"/>
      <c r="G677" s="66"/>
      <c r="V677" s="66"/>
      <c r="W677" s="66"/>
      <c r="X677" s="66"/>
      <c r="AB677" s="66"/>
      <c r="AG677" s="66"/>
    </row>
    <row r="678" spans="4:33">
      <c r="D678" s="66"/>
      <c r="G678" s="66"/>
      <c r="V678" s="66"/>
      <c r="W678" s="66"/>
      <c r="X678" s="66"/>
      <c r="AB678" s="66"/>
      <c r="AG678" s="66"/>
    </row>
    <row r="679" spans="4:33">
      <c r="D679" s="66"/>
      <c r="G679" s="66"/>
      <c r="V679" s="66"/>
      <c r="W679" s="66"/>
      <c r="X679" s="66"/>
      <c r="AB679" s="66"/>
      <c r="AG679" s="66"/>
    </row>
    <row r="680" spans="4:33">
      <c r="D680" s="66"/>
      <c r="G680" s="66"/>
      <c r="V680" s="66"/>
      <c r="W680" s="66"/>
      <c r="X680" s="66"/>
      <c r="AB680" s="66"/>
      <c r="AG680" s="66"/>
    </row>
    <row r="681" spans="4:33">
      <c r="D681" s="66"/>
      <c r="G681" s="66"/>
      <c r="V681" s="66"/>
      <c r="W681" s="66"/>
      <c r="X681" s="66"/>
      <c r="AB681" s="66"/>
      <c r="AG681" s="66"/>
    </row>
    <row r="682" spans="4:33">
      <c r="D682" s="66"/>
      <c r="G682" s="66"/>
      <c r="V682" s="66"/>
      <c r="W682" s="66"/>
      <c r="X682" s="66"/>
      <c r="AB682" s="66"/>
      <c r="AG682" s="66"/>
    </row>
    <row r="683" spans="4:33">
      <c r="D683" s="66"/>
      <c r="G683" s="66"/>
      <c r="V683" s="66"/>
      <c r="W683" s="66"/>
      <c r="X683" s="66"/>
      <c r="AB683" s="66"/>
      <c r="AG683" s="66"/>
    </row>
    <row r="684" spans="4:33">
      <c r="D684" s="66"/>
      <c r="G684" s="66"/>
      <c r="V684" s="66"/>
      <c r="W684" s="66"/>
      <c r="X684" s="66"/>
      <c r="AB684" s="66"/>
      <c r="AG684" s="66"/>
    </row>
    <row r="685" spans="4:33">
      <c r="D685" s="66"/>
      <c r="G685" s="66"/>
      <c r="V685" s="66"/>
      <c r="W685" s="66"/>
      <c r="X685" s="66"/>
      <c r="AB685" s="66"/>
      <c r="AG685" s="66"/>
    </row>
    <row r="686" spans="4:33">
      <c r="D686" s="66"/>
      <c r="G686" s="66"/>
      <c r="V686" s="66"/>
      <c r="W686" s="66"/>
      <c r="X686" s="66"/>
      <c r="AB686" s="66"/>
      <c r="AG686" s="66"/>
    </row>
    <row r="687" spans="4:33">
      <c r="D687" s="66"/>
      <c r="G687" s="66"/>
      <c r="V687" s="66"/>
      <c r="W687" s="66"/>
      <c r="X687" s="66"/>
      <c r="AB687" s="66"/>
      <c r="AG687" s="66"/>
    </row>
    <row r="688" spans="4:33">
      <c r="D688" s="66"/>
      <c r="G688" s="66"/>
      <c r="V688" s="66"/>
      <c r="W688" s="66"/>
      <c r="X688" s="66"/>
      <c r="AB688" s="66"/>
      <c r="AG688" s="66"/>
    </row>
    <row r="689" spans="4:33">
      <c r="D689" s="66"/>
      <c r="G689" s="66"/>
      <c r="V689" s="66"/>
      <c r="W689" s="66"/>
      <c r="X689" s="66"/>
      <c r="AB689" s="66"/>
      <c r="AG689" s="66"/>
    </row>
    <row r="690" spans="4:33">
      <c r="D690" s="66"/>
      <c r="G690" s="66"/>
      <c r="V690" s="66"/>
      <c r="W690" s="66"/>
      <c r="X690" s="66"/>
      <c r="AB690" s="66"/>
      <c r="AG690" s="66"/>
    </row>
    <row r="691" spans="4:33">
      <c r="D691" s="66"/>
      <c r="G691" s="66"/>
      <c r="V691" s="66"/>
      <c r="W691" s="66"/>
      <c r="X691" s="66"/>
      <c r="AB691" s="66"/>
      <c r="AG691" s="66"/>
    </row>
    <row r="692" spans="4:33">
      <c r="D692" s="66"/>
      <c r="G692" s="66"/>
      <c r="V692" s="66"/>
      <c r="W692" s="66"/>
      <c r="X692" s="66"/>
      <c r="AB692" s="66"/>
      <c r="AG692" s="66"/>
    </row>
    <row r="693" spans="4:33">
      <c r="D693" s="66"/>
      <c r="G693" s="66"/>
      <c r="V693" s="66"/>
      <c r="W693" s="66"/>
      <c r="X693" s="66"/>
      <c r="AB693" s="66"/>
      <c r="AG693" s="66"/>
    </row>
    <row r="694" spans="4:33">
      <c r="D694" s="66"/>
      <c r="G694" s="66"/>
      <c r="V694" s="66"/>
      <c r="W694" s="66"/>
      <c r="X694" s="66"/>
      <c r="AB694" s="66"/>
      <c r="AG694" s="66"/>
    </row>
    <row r="695" spans="4:33">
      <c r="D695" s="66"/>
      <c r="G695" s="66"/>
      <c r="V695" s="66"/>
      <c r="W695" s="66"/>
      <c r="X695" s="66"/>
      <c r="AB695" s="66"/>
      <c r="AG695" s="66"/>
    </row>
    <row r="696" spans="4:33">
      <c r="D696" s="66"/>
      <c r="G696" s="66"/>
      <c r="V696" s="66"/>
      <c r="W696" s="66"/>
      <c r="X696" s="66"/>
      <c r="AB696" s="66"/>
      <c r="AG696" s="66"/>
    </row>
    <row r="697" spans="4:33">
      <c r="D697" s="66"/>
      <c r="G697" s="66"/>
      <c r="V697" s="66"/>
      <c r="W697" s="66"/>
      <c r="X697" s="66"/>
      <c r="AB697" s="66"/>
      <c r="AG697" s="66"/>
    </row>
    <row r="698" spans="4:33">
      <c r="D698" s="66"/>
      <c r="G698" s="66"/>
      <c r="V698" s="66"/>
      <c r="W698" s="66"/>
      <c r="X698" s="66"/>
      <c r="AB698" s="66"/>
      <c r="AG698" s="66"/>
    </row>
    <row r="699" spans="4:33">
      <c r="D699" s="66"/>
      <c r="G699" s="66"/>
      <c r="V699" s="66"/>
      <c r="W699" s="66"/>
      <c r="X699" s="66"/>
      <c r="AB699" s="66"/>
      <c r="AG699" s="66"/>
    </row>
    <row r="700" spans="4:33">
      <c r="D700" s="66"/>
      <c r="G700" s="66"/>
      <c r="V700" s="66"/>
      <c r="W700" s="66"/>
      <c r="X700" s="66"/>
      <c r="AB700" s="66"/>
      <c r="AG700" s="66"/>
    </row>
    <row r="701" spans="4:33">
      <c r="D701" s="66"/>
      <c r="G701" s="66"/>
      <c r="V701" s="66"/>
      <c r="W701" s="66"/>
      <c r="X701" s="66"/>
      <c r="AB701" s="66"/>
      <c r="AG701" s="66"/>
    </row>
    <row r="702" spans="4:33">
      <c r="D702" s="66"/>
      <c r="G702" s="66"/>
      <c r="V702" s="66"/>
      <c r="W702" s="66"/>
      <c r="X702" s="66"/>
      <c r="AB702" s="66"/>
      <c r="AG702" s="66"/>
    </row>
    <row r="703" spans="4:33">
      <c r="D703" s="66"/>
      <c r="G703" s="66"/>
      <c r="V703" s="66"/>
      <c r="W703" s="66"/>
      <c r="X703" s="66"/>
      <c r="AB703" s="66"/>
      <c r="AG703" s="66"/>
    </row>
    <row r="704" spans="4:33">
      <c r="D704" s="66"/>
      <c r="G704" s="66"/>
      <c r="V704" s="66"/>
      <c r="W704" s="66"/>
      <c r="X704" s="66"/>
      <c r="AB704" s="66"/>
      <c r="AG704" s="66"/>
    </row>
    <row r="705" spans="4:33">
      <c r="D705" s="66"/>
      <c r="G705" s="66"/>
      <c r="V705" s="66"/>
      <c r="W705" s="66"/>
      <c r="X705" s="66"/>
      <c r="AB705" s="66"/>
      <c r="AG705" s="66"/>
    </row>
    <row r="706" spans="4:33">
      <c r="D706" s="66"/>
      <c r="G706" s="66"/>
      <c r="V706" s="66"/>
      <c r="W706" s="66"/>
      <c r="X706" s="66"/>
      <c r="AB706" s="66"/>
      <c r="AG706" s="66"/>
    </row>
    <row r="707" spans="4:33">
      <c r="D707" s="66"/>
      <c r="G707" s="66"/>
      <c r="V707" s="66"/>
      <c r="W707" s="66"/>
      <c r="X707" s="66"/>
      <c r="AB707" s="66"/>
      <c r="AG707" s="66"/>
    </row>
    <row r="708" spans="4:33">
      <c r="D708" s="66"/>
      <c r="G708" s="66"/>
      <c r="V708" s="66"/>
      <c r="W708" s="66"/>
      <c r="X708" s="66"/>
      <c r="AB708" s="66"/>
      <c r="AG708" s="66"/>
    </row>
    <row r="709" spans="4:33">
      <c r="D709" s="66"/>
      <c r="G709" s="66"/>
      <c r="V709" s="66"/>
      <c r="W709" s="66"/>
      <c r="X709" s="66"/>
      <c r="AB709" s="66"/>
      <c r="AG709" s="66"/>
    </row>
    <row r="710" spans="4:33">
      <c r="D710" s="66"/>
      <c r="G710" s="66"/>
      <c r="V710" s="66"/>
      <c r="W710" s="66"/>
      <c r="X710" s="66"/>
      <c r="AB710" s="66"/>
      <c r="AG710" s="66"/>
    </row>
    <row r="711" spans="4:33">
      <c r="D711" s="66"/>
      <c r="G711" s="66"/>
      <c r="V711" s="66"/>
      <c r="W711" s="66"/>
      <c r="X711" s="66"/>
      <c r="AB711" s="66"/>
      <c r="AG711" s="66"/>
    </row>
    <row r="712" spans="4:33">
      <c r="D712" s="66"/>
      <c r="G712" s="66"/>
      <c r="V712" s="66"/>
      <c r="W712" s="66"/>
      <c r="X712" s="66"/>
      <c r="AB712" s="66"/>
      <c r="AG712" s="66"/>
    </row>
    <row r="713" spans="4:33">
      <c r="D713" s="66"/>
      <c r="G713" s="66"/>
      <c r="V713" s="66"/>
      <c r="W713" s="66"/>
      <c r="X713" s="66"/>
      <c r="AB713" s="66"/>
      <c r="AG713" s="66"/>
    </row>
    <row r="714" spans="4:33">
      <c r="D714" s="66"/>
      <c r="G714" s="66"/>
      <c r="V714" s="66"/>
      <c r="W714" s="66"/>
      <c r="X714" s="66"/>
      <c r="AB714" s="66"/>
      <c r="AG714" s="66"/>
    </row>
    <row r="715" spans="4:33">
      <c r="D715" s="66"/>
      <c r="G715" s="66"/>
      <c r="V715" s="66"/>
      <c r="W715" s="66"/>
      <c r="X715" s="66"/>
      <c r="AB715" s="66"/>
      <c r="AG715" s="66"/>
    </row>
    <row r="716" spans="4:33">
      <c r="D716" s="66"/>
      <c r="G716" s="66"/>
      <c r="V716" s="66"/>
      <c r="W716" s="66"/>
      <c r="X716" s="66"/>
      <c r="AB716" s="66"/>
      <c r="AG716" s="66"/>
    </row>
    <row r="717" spans="4:33">
      <c r="D717" s="66"/>
      <c r="G717" s="66"/>
      <c r="V717" s="66"/>
      <c r="W717" s="66"/>
      <c r="X717" s="66"/>
      <c r="AB717" s="66"/>
      <c r="AG717" s="66"/>
    </row>
    <row r="718" spans="4:33">
      <c r="D718" s="66"/>
      <c r="G718" s="66"/>
      <c r="V718" s="66"/>
      <c r="W718" s="66"/>
      <c r="X718" s="66"/>
      <c r="AB718" s="66"/>
      <c r="AG718" s="66"/>
    </row>
    <row r="719" spans="4:33">
      <c r="D719" s="66"/>
      <c r="G719" s="66"/>
      <c r="V719" s="66"/>
      <c r="W719" s="66"/>
      <c r="X719" s="66"/>
      <c r="AB719" s="66"/>
      <c r="AG719" s="66"/>
    </row>
    <row r="720" spans="4:33">
      <c r="D720" s="66"/>
      <c r="G720" s="66"/>
      <c r="V720" s="66"/>
      <c r="W720" s="66"/>
      <c r="X720" s="66"/>
      <c r="AB720" s="66"/>
      <c r="AG720" s="66"/>
    </row>
    <row r="721" spans="4:33">
      <c r="D721" s="66"/>
      <c r="G721" s="66"/>
      <c r="V721" s="66"/>
      <c r="W721" s="66"/>
      <c r="X721" s="66"/>
      <c r="AB721" s="66"/>
      <c r="AG721" s="66"/>
    </row>
    <row r="722" spans="4:33">
      <c r="D722" s="66"/>
      <c r="G722" s="66"/>
      <c r="V722" s="66"/>
      <c r="W722" s="66"/>
      <c r="X722" s="66"/>
      <c r="AB722" s="66"/>
      <c r="AG722" s="66"/>
    </row>
    <row r="723" spans="4:33">
      <c r="D723" s="66"/>
      <c r="G723" s="66"/>
      <c r="V723" s="66"/>
      <c r="W723" s="66"/>
      <c r="X723" s="66"/>
      <c r="AB723" s="66"/>
      <c r="AG723" s="66"/>
    </row>
    <row r="724" spans="4:33">
      <c r="D724" s="66"/>
      <c r="G724" s="66"/>
      <c r="V724" s="66"/>
      <c r="W724" s="66"/>
      <c r="X724" s="66"/>
      <c r="AB724" s="66"/>
      <c r="AG724" s="66"/>
    </row>
    <row r="725" spans="4:33">
      <c r="D725" s="66"/>
      <c r="G725" s="66"/>
      <c r="V725" s="66"/>
      <c r="W725" s="66"/>
      <c r="X725" s="66"/>
      <c r="AB725" s="66"/>
      <c r="AG725" s="66"/>
    </row>
    <row r="726" spans="4:33">
      <c r="D726" s="66"/>
      <c r="G726" s="66"/>
      <c r="V726" s="66"/>
      <c r="W726" s="66"/>
      <c r="X726" s="66"/>
      <c r="AB726" s="66"/>
      <c r="AG726" s="66"/>
    </row>
    <row r="727" spans="4:33">
      <c r="D727" s="66"/>
      <c r="G727" s="66"/>
      <c r="V727" s="66"/>
      <c r="W727" s="66"/>
      <c r="X727" s="66"/>
      <c r="AB727" s="66"/>
      <c r="AG727" s="66"/>
    </row>
    <row r="728" spans="4:33">
      <c r="D728" s="66"/>
      <c r="G728" s="66"/>
      <c r="V728" s="66"/>
      <c r="W728" s="66"/>
      <c r="X728" s="66"/>
      <c r="AB728" s="66"/>
      <c r="AG728" s="66"/>
    </row>
    <row r="729" spans="4:33">
      <c r="D729" s="66"/>
      <c r="G729" s="66"/>
      <c r="V729" s="66"/>
      <c r="W729" s="66"/>
      <c r="X729" s="66"/>
      <c r="AB729" s="66"/>
      <c r="AG729" s="66"/>
    </row>
    <row r="730" spans="4:33">
      <c r="D730" s="66"/>
      <c r="G730" s="66"/>
      <c r="V730" s="66"/>
      <c r="W730" s="66"/>
      <c r="X730" s="66"/>
      <c r="AB730" s="66"/>
      <c r="AG730" s="66"/>
    </row>
    <row r="731" spans="4:33">
      <c r="D731" s="66"/>
      <c r="G731" s="66"/>
      <c r="V731" s="66"/>
      <c r="W731" s="66"/>
      <c r="X731" s="66"/>
      <c r="AB731" s="66"/>
      <c r="AG731" s="66"/>
    </row>
    <row r="732" spans="4:33">
      <c r="D732" s="66"/>
      <c r="G732" s="66"/>
      <c r="V732" s="66"/>
      <c r="W732" s="66"/>
      <c r="X732" s="66"/>
      <c r="AB732" s="66"/>
      <c r="AG732" s="66"/>
    </row>
    <row r="733" spans="4:33">
      <c r="D733" s="66"/>
      <c r="G733" s="66"/>
      <c r="V733" s="66"/>
      <c r="W733" s="66"/>
      <c r="X733" s="66"/>
      <c r="AB733" s="66"/>
      <c r="AG733" s="66"/>
    </row>
    <row r="734" spans="4:33">
      <c r="D734" s="66"/>
      <c r="G734" s="66"/>
      <c r="V734" s="66"/>
      <c r="W734" s="66"/>
      <c r="X734" s="66"/>
      <c r="AB734" s="66"/>
      <c r="AG734" s="66"/>
    </row>
    <row r="735" spans="4:33">
      <c r="D735" s="66"/>
      <c r="G735" s="66"/>
      <c r="V735" s="66"/>
      <c r="W735" s="66"/>
      <c r="X735" s="66"/>
      <c r="AB735" s="66"/>
      <c r="AG735" s="66"/>
    </row>
    <row r="736" spans="4:33">
      <c r="D736" s="66"/>
      <c r="G736" s="66"/>
      <c r="V736" s="66"/>
      <c r="W736" s="66"/>
      <c r="X736" s="66"/>
      <c r="AB736" s="66"/>
      <c r="AG736" s="66"/>
    </row>
    <row r="737" spans="4:33">
      <c r="D737" s="66"/>
      <c r="G737" s="66"/>
      <c r="V737" s="66"/>
      <c r="W737" s="66"/>
      <c r="X737" s="66"/>
      <c r="AB737" s="66"/>
      <c r="AG737" s="66"/>
    </row>
    <row r="738" spans="4:33">
      <c r="D738" s="66"/>
      <c r="G738" s="66"/>
      <c r="V738" s="66"/>
      <c r="W738" s="66"/>
      <c r="X738" s="66"/>
      <c r="AB738" s="66"/>
      <c r="AG738" s="66"/>
    </row>
    <row r="739" spans="4:33">
      <c r="D739" s="66"/>
      <c r="G739" s="66"/>
      <c r="V739" s="66"/>
      <c r="W739" s="66"/>
      <c r="X739" s="66"/>
      <c r="AB739" s="66"/>
      <c r="AG739" s="66"/>
    </row>
    <row r="740" spans="4:33">
      <c r="D740" s="66"/>
      <c r="G740" s="66"/>
      <c r="V740" s="66"/>
      <c r="W740" s="66"/>
      <c r="X740" s="66"/>
      <c r="AB740" s="66"/>
      <c r="AG740" s="66"/>
    </row>
    <row r="741" spans="4:33">
      <c r="D741" s="66"/>
      <c r="G741" s="66"/>
      <c r="V741" s="66"/>
      <c r="W741" s="66"/>
      <c r="X741" s="66"/>
      <c r="AB741" s="66"/>
      <c r="AG741" s="66"/>
    </row>
    <row r="742" spans="4:33">
      <c r="D742" s="66"/>
      <c r="G742" s="66"/>
      <c r="V742" s="66"/>
      <c r="W742" s="66"/>
      <c r="X742" s="66"/>
      <c r="AB742" s="66"/>
      <c r="AG742" s="66"/>
    </row>
    <row r="743" spans="4:33">
      <c r="D743" s="66"/>
      <c r="G743" s="66"/>
      <c r="V743" s="66"/>
      <c r="W743" s="66"/>
      <c r="X743" s="66"/>
      <c r="AB743" s="66"/>
      <c r="AG743" s="66"/>
    </row>
    <row r="744" spans="4:33">
      <c r="D744" s="66"/>
      <c r="G744" s="66"/>
      <c r="V744" s="66"/>
      <c r="W744" s="66"/>
      <c r="X744" s="66"/>
      <c r="AB744" s="66"/>
      <c r="AG744" s="66"/>
    </row>
    <row r="745" spans="4:33">
      <c r="D745" s="66"/>
      <c r="G745" s="66"/>
      <c r="V745" s="66"/>
      <c r="W745" s="66"/>
      <c r="X745" s="66"/>
      <c r="AB745" s="66"/>
      <c r="AG745" s="66"/>
    </row>
    <row r="746" spans="4:33">
      <c r="D746" s="66"/>
      <c r="G746" s="66"/>
      <c r="V746" s="66"/>
      <c r="W746" s="66"/>
      <c r="X746" s="66"/>
      <c r="AB746" s="66"/>
      <c r="AG746" s="66"/>
    </row>
    <row r="747" spans="4:33">
      <c r="D747" s="66"/>
      <c r="G747" s="66"/>
      <c r="V747" s="66"/>
      <c r="W747" s="66"/>
      <c r="X747" s="66"/>
      <c r="AB747" s="66"/>
      <c r="AG747" s="66"/>
    </row>
    <row r="748" spans="4:33">
      <c r="D748" s="66"/>
      <c r="G748" s="66"/>
      <c r="V748" s="66"/>
      <c r="W748" s="66"/>
      <c r="X748" s="66"/>
      <c r="AB748" s="66"/>
      <c r="AG748" s="66"/>
    </row>
    <row r="749" spans="4:33">
      <c r="D749" s="66"/>
      <c r="G749" s="66"/>
      <c r="V749" s="66"/>
      <c r="W749" s="66"/>
      <c r="X749" s="66"/>
      <c r="AB749" s="66"/>
      <c r="AG749" s="66"/>
    </row>
    <row r="750" spans="4:33">
      <c r="D750" s="66"/>
      <c r="G750" s="66"/>
      <c r="V750" s="66"/>
      <c r="W750" s="66"/>
      <c r="X750" s="66"/>
      <c r="AB750" s="66"/>
      <c r="AG750" s="66"/>
    </row>
    <row r="751" spans="4:33">
      <c r="D751" s="66"/>
      <c r="G751" s="66"/>
      <c r="V751" s="66"/>
      <c r="W751" s="66"/>
      <c r="X751" s="66"/>
      <c r="AB751" s="66"/>
      <c r="AG751" s="66"/>
    </row>
    <row r="752" spans="4:33">
      <c r="D752" s="66"/>
      <c r="G752" s="66"/>
      <c r="V752" s="66"/>
      <c r="W752" s="66"/>
      <c r="X752" s="66"/>
      <c r="AB752" s="66"/>
      <c r="AG752" s="66"/>
    </row>
    <row r="753" spans="4:33">
      <c r="D753" s="66"/>
      <c r="G753" s="66"/>
      <c r="V753" s="66"/>
      <c r="W753" s="66"/>
      <c r="X753" s="66"/>
      <c r="AB753" s="66"/>
      <c r="AG753" s="66"/>
    </row>
    <row r="754" spans="4:33">
      <c r="D754" s="66"/>
      <c r="G754" s="66"/>
      <c r="V754" s="66"/>
      <c r="W754" s="66"/>
      <c r="X754" s="66"/>
      <c r="AB754" s="66"/>
      <c r="AG754" s="66"/>
    </row>
    <row r="755" spans="4:33">
      <c r="D755" s="66"/>
      <c r="G755" s="66"/>
      <c r="V755" s="66"/>
      <c r="W755" s="66"/>
      <c r="X755" s="66"/>
      <c r="AB755" s="66"/>
      <c r="AG755" s="66"/>
    </row>
    <row r="756" spans="4:33">
      <c r="D756" s="66"/>
      <c r="G756" s="66"/>
      <c r="V756" s="66"/>
      <c r="W756" s="66"/>
      <c r="X756" s="66"/>
      <c r="AB756" s="66"/>
      <c r="AG756" s="66"/>
    </row>
    <row r="757" spans="4:33">
      <c r="D757" s="66"/>
      <c r="G757" s="66"/>
      <c r="V757" s="66"/>
      <c r="W757" s="66"/>
      <c r="X757" s="66"/>
      <c r="AB757" s="66"/>
      <c r="AG757" s="66"/>
    </row>
    <row r="758" spans="4:33">
      <c r="D758" s="66"/>
      <c r="G758" s="66"/>
      <c r="V758" s="66"/>
      <c r="W758" s="66"/>
      <c r="X758" s="66"/>
      <c r="AB758" s="66"/>
      <c r="AG758" s="66"/>
    </row>
    <row r="759" spans="4:33">
      <c r="D759" s="66"/>
      <c r="G759" s="66"/>
      <c r="V759" s="66"/>
      <c r="W759" s="66"/>
      <c r="X759" s="66"/>
      <c r="AB759" s="66"/>
      <c r="AG759" s="66"/>
    </row>
    <row r="760" spans="4:33">
      <c r="D760" s="66"/>
      <c r="G760" s="66"/>
      <c r="V760" s="66"/>
      <c r="W760" s="66"/>
      <c r="X760" s="66"/>
      <c r="AB760" s="66"/>
      <c r="AG760" s="66"/>
    </row>
    <row r="761" spans="4:33">
      <c r="D761" s="66"/>
      <c r="G761" s="66"/>
      <c r="V761" s="66"/>
      <c r="W761" s="66"/>
      <c r="X761" s="66"/>
      <c r="AB761" s="66"/>
      <c r="AG761" s="66"/>
    </row>
    <row r="762" spans="4:33">
      <c r="D762" s="66"/>
      <c r="G762" s="66"/>
      <c r="V762" s="66"/>
      <c r="W762" s="66"/>
      <c r="X762" s="66"/>
      <c r="AB762" s="66"/>
      <c r="AG762" s="66"/>
    </row>
    <row r="763" spans="4:33">
      <c r="D763" s="66"/>
      <c r="G763" s="66"/>
      <c r="V763" s="66"/>
      <c r="W763" s="66"/>
      <c r="X763" s="66"/>
      <c r="AB763" s="66"/>
      <c r="AG763" s="66"/>
    </row>
    <row r="764" spans="4:33">
      <c r="D764" s="66"/>
      <c r="G764" s="66"/>
      <c r="V764" s="66"/>
      <c r="W764" s="66"/>
      <c r="X764" s="66"/>
      <c r="AB764" s="66"/>
      <c r="AG764" s="6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9" tint="0.79998168889431442"/>
  </sheetPr>
  <dimension ref="A1:O2"/>
  <sheetViews>
    <sheetView workbookViewId="0">
      <selection activeCell="M4" sqref="M4"/>
    </sheetView>
  </sheetViews>
  <sheetFormatPr defaultColWidth="11.42578125" defaultRowHeight="15"/>
  <cols>
    <col min="1" max="1" width="23" bestFit="1" customWidth="1"/>
    <col min="10" max="10" width="14.28515625" bestFit="1" customWidth="1"/>
  </cols>
  <sheetData>
    <row r="1" spans="1:15">
      <c r="A1" t="s">
        <v>46</v>
      </c>
      <c r="H1" t="s">
        <v>47</v>
      </c>
      <c r="I1" t="s">
        <v>48</v>
      </c>
      <c r="J1" t="s">
        <v>49</v>
      </c>
      <c r="M1" s="90" t="s">
        <v>47</v>
      </c>
      <c r="N1" s="90" t="s">
        <v>48</v>
      </c>
      <c r="O1" s="90" t="s">
        <v>49</v>
      </c>
    </row>
    <row r="2" spans="1:15">
      <c r="A2" t="s">
        <v>39</v>
      </c>
      <c r="H2" s="29"/>
      <c r="I2" s="29"/>
      <c r="J2" s="29"/>
      <c r="M2" s="91" t="s">
        <v>50</v>
      </c>
      <c r="N2" s="91" t="s">
        <v>51</v>
      </c>
      <c r="O2" s="91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Page de garde</vt:lpstr>
      <vt:lpstr>Résultats</vt:lpstr>
      <vt:lpstr>IJ</vt:lpstr>
      <vt:lpstr>Evolution IJ</vt:lpstr>
      <vt:lpstr>liste des arrêts en cours</vt:lpstr>
      <vt:lpstr>liste des arrêts non mouvementé</vt:lpstr>
      <vt:lpstr>INVAL</vt:lpstr>
      <vt:lpstr>DECES</vt:lpstr>
      <vt:lpstr>DATA COT</vt:lpstr>
      <vt:lpstr>DATA PREV</vt:lpstr>
      <vt:lpstr>DATA INCAP</vt:lpstr>
      <vt:lpstr>DATA INVAL</vt:lpstr>
      <vt:lpstr>DATA DECES</vt:lpstr>
      <vt:lpstr>DATA AUTRES</vt:lpstr>
      <vt:lpstr>AFFICHAGE</vt:lpstr>
      <vt:lpstr>ANNEE</vt:lpstr>
      <vt:lpstr>ANNEE_1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patricia biasioli</dc:creator>
  <cp:lastModifiedBy>Moeglin</cp:lastModifiedBy>
  <cp:lastPrinted>2017-07-04T13:34:57Z</cp:lastPrinted>
  <dcterms:created xsi:type="dcterms:W3CDTF">2017-05-24T08:26:58Z</dcterms:created>
  <dcterms:modified xsi:type="dcterms:W3CDTF">2020-11-12T11:35:42Z</dcterms:modified>
</cp:coreProperties>
</file>