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3BDC8A0A-E49A-4BDD-9DE2-9CCBB2A6D52A}" xr6:coauthVersionLast="47" xr6:coauthVersionMax="47" xr10:uidLastSave="{00000000-0000-0000-0000-000000000000}"/>
  <bookViews>
    <workbookView xWindow="-120" yWindow="-120" windowWidth="25440" windowHeight="14775" xr2:uid="{00000000-000D-0000-FFFF-FFFF00000000}"/>
  </bookViews>
  <sheets>
    <sheet name="Page de garde" sheetId="13" r:id="rId1"/>
    <sheet name="Résultats" sheetId="14" r:id="rId2"/>
    <sheet name="INCAP" sheetId="18" r:id="rId3"/>
    <sheet name="Evolution INCAP" sheetId="28" r:id="rId4"/>
    <sheet name="liste INCAPACITE" sheetId="31" r:id="rId5"/>
    <sheet name="INVAL" sheetId="38" r:id="rId6"/>
    <sheet name="liste INVALIDITE" sheetId="48" r:id="rId7"/>
    <sheet name="DECES" sheetId="39" r:id="rId8"/>
    <sheet name="liste DECES" sheetId="49" r:id="rId9"/>
    <sheet name="DATA COT" sheetId="5" r:id="rId10"/>
    <sheet name="DATA PREV" sheetId="33" r:id="rId11"/>
    <sheet name="DATA INCAP" sheetId="34" r:id="rId12"/>
    <sheet name="DATA INVAL" sheetId="35" r:id="rId13"/>
    <sheet name="DATA DECES" sheetId="36" r:id="rId14"/>
    <sheet name="DATA AUTRES" sheetId="37" r:id="rId15"/>
    <sheet name="DATA PROV" sheetId="40" r:id="rId16"/>
    <sheet name="DATA PROV INCAP" sheetId="43" r:id="rId17"/>
    <sheet name="DATA PROV INVAL" sheetId="44" r:id="rId18"/>
    <sheet name="DATA PROV DECES" sheetId="45" r:id="rId19"/>
    <sheet name="DATA PROV AUTRES" sheetId="46" r:id="rId20"/>
    <sheet name="AFFICHAGE" sheetId="27" r:id="rId21"/>
  </sheets>
  <definedNames>
    <definedName name="_xlnm._FilterDatabase" localSheetId="14" hidden="1">'DATA AUTRES'!$A$1:$AG$1</definedName>
    <definedName name="_xlnm._FilterDatabase" localSheetId="13" hidden="1">'DATA DECES'!$A$1:$AG$1</definedName>
    <definedName name="_xlnm._FilterDatabase" localSheetId="11" hidden="1">'DATA INCAP'!$A$1:$AH$799</definedName>
    <definedName name="_xlnm._FilterDatabase" localSheetId="12" hidden="1">'DATA INVAL'!$A$1:$AG$1</definedName>
    <definedName name="_xlnm._FilterDatabase" localSheetId="10" hidden="1">'DATA PREV'!#REF!</definedName>
    <definedName name="ANNEE">Résultats!$C$17</definedName>
    <definedName name="ANNEE_1">Résultats!$C$17</definedName>
    <definedName name="ANNEE_2" localSheetId="14">Résultats!#REF!</definedName>
    <definedName name="ANNEE_2" localSheetId="13">Résultats!#REF!</definedName>
    <definedName name="ANNEE_2" localSheetId="11">Résultats!#REF!</definedName>
    <definedName name="ANNEE_2" localSheetId="12">Résultats!#REF!</definedName>
    <definedName name="ANNEE_2" localSheetId="7">Résultats!#REF!</definedName>
    <definedName name="ANNEE_2" localSheetId="3">Résultats!#REF!</definedName>
    <definedName name="ANNEE_2" localSheetId="5">Résultats!#REF!</definedName>
    <definedName name="ANNEE_2" localSheetId="8">Résultats!#REF!</definedName>
    <definedName name="ANNEE_2" localSheetId="4">Résultats!#REF!</definedName>
    <definedName name="ANNEE_2" localSheetId="6">Résultats!#REF!</definedName>
    <definedName name="ANNEE_2">Résultats!#REF!</definedName>
    <definedName name="_xlnm.Print_Area" localSheetId="0">'Page de garde'!$A$1:$U$38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8" l="1"/>
  <c r="C8" i="49"/>
  <c r="C8" i="48"/>
  <c r="C8" i="31"/>
  <c r="H27" i="14"/>
  <c r="I27" i="14"/>
  <c r="J27" i="14"/>
  <c r="K27" i="14"/>
  <c r="G27" i="14"/>
  <c r="C8" i="39" l="1"/>
  <c r="C8" i="38"/>
  <c r="C8" i="18"/>
  <c r="E13" i="14"/>
  <c r="C8" i="14"/>
</calcChain>
</file>

<file path=xl/sharedStrings.xml><?xml version="1.0" encoding="utf-8"?>
<sst xmlns="http://schemas.openxmlformats.org/spreadsheetml/2006/main" count="545" uniqueCount="136">
  <si>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</si>
  <si>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</si>
  <si>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</si>
  <si>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</si>
  <si>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</si>
  <si>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</si>
  <si>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</si>
  <si>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</si>
  <si>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</si>
  <si>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</si>
  <si>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</si>
  <si>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</si>
  <si>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</si>
  <si>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</si>
  <si>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</si>
  <si>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</si>
  <si>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</si>
  <si>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</si>
  <si>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</si>
  <si>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</si>
  <si>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</si>
  <si>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 xml:space="preserve">Date d'arrêté : </t>
  </si>
  <si>
    <t>Cotisations nettes 
(1)</t>
  </si>
  <si>
    <t>Prestations
(2)</t>
  </si>
  <si>
    <t>Provisions* 
(3)</t>
  </si>
  <si>
    <t>Rapport 
(2)+(3) / (1)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</si>
  <si>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</si>
  <si>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</si>
  <si>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</si>
  <si>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</si>
  <si>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</si>
  <si>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</si>
  <si>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</si>
  <si>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MAJ EXCEL</t>
  </si>
  <si>
    <t>MAJ POWERPOINT</t>
  </si>
  <si>
    <t>STATISTIQUES</t>
  </si>
  <si>
    <t>PREVOYANCE</t>
  </si>
  <si>
    <t>Contrat(s)</t>
  </si>
  <si>
    <t>Collège</t>
  </si>
  <si>
    <t xml:space="preserve">Période analysée : </t>
  </si>
  <si>
    <t>Date d'arreté des comptes :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</si>
  <si>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</si>
  <si>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</si>
  <si>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</si>
  <si>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</si>
  <si>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</si>
  <si>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</si>
  <si>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</si>
  <si>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</si>
  <si>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</si>
  <si>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</si>
  <si>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</si>
  <si>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</si>
  <si>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</si>
  <si>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</si>
  <si>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</si>
  <si>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</si>
  <si>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</si>
  <si>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Contrat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</si>
  <si>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</si>
  <si>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</si>
  <si>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</si>
  <si>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</si>
  <si>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</si>
  <si>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</si>
  <si>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</si>
  <si>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</si>
  <si>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</si>
  <si>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</si>
  <si>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</si>
  <si>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</si>
  <si>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</si>
  <si>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</si>
  <si>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</si>
  <si>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</si>
  <si>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</si>
  <si>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</si>
  <si>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</si>
  <si>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</si>
  <si>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</si>
  <si>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</si>
  <si>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</si>
  <si>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DATE DEBUT</t>
  </si>
  <si>
    <t>DATE FIN</t>
  </si>
  <si>
    <t>DATE D'ARRETE</t>
  </si>
  <si>
    <t>01/01/2019</t>
  </si>
  <si>
    <t>31/12/2019</t>
  </si>
  <si>
    <t>Code Sinistre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</si>
  <si>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</si>
  <si>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</si>
  <si>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</si>
  <si>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</si>
  <si>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</si>
  <si>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</si>
  <si>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</si>
  <si>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</si>
  <si>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</si>
  <si>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</si>
  <si>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</si>
  <si>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</si>
  <si>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</si>
  <si>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</si>
  <si>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</si>
  <si>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</si>
  <si>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</si>
  <si>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DEBPRIME</t>
  </si>
  <si>
    <t>FINPRIME</t>
  </si>
  <si>
    <t>CODCOL</t>
  </si>
  <si>
    <t>ANNEE</t>
  </si>
  <si>
    <t>COTISATION</t>
  </si>
  <si>
    <t>COTISATION_BRUTE</t>
  </si>
  <si>
    <t>CAUSE SINISTRE</t>
  </si>
  <si>
    <t>NATURE SINISTRE</t>
  </si>
  <si>
    <t>1 janvier 2019 au 31 décembre 2019</t>
  </si>
  <si>
    <t>31 décembre 2019</t>
  </si>
  <si>
    <t>Les cotisations sont exprimées hors taxe sur les conventions d'assurance, et dotations de services de gestion, commercialisation et assurances.</t>
  </si>
  <si>
    <t>Contrat
Dossier</t>
  </si>
  <si>
    <t>Type de Sinistre</t>
  </si>
  <si>
    <t>Dossier</t>
  </si>
  <si>
    <t>sexe</t>
  </si>
  <si>
    <t>Naissance</t>
  </si>
  <si>
    <t>Prestations Payées</t>
  </si>
  <si>
    <t>Dernière date indemnisée</t>
  </si>
  <si>
    <t>Nom et Prénom</t>
  </si>
  <si>
    <t>Date du Sinistre</t>
  </si>
  <si>
    <t>âge 
au Sinistre</t>
  </si>
  <si>
    <t>date de clôture</t>
  </si>
  <si>
    <t>Nb jours Indemnisés à la clôture</t>
  </si>
  <si>
    <t>Date du Décès</t>
  </si>
  <si>
    <t>âge 
au Décès</t>
  </si>
  <si>
    <t>Capitaux Payés</t>
  </si>
  <si>
    <t>Gains/Pertes</t>
  </si>
  <si>
    <t>CODE GARANTIE</t>
  </si>
  <si>
    <t xml:space="preserve">Cotisations brutes 
</t>
  </si>
  <si>
    <t>NON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</si>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</sst>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#,##0\ &quot;€&quot;;[Red]\-#,##0\ &quot;€&quot;"/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0.0"/>
    <numFmt numFmtId="167" formatCode="#,##0\ &quot;€&quot;"/>
    <numFmt numFmtId="168" formatCode="_-* #,##0\ &quot;€&quot;_-;\-* #,##0\ &quot;€&quot;_-;_-* &quot;-&quot;??\ &quot;€&quot;_-;_-@_-"/>
    <numFmt numFmtId="169" formatCode="#,##0.00\ &quot;€&quot;"/>
    <numFmt numFmtId="170" formatCode="#,##0_ ;\-#,##0\ "/>
    <numFmt numFmtId="171" formatCode="#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b/>
      <sz val="24"/>
      <color theme="3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b/>
      <sz val="24"/>
      <color rgb="FF4FACBE"/>
      <name val="DINbek Medium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FF0000"/>
      <name val="DINBek"/>
    </font>
    <font>
      <sz val="12"/>
      <color rgb="FF4FACBE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</fills>
  <borders count="20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8" tint="-0.499984740745262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</borders>
  <cellStyleXfs count="8">
    <xf numFmtId="0" fontId="0" fillId="0" borderId="0"/>
    <xf numFmtId="164" fontId="1" fillId="0" borderId="0"/>
    <xf numFmtId="165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03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1" fontId="4" fillId="0" borderId="0" xfId="5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1" xfId="0" applyNumberFormat="1" applyFont="1" applyFill="1" applyBorder="1"/>
    <xf numFmtId="0" fontId="0" fillId="0" borderId="12" xfId="0" applyNumberFormat="1" applyFont="1" applyFill="1" applyBorder="1"/>
    <xf numFmtId="0" fontId="6" fillId="0" borderId="0" xfId="3" applyNumberFormat="1" applyFont="1" applyFill="1" applyBorder="1"/>
    <xf numFmtId="1" fontId="0" fillId="0" borderId="0" xfId="0" applyNumberFormat="1" applyFont="1" applyFill="1" applyBorder="1"/>
    <xf numFmtId="1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13" xfId="0" applyNumberFormat="1" applyFont="1" applyFill="1" applyBorder="1"/>
    <xf numFmtId="1" fontId="5" fillId="0" borderId="11" xfId="4" applyNumberFormat="1" applyFont="1" applyFill="1" applyBorder="1" applyAlignment="1">
      <alignment horizontal="left" vertical="center"/>
    </xf>
    <xf numFmtId="0" fontId="0" fillId="0" borderId="5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 vertical="center"/>
    </xf>
    <xf numFmtId="0" fontId="9" fillId="2" borderId="0" xfId="4" applyNumberFormat="1" applyFont="1" applyFill="1" applyBorder="1"/>
    <xf numFmtId="3" fontId="9" fillId="2" borderId="0" xfId="4" applyNumberFormat="1" applyFont="1" applyFill="1" applyBorder="1" applyAlignment="1">
      <alignment horizontal="center"/>
    </xf>
    <xf numFmtId="0" fontId="11" fillId="2" borderId="0" xfId="4" applyNumberFormat="1" applyFont="1" applyFill="1" applyBorder="1" applyAlignment="1">
      <alignment vertical="center"/>
    </xf>
    <xf numFmtId="9" fontId="11" fillId="2" borderId="0" xfId="6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12" fillId="0" borderId="0" xfId="0" applyNumberFormat="1" applyFont="1" applyFill="1" applyBorder="1" applyAlignment="1">
      <alignment horizontal="left" vertical="center"/>
    </xf>
    <xf numFmtId="0" fontId="13" fillId="0" borderId="0" xfId="0" applyNumberFormat="1" applyFont="1" applyFill="1" applyBorder="1"/>
    <xf numFmtId="0" fontId="14" fillId="0" borderId="5" xfId="0" applyNumberFormat="1" applyFont="1" applyFill="1" applyBorder="1"/>
    <xf numFmtId="0" fontId="14" fillId="0" borderId="0" xfId="0" applyNumberFormat="1" applyFont="1" applyFill="1" applyBorder="1"/>
    <xf numFmtId="0" fontId="14" fillId="0" borderId="0" xfId="0" applyNumberFormat="1" applyFont="1" applyFill="1" applyBorder="1"/>
    <xf numFmtId="0" fontId="6" fillId="2" borderId="0" xfId="4" applyNumberFormat="1" applyFont="1" applyFill="1" applyBorder="1"/>
    <xf numFmtId="3" fontId="6" fillId="2" borderId="0" xfId="4" applyNumberFormat="1" applyFont="1" applyFill="1" applyBorder="1" applyAlignment="1">
      <alignment horizontal="center"/>
    </xf>
    <xf numFmtId="0" fontId="7" fillId="2" borderId="0" xfId="4" applyNumberFormat="1" applyFont="1" applyFill="1" applyBorder="1" applyAlignment="1">
      <alignment vertical="center"/>
    </xf>
    <xf numFmtId="9" fontId="7" fillId="2" borderId="0" xfId="6" applyNumberFormat="1" applyFont="1" applyFill="1" applyBorder="1" applyAlignment="1">
      <alignment horizontal="center" vertical="center" wrapText="1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14" fillId="0" borderId="6" xfId="0" applyNumberFormat="1" applyFont="1" applyFill="1" applyBorder="1"/>
    <xf numFmtId="0" fontId="0" fillId="0" borderId="9" xfId="0" applyNumberFormat="1" applyFont="1" applyFill="1" applyBorder="1"/>
    <xf numFmtId="0" fontId="15" fillId="0" borderId="0" xfId="0" applyNumberFormat="1" applyFont="1" applyFill="1" applyBorder="1" applyAlignment="1">
      <alignment horizontal="left" vertical="center"/>
    </xf>
    <xf numFmtId="0" fontId="18" fillId="0" borderId="0" xfId="0" applyNumberFormat="1" applyFont="1" applyFill="1" applyBorder="1"/>
    <xf numFmtId="0" fontId="19" fillId="0" borderId="5" xfId="0" applyNumberFormat="1" applyFont="1" applyFill="1" applyBorder="1"/>
    <xf numFmtId="0" fontId="19" fillId="0" borderId="6" xfId="0" applyNumberFormat="1" applyFont="1" applyFill="1" applyBorder="1"/>
    <xf numFmtId="0" fontId="19" fillId="0" borderId="0" xfId="0" applyNumberFormat="1" applyFont="1" applyFill="1" applyBorder="1"/>
    <xf numFmtId="0" fontId="19" fillId="0" borderId="0" xfId="0" applyNumberFormat="1" applyFont="1" applyFill="1" applyBorder="1"/>
    <xf numFmtId="0" fontId="15" fillId="0" borderId="0" xfId="3" applyNumberFormat="1" applyFont="1" applyFill="1" applyBorder="1" applyAlignment="1">
      <alignment horizontal="center" vertical="center"/>
    </xf>
    <xf numFmtId="0" fontId="21" fillId="0" borderId="0" xfId="3" applyNumberFormat="1" applyFont="1" applyFill="1" applyBorder="1" applyAlignment="1">
      <alignment horizontal="center" vertical="center"/>
    </xf>
    <xf numFmtId="9" fontId="21" fillId="0" borderId="1" xfId="6" applyNumberFormat="1" applyFont="1" applyFill="1" applyBorder="1" applyAlignment="1">
      <alignment horizontal="center" vertical="center"/>
    </xf>
    <xf numFmtId="0" fontId="17" fillId="2" borderId="0" xfId="4" applyNumberFormat="1" applyFont="1" applyFill="1" applyBorder="1"/>
    <xf numFmtId="0" fontId="16" fillId="2" borderId="0" xfId="4" applyNumberFormat="1" applyFont="1" applyFill="1" applyBorder="1"/>
    <xf numFmtId="9" fontId="17" fillId="2" borderId="0" xfId="6" applyNumberFormat="1" applyFont="1" applyFill="1" applyBorder="1"/>
    <xf numFmtId="0" fontId="20" fillId="2" borderId="0" xfId="4" applyNumberFormat="1" applyFont="1" applyFill="1" applyBorder="1" applyAlignment="1">
      <alignment vertical="center"/>
    </xf>
    <xf numFmtId="9" fontId="20" fillId="2" borderId="0" xfId="6" applyNumberFormat="1" applyFont="1" applyFill="1" applyBorder="1" applyAlignment="1">
      <alignment horizontal="center" vertical="center" wrapText="1"/>
    </xf>
    <xf numFmtId="1" fontId="0" fillId="4" borderId="0" xfId="0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23" fillId="0" borderId="0" xfId="5" applyNumberFormat="1" applyFont="1" applyFill="1" applyBorder="1" applyAlignment="1">
      <alignment horizontal="left" vertical="center"/>
    </xf>
    <xf numFmtId="0" fontId="24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6" fillId="0" borderId="5" xfId="0" applyNumberFormat="1" applyFont="1" applyFill="1" applyBorder="1"/>
    <xf numFmtId="0" fontId="26" fillId="0" borderId="0" xfId="0" applyNumberFormat="1" applyFont="1" applyFill="1" applyBorder="1" applyAlignment="1">
      <alignment horizontal="left" vertical="center"/>
    </xf>
    <xf numFmtId="0" fontId="26" fillId="0" borderId="0" xfId="0" applyNumberFormat="1" applyFont="1" applyFill="1" applyBorder="1"/>
    <xf numFmtId="0" fontId="27" fillId="0" borderId="0" xfId="5" applyNumberFormat="1" applyFont="1" applyFill="1" applyBorder="1"/>
    <xf numFmtId="0" fontId="26" fillId="0" borderId="0" xfId="0" applyNumberFormat="1" applyFont="1" applyFill="1" applyBorder="1"/>
    <xf numFmtId="0" fontId="26" fillId="0" borderId="6" xfId="0" applyNumberFormat="1" applyFont="1" applyFill="1" applyBorder="1"/>
    <xf numFmtId="0" fontId="24" fillId="0" borderId="0" xfId="5" applyNumberFormat="1" applyFont="1" applyFill="1" applyBorder="1" applyAlignment="1">
      <alignment horizontal="left" vertical="center"/>
    </xf>
    <xf numFmtId="0" fontId="25" fillId="0" borderId="5" xfId="0" applyNumberFormat="1" applyFont="1" applyFill="1" applyBorder="1"/>
    <xf numFmtId="0" fontId="25" fillId="0" borderId="0" xfId="0" applyNumberFormat="1" applyFont="1" applyFill="1" applyBorder="1" applyAlignment="1">
      <alignment horizontal="left" vertical="center"/>
    </xf>
    <xf numFmtId="0" fontId="28" fillId="0" borderId="0" xfId="5" applyNumberFormat="1" applyFont="1" applyFill="1" applyBorder="1" applyAlignment="1">
      <alignment horizontal="left" vertical="center"/>
    </xf>
    <xf numFmtId="0" fontId="25" fillId="0" borderId="0" xfId="0" applyNumberFormat="1" applyFont="1" applyFill="1" applyBorder="1"/>
    <xf numFmtId="0" fontId="25" fillId="0" borderId="6" xfId="0" applyNumberFormat="1" applyFont="1" applyFill="1" applyBorder="1"/>
    <xf numFmtId="0" fontId="29" fillId="0" borderId="0" xfId="5" applyNumberFormat="1" applyFont="1" applyFill="1" applyBorder="1" applyAlignment="1">
      <alignment horizontal="left" vertical="center"/>
    </xf>
    <xf numFmtId="0" fontId="27" fillId="0" borderId="0" xfId="5" applyNumberFormat="1" applyFont="1" applyFill="1" applyBorder="1" applyAlignment="1">
      <alignment horizontal="left" vertical="center"/>
    </xf>
    <xf numFmtId="0" fontId="30" fillId="0" borderId="0" xfId="5" applyNumberFormat="1" applyFont="1" applyFill="1" applyBorder="1" applyAlignment="1">
      <alignment horizontal="center"/>
    </xf>
    <xf numFmtId="0" fontId="25" fillId="0" borderId="0" xfId="0" applyNumberFormat="1" applyFont="1" applyFill="1" applyBorder="1"/>
    <xf numFmtId="0" fontId="25" fillId="0" borderId="5" xfId="0" applyNumberFormat="1" applyFont="1" applyFill="1" applyBorder="1"/>
    <xf numFmtId="0" fontId="25" fillId="0" borderId="0" xfId="0" applyNumberFormat="1" applyFont="1" applyFill="1" applyBorder="1"/>
    <xf numFmtId="1" fontId="31" fillId="0" borderId="10" xfId="4" applyNumberFormat="1" applyFont="1" applyFill="1" applyBorder="1" applyAlignment="1">
      <alignment horizontal="left" vertical="center"/>
    </xf>
    <xf numFmtId="0" fontId="25" fillId="0" borderId="11" xfId="0" applyNumberFormat="1" applyFont="1" applyFill="1" applyBorder="1"/>
    <xf numFmtId="0" fontId="25" fillId="0" borderId="12" xfId="0" applyNumberFormat="1" applyFont="1" applyFill="1" applyBorder="1"/>
    <xf numFmtId="0" fontId="32" fillId="0" borderId="0" xfId="0" applyNumberFormat="1" applyFont="1" applyFill="1" applyBorder="1"/>
    <xf numFmtId="0" fontId="32" fillId="0" borderId="5" xfId="0" applyNumberFormat="1" applyFont="1" applyFill="1" applyBorder="1"/>
    <xf numFmtId="0" fontId="33" fillId="0" borderId="0" xfId="4" quotePrefix="1" applyNumberFormat="1" applyFont="1" applyFill="1" applyBorder="1"/>
    <xf numFmtId="0" fontId="32" fillId="0" borderId="0" xfId="4" applyNumberFormat="1" applyFont="1" applyFill="1" applyBorder="1"/>
    <xf numFmtId="14" fontId="33" fillId="0" borderId="0" xfId="4" applyNumberFormat="1" applyFont="1" applyFill="1" applyBorder="1" applyAlignment="1">
      <alignment horizontal="left"/>
    </xf>
    <xf numFmtId="0" fontId="32" fillId="0" borderId="0" xfId="0" applyNumberFormat="1" applyFont="1" applyFill="1" applyBorder="1" applyAlignment="1">
      <alignment horizontal="left" vertical="center"/>
    </xf>
    <xf numFmtId="14" fontId="32" fillId="0" borderId="0" xfId="4" applyNumberFormat="1" applyFont="1" applyFill="1" applyBorder="1" applyAlignment="1">
      <alignment horizontal="left"/>
    </xf>
    <xf numFmtId="0" fontId="32" fillId="0" borderId="6" xfId="0" applyNumberFormat="1" applyFont="1" applyFill="1" applyBorder="1"/>
    <xf numFmtId="0" fontId="32" fillId="0" borderId="0" xfId="0" applyNumberFormat="1" applyFont="1" applyFill="1" applyBorder="1"/>
    <xf numFmtId="0" fontId="34" fillId="0" borderId="0" xfId="0" applyNumberFormat="1" applyFont="1" applyFill="1" applyBorder="1"/>
    <xf numFmtId="0" fontId="34" fillId="0" borderId="5" xfId="0" applyNumberFormat="1" applyFont="1" applyFill="1" applyBorder="1"/>
    <xf numFmtId="0" fontId="35" fillId="2" borderId="0" xfId="4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3" fontId="35" fillId="2" borderId="0" xfId="4" applyNumberFormat="1" applyFont="1" applyFill="1" applyBorder="1" applyAlignment="1">
      <alignment horizontal="center"/>
    </xf>
    <xf numFmtId="0" fontId="36" fillId="2" borderId="0" xfId="4" applyNumberFormat="1" applyFont="1" applyFill="1" applyBorder="1" applyAlignment="1">
      <alignment vertical="center"/>
    </xf>
    <xf numFmtId="9" fontId="36" fillId="2" borderId="0" xfId="6" applyNumberFormat="1" applyFont="1" applyFill="1" applyBorder="1" applyAlignment="1">
      <alignment horizontal="center" vertical="center" wrapText="1"/>
    </xf>
    <xf numFmtId="0" fontId="34" fillId="0" borderId="6" xfId="0" applyNumberFormat="1" applyFont="1" applyFill="1" applyBorder="1"/>
    <xf numFmtId="0" fontId="34" fillId="0" borderId="0" xfId="0" applyNumberFormat="1" applyFont="1" applyFill="1" applyBorder="1"/>
    <xf numFmtId="167" fontId="20" fillId="7" borderId="1" xfId="3" applyNumberFormat="1" applyFont="1" applyFill="1" applyBorder="1" applyAlignment="1">
      <alignment horizontal="center" vertical="center" wrapText="1"/>
    </xf>
    <xf numFmtId="0" fontId="36" fillId="2" borderId="0" xfId="4" applyNumberFormat="1" applyFont="1" applyFill="1" applyBorder="1"/>
    <xf numFmtId="0" fontId="37" fillId="0" borderId="14" xfId="5" applyNumberFormat="1" applyFont="1" applyFill="1" applyBorder="1" applyAlignment="1">
      <alignment horizontal="left" vertical="center"/>
    </xf>
    <xf numFmtId="0" fontId="1" fillId="0" borderId="15" xfId="0" applyNumberFormat="1" applyFont="1" applyFill="1" applyBorder="1"/>
    <xf numFmtId="0" fontId="38" fillId="0" borderId="0" xfId="3" applyNumberFormat="1" applyFont="1" applyFill="1" applyBorder="1"/>
    <xf numFmtId="0" fontId="35" fillId="0" borderId="0" xfId="3" applyNumberFormat="1" applyFont="1" applyFill="1" applyBorder="1"/>
    <xf numFmtId="0" fontId="39" fillId="0" borderId="0" xfId="3" applyNumberFormat="1" applyFont="1" applyFill="1" applyBorder="1"/>
    <xf numFmtId="0" fontId="25" fillId="0" borderId="6" xfId="0" applyNumberFormat="1" applyFont="1" applyFill="1" applyBorder="1"/>
    <xf numFmtId="0" fontId="8" fillId="7" borderId="13" xfId="3" applyNumberFormat="1" applyFont="1" applyFill="1" applyBorder="1" applyAlignment="1">
      <alignment horizontal="center" vertical="center" wrapText="1"/>
    </xf>
    <xf numFmtId="1" fontId="20" fillId="7" borderId="1" xfId="3" applyNumberFormat="1" applyFont="1" applyFill="1" applyBorder="1" applyAlignment="1">
      <alignment horizontal="center" vertical="center" wrapText="1"/>
    </xf>
    <xf numFmtId="0" fontId="35" fillId="2" borderId="0" xfId="4" applyNumberFormat="1" applyFont="1" applyFill="1" applyBorder="1" applyAlignment="1">
      <alignment horizontal="center"/>
    </xf>
    <xf numFmtId="15" fontId="27" fillId="0" borderId="0" xfId="5" applyNumberFormat="1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3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0" fillId="0" borderId="11" xfId="0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center"/>
    </xf>
    <xf numFmtId="14" fontId="0" fillId="0" borderId="13" xfId="0" applyNumberFormat="1" applyFont="1" applyFill="1" applyBorder="1" applyAlignment="1">
      <alignment horizontal="center"/>
    </xf>
    <xf numFmtId="168" fontId="0" fillId="0" borderId="13" xfId="2" applyNumberFormat="1" applyFont="1" applyFill="1" applyBorder="1" applyAlignment="1">
      <alignment horizontal="center"/>
    </xf>
    <xf numFmtId="1" fontId="23" fillId="0" borderId="0" xfId="5" applyNumberFormat="1" applyFont="1" applyFill="1" applyBorder="1" applyAlignment="1">
      <alignment horizontal="center" vertical="center"/>
    </xf>
    <xf numFmtId="0" fontId="0" fillId="0" borderId="15" xfId="0" applyNumberFormat="1" applyFont="1" applyFill="1" applyBorder="1"/>
    <xf numFmtId="0" fontId="0" fillId="0" borderId="16" xfId="0" applyNumberFormat="1" applyFont="1" applyFill="1" applyBorder="1"/>
    <xf numFmtId="1" fontId="31" fillId="0" borderId="14" xfId="4" applyNumberFormat="1" applyFont="1" applyFill="1" applyBorder="1" applyAlignment="1">
      <alignment horizontal="left" vertical="center"/>
    </xf>
    <xf numFmtId="0" fontId="25" fillId="0" borderId="15" xfId="0" applyNumberFormat="1" applyFont="1" applyFill="1" applyBorder="1"/>
    <xf numFmtId="0" fontId="25" fillId="0" borderId="17" xfId="0" applyNumberFormat="1" applyFont="1" applyFill="1" applyBorder="1"/>
    <xf numFmtId="0" fontId="35" fillId="0" borderId="13" xfId="3" applyNumberFormat="1" applyFont="1" applyFill="1" applyBorder="1" applyAlignment="1">
      <alignment horizontal="center" vertical="center"/>
    </xf>
    <xf numFmtId="1" fontId="35" fillId="0" borderId="13" xfId="3" applyNumberFormat="1" applyFont="1" applyFill="1" applyBorder="1" applyAlignment="1">
      <alignment horizontal="center" vertical="center"/>
    </xf>
    <xf numFmtId="166" fontId="35" fillId="0" borderId="13" xfId="3" applyNumberFormat="1" applyFont="1" applyFill="1" applyBorder="1" applyAlignment="1">
      <alignment horizontal="center" vertical="center"/>
    </xf>
    <xf numFmtId="166" fontId="8" fillId="7" borderId="13" xfId="3" applyNumberFormat="1" applyFont="1" applyFill="1" applyBorder="1" applyAlignment="1">
      <alignment horizontal="center" vertical="center" wrapText="1"/>
    </xf>
    <xf numFmtId="9" fontId="35" fillId="3" borderId="13" xfId="6" applyNumberFormat="1" applyFont="1" applyFill="1" applyBorder="1" applyAlignment="1">
      <alignment horizontal="center" vertical="center"/>
    </xf>
    <xf numFmtId="9" fontId="8" fillId="7" borderId="13" xfId="3" applyNumberFormat="1" applyFont="1" applyFill="1" applyBorder="1" applyAlignment="1">
      <alignment horizontal="center" vertical="center" wrapText="1"/>
    </xf>
    <xf numFmtId="0" fontId="35" fillId="0" borderId="13" xfId="3" applyNumberFormat="1" applyFont="1" applyFill="1" applyBorder="1"/>
    <xf numFmtId="0" fontId="35" fillId="0" borderId="13" xfId="3" applyNumberFormat="1" applyFont="1" applyFill="1" applyBorder="1" applyAlignment="1">
      <alignment horizontal="center"/>
    </xf>
    <xf numFmtId="1" fontId="35" fillId="0" borderId="13" xfId="3" applyNumberFormat="1" applyFont="1" applyFill="1" applyBorder="1" applyAlignment="1">
      <alignment horizontal="center"/>
    </xf>
    <xf numFmtId="0" fontId="40" fillId="7" borderId="13" xfId="3" applyNumberFormat="1" applyFont="1" applyFill="1" applyBorder="1" applyAlignment="1">
      <alignment horizontal="center" vertical="center" wrapText="1"/>
    </xf>
    <xf numFmtId="166" fontId="40" fillId="3" borderId="13" xfId="1" applyNumberFormat="1" applyFont="1" applyFill="1" applyBorder="1" applyAlignment="1">
      <alignment horizontal="center" vertical="center"/>
    </xf>
    <xf numFmtId="166" fontId="40" fillId="7" borderId="13" xfId="3" applyNumberFormat="1" applyFont="1" applyFill="1" applyBorder="1" applyAlignment="1">
      <alignment horizontal="center" vertical="center" wrapText="1"/>
    </xf>
    <xf numFmtId="166" fontId="35" fillId="3" borderId="13" xfId="1" applyNumberFormat="1" applyFont="1" applyFill="1" applyBorder="1" applyAlignment="1">
      <alignment horizontal="center" vertical="center"/>
    </xf>
    <xf numFmtId="3" fontId="8" fillId="7" borderId="13" xfId="3" applyNumberFormat="1" applyFont="1" applyFill="1" applyBorder="1" applyAlignment="1">
      <alignment horizontal="center" vertical="center" wrapText="1"/>
    </xf>
    <xf numFmtId="0" fontId="35" fillId="2" borderId="13" xfId="3" applyNumberFormat="1" applyFont="1" applyFill="1" applyBorder="1" applyAlignment="1">
      <alignment horizontal="center" vertical="center"/>
    </xf>
    <xf numFmtId="3" fontId="35" fillId="2" borderId="13" xfId="3" applyNumberFormat="1" applyFont="1" applyFill="1" applyBorder="1" applyAlignment="1">
      <alignment horizontal="center" vertical="center"/>
    </xf>
    <xf numFmtId="169" fontId="35" fillId="2" borderId="13" xfId="3" applyNumberFormat="1" applyFont="1" applyFill="1" applyBorder="1" applyAlignment="1">
      <alignment horizontal="center" vertical="center"/>
    </xf>
    <xf numFmtId="169" fontId="8" fillId="7" borderId="13" xfId="3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" fontId="0" fillId="5" borderId="0" xfId="0" applyNumberFormat="1" applyFont="1" applyFill="1" applyBorder="1" applyAlignment="1">
      <alignment horizontal="center" vertical="center" wrapText="1"/>
    </xf>
    <xf numFmtId="1" fontId="0" fillId="6" borderId="0" xfId="0" applyNumberFormat="1" applyFont="1" applyFill="1" applyBorder="1" applyAlignment="1">
      <alignment horizontal="center" vertical="center" wrapText="1"/>
    </xf>
    <xf numFmtId="0" fontId="35" fillId="0" borderId="0" xfId="3" applyNumberFormat="1" applyFont="1" applyFill="1" applyBorder="1" applyAlignment="1">
      <alignment horizontal="center"/>
    </xf>
    <xf numFmtId="1" fontId="35" fillId="0" borderId="0" xfId="3" applyNumberFormat="1" applyFont="1" applyFill="1" applyBorder="1" applyAlignment="1">
      <alignment horizontal="center"/>
    </xf>
    <xf numFmtId="164" fontId="1" fillId="0" borderId="0" xfId="1" applyNumberFormat="1"/>
    <xf numFmtId="2" fontId="35" fillId="2" borderId="0" xfId="4" applyNumberFormat="1" applyFont="1" applyFill="1" applyBorder="1"/>
    <xf numFmtId="4" fontId="0" fillId="4" borderId="0" xfId="0" applyNumberFormat="1" applyFont="1" applyFill="1" applyBorder="1" applyAlignment="1">
      <alignment horizontal="center" vertical="center" wrapText="1"/>
    </xf>
    <xf numFmtId="4" fontId="0" fillId="0" borderId="0" xfId="0" applyNumberFormat="1" applyFont="1" applyFill="1" applyBorder="1"/>
    <xf numFmtId="0" fontId="44" fillId="0" borderId="0" xfId="0" applyNumberFormat="1" applyFont="1" applyFill="1" applyBorder="1"/>
    <xf numFmtId="164" fontId="1" fillId="0" borderId="0" xfId="1"/>
    <xf numFmtId="14" fontId="0" fillId="5" borderId="0" xfId="0" applyNumberFormat="1" applyFont="1" applyFill="1" applyBorder="1" applyAlignment="1">
      <alignment horizontal="center" vertical="center" wrapText="1"/>
    </xf>
    <xf numFmtId="14" fontId="0" fillId="4" borderId="0" xfId="0" applyNumberFormat="1" applyFont="1" applyFill="1" applyBorder="1" applyAlignment="1">
      <alignment horizontal="center" vertical="center" wrapText="1"/>
    </xf>
    <xf numFmtId="0" fontId="0" fillId="0" borderId="8" xfId="0" applyNumberFormat="1" applyFont="1" applyFill="1" applyBorder="1" applyAlignment="1">
      <alignment horizontal="center"/>
    </xf>
    <xf numFmtId="0" fontId="2" fillId="0" borderId="18" xfId="0" applyNumberFormat="1" applyFont="1" applyFill="1" applyBorder="1"/>
    <xf numFmtId="0" fontId="0" fillId="0" borderId="19" xfId="0" applyNumberFormat="1" applyFont="1" applyFill="1" applyBorder="1"/>
    <xf numFmtId="14" fontId="0" fillId="0" borderId="0" xfId="0" applyNumberFormat="1" applyFont="1" applyFill="1" applyBorder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170" fontId="0" fillId="0" borderId="13" xfId="2" applyNumberFormat="1" applyFont="1" applyFill="1" applyBorder="1" applyAlignment="1">
      <alignment horizontal="center"/>
    </xf>
    <xf numFmtId="0" fontId="0" fillId="0" borderId="13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left"/>
    </xf>
    <xf numFmtId="170" fontId="0" fillId="0" borderId="0" xfId="2" applyNumberFormat="1" applyFont="1" applyFill="1" applyBorder="1" applyAlignment="1">
      <alignment horizontal="center"/>
    </xf>
    <xf numFmtId="171" fontId="0" fillId="0" borderId="13" xfId="2" applyNumberFormat="1" applyFont="1" applyFill="1" applyBorder="1" applyAlignment="1">
      <alignment horizontal="center"/>
    </xf>
    <xf numFmtId="171" fontId="0" fillId="0" borderId="0" xfId="2" applyNumberFormat="1" applyFont="1" applyFill="1" applyBorder="1" applyAlignment="1">
      <alignment horizontal="center"/>
    </xf>
    <xf numFmtId="6" fontId="21" fillId="0" borderId="1" xfId="3" applyNumberFormat="1" applyFont="1" applyFill="1" applyBorder="1" applyAlignment="1">
      <alignment horizontal="center" vertical="center"/>
    </xf>
    <xf numFmtId="6" fontId="15" fillId="0" borderId="0" xfId="0" applyNumberFormat="1" applyFont="1" applyFill="1" applyBorder="1" applyAlignment="1">
      <alignment horizontal="left" vertical="center"/>
    </xf>
    <xf numFmtId="6" fontId="21" fillId="0" borderId="0" xfId="3" applyNumberFormat="1" applyFont="1" applyFill="1" applyBorder="1" applyAlignment="1">
      <alignment horizontal="center" vertical="center"/>
    </xf>
    <xf numFmtId="6" fontId="16" fillId="2" borderId="0" xfId="4" applyNumberFormat="1" applyFont="1" applyFill="1" applyBorder="1"/>
    <xf numFmtId="6" fontId="17" fillId="2" borderId="0" xfId="4" applyNumberFormat="1" applyFont="1" applyFill="1" applyBorder="1"/>
    <xf numFmtId="6" fontId="22" fillId="2" borderId="0" xfId="4" applyNumberFormat="1" applyFont="1" applyFill="1" applyBorder="1" applyAlignment="1">
      <alignment horizontal="center"/>
    </xf>
    <xf numFmtId="6" fontId="17" fillId="2" borderId="0" xfId="4" applyNumberFormat="1" applyFont="1" applyFill="1" applyBorder="1" applyAlignment="1">
      <alignment horizontal="center"/>
    </xf>
    <xf numFmtId="6" fontId="35" fillId="2" borderId="0" xfId="4" applyNumberFormat="1" applyFont="1" applyFill="1" applyBorder="1"/>
    <xf numFmtId="6" fontId="35" fillId="0" borderId="0" xfId="0" applyNumberFormat="1" applyFont="1" applyFill="1" applyBorder="1" applyAlignment="1">
      <alignment horizontal="left" vertical="center"/>
    </xf>
    <xf numFmtId="6" fontId="35" fillId="2" borderId="0" xfId="4" applyNumberFormat="1" applyFont="1" applyFill="1" applyBorder="1" applyAlignment="1">
      <alignment horizontal="center"/>
    </xf>
    <xf numFmtId="6" fontId="21" fillId="0" borderId="1" xfId="6" applyNumberFormat="1" applyFont="1" applyFill="1" applyBorder="1" applyAlignment="1">
      <alignment horizontal="center" vertical="center"/>
    </xf>
    <xf numFmtId="6" fontId="17" fillId="2" borderId="0" xfId="6" applyNumberFormat="1" applyFont="1" applyFill="1" applyBorder="1"/>
    <xf numFmtId="6" fontId="20" fillId="2" borderId="0" xfId="6" applyNumberFormat="1" applyFont="1" applyFill="1" applyBorder="1" applyAlignment="1">
      <alignment horizontal="center" vertical="center" wrapText="1"/>
    </xf>
    <xf numFmtId="6" fontId="36" fillId="2" borderId="0" xfId="6" applyNumberFormat="1" applyFont="1" applyFill="1" applyBorder="1" applyAlignment="1">
      <alignment horizontal="center" vertical="center" wrapText="1"/>
    </xf>
  </cellXfs>
  <cellStyles count="8">
    <cellStyle name="Milliers" xfId="1" builtinId="3"/>
    <cellStyle name="Monétaire" xfId="2" builtinId="4"/>
    <cellStyle name="Normal" xfId="0" builtinId="0"/>
    <cellStyle name="Normal 2" xfId="3" xr:uid="{00000000-0005-0000-0000-000003000000}"/>
    <cellStyle name="Normal 4" xfId="4" xr:uid="{00000000-0005-0000-0000-000004000000}"/>
    <cellStyle name="Normal_Book 2004 feuille sommaire 2" xfId="5" xr:uid="{00000000-0005-0000-0000-000005000000}"/>
    <cellStyle name="Pourcentage" xfId="6" builtinId="5"/>
    <cellStyle name="Pourcentage 2" xfId="7" xr:uid="{00000000-0005-0000-0000-000007000000}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1660800"/>
        <c:axId val="-281657536"/>
        <c:axId val="0"/>
      </c:bar3DChart>
      <c:catAx>
        <c:axId val="-281660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1657536"/>
        <c:crosses val="autoZero"/>
        <c:auto val="1"/>
        <c:lblAlgn val="ctr"/>
        <c:lblOffset val="100"/>
        <c:noMultiLvlLbl val="0"/>
      </c:catAx>
      <c:valAx>
        <c:axId val="-28165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1660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4152928"/>
        <c:axId val="-284147488"/>
      </c:lineChart>
      <c:catAx>
        <c:axId val="-28415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4147488"/>
        <c:crosses val="autoZero"/>
        <c:auto val="1"/>
        <c:lblAlgn val="ctr"/>
        <c:lblOffset val="100"/>
        <c:noMultiLvlLbl val="0"/>
      </c:catAx>
      <c:valAx>
        <c:axId val="-284147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415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3216288"/>
        <c:axId val="-283191264"/>
        <c:axId val="0"/>
      </c:bar3DChart>
      <c:catAx>
        <c:axId val="-28321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191264"/>
        <c:crosses val="autoZero"/>
        <c:auto val="1"/>
        <c:lblAlgn val="ctr"/>
        <c:lblOffset val="100"/>
        <c:noMultiLvlLbl val="0"/>
      </c:catAx>
      <c:valAx>
        <c:axId val="-28319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21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83753952"/>
        <c:axId val="-283734368"/>
      </c:lineChart>
      <c:catAx>
        <c:axId val="-283753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734368"/>
        <c:crosses val="autoZero"/>
        <c:auto val="1"/>
        <c:lblAlgn val="ctr"/>
        <c:lblOffset val="100"/>
        <c:noMultiLvlLbl val="0"/>
      </c:catAx>
      <c:valAx>
        <c:axId val="-283734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375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-284378080"/>
        <c:axId val="-278142624"/>
        <c:axId val="0"/>
      </c:bar3DChart>
      <c:catAx>
        <c:axId val="-2843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78142624"/>
        <c:crosses val="autoZero"/>
        <c:auto val="1"/>
        <c:lblAlgn val="ctr"/>
        <c:lblOffset val="100"/>
        <c:noMultiLvlLbl val="0"/>
      </c:catAx>
      <c:valAx>
        <c:axId val="-27814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8437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85079376"/>
        <c:axId val="-85068496"/>
      </c:lineChart>
      <c:catAx>
        <c:axId val="-8507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85068496"/>
        <c:crosses val="autoZero"/>
        <c:auto val="1"/>
        <c:lblAlgn val="ctr"/>
        <c:lblOffset val="100"/>
        <c:noMultiLvlLbl val="0"/>
      </c:catAx>
      <c:valAx>
        <c:axId val="-8506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8507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</xdr:row>
      <xdr:rowOff>0</xdr:rowOff>
    </xdr:from>
    <xdr:to>
      <xdr:col>7</xdr:col>
      <xdr:colOff>704850</xdr:colOff>
      <xdr:row>6</xdr:row>
      <xdr:rowOff>133350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37"/>
  <sheetViews>
    <sheetView showGridLines="0" tabSelected="1" topLeftCell="I1" zoomScale="85" zoomScaleNormal="85" workbookViewId="0">
      <selection activeCell="AC3" sqref="AC3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18" width="11.42578125" style="1" customWidth="1"/>
    <col min="19" max="19" width="16.7109375" style="1" customWidth="1"/>
    <col min="20" max="20" width="4.28515625" style="1" customWidth="1"/>
    <col min="21" max="21" width="2.85546875" style="1" customWidth="1"/>
    <col min="22" max="25" width="11.42578125" style="1" customWidth="1"/>
    <col min="26" max="26" width="12.140625" style="1" bestFit="1" customWidth="1"/>
    <col min="27" max="29" width="11.42578125" style="1" customWidth="1"/>
    <col min="30" max="30" width="16.7109375" style="1" bestFit="1" customWidth="1"/>
    <col min="31" max="31" width="17.42578125" style="1" bestFit="1" customWidth="1"/>
    <col min="32" max="35" width="11.42578125" style="1" customWidth="1"/>
    <col min="36" max="16384" width="11.42578125" style="1"/>
  </cols>
  <sheetData>
    <row r="1" spans="1:3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AD1" s="1" t="s">
        <v>33</v>
      </c>
      <c r="AE1" s="1" t="s">
        <v>34</v>
      </c>
    </row>
    <row r="2" spans="1:31">
      <c r="B2" s="15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7"/>
      <c r="AD2" s="165" t="s">
        <v>135</v>
      </c>
      <c r="AE2" s="1" t="s">
        <v>134</v>
      </c>
    </row>
    <row r="3" spans="1:31">
      <c r="B3" s="18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20"/>
    </row>
    <row r="4" spans="1:31">
      <c r="B4" s="18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</row>
    <row r="5" spans="1:31">
      <c r="B5" s="18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</row>
    <row r="6" spans="1:31">
      <c r="B6" s="18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</row>
    <row r="7" spans="1:31">
      <c r="B7" s="18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20"/>
    </row>
    <row r="8" spans="1:31">
      <c r="B8" s="18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20"/>
    </row>
    <row r="9" spans="1:31" ht="45">
      <c r="B9" s="18"/>
      <c r="C9" s="80" t="s">
        <v>35</v>
      </c>
      <c r="D9" s="80"/>
      <c r="E9" s="2"/>
      <c r="F9" s="2"/>
      <c r="G9" s="2"/>
      <c r="H9" s="2"/>
      <c r="I9" s="2"/>
      <c r="J9" s="19"/>
      <c r="K9" s="19"/>
      <c r="L9" s="19"/>
      <c r="M9" s="19"/>
      <c r="N9" s="19"/>
      <c r="O9" s="19"/>
      <c r="P9" s="19"/>
      <c r="Q9" s="19"/>
      <c r="R9" s="19"/>
      <c r="S9" s="19"/>
      <c r="T9" s="20"/>
    </row>
    <row r="10" spans="1:31" ht="45">
      <c r="B10" s="18"/>
      <c r="C10" s="80" t="s">
        <v>36</v>
      </c>
      <c r="D10" s="2"/>
      <c r="E10" s="2"/>
      <c r="F10" s="2"/>
      <c r="G10" s="2"/>
      <c r="H10" s="2"/>
      <c r="I10" s="2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20"/>
    </row>
    <row r="11" spans="1:31">
      <c r="B11" s="18"/>
      <c r="C11" s="2"/>
      <c r="D11" s="2"/>
      <c r="E11" s="2"/>
      <c r="F11" s="2"/>
      <c r="G11" s="2"/>
      <c r="H11" s="2"/>
      <c r="I11" s="2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20"/>
    </row>
    <row r="12" spans="1:31" s="36" customFormat="1">
      <c r="A12" s="14"/>
      <c r="B12" s="32"/>
      <c r="C12" s="33"/>
      <c r="D12" s="33"/>
      <c r="E12" s="33"/>
      <c r="F12" s="33"/>
      <c r="G12" s="33"/>
      <c r="H12" s="33"/>
      <c r="I12" s="33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5"/>
    </row>
    <row r="13" spans="1:31" ht="45">
      <c r="B13" s="18"/>
      <c r="C13" s="2"/>
      <c r="D13" s="2"/>
      <c r="E13" s="2"/>
      <c r="G13" s="2"/>
      <c r="H13" s="3"/>
      <c r="I13" s="2"/>
      <c r="J13" s="141"/>
      <c r="K13" s="19"/>
      <c r="L13" s="19"/>
      <c r="M13" s="19"/>
      <c r="N13" s="19"/>
      <c r="O13" s="19"/>
      <c r="P13" s="19"/>
      <c r="Q13" s="19"/>
      <c r="R13" s="19"/>
      <c r="S13" s="19"/>
      <c r="T13" s="20"/>
    </row>
    <row r="14" spans="1:31">
      <c r="B14" s="18"/>
      <c r="C14" s="2"/>
      <c r="D14" s="2"/>
      <c r="E14" s="2"/>
      <c r="F14" s="2"/>
      <c r="G14" s="2"/>
      <c r="H14" s="2"/>
      <c r="I14" s="2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20"/>
    </row>
    <row r="15" spans="1:31">
      <c r="B15" s="18"/>
      <c r="C15" s="2"/>
      <c r="D15" s="2"/>
      <c r="E15" s="2"/>
      <c r="F15" s="2"/>
      <c r="G15" s="2"/>
      <c r="H15" s="2"/>
      <c r="I15" s="2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20"/>
    </row>
    <row r="16" spans="1:31">
      <c r="B16" s="18"/>
      <c r="L16" s="19"/>
      <c r="M16" s="19"/>
      <c r="N16" s="19"/>
      <c r="O16" s="19"/>
      <c r="P16" s="19"/>
      <c r="Q16" s="19"/>
      <c r="R16" s="19"/>
      <c r="S16" s="19"/>
      <c r="T16" s="20"/>
    </row>
    <row r="17" spans="1:20">
      <c r="B17" s="18"/>
      <c r="L17" s="19"/>
      <c r="M17" s="19"/>
      <c r="N17" s="19"/>
      <c r="O17" s="19"/>
      <c r="P17" s="19"/>
      <c r="Q17" s="19"/>
      <c r="R17" s="19"/>
      <c r="S17" s="19"/>
      <c r="T17" s="20"/>
    </row>
    <row r="18" spans="1:20">
      <c r="B18" s="18"/>
      <c r="L18" s="19"/>
      <c r="M18" s="19"/>
      <c r="N18" s="19"/>
      <c r="O18" s="19"/>
      <c r="P18" s="19"/>
      <c r="Q18" s="19"/>
      <c r="R18" s="19"/>
      <c r="S18" s="19"/>
      <c r="T18" s="20"/>
    </row>
    <row r="19" spans="1:20" s="85" customFormat="1" ht="33.75">
      <c r="A19" s="82"/>
      <c r="B19" s="83"/>
      <c r="C19" s="84"/>
      <c r="D19" s="81" t="s">
        <v>37</v>
      </c>
      <c r="F19" s="84"/>
      <c r="G19" s="86"/>
      <c r="H19" s="84"/>
      <c r="I19" s="84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8"/>
    </row>
    <row r="20" spans="1:20" s="85" customFormat="1" ht="33.75">
      <c r="A20" s="82"/>
      <c r="B20" s="83"/>
      <c r="C20" s="84"/>
      <c r="D20" s="89" t="s">
        <v>38</v>
      </c>
      <c r="F20" s="84"/>
      <c r="G20" s="86"/>
      <c r="H20" s="84"/>
      <c r="I20" s="84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8"/>
    </row>
    <row r="21" spans="1:20" s="82" customFormat="1">
      <c r="B21" s="90"/>
      <c r="C21" s="91"/>
      <c r="D21" s="92"/>
      <c r="E21" s="91"/>
      <c r="F21" s="91"/>
      <c r="G21" s="91"/>
      <c r="H21" s="91"/>
      <c r="I21" s="91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4"/>
    </row>
    <row r="22" spans="1:20" s="85" customFormat="1" ht="33.75">
      <c r="A22" s="82"/>
      <c r="B22" s="83"/>
      <c r="C22" s="84"/>
      <c r="D22" s="95" t="s">
        <v>39</v>
      </c>
      <c r="E22" s="84"/>
      <c r="G22" s="84"/>
      <c r="H22" s="96" t="s">
        <v>113</v>
      </c>
      <c r="I22" s="9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8"/>
    </row>
    <row r="23" spans="1:20" s="85" customFormat="1" ht="33.75">
      <c r="A23" s="82"/>
      <c r="B23" s="83"/>
      <c r="C23" s="84"/>
      <c r="D23" s="95" t="s">
        <v>40</v>
      </c>
      <c r="E23" s="84"/>
      <c r="F23" s="84"/>
      <c r="H23" s="84"/>
      <c r="J23" s="133" t="s">
        <v>114</v>
      </c>
      <c r="L23" s="87"/>
      <c r="M23" s="87"/>
      <c r="N23" s="87"/>
      <c r="O23" s="87"/>
      <c r="P23" s="87"/>
      <c r="Q23" s="87"/>
      <c r="R23" s="87"/>
      <c r="S23" s="87"/>
      <c r="T23" s="88"/>
    </row>
    <row r="24" spans="1:20">
      <c r="B24" s="18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0"/>
    </row>
    <row r="25" spans="1:20"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20"/>
    </row>
    <row r="26" spans="1:20">
      <c r="B26" s="18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</row>
    <row r="27" spans="1:20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</row>
    <row r="28" spans="1:20">
      <c r="B28" s="18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</row>
    <row r="29" spans="1:20">
      <c r="B29" s="18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</row>
    <row r="30" spans="1:20">
      <c r="B30" s="18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</row>
    <row r="31" spans="1:20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</row>
    <row r="32" spans="1:20">
      <c r="B32" s="18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20"/>
    </row>
    <row r="33" spans="2:20">
      <c r="B33" s="18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20"/>
    </row>
    <row r="34" spans="2:20">
      <c r="B34" s="18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20"/>
    </row>
    <row r="35" spans="2:20" ht="26.25" customHeight="1">
      <c r="B35" s="18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20"/>
    </row>
    <row r="36" spans="2:20">
      <c r="B36" s="18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20"/>
    </row>
    <row r="37" spans="2:20">
      <c r="B37" s="21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3"/>
    </row>
  </sheetData>
  <pageMargins left="0.70866141732283472" right="0.70866141732283472" top="0.74803149606299213" bottom="0.74803149606299213" header="0.31496062992125984" footer="0.31496062992125984"/>
  <pageSetup paperSize="9" scale="61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Q46"/>
  <sheetViews>
    <sheetView showGridLines="0" zoomScale="70" zoomScaleNormal="70" workbookViewId="0">
      <selection activeCell="O17" sqref="O17:O25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17.140625" style="1" customWidth="1"/>
    <col min="4" max="4" width="4.28515625" style="1" customWidth="1"/>
    <col min="5" max="5" width="25.7109375" style="1" customWidth="1"/>
    <col min="6" max="6" width="4.28515625" style="1" customWidth="1"/>
    <col min="7" max="7" width="25.7109375" style="1" customWidth="1"/>
    <col min="8" max="8" width="4.28515625" style="1" customWidth="1"/>
    <col min="9" max="9" width="25.7109375" style="1" customWidth="1"/>
    <col min="10" max="10" width="4.28515625" style="1" customWidth="1"/>
    <col min="11" max="11" width="25.7109375" style="1" customWidth="1"/>
    <col min="12" max="12" width="4.28515625" style="1" customWidth="1"/>
    <col min="13" max="13" width="25.7109375" style="1" customWidth="1"/>
    <col min="14" max="14" width="4.28515625" style="165" customWidth="1"/>
    <col min="15" max="15" width="25.7109375" style="165" customWidth="1"/>
    <col min="16" max="16" width="4.28515625" style="1" customWidth="1"/>
    <col min="17" max="17" width="2.85546875" style="1" customWidth="1"/>
    <col min="18" max="20" width="11.42578125" style="1" customWidth="1"/>
    <col min="21" max="16384" width="11.42578125" style="1"/>
  </cols>
  <sheetData>
    <row r="1" spans="1:17" s="36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4"/>
      <c r="O1" s="14"/>
      <c r="P1" s="14"/>
      <c r="Q1" s="13"/>
    </row>
    <row r="2" spans="1:17" s="36" customFormat="1" ht="15" customHeight="1">
      <c r="A2" s="14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8"/>
    </row>
    <row r="3" spans="1:17" s="36" customFormat="1" ht="15" customHeight="1">
      <c r="A3" s="13"/>
      <c r="B3" s="38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165"/>
      <c r="O3" s="165"/>
      <c r="P3" s="35"/>
      <c r="Q3" s="37"/>
    </row>
    <row r="4" spans="1:17" s="36" customFormat="1" ht="15" customHeight="1">
      <c r="A4" s="13"/>
      <c r="B4" s="38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165"/>
      <c r="O4" s="165"/>
      <c r="P4" s="35"/>
      <c r="Q4" s="37"/>
    </row>
    <row r="5" spans="1:17" s="36" customFormat="1" ht="15" customHeight="1">
      <c r="A5" s="13"/>
      <c r="B5" s="38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165"/>
      <c r="O5" s="165"/>
      <c r="P5" s="35"/>
      <c r="Q5" s="37"/>
    </row>
    <row r="6" spans="1:17" s="36" customFormat="1" ht="15" customHeight="1">
      <c r="A6" s="13"/>
      <c r="B6" s="38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165"/>
      <c r="O6" s="165"/>
      <c r="P6" s="35"/>
      <c r="Q6" s="37"/>
    </row>
    <row r="7" spans="1:17" s="36" customFormat="1" ht="15" customHeight="1" thickBot="1">
      <c r="A7" s="13"/>
      <c r="B7" s="38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165"/>
      <c r="O7" s="165"/>
      <c r="P7" s="35"/>
      <c r="Q7" s="37"/>
    </row>
    <row r="8" spans="1:17" ht="30.75" thickBot="1">
      <c r="A8" s="13"/>
      <c r="B8" s="7"/>
      <c r="C8" s="124" t="str">
        <f>'Page de garde'!J13&amp;" : Résultats au "&amp;'Page de garde'!J23</f>
        <v xml:space="preserve"> : Résultats au 31 décembre 2019</v>
      </c>
      <c r="D8" s="142"/>
      <c r="E8" s="125"/>
      <c r="F8" s="125"/>
      <c r="G8" s="125"/>
      <c r="H8" s="125"/>
      <c r="I8" s="142"/>
      <c r="J8" s="142"/>
      <c r="K8" s="142"/>
      <c r="L8" s="142"/>
      <c r="M8" s="142"/>
      <c r="N8" s="142"/>
      <c r="O8" s="142"/>
      <c r="P8" s="20"/>
    </row>
    <row r="9" spans="1:17" s="36" customFormat="1" ht="14.25" customHeight="1">
      <c r="A9" s="13"/>
      <c r="B9" s="38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165"/>
      <c r="O9" s="165"/>
      <c r="P9" s="35"/>
      <c r="Q9" s="37"/>
    </row>
    <row r="10" spans="1:17" s="165" customFormat="1" ht="15" customHeight="1">
      <c r="A10" s="14"/>
      <c r="B10" s="38"/>
      <c r="P10" s="35"/>
    </row>
    <row r="11" spans="1:17" s="36" customFormat="1" ht="15" customHeight="1">
      <c r="A11" s="13"/>
      <c r="B11" s="38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165"/>
      <c r="O11" s="165"/>
      <c r="P11" s="35"/>
      <c r="Q11" s="37"/>
    </row>
    <row r="12" spans="1:17" s="36" customFormat="1" ht="15" customHeight="1">
      <c r="A12" s="13"/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165"/>
      <c r="O12" s="165"/>
      <c r="P12" s="35"/>
      <c r="Q12" s="37"/>
    </row>
    <row r="13" spans="1:17" s="112" customFormat="1" ht="18">
      <c r="A13" s="104"/>
      <c r="B13" s="105"/>
      <c r="C13" s="106" t="s">
        <v>21</v>
      </c>
      <c r="D13" s="107"/>
      <c r="E13" s="108" t="str">
        <f>'Page de garde'!J23</f>
        <v>31 décembre 2019</v>
      </c>
      <c r="F13" s="109"/>
      <c r="G13" s="110"/>
      <c r="H13" s="110"/>
      <c r="I13" s="109"/>
      <c r="J13" s="109"/>
      <c r="K13" s="109"/>
      <c r="L13" s="109"/>
      <c r="M13" s="109"/>
      <c r="N13" s="109"/>
      <c r="O13" s="109"/>
      <c r="P13" s="111"/>
      <c r="Q13" s="104"/>
    </row>
    <row r="14" spans="1:17" s="66" customFormat="1" ht="15" customHeight="1" thickBot="1">
      <c r="A14" s="62"/>
      <c r="B14" s="63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4"/>
      <c r="Q14" s="65"/>
    </row>
    <row r="15" spans="1:17" s="66" customFormat="1" ht="45" customHeight="1" thickBot="1">
      <c r="A15" s="62"/>
      <c r="B15" s="63"/>
      <c r="C15" s="131"/>
      <c r="D15" s="61"/>
      <c r="E15" s="122" t="s">
        <v>133</v>
      </c>
      <c r="F15" s="67"/>
      <c r="G15" s="122" t="s">
        <v>22</v>
      </c>
      <c r="H15" s="67"/>
      <c r="I15" s="122" t="s">
        <v>23</v>
      </c>
      <c r="J15" s="67"/>
      <c r="K15" s="122" t="s">
        <v>24</v>
      </c>
      <c r="L15" s="67"/>
      <c r="M15" s="122" t="s">
        <v>25</v>
      </c>
      <c r="N15" s="67"/>
      <c r="O15" s="122" t="s">
        <v>131</v>
      </c>
      <c r="P15" s="64"/>
      <c r="Q15" s="65"/>
    </row>
    <row r="16" spans="1:17" s="66" customFormat="1" ht="22.5" customHeight="1" thickBot="1">
      <c r="A16" s="62"/>
      <c r="B16" s="63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4"/>
      <c r="Q16" s="65"/>
    </row>
    <row r="17" spans="1:17" s="66" customFormat="1" ht="45" customHeight="1" thickBot="1">
      <c r="A17" s="62"/>
      <c r="B17" s="63"/>
      <c r="C17" s="122" t="s">
        <v>26</v>
      </c>
      <c r="D17" s="61"/>
      <c r="E17" s="189">
        <v>0</v>
      </c>
      <c r="F17" s="190"/>
      <c r="G17" s="189">
        <v>0</v>
      </c>
      <c r="H17" s="191"/>
      <c r="I17" s="189">
        <v>0</v>
      </c>
      <c r="J17" s="191"/>
      <c r="K17" s="189">
        <v>0</v>
      </c>
      <c r="L17" s="68"/>
      <c r="M17" s="69"/>
      <c r="N17" s="68"/>
      <c r="O17" s="199">
        <v>0</v>
      </c>
      <c r="P17" s="64"/>
      <c r="Q17" s="65"/>
    </row>
    <row r="18" spans="1:17" s="66" customFormat="1" ht="15" customHeight="1" thickBot="1">
      <c r="A18" s="62"/>
      <c r="B18" s="63"/>
      <c r="C18" s="71"/>
      <c r="D18" s="61"/>
      <c r="E18" s="192"/>
      <c r="F18" s="190"/>
      <c r="G18" s="193"/>
      <c r="H18" s="193"/>
      <c r="I18" s="193"/>
      <c r="J18" s="194"/>
      <c r="K18" s="195"/>
      <c r="L18" s="71"/>
      <c r="M18" s="72"/>
      <c r="N18" s="71"/>
      <c r="O18" s="200"/>
      <c r="P18" s="64"/>
      <c r="Q18" s="65"/>
    </row>
    <row r="19" spans="1:17" s="66" customFormat="1" ht="45" customHeight="1" thickBot="1">
      <c r="A19" s="62"/>
      <c r="B19" s="63"/>
      <c r="C19" s="122" t="s">
        <v>27</v>
      </c>
      <c r="D19" s="61"/>
      <c r="E19" s="189">
        <v>0</v>
      </c>
      <c r="F19" s="190"/>
      <c r="G19" s="189">
        <v>0</v>
      </c>
      <c r="H19" s="191"/>
      <c r="I19" s="189">
        <v>0</v>
      </c>
      <c r="J19" s="191"/>
      <c r="K19" s="189">
        <v>0</v>
      </c>
      <c r="L19" s="68"/>
      <c r="M19" s="69"/>
      <c r="N19" s="68"/>
      <c r="O19" s="199">
        <v>0</v>
      </c>
      <c r="P19" s="64"/>
    </row>
    <row r="20" spans="1:17" s="66" customFormat="1" ht="15" customHeight="1" thickBot="1">
      <c r="A20" s="62"/>
      <c r="B20" s="63"/>
      <c r="C20" s="70"/>
      <c r="D20" s="61"/>
      <c r="E20" s="193"/>
      <c r="F20" s="190"/>
      <c r="G20" s="193"/>
      <c r="H20" s="193"/>
      <c r="I20" s="193"/>
      <c r="J20" s="193"/>
      <c r="K20" s="195"/>
      <c r="L20" s="73"/>
      <c r="M20" s="74"/>
      <c r="N20" s="73"/>
      <c r="O20" s="201"/>
      <c r="P20" s="64"/>
      <c r="Q20" s="65"/>
    </row>
    <row r="21" spans="1:17" s="66" customFormat="1" ht="45" customHeight="1" thickBot="1">
      <c r="A21" s="62"/>
      <c r="B21" s="63"/>
      <c r="C21" s="122" t="s">
        <v>28</v>
      </c>
      <c r="D21" s="61"/>
      <c r="E21" s="189">
        <v>0</v>
      </c>
      <c r="F21" s="190"/>
      <c r="G21" s="189">
        <v>0</v>
      </c>
      <c r="H21" s="191"/>
      <c r="I21" s="189">
        <v>0</v>
      </c>
      <c r="J21" s="191"/>
      <c r="K21" s="189">
        <v>0</v>
      </c>
      <c r="L21" s="68"/>
      <c r="M21" s="69"/>
      <c r="N21" s="68"/>
      <c r="O21" s="199">
        <v>0</v>
      </c>
      <c r="P21" s="64"/>
    </row>
    <row r="22" spans="1:17" s="121" customFormat="1" ht="15" customHeight="1" thickBot="1">
      <c r="A22" s="113"/>
      <c r="B22" s="114"/>
      <c r="C22" s="115"/>
      <c r="D22" s="116"/>
      <c r="E22" s="196"/>
      <c r="F22" s="197"/>
      <c r="G22" s="196"/>
      <c r="H22" s="196"/>
      <c r="I22" s="196"/>
      <c r="J22" s="196"/>
      <c r="K22" s="198"/>
      <c r="L22" s="118"/>
      <c r="M22" s="119"/>
      <c r="N22" s="118"/>
      <c r="O22" s="202"/>
      <c r="P22" s="120"/>
      <c r="Q22" s="113"/>
    </row>
    <row r="23" spans="1:17" s="66" customFormat="1" ht="45" customHeight="1" thickBot="1">
      <c r="A23" s="62"/>
      <c r="B23" s="63"/>
      <c r="C23" s="122" t="s">
        <v>29</v>
      </c>
      <c r="D23" s="61"/>
      <c r="E23" s="189">
        <v>0</v>
      </c>
      <c r="F23" s="190"/>
      <c r="G23" s="189">
        <v>0</v>
      </c>
      <c r="H23" s="191"/>
      <c r="I23" s="189">
        <v>0</v>
      </c>
      <c r="J23" s="191"/>
      <c r="K23" s="189">
        <v>0</v>
      </c>
      <c r="L23" s="68"/>
      <c r="M23" s="69"/>
      <c r="N23" s="68"/>
      <c r="O23" s="199">
        <v>0</v>
      </c>
      <c r="P23" s="64"/>
    </row>
    <row r="24" spans="1:17" s="121" customFormat="1" ht="15" customHeight="1" thickBot="1">
      <c r="A24" s="113"/>
      <c r="B24" s="114"/>
      <c r="C24" s="115"/>
      <c r="D24" s="116"/>
      <c r="E24" s="196"/>
      <c r="F24" s="197"/>
      <c r="G24" s="196"/>
      <c r="H24" s="196"/>
      <c r="I24" s="196"/>
      <c r="J24" s="196"/>
      <c r="K24" s="198"/>
      <c r="L24" s="118"/>
      <c r="M24" s="119"/>
      <c r="N24" s="118"/>
      <c r="O24" s="202"/>
      <c r="P24" s="120"/>
      <c r="Q24" s="113"/>
    </row>
    <row r="25" spans="1:17" s="66" customFormat="1" ht="45" customHeight="1" thickBot="1">
      <c r="A25" s="62"/>
      <c r="B25" s="63"/>
      <c r="C25" s="122" t="s">
        <v>30</v>
      </c>
      <c r="D25" s="61"/>
      <c r="E25" s="189">
        <v>0</v>
      </c>
      <c r="F25" s="190"/>
      <c r="G25" s="189">
        <v>0</v>
      </c>
      <c r="H25" s="191"/>
      <c r="I25" s="189">
        <v>0</v>
      </c>
      <c r="J25" s="191"/>
      <c r="K25" s="189">
        <v>0</v>
      </c>
      <c r="L25" s="68"/>
      <c r="M25" s="69"/>
      <c r="N25" s="68"/>
      <c r="O25" s="199">
        <v>0</v>
      </c>
      <c r="P25" s="64"/>
    </row>
    <row r="26" spans="1:17" s="121" customFormat="1" ht="15" customHeight="1">
      <c r="A26" s="113"/>
      <c r="B26" s="114"/>
      <c r="C26" s="123"/>
      <c r="D26" s="116"/>
      <c r="E26" s="115"/>
      <c r="F26" s="116"/>
      <c r="G26" s="115"/>
      <c r="H26" s="115"/>
      <c r="I26" s="115"/>
      <c r="J26" s="115"/>
      <c r="K26" s="117"/>
      <c r="L26" s="118"/>
      <c r="M26" s="119"/>
      <c r="N26" s="118"/>
      <c r="O26" s="119"/>
      <c r="P26" s="120"/>
      <c r="Q26" s="113"/>
    </row>
    <row r="27" spans="1:17" s="121" customFormat="1" ht="15" customHeight="1">
      <c r="B27" s="114"/>
      <c r="C27" s="123"/>
      <c r="D27" s="116"/>
      <c r="E27" s="132"/>
      <c r="F27" s="116"/>
      <c r="G27" s="170" t="str">
        <f>IF(ROUND(SUM(G17:G23)-G25,0)&lt;&gt;0, "écart = "&amp;ROUND(SUM(G17:G23)-G25,0),"")</f>
        <v/>
      </c>
      <c r="H27" s="170" t="str">
        <f t="shared" ref="H27:K27" si="0">IF(ROUND(SUM(H17:H23)-H25,0)&lt;&gt;0, "écart = "&amp;ROUND(SUM(H17:H23)-H25,0),"")</f>
        <v/>
      </c>
      <c r="I27" s="170" t="str">
        <f t="shared" si="0"/>
        <v/>
      </c>
      <c r="J27" s="170" t="str">
        <f t="shared" si="0"/>
        <v/>
      </c>
      <c r="K27" s="170" t="str">
        <f t="shared" si="0"/>
        <v/>
      </c>
      <c r="L27" s="118"/>
      <c r="M27" s="119"/>
      <c r="N27" s="118"/>
      <c r="O27" s="119"/>
      <c r="P27" s="120"/>
    </row>
    <row r="28" spans="1:17" s="121" customFormat="1" ht="15" customHeight="1">
      <c r="B28" s="114"/>
      <c r="C28" s="123"/>
      <c r="D28" s="116"/>
      <c r="E28" s="115"/>
      <c r="F28" s="116"/>
      <c r="G28" s="115"/>
      <c r="H28" s="115"/>
      <c r="I28" s="171"/>
      <c r="J28" s="115"/>
      <c r="K28" s="117"/>
      <c r="L28" s="118"/>
      <c r="M28" s="119"/>
      <c r="N28" s="118"/>
      <c r="O28" s="119"/>
      <c r="P28" s="120"/>
    </row>
    <row r="29" spans="1:17" s="121" customFormat="1" ht="15" customHeight="1">
      <c r="B29" s="114"/>
      <c r="C29" s="123"/>
      <c r="D29" s="116"/>
      <c r="E29" s="115"/>
      <c r="F29" s="116"/>
      <c r="G29" s="115"/>
      <c r="H29" s="115"/>
      <c r="I29" s="171"/>
      <c r="J29" s="115"/>
      <c r="K29" s="117"/>
      <c r="L29" s="118"/>
      <c r="M29" s="119"/>
      <c r="N29" s="118"/>
      <c r="O29" s="119"/>
      <c r="P29" s="120"/>
    </row>
    <row r="30" spans="1:17" s="121" customFormat="1" ht="15" customHeight="1">
      <c r="B30" s="114"/>
      <c r="C30" s="123"/>
      <c r="D30" s="116"/>
      <c r="E30" s="115"/>
      <c r="F30" s="116"/>
      <c r="G30" s="115"/>
      <c r="H30" s="52"/>
      <c r="I30" s="171"/>
      <c r="J30" s="115"/>
      <c r="K30" s="117"/>
      <c r="L30" s="118"/>
      <c r="M30" s="119"/>
      <c r="N30" s="118"/>
      <c r="O30" s="119"/>
      <c r="P30" s="120"/>
    </row>
    <row r="31" spans="1:17" s="51" customFormat="1" ht="15" customHeight="1">
      <c r="A31" s="48"/>
      <c r="B31" s="49"/>
      <c r="C31" s="52"/>
      <c r="D31" s="47"/>
      <c r="E31" s="52"/>
      <c r="F31" s="47"/>
      <c r="G31" s="115"/>
      <c r="H31" s="41"/>
      <c r="I31" s="171"/>
      <c r="J31" s="52"/>
      <c r="K31" s="53"/>
      <c r="L31" s="54"/>
      <c r="M31" s="55"/>
      <c r="N31" s="54"/>
      <c r="O31" s="55"/>
      <c r="P31" s="59"/>
      <c r="Q31" s="50"/>
    </row>
    <row r="32" spans="1:17" s="36" customFormat="1" ht="15" customHeight="1">
      <c r="A32" s="13"/>
      <c r="B32" s="38"/>
      <c r="C32" s="41"/>
      <c r="D32" s="40"/>
      <c r="E32" s="41"/>
      <c r="F32" s="40"/>
      <c r="G32" s="115"/>
      <c r="I32" s="171"/>
      <c r="J32" s="41"/>
      <c r="K32" s="42"/>
      <c r="L32" s="43"/>
      <c r="M32" s="44"/>
      <c r="N32" s="43"/>
      <c r="O32" s="44"/>
      <c r="P32" s="35"/>
      <c r="Q32" s="37"/>
    </row>
    <row r="33" spans="1:17" s="36" customFormat="1" ht="15" customHeight="1">
      <c r="A33" s="13"/>
      <c r="B33" s="38"/>
      <c r="C33" s="123" t="s">
        <v>31</v>
      </c>
      <c r="D33" s="40"/>
      <c r="E33" s="41"/>
      <c r="F33" s="40"/>
      <c r="G33" s="41"/>
      <c r="H33" s="41"/>
      <c r="I33" s="41"/>
      <c r="J33" s="41"/>
      <c r="K33" s="42"/>
      <c r="L33" s="43"/>
      <c r="M33" s="44"/>
      <c r="N33" s="43"/>
      <c r="O33" s="44"/>
      <c r="P33" s="35"/>
      <c r="Q33" s="37"/>
    </row>
    <row r="34" spans="1:17" s="36" customFormat="1" ht="15" customHeight="1">
      <c r="A34" s="13"/>
      <c r="B34" s="38"/>
      <c r="C34" s="115"/>
      <c r="D34" s="40"/>
      <c r="E34" s="41"/>
      <c r="F34" s="40"/>
      <c r="G34" s="41"/>
      <c r="H34" s="41"/>
      <c r="I34" s="41"/>
      <c r="J34" s="41"/>
      <c r="K34" s="42"/>
      <c r="L34" s="43"/>
      <c r="M34" s="44"/>
      <c r="N34" s="43"/>
      <c r="O34" s="44"/>
      <c r="P34" s="35"/>
      <c r="Q34" s="37"/>
    </row>
    <row r="35" spans="1:17" s="36" customFormat="1" ht="15" customHeight="1">
      <c r="A35" s="13"/>
      <c r="B35" s="38"/>
      <c r="C35" s="123" t="s">
        <v>32</v>
      </c>
      <c r="D35" s="40"/>
      <c r="E35" s="41"/>
      <c r="F35" s="40"/>
      <c r="G35" s="41"/>
      <c r="H35" s="41"/>
      <c r="I35" s="41"/>
      <c r="J35" s="41"/>
      <c r="K35" s="42"/>
      <c r="L35" s="43"/>
      <c r="M35" s="44"/>
      <c r="N35" s="43"/>
      <c r="O35" s="44"/>
      <c r="P35" s="35"/>
      <c r="Q35" s="37"/>
    </row>
    <row r="36" spans="1:17" s="36" customFormat="1" ht="15" customHeight="1">
      <c r="A36" s="13"/>
      <c r="B36" s="38"/>
      <c r="C36" s="123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35"/>
      <c r="Q36" s="37"/>
    </row>
    <row r="37" spans="1:17" s="36" customFormat="1" ht="15" customHeight="1">
      <c r="A37" s="13"/>
      <c r="B37" s="38"/>
      <c r="C37" s="123" t="s">
        <v>115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35"/>
      <c r="Q37" s="37"/>
    </row>
    <row r="38" spans="1:17" s="36" customFormat="1" ht="15" customHeight="1">
      <c r="A38" s="13"/>
      <c r="B38" s="38"/>
      <c r="C38" s="123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35"/>
      <c r="Q38" s="37"/>
    </row>
    <row r="39" spans="1:17" s="36" customFormat="1" ht="15" customHeight="1">
      <c r="A39" s="13"/>
      <c r="B39" s="38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35"/>
      <c r="Q39" s="37"/>
    </row>
    <row r="40" spans="1:17" s="36" customFormat="1" ht="15" customHeight="1">
      <c r="A40" s="13"/>
      <c r="B40" s="38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35"/>
      <c r="Q40" s="37"/>
    </row>
    <row r="41" spans="1:17" s="36" customFormat="1" ht="15" customHeight="1">
      <c r="A41" s="13"/>
      <c r="B41" s="38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35"/>
      <c r="Q41" s="37"/>
    </row>
    <row r="42" spans="1:17" s="36" customFormat="1" ht="15" customHeight="1">
      <c r="A42" s="13"/>
      <c r="B42" s="38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35"/>
      <c r="Q42" s="37"/>
    </row>
    <row r="43" spans="1:17" s="36" customFormat="1" ht="15" customHeight="1">
      <c r="A43" s="13"/>
      <c r="B43" s="38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35"/>
      <c r="Q43" s="37"/>
    </row>
    <row r="44" spans="1:17" s="36" customFormat="1" ht="15" customHeight="1">
      <c r="A44" s="13"/>
      <c r="B44" s="38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165"/>
      <c r="O44" s="165"/>
      <c r="P44" s="35"/>
      <c r="Q44" s="37"/>
    </row>
    <row r="45" spans="1:17" s="36" customFormat="1" ht="15" customHeight="1">
      <c r="A45" s="13"/>
      <c r="B45" s="45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60"/>
      <c r="Q45" s="37"/>
    </row>
    <row r="46" spans="1:17" s="36" customFormat="1" ht="15" customHeight="1">
      <c r="A46" s="13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165"/>
      <c r="O46" s="165"/>
      <c r="Q46" s="37"/>
    </row>
  </sheetData>
  <pageMargins left="0.70866141732283472" right="0.70866141732283472" top="0.74803149606299213" bottom="0.74803149606299213" header="0.31496062992125984" footer="0.31496062992125984"/>
  <pageSetup paperSize="9" scale="57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6">
    <tabColor theme="4" tint="0.79998168889431442"/>
    <pageSetUpPr fitToPage="1"/>
  </sheetPr>
  <dimension ref="A1:U47"/>
  <sheetViews>
    <sheetView showGridLines="0" topLeftCell="A10" zoomScale="70" zoomScaleNormal="70" workbookViewId="0">
      <selection activeCell="C53" sqref="C53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9" width="11.42578125" style="1" customWidth="1"/>
    <col min="10" max="10" width="20" style="1" customWidth="1"/>
    <col min="11" max="11" width="34.28515625" style="1" customWidth="1"/>
    <col min="12" max="15" width="11.42578125" style="1" customWidth="1"/>
    <col min="16" max="16" width="2.5703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7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44" t="str">
        <f>'Page de garde'!J13&amp;" : Statistiques INDEMNITES JOURNALIERES au "&amp;'Page de garde'!J23</f>
        <v xml:space="preserve"> : Statistiques INDEMNITES JOURNALIERES au 31 décembre 2019</v>
      </c>
      <c r="D8" s="145"/>
      <c r="E8" s="145"/>
      <c r="F8" s="145"/>
      <c r="G8" s="145"/>
      <c r="H8" s="145"/>
      <c r="I8" s="145"/>
      <c r="J8" s="145"/>
      <c r="K8" s="145"/>
      <c r="L8" s="145"/>
      <c r="M8" s="146"/>
      <c r="N8" s="143"/>
      <c r="O8" s="8"/>
      <c r="P8" s="8"/>
      <c r="Q8" s="9"/>
    </row>
    <row r="9" spans="1:21" ht="14.2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 ht="15" customHeight="1">
      <c r="A11" s="13"/>
      <c r="B11" s="7"/>
      <c r="C11" s="126" t="s">
        <v>0</v>
      </c>
      <c r="D11" s="8"/>
      <c r="E11" s="8"/>
      <c r="F11" s="8"/>
      <c r="G11" s="8"/>
      <c r="H11" s="8"/>
      <c r="I11" s="8"/>
      <c r="J11" s="8"/>
      <c r="K11" s="127" t="s">
        <v>1</v>
      </c>
      <c r="L11" s="8"/>
      <c r="M11" s="8"/>
      <c r="N11" s="8"/>
      <c r="O11" s="8"/>
      <c r="P11" s="8"/>
      <c r="Q11" s="9"/>
    </row>
    <row r="12" spans="1:21" ht="13.5" customHeight="1">
      <c r="A12" s="13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1:21" ht="45">
      <c r="A13" s="13"/>
      <c r="B13" s="7"/>
      <c r="C13" s="130" t="s">
        <v>2</v>
      </c>
      <c r="D13" s="130" t="s">
        <v>3</v>
      </c>
      <c r="E13" s="130" t="s">
        <v>4</v>
      </c>
      <c r="F13" s="130" t="s">
        <v>5</v>
      </c>
      <c r="I13" s="8"/>
      <c r="J13" s="8"/>
      <c r="K13" s="130" t="s">
        <v>6</v>
      </c>
      <c r="L13" s="130" t="s">
        <v>3</v>
      </c>
      <c r="M13" s="130" t="s">
        <v>7</v>
      </c>
      <c r="P13" s="8"/>
      <c r="Q13" s="9"/>
    </row>
    <row r="14" spans="1:21" ht="15" customHeight="1">
      <c r="A14" s="13"/>
      <c r="B14" s="7"/>
      <c r="C14" s="147" t="s">
        <v>8</v>
      </c>
      <c r="D14" s="148">
        <v>0</v>
      </c>
      <c r="E14" s="149"/>
      <c r="F14" s="159"/>
      <c r="I14" s="8"/>
      <c r="J14" s="8"/>
      <c r="K14" s="147" t="s">
        <v>9</v>
      </c>
      <c r="L14" s="147">
        <v>0</v>
      </c>
      <c r="M14" s="151"/>
      <c r="P14" s="8"/>
      <c r="Q14" s="9"/>
    </row>
    <row r="15" spans="1:21" ht="15" customHeight="1">
      <c r="A15" s="13"/>
      <c r="B15" s="7"/>
      <c r="C15" s="147" t="s">
        <v>10</v>
      </c>
      <c r="D15" s="148">
        <v>0</v>
      </c>
      <c r="E15" s="149"/>
      <c r="F15" s="159"/>
      <c r="I15" s="8"/>
      <c r="J15" s="8"/>
      <c r="K15" s="147" t="s">
        <v>11</v>
      </c>
      <c r="L15" s="147">
        <v>0</v>
      </c>
      <c r="M15" s="151"/>
      <c r="P15" s="8"/>
      <c r="Q15" s="9"/>
    </row>
    <row r="16" spans="1:21" ht="15" customHeight="1">
      <c r="A16" s="13"/>
      <c r="B16" s="7"/>
      <c r="C16" s="130" t="s">
        <v>12</v>
      </c>
      <c r="D16" s="130">
        <v>0</v>
      </c>
      <c r="E16" s="150"/>
      <c r="F16" s="150"/>
      <c r="I16" s="8"/>
      <c r="J16" s="8"/>
      <c r="K16" s="147" t="s">
        <v>13</v>
      </c>
      <c r="L16" s="147">
        <v>0</v>
      </c>
      <c r="M16" s="151"/>
      <c r="P16" s="8"/>
      <c r="Q16" s="9"/>
    </row>
    <row r="17" spans="1:17" ht="15" customHeight="1">
      <c r="A17" s="13"/>
      <c r="B17" s="7"/>
      <c r="C17" s="8"/>
      <c r="D17" s="8"/>
      <c r="E17" s="8"/>
      <c r="F17" s="8"/>
      <c r="G17" s="8"/>
      <c r="H17" s="8"/>
      <c r="I17" s="8"/>
      <c r="J17" s="19"/>
      <c r="K17" s="147" t="s">
        <v>14</v>
      </c>
      <c r="L17" s="147">
        <v>0</v>
      </c>
      <c r="M17" s="151"/>
      <c r="P17" s="8"/>
      <c r="Q17" s="9"/>
    </row>
    <row r="18" spans="1:17" ht="15" customHeight="1">
      <c r="A18" s="13"/>
      <c r="B18" s="7"/>
      <c r="C18" s="8"/>
      <c r="D18" s="8"/>
      <c r="E18" s="8"/>
      <c r="F18" s="8"/>
      <c r="G18" s="8"/>
      <c r="H18" s="8"/>
      <c r="I18" s="8"/>
      <c r="J18" s="8"/>
      <c r="K18" s="147" t="s">
        <v>15</v>
      </c>
      <c r="L18" s="147">
        <v>0</v>
      </c>
      <c r="M18" s="151"/>
      <c r="P18" s="8"/>
      <c r="Q18" s="9"/>
    </row>
    <row r="19" spans="1:17" ht="15" customHeight="1">
      <c r="A19" s="13"/>
      <c r="B19" s="7"/>
      <c r="C19" s="8"/>
      <c r="D19" s="8"/>
      <c r="E19" s="8"/>
      <c r="F19" s="8"/>
      <c r="G19" s="8"/>
      <c r="H19" s="8"/>
      <c r="I19" s="8"/>
      <c r="J19" s="19"/>
      <c r="K19" s="147" t="s">
        <v>16</v>
      </c>
      <c r="L19" s="147">
        <v>0</v>
      </c>
      <c r="M19" s="151"/>
      <c r="P19" s="8"/>
      <c r="Q19" s="9"/>
    </row>
    <row r="20" spans="1:17" ht="15" customHeight="1">
      <c r="A20" s="13"/>
      <c r="B20" s="7"/>
      <c r="C20" s="8"/>
      <c r="D20" s="8"/>
      <c r="E20" s="8"/>
      <c r="F20" s="8"/>
      <c r="G20" s="8"/>
      <c r="H20" s="8"/>
      <c r="I20" s="8"/>
      <c r="J20" s="8"/>
      <c r="K20" s="147" t="s">
        <v>17</v>
      </c>
      <c r="L20" s="147">
        <v>0</v>
      </c>
      <c r="M20" s="151"/>
      <c r="P20" s="8"/>
      <c r="Q20" s="9"/>
    </row>
    <row r="21" spans="1:17" ht="15" customHeight="1">
      <c r="A21" s="13"/>
      <c r="B21" s="7"/>
      <c r="C21" s="8"/>
      <c r="D21" s="8"/>
      <c r="E21" s="8"/>
      <c r="F21" s="8"/>
      <c r="G21" s="8"/>
      <c r="H21" s="8"/>
      <c r="I21" s="8"/>
      <c r="J21" s="19"/>
      <c r="K21" s="147" t="s">
        <v>18</v>
      </c>
      <c r="L21" s="147">
        <v>0</v>
      </c>
      <c r="M21" s="151"/>
      <c r="P21" s="8"/>
      <c r="Q21" s="9"/>
    </row>
    <row r="22" spans="1:17" ht="15" customHeight="1">
      <c r="A22" s="13"/>
      <c r="B22" s="7"/>
      <c r="C22" s="8"/>
      <c r="D22" s="8"/>
      <c r="E22" s="8"/>
      <c r="F22" s="8"/>
      <c r="G22" s="8"/>
      <c r="H22" s="8"/>
      <c r="I22" s="8"/>
      <c r="J22" s="19"/>
      <c r="K22" s="147" t="s">
        <v>19</v>
      </c>
      <c r="L22" s="147">
        <v>0</v>
      </c>
      <c r="M22" s="151"/>
      <c r="P22" s="8"/>
      <c r="Q22" s="9"/>
    </row>
    <row r="23" spans="1:17" ht="15" customHeight="1">
      <c r="A23" s="13"/>
      <c r="B23" s="7"/>
      <c r="C23" s="8"/>
      <c r="D23" s="8"/>
      <c r="E23" s="8"/>
      <c r="F23" s="8"/>
      <c r="G23" s="8"/>
      <c r="H23" s="8"/>
      <c r="I23" s="8"/>
      <c r="J23" s="8"/>
      <c r="K23" s="130" t="s">
        <v>12</v>
      </c>
      <c r="L23" s="130">
        <v>0</v>
      </c>
      <c r="M23" s="152"/>
      <c r="P23" s="8"/>
      <c r="Q23" s="9"/>
    </row>
    <row r="24" spans="1:17" ht="15" customHeight="1">
      <c r="A24" s="13"/>
      <c r="B24" s="7"/>
      <c r="C24" s="8"/>
      <c r="D24" s="8"/>
      <c r="E24" s="8"/>
      <c r="F24" s="8"/>
      <c r="G24" s="8"/>
      <c r="H24" s="8"/>
      <c r="I24" s="8"/>
      <c r="J24" s="8"/>
      <c r="P24" s="8"/>
      <c r="Q24" s="9"/>
    </row>
    <row r="25" spans="1:17" ht="15" customHeight="1">
      <c r="A25" s="13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"/>
    </row>
    <row r="26" spans="1:17" ht="15" customHeight="1">
      <c r="A26" s="13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"/>
    </row>
    <row r="27" spans="1:17" ht="15" customHeight="1">
      <c r="A27" s="13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9"/>
    </row>
    <row r="28" spans="1:17" ht="15" customHeight="1">
      <c r="A28" s="13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9"/>
    </row>
    <row r="29" spans="1:17" ht="15" customHeight="1">
      <c r="A29" s="13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9"/>
    </row>
    <row r="30" spans="1:17">
      <c r="A30" s="13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9"/>
    </row>
    <row r="31" spans="1:17" ht="12" customHeight="1">
      <c r="A31" s="13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9"/>
    </row>
    <row r="32" spans="1:17" ht="15" customHeight="1">
      <c r="A32" s="13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9"/>
    </row>
    <row r="33" spans="1:17" ht="15" customHeight="1">
      <c r="A33" s="13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9"/>
    </row>
    <row r="34" spans="1:17" ht="15" customHeight="1">
      <c r="A34" s="13"/>
      <c r="B34" s="7"/>
      <c r="C34" s="26" t="s">
        <v>20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</row>
    <row r="35" spans="1:17" ht="15" customHeight="1">
      <c r="A35" s="13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</row>
    <row r="36" spans="1:17" ht="15" customHeight="1">
      <c r="A36" s="13"/>
      <c r="B36" s="7"/>
      <c r="C36" s="26"/>
      <c r="D36" s="130" t="s">
        <v>3</v>
      </c>
      <c r="E36" s="130" t="s">
        <v>4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9"/>
    </row>
    <row r="37" spans="1:17" ht="15" customHeight="1">
      <c r="A37" s="13"/>
      <c r="B37" s="7"/>
      <c r="C37" s="153"/>
      <c r="D37" s="154">
        <v>0</v>
      </c>
      <c r="E37" s="155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</row>
    <row r="38" spans="1:17" ht="15" customHeight="1">
      <c r="A38" s="13"/>
      <c r="B38" s="7"/>
      <c r="C38" s="153" t="s">
        <v>12</v>
      </c>
      <c r="D38" s="154">
        <v>0</v>
      </c>
      <c r="E38" s="155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</row>
    <row r="39" spans="1:17" s="165" customFormat="1" ht="15" customHeight="1">
      <c r="A39" s="14"/>
      <c r="B39" s="38"/>
      <c r="C39" s="127"/>
      <c r="D39" s="168"/>
      <c r="E39" s="169"/>
      <c r="Q39" s="35"/>
    </row>
    <row r="40" spans="1:17" s="165" customFormat="1" ht="15" customHeight="1">
      <c r="A40" s="14"/>
      <c r="B40" s="38"/>
      <c r="C40" s="127"/>
      <c r="D40" s="168"/>
      <c r="E40" s="169"/>
      <c r="Q40" s="35"/>
    </row>
    <row r="41" spans="1:17" s="165" customFormat="1" ht="15" customHeight="1">
      <c r="A41" s="14"/>
      <c r="B41" s="38"/>
      <c r="C41" s="127"/>
      <c r="D41" s="168"/>
      <c r="E41" s="169"/>
      <c r="Q41" s="35"/>
    </row>
    <row r="42" spans="1:17" s="165" customFormat="1" ht="15" customHeight="1">
      <c r="A42" s="14"/>
      <c r="B42" s="38"/>
      <c r="C42" s="127"/>
      <c r="D42" s="168"/>
      <c r="E42" s="169"/>
      <c r="Q42" s="35"/>
    </row>
    <row r="43" spans="1:17" s="165" customFormat="1" ht="15" customHeight="1">
      <c r="A43" s="14"/>
      <c r="B43" s="38"/>
      <c r="C43" s="127"/>
      <c r="D43" s="168"/>
      <c r="E43" s="169"/>
      <c r="Q43" s="35"/>
    </row>
    <row r="44" spans="1:17" s="165" customFormat="1" ht="15" customHeight="1">
      <c r="A44" s="14"/>
      <c r="B44" s="38"/>
      <c r="C44" s="127"/>
      <c r="D44" s="168"/>
      <c r="E44" s="169"/>
      <c r="Q44" s="35"/>
    </row>
    <row r="45" spans="1:17" ht="15" customHeight="1">
      <c r="A45" s="13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9"/>
    </row>
    <row r="46" spans="1:17" ht="15" customHeight="1">
      <c r="A46" s="13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2"/>
    </row>
    <row r="47" spans="1:17" ht="15" customHeight="1">
      <c r="A47" s="13"/>
    </row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7">
    <tabColor theme="4" tint="0.79998168889431442"/>
    <pageSetUpPr fitToPage="1"/>
  </sheetPr>
  <dimension ref="A1:L47"/>
  <sheetViews>
    <sheetView showGridLines="0" zoomScale="85" zoomScaleNormal="85" workbookViewId="0">
      <selection activeCell="C8" sqref="C8:I8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8.7109375" style="1" customWidth="1"/>
    <col min="4" max="7" width="21" style="1" customWidth="1"/>
    <col min="8" max="8" width="28.140625" style="1" customWidth="1"/>
    <col min="9" max="9" width="2.85546875" style="1" customWidth="1"/>
    <col min="10" max="12" width="2.85546875" style="165" customWidth="1"/>
    <col min="13" max="16" width="11.42578125" style="1" customWidth="1"/>
    <col min="17" max="16384" width="11.42578125" style="1"/>
  </cols>
  <sheetData>
    <row r="1" spans="1:12" ht="15" customHeight="1">
      <c r="A1" s="13"/>
      <c r="B1" s="13"/>
      <c r="C1" s="13"/>
      <c r="D1" s="13"/>
      <c r="E1" s="13"/>
      <c r="F1" s="13"/>
      <c r="G1" s="13"/>
      <c r="H1" s="13"/>
      <c r="I1" s="13"/>
      <c r="J1" s="14"/>
      <c r="K1" s="14"/>
      <c r="L1" s="14"/>
    </row>
    <row r="2" spans="1:12" ht="15" customHeight="1">
      <c r="A2" s="13"/>
      <c r="B2" s="4"/>
      <c r="C2" s="5"/>
      <c r="D2" s="5"/>
      <c r="E2" s="5"/>
      <c r="F2" s="5"/>
      <c r="G2" s="5"/>
      <c r="H2" s="6"/>
    </row>
    <row r="3" spans="1:12" ht="15" customHeight="1">
      <c r="A3" s="13"/>
      <c r="B3" s="7"/>
      <c r="C3" s="8"/>
      <c r="D3" s="8"/>
      <c r="E3" s="8"/>
      <c r="F3" s="8"/>
      <c r="G3" s="8"/>
      <c r="H3" s="9"/>
    </row>
    <row r="4" spans="1:12" ht="15" customHeight="1">
      <c r="A4" s="13"/>
      <c r="B4" s="7"/>
      <c r="C4" s="8"/>
      <c r="D4" s="8"/>
      <c r="E4" s="8"/>
      <c r="F4" s="8"/>
      <c r="G4" s="8"/>
      <c r="H4" s="9"/>
    </row>
    <row r="5" spans="1:12" ht="15" customHeight="1">
      <c r="A5" s="13"/>
      <c r="B5" s="7"/>
      <c r="C5" s="8"/>
      <c r="D5" s="8"/>
      <c r="E5" s="8"/>
      <c r="F5" s="8"/>
      <c r="G5" s="8"/>
      <c r="H5" s="9"/>
    </row>
    <row r="6" spans="1:12" ht="15" customHeight="1">
      <c r="A6" s="13"/>
      <c r="B6" s="7"/>
      <c r="C6" s="8"/>
      <c r="D6" s="8"/>
      <c r="E6" s="8"/>
      <c r="F6" s="8"/>
      <c r="G6" s="8"/>
      <c r="H6" s="9"/>
    </row>
    <row r="7" spans="1:12" ht="15" customHeight="1">
      <c r="A7" s="13"/>
      <c r="B7" s="7"/>
      <c r="C7" s="8"/>
      <c r="D7" s="8"/>
      <c r="E7" s="8"/>
      <c r="F7" s="8"/>
      <c r="G7" s="8"/>
      <c r="H7" s="9"/>
    </row>
    <row r="8" spans="1:12" ht="30">
      <c r="A8" s="13"/>
      <c r="B8" s="7"/>
      <c r="C8" s="101" t="str">
        <f>'Page de garde'!J13&amp;" : Statistiques INCAPACITE au "&amp;'Page de garde'!J23</f>
        <v xml:space="preserve"> : Statistiques INCAPACITE au 31 décembre 2019</v>
      </c>
      <c r="D8" s="31"/>
      <c r="E8" s="24"/>
      <c r="F8" s="24"/>
      <c r="G8" s="24"/>
      <c r="H8" s="24"/>
      <c r="I8" s="25"/>
    </row>
    <row r="9" spans="1:12" ht="15" customHeight="1">
      <c r="A9" s="13"/>
      <c r="B9" s="7"/>
      <c r="C9" s="8"/>
      <c r="D9" s="8"/>
      <c r="E9" s="8"/>
      <c r="F9" s="8"/>
      <c r="G9" s="8"/>
      <c r="H9" s="9"/>
    </row>
    <row r="10" spans="1:12" ht="15" customHeight="1">
      <c r="A10" s="13"/>
      <c r="B10" s="7"/>
      <c r="C10" s="8"/>
      <c r="D10" s="8"/>
      <c r="E10" s="8"/>
      <c r="F10" s="8"/>
      <c r="G10" s="8"/>
      <c r="H10" s="9"/>
    </row>
    <row r="11" spans="1:12" s="82" customFormat="1" ht="15" customHeight="1">
      <c r="A11" s="98"/>
      <c r="B11" s="99"/>
      <c r="C11" s="128" t="s">
        <v>88</v>
      </c>
      <c r="D11" s="128"/>
      <c r="E11" s="100"/>
      <c r="F11" s="100"/>
      <c r="G11" s="100"/>
      <c r="H11" s="129"/>
      <c r="I11" s="98"/>
      <c r="J11" s="100"/>
      <c r="K11" s="100"/>
      <c r="L11" s="100"/>
    </row>
    <row r="12" spans="1:12" ht="15" customHeight="1">
      <c r="A12" s="13"/>
      <c r="B12" s="7"/>
      <c r="C12" s="8"/>
      <c r="D12" s="8"/>
      <c r="F12" s="8"/>
      <c r="G12" s="8"/>
      <c r="H12" s="9"/>
    </row>
    <row r="13" spans="1:12" ht="30">
      <c r="A13" s="13"/>
      <c r="B13" s="7"/>
      <c r="C13" s="130" t="s">
        <v>89</v>
      </c>
      <c r="D13" s="160" t="s">
        <v>90</v>
      </c>
      <c r="E13" s="160" t="s">
        <v>91</v>
      </c>
      <c r="F13" s="160" t="s">
        <v>92</v>
      </c>
      <c r="G13" s="8"/>
      <c r="H13" s="9"/>
    </row>
    <row r="14" spans="1:12" ht="15" customHeight="1">
      <c r="A14" s="13"/>
      <c r="B14" s="7"/>
      <c r="C14" s="161">
        <v>0</v>
      </c>
      <c r="D14" s="162">
        <v>0</v>
      </c>
      <c r="E14" s="162"/>
      <c r="F14" s="162"/>
      <c r="G14" s="8"/>
      <c r="H14" s="9"/>
    </row>
    <row r="15" spans="1:12" ht="15" customHeight="1">
      <c r="A15" s="13"/>
      <c r="B15" s="7"/>
      <c r="C15" s="130" t="s">
        <v>93</v>
      </c>
      <c r="D15" s="160">
        <v>0</v>
      </c>
      <c r="E15" s="160"/>
      <c r="F15" s="160"/>
      <c r="G15" s="8"/>
      <c r="H15" s="9"/>
    </row>
    <row r="16" spans="1:12" ht="15" customHeight="1">
      <c r="A16" s="13"/>
      <c r="B16" s="7"/>
      <c r="E16" s="8"/>
      <c r="F16" s="8"/>
      <c r="G16" s="8"/>
      <c r="H16" s="9"/>
    </row>
    <row r="17" spans="1:12" ht="15" customHeight="1">
      <c r="A17" s="13"/>
      <c r="B17" s="7"/>
      <c r="C17" s="8"/>
      <c r="D17" s="8"/>
      <c r="E17" s="8"/>
      <c r="F17" s="8"/>
      <c r="G17" s="8"/>
      <c r="H17" s="9"/>
    </row>
    <row r="18" spans="1:12" s="82" customFormat="1" ht="15" customHeight="1">
      <c r="A18" s="98"/>
      <c r="B18" s="99"/>
      <c r="C18" s="128" t="s">
        <v>94</v>
      </c>
      <c r="D18" s="128"/>
      <c r="E18" s="100"/>
      <c r="F18" s="100"/>
      <c r="G18" s="100"/>
      <c r="H18" s="129"/>
      <c r="I18" s="98"/>
      <c r="J18" s="100"/>
      <c r="K18" s="100"/>
      <c r="L18" s="100"/>
    </row>
    <row r="19" spans="1:12" ht="15" customHeight="1">
      <c r="A19" s="13"/>
      <c r="B19" s="7"/>
      <c r="C19" s="8"/>
      <c r="D19" s="8"/>
      <c r="E19" s="8"/>
      <c r="F19" s="8"/>
      <c r="G19" s="8"/>
      <c r="H19" s="9"/>
    </row>
    <row r="20" spans="1:12">
      <c r="A20" s="13"/>
      <c r="B20" s="7"/>
      <c r="C20" s="130" t="s">
        <v>89</v>
      </c>
      <c r="D20" s="130"/>
      <c r="E20" s="130" t="s">
        <v>93</v>
      </c>
      <c r="F20" s="8"/>
      <c r="G20" s="8"/>
      <c r="H20" s="9"/>
    </row>
    <row r="21" spans="1:12" ht="15" customHeight="1">
      <c r="A21" s="13"/>
      <c r="B21" s="7"/>
      <c r="C21" s="161">
        <v>0</v>
      </c>
      <c r="D21" s="162">
        <v>0</v>
      </c>
      <c r="E21" s="162">
        <v>0</v>
      </c>
      <c r="F21" s="8"/>
      <c r="G21" s="8"/>
      <c r="H21" s="9"/>
    </row>
    <row r="22" spans="1:12" ht="15" customHeight="1">
      <c r="A22" s="13"/>
      <c r="B22" s="7"/>
      <c r="C22" s="130" t="s">
        <v>93</v>
      </c>
      <c r="D22" s="130">
        <v>0</v>
      </c>
      <c r="E22" s="130">
        <v>0</v>
      </c>
      <c r="F22" s="8"/>
      <c r="G22" s="8"/>
      <c r="H22" s="9"/>
    </row>
    <row r="23" spans="1:12" ht="15" customHeight="1">
      <c r="A23" s="13"/>
      <c r="B23" s="7"/>
      <c r="C23" s="8"/>
      <c r="D23" s="8"/>
      <c r="E23" s="8"/>
      <c r="F23" s="8"/>
      <c r="G23" s="8"/>
      <c r="H23" s="9"/>
    </row>
    <row r="24" spans="1:12" ht="15" customHeight="1">
      <c r="A24" s="13"/>
      <c r="B24" s="7"/>
      <c r="C24" s="8"/>
      <c r="D24" s="8"/>
      <c r="E24" s="8"/>
      <c r="F24" s="8"/>
      <c r="G24" s="8"/>
      <c r="H24" s="9"/>
    </row>
    <row r="25" spans="1:12" s="82" customFormat="1" ht="15" customHeight="1">
      <c r="A25" s="98"/>
      <c r="B25" s="99"/>
      <c r="C25" s="128" t="s">
        <v>95</v>
      </c>
      <c r="D25" s="128"/>
      <c r="E25" s="100"/>
      <c r="F25" s="100"/>
      <c r="G25" s="100"/>
      <c r="H25" s="129"/>
      <c r="I25" s="98"/>
      <c r="J25" s="100"/>
      <c r="K25" s="100"/>
      <c r="L25" s="100"/>
    </row>
    <row r="26" spans="1:12">
      <c r="A26" s="13"/>
      <c r="B26" s="7"/>
      <c r="C26" s="8"/>
      <c r="D26" s="8"/>
      <c r="E26" s="8"/>
      <c r="F26" s="8"/>
      <c r="G26" s="8"/>
      <c r="H26" s="9"/>
    </row>
    <row r="27" spans="1:12">
      <c r="A27" s="13"/>
      <c r="B27" s="7"/>
      <c r="C27" s="130" t="s">
        <v>89</v>
      </c>
      <c r="D27" s="130"/>
      <c r="E27" s="130" t="s">
        <v>93</v>
      </c>
      <c r="F27" s="8"/>
      <c r="G27" s="8"/>
      <c r="H27" s="9"/>
    </row>
    <row r="28" spans="1:12" ht="15" customHeight="1">
      <c r="A28" s="13"/>
      <c r="B28" s="7"/>
      <c r="C28" s="161">
        <v>0</v>
      </c>
      <c r="D28" s="163">
        <v>0</v>
      </c>
      <c r="E28" s="163">
        <v>0</v>
      </c>
      <c r="F28" s="8"/>
      <c r="G28" s="8"/>
      <c r="H28" s="9"/>
    </row>
    <row r="29" spans="1:12">
      <c r="A29" s="13"/>
      <c r="B29" s="7"/>
      <c r="C29" s="130" t="s">
        <v>93</v>
      </c>
      <c r="D29" s="164">
        <v>0</v>
      </c>
      <c r="E29" s="164">
        <v>0</v>
      </c>
      <c r="F29" s="8"/>
      <c r="G29" s="8"/>
      <c r="H29" s="9"/>
    </row>
    <row r="30" spans="1:12">
      <c r="A30" s="13"/>
      <c r="B30" s="7"/>
      <c r="C30" s="8"/>
      <c r="D30" s="8"/>
      <c r="E30" s="8"/>
      <c r="F30" s="8"/>
      <c r="G30" s="8"/>
      <c r="H30" s="9"/>
    </row>
    <row r="31" spans="1:12">
      <c r="A31" s="13"/>
      <c r="B31" s="7"/>
      <c r="C31" s="8"/>
      <c r="D31" s="8"/>
      <c r="E31" s="8"/>
      <c r="F31" s="8"/>
      <c r="G31" s="8"/>
      <c r="H31" s="9"/>
    </row>
    <row r="32" spans="1:12">
      <c r="A32" s="13"/>
      <c r="B32" s="7"/>
      <c r="C32" s="8"/>
      <c r="D32" s="8"/>
      <c r="E32" s="8"/>
      <c r="F32" s="8"/>
      <c r="G32" s="8"/>
      <c r="H32" s="9"/>
    </row>
    <row r="33" spans="1:8">
      <c r="A33" s="13"/>
      <c r="B33" s="7"/>
      <c r="C33" s="8"/>
      <c r="D33" s="8"/>
      <c r="E33" s="8"/>
      <c r="F33" s="8"/>
      <c r="G33" s="8"/>
      <c r="H33" s="9"/>
    </row>
    <row r="34" spans="1:8">
      <c r="A34" s="13"/>
      <c r="B34" s="7"/>
      <c r="C34" s="8"/>
      <c r="D34" s="8"/>
      <c r="E34" s="8"/>
      <c r="F34" s="8"/>
      <c r="G34" s="8"/>
      <c r="H34" s="9"/>
    </row>
    <row r="35" spans="1:8">
      <c r="A35" s="13"/>
      <c r="B35" s="7"/>
      <c r="C35" s="8"/>
      <c r="D35" s="8"/>
      <c r="E35" s="8"/>
      <c r="F35" s="8"/>
      <c r="G35" s="8"/>
      <c r="H35" s="9"/>
    </row>
    <row r="36" spans="1:8">
      <c r="A36" s="13"/>
      <c r="B36" s="7"/>
      <c r="C36" s="8"/>
      <c r="D36" s="8"/>
      <c r="E36" s="8"/>
      <c r="F36" s="8"/>
      <c r="G36" s="8"/>
      <c r="H36" s="9"/>
    </row>
    <row r="37" spans="1:8">
      <c r="A37" s="13"/>
      <c r="B37" s="7"/>
      <c r="C37" s="8"/>
      <c r="D37" s="8"/>
      <c r="E37" s="8"/>
      <c r="F37" s="8"/>
      <c r="G37" s="8"/>
      <c r="H37" s="9"/>
    </row>
    <row r="38" spans="1:8">
      <c r="A38" s="13"/>
      <c r="B38" s="7"/>
      <c r="C38" s="8"/>
      <c r="D38" s="8"/>
      <c r="E38" s="8"/>
      <c r="F38" s="8"/>
      <c r="G38" s="8"/>
      <c r="H38" s="9"/>
    </row>
    <row r="39" spans="1:8">
      <c r="A39" s="13"/>
      <c r="B39" s="7"/>
      <c r="C39" s="8"/>
      <c r="D39" s="8"/>
      <c r="E39" s="8"/>
      <c r="F39" s="8"/>
      <c r="G39" s="8"/>
      <c r="H39" s="9"/>
    </row>
    <row r="40" spans="1:8">
      <c r="A40" s="13"/>
      <c r="B40" s="7"/>
      <c r="C40" s="8"/>
      <c r="D40" s="8"/>
      <c r="E40" s="8"/>
      <c r="F40" s="8"/>
      <c r="G40" s="8"/>
      <c r="H40" s="9"/>
    </row>
    <row r="41" spans="1:8">
      <c r="A41" s="13"/>
      <c r="B41" s="7"/>
      <c r="C41" s="8"/>
      <c r="D41" s="8"/>
      <c r="E41" s="8"/>
      <c r="F41" s="8"/>
      <c r="G41" s="8"/>
      <c r="H41" s="9"/>
    </row>
    <row r="42" spans="1:8">
      <c r="A42" s="13"/>
      <c r="B42" s="7"/>
      <c r="C42" s="8"/>
      <c r="D42" s="8"/>
      <c r="E42" s="8"/>
      <c r="F42" s="8"/>
      <c r="G42" s="8"/>
      <c r="H42" s="9"/>
    </row>
    <row r="43" spans="1:8">
      <c r="A43" s="13"/>
      <c r="B43" s="7"/>
      <c r="C43" s="8"/>
      <c r="D43" s="8"/>
      <c r="E43" s="8"/>
      <c r="F43" s="8"/>
      <c r="G43" s="8"/>
      <c r="H43" s="9"/>
    </row>
    <row r="44" spans="1:8" ht="15" customHeight="1">
      <c r="A44" s="13"/>
      <c r="B44" s="7"/>
      <c r="C44" s="8"/>
      <c r="D44" s="8"/>
      <c r="E44" s="8"/>
      <c r="F44" s="8"/>
      <c r="G44" s="8"/>
      <c r="H44" s="9"/>
    </row>
    <row r="45" spans="1:8" ht="9" customHeight="1">
      <c r="A45" s="13"/>
      <c r="B45" s="7"/>
      <c r="C45" s="8"/>
      <c r="D45" s="8"/>
      <c r="E45" s="8"/>
      <c r="F45" s="8"/>
      <c r="G45" s="8"/>
      <c r="H45" s="9"/>
    </row>
    <row r="46" spans="1:8" ht="15" customHeight="1">
      <c r="A46" s="13"/>
      <c r="B46" s="10"/>
      <c r="C46" s="11"/>
      <c r="D46" s="11"/>
      <c r="E46" s="11"/>
      <c r="F46" s="11"/>
      <c r="G46" s="11"/>
      <c r="H46" s="12"/>
    </row>
    <row r="47" spans="1:8" ht="15" customHeight="1">
      <c r="A47" s="13"/>
    </row>
  </sheetData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0">
    <tabColor theme="4" tint="0.79998168889431442"/>
    <pageSetUpPr fitToPage="1"/>
  </sheetPr>
  <dimension ref="A1:U21"/>
  <sheetViews>
    <sheetView showGridLines="0" zoomScaleNormal="100" workbookViewId="0">
      <selection activeCell="C12" sqref="C12:O13"/>
    </sheetView>
  </sheetViews>
  <sheetFormatPr baseColWidth="10" defaultColWidth="11.42578125" defaultRowHeight="15"/>
  <cols>
    <col min="1" max="1" width="2.85546875" style="14" customWidth="1"/>
    <col min="2" max="2" width="4.28515625" style="1" customWidth="1"/>
    <col min="3" max="3" width="21.42578125" style="1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5" width="11.42578125" style="1" customWidth="1"/>
    <col min="26" max="16384" width="11.42578125" style="1"/>
  </cols>
  <sheetData>
    <row r="1" spans="1:21" ht="15" customHeight="1">
      <c r="A1" s="13"/>
      <c r="B1" s="13">
        <v>2</v>
      </c>
      <c r="C1" s="13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"/>
      <c r="Q1" s="13"/>
      <c r="R1" s="13"/>
    </row>
    <row r="2" spans="1:21" ht="15" customHeight="1">
      <c r="A2" s="13"/>
      <c r="B2" s="4"/>
      <c r="C2" s="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"/>
      <c r="Q2" s="6"/>
      <c r="U2" s="27"/>
    </row>
    <row r="3" spans="1:21" ht="15" customHeight="1">
      <c r="A3" s="13"/>
      <c r="B3" s="7"/>
      <c r="C3" s="8"/>
      <c r="P3" s="8"/>
      <c r="Q3" s="9"/>
    </row>
    <row r="4" spans="1:21" ht="15" customHeight="1">
      <c r="A4" s="13"/>
      <c r="B4" s="7"/>
      <c r="C4" s="8"/>
      <c r="P4" s="8"/>
      <c r="Q4" s="9"/>
    </row>
    <row r="5" spans="1:21" ht="15" customHeight="1">
      <c r="A5" s="13"/>
      <c r="B5" s="7"/>
      <c r="C5" s="8"/>
      <c r="P5" s="8"/>
      <c r="Q5" s="9"/>
    </row>
    <row r="6" spans="1:21" ht="15" customHeight="1">
      <c r="A6" s="13"/>
      <c r="B6" s="7"/>
      <c r="C6" s="8"/>
      <c r="P6" s="8"/>
      <c r="Q6" s="9"/>
    </row>
    <row r="7" spans="1:21" ht="15" customHeight="1" thickBot="1">
      <c r="A7" s="13"/>
      <c r="B7" s="7"/>
      <c r="C7" s="8"/>
      <c r="P7" s="8"/>
      <c r="Q7" s="9"/>
    </row>
    <row r="8" spans="1:21" ht="30.75" thickBot="1">
      <c r="A8" s="13"/>
      <c r="B8" s="7"/>
      <c r="C8" s="101" t="str">
        <f>'Page de garde'!J13&amp;" : Liste des assurés en INCAPACITE au "&amp;'Page de garde'!J23</f>
        <v xml:space="preserve"> : Liste des assurés en INCAPACITE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8"/>
      <c r="Q8" s="9"/>
    </row>
    <row r="9" spans="1:21" ht="15" customHeight="1">
      <c r="A9" s="13"/>
      <c r="B9" s="7"/>
      <c r="C9" s="8"/>
      <c r="P9" s="8"/>
      <c r="Q9" s="9"/>
    </row>
    <row r="10" spans="1:21" s="165" customFormat="1" ht="15" customHeight="1">
      <c r="A10" s="14"/>
      <c r="B10" s="38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Q10" s="35"/>
    </row>
    <row r="11" spans="1:21" s="165" customFormat="1" ht="15" customHeight="1">
      <c r="A11" s="14"/>
      <c r="B11" s="3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Q11" s="35"/>
    </row>
    <row r="12" spans="1:21" s="165" customFormat="1" ht="45">
      <c r="A12" s="14"/>
      <c r="B12" s="38"/>
      <c r="C12" s="130" t="s">
        <v>58</v>
      </c>
      <c r="D12" s="130" t="s">
        <v>118</v>
      </c>
      <c r="E12" s="130" t="s">
        <v>123</v>
      </c>
      <c r="F12" s="130" t="s">
        <v>119</v>
      </c>
      <c r="G12" s="130" t="s">
        <v>120</v>
      </c>
      <c r="H12" s="130" t="s">
        <v>38</v>
      </c>
      <c r="I12" s="130" t="s">
        <v>117</v>
      </c>
      <c r="J12" s="130" t="s">
        <v>124</v>
      </c>
      <c r="K12" s="130" t="s">
        <v>125</v>
      </c>
      <c r="L12" s="130" t="s">
        <v>122</v>
      </c>
      <c r="M12" s="130" t="s">
        <v>126</v>
      </c>
      <c r="N12" s="130" t="s">
        <v>127</v>
      </c>
      <c r="O12" s="130" t="s">
        <v>121</v>
      </c>
      <c r="Q12" s="35"/>
    </row>
    <row r="13" spans="1:21" s="165" customFormat="1" ht="15" customHeight="1">
      <c r="A13" s="14"/>
      <c r="B13" s="38"/>
      <c r="C13" s="30"/>
      <c r="D13" s="138"/>
      <c r="E13" s="184"/>
      <c r="F13" s="139"/>
      <c r="G13" s="139"/>
      <c r="H13" s="138"/>
      <c r="I13" s="139"/>
      <c r="J13" s="139"/>
      <c r="K13" s="183"/>
      <c r="L13" s="139"/>
      <c r="M13" s="139"/>
      <c r="N13" s="187"/>
      <c r="O13" s="140"/>
      <c r="Q13" s="35"/>
    </row>
    <row r="14" spans="1:21" s="165" customFormat="1" ht="15" customHeight="1">
      <c r="A14" s="14"/>
      <c r="B14" s="38"/>
      <c r="D14" s="136"/>
      <c r="E14" s="185"/>
      <c r="F14" s="181"/>
      <c r="G14" s="181"/>
      <c r="H14" s="136"/>
      <c r="I14" s="181"/>
      <c r="J14" s="181"/>
      <c r="K14" s="186"/>
      <c r="L14" s="181"/>
      <c r="M14" s="181"/>
      <c r="N14" s="188"/>
      <c r="O14" s="182"/>
      <c r="Q14" s="35"/>
    </row>
    <row r="15" spans="1:21" s="165" customFormat="1" ht="15" customHeight="1">
      <c r="A15" s="14"/>
      <c r="B15" s="38"/>
      <c r="D15" s="136"/>
      <c r="E15" s="185"/>
      <c r="F15" s="181"/>
      <c r="G15" s="181"/>
      <c r="H15" s="136"/>
      <c r="I15" s="181"/>
      <c r="J15" s="181"/>
      <c r="K15" s="186"/>
      <c r="L15" s="181"/>
      <c r="M15" s="181"/>
      <c r="N15" s="188"/>
      <c r="O15" s="182"/>
      <c r="Q15" s="35"/>
    </row>
    <row r="16" spans="1:21" s="165" customFormat="1" ht="15" customHeight="1">
      <c r="A16" s="14"/>
      <c r="B16" s="38"/>
      <c r="D16" s="136"/>
      <c r="E16" s="185"/>
      <c r="F16" s="181"/>
      <c r="G16" s="181"/>
      <c r="H16" s="136"/>
      <c r="I16" s="181"/>
      <c r="J16" s="181"/>
      <c r="K16" s="186"/>
      <c r="L16" s="181"/>
      <c r="M16" s="181"/>
      <c r="N16" s="188"/>
      <c r="O16" s="182"/>
      <c r="Q16" s="35"/>
    </row>
    <row r="17" spans="1:21" s="165" customFormat="1" ht="15" customHeight="1">
      <c r="A17" s="14"/>
      <c r="B17" s="38"/>
      <c r="D17" s="136"/>
      <c r="E17" s="185"/>
      <c r="F17" s="181"/>
      <c r="G17" s="181"/>
      <c r="H17" s="136"/>
      <c r="I17" s="181"/>
      <c r="J17" s="181"/>
      <c r="K17" s="186"/>
      <c r="L17" s="181"/>
      <c r="M17" s="181"/>
      <c r="N17" s="188"/>
      <c r="O17" s="182"/>
      <c r="Q17" s="35"/>
    </row>
    <row r="18" spans="1:21">
      <c r="B18" s="38"/>
      <c r="Q18" s="35"/>
    </row>
    <row r="19" spans="1:21">
      <c r="A19" s="179"/>
      <c r="B19" s="180"/>
      <c r="D19" s="178"/>
      <c r="P19" s="46"/>
      <c r="Q19" s="60"/>
    </row>
    <row r="20" spans="1:21" s="165" customFormat="1" ht="15" customHeight="1">
      <c r="A20" s="14"/>
      <c r="C20" s="57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57"/>
      <c r="Q20" s="57"/>
      <c r="U20" s="29"/>
    </row>
    <row r="21" spans="1:21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1">
    <tabColor theme="4" tint="0.79998168889431442"/>
    <pageSetUpPr fitToPage="1"/>
  </sheetPr>
  <dimension ref="A1:U47"/>
  <sheetViews>
    <sheetView showGridLines="0" zoomScale="70" zoomScaleNormal="70" workbookViewId="0">
      <selection activeCell="B2" sqref="B2"/>
    </sheetView>
  </sheetViews>
  <sheetFormatPr baseColWidth="10" defaultColWidth="11.42578125" defaultRowHeight="15"/>
  <cols>
    <col min="1" max="1" width="2.85546875" style="14" customWidth="1"/>
    <col min="2" max="2" width="4.28515625" style="78" customWidth="1"/>
    <col min="3" max="3" width="28.7109375" style="78" customWidth="1"/>
    <col min="4" max="9" width="11.42578125" style="78" customWidth="1"/>
    <col min="10" max="10" width="20" style="78" customWidth="1"/>
    <col min="11" max="11" width="34.28515625" style="78" customWidth="1"/>
    <col min="12" max="15" width="11.42578125" style="78" customWidth="1"/>
    <col min="16" max="16" width="2.5703125" style="78" customWidth="1"/>
    <col min="17" max="17" width="4.140625" style="78" customWidth="1"/>
    <col min="18" max="18" width="2.85546875" style="78" customWidth="1"/>
    <col min="19" max="20" width="11.42578125" style="78" customWidth="1"/>
    <col min="21" max="21" width="19.7109375" style="78" bestFit="1" customWidth="1"/>
    <col min="22" max="25" width="11.42578125" style="78" customWidth="1"/>
    <col min="26" max="16384" width="11.42578125" style="78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1" t="str">
        <f>'Page de garde'!J13&amp;" : Statistiques DES INVALIDITES au "&amp;'Page de garde'!J23</f>
        <v xml:space="preserve"> : Statistiques DES INVALIDITES au 31 décembre 2019</v>
      </c>
      <c r="D8" s="102"/>
      <c r="E8" s="102"/>
      <c r="F8" s="102"/>
      <c r="G8" s="102"/>
      <c r="H8" s="102"/>
      <c r="I8" s="102"/>
      <c r="J8" s="102"/>
      <c r="K8" s="102"/>
      <c r="L8" s="102"/>
      <c r="M8" s="103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26" t="s">
        <v>0</v>
      </c>
      <c r="K11" s="127" t="s">
        <v>96</v>
      </c>
      <c r="Q11" s="35"/>
    </row>
    <row r="12" spans="2:21" ht="13.5" customHeight="1">
      <c r="B12" s="38"/>
      <c r="Q12" s="35"/>
    </row>
    <row r="13" spans="2:21" ht="45">
      <c r="B13" s="38"/>
      <c r="C13" s="130" t="s">
        <v>2</v>
      </c>
      <c r="D13" s="130" t="s">
        <v>97</v>
      </c>
      <c r="E13" s="130" t="s">
        <v>98</v>
      </c>
      <c r="F13" s="130" t="s">
        <v>99</v>
      </c>
      <c r="K13" s="130" t="s">
        <v>6</v>
      </c>
      <c r="L13" s="130" t="s">
        <v>3</v>
      </c>
      <c r="M13" s="130" t="s">
        <v>7</v>
      </c>
      <c r="Q13" s="35"/>
    </row>
    <row r="14" spans="2:21" ht="15" customHeight="1">
      <c r="B14" s="38"/>
      <c r="C14" s="147" t="s">
        <v>8</v>
      </c>
      <c r="D14" s="148">
        <v>0</v>
      </c>
      <c r="E14" s="149"/>
      <c r="F14" s="149"/>
      <c r="K14" s="147" t="s">
        <v>9</v>
      </c>
      <c r="L14" s="147">
        <v>0</v>
      </c>
      <c r="M14" s="151"/>
      <c r="Q14" s="35"/>
    </row>
    <row r="15" spans="2:21" ht="15" customHeight="1">
      <c r="B15" s="38"/>
      <c r="C15" s="147" t="s">
        <v>10</v>
      </c>
      <c r="D15" s="148">
        <v>0</v>
      </c>
      <c r="E15" s="149"/>
      <c r="F15" s="149"/>
      <c r="K15" s="147" t="s">
        <v>11</v>
      </c>
      <c r="L15" s="147">
        <v>0</v>
      </c>
      <c r="M15" s="151"/>
      <c r="Q15" s="35"/>
    </row>
    <row r="16" spans="2:21" ht="15" customHeight="1">
      <c r="B16" s="38"/>
      <c r="C16" s="130" t="s">
        <v>12</v>
      </c>
      <c r="D16" s="130">
        <v>0</v>
      </c>
      <c r="E16" s="150"/>
      <c r="F16" s="150"/>
      <c r="K16" s="147" t="s">
        <v>13</v>
      </c>
      <c r="L16" s="147">
        <v>0</v>
      </c>
      <c r="M16" s="151"/>
      <c r="Q16" s="35"/>
    </row>
    <row r="17" spans="2:17" ht="15" customHeight="1">
      <c r="B17" s="38"/>
      <c r="K17" s="147" t="s">
        <v>14</v>
      </c>
      <c r="L17" s="147">
        <v>0</v>
      </c>
      <c r="M17" s="151"/>
      <c r="Q17" s="35"/>
    </row>
    <row r="18" spans="2:17" ht="15" customHeight="1">
      <c r="B18" s="38"/>
      <c r="K18" s="147" t="s">
        <v>15</v>
      </c>
      <c r="L18" s="147">
        <v>0</v>
      </c>
      <c r="M18" s="151"/>
      <c r="Q18" s="35"/>
    </row>
    <row r="19" spans="2:17" ht="15" customHeight="1">
      <c r="B19" s="38"/>
      <c r="K19" s="147" t="s">
        <v>16</v>
      </c>
      <c r="L19" s="147">
        <v>0</v>
      </c>
      <c r="M19" s="151"/>
      <c r="Q19" s="35"/>
    </row>
    <row r="20" spans="2:17" ht="15" customHeight="1">
      <c r="B20" s="38"/>
      <c r="K20" s="147" t="s">
        <v>17</v>
      </c>
      <c r="L20" s="147">
        <v>0</v>
      </c>
      <c r="M20" s="151"/>
      <c r="Q20" s="35"/>
    </row>
    <row r="21" spans="2:17" ht="15" customHeight="1">
      <c r="B21" s="38"/>
      <c r="K21" s="147" t="s">
        <v>18</v>
      </c>
      <c r="L21" s="147">
        <v>0</v>
      </c>
      <c r="M21" s="151"/>
      <c r="Q21" s="35"/>
    </row>
    <row r="22" spans="2:17" ht="15" customHeight="1">
      <c r="B22" s="38"/>
      <c r="K22" s="147" t="s">
        <v>19</v>
      </c>
      <c r="L22" s="147">
        <v>0</v>
      </c>
      <c r="M22" s="151"/>
      <c r="Q22" s="35"/>
    </row>
    <row r="23" spans="2:17" ht="15" customHeight="1">
      <c r="B23" s="38"/>
      <c r="K23" s="130" t="s">
        <v>12</v>
      </c>
      <c r="L23" s="130">
        <v>0</v>
      </c>
      <c r="M23" s="152"/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20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0" t="s">
        <v>3</v>
      </c>
      <c r="E36" s="130" t="s">
        <v>4</v>
      </c>
      <c r="Q36" s="35"/>
    </row>
    <row r="37" spans="1:17" ht="15" customHeight="1">
      <c r="B37" s="38"/>
      <c r="C37" s="153"/>
      <c r="D37" s="154">
        <v>0</v>
      </c>
      <c r="E37" s="155"/>
      <c r="Q37" s="35"/>
    </row>
    <row r="38" spans="1:17" ht="15" customHeight="1">
      <c r="B38" s="38"/>
      <c r="C38" s="153" t="s">
        <v>12</v>
      </c>
      <c r="D38" s="154">
        <v>0</v>
      </c>
      <c r="E38" s="155"/>
      <c r="Q38" s="35"/>
    </row>
    <row r="39" spans="1:17" s="165" customFormat="1" ht="15" customHeight="1">
      <c r="A39" s="14"/>
      <c r="B39" s="38"/>
      <c r="C39" s="127"/>
      <c r="D39" s="168"/>
      <c r="E39" s="169"/>
      <c r="Q39" s="35"/>
    </row>
    <row r="40" spans="1:17" ht="15" customHeight="1">
      <c r="B40" s="38"/>
      <c r="Q40" s="35"/>
    </row>
    <row r="41" spans="1:17" ht="15" customHeight="1">
      <c r="B41" s="38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0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3">
    <tabColor theme="4" tint="0.79998168889431442"/>
    <pageSetUpPr fitToPage="1"/>
  </sheetPr>
  <dimension ref="A1:U21"/>
  <sheetViews>
    <sheetView showGridLines="0" zoomScaleNormal="100" workbookViewId="0">
      <selection activeCell="C12" sqref="C12:O13"/>
    </sheetView>
  </sheetViews>
  <sheetFormatPr baseColWidth="10" defaultColWidth="11.42578125" defaultRowHeight="15"/>
  <cols>
    <col min="1" max="1" width="2.85546875" style="14" customWidth="1"/>
    <col min="2" max="2" width="4.28515625" style="165" customWidth="1"/>
    <col min="3" max="3" width="21.42578125" style="165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65" customWidth="1"/>
    <col min="17" max="17" width="4.140625" style="165" customWidth="1"/>
    <col min="18" max="18" width="2.85546875" style="165" customWidth="1"/>
    <col min="19" max="20" width="11.42578125" style="165" customWidth="1"/>
    <col min="21" max="21" width="19.7109375" style="165" bestFit="1" customWidth="1"/>
    <col min="22" max="25" width="11.42578125" style="165" customWidth="1"/>
    <col min="26" max="16384" width="11.42578125" style="165"/>
  </cols>
  <sheetData>
    <row r="1" spans="2:21" ht="15" customHeight="1">
      <c r="B1" s="14">
        <v>2</v>
      </c>
      <c r="C1" s="1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4"/>
      <c r="Q1" s="14"/>
      <c r="R1" s="14"/>
    </row>
    <row r="2" spans="2:21" ht="15" customHeight="1">
      <c r="B2" s="56"/>
      <c r="C2" s="57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 thickBot="1">
      <c r="B7" s="38"/>
      <c r="Q7" s="35"/>
    </row>
    <row r="8" spans="2:21" ht="30.75" thickBot="1">
      <c r="B8" s="38"/>
      <c r="C8" s="101" t="str">
        <f>'Page de garde'!J13&amp;" : Liste des assurés en INVALIDITE au "&amp;'Page de garde'!J23</f>
        <v xml:space="preserve"> : Liste des assurés en INVALIDITE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Q8" s="35"/>
    </row>
    <row r="9" spans="2:21" ht="1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Q11" s="35"/>
    </row>
    <row r="12" spans="2:21" ht="45">
      <c r="B12" s="38"/>
      <c r="C12" s="130" t="s">
        <v>58</v>
      </c>
      <c r="D12" s="130" t="s">
        <v>118</v>
      </c>
      <c r="E12" s="130" t="s">
        <v>123</v>
      </c>
      <c r="F12" s="130" t="s">
        <v>119</v>
      </c>
      <c r="G12" s="130" t="s">
        <v>120</v>
      </c>
      <c r="H12" s="130" t="s">
        <v>38</v>
      </c>
      <c r="I12" s="130" t="s">
        <v>117</v>
      </c>
      <c r="J12" s="130" t="s">
        <v>124</v>
      </c>
      <c r="K12" s="130" t="s">
        <v>125</v>
      </c>
      <c r="L12" s="130" t="s">
        <v>122</v>
      </c>
      <c r="M12" s="130" t="s">
        <v>126</v>
      </c>
      <c r="N12" s="130" t="s">
        <v>127</v>
      </c>
      <c r="O12" s="130" t="s">
        <v>121</v>
      </c>
      <c r="Q12" s="35"/>
    </row>
    <row r="13" spans="2:21" ht="15" customHeight="1">
      <c r="B13" s="38"/>
      <c r="C13" s="30"/>
      <c r="D13" s="138"/>
      <c r="E13" s="184"/>
      <c r="F13" s="139"/>
      <c r="G13" s="139"/>
      <c r="H13" s="138"/>
      <c r="I13" s="139"/>
      <c r="J13" s="139"/>
      <c r="K13" s="183"/>
      <c r="L13" s="139"/>
      <c r="M13" s="139"/>
      <c r="N13" s="187"/>
      <c r="O13" s="140"/>
      <c r="Q13" s="35"/>
    </row>
    <row r="14" spans="2:21" ht="15" customHeight="1">
      <c r="B14" s="38"/>
      <c r="E14" s="185"/>
      <c r="F14" s="181"/>
      <c r="G14" s="181"/>
      <c r="I14" s="181"/>
      <c r="J14" s="181"/>
      <c r="K14" s="186"/>
      <c r="L14" s="181"/>
      <c r="M14" s="181"/>
      <c r="N14" s="188"/>
      <c r="O14" s="182"/>
      <c r="Q14" s="35"/>
    </row>
    <row r="15" spans="2:21" ht="15" customHeight="1">
      <c r="B15" s="38"/>
      <c r="E15" s="185"/>
      <c r="F15" s="181"/>
      <c r="G15" s="181"/>
      <c r="I15" s="181"/>
      <c r="J15" s="181"/>
      <c r="K15" s="186"/>
      <c r="L15" s="181"/>
      <c r="M15" s="181"/>
      <c r="N15" s="188"/>
      <c r="O15" s="182"/>
      <c r="Q15" s="35"/>
    </row>
    <row r="16" spans="2:21" ht="15" customHeight="1">
      <c r="B16" s="38"/>
      <c r="E16" s="185"/>
      <c r="F16" s="181"/>
      <c r="G16" s="181"/>
      <c r="I16" s="181"/>
      <c r="J16" s="181"/>
      <c r="K16" s="186"/>
      <c r="L16" s="181"/>
      <c r="M16" s="181"/>
      <c r="N16" s="188"/>
      <c r="O16" s="182"/>
      <c r="Q16" s="35"/>
    </row>
    <row r="17" spans="1:21" ht="15" customHeight="1">
      <c r="B17" s="38"/>
      <c r="E17" s="185"/>
      <c r="F17" s="181"/>
      <c r="G17" s="181"/>
      <c r="I17" s="181"/>
      <c r="J17" s="181"/>
      <c r="K17" s="186"/>
      <c r="L17" s="181"/>
      <c r="M17" s="181"/>
      <c r="N17" s="188"/>
      <c r="O17" s="182"/>
      <c r="Q17" s="35"/>
    </row>
    <row r="18" spans="1:21" ht="15" customHeight="1">
      <c r="B18" s="38"/>
      <c r="E18" s="185"/>
      <c r="F18" s="181"/>
      <c r="G18" s="181"/>
      <c r="I18" s="181"/>
      <c r="J18" s="181"/>
      <c r="K18" s="186"/>
      <c r="L18" s="181"/>
      <c r="M18" s="181"/>
      <c r="N18" s="188"/>
      <c r="O18" s="182"/>
      <c r="Q18" s="35"/>
    </row>
    <row r="19" spans="1:21">
      <c r="A19" s="179"/>
      <c r="B19" s="180"/>
      <c r="D19" s="178"/>
      <c r="P19" s="46"/>
      <c r="Q19" s="60"/>
    </row>
    <row r="20" spans="1:21" ht="15" customHeight="1">
      <c r="C20" s="57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57"/>
      <c r="Q20" s="57"/>
      <c r="U20" s="29"/>
    </row>
    <row r="21" spans="1:21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4" tint="0.79998168889431442"/>
    <pageSetUpPr fitToPage="1"/>
  </sheetPr>
  <dimension ref="A1:U47"/>
  <sheetViews>
    <sheetView showGridLines="0" zoomScale="70" zoomScaleNormal="70" workbookViewId="0">
      <selection activeCell="A39" sqref="A39:XFD39"/>
    </sheetView>
  </sheetViews>
  <sheetFormatPr baseColWidth="10" defaultColWidth="11.42578125" defaultRowHeight="15"/>
  <cols>
    <col min="1" max="1" width="2.85546875" style="14" customWidth="1"/>
    <col min="2" max="2" width="4.28515625" style="78" customWidth="1"/>
    <col min="3" max="3" width="28.7109375" style="78" customWidth="1"/>
    <col min="4" max="9" width="11.42578125" style="78" customWidth="1"/>
    <col min="10" max="10" width="20" style="78" customWidth="1"/>
    <col min="11" max="11" width="34.28515625" style="78" customWidth="1"/>
    <col min="12" max="15" width="11.42578125" style="78" customWidth="1"/>
    <col min="16" max="16" width="2.5703125" style="78" customWidth="1"/>
    <col min="17" max="17" width="4.140625" style="78" customWidth="1"/>
    <col min="18" max="18" width="2.85546875" style="78" customWidth="1"/>
    <col min="19" max="20" width="11.42578125" style="78" customWidth="1"/>
    <col min="21" max="21" width="19.7109375" style="78" bestFit="1" customWidth="1"/>
    <col min="22" max="25" width="11.42578125" style="78" customWidth="1"/>
    <col min="26" max="16384" width="11.42578125" style="78"/>
  </cols>
  <sheetData>
    <row r="1" spans="2:21" ht="15" customHeight="1"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2:21" ht="15" customHeight="1"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>
      <c r="B7" s="38"/>
      <c r="Q7" s="35"/>
    </row>
    <row r="8" spans="2:21" ht="30">
      <c r="B8" s="38"/>
      <c r="C8" s="101" t="str">
        <f>'Page de garde'!J13&amp;" : Statistiques DECES au "&amp;'Page de garde'!J23</f>
        <v xml:space="preserve"> : Statistiques DECES au 31 décembre 2019</v>
      </c>
      <c r="D8" s="102"/>
      <c r="E8" s="102"/>
      <c r="F8" s="102"/>
      <c r="G8" s="102"/>
      <c r="H8" s="102"/>
      <c r="I8" s="102"/>
      <c r="J8" s="102"/>
      <c r="K8" s="102"/>
      <c r="L8" s="102"/>
      <c r="M8" s="103"/>
      <c r="Q8" s="35"/>
    </row>
    <row r="9" spans="2:21" ht="14.2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C11" s="126" t="s">
        <v>0</v>
      </c>
      <c r="K11" s="127" t="s">
        <v>100</v>
      </c>
      <c r="Q11" s="35"/>
    </row>
    <row r="12" spans="2:21" ht="13.5" customHeight="1">
      <c r="B12" s="38"/>
      <c r="Q12" s="35"/>
    </row>
    <row r="13" spans="2:21" ht="45">
      <c r="B13" s="38"/>
      <c r="C13" s="130" t="s">
        <v>2</v>
      </c>
      <c r="D13" s="130" t="s">
        <v>101</v>
      </c>
      <c r="E13" s="130" t="s">
        <v>98</v>
      </c>
      <c r="F13" s="156"/>
      <c r="K13" s="130" t="s">
        <v>6</v>
      </c>
      <c r="L13" s="130" t="s">
        <v>102</v>
      </c>
      <c r="M13" s="130" t="s">
        <v>103</v>
      </c>
      <c r="Q13" s="35"/>
    </row>
    <row r="14" spans="2:21" ht="15" customHeight="1">
      <c r="B14" s="38"/>
      <c r="C14" s="147" t="s">
        <v>8</v>
      </c>
      <c r="D14" s="148">
        <v>0</v>
      </c>
      <c r="E14" s="149"/>
      <c r="F14" s="157"/>
      <c r="K14" s="147" t="s">
        <v>9</v>
      </c>
      <c r="L14" s="147">
        <v>0</v>
      </c>
      <c r="M14" s="151"/>
      <c r="Q14" s="35"/>
    </row>
    <row r="15" spans="2:21" ht="15" customHeight="1">
      <c r="B15" s="38"/>
      <c r="C15" s="147" t="s">
        <v>10</v>
      </c>
      <c r="D15" s="148">
        <v>0</v>
      </c>
      <c r="E15" s="149"/>
      <c r="F15" s="157"/>
      <c r="K15" s="147" t="s">
        <v>11</v>
      </c>
      <c r="L15" s="147">
        <v>0</v>
      </c>
      <c r="M15" s="151"/>
      <c r="Q15" s="35"/>
    </row>
    <row r="16" spans="2:21" ht="15" customHeight="1">
      <c r="B16" s="38"/>
      <c r="C16" s="130" t="s">
        <v>12</v>
      </c>
      <c r="D16" s="130">
        <v>0</v>
      </c>
      <c r="E16" s="150"/>
      <c r="F16" s="158"/>
      <c r="K16" s="147" t="s">
        <v>13</v>
      </c>
      <c r="L16" s="147">
        <v>0</v>
      </c>
      <c r="M16" s="151"/>
      <c r="Q16" s="35"/>
    </row>
    <row r="17" spans="2:17" ht="15" customHeight="1">
      <c r="B17" s="38"/>
      <c r="K17" s="147" t="s">
        <v>14</v>
      </c>
      <c r="L17" s="147">
        <v>0</v>
      </c>
      <c r="M17" s="151"/>
      <c r="Q17" s="35"/>
    </row>
    <row r="18" spans="2:17" ht="15" customHeight="1">
      <c r="B18" s="38"/>
      <c r="K18" s="147" t="s">
        <v>15</v>
      </c>
      <c r="L18" s="147">
        <v>0</v>
      </c>
      <c r="M18" s="151"/>
      <c r="Q18" s="35"/>
    </row>
    <row r="19" spans="2:17" ht="15" customHeight="1">
      <c r="B19" s="38"/>
      <c r="K19" s="147" t="s">
        <v>16</v>
      </c>
      <c r="L19" s="147">
        <v>0</v>
      </c>
      <c r="M19" s="151"/>
      <c r="Q19" s="35"/>
    </row>
    <row r="20" spans="2:17" ht="15" customHeight="1">
      <c r="B20" s="38"/>
      <c r="K20" s="147" t="s">
        <v>17</v>
      </c>
      <c r="L20" s="147">
        <v>0</v>
      </c>
      <c r="M20" s="151"/>
      <c r="Q20" s="35"/>
    </row>
    <row r="21" spans="2:17" ht="15" customHeight="1">
      <c r="B21" s="38"/>
      <c r="K21" s="147" t="s">
        <v>18</v>
      </c>
      <c r="L21" s="147">
        <v>0</v>
      </c>
      <c r="M21" s="151"/>
      <c r="Q21" s="35"/>
    </row>
    <row r="22" spans="2:17" ht="15" customHeight="1">
      <c r="B22" s="38"/>
      <c r="K22" s="147" t="s">
        <v>19</v>
      </c>
      <c r="L22" s="147">
        <v>0</v>
      </c>
      <c r="M22" s="151"/>
      <c r="Q22" s="35"/>
    </row>
    <row r="23" spans="2:17" ht="15" customHeight="1">
      <c r="B23" s="38"/>
      <c r="K23" s="130" t="s">
        <v>12</v>
      </c>
      <c r="L23" s="130">
        <v>0</v>
      </c>
      <c r="M23" s="152"/>
      <c r="Q23" s="35"/>
    </row>
    <row r="24" spans="2:17" ht="15" customHeight="1">
      <c r="B24" s="38"/>
      <c r="Q24" s="35"/>
    </row>
    <row r="25" spans="2:17" ht="15" customHeight="1">
      <c r="B25" s="38"/>
      <c r="Q25" s="35"/>
    </row>
    <row r="26" spans="2:17" ht="15" customHeight="1">
      <c r="B26" s="38"/>
      <c r="Q26" s="35"/>
    </row>
    <row r="27" spans="2:17" ht="15" customHeight="1">
      <c r="B27" s="38"/>
      <c r="Q27" s="35"/>
    </row>
    <row r="28" spans="2:17" ht="15" customHeight="1">
      <c r="B28" s="38"/>
      <c r="Q28" s="35"/>
    </row>
    <row r="29" spans="2:17" ht="15" customHeight="1">
      <c r="B29" s="38"/>
      <c r="Q29" s="35"/>
    </row>
    <row r="30" spans="2:17">
      <c r="B30" s="38"/>
      <c r="Q30" s="35"/>
    </row>
    <row r="31" spans="2:17" ht="12" customHeight="1">
      <c r="B31" s="38"/>
      <c r="Q31" s="35"/>
    </row>
    <row r="32" spans="2:17" ht="15" customHeight="1">
      <c r="B32" s="38"/>
      <c r="Q32" s="35"/>
    </row>
    <row r="33" spans="1:17" ht="15" customHeight="1">
      <c r="B33" s="38"/>
      <c r="Q33" s="35"/>
    </row>
    <row r="34" spans="1:17" ht="15" customHeight="1">
      <c r="B34" s="38"/>
      <c r="C34" s="26" t="s">
        <v>104</v>
      </c>
      <c r="Q34" s="35"/>
    </row>
    <row r="35" spans="1:17" ht="15" customHeight="1">
      <c r="B35" s="38"/>
      <c r="Q35" s="35"/>
    </row>
    <row r="36" spans="1:17" ht="15" customHeight="1">
      <c r="B36" s="38"/>
      <c r="C36" s="26"/>
      <c r="D36" s="130" t="s">
        <v>3</v>
      </c>
      <c r="E36" s="130" t="s">
        <v>4</v>
      </c>
      <c r="Q36" s="35"/>
    </row>
    <row r="37" spans="1:17" ht="15" customHeight="1">
      <c r="B37" s="38"/>
      <c r="C37" s="153"/>
      <c r="D37" s="154">
        <v>0</v>
      </c>
      <c r="E37" s="155"/>
      <c r="Q37" s="35"/>
    </row>
    <row r="38" spans="1:17" ht="15" customHeight="1">
      <c r="B38" s="38"/>
      <c r="C38" s="153" t="s">
        <v>12</v>
      </c>
      <c r="D38" s="154">
        <v>0</v>
      </c>
      <c r="E38" s="155"/>
      <c r="Q38" s="35"/>
    </row>
    <row r="39" spans="1:17" s="165" customFormat="1" ht="15" customHeight="1">
      <c r="A39" s="14"/>
      <c r="B39" s="38"/>
      <c r="C39" s="127"/>
      <c r="D39" s="168"/>
      <c r="E39" s="169"/>
      <c r="Q39" s="35"/>
    </row>
    <row r="40" spans="1:17" s="165" customFormat="1" ht="15" customHeight="1">
      <c r="A40" s="14"/>
      <c r="B40" s="38"/>
      <c r="C40" s="127"/>
      <c r="D40" s="168"/>
      <c r="E40" s="169"/>
      <c r="Q40" s="35"/>
    </row>
    <row r="41" spans="1:17" s="165" customFormat="1" ht="15" customHeight="1">
      <c r="A41" s="14"/>
      <c r="B41" s="38"/>
      <c r="C41" s="127"/>
      <c r="D41" s="168"/>
      <c r="E41" s="169"/>
      <c r="Q41" s="35"/>
    </row>
    <row r="42" spans="1:17" ht="15" customHeight="1">
      <c r="B42" s="38"/>
      <c r="Q42" s="35"/>
    </row>
    <row r="43" spans="1:17" ht="15" customHeight="1">
      <c r="B43" s="38"/>
      <c r="Q43" s="35"/>
    </row>
    <row r="44" spans="1:17" ht="15" customHeight="1">
      <c r="B44" s="38"/>
      <c r="Q44" s="35"/>
    </row>
    <row r="45" spans="1:17" ht="15" customHeight="1">
      <c r="B45" s="38"/>
      <c r="Q45" s="35"/>
    </row>
    <row r="46" spans="1:17" ht="15" customHeight="1">
      <c r="B46" s="45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60"/>
    </row>
    <row r="47" spans="1:17" ht="15" customHeight="1"/>
  </sheetData>
  <pageMargins left="0.70866141732283472" right="0.70866141732283472" top="0.74803149606299213" bottom="0.74803149606299213" header="0.31496062992125984" footer="0.31496062992125984"/>
  <pageSetup paperSize="9" scale="62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4">
    <tabColor theme="4" tint="0.79998168889431442"/>
    <pageSetUpPr fitToPage="1"/>
  </sheetPr>
  <dimension ref="A1:U21"/>
  <sheetViews>
    <sheetView showGridLines="0" zoomScaleNormal="100" workbookViewId="0">
      <selection activeCell="C12" sqref="C12:O13"/>
    </sheetView>
  </sheetViews>
  <sheetFormatPr baseColWidth="10" defaultColWidth="11.42578125" defaultRowHeight="15"/>
  <cols>
    <col min="1" max="1" width="2.85546875" style="14" customWidth="1"/>
    <col min="2" max="2" width="4.28515625" style="165" customWidth="1"/>
    <col min="3" max="3" width="21.42578125" style="165" customWidth="1"/>
    <col min="4" max="4" width="12" style="136" customWidth="1"/>
    <col min="5" max="5" width="24.85546875" style="136" bestFit="1" customWidth="1"/>
    <col min="6" max="6" width="8.28515625" style="136" bestFit="1" customWidth="1"/>
    <col min="7" max="7" width="13.5703125" style="136" customWidth="1"/>
    <col min="8" max="8" width="10.28515625" style="136" bestFit="1" customWidth="1"/>
    <col min="9" max="9" width="19.7109375" style="136" customWidth="1"/>
    <col min="10" max="10" width="10.7109375" style="136" bestFit="1" customWidth="1"/>
    <col min="11" max="11" width="11.85546875" style="136" bestFit="1" customWidth="1"/>
    <col min="12" max="13" width="15" style="136" customWidth="1"/>
    <col min="14" max="14" width="12.5703125" style="136" bestFit="1" customWidth="1"/>
    <col min="15" max="15" width="15" style="136" customWidth="1"/>
    <col min="16" max="16" width="11.42578125" style="165" customWidth="1"/>
    <col min="17" max="17" width="4.140625" style="165" customWidth="1"/>
    <col min="18" max="18" width="2.85546875" style="165" customWidth="1"/>
    <col min="19" max="20" width="11.42578125" style="165" customWidth="1"/>
    <col min="21" max="21" width="19.7109375" style="165" bestFit="1" customWidth="1"/>
    <col min="22" max="25" width="11.42578125" style="165" customWidth="1"/>
    <col min="26" max="16384" width="11.42578125" style="165"/>
  </cols>
  <sheetData>
    <row r="1" spans="2:21" ht="15" customHeight="1">
      <c r="B1" s="14">
        <v>2</v>
      </c>
      <c r="C1" s="1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4"/>
      <c r="Q1" s="14"/>
      <c r="R1" s="14"/>
    </row>
    <row r="2" spans="2:21" ht="15" customHeight="1">
      <c r="B2" s="56"/>
      <c r="C2" s="57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57"/>
      <c r="Q2" s="58"/>
      <c r="U2" s="29"/>
    </row>
    <row r="3" spans="2:21" ht="15" customHeight="1">
      <c r="B3" s="38"/>
      <c r="Q3" s="35"/>
    </row>
    <row r="4" spans="2:21" ht="15" customHeight="1">
      <c r="B4" s="38"/>
      <c r="Q4" s="35"/>
    </row>
    <row r="5" spans="2:21" ht="15" customHeight="1">
      <c r="B5" s="38"/>
      <c r="Q5" s="35"/>
    </row>
    <row r="6" spans="2:21" ht="15" customHeight="1">
      <c r="B6" s="38"/>
      <c r="Q6" s="35"/>
    </row>
    <row r="7" spans="2:21" ht="15" customHeight="1" thickBot="1">
      <c r="B7" s="38"/>
      <c r="Q7" s="35"/>
    </row>
    <row r="8" spans="2:21" ht="30.75" thickBot="1">
      <c r="B8" s="38"/>
      <c r="C8" s="101" t="str">
        <f>'Page de garde'!J13&amp;" : Liste des assurés DECEDES au "&amp;'Page de garde'!J23</f>
        <v xml:space="preserve"> : Liste des assurés DECEDES au 31 décembre 2019</v>
      </c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Q8" s="35"/>
    </row>
    <row r="9" spans="2:21" ht="15" customHeight="1">
      <c r="B9" s="38"/>
      <c r="Q9" s="35"/>
    </row>
    <row r="10" spans="2:21" ht="15" customHeight="1">
      <c r="B10" s="38"/>
      <c r="Q10" s="35"/>
    </row>
    <row r="11" spans="2:21" ht="15" customHeight="1">
      <c r="B11" s="38"/>
      <c r="Q11" s="35"/>
    </row>
    <row r="12" spans="2:21" ht="30">
      <c r="B12" s="38"/>
      <c r="C12" s="130" t="s">
        <v>58</v>
      </c>
      <c r="D12" s="130" t="s">
        <v>118</v>
      </c>
      <c r="E12" s="130" t="s">
        <v>123</v>
      </c>
      <c r="F12" s="130" t="s">
        <v>119</v>
      </c>
      <c r="G12" s="130" t="s">
        <v>120</v>
      </c>
      <c r="H12" s="130" t="s">
        <v>38</v>
      </c>
      <c r="I12" s="130" t="s">
        <v>117</v>
      </c>
      <c r="J12" s="130" t="s">
        <v>128</v>
      </c>
      <c r="K12" s="130" t="s">
        <v>129</v>
      </c>
      <c r="L12" s="130" t="s">
        <v>122</v>
      </c>
      <c r="M12" s="130" t="s">
        <v>126</v>
      </c>
      <c r="N12" s="130"/>
      <c r="O12" s="130" t="s">
        <v>130</v>
      </c>
      <c r="Q12" s="35"/>
    </row>
    <row r="13" spans="2:21" ht="15" customHeight="1">
      <c r="B13" s="38"/>
      <c r="C13" s="30"/>
      <c r="D13" s="138"/>
      <c r="E13" s="184"/>
      <c r="F13" s="139"/>
      <c r="G13" s="139"/>
      <c r="H13" s="138"/>
      <c r="I13" s="139"/>
      <c r="J13" s="139"/>
      <c r="K13" s="183"/>
      <c r="L13" s="139"/>
      <c r="M13" s="139"/>
      <c r="N13" s="187"/>
      <c r="O13" s="140"/>
      <c r="Q13" s="35"/>
    </row>
    <row r="14" spans="2:21" ht="15" customHeight="1">
      <c r="B14" s="38"/>
      <c r="E14" s="185"/>
      <c r="F14" s="181"/>
      <c r="G14" s="181"/>
      <c r="I14" s="181"/>
      <c r="J14" s="181"/>
      <c r="K14" s="186"/>
      <c r="L14" s="181"/>
      <c r="M14" s="181"/>
      <c r="N14" s="188"/>
      <c r="O14" s="182"/>
      <c r="Q14" s="35"/>
    </row>
    <row r="15" spans="2:21" ht="15" customHeight="1">
      <c r="B15" s="38"/>
      <c r="E15" s="185"/>
      <c r="F15" s="181"/>
      <c r="G15" s="181"/>
      <c r="I15" s="181"/>
      <c r="J15" s="181"/>
      <c r="K15" s="186"/>
      <c r="L15" s="181"/>
      <c r="M15" s="181"/>
      <c r="N15" s="188"/>
      <c r="O15" s="182"/>
      <c r="Q15" s="35"/>
    </row>
    <row r="16" spans="2:21" ht="15" customHeight="1">
      <c r="B16" s="38"/>
      <c r="E16" s="185"/>
      <c r="F16" s="181"/>
      <c r="G16" s="181"/>
      <c r="I16" s="181"/>
      <c r="J16" s="181"/>
      <c r="K16" s="186"/>
      <c r="L16" s="181"/>
      <c r="M16" s="181"/>
      <c r="N16" s="188"/>
      <c r="O16" s="182"/>
      <c r="Q16" s="35"/>
    </row>
    <row r="17" spans="1:21" ht="15" customHeight="1">
      <c r="B17" s="38"/>
      <c r="E17" s="185"/>
      <c r="F17" s="181"/>
      <c r="G17" s="181"/>
      <c r="I17" s="181"/>
      <c r="J17" s="181"/>
      <c r="K17" s="186"/>
      <c r="L17" s="181"/>
      <c r="M17" s="181"/>
      <c r="N17" s="188"/>
      <c r="O17" s="182"/>
      <c r="Q17" s="35"/>
    </row>
    <row r="18" spans="1:21">
      <c r="B18" s="38"/>
      <c r="Q18" s="35"/>
    </row>
    <row r="19" spans="1:21">
      <c r="A19" s="179"/>
      <c r="B19" s="180"/>
      <c r="D19" s="178"/>
      <c r="P19" s="46"/>
      <c r="Q19" s="60"/>
    </row>
    <row r="20" spans="1:21" ht="15" customHeight="1">
      <c r="C20" s="57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57"/>
      <c r="Q20" s="57"/>
      <c r="U20" s="29"/>
    </row>
    <row r="21" spans="1:21">
      <c r="D21" s="165"/>
      <c r="E21" s="165"/>
      <c r="F21" s="165"/>
      <c r="G21" s="165"/>
      <c r="H21" s="165"/>
      <c r="I21" s="165"/>
      <c r="J21" s="165"/>
      <c r="K21" s="165"/>
      <c r="L21" s="165"/>
      <c r="M21" s="165"/>
      <c r="N21" s="165"/>
      <c r="O21" s="165"/>
    </row>
  </sheetData>
  <pageMargins left="0.70866141732283472" right="0.70866141732283472" top="0.74803149606299213" bottom="0.74803149606299213" header="0.31496062992125984" footer="0.31496062992125984"/>
  <pageSetup paperSize="9" scale="40" fitToHeight="100" orientation="portrait" r:id="rId1"/>
  <headerFooter>
    <oddFooter>&amp;C&amp;F   &amp;A  &amp;P/&amp;N   &amp;D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5">
    <tabColor theme="9" tint="0.79998168889431442"/>
  </sheetPr>
  <dimension ref="A1:H3"/>
  <sheetViews>
    <sheetView workbookViewId="0">
      <selection activeCell="F1" sqref="F1"/>
    </sheetView>
  </sheetViews>
  <sheetFormatPr baseColWidth="10" defaultColWidth="11.42578125" defaultRowHeight="15"/>
  <cols>
    <col min="1" max="2" width="11.42578125" style="28"/>
    <col min="3" max="3" width="18.42578125" bestFit="1" customWidth="1"/>
    <col min="4" max="4" width="12.5703125" bestFit="1" customWidth="1"/>
    <col min="7" max="7" width="18.7109375" bestFit="1" customWidth="1"/>
    <col min="8" max="8" width="15.42578125" bestFit="1" customWidth="1"/>
  </cols>
  <sheetData>
    <row r="1" spans="1:8">
      <c r="A1" s="28" t="s">
        <v>105</v>
      </c>
      <c r="B1" s="28" t="s">
        <v>106</v>
      </c>
      <c r="C1" t="s">
        <v>42</v>
      </c>
      <c r="D1" t="s">
        <v>107</v>
      </c>
      <c r="E1" t="s">
        <v>108</v>
      </c>
      <c r="F1" t="s">
        <v>109</v>
      </c>
      <c r="G1" s="78" t="s">
        <v>110</v>
      </c>
      <c r="H1" s="165" t="s">
        <v>132</v>
      </c>
    </row>
    <row r="3" spans="1:8">
      <c r="H3" s="16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">
    <tabColor theme="9" tint="0.79998168889431442"/>
  </sheetPr>
  <dimension ref="A1:AH893"/>
  <sheetViews>
    <sheetView topLeftCell="E1" workbookViewId="0">
      <selection activeCell="E2" sqref="E2"/>
    </sheetView>
  </sheetViews>
  <sheetFormatPr baseColWidth="10" defaultColWidth="11.42578125" defaultRowHeight="15"/>
  <cols>
    <col min="1" max="1" width="12.85546875" bestFit="1" customWidth="1"/>
    <col min="4" max="4" width="11.42578125" style="28"/>
    <col min="6" max="6" width="22.85546875" bestFit="1" customWidth="1"/>
    <col min="7" max="7" width="11.42578125" style="28"/>
    <col min="11" max="11" width="11.42578125" style="28"/>
    <col min="12" max="12" width="37.5703125" bestFit="1" customWidth="1"/>
    <col min="16" max="16" width="18.28515625" style="173" customWidth="1"/>
    <col min="22" max="24" width="11.42578125" style="28"/>
    <col min="33" max="33" width="11.42578125" style="28"/>
  </cols>
  <sheetData>
    <row r="1" spans="1:34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111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112</v>
      </c>
      <c r="M1" s="75" t="s">
        <v>53</v>
      </c>
      <c r="N1" s="75" t="s">
        <v>54</v>
      </c>
      <c r="O1" s="75" t="s">
        <v>55</v>
      </c>
      <c r="P1" s="172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166" t="s">
        <v>62</v>
      </c>
      <c r="W1" s="166" t="s">
        <v>63</v>
      </c>
      <c r="X1" s="166" t="s">
        <v>64</v>
      </c>
      <c r="Y1" s="166" t="s">
        <v>65</v>
      </c>
      <c r="Z1" s="166" t="s">
        <v>66</v>
      </c>
      <c r="AA1" s="166" t="s">
        <v>67</v>
      </c>
      <c r="AB1" s="166" t="s">
        <v>68</v>
      </c>
      <c r="AC1" s="76" t="s">
        <v>69</v>
      </c>
      <c r="AD1" s="166" t="s">
        <v>70</v>
      </c>
      <c r="AE1" s="166" t="s">
        <v>71</v>
      </c>
      <c r="AF1" s="166" t="s">
        <v>72</v>
      </c>
      <c r="AG1" s="166" t="s">
        <v>73</v>
      </c>
      <c r="AH1" s="166" t="s">
        <v>87</v>
      </c>
    </row>
    <row r="2" spans="1:34">
      <c r="AB2" s="28"/>
    </row>
    <row r="3" spans="1:34">
      <c r="AB3" s="28"/>
      <c r="AC3" s="174"/>
      <c r="AE3" s="174"/>
    </row>
    <row r="4" spans="1:34">
      <c r="AB4" s="28"/>
    </row>
    <row r="5" spans="1:34">
      <c r="AB5" s="28"/>
    </row>
    <row r="6" spans="1:34">
      <c r="AB6" s="28"/>
    </row>
    <row r="7" spans="1:34">
      <c r="AB7" s="28"/>
    </row>
    <row r="8" spans="1:34">
      <c r="AB8" s="28"/>
    </row>
    <row r="9" spans="1:34">
      <c r="AB9" s="28"/>
    </row>
    <row r="10" spans="1:34">
      <c r="AB10" s="28"/>
    </row>
    <row r="11" spans="1:34">
      <c r="AB11" s="28"/>
    </row>
    <row r="12" spans="1:34">
      <c r="AB12" s="28"/>
    </row>
    <row r="13" spans="1:34">
      <c r="AB13" s="28"/>
    </row>
    <row r="14" spans="1:34">
      <c r="AB14" s="28"/>
    </row>
    <row r="15" spans="1:34">
      <c r="AB15" s="28"/>
    </row>
    <row r="16" spans="1:34">
      <c r="AB16" s="28"/>
    </row>
    <row r="17" spans="28:28">
      <c r="AB17" s="28"/>
    </row>
    <row r="18" spans="28:28">
      <c r="AB18" s="28"/>
    </row>
    <row r="19" spans="28:28">
      <c r="AB19" s="28"/>
    </row>
    <row r="20" spans="28:28">
      <c r="AB20" s="28"/>
    </row>
    <row r="21" spans="28:28">
      <c r="AB21" s="28"/>
    </row>
    <row r="22" spans="28:28">
      <c r="AB22" s="28"/>
    </row>
    <row r="23" spans="28:28">
      <c r="AB23" s="28"/>
    </row>
    <row r="24" spans="28:28">
      <c r="AB24" s="28"/>
    </row>
    <row r="25" spans="28:28">
      <c r="AB25" s="28"/>
    </row>
    <row r="26" spans="28:28">
      <c r="AB26" s="28"/>
    </row>
    <row r="27" spans="28:28">
      <c r="AB27" s="28"/>
    </row>
    <row r="28" spans="28:28">
      <c r="AB28" s="28"/>
    </row>
    <row r="29" spans="28:28">
      <c r="AB29" s="28"/>
    </row>
    <row r="30" spans="28:28">
      <c r="AB30" s="28"/>
    </row>
    <row r="31" spans="28:28">
      <c r="AB31" s="28"/>
    </row>
    <row r="32" spans="28:28">
      <c r="AB32" s="28"/>
    </row>
    <row r="33" spans="28:28">
      <c r="AB33" s="28"/>
    </row>
    <row r="34" spans="28:28">
      <c r="AB34" s="28"/>
    </row>
    <row r="35" spans="28:28">
      <c r="AB35" s="28"/>
    </row>
    <row r="36" spans="28:28">
      <c r="AB36" s="28"/>
    </row>
    <row r="37" spans="28:28">
      <c r="AB37" s="28"/>
    </row>
    <row r="38" spans="28:28">
      <c r="AB38" s="28"/>
    </row>
    <row r="39" spans="28:28">
      <c r="AB39" s="28"/>
    </row>
    <row r="40" spans="28:28">
      <c r="AB40" s="28"/>
    </row>
    <row r="41" spans="28:28">
      <c r="AB41" s="28"/>
    </row>
    <row r="42" spans="28:28">
      <c r="AB42" s="28"/>
    </row>
    <row r="43" spans="28:28">
      <c r="AB43" s="28"/>
    </row>
    <row r="44" spans="28:28">
      <c r="AB44" s="28"/>
    </row>
    <row r="45" spans="28:28">
      <c r="AB45" s="28"/>
    </row>
    <row r="46" spans="28:28">
      <c r="AB46" s="28"/>
    </row>
    <row r="47" spans="28:28">
      <c r="AB47" s="28"/>
    </row>
    <row r="48" spans="28:28">
      <c r="AB48" s="28"/>
    </row>
    <row r="49" spans="28:28">
      <c r="AB49" s="28"/>
    </row>
    <row r="50" spans="28:28">
      <c r="AB50" s="28"/>
    </row>
    <row r="51" spans="28:28">
      <c r="AB51" s="28"/>
    </row>
    <row r="52" spans="28:28">
      <c r="AB52" s="28"/>
    </row>
    <row r="53" spans="28:28">
      <c r="AB53" s="28"/>
    </row>
    <row r="54" spans="28:28">
      <c r="AB54" s="28"/>
    </row>
    <row r="55" spans="28:28">
      <c r="AB55" s="28"/>
    </row>
    <row r="56" spans="28:28">
      <c r="AB56" s="28"/>
    </row>
    <row r="57" spans="28:28">
      <c r="AB57" s="28"/>
    </row>
    <row r="58" spans="28:28">
      <c r="AB58" s="28"/>
    </row>
    <row r="59" spans="28:28">
      <c r="AB59" s="28"/>
    </row>
    <row r="60" spans="28:28">
      <c r="AB60" s="28"/>
    </row>
    <row r="61" spans="28:28">
      <c r="AB61" s="28"/>
    </row>
    <row r="62" spans="28:28">
      <c r="AB62" s="28"/>
    </row>
    <row r="63" spans="28:28">
      <c r="AB63" s="28"/>
    </row>
    <row r="64" spans="28:28">
      <c r="AB64" s="28"/>
    </row>
    <row r="65" spans="28:28">
      <c r="AB65" s="28"/>
    </row>
    <row r="66" spans="28:28">
      <c r="AB66" s="28"/>
    </row>
    <row r="67" spans="28:28">
      <c r="AB67" s="28"/>
    </row>
    <row r="68" spans="28:28">
      <c r="AB68" s="28"/>
    </row>
    <row r="69" spans="28:28">
      <c r="AB69" s="28"/>
    </row>
    <row r="70" spans="28:28">
      <c r="AB70" s="28"/>
    </row>
    <row r="71" spans="28:28">
      <c r="AB71" s="28"/>
    </row>
    <row r="72" spans="28:28">
      <c r="AB72" s="28"/>
    </row>
    <row r="73" spans="28:28">
      <c r="AB73" s="28"/>
    </row>
    <row r="74" spans="28:28">
      <c r="AB74" s="28"/>
    </row>
    <row r="75" spans="28:28">
      <c r="AB75" s="28"/>
    </row>
    <row r="76" spans="28:28">
      <c r="AB76" s="28"/>
    </row>
    <row r="77" spans="28:28">
      <c r="AB77" s="28"/>
    </row>
    <row r="78" spans="28:28">
      <c r="AB78" s="28"/>
    </row>
    <row r="79" spans="28:28">
      <c r="AB79" s="28"/>
    </row>
    <row r="80" spans="28:28">
      <c r="AB80" s="28"/>
    </row>
    <row r="81" spans="28:28">
      <c r="AB81" s="28"/>
    </row>
    <row r="82" spans="28:28">
      <c r="AB82" s="28"/>
    </row>
    <row r="83" spans="28:28">
      <c r="AB83" s="28"/>
    </row>
    <row r="84" spans="28:28">
      <c r="AB84" s="28"/>
    </row>
    <row r="85" spans="28:28">
      <c r="AB85" s="28"/>
    </row>
    <row r="86" spans="28:28">
      <c r="AB86" s="28"/>
    </row>
    <row r="87" spans="28:28">
      <c r="AB87" s="28"/>
    </row>
    <row r="88" spans="28:28">
      <c r="AB88" s="28"/>
    </row>
    <row r="89" spans="28:28">
      <c r="AB89" s="28"/>
    </row>
    <row r="90" spans="28:28">
      <c r="AB90" s="28"/>
    </row>
    <row r="91" spans="28:28">
      <c r="AB91" s="28"/>
    </row>
    <row r="92" spans="28:28">
      <c r="AB92" s="28"/>
    </row>
    <row r="93" spans="28:28">
      <c r="AB93" s="28"/>
    </row>
    <row r="94" spans="28:28">
      <c r="AB94" s="28"/>
    </row>
    <row r="95" spans="28:28">
      <c r="AB95" s="28"/>
    </row>
    <row r="96" spans="28:28">
      <c r="AB96" s="28"/>
    </row>
    <row r="97" spans="28:28">
      <c r="AB97" s="28"/>
    </row>
    <row r="98" spans="28:28">
      <c r="AB98" s="28"/>
    </row>
    <row r="99" spans="28:28">
      <c r="AB99" s="28"/>
    </row>
    <row r="100" spans="28:28">
      <c r="AB100" s="28"/>
    </row>
    <row r="101" spans="28:28">
      <c r="AB101" s="28"/>
    </row>
    <row r="102" spans="28:28">
      <c r="AB102" s="28"/>
    </row>
    <row r="103" spans="28:28">
      <c r="AB103" s="28"/>
    </row>
    <row r="104" spans="28:28">
      <c r="AB104" s="28"/>
    </row>
    <row r="105" spans="28:28">
      <c r="AB105" s="28"/>
    </row>
    <row r="106" spans="28:28">
      <c r="AB106" s="28"/>
    </row>
    <row r="107" spans="28:28">
      <c r="AB107" s="28"/>
    </row>
    <row r="108" spans="28:28">
      <c r="AB108" s="28"/>
    </row>
    <row r="109" spans="28:28">
      <c r="AB109" s="28"/>
    </row>
    <row r="110" spans="28:28">
      <c r="AB110" s="28"/>
    </row>
    <row r="111" spans="28:28">
      <c r="AB111" s="28"/>
    </row>
    <row r="112" spans="28:28">
      <c r="AB112" s="28"/>
    </row>
    <row r="113" spans="28:28">
      <c r="AB113" s="28"/>
    </row>
    <row r="114" spans="28:28">
      <c r="AB114" s="28"/>
    </row>
    <row r="115" spans="28:28">
      <c r="AB115" s="28"/>
    </row>
    <row r="116" spans="28:28">
      <c r="AB116" s="28"/>
    </row>
    <row r="117" spans="28:28">
      <c r="AB117" s="28"/>
    </row>
    <row r="118" spans="28:28">
      <c r="AB118" s="28"/>
    </row>
    <row r="119" spans="28:28">
      <c r="AB119" s="28"/>
    </row>
    <row r="120" spans="28:28">
      <c r="AB120" s="28"/>
    </row>
    <row r="121" spans="28:28">
      <c r="AB121" s="28"/>
    </row>
    <row r="122" spans="28:28">
      <c r="AB122" s="28"/>
    </row>
    <row r="123" spans="28:28">
      <c r="AB123" s="28"/>
    </row>
    <row r="124" spans="28:28">
      <c r="AB124" s="28"/>
    </row>
    <row r="125" spans="28:28">
      <c r="AB125" s="28"/>
    </row>
    <row r="126" spans="28:28">
      <c r="AB126" s="28"/>
    </row>
    <row r="127" spans="28:28">
      <c r="AB127" s="28"/>
    </row>
    <row r="128" spans="28:28">
      <c r="AB128" s="28"/>
    </row>
    <row r="129" spans="28:28">
      <c r="AB129" s="28"/>
    </row>
    <row r="130" spans="28:28">
      <c r="AB130" s="28"/>
    </row>
    <row r="131" spans="28:28">
      <c r="AB131" s="28"/>
    </row>
    <row r="132" spans="28:28">
      <c r="AB132" s="28"/>
    </row>
    <row r="133" spans="28:28">
      <c r="AB133" s="28"/>
    </row>
    <row r="134" spans="28:28">
      <c r="AB134" s="28"/>
    </row>
    <row r="135" spans="28:28">
      <c r="AB135" s="28"/>
    </row>
    <row r="136" spans="28:28">
      <c r="AB136" s="28"/>
    </row>
    <row r="137" spans="28:28">
      <c r="AB137" s="28"/>
    </row>
    <row r="138" spans="28:28">
      <c r="AB138" s="28"/>
    </row>
    <row r="139" spans="28:28">
      <c r="AB139" s="28"/>
    </row>
    <row r="140" spans="28:28">
      <c r="AB140" s="28"/>
    </row>
    <row r="141" spans="28:28">
      <c r="AB141" s="28"/>
    </row>
    <row r="142" spans="28:28">
      <c r="AB142" s="28"/>
    </row>
    <row r="143" spans="28:28">
      <c r="AB143" s="28"/>
    </row>
    <row r="144" spans="28:28">
      <c r="AB144" s="28"/>
    </row>
    <row r="145" spans="28:28">
      <c r="AB145" s="28"/>
    </row>
    <row r="146" spans="28:28">
      <c r="AB146" s="28"/>
    </row>
    <row r="147" spans="28:28">
      <c r="AB147" s="28"/>
    </row>
    <row r="148" spans="28:28">
      <c r="AB148" s="28"/>
    </row>
    <row r="149" spans="28:28">
      <c r="AB149" s="28"/>
    </row>
    <row r="150" spans="28:28">
      <c r="AB150" s="28"/>
    </row>
    <row r="151" spans="28:28">
      <c r="AB151" s="28"/>
    </row>
    <row r="152" spans="28:28">
      <c r="AB152" s="28"/>
    </row>
    <row r="153" spans="28:28">
      <c r="AB153" s="28"/>
    </row>
    <row r="154" spans="28:28">
      <c r="AB154" s="28"/>
    </row>
    <row r="155" spans="28:28">
      <c r="AB155" s="28"/>
    </row>
    <row r="156" spans="28:28">
      <c r="AB156" s="28"/>
    </row>
    <row r="157" spans="28:28">
      <c r="AB157" s="28"/>
    </row>
    <row r="158" spans="28:28">
      <c r="AB158" s="28"/>
    </row>
    <row r="159" spans="28:28">
      <c r="AB159" s="28"/>
    </row>
    <row r="160" spans="28:28">
      <c r="AB160" s="28"/>
    </row>
    <row r="161" spans="28:28">
      <c r="AB161" s="28"/>
    </row>
    <row r="162" spans="28:28">
      <c r="AB162" s="28"/>
    </row>
    <row r="163" spans="28:28">
      <c r="AB163" s="28"/>
    </row>
    <row r="164" spans="28:28">
      <c r="AB164" s="28"/>
    </row>
    <row r="165" spans="28:28">
      <c r="AB165" s="28"/>
    </row>
    <row r="166" spans="28:28">
      <c r="AB166" s="28"/>
    </row>
    <row r="167" spans="28:28">
      <c r="AB167" s="28"/>
    </row>
    <row r="168" spans="28:28">
      <c r="AB168" s="28"/>
    </row>
    <row r="169" spans="28:28">
      <c r="AB169" s="28"/>
    </row>
    <row r="170" spans="28:28">
      <c r="AB170" s="28"/>
    </row>
    <row r="171" spans="28:28">
      <c r="AB171" s="28"/>
    </row>
    <row r="172" spans="28:28">
      <c r="AB172" s="28"/>
    </row>
    <row r="173" spans="28:28">
      <c r="AB173" s="28"/>
    </row>
    <row r="174" spans="28:28">
      <c r="AB174" s="28"/>
    </row>
    <row r="175" spans="28:28">
      <c r="AB175" s="28"/>
    </row>
    <row r="176" spans="28:28">
      <c r="AB176" s="28"/>
    </row>
    <row r="177" spans="28:28">
      <c r="AB177" s="28"/>
    </row>
    <row r="178" spans="28:28">
      <c r="AB178" s="28"/>
    </row>
    <row r="179" spans="28:28">
      <c r="AB179" s="28"/>
    </row>
    <row r="180" spans="28:28">
      <c r="AB180" s="28"/>
    </row>
    <row r="181" spans="28:28">
      <c r="AB181" s="28"/>
    </row>
    <row r="182" spans="28:28">
      <c r="AB182" s="28"/>
    </row>
    <row r="183" spans="28:28">
      <c r="AB183" s="28"/>
    </row>
    <row r="184" spans="28:28">
      <c r="AB184" s="28"/>
    </row>
    <row r="185" spans="28:28">
      <c r="AB185" s="28"/>
    </row>
    <row r="186" spans="28:28">
      <c r="AB186" s="28"/>
    </row>
    <row r="187" spans="28:28">
      <c r="AB187" s="28"/>
    </row>
    <row r="188" spans="28:28">
      <c r="AB188" s="28"/>
    </row>
    <row r="189" spans="28:28">
      <c r="AB189" s="28"/>
    </row>
    <row r="190" spans="28:28">
      <c r="AB190" s="28"/>
    </row>
    <row r="191" spans="28:28">
      <c r="AB191" s="28"/>
    </row>
    <row r="192" spans="28:28">
      <c r="AB192" s="28"/>
    </row>
    <row r="193" spans="28:28">
      <c r="AB193" s="28"/>
    </row>
    <row r="194" spans="28:28">
      <c r="AB194" s="28"/>
    </row>
    <row r="195" spans="28:28">
      <c r="AB195" s="28"/>
    </row>
    <row r="196" spans="28:28">
      <c r="AB196" s="28"/>
    </row>
    <row r="197" spans="28:28">
      <c r="AB197" s="28"/>
    </row>
    <row r="198" spans="28:28">
      <c r="AB198" s="28"/>
    </row>
    <row r="199" spans="28:28">
      <c r="AB199" s="28"/>
    </row>
    <row r="200" spans="28:28">
      <c r="AB200" s="28"/>
    </row>
    <row r="201" spans="28:28">
      <c r="AB201" s="28"/>
    </row>
    <row r="202" spans="28:28">
      <c r="AB202" s="28"/>
    </row>
    <row r="203" spans="28:28">
      <c r="AB203" s="28"/>
    </row>
    <row r="204" spans="28:28">
      <c r="AB204" s="28"/>
    </row>
    <row r="205" spans="28:28">
      <c r="AB205" s="28"/>
    </row>
    <row r="206" spans="28:28">
      <c r="AB206" s="28"/>
    </row>
    <row r="207" spans="28:28">
      <c r="AB207" s="28"/>
    </row>
    <row r="208" spans="28:28">
      <c r="AB208" s="28"/>
    </row>
    <row r="209" spans="28:28">
      <c r="AB209" s="28"/>
    </row>
    <row r="210" spans="28:28">
      <c r="AB210" s="28"/>
    </row>
    <row r="211" spans="28:28">
      <c r="AB211" s="28"/>
    </row>
    <row r="212" spans="28:28">
      <c r="AB212" s="28"/>
    </row>
    <row r="213" spans="28:28">
      <c r="AB213" s="28"/>
    </row>
    <row r="214" spans="28:28">
      <c r="AB214" s="28"/>
    </row>
    <row r="215" spans="28:28">
      <c r="AB215" s="28"/>
    </row>
    <row r="216" spans="28:28">
      <c r="AB216" s="28"/>
    </row>
    <row r="217" spans="28:28">
      <c r="AB217" s="28"/>
    </row>
    <row r="218" spans="28:28">
      <c r="AB218" s="28"/>
    </row>
    <row r="219" spans="28:28">
      <c r="AB219" s="28"/>
    </row>
    <row r="220" spans="28:28">
      <c r="AB220" s="28"/>
    </row>
    <row r="221" spans="28:28">
      <c r="AB221" s="28"/>
    </row>
    <row r="222" spans="28:28">
      <c r="AB222" s="28"/>
    </row>
    <row r="223" spans="28:28">
      <c r="AB223" s="28"/>
    </row>
    <row r="224" spans="28:28">
      <c r="AB224" s="28"/>
    </row>
    <row r="225" spans="28:28">
      <c r="AB225" s="28"/>
    </row>
    <row r="226" spans="28:28">
      <c r="AB226" s="28"/>
    </row>
    <row r="227" spans="28:28">
      <c r="AB227" s="28"/>
    </row>
    <row r="228" spans="28:28">
      <c r="AB228" s="28"/>
    </row>
    <row r="229" spans="28:28">
      <c r="AB229" s="28"/>
    </row>
    <row r="230" spans="28:28">
      <c r="AB230" s="28"/>
    </row>
    <row r="231" spans="28:28">
      <c r="AB231" s="28"/>
    </row>
    <row r="232" spans="28:28">
      <c r="AB232" s="28"/>
    </row>
    <row r="233" spans="28:28">
      <c r="AB233" s="28"/>
    </row>
    <row r="234" spans="28:28">
      <c r="AB234" s="28"/>
    </row>
    <row r="235" spans="28:28">
      <c r="AB235" s="28"/>
    </row>
    <row r="236" spans="28:28">
      <c r="AB236" s="28"/>
    </row>
    <row r="237" spans="28:28">
      <c r="AB237" s="28"/>
    </row>
    <row r="238" spans="28:28">
      <c r="AB238" s="28"/>
    </row>
    <row r="239" spans="28:28">
      <c r="AB239" s="28"/>
    </row>
    <row r="240" spans="28:28">
      <c r="AB240" s="28"/>
    </row>
    <row r="241" spans="28:28">
      <c r="AB241" s="28"/>
    </row>
    <row r="242" spans="28:28">
      <c r="AB242" s="28"/>
    </row>
    <row r="243" spans="28:28">
      <c r="AB243" s="28"/>
    </row>
    <row r="244" spans="28:28">
      <c r="AB244" s="28"/>
    </row>
    <row r="245" spans="28:28">
      <c r="AB245" s="28"/>
    </row>
    <row r="246" spans="28:28">
      <c r="AB246" s="28"/>
    </row>
    <row r="247" spans="28:28">
      <c r="AB247" s="28"/>
    </row>
    <row r="248" spans="28:28">
      <c r="AB248" s="28"/>
    </row>
    <row r="249" spans="28:28">
      <c r="AB249" s="28"/>
    </row>
    <row r="250" spans="28:28">
      <c r="AB250" s="28"/>
    </row>
    <row r="251" spans="28:28">
      <c r="AB251" s="28"/>
    </row>
    <row r="252" spans="28:28">
      <c r="AB252" s="28"/>
    </row>
    <row r="253" spans="28:28">
      <c r="AB253" s="28"/>
    </row>
    <row r="254" spans="28:28">
      <c r="AB254" s="28"/>
    </row>
    <row r="255" spans="28:28">
      <c r="AB255" s="28"/>
    </row>
    <row r="256" spans="28:28">
      <c r="AB256" s="28"/>
    </row>
    <row r="257" spans="28:28">
      <c r="AB257" s="28"/>
    </row>
    <row r="258" spans="28:28">
      <c r="AB258" s="28"/>
    </row>
    <row r="259" spans="28:28">
      <c r="AB259" s="28"/>
    </row>
    <row r="260" spans="28:28">
      <c r="AB260" s="28"/>
    </row>
    <row r="261" spans="28:28">
      <c r="AB261" s="28"/>
    </row>
    <row r="262" spans="28:28">
      <c r="AB262" s="28"/>
    </row>
    <row r="263" spans="28:28">
      <c r="AB263" s="28"/>
    </row>
    <row r="264" spans="28:28">
      <c r="AB264" s="28"/>
    </row>
    <row r="265" spans="28:28">
      <c r="AB265" s="28"/>
    </row>
    <row r="266" spans="28:28">
      <c r="AB266" s="28"/>
    </row>
    <row r="267" spans="28:28">
      <c r="AB267" s="28"/>
    </row>
    <row r="268" spans="28:28">
      <c r="AB268" s="28"/>
    </row>
    <row r="269" spans="28:28">
      <c r="AB269" s="28"/>
    </row>
    <row r="270" spans="28:28">
      <c r="AB270" s="28"/>
    </row>
    <row r="271" spans="28:28">
      <c r="AB271" s="28"/>
    </row>
    <row r="272" spans="28:28">
      <c r="AB272" s="28"/>
    </row>
    <row r="273" spans="28:28">
      <c r="AB273" s="28"/>
    </row>
    <row r="274" spans="28:28">
      <c r="AB274" s="28"/>
    </row>
    <row r="275" spans="28:28">
      <c r="AB275" s="28"/>
    </row>
    <row r="276" spans="28:28">
      <c r="AB276" s="28"/>
    </row>
    <row r="277" spans="28:28">
      <c r="AB277" s="28"/>
    </row>
    <row r="278" spans="28:28">
      <c r="AB278" s="28"/>
    </row>
    <row r="279" spans="28:28">
      <c r="AB279" s="28"/>
    </row>
    <row r="280" spans="28:28">
      <c r="AB280" s="28"/>
    </row>
    <row r="281" spans="28:28">
      <c r="AB281" s="28"/>
    </row>
    <row r="282" spans="28:28">
      <c r="AB282" s="28"/>
    </row>
    <row r="283" spans="28:28">
      <c r="AB283" s="28"/>
    </row>
    <row r="284" spans="28:28">
      <c r="AB284" s="28"/>
    </row>
    <row r="285" spans="28:28">
      <c r="AB285" s="28"/>
    </row>
    <row r="286" spans="28:28">
      <c r="AB286" s="28"/>
    </row>
    <row r="287" spans="28:28">
      <c r="AB287" s="28"/>
    </row>
    <row r="288" spans="28:28">
      <c r="AB288" s="28"/>
    </row>
    <row r="289" spans="28:28">
      <c r="AB289" s="28"/>
    </row>
    <row r="290" spans="28:28">
      <c r="AB290" s="28"/>
    </row>
    <row r="291" spans="28:28">
      <c r="AB291" s="28"/>
    </row>
    <row r="292" spans="28:28">
      <c r="AB292" s="28"/>
    </row>
    <row r="293" spans="28:28">
      <c r="AB293" s="28"/>
    </row>
    <row r="294" spans="28:28">
      <c r="AB294" s="28"/>
    </row>
    <row r="295" spans="28:28">
      <c r="AB295" s="28"/>
    </row>
    <row r="296" spans="28:28">
      <c r="AB296" s="28"/>
    </row>
    <row r="297" spans="28:28">
      <c r="AB297" s="28"/>
    </row>
    <row r="298" spans="28:28">
      <c r="AB298" s="28"/>
    </row>
    <row r="299" spans="28:28">
      <c r="AB299" s="28"/>
    </row>
    <row r="300" spans="28:28">
      <c r="AB300" s="28"/>
    </row>
    <row r="301" spans="28:28">
      <c r="AB301" s="28"/>
    </row>
    <row r="302" spans="28:28">
      <c r="AB302" s="28"/>
    </row>
    <row r="303" spans="28:28">
      <c r="AB303" s="28"/>
    </row>
    <row r="304" spans="28:28">
      <c r="AB304" s="28"/>
    </row>
    <row r="305" spans="28:28">
      <c r="AB305" s="28"/>
    </row>
    <row r="306" spans="28:28">
      <c r="AB306" s="28"/>
    </row>
    <row r="307" spans="28:28">
      <c r="AB307" s="28"/>
    </row>
    <row r="308" spans="28:28">
      <c r="AB308" s="28"/>
    </row>
    <row r="309" spans="28:28">
      <c r="AB309" s="28"/>
    </row>
    <row r="310" spans="28:28">
      <c r="AB310" s="28"/>
    </row>
    <row r="311" spans="28:28">
      <c r="AB311" s="28"/>
    </row>
    <row r="312" spans="28:28">
      <c r="AB312" s="28"/>
    </row>
    <row r="313" spans="28:28">
      <c r="AB313" s="28"/>
    </row>
    <row r="314" spans="28:28">
      <c r="AB314" s="28"/>
    </row>
    <row r="315" spans="28:28">
      <c r="AB315" s="28"/>
    </row>
    <row r="316" spans="28:28">
      <c r="AB316" s="28"/>
    </row>
    <row r="317" spans="28:28">
      <c r="AB317" s="28"/>
    </row>
    <row r="318" spans="28:28">
      <c r="AB318" s="28"/>
    </row>
    <row r="319" spans="28:28">
      <c r="AB319" s="28"/>
    </row>
    <row r="320" spans="28:28">
      <c r="AB320" s="28"/>
    </row>
    <row r="321" spans="28:28">
      <c r="AB321" s="28"/>
    </row>
    <row r="322" spans="28:28">
      <c r="AB322" s="28"/>
    </row>
    <row r="323" spans="28:28">
      <c r="AB323" s="28"/>
    </row>
    <row r="324" spans="28:28">
      <c r="AB324" s="28"/>
    </row>
    <row r="325" spans="28:28">
      <c r="AB325" s="28"/>
    </row>
    <row r="326" spans="28:28">
      <c r="AB326" s="28"/>
    </row>
    <row r="327" spans="28:28">
      <c r="AB327" s="28"/>
    </row>
    <row r="328" spans="28:28">
      <c r="AB328" s="28"/>
    </row>
    <row r="329" spans="28:28">
      <c r="AB329" s="28"/>
    </row>
    <row r="330" spans="28:28">
      <c r="AB330" s="28"/>
    </row>
    <row r="331" spans="28:28">
      <c r="AB331" s="28"/>
    </row>
    <row r="332" spans="28:28">
      <c r="AB332" s="28"/>
    </row>
    <row r="333" spans="28:28">
      <c r="AB333" s="28"/>
    </row>
    <row r="334" spans="28:28">
      <c r="AB334" s="28"/>
    </row>
    <row r="335" spans="28:28">
      <c r="AB335" s="28"/>
    </row>
    <row r="336" spans="28:28">
      <c r="AB336" s="28"/>
    </row>
    <row r="337" spans="28:28">
      <c r="AB337" s="28"/>
    </row>
    <row r="338" spans="28:28">
      <c r="AB338" s="28"/>
    </row>
    <row r="339" spans="28:28">
      <c r="AB339" s="28"/>
    </row>
    <row r="340" spans="28:28">
      <c r="AB340" s="28"/>
    </row>
    <row r="341" spans="28:28">
      <c r="AB341" s="28"/>
    </row>
    <row r="342" spans="28:28">
      <c r="AB342" s="28"/>
    </row>
    <row r="343" spans="28:28">
      <c r="AB343" s="28"/>
    </row>
    <row r="344" spans="28:28">
      <c r="AB344" s="28"/>
    </row>
    <row r="345" spans="28:28">
      <c r="AB345" s="28"/>
    </row>
    <row r="346" spans="28:28">
      <c r="AB346" s="28"/>
    </row>
    <row r="347" spans="28:28">
      <c r="AB347" s="28"/>
    </row>
    <row r="348" spans="28:28">
      <c r="AB348" s="28"/>
    </row>
    <row r="349" spans="28:28">
      <c r="AB349" s="28"/>
    </row>
    <row r="350" spans="28:28">
      <c r="AB350" s="28"/>
    </row>
    <row r="351" spans="28:28">
      <c r="AB351" s="28"/>
    </row>
    <row r="352" spans="28:28">
      <c r="AB352" s="28"/>
    </row>
    <row r="353" spans="28:28">
      <c r="AB353" s="28"/>
    </row>
    <row r="354" spans="28:28">
      <c r="AB354" s="28"/>
    </row>
    <row r="355" spans="28:28">
      <c r="AB355" s="28"/>
    </row>
    <row r="356" spans="28:28">
      <c r="AB356" s="28"/>
    </row>
    <row r="357" spans="28:28">
      <c r="AB357" s="28"/>
    </row>
    <row r="358" spans="28:28">
      <c r="AB358" s="28"/>
    </row>
    <row r="359" spans="28:28">
      <c r="AB359" s="28"/>
    </row>
    <row r="360" spans="28:28">
      <c r="AB360" s="28"/>
    </row>
    <row r="361" spans="28:28">
      <c r="AB361" s="28"/>
    </row>
    <row r="362" spans="28:28">
      <c r="AB362" s="28"/>
    </row>
    <row r="363" spans="28:28">
      <c r="AB363" s="28"/>
    </row>
    <row r="364" spans="28:28">
      <c r="AB364" s="28"/>
    </row>
    <row r="365" spans="28:28">
      <c r="AB365" s="28"/>
    </row>
    <row r="366" spans="28:28">
      <c r="AB366" s="28"/>
    </row>
    <row r="367" spans="28:28">
      <c r="AB367" s="28"/>
    </row>
    <row r="368" spans="28:28">
      <c r="AB368" s="28"/>
    </row>
    <row r="369" spans="28:28">
      <c r="AB369" s="28"/>
    </row>
    <row r="370" spans="28:28">
      <c r="AB370" s="28"/>
    </row>
    <row r="371" spans="28:28">
      <c r="AB371" s="28"/>
    </row>
    <row r="372" spans="28:28">
      <c r="AB372" s="28"/>
    </row>
    <row r="373" spans="28:28">
      <c r="AB373" s="28"/>
    </row>
    <row r="374" spans="28:28">
      <c r="AB374" s="28"/>
    </row>
    <row r="375" spans="28:28">
      <c r="AB375" s="28"/>
    </row>
    <row r="376" spans="28:28">
      <c r="AB376" s="28"/>
    </row>
    <row r="377" spans="28:28">
      <c r="AB377" s="28"/>
    </row>
    <row r="378" spans="28:28">
      <c r="AB378" s="28"/>
    </row>
    <row r="379" spans="28:28">
      <c r="AB379" s="28"/>
    </row>
    <row r="380" spans="28:28">
      <c r="AB380" s="28"/>
    </row>
    <row r="381" spans="28:28">
      <c r="AB381" s="28"/>
    </row>
    <row r="382" spans="28:28">
      <c r="AB382" s="28"/>
    </row>
    <row r="383" spans="28:28">
      <c r="AB383" s="28"/>
    </row>
    <row r="384" spans="28:28">
      <c r="AB384" s="28"/>
    </row>
    <row r="385" spans="28:28">
      <c r="AB385" s="28"/>
    </row>
    <row r="386" spans="28:28">
      <c r="AB386" s="28"/>
    </row>
    <row r="387" spans="28:28">
      <c r="AB387" s="28"/>
    </row>
    <row r="388" spans="28:28">
      <c r="AB388" s="28"/>
    </row>
    <row r="389" spans="28:28">
      <c r="AB389" s="28"/>
    </row>
    <row r="390" spans="28:28">
      <c r="AB390" s="28"/>
    </row>
    <row r="391" spans="28:28">
      <c r="AB391" s="28"/>
    </row>
    <row r="392" spans="28:28">
      <c r="AB392" s="28"/>
    </row>
    <row r="393" spans="28:28">
      <c r="AB393" s="28"/>
    </row>
    <row r="394" spans="28:28">
      <c r="AB394" s="28"/>
    </row>
    <row r="395" spans="28:28">
      <c r="AB395" s="28"/>
    </row>
    <row r="396" spans="28:28">
      <c r="AB396" s="28"/>
    </row>
    <row r="397" spans="28:28">
      <c r="AB397" s="28"/>
    </row>
    <row r="398" spans="28:28">
      <c r="AB398" s="28"/>
    </row>
    <row r="399" spans="28:28">
      <c r="AB399" s="28"/>
    </row>
    <row r="400" spans="28:28">
      <c r="AB400" s="28"/>
    </row>
    <row r="401" spans="28:28">
      <c r="AB401" s="28"/>
    </row>
    <row r="402" spans="28:28">
      <c r="AB402" s="28"/>
    </row>
    <row r="403" spans="28:28">
      <c r="AB403" s="28"/>
    </row>
    <row r="404" spans="28:28">
      <c r="AB404" s="28"/>
    </row>
    <row r="405" spans="28:28">
      <c r="AB405" s="28"/>
    </row>
    <row r="406" spans="28:28">
      <c r="AB406" s="28"/>
    </row>
    <row r="407" spans="28:28">
      <c r="AB407" s="28"/>
    </row>
    <row r="408" spans="28:28">
      <c r="AB408" s="28"/>
    </row>
    <row r="409" spans="28:28">
      <c r="AB409" s="28"/>
    </row>
    <row r="410" spans="28:28">
      <c r="AB410" s="28"/>
    </row>
    <row r="411" spans="28:28">
      <c r="AB411" s="28"/>
    </row>
    <row r="412" spans="28:28">
      <c r="AB412" s="28"/>
    </row>
    <row r="413" spans="28:28">
      <c r="AB413" s="28"/>
    </row>
    <row r="414" spans="28:28">
      <c r="AB414" s="28"/>
    </row>
    <row r="415" spans="28:28">
      <c r="AB415" s="28"/>
    </row>
    <row r="416" spans="28:28">
      <c r="AB416" s="28"/>
    </row>
    <row r="417" spans="28:28">
      <c r="AB417" s="28"/>
    </row>
    <row r="418" spans="28:28">
      <c r="AB418" s="28"/>
    </row>
    <row r="419" spans="28:28">
      <c r="AB419" s="28"/>
    </row>
    <row r="420" spans="28:28">
      <c r="AB420" s="28"/>
    </row>
    <row r="421" spans="28:28">
      <c r="AB421" s="28"/>
    </row>
    <row r="422" spans="28:28">
      <c r="AB422" s="28"/>
    </row>
    <row r="423" spans="28:28">
      <c r="AB423" s="28"/>
    </row>
    <row r="424" spans="28:28">
      <c r="AB424" s="28"/>
    </row>
    <row r="425" spans="28:28">
      <c r="AB425" s="28"/>
    </row>
    <row r="426" spans="28:28">
      <c r="AB426" s="28"/>
    </row>
    <row r="427" spans="28:28">
      <c r="AB427" s="28"/>
    </row>
    <row r="428" spans="28:28">
      <c r="AB428" s="28"/>
    </row>
    <row r="429" spans="28:28">
      <c r="AB429" s="28"/>
    </row>
    <row r="430" spans="28:28">
      <c r="AB430" s="28"/>
    </row>
    <row r="431" spans="28:28">
      <c r="AB431" s="28"/>
    </row>
    <row r="432" spans="28:28">
      <c r="AB432" s="28"/>
    </row>
    <row r="433" spans="28:28">
      <c r="AB433" s="28"/>
    </row>
    <row r="434" spans="28:28">
      <c r="AB434" s="28"/>
    </row>
    <row r="435" spans="28:28">
      <c r="AB435" s="28"/>
    </row>
    <row r="436" spans="28:28">
      <c r="AB436" s="28"/>
    </row>
    <row r="437" spans="28:28">
      <c r="AB437" s="28"/>
    </row>
    <row r="438" spans="28:28">
      <c r="AB438" s="28"/>
    </row>
    <row r="439" spans="28:28">
      <c r="AB439" s="28"/>
    </row>
    <row r="440" spans="28:28">
      <c r="AB440" s="28"/>
    </row>
    <row r="441" spans="28:28">
      <c r="AB441" s="28"/>
    </row>
    <row r="442" spans="28:28">
      <c r="AB442" s="28"/>
    </row>
    <row r="443" spans="28:28">
      <c r="AB443" s="28"/>
    </row>
    <row r="444" spans="28:28">
      <c r="AB444" s="28"/>
    </row>
    <row r="445" spans="28:28">
      <c r="AB445" s="28"/>
    </row>
    <row r="446" spans="28:28">
      <c r="AB446" s="28"/>
    </row>
    <row r="447" spans="28:28">
      <c r="AB447" s="28"/>
    </row>
    <row r="448" spans="28:28">
      <c r="AB448" s="28"/>
    </row>
    <row r="449" spans="28:28">
      <c r="AB449" s="28"/>
    </row>
    <row r="450" spans="28:28">
      <c r="AB450" s="28"/>
    </row>
    <row r="451" spans="28:28">
      <c r="AB451" s="28"/>
    </row>
    <row r="452" spans="28:28">
      <c r="AB452" s="28"/>
    </row>
    <row r="453" spans="28:28">
      <c r="AB453" s="28"/>
    </row>
    <row r="454" spans="28:28">
      <c r="AB454" s="28"/>
    </row>
    <row r="455" spans="28:28">
      <c r="AB455" s="28"/>
    </row>
    <row r="456" spans="28:28">
      <c r="AB456" s="28"/>
    </row>
    <row r="457" spans="28:28">
      <c r="AB457" s="28"/>
    </row>
    <row r="458" spans="28:28">
      <c r="AB458" s="28"/>
    </row>
    <row r="459" spans="28:28">
      <c r="AB459" s="28"/>
    </row>
    <row r="460" spans="28:28">
      <c r="AB460" s="28"/>
    </row>
    <row r="461" spans="28:28">
      <c r="AB461" s="28"/>
    </row>
    <row r="462" spans="28:28">
      <c r="AB462" s="28"/>
    </row>
    <row r="463" spans="28:28">
      <c r="AB463" s="28"/>
    </row>
    <row r="464" spans="28:28">
      <c r="AB464" s="28"/>
    </row>
    <row r="465" spans="28:28">
      <c r="AB465" s="28"/>
    </row>
    <row r="466" spans="28:28">
      <c r="AB466" s="28"/>
    </row>
    <row r="467" spans="28:28">
      <c r="AB467" s="28"/>
    </row>
    <row r="468" spans="28:28">
      <c r="AB468" s="28"/>
    </row>
    <row r="469" spans="28:28">
      <c r="AB469" s="28"/>
    </row>
    <row r="470" spans="28:28">
      <c r="AB470" s="28"/>
    </row>
    <row r="471" spans="28:28">
      <c r="AB471" s="28"/>
    </row>
    <row r="472" spans="28:28">
      <c r="AB472" s="28"/>
    </row>
    <row r="473" spans="28:28">
      <c r="AB473" s="28"/>
    </row>
    <row r="474" spans="28:28">
      <c r="AB474" s="28"/>
    </row>
    <row r="475" spans="28:28">
      <c r="AB475" s="28"/>
    </row>
    <row r="476" spans="28:28">
      <c r="AB476" s="28"/>
    </row>
    <row r="477" spans="28:28">
      <c r="AB477" s="28"/>
    </row>
    <row r="478" spans="28:28">
      <c r="AB478" s="28"/>
    </row>
    <row r="479" spans="28:28">
      <c r="AB479" s="28"/>
    </row>
    <row r="480" spans="28:28">
      <c r="AB480" s="28"/>
    </row>
    <row r="481" spans="28:28">
      <c r="AB481" s="28"/>
    </row>
    <row r="482" spans="28:28">
      <c r="AB482" s="28"/>
    </row>
    <row r="483" spans="28:28">
      <c r="AB483" s="28"/>
    </row>
    <row r="484" spans="28:28">
      <c r="AB484" s="28"/>
    </row>
    <row r="485" spans="28:28">
      <c r="AB485" s="28"/>
    </row>
    <row r="486" spans="28:28">
      <c r="AB486" s="28"/>
    </row>
    <row r="487" spans="28:28">
      <c r="AB487" s="28"/>
    </row>
    <row r="488" spans="28:28">
      <c r="AB488" s="28"/>
    </row>
    <row r="489" spans="28:28">
      <c r="AB489" s="28"/>
    </row>
    <row r="490" spans="28:28">
      <c r="AB490" s="28"/>
    </row>
    <row r="491" spans="28:28">
      <c r="AB491" s="28"/>
    </row>
    <row r="492" spans="28:28">
      <c r="AB492" s="28"/>
    </row>
    <row r="493" spans="28:28">
      <c r="AB493" s="28"/>
    </row>
    <row r="494" spans="28:28">
      <c r="AB494" s="28"/>
    </row>
    <row r="495" spans="28:28">
      <c r="AB495" s="28"/>
    </row>
    <row r="496" spans="28:28">
      <c r="AB496" s="28"/>
    </row>
    <row r="497" spans="28:28">
      <c r="AB497" s="28"/>
    </row>
    <row r="498" spans="28:28">
      <c r="AB498" s="28"/>
    </row>
    <row r="499" spans="28:28">
      <c r="AB499" s="28"/>
    </row>
    <row r="500" spans="28:28">
      <c r="AB500" s="28"/>
    </row>
    <row r="501" spans="28:28">
      <c r="AB501" s="28"/>
    </row>
    <row r="502" spans="28:28">
      <c r="AB502" s="28"/>
    </row>
    <row r="503" spans="28:28">
      <c r="AB503" s="28"/>
    </row>
    <row r="504" spans="28:28">
      <c r="AB504" s="28"/>
    </row>
    <row r="505" spans="28:28">
      <c r="AB505" s="28"/>
    </row>
    <row r="506" spans="28:28">
      <c r="AB506" s="28"/>
    </row>
    <row r="507" spans="28:28">
      <c r="AB507" s="28"/>
    </row>
    <row r="508" spans="28:28">
      <c r="AB508" s="28"/>
    </row>
    <row r="509" spans="28:28">
      <c r="AB509" s="28"/>
    </row>
    <row r="510" spans="28:28">
      <c r="AB510" s="28"/>
    </row>
    <row r="511" spans="28:28">
      <c r="AB511" s="28"/>
    </row>
    <row r="512" spans="28:28">
      <c r="AB512" s="28"/>
    </row>
    <row r="513" spans="28:28">
      <c r="AB513" s="28"/>
    </row>
    <row r="514" spans="28:28">
      <c r="AB514" s="28"/>
    </row>
    <row r="515" spans="28:28">
      <c r="AB515" s="28"/>
    </row>
    <row r="516" spans="28:28">
      <c r="AB516" s="28"/>
    </row>
    <row r="517" spans="28:28">
      <c r="AB517" s="28"/>
    </row>
    <row r="518" spans="28:28">
      <c r="AB518" s="28"/>
    </row>
    <row r="519" spans="28:28">
      <c r="AB519" s="28"/>
    </row>
    <row r="520" spans="28:28">
      <c r="AB520" s="28"/>
    </row>
    <row r="521" spans="28:28">
      <c r="AB521" s="28"/>
    </row>
    <row r="522" spans="28:28">
      <c r="AB522" s="28"/>
    </row>
    <row r="523" spans="28:28">
      <c r="AB523" s="28"/>
    </row>
    <row r="524" spans="28:28">
      <c r="AB524" s="28"/>
    </row>
    <row r="525" spans="28:28">
      <c r="AB525" s="28"/>
    </row>
    <row r="526" spans="28:28">
      <c r="AB526" s="28"/>
    </row>
    <row r="527" spans="28:28">
      <c r="AB527" s="28"/>
    </row>
    <row r="528" spans="28:28">
      <c r="AB528" s="28"/>
    </row>
    <row r="529" spans="28:28">
      <c r="AB529" s="28"/>
    </row>
    <row r="530" spans="28:28">
      <c r="AB530" s="28"/>
    </row>
    <row r="531" spans="28:28">
      <c r="AB531" s="28"/>
    </row>
    <row r="532" spans="28:28">
      <c r="AB532" s="28"/>
    </row>
    <row r="533" spans="28:28">
      <c r="AB533" s="28"/>
    </row>
    <row r="534" spans="28:28">
      <c r="AB534" s="28"/>
    </row>
    <row r="535" spans="28:28">
      <c r="AB535" s="28"/>
    </row>
    <row r="536" spans="28:28">
      <c r="AB536" s="28"/>
    </row>
    <row r="537" spans="28:28">
      <c r="AB537" s="28"/>
    </row>
    <row r="538" spans="28:28">
      <c r="AB538" s="28"/>
    </row>
    <row r="539" spans="28:28">
      <c r="AB539" s="28"/>
    </row>
    <row r="540" spans="28:28">
      <c r="AB540" s="28"/>
    </row>
    <row r="541" spans="28:28">
      <c r="AB541" s="28"/>
    </row>
    <row r="542" spans="28:28">
      <c r="AB542" s="28"/>
    </row>
    <row r="543" spans="28:28">
      <c r="AB543" s="28"/>
    </row>
    <row r="544" spans="28:28">
      <c r="AB544" s="28"/>
    </row>
    <row r="545" spans="28:28">
      <c r="AB545" s="28"/>
    </row>
    <row r="546" spans="28:28">
      <c r="AB546" s="28"/>
    </row>
    <row r="547" spans="28:28">
      <c r="AB547" s="28"/>
    </row>
    <row r="548" spans="28:28">
      <c r="AB548" s="28"/>
    </row>
    <row r="549" spans="28:28">
      <c r="AB549" s="28"/>
    </row>
    <row r="550" spans="28:28">
      <c r="AB550" s="28"/>
    </row>
    <row r="551" spans="28:28">
      <c r="AB551" s="28"/>
    </row>
    <row r="552" spans="28:28">
      <c r="AB552" s="28"/>
    </row>
    <row r="553" spans="28:28">
      <c r="AB553" s="28"/>
    </row>
    <row r="554" spans="28:28">
      <c r="AB554" s="28"/>
    </row>
    <row r="555" spans="28:28">
      <c r="AB555" s="28"/>
    </row>
    <row r="556" spans="28:28">
      <c r="AB556" s="28"/>
    </row>
    <row r="557" spans="28:28">
      <c r="AB557" s="28"/>
    </row>
    <row r="558" spans="28:28">
      <c r="AB558" s="28"/>
    </row>
    <row r="559" spans="28:28">
      <c r="AB559" s="28"/>
    </row>
    <row r="560" spans="28:28">
      <c r="AB560" s="28"/>
    </row>
    <row r="561" spans="28:28">
      <c r="AB561" s="28"/>
    </row>
    <row r="562" spans="28:28">
      <c r="AB562" s="28"/>
    </row>
    <row r="563" spans="28:28">
      <c r="AB563" s="28"/>
    </row>
    <row r="564" spans="28:28">
      <c r="AB564" s="28"/>
    </row>
    <row r="565" spans="28:28">
      <c r="AB565" s="28"/>
    </row>
    <row r="566" spans="28:28">
      <c r="AB566" s="28"/>
    </row>
    <row r="567" spans="28:28">
      <c r="AB567" s="28"/>
    </row>
    <row r="568" spans="28:28">
      <c r="AB568" s="28"/>
    </row>
    <row r="569" spans="28:28">
      <c r="AB569" s="28"/>
    </row>
    <row r="570" spans="28:28">
      <c r="AB570" s="28"/>
    </row>
    <row r="571" spans="28:28">
      <c r="AB571" s="28"/>
    </row>
    <row r="572" spans="28:28">
      <c r="AB572" s="28"/>
    </row>
    <row r="573" spans="28:28">
      <c r="AB573" s="28"/>
    </row>
    <row r="574" spans="28:28">
      <c r="AB574" s="28"/>
    </row>
    <row r="575" spans="28:28">
      <c r="AB575" s="28"/>
    </row>
    <row r="576" spans="28:28">
      <c r="AB576" s="28"/>
    </row>
    <row r="577" spans="28:28">
      <c r="AB577" s="28"/>
    </row>
    <row r="578" spans="28:28">
      <c r="AB578" s="28"/>
    </row>
    <row r="579" spans="28:28">
      <c r="AB579" s="28"/>
    </row>
    <row r="580" spans="28:28">
      <c r="AB580" s="28"/>
    </row>
    <row r="581" spans="28:28">
      <c r="AB581" s="28"/>
    </row>
    <row r="582" spans="28:28">
      <c r="AB582" s="28"/>
    </row>
    <row r="583" spans="28:28">
      <c r="AB583" s="28"/>
    </row>
    <row r="584" spans="28:28">
      <c r="AB584" s="28"/>
    </row>
    <row r="585" spans="28:28">
      <c r="AB585" s="28"/>
    </row>
    <row r="586" spans="28:28">
      <c r="AB586" s="28"/>
    </row>
    <row r="587" spans="28:28">
      <c r="AB587" s="28"/>
    </row>
    <row r="588" spans="28:28">
      <c r="AB588" s="28"/>
    </row>
    <row r="589" spans="28:28">
      <c r="AB589" s="28"/>
    </row>
    <row r="590" spans="28:28">
      <c r="AB590" s="28"/>
    </row>
    <row r="591" spans="28:28">
      <c r="AB591" s="28"/>
    </row>
    <row r="592" spans="28:28">
      <c r="AB592" s="28"/>
    </row>
    <row r="593" spans="28:28">
      <c r="AB593" s="28"/>
    </row>
    <row r="594" spans="28:28">
      <c r="AB594" s="28"/>
    </row>
    <row r="595" spans="28:28">
      <c r="AB595" s="28"/>
    </row>
    <row r="596" spans="28:28">
      <c r="AB596" s="28"/>
    </row>
    <row r="597" spans="28:28">
      <c r="AB597" s="28"/>
    </row>
    <row r="598" spans="28:28">
      <c r="AB598" s="28"/>
    </row>
    <row r="599" spans="28:28">
      <c r="AB599" s="28"/>
    </row>
    <row r="600" spans="28:28">
      <c r="AB600" s="28"/>
    </row>
    <row r="601" spans="28:28">
      <c r="AB601" s="28"/>
    </row>
    <row r="602" spans="28:28">
      <c r="AB602" s="28"/>
    </row>
    <row r="603" spans="28:28">
      <c r="AB603" s="28"/>
    </row>
    <row r="604" spans="28:28">
      <c r="AB604" s="28"/>
    </row>
    <row r="605" spans="28:28">
      <c r="AB605" s="28"/>
    </row>
    <row r="606" spans="28:28">
      <c r="AB606" s="28"/>
    </row>
    <row r="607" spans="28:28">
      <c r="AB607" s="28"/>
    </row>
    <row r="608" spans="28:28">
      <c r="AB608" s="28"/>
    </row>
    <row r="609" spans="28:28">
      <c r="AB609" s="28"/>
    </row>
    <row r="610" spans="28:28">
      <c r="AB610" s="28"/>
    </row>
    <row r="611" spans="28:28">
      <c r="AB611" s="28"/>
    </row>
    <row r="612" spans="28:28">
      <c r="AB612" s="28"/>
    </row>
    <row r="613" spans="28:28">
      <c r="AB613" s="28"/>
    </row>
    <row r="614" spans="28:28">
      <c r="AB614" s="28"/>
    </row>
    <row r="615" spans="28:28">
      <c r="AB615" s="28"/>
    </row>
    <row r="616" spans="28:28">
      <c r="AB616" s="28"/>
    </row>
    <row r="617" spans="28:28">
      <c r="AB617" s="28"/>
    </row>
    <row r="618" spans="28:28">
      <c r="AB618" s="28"/>
    </row>
    <row r="619" spans="28:28">
      <c r="AB619" s="28"/>
    </row>
    <row r="620" spans="28:28">
      <c r="AB620" s="28"/>
    </row>
    <row r="621" spans="28:28">
      <c r="AB621" s="28"/>
    </row>
    <row r="622" spans="28:28">
      <c r="AB622" s="28"/>
    </row>
    <row r="623" spans="28:28">
      <c r="AB623" s="28"/>
    </row>
    <row r="624" spans="28:28">
      <c r="AB624" s="28"/>
    </row>
    <row r="625" spans="28:28">
      <c r="AB625" s="28"/>
    </row>
    <row r="626" spans="28:28">
      <c r="AB626" s="28"/>
    </row>
    <row r="627" spans="28:28">
      <c r="AB627" s="28"/>
    </row>
    <row r="628" spans="28:28">
      <c r="AB628" s="28"/>
    </row>
    <row r="629" spans="28:28">
      <c r="AB629" s="28"/>
    </row>
    <row r="630" spans="28:28">
      <c r="AB630" s="28"/>
    </row>
    <row r="631" spans="28:28">
      <c r="AB631" s="28"/>
    </row>
    <row r="632" spans="28:28">
      <c r="AB632" s="28"/>
    </row>
    <row r="633" spans="28:28">
      <c r="AB633" s="28"/>
    </row>
    <row r="634" spans="28:28">
      <c r="AB634" s="28"/>
    </row>
    <row r="635" spans="28:28">
      <c r="AB635" s="28"/>
    </row>
    <row r="636" spans="28:28">
      <c r="AB636" s="28"/>
    </row>
    <row r="637" spans="28:28">
      <c r="AB637" s="28"/>
    </row>
    <row r="638" spans="28:28">
      <c r="AB638" s="28"/>
    </row>
    <row r="639" spans="28:28">
      <c r="AB639" s="28"/>
    </row>
    <row r="640" spans="28:28">
      <c r="AB640" s="28"/>
    </row>
    <row r="641" spans="28:28">
      <c r="AB641" s="28"/>
    </row>
    <row r="642" spans="28:28">
      <c r="AB642" s="28"/>
    </row>
    <row r="643" spans="28:28">
      <c r="AB643" s="28"/>
    </row>
    <row r="644" spans="28:28">
      <c r="AB644" s="28"/>
    </row>
    <row r="645" spans="28:28">
      <c r="AB645" s="28"/>
    </row>
    <row r="646" spans="28:28">
      <c r="AB646" s="28"/>
    </row>
    <row r="647" spans="28:28">
      <c r="AB647" s="28"/>
    </row>
    <row r="648" spans="28:28">
      <c r="AB648" s="28"/>
    </row>
    <row r="649" spans="28:28">
      <c r="AB649" s="28"/>
    </row>
    <row r="650" spans="28:28">
      <c r="AB650" s="28"/>
    </row>
    <row r="651" spans="28:28">
      <c r="AB651" s="28"/>
    </row>
    <row r="652" spans="28:28">
      <c r="AB652" s="28"/>
    </row>
    <row r="653" spans="28:28">
      <c r="AB653" s="28"/>
    </row>
    <row r="654" spans="28:28">
      <c r="AB654" s="28"/>
    </row>
    <row r="655" spans="28:28">
      <c r="AB655" s="28"/>
    </row>
    <row r="656" spans="28:28">
      <c r="AB656" s="28"/>
    </row>
    <row r="657" spans="28:28">
      <c r="AB657" s="28"/>
    </row>
    <row r="658" spans="28:28">
      <c r="AB658" s="28"/>
    </row>
    <row r="659" spans="28:28">
      <c r="AB659" s="28"/>
    </row>
    <row r="660" spans="28:28">
      <c r="AB660" s="28"/>
    </row>
    <row r="661" spans="28:28">
      <c r="AB661" s="28"/>
    </row>
    <row r="662" spans="28:28">
      <c r="AB662" s="28"/>
    </row>
    <row r="663" spans="28:28">
      <c r="AB663" s="28"/>
    </row>
    <row r="664" spans="28:28">
      <c r="AB664" s="28"/>
    </row>
    <row r="665" spans="28:28">
      <c r="AB665" s="28"/>
    </row>
    <row r="666" spans="28:28">
      <c r="AB666" s="28"/>
    </row>
    <row r="667" spans="28:28">
      <c r="AB667" s="28"/>
    </row>
    <row r="668" spans="28:28">
      <c r="AB668" s="28"/>
    </row>
    <row r="669" spans="28:28">
      <c r="AB669" s="28"/>
    </row>
    <row r="670" spans="28:28">
      <c r="AB670" s="28"/>
    </row>
    <row r="671" spans="28:28">
      <c r="AB671" s="28"/>
    </row>
    <row r="672" spans="28:28">
      <c r="AB672" s="28"/>
    </row>
    <row r="673" spans="28:28">
      <c r="AB673" s="28"/>
    </row>
    <row r="674" spans="28:28">
      <c r="AB674" s="28"/>
    </row>
    <row r="675" spans="28:28">
      <c r="AB675" s="28"/>
    </row>
    <row r="676" spans="28:28">
      <c r="AB676" s="28"/>
    </row>
    <row r="677" spans="28:28">
      <c r="AB677" s="28"/>
    </row>
    <row r="678" spans="28:28">
      <c r="AB678" s="28"/>
    </row>
    <row r="679" spans="28:28">
      <c r="AB679" s="28"/>
    </row>
    <row r="680" spans="28:28">
      <c r="AB680" s="28"/>
    </row>
    <row r="681" spans="28:28">
      <c r="AB681" s="28"/>
    </row>
    <row r="682" spans="28:28">
      <c r="AB682" s="28"/>
    </row>
    <row r="683" spans="28:28">
      <c r="AB683" s="28"/>
    </row>
    <row r="684" spans="28:28">
      <c r="AB684" s="28"/>
    </row>
    <row r="685" spans="28:28">
      <c r="AB685" s="28"/>
    </row>
    <row r="686" spans="28:28">
      <c r="AB686" s="28"/>
    </row>
    <row r="687" spans="28:28">
      <c r="AB687" s="28"/>
    </row>
    <row r="688" spans="28:28">
      <c r="AB688" s="28"/>
    </row>
    <row r="689" spans="28:28">
      <c r="AB689" s="28"/>
    </row>
    <row r="690" spans="28:28">
      <c r="AB690" s="28"/>
    </row>
    <row r="691" spans="28:28">
      <c r="AB691" s="28"/>
    </row>
    <row r="692" spans="28:28">
      <c r="AB692" s="28"/>
    </row>
    <row r="693" spans="28:28">
      <c r="AB693" s="28"/>
    </row>
    <row r="694" spans="28:28">
      <c r="AB694" s="28"/>
    </row>
    <row r="695" spans="28:28">
      <c r="AB695" s="28"/>
    </row>
    <row r="696" spans="28:28">
      <c r="AB696" s="28"/>
    </row>
    <row r="697" spans="28:28">
      <c r="AB697" s="28"/>
    </row>
    <row r="698" spans="28:28">
      <c r="AB698" s="28"/>
    </row>
    <row r="699" spans="28:28">
      <c r="AB699" s="28"/>
    </row>
    <row r="700" spans="28:28">
      <c r="AB700" s="28"/>
    </row>
    <row r="701" spans="28:28">
      <c r="AB701" s="28"/>
    </row>
    <row r="702" spans="28:28">
      <c r="AB702" s="28"/>
    </row>
    <row r="703" spans="28:28">
      <c r="AB703" s="28"/>
    </row>
    <row r="704" spans="28:28">
      <c r="AB704" s="28"/>
    </row>
    <row r="705" spans="28:28">
      <c r="AB705" s="28"/>
    </row>
    <row r="706" spans="28:28">
      <c r="AB706" s="28"/>
    </row>
    <row r="707" spans="28:28">
      <c r="AB707" s="28"/>
    </row>
    <row r="708" spans="28:28">
      <c r="AB708" s="28"/>
    </row>
    <row r="709" spans="28:28">
      <c r="AB709" s="28"/>
    </row>
    <row r="710" spans="28:28">
      <c r="AB710" s="28"/>
    </row>
    <row r="711" spans="28:28">
      <c r="AB711" s="28"/>
    </row>
    <row r="712" spans="28:28">
      <c r="AB712" s="28"/>
    </row>
    <row r="713" spans="28:28">
      <c r="AB713" s="28"/>
    </row>
    <row r="714" spans="28:28">
      <c r="AB714" s="28"/>
    </row>
    <row r="715" spans="28:28">
      <c r="AB715" s="28"/>
    </row>
    <row r="716" spans="28:28">
      <c r="AB716" s="28"/>
    </row>
    <row r="717" spans="28:28">
      <c r="AB717" s="28"/>
    </row>
    <row r="718" spans="28:28">
      <c r="AB718" s="28"/>
    </row>
    <row r="719" spans="28:28">
      <c r="AB719" s="28"/>
    </row>
    <row r="720" spans="28:28">
      <c r="AB720" s="28"/>
    </row>
    <row r="721" spans="28:28">
      <c r="AB721" s="28"/>
    </row>
    <row r="722" spans="28:28">
      <c r="AB722" s="28"/>
    </row>
    <row r="723" spans="28:28">
      <c r="AB723" s="28"/>
    </row>
    <row r="724" spans="28:28">
      <c r="AB724" s="28"/>
    </row>
    <row r="725" spans="28:28">
      <c r="AB725" s="28"/>
    </row>
    <row r="726" spans="28:28">
      <c r="AB726" s="28"/>
    </row>
    <row r="727" spans="28:28">
      <c r="AB727" s="28"/>
    </row>
    <row r="728" spans="28:28">
      <c r="AB728" s="28"/>
    </row>
    <row r="729" spans="28:28">
      <c r="AB729" s="28"/>
    </row>
    <row r="730" spans="28:28">
      <c r="AB730" s="28"/>
    </row>
    <row r="731" spans="28:28">
      <c r="AB731" s="28"/>
    </row>
    <row r="732" spans="28:28">
      <c r="AB732" s="28"/>
    </row>
    <row r="733" spans="28:28">
      <c r="AB733" s="28"/>
    </row>
    <row r="734" spans="28:28">
      <c r="AB734" s="28"/>
    </row>
    <row r="735" spans="28:28">
      <c r="AB735" s="28"/>
    </row>
    <row r="736" spans="28:28">
      <c r="AB736" s="28"/>
    </row>
    <row r="737" spans="28:28">
      <c r="AB737" s="28"/>
    </row>
    <row r="738" spans="28:28">
      <c r="AB738" s="28"/>
    </row>
    <row r="739" spans="28:28">
      <c r="AB739" s="28"/>
    </row>
    <row r="740" spans="28:28">
      <c r="AB740" s="28"/>
    </row>
    <row r="741" spans="28:28">
      <c r="AB741" s="28"/>
    </row>
    <row r="742" spans="28:28">
      <c r="AB742" s="28"/>
    </row>
    <row r="743" spans="28:28">
      <c r="AB743" s="28"/>
    </row>
    <row r="744" spans="28:28">
      <c r="AB744" s="28"/>
    </row>
    <row r="745" spans="28:28">
      <c r="AB745" s="28"/>
    </row>
    <row r="746" spans="28:28">
      <c r="AB746" s="28"/>
    </row>
    <row r="747" spans="28:28">
      <c r="AB747" s="28"/>
    </row>
    <row r="748" spans="28:28">
      <c r="AB748" s="28"/>
    </row>
    <row r="749" spans="28:28">
      <c r="AB749" s="28"/>
    </row>
    <row r="750" spans="28:28">
      <c r="AB750" s="28"/>
    </row>
    <row r="751" spans="28:28">
      <c r="AB751" s="28"/>
    </row>
    <row r="752" spans="28:28">
      <c r="AB752" s="28"/>
    </row>
    <row r="753" spans="28:28">
      <c r="AB753" s="28"/>
    </row>
    <row r="754" spans="28:28">
      <c r="AB754" s="28"/>
    </row>
    <row r="755" spans="28:28">
      <c r="AB755" s="28"/>
    </row>
    <row r="756" spans="28:28">
      <c r="AB756" s="28"/>
    </row>
    <row r="757" spans="28:28">
      <c r="AB757" s="28"/>
    </row>
    <row r="758" spans="28:28">
      <c r="AB758" s="28"/>
    </row>
    <row r="759" spans="28:28">
      <c r="AB759" s="28"/>
    </row>
    <row r="760" spans="28:28">
      <c r="AB760" s="28"/>
    </row>
    <row r="761" spans="28:28">
      <c r="AB761" s="28"/>
    </row>
    <row r="762" spans="28:28">
      <c r="AB762" s="28"/>
    </row>
    <row r="763" spans="28:28">
      <c r="AB763" s="28"/>
    </row>
    <row r="764" spans="28:28">
      <c r="AB764" s="28"/>
    </row>
    <row r="765" spans="28:28">
      <c r="AB765" s="28"/>
    </row>
    <row r="766" spans="28:28">
      <c r="AB766" s="28"/>
    </row>
    <row r="767" spans="28:28">
      <c r="AB767" s="28"/>
    </row>
    <row r="768" spans="28:28">
      <c r="AB768" s="28"/>
    </row>
    <row r="769" spans="28:28">
      <c r="AB769" s="28"/>
    </row>
    <row r="770" spans="28:28">
      <c r="AB770" s="28"/>
    </row>
    <row r="771" spans="28:28">
      <c r="AB771" s="28"/>
    </row>
    <row r="772" spans="28:28">
      <c r="AB772" s="28"/>
    </row>
    <row r="773" spans="28:28">
      <c r="AB773" s="28"/>
    </row>
    <row r="774" spans="28:28">
      <c r="AB774" s="28"/>
    </row>
    <row r="775" spans="28:28">
      <c r="AB775" s="28"/>
    </row>
    <row r="776" spans="28:28">
      <c r="AB776" s="28"/>
    </row>
    <row r="777" spans="28:28">
      <c r="AB777" s="28"/>
    </row>
    <row r="778" spans="28:28">
      <c r="AB778" s="28"/>
    </row>
    <row r="779" spans="28:28">
      <c r="AB779" s="28"/>
    </row>
    <row r="780" spans="28:28">
      <c r="AB780" s="28"/>
    </row>
    <row r="781" spans="28:28">
      <c r="AB781" s="28"/>
    </row>
    <row r="782" spans="28:28">
      <c r="AB782" s="28"/>
    </row>
    <row r="783" spans="28:28">
      <c r="AB783" s="28"/>
    </row>
    <row r="784" spans="28:28">
      <c r="AB784" s="28"/>
    </row>
    <row r="785" spans="28:28">
      <c r="AB785" s="28"/>
    </row>
    <row r="786" spans="28:28">
      <c r="AB786" s="28"/>
    </row>
    <row r="787" spans="28:28">
      <c r="AB787" s="28"/>
    </row>
    <row r="788" spans="28:28">
      <c r="AB788" s="28"/>
    </row>
    <row r="789" spans="28:28">
      <c r="AB789" s="28"/>
    </row>
    <row r="790" spans="28:28">
      <c r="AB790" s="28"/>
    </row>
    <row r="791" spans="28:28">
      <c r="AB791" s="28"/>
    </row>
    <row r="792" spans="28:28">
      <c r="AB792" s="28"/>
    </row>
    <row r="793" spans="28:28">
      <c r="AB793" s="28"/>
    </row>
    <row r="794" spans="28:28">
      <c r="AB794" s="28"/>
    </row>
    <row r="795" spans="28:28">
      <c r="AB795" s="28"/>
    </row>
    <row r="796" spans="28:28">
      <c r="AB796" s="28"/>
    </row>
    <row r="797" spans="28:28">
      <c r="AB797" s="28"/>
    </row>
    <row r="798" spans="28:28">
      <c r="AB798" s="28"/>
    </row>
    <row r="799" spans="28:28">
      <c r="AB799" s="28"/>
    </row>
    <row r="800" spans="28:28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xmlns:xlrd2="http://schemas.microsoft.com/office/spreadsheetml/2017/richdata2" ref="A2:AH904">
    <sortCondition ref="C1:C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3">
    <tabColor theme="9" tint="0.79998168889431442"/>
  </sheetPr>
  <dimension ref="A1:AH893"/>
  <sheetViews>
    <sheetView topLeftCell="P1" workbookViewId="0">
      <selection activeCell="A2" sqref="A2:AC896"/>
    </sheetView>
  </sheetViews>
  <sheetFormatPr baseColWidth="10" defaultColWidth="11.42578125" defaultRowHeight="15"/>
  <cols>
    <col min="1" max="1" width="13.85546875" style="165" bestFit="1" customWidth="1"/>
    <col min="2" max="3" width="11.42578125" style="165"/>
    <col min="4" max="4" width="11.42578125" style="28"/>
    <col min="5" max="5" width="11.42578125" style="165"/>
    <col min="6" max="6" width="22.85546875" style="165" bestFit="1" customWidth="1"/>
    <col min="7" max="7" width="11.42578125" style="28"/>
    <col min="8" max="10" width="11.42578125" style="165"/>
    <col min="11" max="11" width="11.42578125" style="28"/>
    <col min="12" max="12" width="37.5703125" style="165" bestFit="1" customWidth="1"/>
    <col min="13" max="15" width="11.42578125" style="165"/>
    <col min="16" max="16" width="18.28515625" style="175" customWidth="1"/>
    <col min="17" max="21" width="11.42578125" style="165"/>
    <col min="22" max="24" width="11.42578125" style="28"/>
    <col min="25" max="28" width="11.42578125" style="165"/>
    <col min="29" max="29" width="12.85546875" style="175" bestFit="1" customWidth="1"/>
    <col min="30" max="32" width="11.42578125" style="165"/>
    <col min="33" max="33" width="11.42578125" style="28"/>
    <col min="34" max="16384" width="11.42578125" style="165"/>
  </cols>
  <sheetData>
    <row r="1" spans="1:34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46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166" t="s">
        <v>116</v>
      </c>
      <c r="S1" s="166" t="s">
        <v>59</v>
      </c>
      <c r="T1" s="166" t="s">
        <v>60</v>
      </c>
      <c r="U1" s="166" t="s">
        <v>61</v>
      </c>
      <c r="V1" s="166" t="s">
        <v>62</v>
      </c>
      <c r="W1" s="166" t="s">
        <v>63</v>
      </c>
      <c r="X1" s="166" t="s">
        <v>64</v>
      </c>
      <c r="Y1" s="166" t="s">
        <v>65</v>
      </c>
      <c r="Z1" s="166" t="s">
        <v>66</v>
      </c>
      <c r="AA1" s="166" t="s">
        <v>67</v>
      </c>
      <c r="AB1" s="166" t="s">
        <v>68</v>
      </c>
      <c r="AC1" s="166" t="s">
        <v>69</v>
      </c>
      <c r="AD1" s="166" t="s">
        <v>70</v>
      </c>
      <c r="AE1" s="166" t="s">
        <v>71</v>
      </c>
      <c r="AF1" s="166" t="s">
        <v>72</v>
      </c>
      <c r="AG1" s="166" t="s">
        <v>73</v>
      </c>
      <c r="AH1" s="166" t="s">
        <v>87</v>
      </c>
    </row>
    <row r="2" spans="1:34">
      <c r="AB2" s="28"/>
    </row>
    <row r="3" spans="1:34">
      <c r="AB3" s="28"/>
    </row>
    <row r="4" spans="1:34">
      <c r="AB4" s="28"/>
    </row>
    <row r="5" spans="1:34">
      <c r="AB5" s="28"/>
    </row>
    <row r="6" spans="1:34">
      <c r="AB6" s="28"/>
    </row>
    <row r="7" spans="1:34">
      <c r="AB7" s="28"/>
    </row>
    <row r="8" spans="1:34">
      <c r="AB8" s="28"/>
    </row>
    <row r="9" spans="1:34">
      <c r="AB9" s="28"/>
    </row>
    <row r="10" spans="1:34">
      <c r="AB10" s="28"/>
    </row>
    <row r="11" spans="1:34">
      <c r="AB11" s="28"/>
    </row>
    <row r="12" spans="1:34">
      <c r="AB12" s="28"/>
    </row>
    <row r="13" spans="1:34">
      <c r="AB13" s="28"/>
    </row>
    <row r="14" spans="1:34">
      <c r="AB14" s="28"/>
    </row>
    <row r="15" spans="1:34">
      <c r="AB15" s="28"/>
    </row>
    <row r="16" spans="1:34">
      <c r="AB16" s="28"/>
    </row>
    <row r="17" spans="28:28">
      <c r="AB17" s="28"/>
    </row>
    <row r="18" spans="28:28">
      <c r="AB18" s="28"/>
    </row>
    <row r="19" spans="28:28">
      <c r="AB19" s="28"/>
    </row>
    <row r="20" spans="28:28">
      <c r="AB20" s="28"/>
    </row>
    <row r="21" spans="28:28">
      <c r="AB21" s="28"/>
    </row>
    <row r="22" spans="28:28">
      <c r="AB22" s="28"/>
    </row>
    <row r="23" spans="28:28">
      <c r="AB23" s="28"/>
    </row>
    <row r="24" spans="28:28">
      <c r="AB24" s="28"/>
    </row>
    <row r="25" spans="28:28">
      <c r="AB25" s="28"/>
    </row>
    <row r="26" spans="28:28">
      <c r="AB26" s="28"/>
    </row>
    <row r="27" spans="28:28">
      <c r="AB27" s="28"/>
    </row>
    <row r="28" spans="28:28">
      <c r="AB28" s="28"/>
    </row>
    <row r="29" spans="28:28">
      <c r="AB29" s="28"/>
    </row>
    <row r="30" spans="28:28">
      <c r="AB30" s="28"/>
    </row>
    <row r="31" spans="28:28">
      <c r="AB31" s="28"/>
    </row>
    <row r="32" spans="28:28">
      <c r="AB32" s="28"/>
    </row>
    <row r="33" spans="28:28">
      <c r="AB33" s="28"/>
    </row>
    <row r="34" spans="28:28">
      <c r="AB34" s="28"/>
    </row>
    <row r="35" spans="28:28">
      <c r="AB35" s="28"/>
    </row>
    <row r="36" spans="28:28">
      <c r="AB36" s="28"/>
    </row>
    <row r="37" spans="28:28">
      <c r="AB37" s="28"/>
    </row>
    <row r="38" spans="28:28">
      <c r="AB38" s="28"/>
    </row>
    <row r="39" spans="28:28">
      <c r="AB39" s="28"/>
    </row>
    <row r="40" spans="28:28">
      <c r="AB40" s="28"/>
    </row>
    <row r="41" spans="28:28">
      <c r="AB41" s="28"/>
    </row>
    <row r="42" spans="28:28">
      <c r="AB42" s="28"/>
    </row>
    <row r="43" spans="28:28">
      <c r="AB43" s="28"/>
    </row>
    <row r="44" spans="28:28">
      <c r="AB44" s="28"/>
    </row>
    <row r="45" spans="28:28">
      <c r="AB45" s="28"/>
    </row>
    <row r="46" spans="28:28">
      <c r="AB46" s="28"/>
    </row>
    <row r="47" spans="28:28">
      <c r="AB47" s="28"/>
    </row>
    <row r="48" spans="28:28">
      <c r="AB48" s="28"/>
    </row>
    <row r="49" spans="28:28">
      <c r="AB49" s="28"/>
    </row>
    <row r="50" spans="28:28">
      <c r="AB50" s="28"/>
    </row>
    <row r="51" spans="28:28">
      <c r="AB51" s="28"/>
    </row>
    <row r="52" spans="28:28">
      <c r="AB52" s="28"/>
    </row>
    <row r="53" spans="28:28">
      <c r="AB53" s="28"/>
    </row>
    <row r="54" spans="28:28">
      <c r="AB54" s="28"/>
    </row>
    <row r="55" spans="28:28">
      <c r="AB55" s="28"/>
    </row>
    <row r="56" spans="28:28">
      <c r="AB56" s="28"/>
    </row>
    <row r="57" spans="28:28">
      <c r="AB57" s="28"/>
    </row>
    <row r="58" spans="28:28">
      <c r="AB58" s="28"/>
    </row>
    <row r="59" spans="28:28">
      <c r="AB59" s="28"/>
    </row>
    <row r="60" spans="28:28">
      <c r="AB60" s="28"/>
    </row>
    <row r="61" spans="28:28">
      <c r="AB61" s="28"/>
    </row>
    <row r="62" spans="28:28">
      <c r="AB62" s="28"/>
    </row>
    <row r="63" spans="28:28">
      <c r="AB63" s="28"/>
    </row>
    <row r="64" spans="28:28">
      <c r="AB64" s="28"/>
    </row>
    <row r="65" spans="28:28">
      <c r="AB65" s="28"/>
    </row>
    <row r="66" spans="28:28">
      <c r="AB66" s="28"/>
    </row>
    <row r="67" spans="28:28">
      <c r="AB67" s="28"/>
    </row>
    <row r="68" spans="28:28">
      <c r="AB68" s="28"/>
    </row>
    <row r="69" spans="28:28">
      <c r="AB69" s="28"/>
    </row>
    <row r="70" spans="28:28">
      <c r="AB70" s="28"/>
    </row>
    <row r="71" spans="28:28">
      <c r="AB71" s="28"/>
    </row>
    <row r="72" spans="28:28">
      <c r="AB72" s="28"/>
    </row>
    <row r="73" spans="28:28">
      <c r="AB73" s="28"/>
    </row>
    <row r="74" spans="28:28">
      <c r="AB74" s="28"/>
    </row>
    <row r="75" spans="28:28">
      <c r="AB75" s="28"/>
    </row>
    <row r="76" spans="28:28">
      <c r="AB76" s="28"/>
    </row>
    <row r="77" spans="28:28">
      <c r="AB77" s="28"/>
    </row>
    <row r="78" spans="28:28">
      <c r="AB78" s="28"/>
    </row>
    <row r="79" spans="28:28">
      <c r="AB79" s="28"/>
    </row>
    <row r="80" spans="28:28">
      <c r="AB80" s="28"/>
    </row>
    <row r="81" spans="28:28">
      <c r="AB81" s="28"/>
    </row>
    <row r="82" spans="28:28">
      <c r="AB82" s="28"/>
    </row>
    <row r="83" spans="28:28">
      <c r="AB83" s="28"/>
    </row>
    <row r="84" spans="28:28">
      <c r="AB84" s="28"/>
    </row>
    <row r="85" spans="28:28">
      <c r="AB85" s="28"/>
    </row>
    <row r="86" spans="28:28">
      <c r="AB86" s="28"/>
    </row>
    <row r="87" spans="28:28">
      <c r="AB87" s="28"/>
    </row>
    <row r="88" spans="28:28">
      <c r="AB88" s="28"/>
    </row>
    <row r="89" spans="28:28">
      <c r="AB89" s="28"/>
    </row>
    <row r="90" spans="28:28">
      <c r="AB90" s="28"/>
    </row>
    <row r="91" spans="28:28">
      <c r="AB91" s="28"/>
    </row>
    <row r="92" spans="28:28">
      <c r="AB92" s="28"/>
    </row>
    <row r="93" spans="28:28">
      <c r="AB93" s="28"/>
    </row>
    <row r="94" spans="28:28">
      <c r="AB94" s="28"/>
    </row>
    <row r="95" spans="28:28">
      <c r="AB95" s="28"/>
    </row>
    <row r="96" spans="28:28">
      <c r="AB96" s="28"/>
    </row>
    <row r="97" spans="28:28">
      <c r="AB97" s="28"/>
    </row>
    <row r="98" spans="28:28">
      <c r="AB98" s="28"/>
    </row>
    <row r="99" spans="28:28">
      <c r="AB99" s="28"/>
    </row>
    <row r="100" spans="28:28">
      <c r="AB100" s="28"/>
    </row>
    <row r="101" spans="28:28">
      <c r="AB101" s="28"/>
    </row>
    <row r="102" spans="28:28">
      <c r="AB102" s="28"/>
    </row>
    <row r="103" spans="28:28">
      <c r="AB103" s="28"/>
    </row>
    <row r="104" spans="28:28">
      <c r="AB104" s="28"/>
    </row>
    <row r="105" spans="28:28">
      <c r="AB105" s="28"/>
    </row>
    <row r="106" spans="28:28">
      <c r="AB106" s="28"/>
    </row>
    <row r="107" spans="28:28">
      <c r="AB107" s="28"/>
    </row>
    <row r="108" spans="28:28">
      <c r="AB108" s="28"/>
    </row>
    <row r="109" spans="28:28">
      <c r="AB109" s="28"/>
    </row>
    <row r="110" spans="28:28">
      <c r="AB110" s="28"/>
    </row>
    <row r="111" spans="28:28">
      <c r="AB111" s="28"/>
    </row>
    <row r="112" spans="28:28">
      <c r="AB112" s="28"/>
    </row>
    <row r="113" spans="28:28">
      <c r="AB113" s="28"/>
    </row>
    <row r="114" spans="28:28">
      <c r="AB114" s="28"/>
    </row>
    <row r="115" spans="28:28">
      <c r="AB115" s="28"/>
    </row>
    <row r="116" spans="28:28">
      <c r="AB116" s="28"/>
    </row>
    <row r="117" spans="28:28">
      <c r="AB117" s="28"/>
    </row>
    <row r="118" spans="28:28">
      <c r="AB118" s="28"/>
    </row>
    <row r="119" spans="28:28">
      <c r="AB119" s="28"/>
    </row>
    <row r="120" spans="28:28">
      <c r="AB120" s="28"/>
    </row>
    <row r="121" spans="28:28">
      <c r="AB121" s="28"/>
    </row>
    <row r="122" spans="28:28">
      <c r="AB122" s="28"/>
    </row>
    <row r="123" spans="28:28">
      <c r="AB123" s="28"/>
    </row>
    <row r="124" spans="28:28">
      <c r="AB124" s="28"/>
    </row>
    <row r="125" spans="28:28">
      <c r="AB125" s="28"/>
    </row>
    <row r="126" spans="28:28">
      <c r="AB126" s="28"/>
    </row>
    <row r="127" spans="28:28">
      <c r="AB127" s="28"/>
    </row>
    <row r="128" spans="28:28">
      <c r="AB128" s="28"/>
    </row>
    <row r="129" spans="28:28">
      <c r="AB129" s="28"/>
    </row>
    <row r="130" spans="28:28">
      <c r="AB130" s="28"/>
    </row>
    <row r="131" spans="28:28">
      <c r="AB131" s="28"/>
    </row>
    <row r="132" spans="28:28">
      <c r="AB132" s="28"/>
    </row>
    <row r="133" spans="28:28">
      <c r="AB133" s="28"/>
    </row>
    <row r="134" spans="28:28">
      <c r="AB134" s="28"/>
    </row>
    <row r="135" spans="28:28">
      <c r="AB135" s="28"/>
    </row>
    <row r="136" spans="28:28">
      <c r="AB136" s="28"/>
    </row>
    <row r="137" spans="28:28">
      <c r="AB137" s="28"/>
    </row>
    <row r="138" spans="28:28">
      <c r="AB138" s="28"/>
    </row>
    <row r="139" spans="28:28">
      <c r="AB139" s="28"/>
    </row>
    <row r="140" spans="28:28">
      <c r="AB140" s="28"/>
    </row>
    <row r="141" spans="28:28">
      <c r="AB141" s="28"/>
    </row>
    <row r="142" spans="28:28">
      <c r="AB142" s="28"/>
    </row>
    <row r="143" spans="28:28">
      <c r="AB143" s="28"/>
    </row>
    <row r="144" spans="28:28">
      <c r="AB144" s="28"/>
    </row>
    <row r="145" spans="28:28">
      <c r="AB145" s="28"/>
    </row>
    <row r="146" spans="28:28">
      <c r="AB146" s="28"/>
    </row>
    <row r="147" spans="28:28">
      <c r="AB147" s="28"/>
    </row>
    <row r="148" spans="28:28">
      <c r="AB148" s="28"/>
    </row>
    <row r="149" spans="28:28">
      <c r="AB149" s="28"/>
    </row>
    <row r="150" spans="28:28">
      <c r="AB150" s="28"/>
    </row>
    <row r="151" spans="28:28">
      <c r="AB151" s="28"/>
    </row>
    <row r="152" spans="28:28">
      <c r="AB152" s="28"/>
    </row>
    <row r="153" spans="28:28">
      <c r="AB153" s="28"/>
    </row>
    <row r="154" spans="28:28">
      <c r="AB154" s="28"/>
    </row>
    <row r="155" spans="28:28">
      <c r="AB155" s="28"/>
    </row>
    <row r="156" spans="28:28">
      <c r="AB156" s="28"/>
    </row>
    <row r="157" spans="28:28">
      <c r="AB157" s="28"/>
    </row>
    <row r="158" spans="28:28">
      <c r="AB158" s="28"/>
    </row>
    <row r="159" spans="28:28">
      <c r="AB159" s="28"/>
    </row>
    <row r="160" spans="28:28">
      <c r="AB160" s="28"/>
    </row>
    <row r="161" spans="28:28">
      <c r="AB161" s="28"/>
    </row>
    <row r="162" spans="28:28">
      <c r="AB162" s="28"/>
    </row>
    <row r="163" spans="28:28">
      <c r="AB163" s="28"/>
    </row>
    <row r="164" spans="28:28">
      <c r="AB164" s="28"/>
    </row>
    <row r="165" spans="28:28">
      <c r="AB165" s="28"/>
    </row>
    <row r="166" spans="28:28">
      <c r="AB166" s="28"/>
    </row>
    <row r="167" spans="28:28">
      <c r="AB167" s="28"/>
    </row>
    <row r="168" spans="28:28">
      <c r="AB168" s="28"/>
    </row>
    <row r="169" spans="28:28">
      <c r="AB169" s="28"/>
    </row>
    <row r="170" spans="28:28">
      <c r="AB170" s="28"/>
    </row>
    <row r="171" spans="28:28">
      <c r="AB171" s="28"/>
    </row>
    <row r="172" spans="28:28">
      <c r="AB172" s="28"/>
    </row>
    <row r="173" spans="28:28">
      <c r="AB173" s="28"/>
    </row>
    <row r="174" spans="28:28">
      <c r="AB174" s="28"/>
    </row>
    <row r="175" spans="28:28">
      <c r="AB175" s="28"/>
    </row>
    <row r="176" spans="28:28">
      <c r="AB176" s="28"/>
    </row>
    <row r="177" spans="28:28">
      <c r="AB177" s="28"/>
    </row>
    <row r="178" spans="28:28">
      <c r="AB178" s="28"/>
    </row>
    <row r="179" spans="28:28">
      <c r="AB179" s="28"/>
    </row>
    <row r="180" spans="28:28">
      <c r="AB180" s="28"/>
    </row>
    <row r="181" spans="28:28">
      <c r="AB181" s="28"/>
    </row>
    <row r="182" spans="28:28">
      <c r="AB182" s="28"/>
    </row>
    <row r="183" spans="28:28">
      <c r="AB183" s="28"/>
    </row>
    <row r="184" spans="28:28">
      <c r="AB184" s="28"/>
    </row>
    <row r="185" spans="28:28">
      <c r="AB185" s="28"/>
    </row>
    <row r="186" spans="28:28">
      <c r="AB186" s="28"/>
    </row>
    <row r="187" spans="28:28">
      <c r="AB187" s="28"/>
    </row>
    <row r="188" spans="28:28">
      <c r="AB188" s="28"/>
    </row>
    <row r="189" spans="28:28">
      <c r="AB189" s="28"/>
    </row>
    <row r="190" spans="28:28">
      <c r="AB190" s="28"/>
    </row>
    <row r="191" spans="28:28">
      <c r="AB191" s="28"/>
    </row>
    <row r="192" spans="28:28">
      <c r="AB192" s="28"/>
    </row>
    <row r="193" spans="28:28">
      <c r="AB193" s="28"/>
    </row>
    <row r="194" spans="28:28">
      <c r="AB194" s="28"/>
    </row>
    <row r="195" spans="28:28">
      <c r="AB195" s="28"/>
    </row>
    <row r="196" spans="28:28">
      <c r="AB196" s="28"/>
    </row>
    <row r="197" spans="28:28">
      <c r="AB197" s="28"/>
    </row>
    <row r="198" spans="28:28">
      <c r="AB198" s="28"/>
    </row>
    <row r="199" spans="28:28">
      <c r="AB199" s="28"/>
    </row>
    <row r="200" spans="28:28">
      <c r="AB200" s="28"/>
    </row>
    <row r="201" spans="28:28">
      <c r="AB201" s="28"/>
    </row>
    <row r="202" spans="28:28">
      <c r="AB202" s="28"/>
    </row>
    <row r="203" spans="28:28">
      <c r="AB203" s="28"/>
    </row>
    <row r="204" spans="28:28">
      <c r="AB204" s="28"/>
    </row>
    <row r="205" spans="28:28">
      <c r="AB205" s="28"/>
    </row>
    <row r="206" spans="28:28">
      <c r="AB206" s="28"/>
    </row>
    <row r="207" spans="28:28">
      <c r="AB207" s="28"/>
    </row>
    <row r="208" spans="28:28">
      <c r="AB208" s="28"/>
    </row>
    <row r="209" spans="28:28">
      <c r="AB209" s="28"/>
    </row>
    <row r="210" spans="28:28">
      <c r="AB210" s="28"/>
    </row>
    <row r="211" spans="28:28">
      <c r="AB211" s="28"/>
    </row>
    <row r="212" spans="28:28">
      <c r="AB212" s="28"/>
    </row>
    <row r="213" spans="28:28">
      <c r="AB213" s="28"/>
    </row>
    <row r="214" spans="28:28">
      <c r="AB214" s="28"/>
    </row>
    <row r="215" spans="28:28">
      <c r="AB215" s="28"/>
    </row>
    <row r="216" spans="28:28">
      <c r="AB216" s="28"/>
    </row>
    <row r="217" spans="28:28">
      <c r="AB217" s="28"/>
    </row>
    <row r="218" spans="28:28">
      <c r="AB218" s="28"/>
    </row>
    <row r="219" spans="28:28">
      <c r="AB219" s="28"/>
    </row>
    <row r="220" spans="28:28">
      <c r="AB220" s="28"/>
    </row>
    <row r="221" spans="28:28">
      <c r="AB221" s="28"/>
    </row>
    <row r="222" spans="28:28">
      <c r="AB222" s="28"/>
    </row>
    <row r="223" spans="28:28">
      <c r="AB223" s="28"/>
    </row>
    <row r="224" spans="28:28">
      <c r="AB224" s="28"/>
    </row>
    <row r="225" spans="28:28">
      <c r="AB225" s="28"/>
    </row>
    <row r="226" spans="28:28">
      <c r="AB226" s="28"/>
    </row>
    <row r="227" spans="28:28">
      <c r="AB227" s="28"/>
    </row>
    <row r="228" spans="28:28">
      <c r="AB228" s="28"/>
    </row>
    <row r="229" spans="28:28">
      <c r="AB229" s="28"/>
    </row>
    <row r="230" spans="28:28">
      <c r="AB230" s="28"/>
    </row>
    <row r="231" spans="28:28">
      <c r="AB231" s="28"/>
    </row>
    <row r="232" spans="28:28">
      <c r="AB232" s="28"/>
    </row>
    <row r="233" spans="28:28">
      <c r="AB233" s="28"/>
    </row>
    <row r="234" spans="28:28">
      <c r="AB234" s="28"/>
    </row>
    <row r="235" spans="28:28">
      <c r="AB235" s="28"/>
    </row>
    <row r="236" spans="28:28">
      <c r="AB236" s="28"/>
    </row>
    <row r="237" spans="28:28">
      <c r="AB237" s="28"/>
    </row>
    <row r="238" spans="28:28">
      <c r="AB238" s="28"/>
    </row>
    <row r="239" spans="28:28">
      <c r="AB239" s="28"/>
    </row>
    <row r="240" spans="28:28">
      <c r="AB240" s="28"/>
    </row>
    <row r="241" spans="28:28">
      <c r="AB241" s="28"/>
    </row>
    <row r="242" spans="28:28">
      <c r="AB242" s="28"/>
    </row>
    <row r="243" spans="28:28">
      <c r="AB243" s="28"/>
    </row>
    <row r="244" spans="28:28">
      <c r="AB244" s="28"/>
    </row>
    <row r="245" spans="28:28">
      <c r="AB245" s="28"/>
    </row>
    <row r="246" spans="28:28">
      <c r="AB246" s="28"/>
    </row>
    <row r="247" spans="28:28">
      <c r="AB247" s="28"/>
    </row>
    <row r="248" spans="28:28">
      <c r="AB248" s="28"/>
    </row>
    <row r="249" spans="28:28">
      <c r="AB249" s="28"/>
    </row>
    <row r="250" spans="28:28">
      <c r="AB250" s="28"/>
    </row>
    <row r="251" spans="28:28">
      <c r="AB251" s="28"/>
    </row>
    <row r="252" spans="28:28">
      <c r="AB252" s="28"/>
    </row>
    <row r="253" spans="28:28">
      <c r="AB253" s="28"/>
    </row>
    <row r="254" spans="28:28">
      <c r="AB254" s="28"/>
    </row>
    <row r="255" spans="28:28">
      <c r="AB255" s="28"/>
    </row>
    <row r="256" spans="28:28">
      <c r="AB256" s="28"/>
    </row>
    <row r="257" spans="28:28">
      <c r="AB257" s="28"/>
    </row>
    <row r="258" spans="28:28">
      <c r="AB258" s="28"/>
    </row>
    <row r="259" spans="28:28">
      <c r="AB259" s="28"/>
    </row>
    <row r="260" spans="28:28">
      <c r="AB260" s="28"/>
    </row>
    <row r="261" spans="28:28">
      <c r="AB261" s="28"/>
    </row>
    <row r="262" spans="28:28">
      <c r="AB262" s="28"/>
    </row>
    <row r="263" spans="28:28">
      <c r="AB263" s="28"/>
    </row>
    <row r="264" spans="28:28">
      <c r="AB264" s="28"/>
    </row>
    <row r="265" spans="28:28">
      <c r="AB265" s="28"/>
    </row>
    <row r="266" spans="28:28">
      <c r="AB266" s="28"/>
    </row>
    <row r="267" spans="28:28">
      <c r="AB267" s="28"/>
    </row>
    <row r="268" spans="28:28">
      <c r="AB268" s="28"/>
    </row>
    <row r="269" spans="28:28">
      <c r="AB269" s="28"/>
    </row>
    <row r="270" spans="28:28">
      <c r="AB270" s="28"/>
    </row>
    <row r="271" spans="28:28">
      <c r="AB271" s="28"/>
    </row>
    <row r="272" spans="28:28">
      <c r="AB272" s="28"/>
    </row>
    <row r="273" spans="28:28">
      <c r="AB273" s="28"/>
    </row>
    <row r="274" spans="28:28">
      <c r="AB274" s="28"/>
    </row>
    <row r="275" spans="28:28">
      <c r="AB275" s="28"/>
    </row>
    <row r="276" spans="28:28">
      <c r="AB276" s="28"/>
    </row>
    <row r="277" spans="28:28">
      <c r="AB277" s="28"/>
    </row>
    <row r="278" spans="28:28">
      <c r="AB278" s="28"/>
    </row>
    <row r="279" spans="28:28">
      <c r="AB279" s="28"/>
    </row>
    <row r="280" spans="28:28">
      <c r="AB280" s="28"/>
    </row>
    <row r="281" spans="28:28">
      <c r="AB281" s="28"/>
    </row>
    <row r="282" spans="28:28">
      <c r="AB282" s="28"/>
    </row>
    <row r="283" spans="28:28">
      <c r="AB283" s="28"/>
    </row>
    <row r="284" spans="28:28">
      <c r="AB284" s="28"/>
    </row>
    <row r="285" spans="28:28">
      <c r="AB285" s="28"/>
    </row>
    <row r="286" spans="28:28">
      <c r="AB286" s="28"/>
    </row>
    <row r="287" spans="28:28">
      <c r="AB287" s="28"/>
    </row>
    <row r="288" spans="28:28">
      <c r="AB288" s="28"/>
    </row>
    <row r="289" spans="28:28">
      <c r="AB289" s="28"/>
    </row>
    <row r="290" spans="28:28">
      <c r="AB290" s="28"/>
    </row>
    <row r="291" spans="28:28">
      <c r="AB291" s="28"/>
    </row>
    <row r="292" spans="28:28">
      <c r="AB292" s="28"/>
    </row>
    <row r="293" spans="28:28">
      <c r="AB293" s="28"/>
    </row>
    <row r="294" spans="28:28">
      <c r="AB294" s="28"/>
    </row>
    <row r="295" spans="28:28">
      <c r="AB295" s="28"/>
    </row>
    <row r="296" spans="28:28">
      <c r="AB296" s="28"/>
    </row>
    <row r="297" spans="28:28">
      <c r="AB297" s="28"/>
    </row>
    <row r="298" spans="28:28">
      <c r="AB298" s="28"/>
    </row>
    <row r="299" spans="28:28">
      <c r="AB299" s="28"/>
    </row>
    <row r="300" spans="28:28">
      <c r="AB300" s="28"/>
    </row>
    <row r="301" spans="28:28">
      <c r="AB301" s="28"/>
    </row>
    <row r="302" spans="28:28">
      <c r="AB302" s="28"/>
    </row>
    <row r="303" spans="28:28">
      <c r="AB303" s="28"/>
    </row>
    <row r="304" spans="28:28">
      <c r="AB304" s="28"/>
    </row>
    <row r="305" spans="28:28">
      <c r="AB305" s="28"/>
    </row>
    <row r="306" spans="28:28">
      <c r="AB306" s="28"/>
    </row>
    <row r="307" spans="28:28">
      <c r="AB307" s="28"/>
    </row>
    <row r="308" spans="28:28">
      <c r="AB308" s="28"/>
    </row>
    <row r="309" spans="28:28">
      <c r="AB309" s="28"/>
    </row>
    <row r="310" spans="28:28">
      <c r="AB310" s="28"/>
    </row>
    <row r="311" spans="28:28">
      <c r="AB311" s="28"/>
    </row>
    <row r="312" spans="28:28">
      <c r="AB312" s="28"/>
    </row>
    <row r="313" spans="28:28">
      <c r="AB313" s="28"/>
    </row>
    <row r="314" spans="28:28">
      <c r="AB314" s="28"/>
    </row>
    <row r="315" spans="28:28">
      <c r="AB315" s="28"/>
    </row>
    <row r="316" spans="28:28">
      <c r="AB316" s="28"/>
    </row>
    <row r="317" spans="28:28">
      <c r="AB317" s="28"/>
    </row>
    <row r="318" spans="28:28">
      <c r="AB318" s="28"/>
    </row>
    <row r="319" spans="28:28">
      <c r="AB319" s="28"/>
    </row>
    <row r="320" spans="28:28">
      <c r="AB320" s="28"/>
    </row>
    <row r="321" spans="28:28">
      <c r="AB321" s="28"/>
    </row>
    <row r="322" spans="28:28">
      <c r="AB322" s="28"/>
    </row>
    <row r="323" spans="28:28">
      <c r="AB323" s="28"/>
    </row>
    <row r="324" spans="28:28">
      <c r="AB324" s="28"/>
    </row>
    <row r="325" spans="28:28">
      <c r="AB325" s="28"/>
    </row>
    <row r="326" spans="28:28">
      <c r="AB326" s="28"/>
    </row>
    <row r="327" spans="28:28">
      <c r="AB327" s="28"/>
    </row>
    <row r="328" spans="28:28">
      <c r="AB328" s="28"/>
    </row>
    <row r="329" spans="28:28">
      <c r="AB329" s="28"/>
    </row>
    <row r="330" spans="28:28">
      <c r="AB330" s="28"/>
    </row>
    <row r="331" spans="28:28">
      <c r="AB331" s="28"/>
    </row>
    <row r="332" spans="28:28">
      <c r="AB332" s="28"/>
    </row>
    <row r="333" spans="28:28">
      <c r="AB333" s="28"/>
    </row>
    <row r="334" spans="28:28">
      <c r="AB334" s="28"/>
    </row>
    <row r="335" spans="28:28">
      <c r="AB335" s="28"/>
    </row>
    <row r="336" spans="28:28">
      <c r="AB336" s="28"/>
    </row>
    <row r="337" spans="28:28">
      <c r="AB337" s="28"/>
    </row>
    <row r="338" spans="28:28">
      <c r="AB338" s="28"/>
    </row>
    <row r="339" spans="28:28">
      <c r="AB339" s="28"/>
    </row>
    <row r="340" spans="28:28">
      <c r="AB340" s="28"/>
    </row>
    <row r="341" spans="28:28">
      <c r="AB341" s="28"/>
    </row>
    <row r="342" spans="28:28">
      <c r="AB342" s="28"/>
    </row>
    <row r="343" spans="28:28">
      <c r="AB343" s="28"/>
    </row>
    <row r="344" spans="28:28">
      <c r="AB344" s="28"/>
    </row>
    <row r="345" spans="28:28">
      <c r="AB345" s="28"/>
    </row>
    <row r="346" spans="28:28">
      <c r="AB346" s="28"/>
    </row>
    <row r="347" spans="28:28">
      <c r="AB347" s="28"/>
    </row>
    <row r="348" spans="28:28">
      <c r="AB348" s="28"/>
    </row>
    <row r="349" spans="28:28">
      <c r="AB349" s="28"/>
    </row>
    <row r="350" spans="28:28">
      <c r="AB350" s="28"/>
    </row>
    <row r="351" spans="28:28">
      <c r="AB351" s="28"/>
    </row>
    <row r="352" spans="28:28">
      <c r="AB352" s="28"/>
    </row>
    <row r="353" spans="28:28">
      <c r="AB353" s="28"/>
    </row>
    <row r="354" spans="28:28">
      <c r="AB354" s="28"/>
    </row>
    <row r="355" spans="28:28">
      <c r="AB355" s="28"/>
    </row>
    <row r="356" spans="28:28">
      <c r="AB356" s="28"/>
    </row>
    <row r="357" spans="28:28">
      <c r="AB357" s="28"/>
    </row>
    <row r="358" spans="28:28">
      <c r="AB358" s="28"/>
    </row>
    <row r="359" spans="28:28">
      <c r="AB359" s="28"/>
    </row>
    <row r="360" spans="28:28">
      <c r="AB360" s="28"/>
    </row>
    <row r="361" spans="28:28">
      <c r="AB361" s="28"/>
    </row>
    <row r="362" spans="28:28">
      <c r="AB362" s="28"/>
    </row>
    <row r="363" spans="28:28">
      <c r="AB363" s="28"/>
    </row>
    <row r="364" spans="28:28">
      <c r="AB364" s="28"/>
    </row>
    <row r="365" spans="28:28">
      <c r="AB365" s="28"/>
    </row>
    <row r="366" spans="28:28">
      <c r="AB366" s="28"/>
    </row>
    <row r="367" spans="28:28">
      <c r="AB367" s="28"/>
    </row>
    <row r="368" spans="28:28">
      <c r="AB368" s="28"/>
    </row>
    <row r="369" spans="28:28">
      <c r="AB369" s="28"/>
    </row>
    <row r="370" spans="28:28">
      <c r="AB370" s="28"/>
    </row>
    <row r="371" spans="28:28">
      <c r="AB371" s="28"/>
    </row>
    <row r="372" spans="28:28">
      <c r="AB372" s="28"/>
    </row>
    <row r="373" spans="28:28">
      <c r="AB373" s="28"/>
    </row>
    <row r="374" spans="28:28">
      <c r="AB374" s="28"/>
    </row>
    <row r="375" spans="28:28">
      <c r="AB375" s="28"/>
    </row>
    <row r="376" spans="28:28">
      <c r="AB376" s="28"/>
    </row>
    <row r="377" spans="28:28">
      <c r="AB377" s="28"/>
    </row>
    <row r="378" spans="28:28">
      <c r="AB378" s="28"/>
    </row>
    <row r="379" spans="28:28">
      <c r="AB379" s="28"/>
    </row>
    <row r="380" spans="28:28">
      <c r="AB380" s="28"/>
    </row>
    <row r="381" spans="28:28">
      <c r="AB381" s="28"/>
    </row>
    <row r="382" spans="28:28">
      <c r="AB382" s="28"/>
    </row>
    <row r="383" spans="28:28">
      <c r="AB383" s="28"/>
    </row>
    <row r="384" spans="28:28">
      <c r="AB384" s="28"/>
    </row>
    <row r="385" spans="28:28">
      <c r="AB385" s="28"/>
    </row>
    <row r="386" spans="28:28">
      <c r="AB386" s="28"/>
    </row>
    <row r="387" spans="28:28">
      <c r="AB387" s="28"/>
    </row>
    <row r="388" spans="28:28">
      <c r="AB388" s="28"/>
    </row>
    <row r="389" spans="28:28">
      <c r="AB389" s="28"/>
    </row>
    <row r="390" spans="28:28">
      <c r="AB390" s="28"/>
    </row>
    <row r="391" spans="28:28">
      <c r="AB391" s="28"/>
    </row>
    <row r="392" spans="28:28">
      <c r="AB392" s="28"/>
    </row>
    <row r="393" spans="28:28">
      <c r="AB393" s="28"/>
    </row>
    <row r="394" spans="28:28">
      <c r="AB394" s="28"/>
    </row>
    <row r="395" spans="28:28">
      <c r="AB395" s="28"/>
    </row>
    <row r="396" spans="28:28">
      <c r="AB396" s="28"/>
    </row>
    <row r="397" spans="28:28">
      <c r="AB397" s="28"/>
    </row>
    <row r="398" spans="28:28">
      <c r="AB398" s="28"/>
    </row>
    <row r="399" spans="28:28">
      <c r="AB399" s="28"/>
    </row>
    <row r="400" spans="28:28">
      <c r="AB400" s="28"/>
    </row>
    <row r="401" spans="28:28">
      <c r="AB401" s="28"/>
    </row>
    <row r="402" spans="28:28">
      <c r="AB402" s="28"/>
    </row>
    <row r="403" spans="28:28">
      <c r="AB403" s="28"/>
    </row>
    <row r="404" spans="28:28">
      <c r="AB404" s="28"/>
    </row>
    <row r="405" spans="28:28">
      <c r="AB405" s="28"/>
    </row>
    <row r="406" spans="28:28">
      <c r="AB406" s="28"/>
    </row>
    <row r="407" spans="28:28">
      <c r="AB407" s="28"/>
    </row>
    <row r="408" spans="28:28">
      <c r="AB408" s="28"/>
    </row>
    <row r="409" spans="28:28">
      <c r="AB409" s="28"/>
    </row>
    <row r="410" spans="28:28">
      <c r="AB410" s="28"/>
    </row>
    <row r="411" spans="28:28">
      <c r="AB411" s="28"/>
    </row>
    <row r="412" spans="28:28">
      <c r="AB412" s="28"/>
    </row>
    <row r="413" spans="28:28">
      <c r="AB413" s="28"/>
    </row>
    <row r="414" spans="28:28">
      <c r="AB414" s="28"/>
    </row>
    <row r="415" spans="28:28">
      <c r="AB415" s="28"/>
    </row>
    <row r="416" spans="28:28">
      <c r="AB416" s="28"/>
    </row>
    <row r="417" spans="28:28">
      <c r="AB417" s="28"/>
    </row>
    <row r="418" spans="28:28">
      <c r="AB418" s="28"/>
    </row>
    <row r="419" spans="28:28">
      <c r="AB419" s="28"/>
    </row>
    <row r="420" spans="28:28">
      <c r="AB420" s="28"/>
    </row>
    <row r="421" spans="28:28">
      <c r="AB421" s="28"/>
    </row>
    <row r="422" spans="28:28">
      <c r="AB422" s="28"/>
    </row>
    <row r="423" spans="28:28">
      <c r="AB423" s="28"/>
    </row>
    <row r="424" spans="28:28">
      <c r="AB424" s="28"/>
    </row>
    <row r="425" spans="28:28">
      <c r="AB425" s="28"/>
    </row>
    <row r="426" spans="28:28">
      <c r="AB426" s="28"/>
    </row>
    <row r="427" spans="28:28">
      <c r="AB427" s="28"/>
    </row>
    <row r="428" spans="28:28">
      <c r="AB428" s="28"/>
    </row>
    <row r="429" spans="28:28">
      <c r="AB429" s="28"/>
    </row>
    <row r="430" spans="28:28">
      <c r="AB430" s="28"/>
    </row>
    <row r="431" spans="28:28">
      <c r="AB431" s="28"/>
    </row>
    <row r="432" spans="28:28">
      <c r="AB432" s="28"/>
    </row>
    <row r="433" spans="28:28">
      <c r="AB433" s="28"/>
    </row>
    <row r="434" spans="28:28">
      <c r="AB434" s="28"/>
    </row>
    <row r="435" spans="28:28">
      <c r="AB435" s="28"/>
    </row>
    <row r="436" spans="28:28">
      <c r="AB436" s="28"/>
    </row>
    <row r="437" spans="28:28">
      <c r="AB437" s="28"/>
    </row>
    <row r="438" spans="28:28">
      <c r="AB438" s="28"/>
    </row>
    <row r="439" spans="28:28">
      <c r="AB439" s="28"/>
    </row>
    <row r="440" spans="28:28">
      <c r="AB440" s="28"/>
    </row>
    <row r="441" spans="28:28">
      <c r="AB441" s="28"/>
    </row>
    <row r="442" spans="28:28">
      <c r="AB442" s="28"/>
    </row>
    <row r="443" spans="28:28">
      <c r="AB443" s="28"/>
    </row>
    <row r="444" spans="28:28">
      <c r="AB444" s="28"/>
    </row>
    <row r="445" spans="28:28">
      <c r="AB445" s="28"/>
    </row>
    <row r="446" spans="28:28">
      <c r="AB446" s="28"/>
    </row>
    <row r="447" spans="28:28">
      <c r="AB447" s="28"/>
    </row>
    <row r="448" spans="28:28">
      <c r="AB448" s="28"/>
    </row>
    <row r="449" spans="28:28">
      <c r="AB449" s="28"/>
    </row>
    <row r="450" spans="28:28">
      <c r="AB450" s="28"/>
    </row>
    <row r="451" spans="28:28">
      <c r="AB451" s="28"/>
    </row>
    <row r="452" spans="28:28">
      <c r="AB452" s="28"/>
    </row>
    <row r="453" spans="28:28">
      <c r="AB453" s="28"/>
    </row>
    <row r="454" spans="28:28">
      <c r="AB454" s="28"/>
    </row>
    <row r="455" spans="28:28">
      <c r="AB455" s="28"/>
    </row>
    <row r="456" spans="28:28">
      <c r="AB456" s="28"/>
    </row>
    <row r="457" spans="28:28">
      <c r="AB457" s="28"/>
    </row>
    <row r="458" spans="28:28">
      <c r="AB458" s="28"/>
    </row>
    <row r="459" spans="28:28">
      <c r="AB459" s="28"/>
    </row>
    <row r="460" spans="28:28">
      <c r="AB460" s="28"/>
    </row>
    <row r="461" spans="28:28">
      <c r="AB461" s="28"/>
    </row>
    <row r="462" spans="28:28">
      <c r="AB462" s="28"/>
    </row>
    <row r="463" spans="28:28">
      <c r="AB463" s="28"/>
    </row>
    <row r="464" spans="28:28">
      <c r="AB464" s="28"/>
    </row>
    <row r="465" spans="28:28">
      <c r="AB465" s="28"/>
    </row>
    <row r="466" spans="28:28">
      <c r="AB466" s="28"/>
    </row>
    <row r="467" spans="28:28">
      <c r="AB467" s="28"/>
    </row>
    <row r="468" spans="28:28">
      <c r="AB468" s="28"/>
    </row>
    <row r="469" spans="28:28">
      <c r="AB469" s="28"/>
    </row>
    <row r="470" spans="28:28">
      <c r="AB470" s="28"/>
    </row>
    <row r="471" spans="28:28">
      <c r="AB471" s="28"/>
    </row>
    <row r="472" spans="28:28">
      <c r="AB472" s="28"/>
    </row>
    <row r="473" spans="28:28">
      <c r="AB473" s="28"/>
    </row>
    <row r="474" spans="28:28">
      <c r="AB474" s="28"/>
    </row>
    <row r="475" spans="28:28">
      <c r="AB475" s="28"/>
    </row>
    <row r="476" spans="28:28">
      <c r="AB476" s="28"/>
    </row>
    <row r="477" spans="28:28">
      <c r="AB477" s="28"/>
    </row>
    <row r="478" spans="28:28">
      <c r="AB478" s="28"/>
    </row>
    <row r="479" spans="28:28">
      <c r="AB479" s="28"/>
    </row>
    <row r="480" spans="28:28">
      <c r="AB480" s="28"/>
    </row>
    <row r="481" spans="28:28">
      <c r="AB481" s="28"/>
    </row>
    <row r="482" spans="28:28">
      <c r="AB482" s="28"/>
    </row>
    <row r="483" spans="28:28">
      <c r="AB483" s="28"/>
    </row>
    <row r="484" spans="28:28">
      <c r="AB484" s="28"/>
    </row>
    <row r="485" spans="28:28">
      <c r="AB485" s="28"/>
    </row>
    <row r="486" spans="28:28">
      <c r="AB486" s="28"/>
    </row>
    <row r="487" spans="28:28">
      <c r="AB487" s="28"/>
    </row>
    <row r="488" spans="28:28">
      <c r="AB488" s="28"/>
    </row>
    <row r="489" spans="28:28">
      <c r="AB489" s="28"/>
    </row>
    <row r="490" spans="28:28">
      <c r="AB490" s="28"/>
    </row>
    <row r="491" spans="28:28">
      <c r="AB491" s="28"/>
    </row>
    <row r="492" spans="28:28">
      <c r="AB492" s="28"/>
    </row>
    <row r="493" spans="28:28">
      <c r="AB493" s="28"/>
    </row>
    <row r="494" spans="28:28">
      <c r="AB494" s="28"/>
    </row>
    <row r="495" spans="28:28">
      <c r="AB495" s="28"/>
    </row>
    <row r="496" spans="28:28">
      <c r="AB496" s="28"/>
    </row>
    <row r="497" spans="28:28">
      <c r="AB497" s="28"/>
    </row>
    <row r="498" spans="28:28">
      <c r="AB498" s="28"/>
    </row>
    <row r="499" spans="28:28">
      <c r="AB499" s="28"/>
    </row>
    <row r="500" spans="28:28">
      <c r="AB500" s="28"/>
    </row>
    <row r="501" spans="28:28">
      <c r="AB501" s="28"/>
    </row>
    <row r="502" spans="28:28">
      <c r="AB502" s="28"/>
    </row>
    <row r="503" spans="28:28">
      <c r="AB503" s="28"/>
    </row>
    <row r="504" spans="28:28">
      <c r="AB504" s="28"/>
    </row>
    <row r="505" spans="28:28">
      <c r="AB505" s="28"/>
    </row>
    <row r="506" spans="28:28">
      <c r="AB506" s="28"/>
    </row>
    <row r="507" spans="28:28">
      <c r="AB507" s="28"/>
    </row>
    <row r="508" spans="28:28">
      <c r="AB508" s="28"/>
    </row>
    <row r="509" spans="28:28">
      <c r="AB509" s="28"/>
    </row>
    <row r="510" spans="28:28">
      <c r="AB510" s="28"/>
    </row>
    <row r="511" spans="28:28">
      <c r="AB511" s="28"/>
    </row>
    <row r="512" spans="28:28">
      <c r="AB512" s="28"/>
    </row>
    <row r="513" spans="28:28">
      <c r="AB513" s="28"/>
    </row>
    <row r="514" spans="28:28">
      <c r="AB514" s="28"/>
    </row>
    <row r="515" spans="28:28">
      <c r="AB515" s="28"/>
    </row>
    <row r="516" spans="28:28">
      <c r="AB516" s="28"/>
    </row>
    <row r="517" spans="28:28">
      <c r="AB517" s="28"/>
    </row>
    <row r="518" spans="28:28">
      <c r="AB518" s="28"/>
    </row>
    <row r="519" spans="28:28">
      <c r="AB519" s="28"/>
    </row>
    <row r="520" spans="28:28">
      <c r="AB520" s="28"/>
    </row>
    <row r="521" spans="28:28">
      <c r="AB521" s="28"/>
    </row>
    <row r="522" spans="28:28">
      <c r="AB522" s="28"/>
    </row>
    <row r="523" spans="28:28">
      <c r="AB523" s="28"/>
    </row>
    <row r="524" spans="28:28">
      <c r="AB524" s="28"/>
    </row>
    <row r="525" spans="28:28">
      <c r="AB525" s="28"/>
    </row>
    <row r="526" spans="28:28">
      <c r="AB526" s="28"/>
    </row>
    <row r="527" spans="28:28">
      <c r="AB527" s="28"/>
    </row>
    <row r="528" spans="28:28">
      <c r="AB528" s="28"/>
    </row>
    <row r="529" spans="28:28">
      <c r="AB529" s="28"/>
    </row>
    <row r="530" spans="28:28">
      <c r="AB530" s="28"/>
    </row>
    <row r="531" spans="28:28">
      <c r="AB531" s="28"/>
    </row>
    <row r="532" spans="28:28">
      <c r="AB532" s="28"/>
    </row>
    <row r="533" spans="28:28">
      <c r="AB533" s="28"/>
    </row>
    <row r="534" spans="28:28">
      <c r="AB534" s="28"/>
    </row>
    <row r="535" spans="28:28">
      <c r="AB535" s="28"/>
    </row>
    <row r="536" spans="28:28">
      <c r="AB536" s="28"/>
    </row>
    <row r="537" spans="28:28">
      <c r="AB537" s="28"/>
    </row>
    <row r="538" spans="28:28">
      <c r="AB538" s="28"/>
    </row>
    <row r="539" spans="28:28">
      <c r="AB539" s="28"/>
    </row>
    <row r="540" spans="28:28">
      <c r="AB540" s="28"/>
    </row>
    <row r="541" spans="28:28">
      <c r="AB541" s="28"/>
    </row>
    <row r="542" spans="28:28">
      <c r="AB542" s="28"/>
    </row>
    <row r="543" spans="28:28">
      <c r="AB543" s="28"/>
    </row>
    <row r="544" spans="28:28">
      <c r="AB544" s="28"/>
    </row>
    <row r="545" spans="28:28">
      <c r="AB545" s="28"/>
    </row>
    <row r="546" spans="28:28">
      <c r="AB546" s="28"/>
    </row>
    <row r="547" spans="28:28">
      <c r="AB547" s="28"/>
    </row>
    <row r="548" spans="28:28">
      <c r="AB548" s="28"/>
    </row>
    <row r="549" spans="28:28">
      <c r="AB549" s="28"/>
    </row>
    <row r="550" spans="28:28">
      <c r="AB550" s="28"/>
    </row>
    <row r="551" spans="28:28">
      <c r="AB551" s="28"/>
    </row>
    <row r="552" spans="28:28">
      <c r="AB552" s="28"/>
    </row>
    <row r="553" spans="28:28">
      <c r="AB553" s="28"/>
    </row>
    <row r="554" spans="28:28">
      <c r="AB554" s="28"/>
    </row>
    <row r="555" spans="28:28">
      <c r="AB555" s="28"/>
    </row>
    <row r="556" spans="28:28">
      <c r="AB556" s="28"/>
    </row>
    <row r="557" spans="28:28">
      <c r="AB557" s="28"/>
    </row>
    <row r="558" spans="28:28">
      <c r="AB558" s="28"/>
    </row>
    <row r="559" spans="28:28">
      <c r="AB559" s="28"/>
    </row>
    <row r="560" spans="28:28">
      <c r="AB560" s="28"/>
    </row>
    <row r="561" spans="28:28">
      <c r="AB561" s="28"/>
    </row>
    <row r="562" spans="28:28">
      <c r="AB562" s="28"/>
    </row>
    <row r="563" spans="28:28">
      <c r="AB563" s="28"/>
    </row>
    <row r="564" spans="28:28">
      <c r="AB564" s="28"/>
    </row>
    <row r="565" spans="28:28">
      <c r="AB565" s="28"/>
    </row>
    <row r="566" spans="28:28">
      <c r="AB566" s="28"/>
    </row>
    <row r="567" spans="28:28">
      <c r="AB567" s="28"/>
    </row>
    <row r="568" spans="28:28">
      <c r="AB568" s="28"/>
    </row>
    <row r="569" spans="28:28">
      <c r="AB569" s="28"/>
    </row>
    <row r="570" spans="28:28">
      <c r="AB570" s="28"/>
    </row>
    <row r="571" spans="28:28">
      <c r="AB571" s="28"/>
    </row>
    <row r="572" spans="28:28">
      <c r="AB572" s="28"/>
    </row>
    <row r="573" spans="28:28">
      <c r="AB573" s="28"/>
    </row>
    <row r="574" spans="28:28">
      <c r="AB574" s="28"/>
    </row>
    <row r="575" spans="28:28">
      <c r="AB575" s="28"/>
    </row>
    <row r="576" spans="28:28">
      <c r="AB576" s="28"/>
    </row>
    <row r="577" spans="28:28">
      <c r="AB577" s="28"/>
    </row>
    <row r="578" spans="28:28">
      <c r="AB578" s="28"/>
    </row>
    <row r="579" spans="28:28">
      <c r="AB579" s="28"/>
    </row>
    <row r="580" spans="28:28">
      <c r="AB580" s="28"/>
    </row>
    <row r="581" spans="28:28">
      <c r="AB581" s="28"/>
    </row>
    <row r="582" spans="28:28">
      <c r="AB582" s="28"/>
    </row>
    <row r="583" spans="28:28">
      <c r="AB583" s="28"/>
    </row>
    <row r="584" spans="28:28">
      <c r="AB584" s="28"/>
    </row>
    <row r="585" spans="28:28">
      <c r="AB585" s="28"/>
    </row>
    <row r="586" spans="28:28">
      <c r="AB586" s="28"/>
    </row>
    <row r="587" spans="28:28">
      <c r="AB587" s="28"/>
    </row>
    <row r="588" spans="28:28">
      <c r="AB588" s="28"/>
    </row>
    <row r="589" spans="28:28">
      <c r="AB589" s="28"/>
    </row>
    <row r="590" spans="28:28">
      <c r="AB590" s="28"/>
    </row>
    <row r="591" spans="28:28">
      <c r="AB591" s="28"/>
    </row>
    <row r="592" spans="28:28">
      <c r="AB592" s="28"/>
    </row>
    <row r="593" spans="28:28">
      <c r="AB593" s="28"/>
    </row>
    <row r="594" spans="28:28">
      <c r="AB594" s="28"/>
    </row>
    <row r="595" spans="28:28">
      <c r="AB595" s="28"/>
    </row>
    <row r="596" spans="28:28">
      <c r="AB596" s="28"/>
    </row>
    <row r="597" spans="28:28">
      <c r="AB597" s="28"/>
    </row>
    <row r="598" spans="28:28">
      <c r="AB598" s="28"/>
    </row>
    <row r="599" spans="28:28">
      <c r="AB599" s="28"/>
    </row>
    <row r="600" spans="28:28">
      <c r="AB600" s="28"/>
    </row>
    <row r="601" spans="28:28">
      <c r="AB601" s="28"/>
    </row>
    <row r="602" spans="28:28">
      <c r="AB602" s="28"/>
    </row>
    <row r="603" spans="28:28">
      <c r="AB603" s="28"/>
    </row>
    <row r="604" spans="28:28">
      <c r="AB604" s="28"/>
    </row>
    <row r="605" spans="28:28">
      <c r="AB605" s="28"/>
    </row>
    <row r="606" spans="28:28">
      <c r="AB606" s="28"/>
    </row>
    <row r="607" spans="28:28">
      <c r="AB607" s="28"/>
    </row>
    <row r="608" spans="28:28">
      <c r="AB608" s="28"/>
    </row>
    <row r="609" spans="28:28">
      <c r="AB609" s="28"/>
    </row>
    <row r="610" spans="28:28">
      <c r="AB610" s="28"/>
    </row>
    <row r="611" spans="28:28">
      <c r="AB611" s="28"/>
    </row>
    <row r="612" spans="28:28">
      <c r="AB612" s="28"/>
    </row>
    <row r="613" spans="28:28">
      <c r="AB613" s="28"/>
    </row>
    <row r="614" spans="28:28">
      <c r="AB614" s="28"/>
    </row>
    <row r="615" spans="28:28">
      <c r="AB615" s="28"/>
    </row>
    <row r="616" spans="28:28">
      <c r="AB616" s="28"/>
    </row>
    <row r="617" spans="28:28">
      <c r="AB617" s="28"/>
    </row>
    <row r="618" spans="28:28">
      <c r="AB618" s="28"/>
    </row>
    <row r="619" spans="28:28">
      <c r="AB619" s="28"/>
    </row>
    <row r="620" spans="28:28">
      <c r="AB620" s="28"/>
    </row>
    <row r="621" spans="28:28">
      <c r="AB621" s="28"/>
    </row>
    <row r="622" spans="28:28">
      <c r="AB622" s="28"/>
    </row>
    <row r="623" spans="28:28">
      <c r="AB623" s="28"/>
    </row>
    <row r="624" spans="28:28">
      <c r="AB624" s="28"/>
    </row>
    <row r="625" spans="28:28">
      <c r="AB625" s="28"/>
    </row>
    <row r="626" spans="28:28">
      <c r="AB626" s="28"/>
    </row>
    <row r="627" spans="28:28">
      <c r="AB627" s="28"/>
    </row>
    <row r="628" spans="28:28">
      <c r="AB628" s="28"/>
    </row>
    <row r="629" spans="28:28">
      <c r="AB629" s="28"/>
    </row>
    <row r="630" spans="28:28">
      <c r="AB630" s="28"/>
    </row>
    <row r="631" spans="28:28">
      <c r="AB631" s="28"/>
    </row>
    <row r="632" spans="28:28">
      <c r="AB632" s="28"/>
    </row>
    <row r="633" spans="28:28">
      <c r="AB633" s="28"/>
    </row>
    <row r="634" spans="28:28">
      <c r="AB634" s="28"/>
    </row>
    <row r="635" spans="28:28">
      <c r="AB635" s="28"/>
    </row>
    <row r="636" spans="28:28">
      <c r="AB636" s="28"/>
    </row>
    <row r="637" spans="28:28">
      <c r="AB637" s="28"/>
    </row>
    <row r="638" spans="28:28">
      <c r="AB638" s="28"/>
    </row>
    <row r="639" spans="28:28">
      <c r="AB639" s="28"/>
    </row>
    <row r="640" spans="28:28">
      <c r="AB640" s="28"/>
    </row>
    <row r="641" spans="28:28">
      <c r="AB641" s="28"/>
    </row>
    <row r="642" spans="28:28">
      <c r="AB642" s="28"/>
    </row>
    <row r="643" spans="28:28">
      <c r="AB643" s="28"/>
    </row>
    <row r="644" spans="28:28">
      <c r="AB644" s="28"/>
    </row>
    <row r="645" spans="28:28">
      <c r="AB645" s="28"/>
    </row>
    <row r="646" spans="28:28">
      <c r="AB646" s="28"/>
    </row>
    <row r="647" spans="28:28">
      <c r="AB647" s="28"/>
    </row>
    <row r="648" spans="28:28">
      <c r="AB648" s="28"/>
    </row>
    <row r="649" spans="28:28">
      <c r="AB649" s="28"/>
    </row>
    <row r="650" spans="28:28">
      <c r="AB650" s="28"/>
    </row>
    <row r="651" spans="28:28">
      <c r="AB651" s="28"/>
    </row>
    <row r="652" spans="28:28">
      <c r="AB652" s="28"/>
    </row>
    <row r="653" spans="28:28">
      <c r="AB653" s="28"/>
    </row>
    <row r="654" spans="28:28">
      <c r="AB654" s="28"/>
    </row>
    <row r="655" spans="28:28">
      <c r="AB655" s="28"/>
    </row>
    <row r="656" spans="28:28">
      <c r="AB656" s="28"/>
    </row>
    <row r="657" spans="28:28">
      <c r="AB657" s="28"/>
    </row>
    <row r="658" spans="28:28">
      <c r="AB658" s="28"/>
    </row>
    <row r="659" spans="28:28">
      <c r="AB659" s="28"/>
    </row>
    <row r="660" spans="28:28">
      <c r="AB660" s="28"/>
    </row>
    <row r="661" spans="28:28">
      <c r="AB661" s="28"/>
    </row>
    <row r="662" spans="28:28">
      <c r="AB662" s="28"/>
    </row>
    <row r="663" spans="28:28">
      <c r="AB663" s="28"/>
    </row>
    <row r="664" spans="28:28">
      <c r="AB664" s="28"/>
    </row>
    <row r="665" spans="28:28">
      <c r="AB665" s="28"/>
    </row>
    <row r="666" spans="28:28">
      <c r="AB666" s="28"/>
    </row>
    <row r="667" spans="28:28">
      <c r="AB667" s="28"/>
    </row>
    <row r="668" spans="28:28">
      <c r="AB668" s="28"/>
    </row>
    <row r="669" spans="28:28">
      <c r="AB669" s="28"/>
    </row>
    <row r="670" spans="28:28">
      <c r="AB670" s="28"/>
    </row>
    <row r="671" spans="28:28">
      <c r="AB671" s="28"/>
    </row>
    <row r="672" spans="28:28">
      <c r="AB672" s="28"/>
    </row>
    <row r="673" spans="28:28">
      <c r="AB673" s="28"/>
    </row>
    <row r="674" spans="28:28">
      <c r="AB674" s="28"/>
    </row>
    <row r="675" spans="28:28">
      <c r="AB675" s="28"/>
    </row>
    <row r="676" spans="28:28">
      <c r="AB676" s="28"/>
    </row>
    <row r="677" spans="28:28">
      <c r="AB677" s="28"/>
    </row>
    <row r="678" spans="28:28">
      <c r="AB678" s="28"/>
    </row>
    <row r="679" spans="28:28">
      <c r="AB679" s="28"/>
    </row>
    <row r="680" spans="28:28">
      <c r="AB680" s="28"/>
    </row>
    <row r="681" spans="28:28">
      <c r="AB681" s="28"/>
    </row>
    <row r="682" spans="28:28">
      <c r="AB682" s="28"/>
    </row>
    <row r="683" spans="28:28">
      <c r="AB683" s="28"/>
    </row>
    <row r="684" spans="28:28">
      <c r="AB684" s="28"/>
    </row>
    <row r="685" spans="28:28">
      <c r="AB685" s="28"/>
    </row>
    <row r="686" spans="28:28">
      <c r="AB686" s="28"/>
    </row>
    <row r="687" spans="28:28">
      <c r="AB687" s="28"/>
    </row>
    <row r="688" spans="28:28">
      <c r="AB688" s="28"/>
    </row>
    <row r="689" spans="28:28">
      <c r="AB689" s="28"/>
    </row>
    <row r="690" spans="28:28">
      <c r="AB690" s="28"/>
    </row>
    <row r="691" spans="28:28">
      <c r="AB691" s="28"/>
    </row>
    <row r="692" spans="28:28">
      <c r="AB692" s="28"/>
    </row>
    <row r="693" spans="28:28">
      <c r="AB693" s="28"/>
    </row>
    <row r="694" spans="28:28">
      <c r="AB694" s="28"/>
    </row>
    <row r="695" spans="28:28">
      <c r="AB695" s="28"/>
    </row>
    <row r="696" spans="28:28">
      <c r="AB696" s="28"/>
    </row>
    <row r="697" spans="28:28">
      <c r="AB697" s="28"/>
    </row>
    <row r="698" spans="28:28">
      <c r="AB698" s="28"/>
    </row>
    <row r="699" spans="28:28">
      <c r="AB699" s="28"/>
    </row>
    <row r="700" spans="28:28">
      <c r="AB700" s="28"/>
    </row>
    <row r="701" spans="28:28">
      <c r="AB701" s="28"/>
    </row>
    <row r="702" spans="28:28">
      <c r="AB702" s="28"/>
    </row>
    <row r="703" spans="28:28">
      <c r="AB703" s="28"/>
    </row>
    <row r="704" spans="28:28">
      <c r="AB704" s="28"/>
    </row>
    <row r="705" spans="28:28">
      <c r="AB705" s="28"/>
    </row>
    <row r="706" spans="28:28">
      <c r="AB706" s="28"/>
    </row>
    <row r="707" spans="28:28">
      <c r="AB707" s="28"/>
    </row>
    <row r="708" spans="28:28">
      <c r="AB708" s="28"/>
    </row>
    <row r="709" spans="28:28">
      <c r="AB709" s="28"/>
    </row>
    <row r="710" spans="28:28">
      <c r="AB710" s="28"/>
    </row>
    <row r="711" spans="28:28">
      <c r="AB711" s="28"/>
    </row>
    <row r="712" spans="28:28">
      <c r="AB712" s="28"/>
    </row>
    <row r="713" spans="28:28">
      <c r="AB713" s="28"/>
    </row>
    <row r="714" spans="28:28">
      <c r="AB714" s="28"/>
    </row>
    <row r="715" spans="28:28">
      <c r="AB715" s="28"/>
    </row>
    <row r="716" spans="28:28">
      <c r="AB716" s="28"/>
    </row>
    <row r="717" spans="28:28">
      <c r="AB717" s="28"/>
    </row>
    <row r="718" spans="28:28">
      <c r="AB718" s="28"/>
    </row>
    <row r="719" spans="28:28">
      <c r="AB719" s="28"/>
    </row>
    <row r="720" spans="28:28">
      <c r="AB720" s="28"/>
    </row>
    <row r="721" spans="28:28">
      <c r="AB721" s="28"/>
    </row>
    <row r="722" spans="28:28">
      <c r="AB722" s="28"/>
    </row>
    <row r="723" spans="28:28">
      <c r="AB723" s="28"/>
    </row>
    <row r="724" spans="28:28">
      <c r="AB724" s="28"/>
    </row>
    <row r="725" spans="28:28">
      <c r="AB725" s="28"/>
    </row>
    <row r="726" spans="28:28">
      <c r="AB726" s="28"/>
    </row>
    <row r="727" spans="28:28">
      <c r="AB727" s="28"/>
    </row>
    <row r="728" spans="28:28">
      <c r="AB728" s="28"/>
    </row>
    <row r="729" spans="28:28">
      <c r="AB729" s="28"/>
    </row>
    <row r="730" spans="28:28">
      <c r="AB730" s="28"/>
    </row>
    <row r="731" spans="28:28">
      <c r="AB731" s="28"/>
    </row>
    <row r="732" spans="28:28">
      <c r="AB732" s="28"/>
    </row>
    <row r="733" spans="28:28">
      <c r="AB733" s="28"/>
    </row>
    <row r="734" spans="28:28">
      <c r="AB734" s="28"/>
    </row>
    <row r="735" spans="28:28">
      <c r="AB735" s="28"/>
    </row>
    <row r="736" spans="28:28">
      <c r="AB736" s="28"/>
    </row>
    <row r="737" spans="28:28">
      <c r="AB737" s="28"/>
    </row>
    <row r="738" spans="28:28">
      <c r="AB738" s="28"/>
    </row>
    <row r="739" spans="28:28">
      <c r="AB739" s="28"/>
    </row>
    <row r="740" spans="28:28">
      <c r="AB740" s="28"/>
    </row>
    <row r="741" spans="28:28">
      <c r="AB741" s="28"/>
    </row>
    <row r="742" spans="28:28">
      <c r="AB742" s="28"/>
    </row>
    <row r="743" spans="28:28">
      <c r="AB743" s="28"/>
    </row>
    <row r="744" spans="28:28">
      <c r="AB744" s="28"/>
    </row>
    <row r="745" spans="28:28">
      <c r="AB745" s="28"/>
    </row>
    <row r="746" spans="28:28">
      <c r="AB746" s="28"/>
    </row>
    <row r="747" spans="28:28">
      <c r="AB747" s="28"/>
    </row>
    <row r="748" spans="28:28">
      <c r="AB748" s="28"/>
    </row>
    <row r="749" spans="28:28">
      <c r="AB749" s="28"/>
    </row>
    <row r="750" spans="28:28">
      <c r="AB750" s="28"/>
    </row>
    <row r="751" spans="28:28">
      <c r="AB751" s="28"/>
    </row>
    <row r="752" spans="28:28">
      <c r="AB752" s="28"/>
    </row>
    <row r="753" spans="28:28">
      <c r="AB753" s="28"/>
    </row>
    <row r="754" spans="28:28">
      <c r="AB754" s="28"/>
    </row>
    <row r="755" spans="28:28">
      <c r="AB755" s="28"/>
    </row>
    <row r="756" spans="28:28">
      <c r="AB756" s="28"/>
    </row>
    <row r="757" spans="28:28">
      <c r="AB757" s="28"/>
    </row>
    <row r="758" spans="28:28">
      <c r="AB758" s="28"/>
    </row>
    <row r="759" spans="28:28">
      <c r="AB759" s="28"/>
    </row>
    <row r="760" spans="28:28">
      <c r="AB760" s="28"/>
    </row>
    <row r="761" spans="28:28">
      <c r="AB761" s="28"/>
    </row>
    <row r="762" spans="28:28">
      <c r="AB762" s="28"/>
    </row>
    <row r="763" spans="28:28">
      <c r="AB763" s="28"/>
    </row>
    <row r="764" spans="28:28">
      <c r="AB764" s="28"/>
    </row>
    <row r="765" spans="28:28">
      <c r="AB765" s="28"/>
    </row>
    <row r="766" spans="28:28">
      <c r="AB766" s="28"/>
    </row>
    <row r="767" spans="28:28">
      <c r="AB767" s="28"/>
    </row>
    <row r="768" spans="28:28">
      <c r="AB768" s="28"/>
    </row>
    <row r="769" spans="28:28">
      <c r="AB769" s="28"/>
    </row>
    <row r="770" spans="28:28">
      <c r="AB770" s="28"/>
    </row>
    <row r="771" spans="28:28">
      <c r="AB771" s="28"/>
    </row>
    <row r="772" spans="28:28">
      <c r="AB772" s="28"/>
    </row>
    <row r="773" spans="28:28">
      <c r="AB773" s="28"/>
    </row>
    <row r="774" spans="28:28">
      <c r="AB774" s="28"/>
    </row>
    <row r="775" spans="28:28">
      <c r="AB775" s="28"/>
    </row>
    <row r="776" spans="28:28">
      <c r="AB776" s="28"/>
    </row>
    <row r="777" spans="28:28">
      <c r="AB777" s="28"/>
    </row>
    <row r="778" spans="28:28">
      <c r="AB778" s="28"/>
    </row>
    <row r="779" spans="28:28">
      <c r="AB779" s="28"/>
    </row>
    <row r="780" spans="28:28">
      <c r="AB780" s="28"/>
    </row>
    <row r="781" spans="28:28">
      <c r="AB781" s="28"/>
    </row>
    <row r="782" spans="28:28">
      <c r="AB782" s="28"/>
    </row>
    <row r="783" spans="28:28">
      <c r="AB783" s="28"/>
    </row>
    <row r="784" spans="28:28">
      <c r="AB784" s="28"/>
    </row>
    <row r="785" spans="28:28">
      <c r="AB785" s="28"/>
    </row>
    <row r="786" spans="28:28">
      <c r="AB786" s="28"/>
    </row>
    <row r="787" spans="28:28">
      <c r="AB787" s="28"/>
    </row>
    <row r="788" spans="28:28">
      <c r="AB788" s="28"/>
    </row>
    <row r="789" spans="28:28">
      <c r="AB789" s="28"/>
    </row>
    <row r="790" spans="28:28">
      <c r="AB790" s="28"/>
    </row>
    <row r="791" spans="28:28">
      <c r="AB791" s="28"/>
    </row>
    <row r="792" spans="28:28">
      <c r="AB792" s="28"/>
    </row>
    <row r="793" spans="28:28">
      <c r="AB793" s="28"/>
    </row>
    <row r="794" spans="28:28">
      <c r="AB794" s="28"/>
    </row>
    <row r="795" spans="28:28">
      <c r="AB795" s="28"/>
    </row>
    <row r="796" spans="28:28">
      <c r="AB796" s="28"/>
    </row>
    <row r="797" spans="28:28">
      <c r="AB797" s="28"/>
    </row>
    <row r="798" spans="28:28">
      <c r="AB798" s="28"/>
    </row>
    <row r="799" spans="28:28">
      <c r="AB799" s="28"/>
    </row>
    <row r="800" spans="28:28">
      <c r="AB800" s="28"/>
    </row>
    <row r="801" spans="28:28">
      <c r="AB801" s="28"/>
    </row>
    <row r="802" spans="28:28">
      <c r="AB802" s="28"/>
    </row>
    <row r="803" spans="28:28">
      <c r="AB803" s="28"/>
    </row>
    <row r="804" spans="28:28">
      <c r="AB804" s="28"/>
    </row>
    <row r="805" spans="28:28">
      <c r="AB805" s="28"/>
    </row>
    <row r="806" spans="28:28">
      <c r="AB806" s="28"/>
    </row>
    <row r="807" spans="28:28">
      <c r="AB807" s="28"/>
    </row>
    <row r="808" spans="28:28">
      <c r="AB808" s="28"/>
    </row>
    <row r="809" spans="28:28">
      <c r="AB809" s="28"/>
    </row>
    <row r="810" spans="28:28">
      <c r="AB810" s="28"/>
    </row>
    <row r="811" spans="28:28">
      <c r="AB811" s="28"/>
    </row>
    <row r="812" spans="28:28">
      <c r="AB812" s="28"/>
    </row>
    <row r="813" spans="28:28">
      <c r="AB813" s="28"/>
    </row>
    <row r="814" spans="28:28">
      <c r="AB814" s="28"/>
    </row>
    <row r="815" spans="28:28">
      <c r="AB815" s="28"/>
    </row>
    <row r="816" spans="28:28">
      <c r="AB816" s="28"/>
    </row>
    <row r="817" spans="28:28">
      <c r="AB817" s="28"/>
    </row>
    <row r="818" spans="28:28">
      <c r="AB818" s="28"/>
    </row>
    <row r="819" spans="28:28">
      <c r="AB819" s="28"/>
    </row>
    <row r="820" spans="28:28">
      <c r="AB820" s="28"/>
    </row>
    <row r="821" spans="28:28">
      <c r="AB821" s="28"/>
    </row>
    <row r="822" spans="28:28">
      <c r="AB822" s="28"/>
    </row>
    <row r="823" spans="28:28">
      <c r="AB823" s="28"/>
    </row>
    <row r="824" spans="28:28">
      <c r="AB824" s="28"/>
    </row>
    <row r="825" spans="28:28">
      <c r="AB825" s="28"/>
    </row>
    <row r="826" spans="28:28">
      <c r="AB826" s="28"/>
    </row>
    <row r="827" spans="28:28">
      <c r="AB827" s="28"/>
    </row>
    <row r="828" spans="28:28">
      <c r="AB828" s="28"/>
    </row>
    <row r="829" spans="28:28">
      <c r="AB829" s="28"/>
    </row>
    <row r="830" spans="28:28">
      <c r="AB830" s="28"/>
    </row>
    <row r="831" spans="28:28">
      <c r="AB831" s="28"/>
    </row>
    <row r="832" spans="28:28">
      <c r="AB832" s="28"/>
    </row>
    <row r="833" spans="28:28">
      <c r="AB833" s="28"/>
    </row>
    <row r="834" spans="28:28">
      <c r="AB834" s="28"/>
    </row>
    <row r="835" spans="28:28">
      <c r="AB835" s="28"/>
    </row>
    <row r="836" spans="28:28">
      <c r="AB836" s="28"/>
    </row>
    <row r="837" spans="28:28">
      <c r="AB837" s="28"/>
    </row>
    <row r="838" spans="28:28">
      <c r="AB838" s="28"/>
    </row>
    <row r="839" spans="28:28">
      <c r="AB839" s="28"/>
    </row>
    <row r="840" spans="28:28">
      <c r="AB840" s="28"/>
    </row>
    <row r="841" spans="28:28">
      <c r="AB841" s="28"/>
    </row>
    <row r="842" spans="28:28">
      <c r="AB842" s="28"/>
    </row>
    <row r="843" spans="28:28">
      <c r="AB843" s="28"/>
    </row>
    <row r="844" spans="28:28">
      <c r="AB844" s="28"/>
    </row>
    <row r="845" spans="28:28">
      <c r="AB845" s="28"/>
    </row>
    <row r="846" spans="28:28">
      <c r="AB846" s="28"/>
    </row>
    <row r="847" spans="28:28">
      <c r="AB847" s="28"/>
    </row>
    <row r="848" spans="28:28">
      <c r="AB848" s="28"/>
    </row>
    <row r="849" spans="28:28">
      <c r="AB849" s="28"/>
    </row>
    <row r="850" spans="28:28">
      <c r="AB850" s="28"/>
    </row>
    <row r="851" spans="28:28">
      <c r="AB851" s="28"/>
    </row>
    <row r="852" spans="28:28">
      <c r="AB852" s="28"/>
    </row>
    <row r="853" spans="28:28">
      <c r="AB853" s="28"/>
    </row>
    <row r="854" spans="28:28">
      <c r="AB854" s="28"/>
    </row>
    <row r="855" spans="28:28">
      <c r="AB855" s="28"/>
    </row>
    <row r="856" spans="28:28">
      <c r="AB856" s="28"/>
    </row>
    <row r="857" spans="28:28">
      <c r="AB857" s="28"/>
    </row>
    <row r="858" spans="28:28">
      <c r="AB858" s="28"/>
    </row>
    <row r="859" spans="28:28">
      <c r="AB859" s="28"/>
    </row>
    <row r="860" spans="28:28">
      <c r="AB860" s="28"/>
    </row>
    <row r="861" spans="28:28">
      <c r="AB861" s="28"/>
    </row>
    <row r="862" spans="28:28">
      <c r="AB862" s="28"/>
    </row>
    <row r="863" spans="28:28">
      <c r="AB863" s="28"/>
    </row>
    <row r="864" spans="28:28">
      <c r="AB864" s="28"/>
    </row>
    <row r="865" spans="28:28">
      <c r="AB865" s="28"/>
    </row>
    <row r="866" spans="28:28">
      <c r="AB866" s="28"/>
    </row>
    <row r="867" spans="28:28">
      <c r="AB867" s="28"/>
    </row>
    <row r="868" spans="28:28">
      <c r="AB868" s="28"/>
    </row>
    <row r="869" spans="28:28">
      <c r="AB869" s="28"/>
    </row>
    <row r="870" spans="28:28">
      <c r="AB870" s="28"/>
    </row>
    <row r="871" spans="28:28">
      <c r="AB871" s="28"/>
    </row>
    <row r="872" spans="28:28">
      <c r="AB872" s="28"/>
    </row>
    <row r="873" spans="28:28">
      <c r="AB873" s="28"/>
    </row>
    <row r="874" spans="28:28">
      <c r="AB874" s="28"/>
    </row>
    <row r="875" spans="28:28">
      <c r="AB875" s="28"/>
    </row>
    <row r="876" spans="28:28">
      <c r="AB876" s="28"/>
    </row>
    <row r="877" spans="28:28">
      <c r="AB877" s="28"/>
    </row>
    <row r="878" spans="28:28">
      <c r="AB878" s="28"/>
    </row>
    <row r="879" spans="28:28">
      <c r="AB879" s="28"/>
    </row>
    <row r="880" spans="28:28">
      <c r="AB880" s="28"/>
    </row>
    <row r="881" spans="28:28">
      <c r="AB881" s="28"/>
    </row>
    <row r="882" spans="28:28">
      <c r="AB882" s="28"/>
    </row>
    <row r="883" spans="28:28">
      <c r="AB883" s="28"/>
    </row>
    <row r="884" spans="28:28">
      <c r="AB884" s="28"/>
    </row>
    <row r="885" spans="28:28">
      <c r="AB885" s="28"/>
    </row>
    <row r="886" spans="28:28">
      <c r="AB886" s="28"/>
    </row>
    <row r="887" spans="28:28">
      <c r="AB887" s="28"/>
    </row>
    <row r="888" spans="28:28">
      <c r="AB888" s="28"/>
    </row>
    <row r="889" spans="28:28">
      <c r="AB889" s="28"/>
    </row>
    <row r="890" spans="28:28">
      <c r="AB890" s="28"/>
    </row>
    <row r="891" spans="28:28">
      <c r="AB891" s="28"/>
    </row>
    <row r="892" spans="28:28">
      <c r="AB892" s="28"/>
    </row>
    <row r="893" spans="28:28">
      <c r="AB893" s="28"/>
    </row>
  </sheetData>
  <sortState xmlns:xlrd2="http://schemas.microsoft.com/office/spreadsheetml/2017/richdata2" ref="A2:AC896">
    <sortCondition ref="F1:F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4">
    <tabColor theme="9" tint="0.79998168889431442"/>
  </sheetPr>
  <dimension ref="A1:AI13"/>
  <sheetViews>
    <sheetView topLeftCell="P1" workbookViewId="0">
      <selection activeCell="A2" sqref="A2:AG14"/>
    </sheetView>
  </sheetViews>
  <sheetFormatPr baseColWidth="10" defaultColWidth="11.42578125" defaultRowHeight="15"/>
  <cols>
    <col min="1" max="3" width="11.42578125" style="78" customWidth="1"/>
    <col min="4" max="4" width="11.42578125" style="28" customWidth="1"/>
    <col min="5" max="6" width="11.42578125" style="78" customWidth="1"/>
    <col min="7" max="7" width="11.42578125" style="28" customWidth="1"/>
    <col min="8" max="10" width="11.42578125" style="78" customWidth="1"/>
    <col min="11" max="11" width="11.42578125" style="28" customWidth="1"/>
    <col min="12" max="12" width="9.42578125" style="78" bestFit="1" customWidth="1"/>
    <col min="13" max="15" width="11.42578125" style="78" customWidth="1"/>
    <col min="16" max="16" width="18.28515625" style="175" customWidth="1"/>
    <col min="17" max="18" width="11.42578125" style="78" customWidth="1"/>
    <col min="19" max="21" width="11.42578125" style="78"/>
    <col min="22" max="24" width="11.42578125" style="28"/>
    <col min="25" max="27" width="11.42578125" style="78"/>
    <col min="28" max="28" width="11.42578125" style="28"/>
    <col min="29" max="29" width="12.85546875" style="175" bestFit="1" customWidth="1"/>
    <col min="30" max="32" width="11.42578125" style="78"/>
    <col min="33" max="33" width="11.42578125" style="28"/>
    <col min="34" max="16384" width="11.42578125" style="78"/>
  </cols>
  <sheetData>
    <row r="1" spans="1:35" s="77" customFormat="1" ht="90">
      <c r="A1" s="75" t="s">
        <v>41</v>
      </c>
      <c r="B1" s="75" t="s">
        <v>42</v>
      </c>
      <c r="C1" s="75" t="s">
        <v>43</v>
      </c>
      <c r="D1" s="177" t="s">
        <v>44</v>
      </c>
      <c r="E1" s="75" t="s">
        <v>45</v>
      </c>
      <c r="F1" s="75" t="s">
        <v>46</v>
      </c>
      <c r="G1" s="177" t="s">
        <v>47</v>
      </c>
      <c r="H1" s="75" t="s">
        <v>48</v>
      </c>
      <c r="I1" s="75" t="s">
        <v>49</v>
      </c>
      <c r="J1" s="75" t="s">
        <v>50</v>
      </c>
      <c r="K1" s="177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176" t="s">
        <v>62</v>
      </c>
      <c r="W1" s="176" t="s">
        <v>63</v>
      </c>
      <c r="X1" s="176" t="s">
        <v>64</v>
      </c>
      <c r="Y1" s="76" t="s">
        <v>65</v>
      </c>
      <c r="Z1" s="76" t="s">
        <v>66</v>
      </c>
      <c r="AA1" s="76" t="s">
        <v>67</v>
      </c>
      <c r="AB1" s="176" t="s">
        <v>68</v>
      </c>
      <c r="AC1" s="166" t="s">
        <v>69</v>
      </c>
      <c r="AD1" s="76" t="s">
        <v>70</v>
      </c>
      <c r="AE1" s="76" t="s">
        <v>71</v>
      </c>
      <c r="AF1" s="76" t="s">
        <v>72</v>
      </c>
      <c r="AG1" s="176" t="s">
        <v>73</v>
      </c>
      <c r="AH1" s="76" t="s">
        <v>87</v>
      </c>
    </row>
    <row r="2" spans="1:35">
      <c r="AI2" s="165"/>
    </row>
    <row r="3" spans="1:35" s="165" customFormat="1">
      <c r="D3" s="28"/>
      <c r="G3" s="28"/>
      <c r="K3" s="28"/>
      <c r="P3" s="175"/>
      <c r="V3" s="28"/>
      <c r="W3" s="28"/>
      <c r="X3" s="28"/>
      <c r="AB3" s="28"/>
      <c r="AC3" s="175"/>
      <c r="AG3" s="28"/>
    </row>
    <row r="4" spans="1:35" s="165" customFormat="1">
      <c r="D4" s="28"/>
      <c r="G4" s="28"/>
      <c r="K4" s="28"/>
      <c r="P4" s="175"/>
      <c r="V4" s="28"/>
      <c r="W4" s="28"/>
      <c r="X4" s="28"/>
      <c r="AB4" s="28"/>
      <c r="AC4" s="175"/>
      <c r="AG4" s="28"/>
    </row>
    <row r="5" spans="1:35" s="165" customFormat="1">
      <c r="D5" s="28"/>
      <c r="G5" s="28"/>
      <c r="K5" s="28"/>
      <c r="P5" s="175"/>
      <c r="V5" s="28"/>
      <c r="W5" s="28"/>
      <c r="X5" s="28"/>
      <c r="AB5" s="28"/>
      <c r="AC5" s="175"/>
      <c r="AG5" s="28"/>
    </row>
    <row r="6" spans="1:35" s="165" customFormat="1">
      <c r="D6" s="28"/>
      <c r="G6" s="28"/>
      <c r="K6" s="28"/>
      <c r="P6" s="175"/>
      <c r="V6" s="28"/>
      <c r="W6" s="28"/>
      <c r="X6" s="28"/>
      <c r="AB6" s="28"/>
      <c r="AC6" s="175"/>
      <c r="AG6" s="28"/>
    </row>
    <row r="7" spans="1:35" s="165" customFormat="1">
      <c r="D7" s="28"/>
      <c r="G7" s="28"/>
      <c r="K7" s="28"/>
      <c r="P7" s="175"/>
      <c r="V7" s="28"/>
      <c r="W7" s="28"/>
      <c r="X7" s="28"/>
      <c r="AB7" s="28"/>
      <c r="AC7" s="175"/>
      <c r="AG7" s="28"/>
    </row>
    <row r="8" spans="1:35" s="165" customFormat="1">
      <c r="D8" s="28"/>
      <c r="G8" s="28"/>
      <c r="K8" s="28"/>
      <c r="P8" s="175"/>
      <c r="V8" s="28"/>
      <c r="W8" s="28"/>
      <c r="X8" s="28"/>
      <c r="AB8" s="28"/>
      <c r="AC8" s="175"/>
      <c r="AG8" s="28"/>
    </row>
    <row r="9" spans="1:35" s="165" customFormat="1">
      <c r="D9" s="28"/>
      <c r="G9" s="28"/>
      <c r="K9" s="28"/>
      <c r="P9" s="175"/>
      <c r="V9" s="28"/>
      <c r="W9" s="28"/>
      <c r="X9" s="28"/>
      <c r="AB9" s="28"/>
      <c r="AC9" s="175"/>
      <c r="AG9" s="28"/>
    </row>
    <row r="10" spans="1:35" s="165" customFormat="1">
      <c r="D10" s="28"/>
      <c r="G10" s="28"/>
      <c r="K10" s="28"/>
      <c r="P10" s="175"/>
      <c r="V10" s="28"/>
      <c r="W10" s="28"/>
      <c r="X10" s="28"/>
      <c r="AB10" s="28"/>
      <c r="AC10" s="175"/>
      <c r="AG10" s="28"/>
    </row>
    <row r="11" spans="1:35" s="165" customFormat="1">
      <c r="D11" s="28"/>
      <c r="G11" s="28"/>
      <c r="K11" s="28"/>
      <c r="P11" s="175"/>
      <c r="V11" s="28"/>
      <c r="W11" s="28"/>
      <c r="X11" s="28"/>
      <c r="AB11" s="28"/>
      <c r="AC11" s="175"/>
      <c r="AG11" s="28"/>
    </row>
    <row r="12" spans="1:35" s="165" customFormat="1">
      <c r="D12" s="28"/>
      <c r="G12" s="28"/>
      <c r="K12" s="28"/>
      <c r="P12" s="175"/>
      <c r="V12" s="28"/>
      <c r="W12" s="28"/>
      <c r="X12" s="28"/>
      <c r="AB12" s="28"/>
      <c r="AC12" s="175"/>
      <c r="AG12" s="28"/>
    </row>
    <row r="13" spans="1:35" s="165" customFormat="1">
      <c r="D13" s="28"/>
      <c r="G13" s="28"/>
      <c r="K13" s="28"/>
      <c r="P13" s="175"/>
      <c r="V13" s="28"/>
      <c r="W13" s="28"/>
      <c r="X13" s="28"/>
      <c r="AB13" s="28"/>
      <c r="AC13" s="175"/>
      <c r="AG13" s="28"/>
    </row>
  </sheetData>
  <sortState xmlns:xlrd2="http://schemas.microsoft.com/office/spreadsheetml/2017/richdata2" ref="A2:AG14">
    <sortCondition ref="F1:F104857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6">
    <tabColor theme="9" tint="0.79998168889431442"/>
  </sheetPr>
  <dimension ref="A1:AH1"/>
  <sheetViews>
    <sheetView workbookViewId="0">
      <selection activeCell="A2" sqref="A2:AG1048576"/>
    </sheetView>
  </sheetViews>
  <sheetFormatPr baseColWidth="10" defaultColWidth="11.42578125" defaultRowHeight="15"/>
  <cols>
    <col min="1" max="3" width="11.42578125" style="78" customWidth="1"/>
    <col min="4" max="4" width="11.42578125" style="28" customWidth="1"/>
    <col min="5" max="5" width="11.42578125" style="78" customWidth="1"/>
    <col min="6" max="6" width="14" style="78" bestFit="1" customWidth="1"/>
    <col min="7" max="7" width="11.42578125" style="28" customWidth="1"/>
    <col min="8" max="8" width="8.7109375" style="78" bestFit="1" customWidth="1"/>
    <col min="9" max="9" width="24.140625" style="78" bestFit="1" customWidth="1"/>
    <col min="10" max="10" width="11.42578125" style="78" customWidth="1"/>
    <col min="11" max="11" width="11.42578125" style="28" customWidth="1"/>
    <col min="12" max="12" width="14.140625" style="78" bestFit="1" customWidth="1"/>
    <col min="13" max="15" width="11.42578125" style="78" customWidth="1"/>
    <col min="16" max="16" width="18.28515625" style="175" customWidth="1"/>
    <col min="17" max="18" width="11.42578125" style="78" customWidth="1"/>
    <col min="19" max="21" width="11.42578125" style="78"/>
    <col min="22" max="24" width="11.42578125" style="28"/>
    <col min="25" max="28" width="11.42578125" style="78"/>
    <col min="29" max="29" width="13.85546875" style="175" bestFit="1" customWidth="1"/>
    <col min="30" max="30" width="11.42578125" style="78"/>
    <col min="31" max="31" width="13.85546875" style="175" bestFit="1" customWidth="1"/>
    <col min="32" max="32" width="11.42578125" style="78"/>
    <col min="33" max="33" width="11.42578125" style="28"/>
    <col min="34" max="16384" width="11.42578125" style="78"/>
  </cols>
  <sheetData>
    <row r="1" spans="1:34" s="77" customFormat="1" ht="90">
      <c r="A1" s="75" t="s">
        <v>41</v>
      </c>
      <c r="B1" s="75" t="s">
        <v>42</v>
      </c>
      <c r="C1" s="75" t="s">
        <v>43</v>
      </c>
      <c r="D1" s="177" t="s">
        <v>44</v>
      </c>
      <c r="E1" s="75" t="s">
        <v>45</v>
      </c>
      <c r="F1" s="75" t="s">
        <v>46</v>
      </c>
      <c r="G1" s="177" t="s">
        <v>47</v>
      </c>
      <c r="H1" s="75" t="s">
        <v>48</v>
      </c>
      <c r="I1" s="75" t="s">
        <v>49</v>
      </c>
      <c r="J1" s="75" t="s">
        <v>50</v>
      </c>
      <c r="K1" s="177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176" t="s">
        <v>62</v>
      </c>
      <c r="W1" s="176" t="s">
        <v>63</v>
      </c>
      <c r="X1" s="17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166" t="s">
        <v>69</v>
      </c>
      <c r="AD1" s="76" t="s">
        <v>70</v>
      </c>
      <c r="AE1" s="166" t="s">
        <v>71</v>
      </c>
      <c r="AF1" s="76" t="s">
        <v>72</v>
      </c>
      <c r="AG1" s="176" t="s">
        <v>73</v>
      </c>
      <c r="AH1" s="76" t="s">
        <v>87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theme="9" tint="0.79998168889431442"/>
  </sheetPr>
  <dimension ref="A1:AH2"/>
  <sheetViews>
    <sheetView workbookViewId="0">
      <selection activeCell="A2" sqref="A2"/>
    </sheetView>
  </sheetViews>
  <sheetFormatPr baseColWidth="10" defaultColWidth="11.42578125" defaultRowHeight="15"/>
  <cols>
    <col min="1" max="3" width="11.42578125" style="78" customWidth="1"/>
    <col min="4" max="4" width="11.42578125" style="28" customWidth="1"/>
    <col min="5" max="6" width="11.42578125" style="78" customWidth="1"/>
    <col min="7" max="7" width="11.42578125" style="28" customWidth="1"/>
    <col min="8" max="11" width="11.42578125" style="78" customWidth="1"/>
    <col min="12" max="12" width="37.5703125" style="78" bestFit="1" customWidth="1"/>
    <col min="13" max="15" width="11.42578125" style="78" customWidth="1"/>
    <col min="16" max="16" width="15.28515625" style="78" customWidth="1"/>
    <col min="17" max="18" width="11.42578125" style="78"/>
    <col min="19" max="19" width="16.85546875" style="78" bestFit="1" customWidth="1"/>
    <col min="20" max="20" width="8" style="78" bestFit="1" customWidth="1"/>
    <col min="21" max="21" width="11.42578125" style="78"/>
    <col min="22" max="24" width="11.42578125" style="28"/>
    <col min="25" max="28" width="11.42578125" style="78"/>
    <col min="29" max="29" width="13.85546875" style="78" bestFit="1" customWidth="1"/>
    <col min="30" max="31" width="11.42578125" style="78"/>
    <col min="32" max="32" width="14.85546875" style="78" customWidth="1"/>
    <col min="33" max="33" width="11.42578125" style="28"/>
    <col min="34" max="16384" width="11.42578125" style="78"/>
  </cols>
  <sheetData>
    <row r="1" spans="1:34" s="77" customFormat="1" ht="90">
      <c r="A1" s="75" t="s">
        <v>41</v>
      </c>
      <c r="B1" s="75" t="s">
        <v>42</v>
      </c>
      <c r="C1" s="75" t="s">
        <v>43</v>
      </c>
      <c r="D1" s="177" t="s">
        <v>44</v>
      </c>
      <c r="E1" s="75" t="s">
        <v>45</v>
      </c>
      <c r="F1" s="75" t="s">
        <v>46</v>
      </c>
      <c r="G1" s="177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166" t="s">
        <v>62</v>
      </c>
      <c r="W1" s="166" t="s">
        <v>63</v>
      </c>
      <c r="X1" s="16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76" t="s">
        <v>69</v>
      </c>
      <c r="AD1" s="76" t="s">
        <v>70</v>
      </c>
      <c r="AE1" s="76" t="s">
        <v>71</v>
      </c>
      <c r="AF1" s="76" t="s">
        <v>72</v>
      </c>
      <c r="AG1" s="166" t="s">
        <v>73</v>
      </c>
      <c r="AH1" s="76" t="s">
        <v>87</v>
      </c>
    </row>
    <row r="2" spans="1:34">
      <c r="P2" s="175"/>
      <c r="AC2" s="175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8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46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76" t="s">
        <v>62</v>
      </c>
      <c r="W1" s="76" t="s">
        <v>63</v>
      </c>
      <c r="X1" s="7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76" t="s">
        <v>69</v>
      </c>
      <c r="AD1" s="76" t="s">
        <v>70</v>
      </c>
      <c r="AE1" s="76" t="s">
        <v>71</v>
      </c>
      <c r="AF1" s="76" t="s">
        <v>72</v>
      </c>
      <c r="AG1" s="76" t="s">
        <v>73</v>
      </c>
      <c r="AH1" s="166" t="s">
        <v>74</v>
      </c>
      <c r="AI1" s="167" t="s">
        <v>75</v>
      </c>
      <c r="AJ1" s="167" t="s">
        <v>76</v>
      </c>
      <c r="AK1" s="167" t="s">
        <v>77</v>
      </c>
      <c r="AL1" s="167" t="s">
        <v>78</v>
      </c>
      <c r="AM1" s="167" t="s">
        <v>79</v>
      </c>
      <c r="AN1" s="167" t="s">
        <v>80</v>
      </c>
      <c r="AO1" s="167" t="s">
        <v>81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9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46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76" t="s">
        <v>62</v>
      </c>
      <c r="W1" s="76" t="s">
        <v>63</v>
      </c>
      <c r="X1" s="7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76" t="s">
        <v>69</v>
      </c>
      <c r="AD1" s="76" t="s">
        <v>70</v>
      </c>
      <c r="AE1" s="76" t="s">
        <v>71</v>
      </c>
      <c r="AF1" s="76" t="s">
        <v>72</v>
      </c>
      <c r="AG1" s="76" t="s">
        <v>73</v>
      </c>
      <c r="AH1" s="166" t="s">
        <v>74</v>
      </c>
      <c r="AI1" s="167" t="s">
        <v>75</v>
      </c>
      <c r="AJ1" s="167" t="s">
        <v>76</v>
      </c>
      <c r="AK1" s="167" t="s">
        <v>77</v>
      </c>
      <c r="AL1" s="167" t="s">
        <v>78</v>
      </c>
      <c r="AM1" s="167" t="s">
        <v>79</v>
      </c>
      <c r="AN1" s="167" t="s">
        <v>80</v>
      </c>
      <c r="AO1" s="167" t="s">
        <v>81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0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46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76" t="s">
        <v>62</v>
      </c>
      <c r="W1" s="76" t="s">
        <v>63</v>
      </c>
      <c r="X1" s="7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76" t="s">
        <v>69</v>
      </c>
      <c r="AD1" s="76" t="s">
        <v>70</v>
      </c>
      <c r="AE1" s="76" t="s">
        <v>71</v>
      </c>
      <c r="AF1" s="76" t="s">
        <v>72</v>
      </c>
      <c r="AG1" s="76" t="s">
        <v>73</v>
      </c>
      <c r="AH1" s="166" t="s">
        <v>74</v>
      </c>
      <c r="AI1" s="167" t="s">
        <v>75</v>
      </c>
      <c r="AJ1" s="167" t="s">
        <v>76</v>
      </c>
      <c r="AK1" s="167" t="s">
        <v>77</v>
      </c>
      <c r="AL1" s="167" t="s">
        <v>78</v>
      </c>
      <c r="AM1" s="167" t="s">
        <v>79</v>
      </c>
      <c r="AN1" s="167" t="s">
        <v>80</v>
      </c>
      <c r="AO1" s="167" t="s">
        <v>81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">
    <tabColor theme="9" tint="0.79998168889431442"/>
  </sheetPr>
  <dimension ref="A1:AO1"/>
  <sheetViews>
    <sheetView workbookViewId="0">
      <selection activeCell="A2" sqref="A2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46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76" t="s">
        <v>62</v>
      </c>
      <c r="W1" s="76" t="s">
        <v>63</v>
      </c>
      <c r="X1" s="7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76" t="s">
        <v>69</v>
      </c>
      <c r="AD1" s="76" t="s">
        <v>70</v>
      </c>
      <c r="AE1" s="76" t="s">
        <v>71</v>
      </c>
      <c r="AF1" s="76" t="s">
        <v>72</v>
      </c>
      <c r="AG1" s="76" t="s">
        <v>73</v>
      </c>
      <c r="AH1" s="166" t="s">
        <v>74</v>
      </c>
      <c r="AI1" s="167" t="s">
        <v>75</v>
      </c>
      <c r="AJ1" s="167" t="s">
        <v>76</v>
      </c>
      <c r="AK1" s="167" t="s">
        <v>77</v>
      </c>
      <c r="AL1" s="167" t="s">
        <v>78</v>
      </c>
      <c r="AM1" s="167" t="s">
        <v>79</v>
      </c>
      <c r="AN1" s="167" t="s">
        <v>80</v>
      </c>
      <c r="AO1" s="167" t="s">
        <v>81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4">
    <tabColor theme="9" tint="0.79998168889431442"/>
  </sheetPr>
  <dimension ref="A1:AO1"/>
  <sheetViews>
    <sheetView workbookViewId="0">
      <selection activeCell="AP1" sqref="AP1:AP1048576"/>
    </sheetView>
  </sheetViews>
  <sheetFormatPr baseColWidth="10" defaultColWidth="11.42578125" defaultRowHeight="15"/>
  <cols>
    <col min="1" max="1" width="12.85546875" style="78" bestFit="1" customWidth="1"/>
    <col min="2" max="15" width="11.42578125" style="78" customWidth="1"/>
    <col min="16" max="16" width="13.7109375" style="78" customWidth="1"/>
    <col min="17" max="33" width="11.42578125" style="78" customWidth="1"/>
    <col min="34" max="34" width="13.7109375" style="78" customWidth="1"/>
    <col min="35" max="35" width="15" style="78" customWidth="1"/>
    <col min="36" max="37" width="11.42578125" style="78" customWidth="1"/>
    <col min="38" max="16384" width="11.42578125" style="78"/>
  </cols>
  <sheetData>
    <row r="1" spans="1:41" s="77" customFormat="1" ht="90">
      <c r="A1" s="75" t="s">
        <v>41</v>
      </c>
      <c r="B1" s="75" t="s">
        <v>42</v>
      </c>
      <c r="C1" s="75" t="s">
        <v>43</v>
      </c>
      <c r="D1" s="75" t="s">
        <v>44</v>
      </c>
      <c r="E1" s="75" t="s">
        <v>45</v>
      </c>
      <c r="F1" s="75" t="s">
        <v>46</v>
      </c>
      <c r="G1" s="75" t="s">
        <v>47</v>
      </c>
      <c r="H1" s="75" t="s">
        <v>48</v>
      </c>
      <c r="I1" s="75" t="s">
        <v>49</v>
      </c>
      <c r="J1" s="75" t="s">
        <v>50</v>
      </c>
      <c r="K1" s="75" t="s">
        <v>51</v>
      </c>
      <c r="L1" s="75" t="s">
        <v>52</v>
      </c>
      <c r="M1" s="75" t="s">
        <v>53</v>
      </c>
      <c r="N1" s="75" t="s">
        <v>54</v>
      </c>
      <c r="O1" s="75" t="s">
        <v>55</v>
      </c>
      <c r="P1" s="75" t="s">
        <v>56</v>
      </c>
      <c r="Q1" s="75" t="s">
        <v>57</v>
      </c>
      <c r="R1" s="76" t="s">
        <v>58</v>
      </c>
      <c r="S1" s="76" t="s">
        <v>59</v>
      </c>
      <c r="T1" s="76" t="s">
        <v>60</v>
      </c>
      <c r="U1" s="76" t="s">
        <v>61</v>
      </c>
      <c r="V1" s="76" t="s">
        <v>62</v>
      </c>
      <c r="W1" s="76" t="s">
        <v>63</v>
      </c>
      <c r="X1" s="76" t="s">
        <v>64</v>
      </c>
      <c r="Y1" s="76" t="s">
        <v>65</v>
      </c>
      <c r="Z1" s="76" t="s">
        <v>66</v>
      </c>
      <c r="AA1" s="76" t="s">
        <v>67</v>
      </c>
      <c r="AB1" s="76" t="s">
        <v>68</v>
      </c>
      <c r="AC1" s="76" t="s">
        <v>69</v>
      </c>
      <c r="AD1" s="76" t="s">
        <v>70</v>
      </c>
      <c r="AE1" s="76" t="s">
        <v>71</v>
      </c>
      <c r="AF1" s="76" t="s">
        <v>72</v>
      </c>
      <c r="AG1" s="76" t="s">
        <v>73</v>
      </c>
      <c r="AH1" s="166" t="s">
        <v>74</v>
      </c>
      <c r="AI1" s="167" t="s">
        <v>75</v>
      </c>
      <c r="AJ1" s="167" t="s">
        <v>76</v>
      </c>
      <c r="AK1" s="167" t="s">
        <v>77</v>
      </c>
      <c r="AL1" s="167" t="s">
        <v>78</v>
      </c>
      <c r="AM1" s="167" t="s">
        <v>79</v>
      </c>
      <c r="AN1" s="167" t="s">
        <v>80</v>
      </c>
      <c r="AO1" s="167" t="s">
        <v>81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">
    <tabColor theme="9" tint="0.79998168889431442"/>
  </sheetPr>
  <dimension ref="H1:O2"/>
  <sheetViews>
    <sheetView workbookViewId="0">
      <selection activeCell="A2" sqref="A2"/>
    </sheetView>
  </sheetViews>
  <sheetFormatPr baseColWidth="10" defaultColWidth="11.42578125" defaultRowHeight="15"/>
  <cols>
    <col min="1" max="1" width="23" bestFit="1" customWidth="1"/>
    <col min="10" max="10" width="14.28515625" bestFit="1" customWidth="1"/>
  </cols>
  <sheetData>
    <row r="1" spans="8:15">
      <c r="M1" s="78" t="s">
        <v>82</v>
      </c>
      <c r="N1" s="78" t="s">
        <v>83</v>
      </c>
      <c r="O1" s="78" t="s">
        <v>84</v>
      </c>
    </row>
    <row r="2" spans="8:15">
      <c r="H2" s="28"/>
      <c r="I2" s="28"/>
      <c r="J2" s="28"/>
      <c r="M2" s="79" t="s">
        <v>85</v>
      </c>
      <c r="N2" s="79" t="s">
        <v>86</v>
      </c>
      <c r="O2" s="7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21</vt:i4>
      </vt:variant>
      <vt:variant>
        <vt:lpstr>Plages nommées</vt:lpstr>
      </vt:variant>
      <vt:variant>
        <vt:i4>3</vt:i4>
      </vt:variant>
    </vt:vector>
  </HeadingPairs>
  <TitlesOfParts>
    <vt:vector size="24" baseType="lpstr">
      <vt:lpstr>Page de garde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ANNEE</vt:lpstr>
      <vt:lpstr>ANNEE_1</vt:lpstr>
      <vt:lpstr>'Page de garde'!Zone_d_impression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2021-08-03T13:06:53Z</cp:lastPrinted>
  <dcterms:created xsi:type="dcterms:W3CDTF">2017-05-24T08:26:58Z</dcterms:created>
  <dcterms:modified xsi:type="dcterms:W3CDTF">2021-10-11T16:03:51Z</dcterms:modified>
</cp:coreProperties>
</file>