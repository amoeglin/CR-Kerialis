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_ROBERT\_DEV\PROJECTS\DOT-NET\CompteResultat\_CR-Kerialis\CompteResultat\App_Data\ReportTemplates\"/>
    </mc:Choice>
  </mc:AlternateContent>
  <bookViews>
    <workbookView xWindow="-120" yWindow="-120" windowWidth="25440" windowHeight="14775" firstSheet="14" activeTab="20"/>
  </bookViews>
  <sheets>
    <sheet name="Page de garde" sheetId="13" r:id="rId1"/>
    <sheet name="Résultats" sheetId="14" r:id="rId2"/>
    <sheet name="INCAP" sheetId="18" r:id="rId3"/>
    <sheet name="Evolution INCAP" sheetId="28" r:id="rId4"/>
    <sheet name="liste INCAPACITE" sheetId="31" r:id="rId5"/>
    <sheet name="INVAL" sheetId="38" r:id="rId6"/>
    <sheet name="liste INVALIDITE" sheetId="48" r:id="rId7"/>
    <sheet name="DECES" sheetId="39" r:id="rId8"/>
    <sheet name="liste DECES" sheetId="49" r:id="rId9"/>
    <sheet name="DATA COT" sheetId="5" r:id="rId10"/>
    <sheet name="DATA PREV" sheetId="33" r:id="rId11"/>
    <sheet name="DATA INCAP" sheetId="34" r:id="rId12"/>
    <sheet name="DATA INVAL" sheetId="35" r:id="rId13"/>
    <sheet name="DATA DECES" sheetId="36" r:id="rId14"/>
    <sheet name="DATA AUTRES" sheetId="37" r:id="rId15"/>
    <sheet name="DATA PROV" sheetId="40" r:id="rId16"/>
    <sheet name="DATA PROV INCAP" sheetId="43" r:id="rId17"/>
    <sheet name="DATA PROV INVAL" sheetId="44" r:id="rId18"/>
    <sheet name="DATA PROV DECES" sheetId="45" r:id="rId19"/>
    <sheet name="DATA PROV AUTRES" sheetId="46" r:id="rId20"/>
    <sheet name="AFFICHAGE" sheetId="27" r:id="rId21"/>
  </sheets>
  <definedNames>
    <definedName name="_xlnm._FilterDatabase" localSheetId="14" hidden="1">'DATA AUTRES'!$A$1:$AG$1</definedName>
    <definedName name="_xlnm._FilterDatabase" localSheetId="13" hidden="1">'DATA DECES'!$A$1:$AG$1</definedName>
    <definedName name="_xlnm._FilterDatabase" localSheetId="11" hidden="1">'DATA INCAP'!$A$1:$AH$799</definedName>
    <definedName name="_xlnm._FilterDatabase" localSheetId="12" hidden="1">'DATA INVAL'!$A$1:$AG$1</definedName>
    <definedName name="_xlnm._FilterDatabase" localSheetId="10" hidden="1">'DATA PREV'!#REF!</definedName>
    <definedName name="ANNEE">Résultats!$C$17</definedName>
    <definedName name="ANNEE_1">Résultats!$C$17</definedName>
    <definedName name="ANNEE_2" localSheetId="14">Résultats!#REF!</definedName>
    <definedName name="ANNEE_2" localSheetId="13">Résultats!#REF!</definedName>
    <definedName name="ANNEE_2" localSheetId="11">Résultats!#REF!</definedName>
    <definedName name="ANNEE_2" localSheetId="12">Résultats!#REF!</definedName>
    <definedName name="ANNEE_2" localSheetId="7">Résultats!#REF!</definedName>
    <definedName name="ANNEE_2" localSheetId="3">Résultats!#REF!</definedName>
    <definedName name="ANNEE_2" localSheetId="5">Résultats!#REF!</definedName>
    <definedName name="ANNEE_2" localSheetId="8">Résultats!#REF!</definedName>
    <definedName name="ANNEE_2" localSheetId="4">Résultats!#REF!</definedName>
    <definedName name="ANNEE_2" localSheetId="6">Résultats!#REF!</definedName>
    <definedName name="ANNEE_2">Résultats!#REF!</definedName>
    <definedName name="_xlnm.Print_Area" localSheetId="0">'Page de garde'!$A$1:$U$38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28" l="1"/>
  <c r="C8" i="49"/>
  <c r="C8" i="48"/>
  <c r="C8" i="31"/>
  <c r="H27" i="14"/>
  <c r="I27" i="14"/>
  <c r="J27" i="14"/>
  <c r="K27" i="14"/>
  <c r="G27" i="14"/>
  <c r="C8" i="39" l="1"/>
  <c r="C8" i="38"/>
  <c r="C8" i="18"/>
  <c r="E13" i="14"/>
  <c r="C8" i="14"/>
</calcChain>
</file>

<file path=xl/sharedStrings.xml><?xml version="1.0" encoding="utf-8"?>
<sst xmlns="http://schemas.openxmlformats.org/spreadsheetml/2006/main" count="5895" uniqueCount="1734">
  <si>
    <r>
      <t>§</t>
    </r>
    <r>
      <rPr>
        <sz val="12"/>
        <color rgb="FF4FACBE"/>
        <rFont val="Arial"/>
        <family val="2"/>
      </rPr>
      <t xml:space="preserve"> </t>
    </r>
    <r>
      <rPr>
        <sz val="12"/>
        <color rgb="FF4FACBE"/>
        <rFont val="DINBek"/>
      </rPr>
      <t>Nombre d'assurés</t>
    </r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</si>
  <si>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</si>
  <si>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</si>
  <si>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</si>
  <si>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</si>
  <si>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</si>
  <si>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</si>
  <si>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</si>
  <si>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</si>
  <si>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</si>
  <si>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</si>
  <si>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</si>
  <si>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</si>
  <si>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</si>
  <si>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</si>
  <si>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</si>
  <si>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</si>
  <si>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</si>
  <si>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</si>
  <si>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</si>
  <si>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d'ayant droits</t>
    </r>
  </si>
  <si>
    <t>Arrêt de travail</t>
  </si>
  <si>
    <t xml:space="preserve">Date d'arrêté : </t>
  </si>
  <si>
    <t>Cotisations nettes 
(1)</t>
  </si>
  <si>
    <t>Prestations
(2)</t>
  </si>
  <si>
    <t>Provisions* 
(3)</t>
  </si>
  <si>
    <t>Rapport 
(2)+(3) / (1)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</si>
  <si>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</si>
  <si>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</si>
  <si>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</si>
  <si>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</si>
  <si>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</si>
  <si>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</si>
  <si>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</si>
  <si>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MAJ EXCEL</t>
  </si>
  <si>
    <t>MAJ POWERPOINT</t>
  </si>
  <si>
    <t>OUI</t>
  </si>
  <si>
    <t>STATISTIQUES</t>
  </si>
  <si>
    <t>PREVOYANCE</t>
  </si>
  <si>
    <t>PREVOYANCE_</t>
  </si>
  <si>
    <t>Contrat(s)</t>
  </si>
  <si>
    <t>Collège</t>
  </si>
  <si>
    <t>Cadre, Non Cadre</t>
  </si>
  <si>
    <t xml:space="preserve">Période analysée : </t>
  </si>
  <si>
    <t>Date d'arreté des comptes :</t>
  </si>
  <si>
    <t>CLIENT</t>
  </si>
  <si>
    <t>CONTRAT</t>
  </si>
  <si>
    <t>COLLEGE</t>
  </si>
  <si>
    <t>DATE SINISTRE</t>
  </si>
  <si>
    <t>ANNEE SINISTRE</t>
  </si>
  <si>
    <t>TYPE SINISTRE</t>
  </si>
  <si>
    <t>DATE NAISSANCE</t>
  </si>
  <si>
    <t>AGE AU SINISTRE</t>
  </si>
  <si>
    <t>TRANCHE AGE AU SINISTRE</t>
  </si>
  <si>
    <t>SEXE</t>
  </si>
  <si>
    <t>DATE CLOTURE</t>
  </si>
  <si>
    <t>MOTIF CLOTURE</t>
  </si>
  <si>
    <t>NBJ INCAP</t>
  </si>
  <si>
    <t>AGE ENTREE INVAL</t>
  </si>
  <si>
    <t>NBJ INVAL</t>
  </si>
  <si>
    <t>PRESTATION</t>
  </si>
  <si>
    <t>PROVISION</t>
  </si>
  <si>
    <t>Contrat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</si>
  <si>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</si>
  <si>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</si>
  <si>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</si>
  <si>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</si>
  <si>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</si>
  <si>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</si>
  <si>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</si>
  <si>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</si>
  <si>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</si>
  <si>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</si>
  <si>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</si>
  <si>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</si>
  <si>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</si>
  <si>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</si>
  <si>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</si>
  <si>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</si>
  <si>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</si>
  <si>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</si>
  <si>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</si>
  <si>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</si>
  <si>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</si>
  <si>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</si>
  <si>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</si>
  <si>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9160</t>
  </si>
  <si>
    <t>9258</t>
  </si>
  <si>
    <t>9342</t>
  </si>
  <si>
    <t>9381</t>
  </si>
  <si>
    <t>9387</t>
  </si>
  <si>
    <t>9402</t>
  </si>
  <si>
    <t>9456</t>
  </si>
  <si>
    <t>9464</t>
  </si>
  <si>
    <t>9469</t>
  </si>
  <si>
    <t>9484</t>
  </si>
  <si>
    <t>9494</t>
  </si>
  <si>
    <t>9503</t>
  </si>
  <si>
    <t>9562</t>
  </si>
  <si>
    <t>9564</t>
  </si>
  <si>
    <t>9565</t>
  </si>
  <si>
    <t>9574</t>
  </si>
  <si>
    <t>9584</t>
  </si>
  <si>
    <t>9597</t>
  </si>
  <si>
    <t>9602</t>
  </si>
  <si>
    <t>9603</t>
  </si>
  <si>
    <t>9617</t>
  </si>
  <si>
    <t>9618</t>
  </si>
  <si>
    <t>9621</t>
  </si>
  <si>
    <t>9628</t>
  </si>
  <si>
    <t>9643</t>
  </si>
  <si>
    <t>9644</t>
  </si>
  <si>
    <t>9659</t>
  </si>
  <si>
    <t>9675</t>
  </si>
  <si>
    <t>9679</t>
  </si>
  <si>
    <t>9688</t>
  </si>
  <si>
    <t>9709</t>
  </si>
  <si>
    <t>9714</t>
  </si>
  <si>
    <t>9720</t>
  </si>
  <si>
    <t>9724</t>
  </si>
  <si>
    <t>9745</t>
  </si>
  <si>
    <t>9757</t>
  </si>
  <si>
    <t>9761</t>
  </si>
  <si>
    <t>9792</t>
  </si>
  <si>
    <t>9807</t>
  </si>
  <si>
    <t>9829</t>
  </si>
  <si>
    <t>9837</t>
  </si>
  <si>
    <t>9838</t>
  </si>
  <si>
    <t>9860</t>
  </si>
  <si>
    <t>9875</t>
  </si>
  <si>
    <t>9876</t>
  </si>
  <si>
    <t>9882</t>
  </si>
  <si>
    <t>9929</t>
  </si>
  <si>
    <t>9933</t>
  </si>
  <si>
    <t>9953</t>
  </si>
  <si>
    <t>9956</t>
  </si>
  <si>
    <t>9960</t>
  </si>
  <si>
    <t>9969</t>
  </si>
  <si>
    <t>9983</t>
  </si>
  <si>
    <t>9984</t>
  </si>
  <si>
    <t>9985</t>
  </si>
  <si>
    <t>9993</t>
  </si>
  <si>
    <t>10000</t>
  </si>
  <si>
    <t>10001</t>
  </si>
  <si>
    <t>10003</t>
  </si>
  <si>
    <t>10005</t>
  </si>
  <si>
    <t>10007</t>
  </si>
  <si>
    <t>10010</t>
  </si>
  <si>
    <t>10016</t>
  </si>
  <si>
    <t>10017</t>
  </si>
  <si>
    <t>10020</t>
  </si>
  <si>
    <t>10021</t>
  </si>
  <si>
    <t>10022</t>
  </si>
  <si>
    <t>10023</t>
  </si>
  <si>
    <t>10024</t>
  </si>
  <si>
    <t>10026</t>
  </si>
  <si>
    <t>10028</t>
  </si>
  <si>
    <t>10029</t>
  </si>
  <si>
    <t>10046</t>
  </si>
  <si>
    <t>10052</t>
  </si>
  <si>
    <t>10061</t>
  </si>
  <si>
    <t>10075</t>
  </si>
  <si>
    <t>10077</t>
  </si>
  <si>
    <t>10079</t>
  </si>
  <si>
    <t>10084</t>
  </si>
  <si>
    <t>10086</t>
  </si>
  <si>
    <t>10089</t>
  </si>
  <si>
    <t>10090</t>
  </si>
  <si>
    <t>10102</t>
  </si>
  <si>
    <t>10110</t>
  </si>
  <si>
    <t>10112</t>
  </si>
  <si>
    <t>10113</t>
  </si>
  <si>
    <t>10116</t>
  </si>
  <si>
    <t>10123</t>
  </si>
  <si>
    <t>10154</t>
  </si>
  <si>
    <t>10156</t>
  </si>
  <si>
    <t>10165</t>
  </si>
  <si>
    <t>10166</t>
  </si>
  <si>
    <t>10167</t>
  </si>
  <si>
    <t>10168</t>
  </si>
  <si>
    <t>10169</t>
  </si>
  <si>
    <t>10178</t>
  </si>
  <si>
    <t>10179</t>
  </si>
  <si>
    <t>10180</t>
  </si>
  <si>
    <t>10188</t>
  </si>
  <si>
    <t>10192</t>
  </si>
  <si>
    <t>10194</t>
  </si>
  <si>
    <t>10196</t>
  </si>
  <si>
    <t>10197</t>
  </si>
  <si>
    <t>10209</t>
  </si>
  <si>
    <t>10215</t>
  </si>
  <si>
    <t>10221</t>
  </si>
  <si>
    <t>10239</t>
  </si>
  <si>
    <t>DATE DEBUT</t>
  </si>
  <si>
    <t>DATE FIN</t>
  </si>
  <si>
    <t>DATE D'ARRETE</t>
  </si>
  <si>
    <t>01/01/2019</t>
  </si>
  <si>
    <t>31/12/2019</t>
  </si>
  <si>
    <t>Code Sinistre</t>
  </si>
  <si>
    <t>Cadre</t>
  </si>
  <si>
    <t>Non Cadre</t>
  </si>
  <si>
    <t>Décès conjoint</t>
  </si>
  <si>
    <t>10901</t>
  </si>
  <si>
    <t>9802</t>
  </si>
  <si>
    <t>Décès assuré</t>
  </si>
  <si>
    <t>8924</t>
  </si>
  <si>
    <t>10057</t>
  </si>
  <si>
    <t>11502</t>
  </si>
  <si>
    <t>10011</t>
  </si>
  <si>
    <t>10014</t>
  </si>
  <si>
    <t>9945</t>
  </si>
  <si>
    <t>9023</t>
  </si>
  <si>
    <t>10208</t>
  </si>
  <si>
    <t>12224</t>
  </si>
  <si>
    <t>9900</t>
  </si>
  <si>
    <t>9896</t>
  </si>
  <si>
    <t>9201</t>
  </si>
  <si>
    <t>10970</t>
  </si>
  <si>
    <t>9770</t>
  </si>
  <si>
    <t>10467</t>
  </si>
  <si>
    <t>10274</t>
  </si>
  <si>
    <t>10190</t>
  </si>
  <si>
    <t>9866</t>
  </si>
  <si>
    <t>9011</t>
  </si>
  <si>
    <t>9334</t>
  </si>
  <si>
    <t>10946</t>
  </si>
  <si>
    <t>10296</t>
  </si>
  <si>
    <t>9634</t>
  </si>
  <si>
    <t>12026</t>
  </si>
  <si>
    <t>8675</t>
  </si>
  <si>
    <t>9862</t>
  </si>
  <si>
    <t>11934</t>
  </si>
  <si>
    <t>11746</t>
  </si>
  <si>
    <t>10529</t>
  </si>
  <si>
    <t>12384</t>
  </si>
  <si>
    <t>10149</t>
  </si>
  <si>
    <t>10449</t>
  </si>
  <si>
    <t>11655</t>
  </si>
  <si>
    <t>Décès enfant</t>
  </si>
  <si>
    <t>9905</t>
  </si>
  <si>
    <t>10400</t>
  </si>
  <si>
    <t>8458</t>
  </si>
  <si>
    <t>10351</t>
  </si>
  <si>
    <t>10479</t>
  </si>
  <si>
    <t>10045</t>
  </si>
  <si>
    <t>10146</t>
  </si>
  <si>
    <t>10401</t>
  </si>
  <si>
    <t>9197</t>
  </si>
  <si>
    <t>8777</t>
  </si>
  <si>
    <t>8273</t>
  </si>
  <si>
    <t>6795</t>
  </si>
  <si>
    <t>6534</t>
  </si>
  <si>
    <t>8408</t>
  </si>
  <si>
    <t>6474</t>
  </si>
  <si>
    <t>7035</t>
  </si>
  <si>
    <t>7327</t>
  </si>
  <si>
    <t>7873</t>
  </si>
  <si>
    <t>6687</t>
  </si>
  <si>
    <t>7664</t>
  </si>
  <si>
    <t>8168</t>
  </si>
  <si>
    <t>7876</t>
  </si>
  <si>
    <t>9275</t>
  </si>
  <si>
    <t>7631</t>
  </si>
  <si>
    <t>6895</t>
  </si>
  <si>
    <t>6106</t>
  </si>
  <si>
    <t>6105</t>
  </si>
  <si>
    <t>9680</t>
  </si>
  <si>
    <t>6626</t>
  </si>
  <si>
    <t>7429</t>
  </si>
  <si>
    <t>6058</t>
  </si>
  <si>
    <t>6287</t>
  </si>
  <si>
    <t>10902</t>
  </si>
  <si>
    <t>6549</t>
  </si>
  <si>
    <t>6382</t>
  </si>
  <si>
    <t>8663</t>
  </si>
  <si>
    <t>7994</t>
  </si>
  <si>
    <t>7718</t>
  </si>
  <si>
    <t>6421</t>
  </si>
  <si>
    <t>6970</t>
  </si>
  <si>
    <t>12509</t>
  </si>
  <si>
    <t>7259</t>
  </si>
  <si>
    <t>10323</t>
  </si>
  <si>
    <t>6636</t>
  </si>
  <si>
    <t>8954</t>
  </si>
  <si>
    <t>6247</t>
  </si>
  <si>
    <t>7518</t>
  </si>
  <si>
    <t>8167</t>
  </si>
  <si>
    <t>7406</t>
  </si>
  <si>
    <t>7967</t>
  </si>
  <si>
    <t>6616</t>
  </si>
  <si>
    <t>7279</t>
  </si>
  <si>
    <t>7087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</si>
  <si>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</si>
  <si>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</si>
  <si>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</si>
  <si>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</si>
  <si>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</si>
  <si>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</si>
  <si>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</si>
  <si>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</si>
  <si>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</si>
  <si>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</si>
  <si>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</si>
  <si>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</si>
  <si>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</si>
  <si>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</si>
  <si>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</si>
  <si>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</si>
  <si>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décès</t>
    </r>
  </si>
  <si>
    <t>DEBPRIME</t>
  </si>
  <si>
    <t>FINPRIME</t>
  </si>
  <si>
    <t>CODCOL</t>
  </si>
  <si>
    <t>ANNEE</t>
  </si>
  <si>
    <t>COTISATION</t>
  </si>
  <si>
    <t>COTISATION_BRUTE</t>
  </si>
  <si>
    <t>CAUSE SINISTRE</t>
  </si>
  <si>
    <t>NATURE SINISTRE</t>
  </si>
  <si>
    <t>9461</t>
  </si>
  <si>
    <t>11042</t>
  </si>
  <si>
    <t>9725</t>
  </si>
  <si>
    <t>10157</t>
  </si>
  <si>
    <t>10533</t>
  </si>
  <si>
    <t>10119</t>
  </si>
  <si>
    <t>10905</t>
  </si>
  <si>
    <t>10793</t>
  </si>
  <si>
    <t>7909</t>
  </si>
  <si>
    <t>10295</t>
  </si>
  <si>
    <t>10571</t>
  </si>
  <si>
    <t>10451</t>
  </si>
  <si>
    <t>9852</t>
  </si>
  <si>
    <t>9928</t>
  </si>
  <si>
    <t>9793</t>
  </si>
  <si>
    <t>10453</t>
  </si>
  <si>
    <t>10597</t>
  </si>
  <si>
    <t>10612</t>
  </si>
  <si>
    <t>10466</t>
  </si>
  <si>
    <t>10698</t>
  </si>
  <si>
    <t>10465</t>
  </si>
  <si>
    <t>10699</t>
  </si>
  <si>
    <t>7972</t>
  </si>
  <si>
    <t>10006</t>
  </si>
  <si>
    <t>10349</t>
  </si>
  <si>
    <t>9502</t>
  </si>
  <si>
    <t>10444</t>
  </si>
  <si>
    <t>9101</t>
  </si>
  <si>
    <t>10385</t>
  </si>
  <si>
    <t>10473</t>
  </si>
  <si>
    <t>9941</t>
  </si>
  <si>
    <t>8978</t>
  </si>
  <si>
    <t>11259</t>
  </si>
  <si>
    <t>10246</t>
  </si>
  <si>
    <t>11825</t>
  </si>
  <si>
    <t>10456</t>
  </si>
  <si>
    <t>10771</t>
  </si>
  <si>
    <t>10696</t>
  </si>
  <si>
    <t>11399</t>
  </si>
  <si>
    <t>10583</t>
  </si>
  <si>
    <t>10558</t>
  </si>
  <si>
    <t>10235</t>
  </si>
  <si>
    <t>10757</t>
  </si>
  <si>
    <t>10080</t>
  </si>
  <si>
    <t>9883</t>
  </si>
  <si>
    <t>9458</t>
  </si>
  <si>
    <t>10609</t>
  </si>
  <si>
    <t>9692</t>
  </si>
  <si>
    <t>10541</t>
  </si>
  <si>
    <t>10406</t>
  </si>
  <si>
    <t>10540</t>
  </si>
  <si>
    <t>10488</t>
  </si>
  <si>
    <t>10839</t>
  </si>
  <si>
    <t>10231</t>
  </si>
  <si>
    <t>9467</t>
  </si>
  <si>
    <t>10535</t>
  </si>
  <si>
    <t>9995</t>
  </si>
  <si>
    <t>10750</t>
  </si>
  <si>
    <t>10744</t>
  </si>
  <si>
    <t>9881</t>
  </si>
  <si>
    <t>9490</t>
  </si>
  <si>
    <t>9766</t>
  </si>
  <si>
    <t>10547</t>
  </si>
  <si>
    <t>10312</t>
  </si>
  <si>
    <t>10489</t>
  </si>
  <si>
    <t>10176</t>
  </si>
  <si>
    <t>11043</t>
  </si>
  <si>
    <t>10570</t>
  </si>
  <si>
    <t>10279</t>
  </si>
  <si>
    <t>9510</t>
  </si>
  <si>
    <t>10429</t>
  </si>
  <si>
    <t>11028</t>
  </si>
  <si>
    <t>8804</t>
  </si>
  <si>
    <t>10343</t>
  </si>
  <si>
    <t>10058</t>
  </si>
  <si>
    <t>9651</t>
  </si>
  <si>
    <t>6886</t>
  </si>
  <si>
    <t>9298</t>
  </si>
  <si>
    <t>9106</t>
  </si>
  <si>
    <t>10511</t>
  </si>
  <si>
    <t>10754</t>
  </si>
  <si>
    <t>10144</t>
  </si>
  <si>
    <t>10030</t>
  </si>
  <si>
    <t>10815</t>
  </si>
  <si>
    <t>7858</t>
  </si>
  <si>
    <t>9638</t>
  </si>
  <si>
    <t>9932</t>
  </si>
  <si>
    <t>10320</t>
  </si>
  <si>
    <t>10504</t>
  </si>
  <si>
    <t>9438</t>
  </si>
  <si>
    <t>9640</t>
  </si>
  <si>
    <t>11680</t>
  </si>
  <si>
    <t>9762</t>
  </si>
  <si>
    <t>8642</t>
  </si>
  <si>
    <t>8826</t>
  </si>
  <si>
    <t>10291</t>
  </si>
  <si>
    <t>10729</t>
  </si>
  <si>
    <t>9451</t>
  </si>
  <si>
    <t>7788</t>
  </si>
  <si>
    <t>10040</t>
  </si>
  <si>
    <t>7738</t>
  </si>
  <si>
    <t>10658</t>
  </si>
  <si>
    <t>10636</t>
  </si>
  <si>
    <t>10174</t>
  </si>
  <si>
    <t>9996</t>
  </si>
  <si>
    <t>9964</t>
  </si>
  <si>
    <t>11098</t>
  </si>
  <si>
    <t>10222</t>
  </si>
  <si>
    <t>8549</t>
  </si>
  <si>
    <t>8922</t>
  </si>
  <si>
    <t>9728</t>
  </si>
  <si>
    <t>9195</t>
  </si>
  <si>
    <t>9125</t>
  </si>
  <si>
    <t>10942</t>
  </si>
  <si>
    <t>10640</t>
  </si>
  <si>
    <t>10604</t>
  </si>
  <si>
    <t>7912</t>
  </si>
  <si>
    <t>10516</t>
  </si>
  <si>
    <t>9758</t>
  </si>
  <si>
    <t>11653</t>
  </si>
  <si>
    <t>10054</t>
  </si>
  <si>
    <t>10554</t>
  </si>
  <si>
    <t>10117</t>
  </si>
  <si>
    <t>10791</t>
  </si>
  <si>
    <t>10643</t>
  </si>
  <si>
    <t>9420</t>
  </si>
  <si>
    <t>9704</t>
  </si>
  <si>
    <t>9694</t>
  </si>
  <si>
    <t>10653</t>
  </si>
  <si>
    <t>9639</t>
  </si>
  <si>
    <t>10319</t>
  </si>
  <si>
    <t>10316</t>
  </si>
  <si>
    <t>11056</t>
  </si>
  <si>
    <t>9388</t>
  </si>
  <si>
    <t>10015</t>
  </si>
  <si>
    <t>9695</t>
  </si>
  <si>
    <t>9723</t>
  </si>
  <si>
    <t>9825</t>
  </si>
  <si>
    <t>9710</t>
  </si>
  <si>
    <t>10506</t>
  </si>
  <si>
    <t>7803</t>
  </si>
  <si>
    <t>10377</t>
  </si>
  <si>
    <t>9693</t>
  </si>
  <si>
    <t>10452</t>
  </si>
  <si>
    <t>10654</t>
  </si>
  <si>
    <t>10242</t>
  </si>
  <si>
    <t>9808</t>
  </si>
  <si>
    <t>9586</t>
  </si>
  <si>
    <t>9877</t>
  </si>
  <si>
    <t>11772</t>
  </si>
  <si>
    <t>9835</t>
  </si>
  <si>
    <t>9353</t>
  </si>
  <si>
    <t>9997</t>
  </si>
  <si>
    <t>9367</t>
  </si>
  <si>
    <t>10297</t>
  </si>
  <si>
    <t>9739</t>
  </si>
  <si>
    <t>9773</t>
  </si>
  <si>
    <t>10367</t>
  </si>
  <si>
    <t>7498</t>
  </si>
  <si>
    <t>9366</t>
  </si>
  <si>
    <t>11555</t>
  </si>
  <si>
    <t>10796</t>
  </si>
  <si>
    <t>10549</t>
  </si>
  <si>
    <t>9926</t>
  </si>
  <si>
    <t>10249</t>
  </si>
  <si>
    <t>11067</t>
  </si>
  <si>
    <t>10617</t>
  </si>
  <si>
    <t>10111</t>
  </si>
  <si>
    <t>9954</t>
  </si>
  <si>
    <t>9845</t>
  </si>
  <si>
    <t>10353</t>
  </si>
  <si>
    <t>9915</t>
  </si>
  <si>
    <t>9629</t>
  </si>
  <si>
    <t>10495</t>
  </si>
  <si>
    <t>9568</t>
  </si>
  <si>
    <t>9606</t>
  </si>
  <si>
    <t>11388</t>
  </si>
  <si>
    <t>10256</t>
  </si>
  <si>
    <t>10816</t>
  </si>
  <si>
    <t>10460</t>
  </si>
  <si>
    <t>10544</t>
  </si>
  <si>
    <t>10257</t>
  </si>
  <si>
    <t>9577</t>
  </si>
  <si>
    <t>9990</t>
  </si>
  <si>
    <t>9699</t>
  </si>
  <si>
    <t>10483</t>
  </si>
  <si>
    <t>10733</t>
  </si>
  <si>
    <t>10436</t>
  </si>
  <si>
    <t>10508</t>
  </si>
  <si>
    <t>9749</t>
  </si>
  <si>
    <t>11506</t>
  </si>
  <si>
    <t>10590</t>
  </si>
  <si>
    <t>8927</t>
  </si>
  <si>
    <t>10842</t>
  </si>
  <si>
    <t>10164</t>
  </si>
  <si>
    <t>9604</t>
  </si>
  <si>
    <t>10078</t>
  </si>
  <si>
    <t>9641</t>
  </si>
  <si>
    <t>10432</t>
  </si>
  <si>
    <t>9103</t>
  </si>
  <si>
    <t>10446</t>
  </si>
  <si>
    <t>9048</t>
  </si>
  <si>
    <t>11018</t>
  </si>
  <si>
    <t>9415</t>
  </si>
  <si>
    <t>10120</t>
  </si>
  <si>
    <t>9765</t>
  </si>
  <si>
    <t>10605</t>
  </si>
  <si>
    <t>10379</t>
  </si>
  <si>
    <t>10493</t>
  </si>
  <si>
    <t>9102</t>
  </si>
  <si>
    <t>9775</t>
  </si>
  <si>
    <t>10621</t>
  </si>
  <si>
    <t>9599</t>
  </si>
  <si>
    <t>11017</t>
  </si>
  <si>
    <t>10614</t>
  </si>
  <si>
    <t>9940</t>
  </si>
  <si>
    <t>10138</t>
  </si>
  <si>
    <t>9594</t>
  </si>
  <si>
    <t>10611</t>
  </si>
  <si>
    <t>9524</t>
  </si>
  <si>
    <t>10515</t>
  </si>
  <si>
    <t>9727</t>
  </si>
  <si>
    <t>9836</t>
  </si>
  <si>
    <t>10181</t>
  </si>
  <si>
    <t>9718</t>
  </si>
  <si>
    <t>9149</t>
  </si>
  <si>
    <t>9841</t>
  </si>
  <si>
    <t>10211</t>
  </si>
  <si>
    <t>10741</t>
  </si>
  <si>
    <t>10503</t>
  </si>
  <si>
    <t>10592</t>
  </si>
  <si>
    <t>8174</t>
  </si>
  <si>
    <t>10749</t>
  </si>
  <si>
    <t>10226</t>
  </si>
  <si>
    <t>10715</t>
  </si>
  <si>
    <t>9416</t>
  </si>
  <si>
    <t>10482</t>
  </si>
  <si>
    <t>9827</t>
  </si>
  <si>
    <t>10306</t>
  </si>
  <si>
    <t>10499</t>
  </si>
  <si>
    <t>11230</t>
  </si>
  <si>
    <t>10025</t>
  </si>
  <si>
    <t>11076</t>
  </si>
  <si>
    <t>10732</t>
  </si>
  <si>
    <t>9339</t>
  </si>
  <si>
    <t>9750</t>
  </si>
  <si>
    <t>10463</t>
  </si>
  <si>
    <t>7124</t>
  </si>
  <si>
    <t>11540</t>
  </si>
  <si>
    <t>10247</t>
  </si>
  <si>
    <t>11027</t>
  </si>
  <si>
    <t>10227</t>
  </si>
  <si>
    <t>9545</t>
  </si>
  <si>
    <t>9751</t>
  </si>
  <si>
    <t>10494</t>
  </si>
  <si>
    <t>9061</t>
  </si>
  <si>
    <t>10936</t>
  </si>
  <si>
    <t>9902</t>
  </si>
  <si>
    <t>9690</t>
  </si>
  <si>
    <t>10794</t>
  </si>
  <si>
    <t>11060</t>
  </si>
  <si>
    <t>10572</t>
  </si>
  <si>
    <t>9501</t>
  </si>
  <si>
    <t>9814</t>
  </si>
  <si>
    <t>10336</t>
  </si>
  <si>
    <t>10518</t>
  </si>
  <si>
    <t>9379</t>
  </si>
  <si>
    <t>10777</t>
  </si>
  <si>
    <t>9559</t>
  </si>
  <si>
    <t>10656</t>
  </si>
  <si>
    <t>11171</t>
  </si>
  <si>
    <t>10348</t>
  </si>
  <si>
    <t>10217</t>
  </si>
  <si>
    <t>10539</t>
  </si>
  <si>
    <t>10404</t>
  </si>
  <si>
    <t>10509</t>
  </si>
  <si>
    <t>10537</t>
  </si>
  <si>
    <t>10538</t>
  </si>
  <si>
    <t>9878</t>
  </si>
  <si>
    <t>10789</t>
  </si>
  <si>
    <t>10573</t>
  </si>
  <si>
    <t>11387</t>
  </si>
  <si>
    <t>10581</t>
  </si>
  <si>
    <t>10172</t>
  </si>
  <si>
    <t>10050</t>
  </si>
  <si>
    <t>9252</t>
  </si>
  <si>
    <t>9460</t>
  </si>
  <si>
    <t>10243</t>
  </si>
  <si>
    <t>10454</t>
  </si>
  <si>
    <t>10613</t>
  </si>
  <si>
    <t>9301</t>
  </si>
  <si>
    <t>10195</t>
  </si>
  <si>
    <t>9909</t>
  </si>
  <si>
    <t>10713</t>
  </si>
  <si>
    <t>10293</t>
  </si>
  <si>
    <t>9656</t>
  </si>
  <si>
    <t>9657</t>
  </si>
  <si>
    <t>10457</t>
  </si>
  <si>
    <t>10762</t>
  </si>
  <si>
    <t>10543</t>
  </si>
  <si>
    <t>11551</t>
  </si>
  <si>
    <t>9567</t>
  </si>
  <si>
    <t>9715</t>
  </si>
  <si>
    <t>10108</t>
  </si>
  <si>
    <t>10106</t>
  </si>
  <si>
    <t>10388</t>
  </si>
  <si>
    <t>11600</t>
  </si>
  <si>
    <t>10556</t>
  </si>
  <si>
    <t>10574</t>
  </si>
  <si>
    <t>10326</t>
  </si>
  <si>
    <t>10251</t>
  </si>
  <si>
    <t>9755</t>
  </si>
  <si>
    <t>10646</t>
  </si>
  <si>
    <t>10647</t>
  </si>
  <si>
    <t>9846</t>
  </si>
  <si>
    <t>9848</t>
  </si>
  <si>
    <t>10309</t>
  </si>
  <si>
    <t>10552</t>
  </si>
  <si>
    <t>11639</t>
  </si>
  <si>
    <t>9752</t>
  </si>
  <si>
    <t>11813</t>
  </si>
  <si>
    <t>11618</t>
  </si>
  <si>
    <t>10672</t>
  </si>
  <si>
    <t>10748</t>
  </si>
  <si>
    <t>10303</t>
  </si>
  <si>
    <t>9705</t>
  </si>
  <si>
    <t>9822</t>
  </si>
  <si>
    <t>10262</t>
  </si>
  <si>
    <t>9974</t>
  </si>
  <si>
    <t>10878</t>
  </si>
  <si>
    <t>9959</t>
  </si>
  <si>
    <t>9910</t>
  </si>
  <si>
    <t>11432</t>
  </si>
  <si>
    <t>9924</t>
  </si>
  <si>
    <t>10450</t>
  </si>
  <si>
    <t>9911</t>
  </si>
  <si>
    <t>11846</t>
  </si>
  <si>
    <t>10081</t>
  </si>
  <si>
    <t>7004</t>
  </si>
  <si>
    <t>10439</t>
  </si>
  <si>
    <t>10382</t>
  </si>
  <si>
    <t>9976</t>
  </si>
  <si>
    <t>10988</t>
  </si>
  <si>
    <t>9511</t>
  </si>
  <si>
    <t>10391</t>
  </si>
  <si>
    <t>10441</t>
  </si>
  <si>
    <t>8395</t>
  </si>
  <si>
    <t>10657</t>
  </si>
  <si>
    <t>9514</t>
  </si>
  <si>
    <t>9496</t>
  </si>
  <si>
    <t>11235</t>
  </si>
  <si>
    <t>10177</t>
  </si>
  <si>
    <t>9676</t>
  </si>
  <si>
    <t>11123</t>
  </si>
  <si>
    <t>9587</t>
  </si>
  <si>
    <t>10308</t>
  </si>
  <si>
    <t>9296</t>
  </si>
  <si>
    <t>11116</t>
  </si>
  <si>
    <t>9847</t>
  </si>
  <si>
    <t>10060</t>
  </si>
  <si>
    <t>8556</t>
  </si>
  <si>
    <t>10405</t>
  </si>
  <si>
    <t>9441</t>
  </si>
  <si>
    <t>10644</t>
  </si>
  <si>
    <t>10584</t>
  </si>
  <si>
    <t>10260</t>
  </si>
  <si>
    <t>8137</t>
  </si>
  <si>
    <t>10697</t>
  </si>
  <si>
    <t>9913</t>
  </si>
  <si>
    <t>9396</t>
  </si>
  <si>
    <t>10105</t>
  </si>
  <si>
    <t>10811</t>
  </si>
  <si>
    <t>10877</t>
  </si>
  <si>
    <t>10158</t>
  </si>
  <si>
    <t>10897</t>
  </si>
  <si>
    <t>11366</t>
  </si>
  <si>
    <t>9707</t>
  </si>
  <si>
    <t>10393</t>
  </si>
  <si>
    <t>9472</t>
  </si>
  <si>
    <t>9238</t>
  </si>
  <si>
    <t>10445</t>
  </si>
  <si>
    <t>10639</t>
  </si>
  <si>
    <t>10009</t>
  </si>
  <si>
    <t>10294</t>
  </si>
  <si>
    <t>9474</t>
  </si>
  <si>
    <t>9735</t>
  </si>
  <si>
    <t>9520</t>
  </si>
  <si>
    <t>9830</t>
  </si>
  <si>
    <t>9938</t>
  </si>
  <si>
    <t>10258</t>
  </si>
  <si>
    <t>10327</t>
  </si>
  <si>
    <t>10083</t>
  </si>
  <si>
    <t>10498</t>
  </si>
  <si>
    <t>9873</t>
  </si>
  <si>
    <t>10133</t>
  </si>
  <si>
    <t>10301</t>
  </si>
  <si>
    <t>10193</t>
  </si>
  <si>
    <t>9738</t>
  </si>
  <si>
    <t>9942</t>
  </si>
  <si>
    <t>8613</t>
  </si>
  <si>
    <t>9109</t>
  </si>
  <si>
    <t>10682</t>
  </si>
  <si>
    <t>9642</t>
  </si>
  <si>
    <t>9965</t>
  </si>
  <si>
    <t>10059</t>
  </si>
  <si>
    <t>9885</t>
  </si>
  <si>
    <t>10560</t>
  </si>
  <si>
    <t>10386</t>
  </si>
  <si>
    <t>10589</t>
  </si>
  <si>
    <t>9373</t>
  </si>
  <si>
    <t>10485</t>
  </si>
  <si>
    <t>10458</t>
  </si>
  <si>
    <t>10705</t>
  </si>
  <si>
    <t>10707</t>
  </si>
  <si>
    <t>10595</t>
  </si>
  <si>
    <t>10324</t>
  </si>
  <si>
    <t>10250</t>
  </si>
  <si>
    <t>10216</t>
  </si>
  <si>
    <t>11219</t>
  </si>
  <si>
    <t>10031</t>
  </si>
  <si>
    <t>9684</t>
  </si>
  <si>
    <t>10047</t>
  </si>
  <si>
    <t>11918</t>
  </si>
  <si>
    <t>10234</t>
  </si>
  <si>
    <t>10555</t>
  </si>
  <si>
    <t>9975</t>
  </si>
  <si>
    <t>10602</t>
  </si>
  <si>
    <t>9265</t>
  </si>
  <si>
    <t>10688</t>
  </si>
  <si>
    <t>10709</t>
  </si>
  <si>
    <t>11632</t>
  </si>
  <si>
    <t>10633</t>
  </si>
  <si>
    <t>9966</t>
  </si>
  <si>
    <t>10418</t>
  </si>
  <si>
    <t>9245</t>
  </si>
  <si>
    <t>9791</t>
  </si>
  <si>
    <t>9764</t>
  </si>
  <si>
    <t>10082</t>
  </si>
  <si>
    <t>10747</t>
  </si>
  <si>
    <t>10335</t>
  </si>
  <si>
    <t>10357</t>
  </si>
  <si>
    <t>11040</t>
  </si>
  <si>
    <t>11865</t>
  </si>
  <si>
    <t>10760</t>
  </si>
  <si>
    <t>9518</t>
  </si>
  <si>
    <t>9931</t>
  </si>
  <si>
    <t>10712</t>
  </si>
  <si>
    <t>10087</t>
  </si>
  <si>
    <t>10160</t>
  </si>
  <si>
    <t>10616</t>
  </si>
  <si>
    <t>11240</t>
  </si>
  <si>
    <t>10318</t>
  </si>
  <si>
    <t>10027</t>
  </si>
  <si>
    <t>10346</t>
  </si>
  <si>
    <t>9525</t>
  </si>
  <si>
    <t>10387</t>
  </si>
  <si>
    <t>11450</t>
  </si>
  <si>
    <t>9650</t>
  </si>
  <si>
    <t>9495</t>
  </si>
  <si>
    <t>9488</t>
  </si>
  <si>
    <t>10305</t>
  </si>
  <si>
    <t>9040</t>
  </si>
  <si>
    <t>10236</t>
  </si>
  <si>
    <t>9168</t>
  </si>
  <si>
    <t>10507</t>
  </si>
  <si>
    <t>10607</t>
  </si>
  <si>
    <t>9826</t>
  </si>
  <si>
    <t>9884</t>
  </si>
  <si>
    <t>9708</t>
  </si>
  <si>
    <t>9870</t>
  </si>
  <si>
    <t>10856</t>
  </si>
  <si>
    <t>10480</t>
  </si>
  <si>
    <t>10103</t>
  </si>
  <si>
    <t>11214</t>
  </si>
  <si>
    <t>10706</t>
  </si>
  <si>
    <t>12152</t>
  </si>
  <si>
    <t>9401</t>
  </si>
  <si>
    <t>9823</t>
  </si>
  <si>
    <t>9620</t>
  </si>
  <si>
    <t>10018</t>
  </si>
  <si>
    <t>9951</t>
  </si>
  <si>
    <t>10443</t>
  </si>
  <si>
    <t>9646</t>
  </si>
  <si>
    <t>10051</t>
  </si>
  <si>
    <t>10272</t>
  </si>
  <si>
    <t>10585</t>
  </si>
  <si>
    <t>10711</t>
  </si>
  <si>
    <t>12408</t>
  </si>
  <si>
    <t>10761</t>
  </si>
  <si>
    <t>10862</t>
  </si>
  <si>
    <t>12190</t>
  </si>
  <si>
    <t>9585</t>
  </si>
  <si>
    <t>9696</t>
  </si>
  <si>
    <t>10700</t>
  </si>
  <si>
    <t>11869</t>
  </si>
  <si>
    <t>10033</t>
  </si>
  <si>
    <t>9741</t>
  </si>
  <si>
    <t>9685</t>
  </si>
  <si>
    <t>9267</t>
  </si>
  <si>
    <t>10155</t>
  </si>
  <si>
    <t>9508</t>
  </si>
  <si>
    <t>9509</t>
  </si>
  <si>
    <t>11633</t>
  </si>
  <si>
    <t>11009</t>
  </si>
  <si>
    <t>9689</t>
  </si>
  <si>
    <t>10687</t>
  </si>
  <si>
    <t>9824</t>
  </si>
  <si>
    <t>10648</t>
  </si>
  <si>
    <t>12421</t>
  </si>
  <si>
    <t>10338</t>
  </si>
  <si>
    <t>10635</t>
  </si>
  <si>
    <t>10637</t>
  </si>
  <si>
    <t>9369</t>
  </si>
  <si>
    <t>9886</t>
  </si>
  <si>
    <t>10407</t>
  </si>
  <si>
    <t>9880</t>
  </si>
  <si>
    <t>9810</t>
  </si>
  <si>
    <t>9776</t>
  </si>
  <si>
    <t>11650</t>
  </si>
  <si>
    <t>10562</t>
  </si>
  <si>
    <t>9372</t>
  </si>
  <si>
    <t>10230</t>
  </si>
  <si>
    <t>10340</t>
  </si>
  <si>
    <t>11497</t>
  </si>
  <si>
    <t>10304</t>
  </si>
  <si>
    <t>11216</t>
  </si>
  <si>
    <t>10461</t>
  </si>
  <si>
    <t>10228</t>
  </si>
  <si>
    <t>10496</t>
  </si>
  <si>
    <t>10836</t>
  </si>
  <si>
    <t>12424</t>
  </si>
  <si>
    <t>9901</t>
  </si>
  <si>
    <t>9465</t>
  </si>
  <si>
    <t>9507</t>
  </si>
  <si>
    <t>9677</t>
  </si>
  <si>
    <t>9306</t>
  </si>
  <si>
    <t>9450</t>
  </si>
  <si>
    <t>10074</t>
  </si>
  <si>
    <t>9840</t>
  </si>
  <si>
    <t>10019</t>
  </si>
  <si>
    <t>11054</t>
  </si>
  <si>
    <t>10578</t>
  </si>
  <si>
    <t>10591</t>
  </si>
  <si>
    <t>10513</t>
  </si>
  <si>
    <t>9887</t>
  </si>
  <si>
    <t>10860</t>
  </si>
  <si>
    <t>9935</t>
  </si>
  <si>
    <t>12105</t>
  </si>
  <si>
    <t>11883</t>
  </si>
  <si>
    <t>10223</t>
  </si>
  <si>
    <t>9459</t>
  </si>
  <si>
    <t>10440</t>
  </si>
  <si>
    <t>10347</t>
  </si>
  <si>
    <t>10502</t>
  </si>
  <si>
    <t>9736</t>
  </si>
  <si>
    <t>12122</t>
  </si>
  <si>
    <t>8942</t>
  </si>
  <si>
    <t>10435</t>
  </si>
  <si>
    <t>9608</t>
  </si>
  <si>
    <t>10484</t>
  </si>
  <si>
    <t>10041</t>
  </si>
  <si>
    <t>10497</t>
  </si>
  <si>
    <t>8589</t>
  </si>
  <si>
    <t>9473</t>
  </si>
  <si>
    <t>11853</t>
  </si>
  <si>
    <t>10660</t>
  </si>
  <si>
    <t>10358</t>
  </si>
  <si>
    <t>11533</t>
  </si>
  <si>
    <t>9336</t>
  </si>
  <si>
    <t>9546</t>
  </si>
  <si>
    <t>10107</t>
  </si>
  <si>
    <t>8957</t>
  </si>
  <si>
    <t>10056</t>
  </si>
  <si>
    <t>10921</t>
  </si>
  <si>
    <t>11866</t>
  </si>
  <si>
    <t>9842</t>
  </si>
  <si>
    <t>9713</t>
  </si>
  <si>
    <t>11868</t>
  </si>
  <si>
    <t>10913</t>
  </si>
  <si>
    <t>10354</t>
  </si>
  <si>
    <t>10055</t>
  </si>
  <si>
    <t>9834</t>
  </si>
  <si>
    <t>8513</t>
  </si>
  <si>
    <t>10121</t>
  </si>
  <si>
    <t>10755</t>
  </si>
  <si>
    <t>9790</t>
  </si>
  <si>
    <t>9462</t>
  </si>
  <si>
    <t>10225</t>
  </si>
  <si>
    <t>11840</t>
  </si>
  <si>
    <t>9716</t>
  </si>
  <si>
    <t>9844</t>
  </si>
  <si>
    <t>10753</t>
  </si>
  <si>
    <t>11796</t>
  </si>
  <si>
    <t>10576</t>
  </si>
  <si>
    <t>10659</t>
  </si>
  <si>
    <t>10670</t>
  </si>
  <si>
    <t>10252</t>
  </si>
  <si>
    <t>10596</t>
  </si>
  <si>
    <t>11428</t>
  </si>
  <si>
    <t>10742</t>
  </si>
  <si>
    <t>11558</t>
  </si>
  <si>
    <t>9382</t>
  </si>
  <si>
    <t>10109</t>
  </si>
  <si>
    <t>10550</t>
  </si>
  <si>
    <t>10254</t>
  </si>
  <si>
    <t>9742</t>
  </si>
  <si>
    <t>11107</t>
  </si>
  <si>
    <t>10695</t>
  </si>
  <si>
    <t>10253</t>
  </si>
  <si>
    <t>10837</t>
  </si>
  <si>
    <t>11363</t>
  </si>
  <si>
    <t>9719</t>
  </si>
  <si>
    <t>10721</t>
  </si>
  <si>
    <t>11816</t>
  </si>
  <si>
    <t>10442</t>
  </si>
  <si>
    <t>11169</t>
  </si>
  <si>
    <t>11041</t>
  </si>
  <si>
    <t>1 janvier 2019 au 31 décembre 2019</t>
  </si>
  <si>
    <t>31 décembre 2019</t>
  </si>
  <si>
    <t>Les cotisations sont exprimées hors taxe sur les conventions d'assurance, et dotations de services de gestion, commercialisation et assurances.</t>
  </si>
  <si>
    <t>NON</t>
  </si>
  <si>
    <t>Contrat
Dossier</t>
  </si>
  <si>
    <t>Type de Sinistre</t>
  </si>
  <si>
    <t>Dossier</t>
  </si>
  <si>
    <t>sexe</t>
  </si>
  <si>
    <t>Naissance</t>
  </si>
  <si>
    <t>Prestations Payées</t>
  </si>
  <si>
    <t>Dernière date indemnisée</t>
  </si>
  <si>
    <t>Nom et Prénom</t>
  </si>
  <si>
    <t>Date du Sinistre</t>
  </si>
  <si>
    <t>WINDENBERGER CAROLINE</t>
  </si>
  <si>
    <t>âge 
au Sinistre</t>
  </si>
  <si>
    <t>CRETON GAELLE</t>
  </si>
  <si>
    <t>WARTON SYLVIE</t>
  </si>
  <si>
    <t>date de clôture</t>
  </si>
  <si>
    <t>Nb jours Indemnisés à la clôture</t>
  </si>
  <si>
    <t>LE MENN ISABELLE</t>
  </si>
  <si>
    <t>VAILLIER CLAIRE</t>
  </si>
  <si>
    <t>RABUTE SIMILIA VIRGINIE</t>
  </si>
  <si>
    <t>GENDRON NATHALIE</t>
  </si>
  <si>
    <t>FAINTRENIE SOLANGE</t>
  </si>
  <si>
    <t>CONTE-BOUSQUET VERONIQUE</t>
  </si>
  <si>
    <t>FOURNIER VERONIQUE</t>
  </si>
  <si>
    <t>ABAT PATRICIA</t>
  </si>
  <si>
    <t>DAUBANES NATHALIE</t>
  </si>
  <si>
    <t>CORDIER NATHALIE</t>
  </si>
  <si>
    <t>LETONDEUR MARTINE</t>
  </si>
  <si>
    <t>ANTHEAUME VALERIE</t>
  </si>
  <si>
    <t>LAFOUCRIERE VALERIE</t>
  </si>
  <si>
    <t>CRUSSON MARIE MADELEINE</t>
  </si>
  <si>
    <t>MARTINEZ ISABEL</t>
  </si>
  <si>
    <t>DELAVAULT NICOLE LUCIE GRACIEUSE</t>
  </si>
  <si>
    <t>JEANDE VERONIQUE</t>
  </si>
  <si>
    <t>JOUAULT VERONIQUE</t>
  </si>
  <si>
    <t>POIRIER KARINE</t>
  </si>
  <si>
    <t>JUBIN HUERNE VALERIE</t>
  </si>
  <si>
    <t>LAMBERT CATHERINE</t>
  </si>
  <si>
    <t>RABIAN VALERIE</t>
  </si>
  <si>
    <t>WIECKOWSKI NADINE</t>
  </si>
  <si>
    <t>CARREL LAURENCE</t>
  </si>
  <si>
    <t>GUITTARD ANNE-MARIE</t>
  </si>
  <si>
    <t>SPORER VALERIE</t>
  </si>
  <si>
    <t>LEDUC VALERIE</t>
  </si>
  <si>
    <t>BEYLOT AGNES</t>
  </si>
  <si>
    <t>GRELLET BERANGERE</t>
  </si>
  <si>
    <t>YSSEAD KARIMA</t>
  </si>
  <si>
    <t>DUBROEUCQ SYLVIE</t>
  </si>
  <si>
    <t>BASLER VALERIE</t>
  </si>
  <si>
    <t>RUSSELLO FRANCINE</t>
  </si>
  <si>
    <t>BARTOLI MARIE-CHRISTINE</t>
  </si>
  <si>
    <t>SEYMOUR NADINE</t>
  </si>
  <si>
    <t>LEMAURE CORINNE</t>
  </si>
  <si>
    <t>BICHAT CHRYSTELLE</t>
  </si>
  <si>
    <t>FERREIRA DOMINGUES ANABELA</t>
  </si>
  <si>
    <t>BASSET LAURA</t>
  </si>
  <si>
    <t>COEUGNET SYLVIE</t>
  </si>
  <si>
    <t>TOMASINI SOPHIE</t>
  </si>
  <si>
    <t>JUBIN BECHE CORINNE</t>
  </si>
  <si>
    <t>BLANCHET MARTINE</t>
  </si>
  <si>
    <t>TRINARI CHRISTINE</t>
  </si>
  <si>
    <t>BARRAULT PATRICIA</t>
  </si>
  <si>
    <t>COORNAERT LAETITIA</t>
  </si>
  <si>
    <t>GODON SANDRA</t>
  </si>
  <si>
    <t>BARD-BELHANINI HELENE</t>
  </si>
  <si>
    <t>GAUTHEREAU NATHALIE</t>
  </si>
  <si>
    <t>DESSOIT ARABELLE</t>
  </si>
  <si>
    <t>PIAZZA SABINE</t>
  </si>
  <si>
    <t>VINOT ISABELLE</t>
  </si>
  <si>
    <t>CHAPIN GERALDINE</t>
  </si>
  <si>
    <t>ANGEL SANDRINE</t>
  </si>
  <si>
    <t>SAINTE LUCE DOMINIQUE</t>
  </si>
  <si>
    <t>DELABARRE GHISLAINE</t>
  </si>
  <si>
    <t>BOUCHEREAU VERONIQUE</t>
  </si>
  <si>
    <t>CHAUBE CLAIRE</t>
  </si>
  <si>
    <t>CONAN MARTINE</t>
  </si>
  <si>
    <t>AMELSSI HAKIMA</t>
  </si>
  <si>
    <t>GRACIANO MARIE-NADEGE</t>
  </si>
  <si>
    <t>SULTAN VERONIQUE</t>
  </si>
  <si>
    <t>BENOIT BEATRICE</t>
  </si>
  <si>
    <t>TALLEC MARGARET</t>
  </si>
  <si>
    <t>CHOURY DOMINIQUE</t>
  </si>
  <si>
    <t>DUPUY PASCALE</t>
  </si>
  <si>
    <t>CLEMENT CELINE</t>
  </si>
  <si>
    <t>GUIGUE MIREILLE</t>
  </si>
  <si>
    <t>BOUABDELLI KHALIDA</t>
  </si>
  <si>
    <t>PEREIRA MARIA</t>
  </si>
  <si>
    <t>SOARES MARIA</t>
  </si>
  <si>
    <t>ZGARDA JOELLE</t>
  </si>
  <si>
    <t>BOXBERGER MARIE PAULE</t>
  </si>
  <si>
    <t>TALET CLAIRE</t>
  </si>
  <si>
    <t>EMIOT JASMINE JULIE</t>
  </si>
  <si>
    <t>AGUETTAZ PIERRE</t>
  </si>
  <si>
    <t>GHILBERT CATHERINE</t>
  </si>
  <si>
    <t>KLEPATZKY BERNADETTE</t>
  </si>
  <si>
    <t>HARLAY CLAUDIE</t>
  </si>
  <si>
    <t>AIBOUT KHEIRA</t>
  </si>
  <si>
    <t>GOSTANIAN JACQUELINE</t>
  </si>
  <si>
    <t>MERCEY DANIELLE</t>
  </si>
  <si>
    <t>COURTIN ISABELLE</t>
  </si>
  <si>
    <t>MARCO CATHERINE</t>
  </si>
  <si>
    <t>BACCON CORINNE</t>
  </si>
  <si>
    <t>TREBUTIEN MARIE-HELENE</t>
  </si>
  <si>
    <t>LOUESDON MURIEL</t>
  </si>
  <si>
    <t>OSSEUX LYDIE GUILAINE</t>
  </si>
  <si>
    <t>TARDY CORINNE</t>
  </si>
  <si>
    <t>FERDINAND ANNE MARIE</t>
  </si>
  <si>
    <t>PONCET YVONNE</t>
  </si>
  <si>
    <t>LANGLOIS CATHERINE</t>
  </si>
  <si>
    <t>BAYLE NICOLE</t>
  </si>
  <si>
    <t>LOUSSOUARN CORINNE</t>
  </si>
  <si>
    <t>BOMBEREAU MARINA</t>
  </si>
  <si>
    <t>SORRO NICOLE</t>
  </si>
  <si>
    <t>CHRETIEN JOSIANE</t>
  </si>
  <si>
    <t>LAPORTE ARLETTE</t>
  </si>
  <si>
    <t>PEROU MARY-CATHERINE</t>
  </si>
  <si>
    <t>DINERCE MYRIAM</t>
  </si>
  <si>
    <t>LEROY PATRICIA</t>
  </si>
  <si>
    <t>MASTON JOELLE</t>
  </si>
  <si>
    <t>TALARMEIN AURETTE</t>
  </si>
  <si>
    <t>VINCENT ISABEL</t>
  </si>
  <si>
    <t>MARTIN DOMINIQUE</t>
  </si>
  <si>
    <t>ROTA JOSIANE</t>
  </si>
  <si>
    <t>ROULLOT MARIE HELENE</t>
  </si>
  <si>
    <t>MALEGUE MONIQUE</t>
  </si>
  <si>
    <t>FAIVRE-THOMAS ELISABETH</t>
  </si>
  <si>
    <t>HENGEL MARTINE</t>
  </si>
  <si>
    <t>WOLFF NICOLE</t>
  </si>
  <si>
    <t>COUTANT MARYSE</t>
  </si>
  <si>
    <t>VERSHILDE MARIE-PIERRE</t>
  </si>
  <si>
    <t>ERIE BRIGITTE</t>
  </si>
  <si>
    <t>BOSSEBOEUF MARTINE</t>
  </si>
  <si>
    <t>SALINES FRANCOISE</t>
  </si>
  <si>
    <t>GARNIER MARIE-HELENE</t>
  </si>
  <si>
    <t>TRAVERSIER CATHERINE</t>
  </si>
  <si>
    <t>LASSERRE MARIE CHRISTINE</t>
  </si>
  <si>
    <t>RAKOTOARIVONY NICOLE</t>
  </si>
  <si>
    <t>HUSSER CHANTAL</t>
  </si>
  <si>
    <t>LEGAY DOMINIQUE</t>
  </si>
  <si>
    <t>GARCIA ANDREE</t>
  </si>
  <si>
    <t>FAURY CHRISTINE</t>
  </si>
  <si>
    <t>GRESARD ISABELLE</t>
  </si>
  <si>
    <t>MOLLE MARIE CLAUDE</t>
  </si>
  <si>
    <t>BOBON ANNIE JEANNE</t>
  </si>
  <si>
    <t>DANIS VALERIE</t>
  </si>
  <si>
    <t>GILLET CHRISTINE</t>
  </si>
  <si>
    <t>HERBILLON ISABELLE</t>
  </si>
  <si>
    <t>BELLEVILLE AGNES</t>
  </si>
  <si>
    <t>DIDIER NATHALIE</t>
  </si>
  <si>
    <t>LEVACHER-DAHMEN NATHALIE</t>
  </si>
  <si>
    <t>PAGES MARIA ANTONIA</t>
  </si>
  <si>
    <t>PEHLIVANIAN BRIGITTE</t>
  </si>
  <si>
    <t>ALBERTI MURIEL</t>
  </si>
  <si>
    <t>DUVAL CHRISTINE</t>
  </si>
  <si>
    <t>BARTHE ARLETTE</t>
  </si>
  <si>
    <t>SAIB ZINA</t>
  </si>
  <si>
    <t>LO MONACO XAVIERE</t>
  </si>
  <si>
    <t>POUPIN MARIE-FRANCE</t>
  </si>
  <si>
    <t>ROGER ISABELLE</t>
  </si>
  <si>
    <t>LAUNAY ANNE</t>
  </si>
  <si>
    <t>LAURENT GERMAINE</t>
  </si>
  <si>
    <t>CODBESSIN CHRISTINE</t>
  </si>
  <si>
    <t>MOREL ODILE</t>
  </si>
  <si>
    <t>DEVEAUX-FRANCILLON SYLVIE</t>
  </si>
  <si>
    <t>VACHEROT DOMINIQUE</t>
  </si>
  <si>
    <t>ROUSSEAU PAILLARDON MARINA</t>
  </si>
  <si>
    <t>HAAG PATRICIA</t>
  </si>
  <si>
    <t>SUCCESSION JOUVE VERONIQUE</t>
  </si>
  <si>
    <t>MATHIEU MARIA</t>
  </si>
  <si>
    <t>EUGENE REJANE MONIQUE</t>
  </si>
  <si>
    <t>LESOILLE ELISABETH</t>
  </si>
  <si>
    <t>RAMALHO VALERIE</t>
  </si>
  <si>
    <t>MASUREL DEBAYE VERONIQUE</t>
  </si>
  <si>
    <t>GABORIT LYSIANE</t>
  </si>
  <si>
    <t>VINCENS DIDIER</t>
  </si>
  <si>
    <t>ROULLAND NATHALIE</t>
  </si>
  <si>
    <t>BENHAMAHOUM OUARDA</t>
  </si>
  <si>
    <t>ADAM CORINNE</t>
  </si>
  <si>
    <t>VIDOCQ NATHALIE</t>
  </si>
  <si>
    <t>PALAU GARCIA SUSANA</t>
  </si>
  <si>
    <t>MAZARI NADIA</t>
  </si>
  <si>
    <t>KOPPITZ PATRICIA</t>
  </si>
  <si>
    <t>MOGLIA THERESE</t>
  </si>
  <si>
    <t>DRAI CLAIRE</t>
  </si>
  <si>
    <t>LE BOT VERONIQUE</t>
  </si>
  <si>
    <t>RAHM DIDIER</t>
  </si>
  <si>
    <t>BOTZI ISABELLE</t>
  </si>
  <si>
    <t>BORIN SANDRINE</t>
  </si>
  <si>
    <t>DOS SANTOS MARIA ROSA</t>
  </si>
  <si>
    <t>RABILLARD NATHALIE</t>
  </si>
  <si>
    <t>RITTER PATRICIA</t>
  </si>
  <si>
    <t>VILSANS FABIENNE</t>
  </si>
  <si>
    <t>AMBRUOSI FLORENCE</t>
  </si>
  <si>
    <t>BONDU VALERIE</t>
  </si>
  <si>
    <t>FRANCK NADIA</t>
  </si>
  <si>
    <t>CUISSARD NATHALIE</t>
  </si>
  <si>
    <t>SIVET ISABELLE</t>
  </si>
  <si>
    <t>BLANCHARD ANNE-MARIE</t>
  </si>
  <si>
    <t>JULIENNE CATHERINE</t>
  </si>
  <si>
    <t>WIART ELISABETH</t>
  </si>
  <si>
    <t>DUSSIREY FLORENCE</t>
  </si>
  <si>
    <t>LAUDE ANNE</t>
  </si>
  <si>
    <t>NOEL CAROLE</t>
  </si>
  <si>
    <t>DANNA ANNICK</t>
  </si>
  <si>
    <t>JAN VERONIQUE</t>
  </si>
  <si>
    <t>MONIN GENEVIEVE</t>
  </si>
  <si>
    <t>MIFSUD CORINNE</t>
  </si>
  <si>
    <t>EMERIC MARTINE</t>
  </si>
  <si>
    <t>CENDRET LAURENCE</t>
  </si>
  <si>
    <t>GRAND JEAN JOYEUX NATHALIE</t>
  </si>
  <si>
    <t>PERNOD VALERIE</t>
  </si>
  <si>
    <t>ROBY MICHEL</t>
  </si>
  <si>
    <t>MEURICE CORINNE</t>
  </si>
  <si>
    <t>RICHARD NATHALIE</t>
  </si>
  <si>
    <t>LIDY REGINE</t>
  </si>
  <si>
    <t>BARJON CHRISTELLE</t>
  </si>
  <si>
    <t>BEAUFILS CAROLE</t>
  </si>
  <si>
    <t>CLOPPAS BUISSON NATHALIE</t>
  </si>
  <si>
    <t>DI FAZIO ISABELLE</t>
  </si>
  <si>
    <t>MENAGER VALERIE</t>
  </si>
  <si>
    <t>OLIFANT ANNICK</t>
  </si>
  <si>
    <t>CHEGANI MARIE-CLAUDE</t>
  </si>
  <si>
    <t>DUPUIS SYLVIE</t>
  </si>
  <si>
    <t>MENDES YVETTE</t>
  </si>
  <si>
    <t>METZLER LAURENCE</t>
  </si>
  <si>
    <t>ISENBRANDT THIERRY</t>
  </si>
  <si>
    <t>LE HENAFF SANDRINE</t>
  </si>
  <si>
    <t>BIZZOCA PIERRETTE</t>
  </si>
  <si>
    <t>FARGUETTE PATRICIA</t>
  </si>
  <si>
    <t>DROUICHE RABHA</t>
  </si>
  <si>
    <t>LE ROY RACHEL</t>
  </si>
  <si>
    <t>BOSCHEREL GAEL</t>
  </si>
  <si>
    <t>MOHAMED-SALE NATHALIE</t>
  </si>
  <si>
    <t>GOLA SANDRINE</t>
  </si>
  <si>
    <t>GAIGNAND SANDRINE</t>
  </si>
  <si>
    <t>LAFITTE MARTINE</t>
  </si>
  <si>
    <t>MOLIQUE SANDRINE</t>
  </si>
  <si>
    <t>CABEZAS SANDRINE</t>
  </si>
  <si>
    <t>THOREL CHRISTINE</t>
  </si>
  <si>
    <t>HADDAD FARIDA</t>
  </si>
  <si>
    <t>HIMI KHADIGEA</t>
  </si>
  <si>
    <t>BOUILLAUD BEATRICE</t>
  </si>
  <si>
    <t>POULAIN CHRISTELLE</t>
  </si>
  <si>
    <t>CURT VALERIE</t>
  </si>
  <si>
    <t>JADOT DOMINIQUE</t>
  </si>
  <si>
    <t>BUSZKO CHRYSTEL</t>
  </si>
  <si>
    <t>HERGAULT SOPHIE</t>
  </si>
  <si>
    <t>ALIX-HERVE NATHALIE</t>
  </si>
  <si>
    <t>RACINE STEPHANIE</t>
  </si>
  <si>
    <t>BEQUET CAROLE</t>
  </si>
  <si>
    <t>LINGOUPOU VERONIQUE</t>
  </si>
  <si>
    <t>RODRIGUES LILIANE</t>
  </si>
  <si>
    <t>ROMEU DEOLINDA</t>
  </si>
  <si>
    <t>TRICOLI GIACOMINA</t>
  </si>
  <si>
    <t>MACAIRE ESTELLE</t>
  </si>
  <si>
    <t>AUREAU DOROTHEE</t>
  </si>
  <si>
    <t>CLIMENT HELENE</t>
  </si>
  <si>
    <t>PALMA VIRGINIE</t>
  </si>
  <si>
    <t>LEBOULANGER GAIT</t>
  </si>
  <si>
    <t>DELASSOSSAIS CHRISTINE</t>
  </si>
  <si>
    <t>LE DEAUT VALERIE</t>
  </si>
  <si>
    <t>DJAVADI DELARAM</t>
  </si>
  <si>
    <t>PONCHON KARINE</t>
  </si>
  <si>
    <t>BEILLEVERT-SOUSA ANNE-LAURE</t>
  </si>
  <si>
    <t>EGEA FLORE</t>
  </si>
  <si>
    <t>HAMELIN NATHALIE</t>
  </si>
  <si>
    <t>JANIN CAROLINE</t>
  </si>
  <si>
    <t>AUVINET BRUNO</t>
  </si>
  <si>
    <t>SANTANGELO ISABELLE</t>
  </si>
  <si>
    <t>FERREIRA MARIA-EMILIE</t>
  </si>
  <si>
    <t>SPRINGOLO LAURENCE</t>
  </si>
  <si>
    <t>SCHMITT ISABELLE</t>
  </si>
  <si>
    <t>PATOUX SYLVIE</t>
  </si>
  <si>
    <t>MOREAU DONOHUE NATHALIE</t>
  </si>
  <si>
    <t>GIRARD STEPHANIE</t>
  </si>
  <si>
    <t>TRICHET CELINE</t>
  </si>
  <si>
    <t>DJIBRILOU PATRICIA</t>
  </si>
  <si>
    <t>BOURDON-DESCHAMPS SABRINA</t>
  </si>
  <si>
    <t>ALVAREZ ORDONEZ MARIA CONCEPCIO</t>
  </si>
  <si>
    <t>JEHANNO ANA</t>
  </si>
  <si>
    <t>DOUCET ANNABELLE</t>
  </si>
  <si>
    <t>GUEDRI CECILE</t>
  </si>
  <si>
    <t>BASCOUL VIALARD SYLVIE</t>
  </si>
  <si>
    <t>BENABBOU TOURIA</t>
  </si>
  <si>
    <t>HERET FRANCK</t>
  </si>
  <si>
    <t>NACOULMA ROSE</t>
  </si>
  <si>
    <t>MINNINGER MARIE LOUISE</t>
  </si>
  <si>
    <t>LELOUP PIERRETTE</t>
  </si>
  <si>
    <t>BOUDAILLIER FRANCINE</t>
  </si>
  <si>
    <t>RAVOY CATHERINE</t>
  </si>
  <si>
    <t>DUNAND VERONIQUE</t>
  </si>
  <si>
    <t>NOSLEN BEATRICE</t>
  </si>
  <si>
    <t>POUYLLAU SANDRA</t>
  </si>
  <si>
    <t>KAJJIOU RITA</t>
  </si>
  <si>
    <t>RIEFFEL-DAHMANI CECILE</t>
  </si>
  <si>
    <t>CABALION CHRISTINE</t>
  </si>
  <si>
    <t>VERHOEVE KARIN</t>
  </si>
  <si>
    <t>CUSANNO SANDRINE</t>
  </si>
  <si>
    <t>LUCE JEAN-FRANCOIS</t>
  </si>
  <si>
    <t>PECASTAINGS KARINE</t>
  </si>
  <si>
    <t>PINARD MURIEL</t>
  </si>
  <si>
    <t>FLASQUE CHRISTELLE</t>
  </si>
  <si>
    <t>POCHON ANNE</t>
  </si>
  <si>
    <t>LABORDE STEPHANIE</t>
  </si>
  <si>
    <t>MARINNES CORINNE</t>
  </si>
  <si>
    <t>NERONI DORINE</t>
  </si>
  <si>
    <t>LABAYLE SANDRINE</t>
  </si>
  <si>
    <t>DOUAY SYLVIE</t>
  </si>
  <si>
    <t>BOUDREAU VERONIQUE</t>
  </si>
  <si>
    <t>SETIN TELLY</t>
  </si>
  <si>
    <t>FEKKAR DALILA</t>
  </si>
  <si>
    <t>TORCHEUX SABRINA</t>
  </si>
  <si>
    <t>BREZAC VALERIE</t>
  </si>
  <si>
    <t>FERREIRA CHRISTINE</t>
  </si>
  <si>
    <t>EMERAUD CHRISTELLE</t>
  </si>
  <si>
    <t>KAHELERAS DALILA</t>
  </si>
  <si>
    <t>MANGEL ALEXANDRA</t>
  </si>
  <si>
    <t>MORIZE CLAIRE</t>
  </si>
  <si>
    <t>DA COSTA ISILDA</t>
  </si>
  <si>
    <t>ALCARAZ SYLVIANE</t>
  </si>
  <si>
    <t>PAIN FRANCOISE</t>
  </si>
  <si>
    <t>RACHIQUI IDA</t>
  </si>
  <si>
    <t>PASCAL VALERIE</t>
  </si>
  <si>
    <t>BERRAJAA LAETITIA</t>
  </si>
  <si>
    <t>BRIERE MEAVE</t>
  </si>
  <si>
    <t>TERRIER GAEL</t>
  </si>
  <si>
    <t>DA FONTE CLEMENTINE</t>
  </si>
  <si>
    <t>JOLIBERT ILDA</t>
  </si>
  <si>
    <t>CLAVEAU VALERIE</t>
  </si>
  <si>
    <t>DUFOUR CELINE</t>
  </si>
  <si>
    <t>GOMEZ JUAN</t>
  </si>
  <si>
    <t>MANSUY VALERIE</t>
  </si>
  <si>
    <t>ESCOBEDO MONZON CAROLE</t>
  </si>
  <si>
    <t>GIRARD ELISABTH</t>
  </si>
  <si>
    <t>LOTALA LILIANE</t>
  </si>
  <si>
    <t>BENAMAR HOURIA</t>
  </si>
  <si>
    <t>SOUILLARD SEVERINE</t>
  </si>
  <si>
    <t>BOSC CATHERINE</t>
  </si>
  <si>
    <t>NOAILLES ISABELLE</t>
  </si>
  <si>
    <t>BACHA SAMIRA</t>
  </si>
  <si>
    <t>DELLOYE LAURENE</t>
  </si>
  <si>
    <t>HORVATH NINA</t>
  </si>
  <si>
    <t>CARREIRA CHRISTINE</t>
  </si>
  <si>
    <t>VINCENT FRANCOISE</t>
  </si>
  <si>
    <t>COLLIER ISABELLE</t>
  </si>
  <si>
    <t>GARIN SANDRINE</t>
  </si>
  <si>
    <t>MOURADIAN EMMANUELLE</t>
  </si>
  <si>
    <t>LELEU LISE</t>
  </si>
  <si>
    <t>FRUGIER CELINE</t>
  </si>
  <si>
    <t>MALACHE OUAFAK</t>
  </si>
  <si>
    <t>FORNET PATRICIA</t>
  </si>
  <si>
    <t>DE COTTER ANNE ISABELLE</t>
  </si>
  <si>
    <t>CHARLOT FERREIERA NATACHA</t>
  </si>
  <si>
    <t>BECQUEMBOIS CAROLINE</t>
  </si>
  <si>
    <t>DEFAIT MARYLENE</t>
  </si>
  <si>
    <t>LABROUSSE CRISTEL</t>
  </si>
  <si>
    <t>LECERF CECILE</t>
  </si>
  <si>
    <t>DENTONE ROSELYNE</t>
  </si>
  <si>
    <t>BOUSSEMAER CAROLINE</t>
  </si>
  <si>
    <t>RIGOLETTI CAROLE</t>
  </si>
  <si>
    <t>JUDEAUX SYLVIANE</t>
  </si>
  <si>
    <t>MICHEL EDWIGE</t>
  </si>
  <si>
    <t>JARDEL NATHALIE</t>
  </si>
  <si>
    <t>AUCLAIR FRANCK</t>
  </si>
  <si>
    <t>BEN BACHIR FATMA</t>
  </si>
  <si>
    <t>GAUER-DOLGOWICZ VERONIQUE</t>
  </si>
  <si>
    <t>BERGOZZA JOSEPHINE</t>
  </si>
  <si>
    <t>LARZILLIERE SOPHIE</t>
  </si>
  <si>
    <t>FOURCADE CLAIRE</t>
  </si>
  <si>
    <t>PYCKE BARBARA</t>
  </si>
  <si>
    <t>MALETTE JENNIFER</t>
  </si>
  <si>
    <t>TEMIMI MANSOURA</t>
  </si>
  <si>
    <t>PERON MERCIER CHRISTELLE</t>
  </si>
  <si>
    <t>CHARREAU CELINE</t>
  </si>
  <si>
    <t>BERNIER MARIE LAURE</t>
  </si>
  <si>
    <t>ZUCCHET LAETITIA</t>
  </si>
  <si>
    <t>STOJANOVIC STEPHANIE</t>
  </si>
  <si>
    <t>HENRI ANNICK</t>
  </si>
  <si>
    <t>THOMASSIN MAGALIE</t>
  </si>
  <si>
    <t>LIGNON CHRISTINE</t>
  </si>
  <si>
    <t>BEHAEGEL CHRISTINE</t>
  </si>
  <si>
    <t>LORIA MURIELLE</t>
  </si>
  <si>
    <t>CAMPANA FRANCOIS</t>
  </si>
  <si>
    <t>SIR ANNE MARIE</t>
  </si>
  <si>
    <t>HEBERT ISABELLE</t>
  </si>
  <si>
    <t>PALUMBO YSABELLE</t>
  </si>
  <si>
    <t>LERIGNIER STEPHANIE</t>
  </si>
  <si>
    <t>COLLINOT SABINE</t>
  </si>
  <si>
    <t>GRANDJEAN ISABELLE</t>
  </si>
  <si>
    <t>MAKHLOUF ZOHRA</t>
  </si>
  <si>
    <t>BOLOGNESE ELVIRE</t>
  </si>
  <si>
    <t>MESQUITA MARIA HELENA</t>
  </si>
  <si>
    <t>GISSOT VERONIQUE</t>
  </si>
  <si>
    <t>ROSSI BRIGITTE</t>
  </si>
  <si>
    <t>PETIT JULIE</t>
  </si>
  <si>
    <t>GARCON TIFFANY</t>
  </si>
  <si>
    <t>BRULE CELINE</t>
  </si>
  <si>
    <t>NARRAIDOO SOOBHA</t>
  </si>
  <si>
    <t>FERNANDES CAMILA</t>
  </si>
  <si>
    <t>DAI ODILE</t>
  </si>
  <si>
    <t>VARLET GRANCHER ADELINE</t>
  </si>
  <si>
    <t>ELIZABETH OLIVIA</t>
  </si>
  <si>
    <t>DOMINGUES ROCHA MARIE-HELENE</t>
  </si>
  <si>
    <t>GELABERT VALERIE</t>
  </si>
  <si>
    <t>CHOQUET MARTINE</t>
  </si>
  <si>
    <t>POUGET LEONE</t>
  </si>
  <si>
    <t>PAREDES POTRESSOFF ELVIRA</t>
  </si>
  <si>
    <t>HENRY PASCALE</t>
  </si>
  <si>
    <t>BOUFFARON MONIQUE</t>
  </si>
  <si>
    <t>ROBERT ROSE-MARIE</t>
  </si>
  <si>
    <t>SCLAVO LAETITIA</t>
  </si>
  <si>
    <t>FELDER PATRICIA</t>
  </si>
  <si>
    <t>CHOMETTE MARJORIE</t>
  </si>
  <si>
    <t>BARREAU KARINE</t>
  </si>
  <si>
    <t>PINHEIRO NELLY</t>
  </si>
  <si>
    <t>RIVIERE JESSICA</t>
  </si>
  <si>
    <t>BELIGNY HAFSAT</t>
  </si>
  <si>
    <t>TISSERAND JULIE</t>
  </si>
  <si>
    <t>CANIS CHANTAL MARIE THERESE</t>
  </si>
  <si>
    <t>HERNANDEZ CHOPIN MARIE LAURENCE</t>
  </si>
  <si>
    <t>BAGLIN-STEPHAN ODILE</t>
  </si>
  <si>
    <t>DELISSE CORINNE</t>
  </si>
  <si>
    <t>ETCHEVERRY YOANA</t>
  </si>
  <si>
    <t>HAYE CELINE</t>
  </si>
  <si>
    <t>ANGELICO MARINA</t>
  </si>
  <si>
    <t>PASSARO VANESSA</t>
  </si>
  <si>
    <t>CORTES ASTRILD</t>
  </si>
  <si>
    <t>BRUN ARMELLE</t>
  </si>
  <si>
    <t>SEJOURNE JULIE</t>
  </si>
  <si>
    <t>LEBLOND SOPHIE</t>
  </si>
  <si>
    <t>LANGLOIS EMILIA</t>
  </si>
  <si>
    <t>MELKI MONIQUE</t>
  </si>
  <si>
    <t>MELONI LEIDA</t>
  </si>
  <si>
    <t>QUINIOU BRIGITTE</t>
  </si>
  <si>
    <t>BOURDON IVANUSIC IRENE</t>
  </si>
  <si>
    <t>BORGOLOTTO MARIE LAURE</t>
  </si>
  <si>
    <t>SOBCZYK VERONIQUE</t>
  </si>
  <si>
    <t>GONZALES MARIE</t>
  </si>
  <si>
    <t>CASAGRANDE ANGELIQUE</t>
  </si>
  <si>
    <t>CHOISEAU LAURENE</t>
  </si>
  <si>
    <t>LEFEVRE AUDE</t>
  </si>
  <si>
    <t>MAISONHAUTE REBECCA</t>
  </si>
  <si>
    <t>BENSON STELLA</t>
  </si>
  <si>
    <t>VIOLA CLAUDINE</t>
  </si>
  <si>
    <t>CERPEDES ELODIE</t>
  </si>
  <si>
    <t>HOFFMANN CHRISTINE</t>
  </si>
  <si>
    <t>LOIR CARPENTIER ANAIS</t>
  </si>
  <si>
    <t>BRAQUET LAURENCE</t>
  </si>
  <si>
    <t>AOUIT JULIE</t>
  </si>
  <si>
    <t>AUBERTIN LAURA</t>
  </si>
  <si>
    <t>MASSA MIREILLE</t>
  </si>
  <si>
    <t>WALLART ANNIE</t>
  </si>
  <si>
    <t>RIEGERT AURELIE</t>
  </si>
  <si>
    <t>GARCIES CAROLINE</t>
  </si>
  <si>
    <t>KOUKOUI WILFRIDINE</t>
  </si>
  <si>
    <t>HANTUTE DELPHINE</t>
  </si>
  <si>
    <t>LADOUCE ANNE SOPHIE</t>
  </si>
  <si>
    <t>BOURGOIS CAROLE</t>
  </si>
  <si>
    <t>BAYEUX ISABELLE</t>
  </si>
  <si>
    <t>LOEV ALEXANDRA</t>
  </si>
  <si>
    <t>POUDEVIGNE SYLVIE</t>
  </si>
  <si>
    <t>BAI GAELLE</t>
  </si>
  <si>
    <t>KOUROUMA AWA</t>
  </si>
  <si>
    <t>JALAIS KARINE</t>
  </si>
  <si>
    <t>FRAGATA DA COSTA MAFALDA SOPHIE</t>
  </si>
  <si>
    <t>BIAIS JESSICA</t>
  </si>
  <si>
    <t>RIZZATO CHIARA</t>
  </si>
  <si>
    <t>CARIOU SABRINA</t>
  </si>
  <si>
    <t>CID RACHEDA</t>
  </si>
  <si>
    <t>BELHACHEMI LAMIA</t>
  </si>
  <si>
    <t>BAILLET BARBARA</t>
  </si>
  <si>
    <t>FENEUX GENEVIEVE</t>
  </si>
  <si>
    <t>LEVEQUE ALINE</t>
  </si>
  <si>
    <t>JEAN MAGALI</t>
  </si>
  <si>
    <t>FLOQUET ANA MARIA</t>
  </si>
  <si>
    <t>BRUN-PIETRE NATHALIE</t>
  </si>
  <si>
    <t>BELLILE MOUNIA</t>
  </si>
  <si>
    <t>DA SILVA CRUZ GERARDO MANUEL</t>
  </si>
  <si>
    <t>ZERBATO CATHERINE</t>
  </si>
  <si>
    <t>GUICHARD NADINE</t>
  </si>
  <si>
    <t>TRINCAL NATHALIE</t>
  </si>
  <si>
    <t>DO CARMO MARIA</t>
  </si>
  <si>
    <t>PRESOTTO ISABELLE</t>
  </si>
  <si>
    <t>DE OLIVEIRA AUDREY</t>
  </si>
  <si>
    <t>CARTIER BRIGITTE</t>
  </si>
  <si>
    <t>BROUSSARD LILIANE</t>
  </si>
  <si>
    <t>CARDOT DOMINIQUE</t>
  </si>
  <si>
    <t>CHARLOIS EVELYNE</t>
  </si>
  <si>
    <t>SOURON JACQUES</t>
  </si>
  <si>
    <t>LEROY MARIE CHRISTINE</t>
  </si>
  <si>
    <t>MATTHYSSENS ISABELLE</t>
  </si>
  <si>
    <t>MARCHAND ELODIE</t>
  </si>
  <si>
    <t>RONDEL JULIE</t>
  </si>
  <si>
    <t>CHAFFOY RUDY</t>
  </si>
  <si>
    <t>QUILICI STEPHANIE</t>
  </si>
  <si>
    <t>BELKAHIA NEJMA ALIMA</t>
  </si>
  <si>
    <t>LE BOULANGER FANNIE</t>
  </si>
  <si>
    <t>MARTINEZ OHAYON ALEXANDRA</t>
  </si>
  <si>
    <t>ERDOGAN NAZIFE</t>
  </si>
  <si>
    <t>RIBEIRO SAMPAIO MARISA</t>
  </si>
  <si>
    <t>VIENNE JEANNE</t>
  </si>
  <si>
    <t>BUREL MELANIE</t>
  </si>
  <si>
    <t>HYVERNAT BEY BLANDINE</t>
  </si>
  <si>
    <t>BENAZZA NASSIMA</t>
  </si>
  <si>
    <t>SHIRAZI NASRIN</t>
  </si>
  <si>
    <t>HAZAN CLAUDINE</t>
  </si>
  <si>
    <t>MERCADANTE NICOLE</t>
  </si>
  <si>
    <t>KAMM JULIE</t>
  </si>
  <si>
    <t>SERRAILLE ELISE</t>
  </si>
  <si>
    <t>HAZARD AURELIE</t>
  </si>
  <si>
    <t>CHAGNIAU AGNES</t>
  </si>
  <si>
    <t>HELARY ANAIS FRANCOISE</t>
  </si>
  <si>
    <t>PLANCON ELISE</t>
  </si>
  <si>
    <t>LABAYLE LAURENCE MARIE-CECIL</t>
  </si>
  <si>
    <t>HUC VANESSA</t>
  </si>
  <si>
    <t>DURIS MELISSA</t>
  </si>
  <si>
    <t>MARTINEZ-ORLANDINI CINDY</t>
  </si>
  <si>
    <t>RIGHA NEDJMA</t>
  </si>
  <si>
    <t>POTIER AURORE</t>
  </si>
  <si>
    <t>BENBAHLOUL SARAH</t>
  </si>
  <si>
    <t>MENU CECILE</t>
  </si>
  <si>
    <t>ROBINEAU REBECCA</t>
  </si>
  <si>
    <t>LEMOINE GWENOLA</t>
  </si>
  <si>
    <t>WEJNBERG JULIA</t>
  </si>
  <si>
    <t>DELAVEAU CATHERINE</t>
  </si>
  <si>
    <t>MARGAN RACA ADINA</t>
  </si>
  <si>
    <t>VANDE WALLEE FABIENNE</t>
  </si>
  <si>
    <t>HAMELIN ERIKA</t>
  </si>
  <si>
    <t>CROUTE ELISABETH</t>
  </si>
  <si>
    <t>SCOUARNEC IRENE</t>
  </si>
  <si>
    <t>HAMMOUCHE LAILA</t>
  </si>
  <si>
    <t>LE PERF LAURENCE</t>
  </si>
  <si>
    <t>HARANCOURT LUCIENNE</t>
  </si>
  <si>
    <t>ZYLA CAROLE</t>
  </si>
  <si>
    <t>LANDA FATIHA</t>
  </si>
  <si>
    <t>DELLA CORTE CORALIE</t>
  </si>
  <si>
    <t>AUGUSTIN GLADYS</t>
  </si>
  <si>
    <t>LEMARCHAND ANAIS</t>
  </si>
  <si>
    <t>BARRAULT CAROLINE</t>
  </si>
  <si>
    <t>BELIN NATHALIE</t>
  </si>
  <si>
    <t>KESSLER LESLIE</t>
  </si>
  <si>
    <t>VERON KAREN</t>
  </si>
  <si>
    <t>BENARDEAU KELLY</t>
  </si>
  <si>
    <t>LAIGLE PAULINE</t>
  </si>
  <si>
    <t>LAURISSON PAULINE</t>
  </si>
  <si>
    <t>THEOBALD SYBILLE</t>
  </si>
  <si>
    <t>MOUHCENE SAMIA</t>
  </si>
  <si>
    <t>THIRIOT ANAIS</t>
  </si>
  <si>
    <t>GABRIEL MARIA LAURA</t>
  </si>
  <si>
    <t>REBOUR CELINE</t>
  </si>
  <si>
    <t>SIMONIAN VALERIE</t>
  </si>
  <si>
    <t>LOEHR NATHALIE</t>
  </si>
  <si>
    <t>ONIDA CHRYSTELE</t>
  </si>
  <si>
    <t>MILLER MARIE-THERESE</t>
  </si>
  <si>
    <t>BEAUSSEAUX AMELIE</t>
  </si>
  <si>
    <t>RAFFEAU CATHERINE</t>
  </si>
  <si>
    <t>GALY MARIE-PIERRE</t>
  </si>
  <si>
    <t>BODIN MICHELLE</t>
  </si>
  <si>
    <t>LAVEAU STEPHANIE</t>
  </si>
  <si>
    <t>AIT HAMOUDI SALIHA</t>
  </si>
  <si>
    <t>MICONNET JUSTINE</t>
  </si>
  <si>
    <t>GATEFAIT CHRISTELLE</t>
  </si>
  <si>
    <t>NITTEL VERONIQUE</t>
  </si>
  <si>
    <t>BOYD DELGADO MERCEDES HILDA</t>
  </si>
  <si>
    <t>ZERROUG IMANE</t>
  </si>
  <si>
    <t>DEMOUCH CAROLINE</t>
  </si>
  <si>
    <t>BRESO SEVERINE</t>
  </si>
  <si>
    <t>FOLLIOT JULIEN</t>
  </si>
  <si>
    <t>FLAMBEAU NATHALIE</t>
  </si>
  <si>
    <t>LOUAR AICHA</t>
  </si>
  <si>
    <t>HEBERLE-CLIMENT EMILIE</t>
  </si>
  <si>
    <t>JOLY KARIMA</t>
  </si>
  <si>
    <t>TIXERAND CORINNE</t>
  </si>
  <si>
    <t>ZITTE CORINE</t>
  </si>
  <si>
    <t>GISCARD FLORIAN</t>
  </si>
  <si>
    <t>BURNER MARTINE</t>
  </si>
  <si>
    <t>RENAUT JULIE</t>
  </si>
  <si>
    <t>LEDE GWENAELLE</t>
  </si>
  <si>
    <t>DOUCHE CELINE</t>
  </si>
  <si>
    <t>BLANQUART NANCY</t>
  </si>
  <si>
    <t>GARUZ ALEXANDRA</t>
  </si>
  <si>
    <t>ECHARD TIPHAINE</t>
  </si>
  <si>
    <t>MEROT CINDY</t>
  </si>
  <si>
    <t>SADALI ANAIS</t>
  </si>
  <si>
    <t>EZZET SONIA</t>
  </si>
  <si>
    <t>SOUBIES SOPHIE</t>
  </si>
  <si>
    <t>FLEURY THERESE</t>
  </si>
  <si>
    <t>DEBOULLE AURELIE</t>
  </si>
  <si>
    <t>MEDFOUNI FATIMA</t>
  </si>
  <si>
    <t>BEITES FERNANDES MARIA</t>
  </si>
  <si>
    <t>SOUCHE NATHALIE</t>
  </si>
  <si>
    <t>GUILLARD JULIE</t>
  </si>
  <si>
    <t>CAUDRON JEAN</t>
  </si>
  <si>
    <t>GLADIEUX EMILIE</t>
  </si>
  <si>
    <t>TEYSSIER LAURE</t>
  </si>
  <si>
    <t>JOLARD GUILLAUME</t>
  </si>
  <si>
    <t>BELIN JACKIE</t>
  </si>
  <si>
    <t>PARADELA LUCIEN</t>
  </si>
  <si>
    <t>CLIN SANDRINE</t>
  </si>
  <si>
    <t>LASSUS LYDIE</t>
  </si>
  <si>
    <t>BERCHEL EMILIE</t>
  </si>
  <si>
    <t>PERRIN JENNIFER</t>
  </si>
  <si>
    <t>MATHIEU FRANCOIS</t>
  </si>
  <si>
    <t>MARTIN FRANCE</t>
  </si>
  <si>
    <t>REBEYROL ELVIRA</t>
  </si>
  <si>
    <t>FIAN FREDERIQUE</t>
  </si>
  <si>
    <t>ARMAND AMBROISE</t>
  </si>
  <si>
    <t>FREIMULLER ESTELLE</t>
  </si>
  <si>
    <t>ABREU SABRINA</t>
  </si>
  <si>
    <t>JACQUES INES</t>
  </si>
  <si>
    <t>ROSNOBLET FANNY</t>
  </si>
  <si>
    <t>QUETEL ANAIS</t>
  </si>
  <si>
    <t>SAUNIER MARJORIE</t>
  </si>
  <si>
    <t>VIAENE MARIE</t>
  </si>
  <si>
    <t>FISSIER ELEONORE</t>
  </si>
  <si>
    <t>EDY MYLENE</t>
  </si>
  <si>
    <t>BAUDRY SANDRA</t>
  </si>
  <si>
    <t>IANNINO AGNES</t>
  </si>
  <si>
    <t>LAFAILLE COLETTE</t>
  </si>
  <si>
    <t>CHERGUI VIRGINIE</t>
  </si>
  <si>
    <t>TEVI DORINA</t>
  </si>
  <si>
    <t>KOUGIOUROUKI ATHANASIA</t>
  </si>
  <si>
    <t>CLAES CYRIELLE</t>
  </si>
  <si>
    <t>MALINOFSKY ARIANE</t>
  </si>
  <si>
    <t>DUVENTRU CARINE</t>
  </si>
  <si>
    <t>KABET MALIKA</t>
  </si>
  <si>
    <t>MIRA BRAGANCA MARGOT ISABEL</t>
  </si>
  <si>
    <t>CROIZIER CLAIRE</t>
  </si>
  <si>
    <t>RONZIER DELPHY</t>
  </si>
  <si>
    <t>BRION IMELDA</t>
  </si>
  <si>
    <t>BENDER MURIEL</t>
  </si>
  <si>
    <t>LEDEUL CECILE</t>
  </si>
  <si>
    <t>MARSOLIER CHLOE</t>
  </si>
  <si>
    <t>ANDRIJEVIC MILICA</t>
  </si>
  <si>
    <t>GEETS CHRISTINE</t>
  </si>
  <si>
    <t>BEAUFORT MARIE</t>
  </si>
  <si>
    <t>SIX CELINE</t>
  </si>
  <si>
    <t>NADER ALEXIS</t>
  </si>
  <si>
    <t>MARSEILLE LIVIA</t>
  </si>
  <si>
    <t>DHEILLY MARIE</t>
  </si>
  <si>
    <t>GHAEMMAGHAMI JULIA</t>
  </si>
  <si>
    <t>DI SICA EDWIGE</t>
  </si>
  <si>
    <t>PERROT MINOT AMANDINE</t>
  </si>
  <si>
    <t>PHANNARATH DARAVANH SOPHIE</t>
  </si>
  <si>
    <t>BONNIOT DE RUISSELET FLORENCE</t>
  </si>
  <si>
    <t>BUTTGEN PATRICIA</t>
  </si>
  <si>
    <t>MARTINET VIERTHELIN SYLPHIDE</t>
  </si>
  <si>
    <t>CAILLOUX CORALIE</t>
  </si>
  <si>
    <t>BARREY EMELINE</t>
  </si>
  <si>
    <t>BOUJEDLI INES</t>
  </si>
  <si>
    <t>GUILLOT GAELLE</t>
  </si>
  <si>
    <t>GUILMINEAU MAGALI</t>
  </si>
  <si>
    <t>AIT ABDELKRIM FATIHA</t>
  </si>
  <si>
    <t>SADOUNI YOUSRA</t>
  </si>
  <si>
    <t>BLAIRVACQ ANNE SOPHIE</t>
  </si>
  <si>
    <t>MONIER CAROLINE</t>
  </si>
  <si>
    <t>AITTAFAT LOUIZA</t>
  </si>
  <si>
    <t>LE PICHON JULIETTE</t>
  </si>
  <si>
    <t>GARNIER SARAH</t>
  </si>
  <si>
    <t>SOOPIN BOTANE NATACHA</t>
  </si>
  <si>
    <t>GIRAUDEAU MAUD</t>
  </si>
  <si>
    <t>TO CAROLINE</t>
  </si>
  <si>
    <t>DEVIRGILLE JEAN</t>
  </si>
  <si>
    <t>TROTTET ELSA</t>
  </si>
  <si>
    <t>SOUALILI FATIMA</t>
  </si>
  <si>
    <t>PRIN KELLY</t>
  </si>
  <si>
    <t>DECHOQUET AMANDINE</t>
  </si>
  <si>
    <t>MARTINET NATACHA</t>
  </si>
  <si>
    <t>DA COSTA MARIA</t>
  </si>
  <si>
    <t>CAPON LAETITIA</t>
  </si>
  <si>
    <t>MHAMDI RIAD</t>
  </si>
  <si>
    <t>MENDAYE LAURE</t>
  </si>
  <si>
    <t>MONTEIRO VERONIQUE</t>
  </si>
  <si>
    <t>MAGNOUAT JULIE</t>
  </si>
  <si>
    <t>DA SILVA VILAR FATIMA</t>
  </si>
  <si>
    <t>LIVOWSKY FRANCOISE</t>
  </si>
  <si>
    <t>CHARGUIA MAROUA</t>
  </si>
  <si>
    <t>HASSAINI LEASSE</t>
  </si>
  <si>
    <t>MACOUIN DEBORAH</t>
  </si>
  <si>
    <t>MAZZOLENI NATACHA</t>
  </si>
  <si>
    <t>REFALO SANDRINE</t>
  </si>
  <si>
    <t>RINGEVAL ELSA</t>
  </si>
  <si>
    <t>ZOMMER ALIETTE</t>
  </si>
  <si>
    <t>BRET SANDRINE</t>
  </si>
  <si>
    <t>AGHBAL ANAIS</t>
  </si>
  <si>
    <t>PORTE MARIELLE</t>
  </si>
  <si>
    <t>ERREUR ERREUR</t>
  </si>
  <si>
    <t>PAPAIL MARLEEN</t>
  </si>
  <si>
    <t>ROBIN MURIEL</t>
  </si>
  <si>
    <t>HAMDACH LEILA</t>
  </si>
  <si>
    <t>PICORON CORINNE</t>
  </si>
  <si>
    <t>FOUNKEU DJELYSSA</t>
  </si>
  <si>
    <t>TOURTOIS CORINNE</t>
  </si>
  <si>
    <t>TOUTAIN FANNY</t>
  </si>
  <si>
    <t>BERNARD NATHALIE</t>
  </si>
  <si>
    <t>MOLINIER CAMILLE</t>
  </si>
  <si>
    <t>DE CHEFDEBIEN LAURE</t>
  </si>
  <si>
    <t>SEMUR SANDRA</t>
  </si>
  <si>
    <t>EPAIN CELINE</t>
  </si>
  <si>
    <t>LOEWE JENNYFER</t>
  </si>
  <si>
    <t>KROUSSA HIND</t>
  </si>
  <si>
    <t>FROIDEVAUX FREDERIQUE</t>
  </si>
  <si>
    <t>PARNAUDEAU DELPHINE</t>
  </si>
  <si>
    <t>DJENDOUBI KARL</t>
  </si>
  <si>
    <t>NAIR LEATYCIA</t>
  </si>
  <si>
    <t>ASTRUC ALEXANDRE</t>
  </si>
  <si>
    <t>TOBAR SANDRINE</t>
  </si>
  <si>
    <t>NGO NSOA CHRISTINE</t>
  </si>
  <si>
    <t>BADMAEVA GALINA</t>
  </si>
  <si>
    <t>CEBEDIO CINTHIA</t>
  </si>
  <si>
    <t>HAMZAOUI SOPHIA</t>
  </si>
  <si>
    <t>CONVERSET CHRISTELLE</t>
  </si>
  <si>
    <t>RICHEUX CLARA</t>
  </si>
  <si>
    <t>ZIRAK DIANE</t>
  </si>
  <si>
    <t>BERNARD LAETITIA</t>
  </si>
  <si>
    <t>ROBLOT COULANGES SYLVIE</t>
  </si>
  <si>
    <t>GENOCHIO ISABELLE</t>
  </si>
  <si>
    <t>DEKHLI ZAHIDA</t>
  </si>
  <si>
    <t>ALDO ANNETTE</t>
  </si>
  <si>
    <t>MECKERT ELISABETH</t>
  </si>
  <si>
    <t>SANCHO MONIQUE</t>
  </si>
  <si>
    <t>ACHBI SONIA</t>
  </si>
  <si>
    <t>BURDY PATRICIA</t>
  </si>
  <si>
    <t>LE DEIST MICHELE</t>
  </si>
  <si>
    <t>SOUMILLE MARIE-THERESE</t>
  </si>
  <si>
    <t>SZYNDLER ROSETTA</t>
  </si>
  <si>
    <t>CARRET SYLVIANE</t>
  </si>
  <si>
    <t>COLLOMBA VALERIE</t>
  </si>
  <si>
    <t>POITEVIN CATHERINE</t>
  </si>
  <si>
    <t>DANION VERONIQUE</t>
  </si>
  <si>
    <t>LE CORRE-NUNES FRANCK</t>
  </si>
  <si>
    <t>CHALANDE EDITH</t>
  </si>
  <si>
    <t>OGER NADINE</t>
  </si>
  <si>
    <t>AMMEUX LAURENCE</t>
  </si>
  <si>
    <t>ANANIA CELINE</t>
  </si>
  <si>
    <t>WHITE PENELOPE</t>
  </si>
  <si>
    <t>CRISTOVAO DE SA STEPHANIE</t>
  </si>
  <si>
    <t>MOKREA ODILE</t>
  </si>
  <si>
    <t>TUFFERY PATRICIA</t>
  </si>
  <si>
    <t>MARIE MARTHE ERICA</t>
  </si>
  <si>
    <t>MARTINEZ FABIENNE</t>
  </si>
  <si>
    <t>EVRARD MYRIAM</t>
  </si>
  <si>
    <t>MIDENET NATHALIE</t>
  </si>
  <si>
    <t>CIVERA CAROLE</t>
  </si>
  <si>
    <t>KOSMALSKI MARTINE</t>
  </si>
  <si>
    <t>ISSELIN NADIA</t>
  </si>
  <si>
    <t>GIRAUD SYLVIE</t>
  </si>
  <si>
    <t>MOISAN THERESE</t>
  </si>
  <si>
    <t>UGO MARIANNE</t>
  </si>
  <si>
    <t>GRAPIN KARINE</t>
  </si>
  <si>
    <t>AGEZ PHILIPPE-MARIE</t>
  </si>
  <si>
    <t>EL BAHRAOUI DONIA</t>
  </si>
  <si>
    <t>DESCHAMPS EMILIE</t>
  </si>
  <si>
    <t>Date du Décès</t>
  </si>
  <si>
    <t>âge 
au Décès</t>
  </si>
  <si>
    <t>Capitaux Payés</t>
  </si>
  <si>
    <t>CASANOVAS LAURENCE</t>
  </si>
  <si>
    <t>LUIS NADINE</t>
  </si>
  <si>
    <t>DELPLANQUE VALERIE</t>
  </si>
  <si>
    <t>DELACOU MARTINE</t>
  </si>
  <si>
    <t>CHALAUD MARTINE</t>
  </si>
  <si>
    <t>CHIKH ZINEB</t>
  </si>
  <si>
    <t>YEO CATHERINE</t>
  </si>
  <si>
    <t>MEDARD CATHERINE</t>
  </si>
  <si>
    <t>SINTES PHILIPPE</t>
  </si>
  <si>
    <t>THOMAS FRANCOISE</t>
  </si>
  <si>
    <t>MANCEAU CHRYSTELLE</t>
  </si>
  <si>
    <t>COCATRIX ODILE</t>
  </si>
  <si>
    <t>POILLEUX SYLVIE</t>
  </si>
  <si>
    <t>CORMANN FLORENCE</t>
  </si>
  <si>
    <t>TONCANIER LAURENT</t>
  </si>
  <si>
    <t>LECALLIER AURELIE</t>
  </si>
  <si>
    <t>SOUDAN PATRICIA</t>
  </si>
  <si>
    <t>BORNEMANN BEATRICE</t>
  </si>
  <si>
    <t>AVRIL FREDERIQUE</t>
  </si>
  <si>
    <t>LANTAIRES XAVIER</t>
  </si>
  <si>
    <t>SAADA HUBERT</t>
  </si>
  <si>
    <t>DAVIGNEAU SIXTINE</t>
  </si>
  <si>
    <t>SQUARCIONI DANIELLE</t>
  </si>
  <si>
    <t>KELEKIS ANTOINE</t>
  </si>
  <si>
    <t>LEYCURAS PATRICK</t>
  </si>
  <si>
    <t>COMBE FLORENT</t>
  </si>
  <si>
    <t>GAUCHET ERIC</t>
  </si>
  <si>
    <t>PANNAVAIRE JEAN</t>
  </si>
  <si>
    <t>DESVAUX JEAN YVES</t>
  </si>
  <si>
    <t>WALBERT PASCAL</t>
  </si>
  <si>
    <t>PEREIRA CARDOSO</t>
  </si>
  <si>
    <t>ROMANI RAMON</t>
  </si>
  <si>
    <t>LE HEGARAT JEAN PIERRE</t>
  </si>
  <si>
    <t>NARRAIDOO VEDANAND</t>
  </si>
  <si>
    <t>PERIER JEROME</t>
  </si>
  <si>
    <t>JACQUES MARC</t>
  </si>
  <si>
    <t>MULSANT BENOIT</t>
  </si>
  <si>
    <t>MONTIAL THIERRY</t>
  </si>
  <si>
    <t>DINI JADE</t>
  </si>
  <si>
    <t>Gains/Pertes</t>
  </si>
  <si>
    <t>CODE GARANTIE</t>
  </si>
  <si>
    <t xml:space="preserve">Cotisations brutes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</si>
</sst>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6" formatCode="#,##0\ &quot;€&quot;;[Red]\-#,##0\ &quot;€&quot;"/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0.0"/>
    <numFmt numFmtId="167" formatCode="#,##0\ &quot;€&quot;"/>
    <numFmt numFmtId="168" formatCode="_-* #,##0\ &quot;€&quot;_-;\-* #,##0\ &quot;€&quot;_-;_-* &quot;-&quot;??\ &quot;€&quot;_-;_-@_-"/>
    <numFmt numFmtId="169" formatCode="#,##0.00\ &quot;€&quot;"/>
    <numFmt numFmtId="170" formatCode="#,##0_ ;\-#,##0\ "/>
    <numFmt numFmtId="171" formatCode="#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b/>
      <sz val="24"/>
      <color theme="3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b/>
      <sz val="24"/>
      <color rgb="FF4FACBE"/>
      <name val="DINBek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b/>
      <sz val="24"/>
      <color rgb="FF4FACBE"/>
      <name val="DINbek Medium"/>
    </font>
    <font>
      <sz val="12"/>
      <color rgb="FF4FACBE"/>
      <name val="Wingdings"/>
      <charset val="2"/>
    </font>
    <font>
      <b/>
      <sz val="11"/>
      <color rgb="FF4FACBE"/>
      <name val="Georgia"/>
      <family val="1"/>
    </font>
    <font>
      <sz val="12"/>
      <color rgb="FFFF0000"/>
      <name val="DINBek"/>
    </font>
    <font>
      <sz val="12"/>
      <color rgb="FF4FACBE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</fills>
  <borders count="22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8" tint="-0.499984740745262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theme="8" tint="-0.24994659260841701"/>
      </left>
      <right style="thin">
        <color auto="1"/>
      </right>
      <top/>
      <bottom/>
      <diagonal/>
    </border>
  </borders>
  <cellStyleXfs count="8">
    <xf numFmtId="0" fontId="0" fillId="0" borderId="0"/>
    <xf numFmtId="164" fontId="1" fillId="0" borderId="0"/>
    <xf numFmtId="165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205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 vertical="center"/>
    </xf>
    <xf numFmtId="1" fontId="4" fillId="0" borderId="0" xfId="5" applyNumberFormat="1" applyFont="1" applyFill="1" applyBorder="1" applyAlignment="1">
      <alignment horizontal="left" vertical="center"/>
    </xf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1" xfId="0" applyNumberFormat="1" applyFont="1" applyFill="1" applyBorder="1"/>
    <xf numFmtId="0" fontId="0" fillId="0" borderId="12" xfId="0" applyNumberFormat="1" applyFont="1" applyFill="1" applyBorder="1"/>
    <xf numFmtId="0" fontId="6" fillId="0" borderId="0" xfId="3" applyNumberFormat="1" applyFont="1" applyFill="1" applyBorder="1"/>
    <xf numFmtId="1" fontId="0" fillId="0" borderId="0" xfId="0" applyNumberFormat="1" applyFont="1" applyFill="1" applyBorder="1"/>
    <xf numFmtId="14" fontId="0" fillId="0" borderId="0" xfId="0" applyNumberFormat="1" applyFont="1" applyFill="1" applyBorder="1"/>
    <xf numFmtId="1" fontId="0" fillId="0" borderId="0" xfId="0" applyNumberFormat="1" applyFont="1" applyFill="1" applyBorder="1"/>
    <xf numFmtId="0" fontId="0" fillId="0" borderId="13" xfId="0" applyNumberFormat="1" applyFont="1" applyFill="1" applyBorder="1"/>
    <xf numFmtId="1" fontId="5" fillId="0" borderId="11" xfId="4" applyNumberFormat="1" applyFont="1" applyFill="1" applyBorder="1" applyAlignment="1">
      <alignment horizontal="left" vertical="center"/>
    </xf>
    <xf numFmtId="0" fontId="0" fillId="0" borderId="5" xfId="0" applyNumberFormat="1" applyFont="1" applyFill="1" applyBorder="1"/>
    <xf numFmtId="0" fontId="0" fillId="0" borderId="0" xfId="0" applyNumberFormat="1" applyFont="1" applyFill="1" applyBorder="1" applyAlignment="1">
      <alignment horizontal="left" vertical="center"/>
    </xf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5" xfId="0" applyNumberFormat="1" applyFont="1" applyFill="1" applyBorder="1"/>
    <xf numFmtId="0" fontId="0" fillId="0" borderId="0" xfId="0" applyNumberFormat="1" applyFont="1" applyFill="1" applyBorder="1"/>
    <xf numFmtId="0" fontId="10" fillId="0" borderId="0" xfId="0" applyNumberFormat="1" applyFont="1" applyFill="1" applyBorder="1" applyAlignment="1">
      <alignment horizontal="left" vertical="center"/>
    </xf>
    <xf numFmtId="0" fontId="9" fillId="2" borderId="0" xfId="4" applyNumberFormat="1" applyFont="1" applyFill="1" applyBorder="1"/>
    <xf numFmtId="3" fontId="9" fillId="2" borderId="0" xfId="4" applyNumberFormat="1" applyFont="1" applyFill="1" applyBorder="1" applyAlignment="1">
      <alignment horizontal="center"/>
    </xf>
    <xf numFmtId="0" fontId="11" fillId="2" borderId="0" xfId="4" applyNumberFormat="1" applyFont="1" applyFill="1" applyBorder="1" applyAlignment="1">
      <alignment vertical="center"/>
    </xf>
    <xf numFmtId="9" fontId="11" fillId="2" borderId="0" xfId="6" applyNumberFormat="1" applyFont="1" applyFill="1" applyBorder="1" applyAlignment="1">
      <alignment horizontal="center" vertical="center" wrapText="1"/>
    </xf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12" fillId="0" borderId="0" xfId="0" applyNumberFormat="1" applyFont="1" applyFill="1" applyBorder="1" applyAlignment="1">
      <alignment horizontal="left" vertical="center"/>
    </xf>
    <xf numFmtId="0" fontId="13" fillId="0" borderId="0" xfId="0" applyNumberFormat="1" applyFont="1" applyFill="1" applyBorder="1"/>
    <xf numFmtId="0" fontId="14" fillId="0" borderId="5" xfId="0" applyNumberFormat="1" applyFont="1" applyFill="1" applyBorder="1"/>
    <xf numFmtId="0" fontId="14" fillId="0" borderId="0" xfId="0" applyNumberFormat="1" applyFont="1" applyFill="1" applyBorder="1"/>
    <xf numFmtId="0" fontId="14" fillId="0" borderId="0" xfId="0" applyNumberFormat="1" applyFont="1" applyFill="1" applyBorder="1"/>
    <xf numFmtId="0" fontId="6" fillId="2" borderId="0" xfId="4" applyNumberFormat="1" applyFont="1" applyFill="1" applyBorder="1"/>
    <xf numFmtId="3" fontId="6" fillId="2" borderId="0" xfId="4" applyNumberFormat="1" applyFont="1" applyFill="1" applyBorder="1" applyAlignment="1">
      <alignment horizontal="center"/>
    </xf>
    <xf numFmtId="0" fontId="7" fillId="2" borderId="0" xfId="4" applyNumberFormat="1" applyFont="1" applyFill="1" applyBorder="1" applyAlignment="1">
      <alignment vertical="center"/>
    </xf>
    <xf numFmtId="9" fontId="7" fillId="2" borderId="0" xfId="6" applyNumberFormat="1" applyFont="1" applyFill="1" applyBorder="1" applyAlignment="1">
      <alignment horizontal="center" vertical="center" wrapText="1"/>
    </xf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14" fillId="0" borderId="6" xfId="0" applyNumberFormat="1" applyFont="1" applyFill="1" applyBorder="1"/>
    <xf numFmtId="0" fontId="0" fillId="0" borderId="9" xfId="0" applyNumberFormat="1" applyFont="1" applyFill="1" applyBorder="1"/>
    <xf numFmtId="0" fontId="15" fillId="0" borderId="0" xfId="0" applyNumberFormat="1" applyFont="1" applyFill="1" applyBorder="1" applyAlignment="1">
      <alignment horizontal="left" vertical="center"/>
    </xf>
    <xf numFmtId="0" fontId="18" fillId="0" borderId="0" xfId="0" applyNumberFormat="1" applyFont="1" applyFill="1" applyBorder="1"/>
    <xf numFmtId="0" fontId="19" fillId="0" borderId="5" xfId="0" applyNumberFormat="1" applyFont="1" applyFill="1" applyBorder="1"/>
    <xf numFmtId="0" fontId="19" fillId="0" borderId="6" xfId="0" applyNumberFormat="1" applyFont="1" applyFill="1" applyBorder="1"/>
    <xf numFmtId="0" fontId="19" fillId="0" borderId="0" xfId="0" applyNumberFormat="1" applyFont="1" applyFill="1" applyBorder="1"/>
    <xf numFmtId="0" fontId="19" fillId="0" borderId="0" xfId="0" applyNumberFormat="1" applyFont="1" applyFill="1" applyBorder="1"/>
    <xf numFmtId="0" fontId="15" fillId="0" borderId="0" xfId="3" applyNumberFormat="1" applyFont="1" applyFill="1" applyBorder="1" applyAlignment="1">
      <alignment horizontal="center" vertical="center"/>
    </xf>
    <xf numFmtId="0" fontId="21" fillId="0" borderId="0" xfId="3" applyNumberFormat="1" applyFont="1" applyFill="1" applyBorder="1" applyAlignment="1">
      <alignment horizontal="center" vertical="center"/>
    </xf>
    <xf numFmtId="9" fontId="21" fillId="0" borderId="1" xfId="6" applyNumberFormat="1" applyFont="1" applyFill="1" applyBorder="1" applyAlignment="1">
      <alignment horizontal="center" vertical="center"/>
    </xf>
    <xf numFmtId="0" fontId="17" fillId="2" borderId="0" xfId="4" applyNumberFormat="1" applyFont="1" applyFill="1" applyBorder="1"/>
    <xf numFmtId="0" fontId="16" fillId="2" borderId="0" xfId="4" applyNumberFormat="1" applyFont="1" applyFill="1" applyBorder="1"/>
    <xf numFmtId="9" fontId="17" fillId="2" borderId="0" xfId="6" applyNumberFormat="1" applyFont="1" applyFill="1" applyBorder="1"/>
    <xf numFmtId="0" fontId="20" fillId="2" borderId="0" xfId="4" applyNumberFormat="1" applyFont="1" applyFill="1" applyBorder="1" applyAlignment="1">
      <alignment vertical="center"/>
    </xf>
    <xf numFmtId="9" fontId="20" fillId="2" borderId="0" xfId="6" applyNumberFormat="1" applyFont="1" applyFill="1" applyBorder="1" applyAlignment="1">
      <alignment horizontal="center" vertical="center" wrapText="1"/>
    </xf>
    <xf numFmtId="1" fontId="0" fillId="4" borderId="0" xfId="0" applyNumberFormat="1" applyFont="1" applyFill="1" applyBorder="1" applyAlignment="1">
      <alignment horizontal="center" vertical="center" wrapText="1"/>
    </xf>
    <xf numFmtId="1" fontId="0" fillId="5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14" fontId="0" fillId="6" borderId="0" xfId="0" applyNumberFormat="1" applyFont="1" applyFill="1" applyBorder="1"/>
    <xf numFmtId="0" fontId="23" fillId="0" borderId="0" xfId="5" applyNumberFormat="1" applyFont="1" applyFill="1" applyBorder="1" applyAlignment="1">
      <alignment horizontal="left" vertical="center"/>
    </xf>
    <xf numFmtId="0" fontId="24" fillId="0" borderId="0" xfId="5" applyNumberFormat="1" applyFont="1" applyFill="1" applyBorder="1" applyAlignment="1">
      <alignment horizontal="left" vertical="center"/>
    </xf>
    <xf numFmtId="0" fontId="25" fillId="0" borderId="0" xfId="0" applyNumberFormat="1" applyFont="1" applyFill="1" applyBorder="1"/>
    <xf numFmtId="0" fontId="26" fillId="0" borderId="5" xfId="0" applyNumberFormat="1" applyFont="1" applyFill="1" applyBorder="1"/>
    <xf numFmtId="0" fontId="26" fillId="0" borderId="0" xfId="0" applyNumberFormat="1" applyFont="1" applyFill="1" applyBorder="1" applyAlignment="1">
      <alignment horizontal="left" vertical="center"/>
    </xf>
    <xf numFmtId="0" fontId="26" fillId="0" borderId="0" xfId="0" applyNumberFormat="1" applyFont="1" applyFill="1" applyBorder="1"/>
    <xf numFmtId="0" fontId="27" fillId="0" borderId="0" xfId="5" applyNumberFormat="1" applyFont="1" applyFill="1" applyBorder="1"/>
    <xf numFmtId="0" fontId="26" fillId="0" borderId="0" xfId="0" applyNumberFormat="1" applyFont="1" applyFill="1" applyBorder="1"/>
    <xf numFmtId="0" fontId="26" fillId="0" borderId="6" xfId="0" applyNumberFormat="1" applyFont="1" applyFill="1" applyBorder="1"/>
    <xf numFmtId="0" fontId="24" fillId="0" borderId="0" xfId="5" applyNumberFormat="1" applyFont="1" applyFill="1" applyBorder="1" applyAlignment="1">
      <alignment horizontal="left" vertical="center"/>
    </xf>
    <xf numFmtId="0" fontId="25" fillId="0" borderId="5" xfId="0" applyNumberFormat="1" applyFont="1" applyFill="1" applyBorder="1"/>
    <xf numFmtId="0" fontId="25" fillId="0" borderId="0" xfId="0" applyNumberFormat="1" applyFont="1" applyFill="1" applyBorder="1" applyAlignment="1">
      <alignment horizontal="left" vertical="center"/>
    </xf>
    <xf numFmtId="0" fontId="28" fillId="0" borderId="0" xfId="5" applyNumberFormat="1" applyFont="1" applyFill="1" applyBorder="1" applyAlignment="1">
      <alignment horizontal="left" vertical="center"/>
    </xf>
    <xf numFmtId="0" fontId="25" fillId="0" borderId="0" xfId="0" applyNumberFormat="1" applyFont="1" applyFill="1" applyBorder="1"/>
    <xf numFmtId="0" fontId="25" fillId="0" borderId="6" xfId="0" applyNumberFormat="1" applyFont="1" applyFill="1" applyBorder="1"/>
    <xf numFmtId="0" fontId="29" fillId="0" borderId="0" xfId="5" applyNumberFormat="1" applyFont="1" applyFill="1" applyBorder="1" applyAlignment="1">
      <alignment horizontal="left" vertical="center"/>
    </xf>
    <xf numFmtId="0" fontId="27" fillId="0" borderId="0" xfId="5" applyNumberFormat="1" applyFont="1" applyFill="1" applyBorder="1" applyAlignment="1">
      <alignment horizontal="left" vertical="center"/>
    </xf>
    <xf numFmtId="0" fontId="30" fillId="0" borderId="0" xfId="5" applyNumberFormat="1" applyFont="1" applyFill="1" applyBorder="1" applyAlignment="1">
      <alignment horizontal="center"/>
    </xf>
    <xf numFmtId="0" fontId="25" fillId="0" borderId="0" xfId="0" applyNumberFormat="1" applyFont="1" applyFill="1" applyBorder="1"/>
    <xf numFmtId="0" fontId="25" fillId="0" borderId="5" xfId="0" applyNumberFormat="1" applyFont="1" applyFill="1" applyBorder="1"/>
    <xf numFmtId="0" fontId="25" fillId="0" borderId="0" xfId="0" applyNumberFormat="1" applyFont="1" applyFill="1" applyBorder="1"/>
    <xf numFmtId="1" fontId="31" fillId="0" borderId="10" xfId="4" applyNumberFormat="1" applyFont="1" applyFill="1" applyBorder="1" applyAlignment="1">
      <alignment horizontal="left" vertical="center"/>
    </xf>
    <xf numFmtId="0" fontId="25" fillId="0" borderId="11" xfId="0" applyNumberFormat="1" applyFont="1" applyFill="1" applyBorder="1"/>
    <xf numFmtId="0" fontId="25" fillId="0" borderId="12" xfId="0" applyNumberFormat="1" applyFont="1" applyFill="1" applyBorder="1"/>
    <xf numFmtId="0" fontId="32" fillId="0" borderId="0" xfId="0" applyNumberFormat="1" applyFont="1" applyFill="1" applyBorder="1"/>
    <xf numFmtId="0" fontId="32" fillId="0" borderId="5" xfId="0" applyNumberFormat="1" applyFont="1" applyFill="1" applyBorder="1"/>
    <xf numFmtId="0" fontId="33" fillId="0" borderId="0" xfId="4" quotePrefix="1" applyNumberFormat="1" applyFont="1" applyFill="1" applyBorder="1"/>
    <xf numFmtId="0" fontId="32" fillId="0" borderId="0" xfId="4" applyNumberFormat="1" applyFont="1" applyFill="1" applyBorder="1"/>
    <xf numFmtId="14" fontId="33" fillId="0" borderId="0" xfId="4" applyNumberFormat="1" applyFont="1" applyFill="1" applyBorder="1" applyAlignment="1">
      <alignment horizontal="left"/>
    </xf>
    <xf numFmtId="0" fontId="32" fillId="0" borderId="0" xfId="0" applyNumberFormat="1" applyFont="1" applyFill="1" applyBorder="1" applyAlignment="1">
      <alignment horizontal="left" vertical="center"/>
    </xf>
    <xf numFmtId="14" fontId="32" fillId="0" borderId="0" xfId="4" applyNumberFormat="1" applyFont="1" applyFill="1" applyBorder="1" applyAlignment="1">
      <alignment horizontal="left"/>
    </xf>
    <xf numFmtId="0" fontId="32" fillId="0" borderId="6" xfId="0" applyNumberFormat="1" applyFont="1" applyFill="1" applyBorder="1"/>
    <xf numFmtId="0" fontId="32" fillId="0" borderId="0" xfId="0" applyNumberFormat="1" applyFont="1" applyFill="1" applyBorder="1"/>
    <xf numFmtId="0" fontId="34" fillId="0" borderId="0" xfId="0" applyNumberFormat="1" applyFont="1" applyFill="1" applyBorder="1"/>
    <xf numFmtId="0" fontId="34" fillId="0" borderId="5" xfId="0" applyNumberFormat="1" applyFont="1" applyFill="1" applyBorder="1"/>
    <xf numFmtId="0" fontId="35" fillId="2" borderId="0" xfId="4" applyNumberFormat="1" applyFont="1" applyFill="1" applyBorder="1"/>
    <xf numFmtId="0" fontId="35" fillId="0" borderId="0" xfId="0" applyNumberFormat="1" applyFont="1" applyFill="1" applyBorder="1" applyAlignment="1">
      <alignment horizontal="left" vertical="center"/>
    </xf>
    <xf numFmtId="3" fontId="35" fillId="2" borderId="0" xfId="4" applyNumberFormat="1" applyFont="1" applyFill="1" applyBorder="1" applyAlignment="1">
      <alignment horizontal="center"/>
    </xf>
    <xf numFmtId="0" fontId="36" fillId="2" borderId="0" xfId="4" applyNumberFormat="1" applyFont="1" applyFill="1" applyBorder="1" applyAlignment="1">
      <alignment vertical="center"/>
    </xf>
    <xf numFmtId="9" fontId="36" fillId="2" borderId="0" xfId="6" applyNumberFormat="1" applyFont="1" applyFill="1" applyBorder="1" applyAlignment="1">
      <alignment horizontal="center" vertical="center" wrapText="1"/>
    </xf>
    <xf numFmtId="0" fontId="34" fillId="0" borderId="6" xfId="0" applyNumberFormat="1" applyFont="1" applyFill="1" applyBorder="1"/>
    <xf numFmtId="0" fontId="34" fillId="0" borderId="0" xfId="0" applyNumberFormat="1" applyFont="1" applyFill="1" applyBorder="1"/>
    <xf numFmtId="167" fontId="20" fillId="7" borderId="1" xfId="3" applyNumberFormat="1" applyFont="1" applyFill="1" applyBorder="1" applyAlignment="1">
      <alignment horizontal="center" vertical="center" wrapText="1"/>
    </xf>
    <xf numFmtId="0" fontId="36" fillId="2" borderId="0" xfId="4" applyNumberFormat="1" applyFont="1" applyFill="1" applyBorder="1"/>
    <xf numFmtId="0" fontId="37" fillId="0" borderId="14" xfId="5" applyNumberFormat="1" applyFont="1" applyFill="1" applyBorder="1" applyAlignment="1">
      <alignment horizontal="left" vertical="center"/>
    </xf>
    <xf numFmtId="0" fontId="1" fillId="0" borderId="15" xfId="0" applyNumberFormat="1" applyFont="1" applyFill="1" applyBorder="1"/>
    <xf numFmtId="0" fontId="38" fillId="0" borderId="0" xfId="3" applyNumberFormat="1" applyFont="1" applyFill="1" applyBorder="1"/>
    <xf numFmtId="0" fontId="35" fillId="0" borderId="0" xfId="3" applyNumberFormat="1" applyFont="1" applyFill="1" applyBorder="1"/>
    <xf numFmtId="0" fontId="39" fillId="0" borderId="0" xfId="3" applyNumberFormat="1" applyFont="1" applyFill="1" applyBorder="1"/>
    <xf numFmtId="0" fontId="25" fillId="0" borderId="6" xfId="0" applyNumberFormat="1" applyFont="1" applyFill="1" applyBorder="1"/>
    <xf numFmtId="0" fontId="8" fillId="7" borderId="13" xfId="3" applyNumberFormat="1" applyFont="1" applyFill="1" applyBorder="1" applyAlignment="1">
      <alignment horizontal="center" vertical="center" wrapText="1"/>
    </xf>
    <xf numFmtId="1" fontId="20" fillId="7" borderId="1" xfId="3" applyNumberFormat="1" applyFont="1" applyFill="1" applyBorder="1" applyAlignment="1">
      <alignment horizontal="center" vertical="center" wrapText="1"/>
    </xf>
    <xf numFmtId="0" fontId="35" fillId="2" borderId="0" xfId="4" applyNumberFormat="1" applyFont="1" applyFill="1" applyBorder="1" applyAlignment="1">
      <alignment horizontal="center"/>
    </xf>
    <xf numFmtId="15" fontId="27" fillId="0" borderId="0" xfId="5" applyNumberFormat="1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3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>
      <alignment horizontal="center"/>
    </xf>
    <xf numFmtId="0" fontId="0" fillId="0" borderId="13" xfId="0" applyNumberFormat="1" applyFont="1" applyFill="1" applyBorder="1" applyAlignment="1">
      <alignment horizontal="center"/>
    </xf>
    <xf numFmtId="14" fontId="0" fillId="0" borderId="13" xfId="0" applyNumberFormat="1" applyFont="1" applyFill="1" applyBorder="1" applyAlignment="1">
      <alignment horizontal="center"/>
    </xf>
    <xf numFmtId="168" fontId="0" fillId="0" borderId="13" xfId="2" applyNumberFormat="1" applyFont="1" applyFill="1" applyBorder="1" applyAlignment="1">
      <alignment horizontal="center"/>
    </xf>
    <xf numFmtId="1" fontId="23" fillId="0" borderId="0" xfId="5" applyNumberFormat="1" applyFont="1" applyFill="1" applyBorder="1" applyAlignment="1">
      <alignment horizontal="center" vertical="center"/>
    </xf>
    <xf numFmtId="0" fontId="0" fillId="0" borderId="15" xfId="0" applyNumberFormat="1" applyFont="1" applyFill="1" applyBorder="1"/>
    <xf numFmtId="0" fontId="0" fillId="0" borderId="16" xfId="0" applyNumberFormat="1" applyFont="1" applyFill="1" applyBorder="1"/>
    <xf numFmtId="1" fontId="31" fillId="0" borderId="14" xfId="4" applyNumberFormat="1" applyFont="1" applyFill="1" applyBorder="1" applyAlignment="1">
      <alignment horizontal="left" vertical="center"/>
    </xf>
    <xf numFmtId="0" fontId="25" fillId="0" borderId="15" xfId="0" applyNumberFormat="1" applyFont="1" applyFill="1" applyBorder="1"/>
    <xf numFmtId="0" fontId="25" fillId="0" borderId="17" xfId="0" applyNumberFormat="1" applyFont="1" applyFill="1" applyBorder="1"/>
    <xf numFmtId="0" fontId="35" fillId="0" borderId="13" xfId="3" applyNumberFormat="1" applyFont="1" applyFill="1" applyBorder="1" applyAlignment="1">
      <alignment horizontal="center" vertical="center"/>
    </xf>
    <xf numFmtId="1" fontId="35" fillId="0" borderId="13" xfId="3" applyNumberFormat="1" applyFont="1" applyFill="1" applyBorder="1" applyAlignment="1">
      <alignment horizontal="center" vertical="center"/>
    </xf>
    <xf numFmtId="166" fontId="35" fillId="0" borderId="13" xfId="3" applyNumberFormat="1" applyFont="1" applyFill="1" applyBorder="1" applyAlignment="1">
      <alignment horizontal="center" vertical="center"/>
    </xf>
    <xf numFmtId="166" fontId="8" fillId="7" borderId="13" xfId="3" applyNumberFormat="1" applyFont="1" applyFill="1" applyBorder="1" applyAlignment="1">
      <alignment horizontal="center" vertical="center" wrapText="1"/>
    </xf>
    <xf numFmtId="9" fontId="35" fillId="3" borderId="13" xfId="6" applyNumberFormat="1" applyFont="1" applyFill="1" applyBorder="1" applyAlignment="1">
      <alignment horizontal="center" vertical="center"/>
    </xf>
    <xf numFmtId="9" fontId="8" fillId="7" borderId="13" xfId="3" applyNumberFormat="1" applyFont="1" applyFill="1" applyBorder="1" applyAlignment="1">
      <alignment horizontal="center" vertical="center" wrapText="1"/>
    </xf>
    <xf numFmtId="0" fontId="35" fillId="0" borderId="13" xfId="3" applyNumberFormat="1" applyFont="1" applyFill="1" applyBorder="1"/>
    <xf numFmtId="0" fontId="35" fillId="0" borderId="13" xfId="3" applyNumberFormat="1" applyFont="1" applyFill="1" applyBorder="1" applyAlignment="1">
      <alignment horizontal="center"/>
    </xf>
    <xf numFmtId="1" fontId="35" fillId="0" borderId="13" xfId="3" applyNumberFormat="1" applyFont="1" applyFill="1" applyBorder="1" applyAlignment="1">
      <alignment horizontal="center"/>
    </xf>
    <xf numFmtId="0" fontId="40" fillId="7" borderId="13" xfId="3" applyNumberFormat="1" applyFont="1" applyFill="1" applyBorder="1" applyAlignment="1">
      <alignment horizontal="center" vertical="center" wrapText="1"/>
    </xf>
    <xf numFmtId="166" fontId="40" fillId="3" borderId="13" xfId="1" applyNumberFormat="1" applyFont="1" applyFill="1" applyBorder="1" applyAlignment="1">
      <alignment horizontal="center" vertical="center"/>
    </xf>
    <xf numFmtId="166" fontId="40" fillId="7" borderId="13" xfId="3" applyNumberFormat="1" applyFont="1" applyFill="1" applyBorder="1" applyAlignment="1">
      <alignment horizontal="center" vertical="center" wrapText="1"/>
    </xf>
    <xf numFmtId="166" fontId="35" fillId="3" borderId="13" xfId="1" applyNumberFormat="1" applyFont="1" applyFill="1" applyBorder="1" applyAlignment="1">
      <alignment horizontal="center" vertical="center"/>
    </xf>
    <xf numFmtId="3" fontId="8" fillId="7" borderId="13" xfId="3" applyNumberFormat="1" applyFont="1" applyFill="1" applyBorder="1" applyAlignment="1">
      <alignment horizontal="center" vertical="center" wrapText="1"/>
    </xf>
    <xf numFmtId="0" fontId="35" fillId="2" borderId="13" xfId="3" applyNumberFormat="1" applyFont="1" applyFill="1" applyBorder="1" applyAlignment="1">
      <alignment horizontal="center" vertical="center"/>
    </xf>
    <xf numFmtId="3" fontId="35" fillId="2" borderId="13" xfId="3" applyNumberFormat="1" applyFont="1" applyFill="1" applyBorder="1" applyAlignment="1">
      <alignment horizontal="center" vertical="center"/>
    </xf>
    <xf numFmtId="169" fontId="35" fillId="2" borderId="13" xfId="3" applyNumberFormat="1" applyFont="1" applyFill="1" applyBorder="1" applyAlignment="1">
      <alignment horizontal="center" vertical="center"/>
    </xf>
    <xf numFmtId="169" fontId="8" fillId="7" borderId="13" xfId="3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0" fontId="8" fillId="7" borderId="18" xfId="3" applyNumberFormat="1" applyFont="1" applyFill="1" applyBorder="1" applyAlignment="1">
      <alignment horizontal="center" vertical="center" wrapText="1"/>
    </xf>
    <xf numFmtId="1" fontId="0" fillId="5" borderId="0" xfId="0" applyNumberFormat="1" applyFont="1" applyFill="1" applyBorder="1" applyAlignment="1">
      <alignment horizontal="center" vertical="center" wrapText="1"/>
    </xf>
    <xf numFmtId="1" fontId="0" fillId="6" borderId="0" xfId="0" applyNumberFormat="1" applyFont="1" applyFill="1" applyBorder="1" applyAlignment="1">
      <alignment horizontal="center" vertical="center" wrapText="1"/>
    </xf>
    <xf numFmtId="0" fontId="35" fillId="0" borderId="0" xfId="3" applyNumberFormat="1" applyFont="1" applyFill="1" applyBorder="1" applyAlignment="1">
      <alignment horizontal="center"/>
    </xf>
    <xf numFmtId="1" fontId="35" fillId="0" borderId="0" xfId="3" applyNumberFormat="1" applyFont="1" applyFill="1" applyBorder="1" applyAlignment="1">
      <alignment horizontal="center"/>
    </xf>
    <xf numFmtId="164" fontId="1" fillId="0" borderId="0" xfId="1" applyNumberFormat="1"/>
    <xf numFmtId="2" fontId="35" fillId="2" borderId="0" xfId="4" applyNumberFormat="1" applyFont="1" applyFill="1" applyBorder="1"/>
    <xf numFmtId="4" fontId="0" fillId="4" borderId="0" xfId="0" applyNumberFormat="1" applyFont="1" applyFill="1" applyBorder="1" applyAlignment="1">
      <alignment horizontal="center" vertical="center" wrapText="1"/>
    </xf>
    <xf numFmtId="4" fontId="0" fillId="0" borderId="0" xfId="0" applyNumberFormat="1" applyFont="1" applyFill="1" applyBorder="1"/>
    <xf numFmtId="0" fontId="44" fillId="0" borderId="0" xfId="0" applyNumberFormat="1" applyFont="1" applyFill="1" applyBorder="1"/>
    <xf numFmtId="164" fontId="1" fillId="0" borderId="0" xfId="1"/>
    <xf numFmtId="14" fontId="0" fillId="5" borderId="0" xfId="0" applyNumberFormat="1" applyFont="1" applyFill="1" applyBorder="1" applyAlignment="1">
      <alignment horizontal="center" vertical="center" wrapText="1"/>
    </xf>
    <xf numFmtId="14" fontId="0" fillId="4" borderId="0" xfId="0" applyNumberFormat="1" applyFont="1" applyFill="1" applyBorder="1" applyAlignment="1">
      <alignment horizontal="center" vertical="center" wrapText="1"/>
    </xf>
    <xf numFmtId="0" fontId="0" fillId="0" borderId="8" xfId="0" applyNumberFormat="1" applyFont="1" applyFill="1" applyBorder="1" applyAlignment="1">
      <alignment horizontal="center"/>
    </xf>
    <xf numFmtId="0" fontId="2" fillId="0" borderId="19" xfId="0" applyNumberFormat="1" applyFont="1" applyFill="1" applyBorder="1"/>
    <xf numFmtId="0" fontId="0" fillId="0" borderId="20" xfId="0" applyNumberFormat="1" applyFont="1" applyFill="1" applyBorder="1"/>
    <xf numFmtId="14" fontId="0" fillId="0" borderId="0" xfId="0" applyNumberFormat="1" applyFont="1" applyFill="1" applyBorder="1" applyAlignment="1">
      <alignment horizontal="center"/>
    </xf>
    <xf numFmtId="168" fontId="0" fillId="0" borderId="0" xfId="2" applyNumberFormat="1" applyFont="1" applyFill="1" applyBorder="1" applyAlignment="1">
      <alignment horizontal="center"/>
    </xf>
    <xf numFmtId="170" fontId="0" fillId="0" borderId="13" xfId="2" applyNumberFormat="1" applyFont="1" applyFill="1" applyBorder="1" applyAlignment="1">
      <alignment horizontal="center"/>
    </xf>
    <xf numFmtId="0" fontId="0" fillId="0" borderId="13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170" fontId="0" fillId="0" borderId="0" xfId="2" applyNumberFormat="1" applyFont="1" applyFill="1" applyBorder="1" applyAlignment="1">
      <alignment horizontal="center"/>
    </xf>
    <xf numFmtId="0" fontId="0" fillId="0" borderId="21" xfId="0" applyNumberFormat="1" applyFont="1" applyFill="1" applyBorder="1"/>
    <xf numFmtId="171" fontId="0" fillId="0" borderId="13" xfId="2" applyNumberFormat="1" applyFont="1" applyFill="1" applyBorder="1" applyAlignment="1">
      <alignment horizontal="center"/>
    </xf>
    <xf numFmtId="171" fontId="0" fillId="0" borderId="0" xfId="2" applyNumberFormat="1" applyFont="1" applyFill="1" applyBorder="1" applyAlignment="1">
      <alignment horizontal="center"/>
    </xf>
    <xf numFmtId="6" fontId="21" fillId="0" borderId="1" xfId="6" applyNumberFormat="1" applyFont="1" applyFill="1" applyBorder="1" applyAlignment="1">
      <alignment horizontal="center" vertical="center"/>
    </xf>
    <xf numFmtId="6" fontId="21" fillId="0" borderId="1" xfId="3" applyNumberFormat="1" applyFont="1" applyFill="1" applyBorder="1" applyAlignment="1">
      <alignment horizontal="center" vertical="center"/>
    </xf>
    <xf numFmtId="6" fontId="15" fillId="0" borderId="0" xfId="0" applyNumberFormat="1" applyFont="1" applyFill="1" applyBorder="1" applyAlignment="1">
      <alignment horizontal="left" vertical="center"/>
    </xf>
    <xf numFmtId="6" fontId="21" fillId="0" borderId="0" xfId="3" applyNumberFormat="1" applyFont="1" applyFill="1" applyBorder="1" applyAlignment="1">
      <alignment horizontal="center" vertical="center"/>
    </xf>
    <xf numFmtId="6" fontId="16" fillId="2" borderId="0" xfId="4" applyNumberFormat="1" applyFont="1" applyFill="1" applyBorder="1"/>
    <xf numFmtId="6" fontId="17" fillId="2" borderId="0" xfId="4" applyNumberFormat="1" applyFont="1" applyFill="1" applyBorder="1"/>
    <xf numFmtId="6" fontId="22" fillId="2" borderId="0" xfId="4" applyNumberFormat="1" applyFont="1" applyFill="1" applyBorder="1" applyAlignment="1">
      <alignment horizontal="center"/>
    </xf>
    <xf numFmtId="6" fontId="17" fillId="2" borderId="0" xfId="4" applyNumberFormat="1" applyFont="1" applyFill="1" applyBorder="1" applyAlignment="1">
      <alignment horizontal="center"/>
    </xf>
    <xf numFmtId="6" fontId="35" fillId="2" borderId="0" xfId="4" applyNumberFormat="1" applyFont="1" applyFill="1" applyBorder="1"/>
    <xf numFmtId="6" fontId="35" fillId="0" borderId="0" xfId="0" applyNumberFormat="1" applyFont="1" applyFill="1" applyBorder="1" applyAlignment="1">
      <alignment horizontal="left" vertical="center"/>
    </xf>
    <xf numFmtId="6" fontId="35" fillId="2" borderId="0" xfId="4" applyNumberFormat="1" applyFont="1" applyFill="1" applyBorder="1" applyAlignment="1">
      <alignment horizontal="center"/>
    </xf>
    <xf numFmtId="6" fontId="17" fillId="2" borderId="0" xfId="6" applyNumberFormat="1" applyFont="1" applyFill="1" applyBorder="1"/>
    <xf numFmtId="6" fontId="20" fillId="2" borderId="0" xfId="6" applyNumberFormat="1" applyFont="1" applyFill="1" applyBorder="1" applyAlignment="1">
      <alignment horizontal="center" vertical="center" wrapText="1"/>
    </xf>
    <xf numFmtId="6" fontId="36" fillId="2" borderId="0" xfId="6" applyNumberFormat="1" applyFont="1" applyFill="1" applyBorder="1" applyAlignment="1">
      <alignment horizontal="center" vertical="center" wrapText="1"/>
    </xf>
  </cellXfs>
  <cellStyles count="8">
    <cellStyle name="Comma" xfId="1" builtinId="3"/>
    <cellStyle name="Currency" xfId="2" builtinId="4"/>
    <cellStyle name="Normal" xfId="0" builtinId="0"/>
    <cellStyle name="Normal 2" xfId="3"/>
    <cellStyle name="Normal 4" xfId="4"/>
    <cellStyle name="Normal_Book 2004 feuille sommaire 2" xfId="5"/>
    <cellStyle name="Percent" xfId="6" builtinId="5"/>
    <cellStyle name="Pourcentage 2" xfId="7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764</c:v>
                </c:pt>
                <c:pt idx="1">
                  <c:v>34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281660800"/>
        <c:axId val="-281657536"/>
        <c:axId val="0"/>
      </c:bar3DChart>
      <c:catAx>
        <c:axId val="-28166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1657536"/>
        <c:crosses val="autoZero"/>
        <c:auto val="1"/>
        <c:lblAlgn val="ctr"/>
        <c:lblOffset val="100"/>
        <c:noMultiLvlLbl val="0"/>
      </c:catAx>
      <c:valAx>
        <c:axId val="-28165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166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6</c:v>
                </c:pt>
                <c:pt idx="1">
                  <c:v>41</c:v>
                </c:pt>
                <c:pt idx="2">
                  <c:v>68</c:v>
                </c:pt>
                <c:pt idx="3">
                  <c:v>81</c:v>
                </c:pt>
                <c:pt idx="4">
                  <c:v>80</c:v>
                </c:pt>
                <c:pt idx="5">
                  <c:v>103</c:v>
                </c:pt>
                <c:pt idx="6">
                  <c:v>165</c:v>
                </c:pt>
                <c:pt idx="7">
                  <c:v>160</c:v>
                </c:pt>
                <c:pt idx="8">
                  <c:v>94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84152928"/>
        <c:axId val="-284147488"/>
      </c:lineChart>
      <c:catAx>
        <c:axId val="-28415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4147488"/>
        <c:crosses val="autoZero"/>
        <c:auto val="1"/>
        <c:lblAlgn val="ctr"/>
        <c:lblOffset val="100"/>
        <c:noMultiLvlLbl val="0"/>
      </c:catAx>
      <c:valAx>
        <c:axId val="-28414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415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43</c:v>
                </c:pt>
                <c:pt idx="1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283216288"/>
        <c:axId val="-283191264"/>
        <c:axId val="0"/>
      </c:bar3DChart>
      <c:catAx>
        <c:axId val="-28321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3191264"/>
        <c:crosses val="autoZero"/>
        <c:auto val="1"/>
        <c:lblAlgn val="ctr"/>
        <c:lblOffset val="100"/>
        <c:noMultiLvlLbl val="0"/>
      </c:catAx>
      <c:valAx>
        <c:axId val="-28319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321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6</c:v>
                </c:pt>
                <c:pt idx="6">
                  <c:v>8</c:v>
                </c:pt>
                <c:pt idx="7">
                  <c:v>20</c:v>
                </c:pt>
                <c:pt idx="8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83753952"/>
        <c:axId val="-283734368"/>
      </c:lineChart>
      <c:catAx>
        <c:axId val="-28375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3734368"/>
        <c:crosses val="autoZero"/>
        <c:auto val="1"/>
        <c:lblAlgn val="ctr"/>
        <c:lblOffset val="100"/>
        <c:noMultiLvlLbl val="0"/>
      </c:catAx>
      <c:valAx>
        <c:axId val="-2837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375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28</c:v>
                </c:pt>
                <c:pt idx="1">
                  <c:v>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284378080"/>
        <c:axId val="-278142624"/>
        <c:axId val="0"/>
      </c:bar3DChart>
      <c:catAx>
        <c:axId val="-28437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78142624"/>
        <c:crosses val="autoZero"/>
        <c:auto val="1"/>
        <c:lblAlgn val="ctr"/>
        <c:lblOffset val="100"/>
        <c:noMultiLvlLbl val="0"/>
      </c:catAx>
      <c:valAx>
        <c:axId val="-27814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437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3</c:v>
                </c:pt>
                <c:pt idx="6">
                  <c:v>7</c:v>
                </c:pt>
                <c:pt idx="7">
                  <c:v>14</c:v>
                </c:pt>
                <c:pt idx="8">
                  <c:v>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5079376"/>
        <c:axId val="-85068496"/>
      </c:lineChart>
      <c:catAx>
        <c:axId val="-8507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5068496"/>
        <c:crosses val="autoZero"/>
        <c:auto val="1"/>
        <c:lblAlgn val="ctr"/>
        <c:lblOffset val="100"/>
        <c:noMultiLvlLbl val="0"/>
      </c:catAx>
      <c:valAx>
        <c:axId val="-8506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507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</xdr:row>
      <xdr:rowOff>0</xdr:rowOff>
    </xdr:from>
    <xdr:to>
      <xdr:col>7</xdr:col>
      <xdr:colOff>704850</xdr:colOff>
      <xdr:row>6</xdr:row>
      <xdr:rowOff>133350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  <pageSetUpPr fitToPage="1"/>
  </sheetPr>
  <dimension ref="A1:AE37"/>
  <sheetViews>
    <sheetView showGridLines="0" zoomScale="85" zoomScaleNormal="85" workbookViewId="0">
      <selection activeCell="W7" sqref="W7"/>
    </sheetView>
  </sheetViews>
  <sheetFormatPr defaultColWidth="11.42578125" defaultRowHeight="15"/>
  <cols>
    <col min="1" max="1" width="2.85546875" style="14" customWidth="1"/>
    <col min="2" max="2" width="4.28515625" style="1" customWidth="1"/>
    <col min="3" max="18" width="11.42578125" style="1" customWidth="1"/>
    <col min="19" max="19" width="16.7109375" style="1" customWidth="1"/>
    <col min="20" max="20" width="4.28515625" style="1" customWidth="1"/>
    <col min="21" max="21" width="2.85546875" style="1" customWidth="1"/>
    <col min="22" max="25" width="11.42578125" style="1" customWidth="1"/>
    <col min="26" max="26" width="12.140625" style="1" bestFit="1" customWidth="1"/>
    <col min="27" max="29" width="11.42578125" style="1" customWidth="1"/>
    <col min="30" max="30" width="16.7109375" style="1" bestFit="1" customWidth="1"/>
    <col min="31" max="31" width="17.42578125" style="1" bestFit="1" customWidth="1"/>
    <col min="32" max="35" width="11.42578125" style="1" customWidth="1"/>
    <col min="36" max="16384" width="11.42578125" style="1"/>
  </cols>
  <sheetData>
    <row r="1" spans="1:31"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AD1" s="1" t="s">
        <v>34</v>
      </c>
      <c r="AE1" s="1" t="s">
        <v>35</v>
      </c>
    </row>
    <row r="2" spans="1:31"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7"/>
      <c r="AD2" s="165" t="s">
        <v>937</v>
      </c>
      <c r="AE2" s="1" t="s">
        <v>36</v>
      </c>
    </row>
    <row r="3" spans="1:31">
      <c r="B3" s="18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20"/>
    </row>
    <row r="4" spans="1:31">
      <c r="B4" s="18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</row>
    <row r="5" spans="1:31">
      <c r="B5" s="18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</row>
    <row r="6" spans="1:31">
      <c r="B6" s="18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</row>
    <row r="7" spans="1:31">
      <c r="B7" s="18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20"/>
    </row>
    <row r="8" spans="1:31"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20"/>
    </row>
    <row r="9" spans="1:31" ht="45">
      <c r="B9" s="18"/>
      <c r="C9" s="80" t="s">
        <v>37</v>
      </c>
      <c r="D9" s="80"/>
      <c r="E9" s="2"/>
      <c r="F9" s="2"/>
      <c r="G9" s="2"/>
      <c r="H9" s="2"/>
      <c r="I9" s="2"/>
      <c r="J9" s="19"/>
      <c r="K9" s="19"/>
      <c r="L9" s="19"/>
      <c r="M9" s="19"/>
      <c r="N9" s="19"/>
      <c r="O9" s="19"/>
      <c r="P9" s="19"/>
      <c r="Q9" s="19"/>
      <c r="R9" s="19"/>
      <c r="S9" s="19"/>
      <c r="T9" s="20"/>
    </row>
    <row r="10" spans="1:31" ht="45">
      <c r="B10" s="18"/>
      <c r="C10" s="80" t="s">
        <v>38</v>
      </c>
      <c r="D10" s="2"/>
      <c r="E10" s="2"/>
      <c r="F10" s="2"/>
      <c r="G10" s="2"/>
      <c r="H10" s="2"/>
      <c r="I10" s="2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20"/>
    </row>
    <row r="11" spans="1:31">
      <c r="B11" s="18"/>
      <c r="C11" s="2"/>
      <c r="D11" s="2"/>
      <c r="E11" s="2"/>
      <c r="F11" s="2"/>
      <c r="G11" s="2"/>
      <c r="H11" s="2"/>
      <c r="I11" s="2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20"/>
    </row>
    <row r="12" spans="1:31" s="36" customFormat="1">
      <c r="A12" s="14"/>
      <c r="B12" s="32"/>
      <c r="C12" s="33"/>
      <c r="D12" s="33"/>
      <c r="E12" s="33"/>
      <c r="F12" s="33"/>
      <c r="G12" s="33"/>
      <c r="H12" s="33"/>
      <c r="I12" s="33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5"/>
    </row>
    <row r="13" spans="1:31" ht="45">
      <c r="B13" s="18"/>
      <c r="C13" s="2"/>
      <c r="D13" s="2"/>
      <c r="E13" s="2"/>
      <c r="G13" s="2"/>
      <c r="H13" s="3"/>
      <c r="I13" s="2"/>
      <c r="J13" s="141" t="s">
        <v>39</v>
      </c>
      <c r="K13" s="19"/>
      <c r="L13" s="19"/>
      <c r="M13" s="19"/>
      <c r="N13" s="19"/>
      <c r="O13" s="19"/>
      <c r="P13" s="19"/>
      <c r="Q13" s="19"/>
      <c r="R13" s="19"/>
      <c r="S13" s="19"/>
      <c r="T13" s="20"/>
    </row>
    <row r="14" spans="1:31">
      <c r="B14" s="18"/>
      <c r="C14" s="2"/>
      <c r="D14" s="2"/>
      <c r="E14" s="2"/>
      <c r="F14" s="2"/>
      <c r="G14" s="2"/>
      <c r="H14" s="2"/>
      <c r="I14" s="2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20"/>
    </row>
    <row r="15" spans="1:31">
      <c r="B15" s="18"/>
      <c r="C15" s="2"/>
      <c r="D15" s="2"/>
      <c r="E15" s="2"/>
      <c r="F15" s="2"/>
      <c r="G15" s="2"/>
      <c r="H15" s="2"/>
      <c r="I15" s="2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20"/>
    </row>
    <row r="16" spans="1:31">
      <c r="B16" s="18"/>
      <c r="L16" s="19"/>
      <c r="M16" s="19"/>
      <c r="N16" s="19"/>
      <c r="O16" s="19"/>
      <c r="P16" s="19"/>
      <c r="Q16" s="19"/>
      <c r="R16" s="19"/>
      <c r="S16" s="19"/>
      <c r="T16" s="20"/>
    </row>
    <row r="17" spans="1:20">
      <c r="B17" s="18"/>
      <c r="L17" s="19"/>
      <c r="M17" s="19"/>
      <c r="N17" s="19"/>
      <c r="O17" s="19"/>
      <c r="P17" s="19"/>
      <c r="Q17" s="19"/>
      <c r="R17" s="19"/>
      <c r="S17" s="19"/>
      <c r="T17" s="20"/>
    </row>
    <row r="18" spans="1:20">
      <c r="B18" s="18"/>
      <c r="L18" s="19"/>
      <c r="M18" s="19"/>
      <c r="N18" s="19"/>
      <c r="O18" s="19"/>
      <c r="P18" s="19"/>
      <c r="Q18" s="19"/>
      <c r="R18" s="19"/>
      <c r="S18" s="19"/>
      <c r="T18" s="20"/>
    </row>
    <row r="19" spans="1:20" s="85" customFormat="1" ht="33.75">
      <c r="A19" s="82"/>
      <c r="B19" s="83"/>
      <c r="C19" s="84"/>
      <c r="D19" s="81" t="s">
        <v>40</v>
      </c>
      <c r="F19" s="84"/>
      <c r="G19" s="86" t="s">
        <v>39</v>
      </c>
      <c r="H19" s="84"/>
      <c r="I19" s="84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8"/>
    </row>
    <row r="20" spans="1:20" s="85" customFormat="1" ht="33.75">
      <c r="A20" s="82"/>
      <c r="B20" s="83"/>
      <c r="C20" s="84"/>
      <c r="D20" s="89" t="s">
        <v>41</v>
      </c>
      <c r="F20" s="84"/>
      <c r="G20" s="86" t="s">
        <v>42</v>
      </c>
      <c r="H20" s="84"/>
      <c r="I20" s="84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8"/>
    </row>
    <row r="21" spans="1:20" s="82" customFormat="1">
      <c r="B21" s="90"/>
      <c r="C21" s="91"/>
      <c r="D21" s="92"/>
      <c r="E21" s="91"/>
      <c r="F21" s="91"/>
      <c r="G21" s="91"/>
      <c r="H21" s="91"/>
      <c r="I21" s="91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4"/>
    </row>
    <row r="22" spans="1:20" s="85" customFormat="1" ht="33.75">
      <c r="A22" s="82"/>
      <c r="B22" s="83"/>
      <c r="C22" s="84"/>
      <c r="D22" s="95" t="s">
        <v>43</v>
      </c>
      <c r="E22" s="84"/>
      <c r="G22" s="84"/>
      <c r="H22" s="96" t="s">
        <v>934</v>
      </c>
      <c r="I22" s="9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8"/>
    </row>
    <row r="23" spans="1:20" s="85" customFormat="1" ht="33.75">
      <c r="A23" s="82"/>
      <c r="B23" s="83"/>
      <c r="C23" s="84"/>
      <c r="D23" s="95" t="s">
        <v>44</v>
      </c>
      <c r="E23" s="84"/>
      <c r="F23" s="84"/>
      <c r="H23" s="84"/>
      <c r="J23" s="133" t="s">
        <v>935</v>
      </c>
      <c r="L23" s="87"/>
      <c r="M23" s="87"/>
      <c r="N23" s="87"/>
      <c r="O23" s="87"/>
      <c r="P23" s="87"/>
      <c r="Q23" s="87"/>
      <c r="R23" s="87"/>
      <c r="S23" s="87"/>
      <c r="T23" s="88"/>
    </row>
    <row r="24" spans="1:20"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20"/>
    </row>
    <row r="25" spans="1:20"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20"/>
    </row>
    <row r="26" spans="1:20">
      <c r="B26" s="18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</row>
    <row r="27" spans="1:20">
      <c r="B27" s="18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0"/>
    </row>
    <row r="28" spans="1:20">
      <c r="B28" s="1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</row>
    <row r="29" spans="1:20">
      <c r="B29" s="18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20"/>
    </row>
    <row r="30" spans="1:20">
      <c r="B30" s="18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</row>
    <row r="31" spans="1:20">
      <c r="B31" s="18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20"/>
    </row>
    <row r="32" spans="1:20">
      <c r="B32" s="18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20"/>
    </row>
    <row r="33" spans="2:20">
      <c r="B33" s="18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20"/>
    </row>
    <row r="34" spans="2:20">
      <c r="B34" s="18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20"/>
    </row>
    <row r="35" spans="2:20" ht="26.25" customHeight="1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20"/>
    </row>
    <row r="36" spans="2:20">
      <c r="B36" s="18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20"/>
    </row>
    <row r="37" spans="2:20">
      <c r="B37" s="21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3"/>
    </row>
  </sheetData>
  <pageMargins left="0.70866141732283472" right="0.70866141732283472" top="0.74803149606299213" bottom="0.74803149606299213" header="0.31496062992125984" footer="0.31496062992125984"/>
  <pageSetup paperSize="9"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  <pageSetUpPr fitToPage="1"/>
  </sheetPr>
  <dimension ref="A1:Q46"/>
  <sheetViews>
    <sheetView showGridLines="0" zoomScale="70" zoomScaleNormal="70" workbookViewId="0">
      <selection activeCell="R2" sqref="R2"/>
    </sheetView>
  </sheetViews>
  <sheetFormatPr defaultColWidth="11.42578125" defaultRowHeight="15"/>
  <cols>
    <col min="1" max="1" width="2.85546875" style="14" customWidth="1"/>
    <col min="2" max="2" width="4.28515625" style="1" customWidth="1"/>
    <col min="3" max="3" width="17.140625" style="1" customWidth="1"/>
    <col min="4" max="4" width="4.28515625" style="1" customWidth="1"/>
    <col min="5" max="5" width="25.7109375" style="1" customWidth="1"/>
    <col min="6" max="6" width="4.28515625" style="1" customWidth="1"/>
    <col min="7" max="7" width="25.7109375" style="1" customWidth="1"/>
    <col min="8" max="8" width="4.28515625" style="1" customWidth="1"/>
    <col min="9" max="9" width="25.7109375" style="1" customWidth="1"/>
    <col min="10" max="10" width="4.28515625" style="1" customWidth="1"/>
    <col min="11" max="11" width="25.7109375" style="1" customWidth="1"/>
    <col min="12" max="12" width="4.28515625" style="1" customWidth="1"/>
    <col min="13" max="13" width="25.7109375" style="1" customWidth="1"/>
    <col min="14" max="14" width="4.28515625" style="165" customWidth="1"/>
    <col min="15" max="15" width="25.7109375" style="165" customWidth="1"/>
    <col min="16" max="16" width="4.28515625" style="1" customWidth="1"/>
    <col min="17" max="17" width="2.85546875" style="1" customWidth="1"/>
    <col min="18" max="20" width="11.42578125" style="1" customWidth="1"/>
    <col min="21" max="16384" width="11.42578125" style="1"/>
  </cols>
  <sheetData>
    <row r="1" spans="1:17" s="36" customFormat="1" ht="1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4"/>
      <c r="O1" s="14"/>
      <c r="P1" s="14"/>
      <c r="Q1" s="13"/>
    </row>
    <row r="2" spans="1:17" s="36" customFormat="1" ht="15" customHeight="1">
      <c r="A2" s="14"/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8"/>
    </row>
    <row r="3" spans="1:17" s="36" customFormat="1" ht="15" customHeight="1">
      <c r="A3" s="13"/>
      <c r="B3" s="38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165"/>
      <c r="O3" s="165"/>
      <c r="P3" s="35"/>
      <c r="Q3" s="37"/>
    </row>
    <row r="4" spans="1:17" s="36" customFormat="1" ht="15" customHeight="1">
      <c r="A4" s="13"/>
      <c r="B4" s="38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165"/>
      <c r="O4" s="165"/>
      <c r="P4" s="35"/>
      <c r="Q4" s="37"/>
    </row>
    <row r="5" spans="1:17" s="36" customFormat="1" ht="15" customHeight="1">
      <c r="A5" s="13"/>
      <c r="B5" s="38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165"/>
      <c r="O5" s="165"/>
      <c r="P5" s="35"/>
      <c r="Q5" s="37"/>
    </row>
    <row r="6" spans="1:17" s="36" customFormat="1" ht="15" customHeight="1">
      <c r="A6" s="13"/>
      <c r="B6" s="38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165"/>
      <c r="O6" s="165"/>
      <c r="P6" s="35"/>
      <c r="Q6" s="37"/>
    </row>
    <row r="7" spans="1:17" s="36" customFormat="1" ht="15" customHeight="1" thickBot="1">
      <c r="A7" s="13"/>
      <c r="B7" s="38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165"/>
      <c r="O7" s="165"/>
      <c r="P7" s="35"/>
      <c r="Q7" s="37"/>
    </row>
    <row r="8" spans="1:17" ht="30.75" thickBot="1">
      <c r="A8" s="13"/>
      <c r="B8" s="7"/>
      <c r="C8" s="124" t="str">
        <f>'Page de garde'!J13&amp;" : Résultats au "&amp;'Page de garde'!J23</f>
        <v>PREVOYANCE_ : Résultats au 31 décembre 2019</v>
      </c>
      <c r="D8" s="142"/>
      <c r="E8" s="125"/>
      <c r="F8" s="125"/>
      <c r="G8" s="125"/>
      <c r="H8" s="125"/>
      <c r="I8" s="142"/>
      <c r="J8" s="142"/>
      <c r="K8" s="142"/>
      <c r="L8" s="142"/>
      <c r="M8" s="142"/>
      <c r="N8" s="142"/>
      <c r="O8" s="142"/>
      <c r="P8" s="20"/>
    </row>
    <row r="9" spans="1:17" s="36" customFormat="1" ht="14.25" customHeight="1">
      <c r="A9" s="13"/>
      <c r="B9" s="38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165"/>
      <c r="O9" s="165"/>
      <c r="P9" s="35"/>
      <c r="Q9" s="37"/>
    </row>
    <row r="10" spans="1:17" s="165" customFormat="1" ht="15" customHeight="1">
      <c r="A10" s="14"/>
      <c r="B10" s="38"/>
      <c r="P10" s="35"/>
    </row>
    <row r="11" spans="1:17" s="36" customFormat="1" ht="15" customHeight="1">
      <c r="A11" s="13"/>
      <c r="B11" s="38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165"/>
      <c r="O11" s="165"/>
      <c r="P11" s="35"/>
      <c r="Q11" s="37"/>
    </row>
    <row r="12" spans="1:17" s="36" customFormat="1" ht="15" customHeight="1">
      <c r="A12" s="13"/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165"/>
      <c r="O12" s="165"/>
      <c r="P12" s="35"/>
      <c r="Q12" s="37"/>
    </row>
    <row r="13" spans="1:17" s="112" customFormat="1" ht="18">
      <c r="A13" s="104"/>
      <c r="B13" s="105"/>
      <c r="C13" s="106" t="s">
        <v>22</v>
      </c>
      <c r="D13" s="107"/>
      <c r="E13" s="108" t="str">
        <f>'Page de garde'!J23</f>
        <v>31 décembre 2019</v>
      </c>
      <c r="F13" s="109"/>
      <c r="G13" s="110"/>
      <c r="H13" s="110"/>
      <c r="I13" s="109"/>
      <c r="J13" s="109"/>
      <c r="K13" s="109"/>
      <c r="L13" s="109"/>
      <c r="M13" s="109"/>
      <c r="N13" s="109"/>
      <c r="O13" s="109"/>
      <c r="P13" s="111"/>
      <c r="Q13" s="104"/>
    </row>
    <row r="14" spans="1:17" s="66" customFormat="1" ht="15" customHeight="1" thickBot="1">
      <c r="A14" s="62"/>
      <c r="B14" s="63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4"/>
      <c r="Q14" s="65"/>
    </row>
    <row r="15" spans="1:17" s="66" customFormat="1" ht="45" customHeight="1" thickBot="1">
      <c r="A15" s="62"/>
      <c r="B15" s="63"/>
      <c r="C15" s="131">
        <v>2019</v>
      </c>
      <c r="D15" s="61"/>
      <c r="E15" s="122" t="s">
        <v>1733</v>
      </c>
      <c r="F15" s="67"/>
      <c r="G15" s="122" t="s">
        <v>23</v>
      </c>
      <c r="H15" s="67"/>
      <c r="I15" s="122" t="s">
        <v>24</v>
      </c>
      <c r="J15" s="67"/>
      <c r="K15" s="122" t="s">
        <v>25</v>
      </c>
      <c r="L15" s="67"/>
      <c r="M15" s="122" t="s">
        <v>26</v>
      </c>
      <c r="N15" s="67"/>
      <c r="O15" s="122" t="s">
        <v>1731</v>
      </c>
      <c r="P15" s="64"/>
      <c r="Q15" s="65"/>
    </row>
    <row r="16" spans="1:17" s="66" customFormat="1" ht="22.5" customHeight="1" thickBot="1">
      <c r="A16" s="62"/>
      <c r="B16" s="63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4"/>
      <c r="Q16" s="65"/>
    </row>
    <row r="17" spans="1:17" s="66" customFormat="1" ht="45" customHeight="1" thickBot="1">
      <c r="A17" s="62"/>
      <c r="B17" s="63"/>
      <c r="C17" s="122" t="s">
        <v>27</v>
      </c>
      <c r="D17" s="61"/>
      <c r="E17" s="192"/>
      <c r="F17" s="193"/>
      <c r="G17" s="192"/>
      <c r="H17" s="194"/>
      <c r="I17" s="192"/>
      <c r="J17" s="194"/>
      <c r="K17" s="192"/>
      <c r="L17" s="68"/>
      <c r="M17" s="69"/>
      <c r="N17" s="68"/>
      <c r="O17" s="191"/>
      <c r="P17" s="64"/>
      <c r="Q17" s="65"/>
    </row>
    <row r="18" spans="1:17" s="66" customFormat="1" ht="15" customHeight="1" thickBot="1">
      <c r="A18" s="62"/>
      <c r="B18" s="63"/>
      <c r="C18" s="71"/>
      <c r="D18" s="61"/>
      <c r="E18" s="195"/>
      <c r="F18" s="193"/>
      <c r="G18" s="196"/>
      <c r="H18" s="196"/>
      <c r="I18" s="196"/>
      <c r="J18" s="197"/>
      <c r="K18" s="198"/>
      <c r="L18" s="71"/>
      <c r="M18" s="72"/>
      <c r="N18" s="71"/>
      <c r="O18" s="202"/>
      <c r="P18" s="64"/>
      <c r="Q18" s="65"/>
    </row>
    <row r="19" spans="1:17" s="66" customFormat="1" ht="45" customHeight="1" thickBot="1">
      <c r="A19" s="62"/>
      <c r="B19" s="63"/>
      <c r="C19" s="122" t="s">
        <v>28</v>
      </c>
      <c r="D19" s="61"/>
      <c r="E19" s="192"/>
      <c r="F19" s="193"/>
      <c r="G19" s="192"/>
      <c r="H19" s="194"/>
      <c r="I19" s="192"/>
      <c r="J19" s="194"/>
      <c r="K19" s="192"/>
      <c r="L19" s="68"/>
      <c r="M19" s="69"/>
      <c r="N19" s="68"/>
      <c r="O19" s="191"/>
      <c r="P19" s="64"/>
    </row>
    <row r="20" spans="1:17" s="66" customFormat="1" ht="15" customHeight="1" thickBot="1">
      <c r="A20" s="62"/>
      <c r="B20" s="63"/>
      <c r="C20" s="70"/>
      <c r="D20" s="61"/>
      <c r="E20" s="196"/>
      <c r="F20" s="193"/>
      <c r="G20" s="196"/>
      <c r="H20" s="196"/>
      <c r="I20" s="196"/>
      <c r="J20" s="196"/>
      <c r="K20" s="198"/>
      <c r="L20" s="73"/>
      <c r="M20" s="74"/>
      <c r="N20" s="73"/>
      <c r="O20" s="203"/>
      <c r="P20" s="64"/>
      <c r="Q20" s="65"/>
    </row>
    <row r="21" spans="1:17" s="66" customFormat="1" ht="45" customHeight="1" thickBot="1">
      <c r="A21" s="62"/>
      <c r="B21" s="63"/>
      <c r="C21" s="122" t="s">
        <v>29</v>
      </c>
      <c r="D21" s="61"/>
      <c r="E21" s="192"/>
      <c r="F21" s="193"/>
      <c r="G21" s="192"/>
      <c r="H21" s="194"/>
      <c r="I21" s="192"/>
      <c r="J21" s="194"/>
      <c r="K21" s="192"/>
      <c r="L21" s="68"/>
      <c r="M21" s="69"/>
      <c r="N21" s="68"/>
      <c r="O21" s="191"/>
      <c r="P21" s="64"/>
    </row>
    <row r="22" spans="1:17" s="121" customFormat="1" ht="15" customHeight="1" thickBot="1">
      <c r="A22" s="113"/>
      <c r="B22" s="114"/>
      <c r="C22" s="115"/>
      <c r="D22" s="116"/>
      <c r="E22" s="199"/>
      <c r="F22" s="200"/>
      <c r="G22" s="199"/>
      <c r="H22" s="199"/>
      <c r="I22" s="199"/>
      <c r="J22" s="199"/>
      <c r="K22" s="201"/>
      <c r="L22" s="118"/>
      <c r="M22" s="119"/>
      <c r="N22" s="118"/>
      <c r="O22" s="204"/>
      <c r="P22" s="120"/>
      <c r="Q22" s="113"/>
    </row>
    <row r="23" spans="1:17" s="66" customFormat="1" ht="45" customHeight="1" thickBot="1">
      <c r="A23" s="62"/>
      <c r="B23" s="63"/>
      <c r="C23" s="122" t="s">
        <v>30</v>
      </c>
      <c r="D23" s="61"/>
      <c r="E23" s="192"/>
      <c r="F23" s="193"/>
      <c r="G23" s="192"/>
      <c r="H23" s="194"/>
      <c r="I23" s="192"/>
      <c r="J23" s="194"/>
      <c r="K23" s="192"/>
      <c r="L23" s="68"/>
      <c r="M23" s="69"/>
      <c r="N23" s="68"/>
      <c r="O23" s="191"/>
      <c r="P23" s="64"/>
    </row>
    <row r="24" spans="1:17" s="121" customFormat="1" ht="15" customHeight="1" thickBot="1">
      <c r="A24" s="113"/>
      <c r="B24" s="114"/>
      <c r="C24" s="115"/>
      <c r="D24" s="116"/>
      <c r="E24" s="199"/>
      <c r="F24" s="200"/>
      <c r="G24" s="199"/>
      <c r="H24" s="199"/>
      <c r="I24" s="199"/>
      <c r="J24" s="199"/>
      <c r="K24" s="201"/>
      <c r="L24" s="118"/>
      <c r="M24" s="119"/>
      <c r="N24" s="118"/>
      <c r="O24" s="204"/>
      <c r="P24" s="120"/>
      <c r="Q24" s="113"/>
    </row>
    <row r="25" spans="1:17" s="66" customFormat="1" ht="45" customHeight="1" thickBot="1">
      <c r="A25" s="62"/>
      <c r="B25" s="63"/>
      <c r="C25" s="122" t="s">
        <v>31</v>
      </c>
      <c r="D25" s="61"/>
      <c r="E25" s="192"/>
      <c r="F25" s="193"/>
      <c r="G25" s="192"/>
      <c r="H25" s="194"/>
      <c r="I25" s="192"/>
      <c r="J25" s="194"/>
      <c r="K25" s="192"/>
      <c r="L25" s="68"/>
      <c r="M25" s="69"/>
      <c r="N25" s="68"/>
      <c r="O25" s="191"/>
      <c r="P25" s="64"/>
    </row>
    <row r="26" spans="1:17" s="121" customFormat="1" ht="15" customHeight="1">
      <c r="A26" s="113"/>
      <c r="B26" s="114"/>
      <c r="C26" s="123"/>
      <c r="D26" s="116"/>
      <c r="E26" s="115"/>
      <c r="F26" s="116"/>
      <c r="G26" s="115"/>
      <c r="H26" s="115"/>
      <c r="I26" s="115"/>
      <c r="J26" s="115"/>
      <c r="K26" s="117"/>
      <c r="L26" s="118"/>
      <c r="M26" s="119"/>
      <c r="N26" s="118"/>
      <c r="O26" s="119"/>
      <c r="P26" s="120"/>
      <c r="Q26" s="113"/>
    </row>
    <row r="27" spans="1:17" s="121" customFormat="1" ht="15" customHeight="1">
      <c r="B27" s="114"/>
      <c r="C27" s="123"/>
      <c r="D27" s="116"/>
      <c r="E27" s="132"/>
      <c r="F27" s="116"/>
      <c r="G27" s="171" t="str">
        <f>IF(ROUND(SUM(G17:G23)-G25,0)&lt;&gt;0, "écart = "&amp;ROUND(SUM(G17:G23)-G25,0),"")</f>
        <v/>
      </c>
      <c r="H27" s="171" t="str">
        <f t="shared" ref="H27:K27" si="0">IF(ROUND(SUM(H17:H23)-H25,0)&lt;&gt;0, "écart = "&amp;ROUND(SUM(H17:H23)-H25,0),"")</f>
        <v/>
      </c>
      <c r="I27" s="171" t="str">
        <f t="shared" si="0"/>
        <v/>
      </c>
      <c r="J27" s="171" t="str">
        <f t="shared" si="0"/>
        <v/>
      </c>
      <c r="K27" s="171" t="str">
        <f t="shared" si="0"/>
        <v/>
      </c>
      <c r="L27" s="118"/>
      <c r="M27" s="119"/>
      <c r="N27" s="118"/>
      <c r="O27" s="119"/>
      <c r="P27" s="120"/>
    </row>
    <row r="28" spans="1:17" s="121" customFormat="1" ht="15" customHeight="1">
      <c r="B28" s="114"/>
      <c r="C28" s="123"/>
      <c r="D28" s="116"/>
      <c r="E28" s="115"/>
      <c r="F28" s="116"/>
      <c r="G28" s="115"/>
      <c r="H28" s="115"/>
      <c r="I28" s="172"/>
      <c r="J28" s="115"/>
      <c r="K28" s="117"/>
      <c r="L28" s="118"/>
      <c r="M28" s="119"/>
      <c r="N28" s="118"/>
      <c r="O28" s="119"/>
      <c r="P28" s="120"/>
    </row>
    <row r="29" spans="1:17" s="121" customFormat="1" ht="15" customHeight="1">
      <c r="B29" s="114"/>
      <c r="C29" s="123"/>
      <c r="D29" s="116"/>
      <c r="E29" s="115"/>
      <c r="F29" s="116"/>
      <c r="G29" s="115"/>
      <c r="H29" s="115"/>
      <c r="I29" s="172"/>
      <c r="J29" s="115"/>
      <c r="K29" s="117"/>
      <c r="L29" s="118"/>
      <c r="M29" s="119"/>
      <c r="N29" s="118"/>
      <c r="O29" s="119"/>
      <c r="P29" s="120"/>
    </row>
    <row r="30" spans="1:17" s="121" customFormat="1" ht="15" customHeight="1">
      <c r="B30" s="114"/>
      <c r="C30" s="123"/>
      <c r="D30" s="116"/>
      <c r="E30" s="115"/>
      <c r="F30" s="116"/>
      <c r="G30" s="115"/>
      <c r="H30" s="52"/>
      <c r="I30" s="172"/>
      <c r="J30" s="115"/>
      <c r="K30" s="117"/>
      <c r="L30" s="118"/>
      <c r="M30" s="119"/>
      <c r="N30" s="118"/>
      <c r="O30" s="119"/>
      <c r="P30" s="120"/>
    </row>
    <row r="31" spans="1:17" s="51" customFormat="1" ht="15" customHeight="1">
      <c r="A31" s="48"/>
      <c r="B31" s="49"/>
      <c r="C31" s="52"/>
      <c r="D31" s="47"/>
      <c r="E31" s="52"/>
      <c r="F31" s="47"/>
      <c r="G31" s="115"/>
      <c r="H31" s="41"/>
      <c r="I31" s="172"/>
      <c r="J31" s="52"/>
      <c r="K31" s="53"/>
      <c r="L31" s="54"/>
      <c r="M31" s="55"/>
      <c r="N31" s="54"/>
      <c r="O31" s="55"/>
      <c r="P31" s="59"/>
      <c r="Q31" s="50"/>
    </row>
    <row r="32" spans="1:17" s="36" customFormat="1" ht="15" customHeight="1">
      <c r="A32" s="13"/>
      <c r="B32" s="38"/>
      <c r="C32" s="41"/>
      <c r="D32" s="40"/>
      <c r="E32" s="41"/>
      <c r="F32" s="40"/>
      <c r="G32" s="115"/>
      <c r="I32" s="172"/>
      <c r="J32" s="41"/>
      <c r="K32" s="42"/>
      <c r="L32" s="43"/>
      <c r="M32" s="44"/>
      <c r="N32" s="43"/>
      <c r="O32" s="44"/>
      <c r="P32" s="35"/>
      <c r="Q32" s="37"/>
    </row>
    <row r="33" spans="1:17" s="36" customFormat="1" ht="15" customHeight="1">
      <c r="A33" s="13"/>
      <c r="B33" s="38"/>
      <c r="C33" s="123" t="s">
        <v>32</v>
      </c>
      <c r="D33" s="40"/>
      <c r="E33" s="41"/>
      <c r="F33" s="40"/>
      <c r="G33" s="41"/>
      <c r="H33" s="41"/>
      <c r="I33" s="41"/>
      <c r="J33" s="41"/>
      <c r="K33" s="42"/>
      <c r="L33" s="43"/>
      <c r="M33" s="44"/>
      <c r="N33" s="43"/>
      <c r="O33" s="44"/>
      <c r="P33" s="35"/>
      <c r="Q33" s="37"/>
    </row>
    <row r="34" spans="1:17" s="36" customFormat="1" ht="15" customHeight="1">
      <c r="A34" s="13"/>
      <c r="B34" s="38"/>
      <c r="C34" s="115"/>
      <c r="D34" s="40"/>
      <c r="E34" s="41"/>
      <c r="F34" s="40"/>
      <c r="G34" s="41"/>
      <c r="H34" s="41"/>
      <c r="I34" s="41"/>
      <c r="J34" s="41"/>
      <c r="K34" s="42"/>
      <c r="L34" s="43"/>
      <c r="M34" s="44"/>
      <c r="N34" s="43"/>
      <c r="O34" s="44"/>
      <c r="P34" s="35"/>
      <c r="Q34" s="37"/>
    </row>
    <row r="35" spans="1:17" s="36" customFormat="1" ht="15" customHeight="1">
      <c r="A35" s="13"/>
      <c r="B35" s="38"/>
      <c r="C35" s="123" t="s">
        <v>33</v>
      </c>
      <c r="D35" s="40"/>
      <c r="E35" s="41"/>
      <c r="F35" s="40"/>
      <c r="G35" s="41"/>
      <c r="H35" s="41"/>
      <c r="I35" s="41"/>
      <c r="J35" s="41"/>
      <c r="K35" s="42"/>
      <c r="L35" s="43"/>
      <c r="M35" s="44"/>
      <c r="N35" s="43"/>
      <c r="O35" s="44"/>
      <c r="P35" s="35"/>
      <c r="Q35" s="37"/>
    </row>
    <row r="36" spans="1:17" s="36" customFormat="1" ht="15" customHeight="1">
      <c r="A36" s="13"/>
      <c r="B36" s="38"/>
      <c r="C36" s="123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35"/>
      <c r="Q36" s="37"/>
    </row>
    <row r="37" spans="1:17" s="36" customFormat="1" ht="15" customHeight="1">
      <c r="A37" s="13"/>
      <c r="B37" s="38"/>
      <c r="C37" s="123" t="s">
        <v>936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35"/>
      <c r="Q37" s="37"/>
    </row>
    <row r="38" spans="1:17" s="36" customFormat="1" ht="15" customHeight="1">
      <c r="A38" s="13"/>
      <c r="B38" s="38"/>
      <c r="C38" s="123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35"/>
      <c r="Q38" s="37"/>
    </row>
    <row r="39" spans="1:17" s="36" customFormat="1" ht="15" customHeight="1">
      <c r="A39" s="13"/>
      <c r="B39" s="38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35"/>
      <c r="Q39" s="37"/>
    </row>
    <row r="40" spans="1:17" s="36" customFormat="1" ht="15" customHeight="1">
      <c r="A40" s="13"/>
      <c r="B40" s="38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35"/>
      <c r="Q40" s="37"/>
    </row>
    <row r="41" spans="1:17" s="36" customFormat="1" ht="15" customHeight="1">
      <c r="A41" s="13"/>
      <c r="B41" s="38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35"/>
      <c r="Q41" s="37"/>
    </row>
    <row r="42" spans="1:17" s="36" customFormat="1" ht="15" customHeight="1">
      <c r="A42" s="13"/>
      <c r="B42" s="38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35"/>
      <c r="Q42" s="37"/>
    </row>
    <row r="43" spans="1:17" s="36" customFormat="1" ht="15" customHeight="1">
      <c r="A43" s="13"/>
      <c r="B43" s="38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35"/>
      <c r="Q43" s="37"/>
    </row>
    <row r="44" spans="1:17" s="36" customFormat="1" ht="15" customHeight="1">
      <c r="A44" s="13"/>
      <c r="B44" s="38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165"/>
      <c r="O44" s="165"/>
      <c r="P44" s="35"/>
      <c r="Q44" s="37"/>
    </row>
    <row r="45" spans="1:17" s="36" customFormat="1" ht="15" customHeight="1">
      <c r="A45" s="13"/>
      <c r="B45" s="45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60"/>
      <c r="Q45" s="37"/>
    </row>
    <row r="46" spans="1:17" s="36" customFormat="1" ht="15" customHeight="1">
      <c r="A46" s="13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165"/>
      <c r="O46" s="165"/>
      <c r="Q46" s="37"/>
    </row>
  </sheetData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7"/>
  <sheetViews>
    <sheetView showGridLines="0" topLeftCell="A10" zoomScale="70" zoomScaleNormal="70" workbookViewId="0">
      <selection activeCell="C53" sqref="C53"/>
    </sheetView>
  </sheetViews>
  <sheetFormatPr defaultColWidth="11.42578125" defaultRowHeight="15"/>
  <cols>
    <col min="1" max="1" width="2.85546875" style="14" customWidth="1"/>
    <col min="2" max="2" width="4.28515625" style="1" customWidth="1"/>
    <col min="3" max="3" width="28.7109375" style="1" customWidth="1"/>
    <col min="4" max="9" width="11.42578125" style="1" customWidth="1"/>
    <col min="10" max="10" width="20" style="1" customWidth="1"/>
    <col min="11" max="11" width="34.28515625" style="1" customWidth="1"/>
    <col min="12" max="15" width="11.42578125" style="1" customWidth="1"/>
    <col min="16" max="16" width="2.5703125" style="1" customWidth="1"/>
    <col min="17" max="17" width="4.140625" style="1" customWidth="1"/>
    <col min="18" max="18" width="2.85546875" style="1" customWidth="1"/>
    <col min="19" max="20" width="11.42578125" style="1" customWidth="1"/>
    <col min="21" max="21" width="19.7109375" style="1" bestFit="1" customWidth="1"/>
    <col min="22" max="25" width="11.42578125" style="1" customWidth="1"/>
    <col min="26" max="16384" width="11.42578125" style="1"/>
  </cols>
  <sheetData>
    <row r="1" spans="1:21" ht="1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21" ht="15" customHeight="1">
      <c r="A2" s="13"/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6"/>
      <c r="U2" s="27"/>
    </row>
    <row r="3" spans="1:21" ht="15" customHeight="1">
      <c r="A3" s="13"/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9"/>
    </row>
    <row r="4" spans="1:21" ht="15" customHeight="1">
      <c r="A4" s="13"/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9"/>
    </row>
    <row r="5" spans="1:21" ht="15" customHeight="1">
      <c r="A5" s="13"/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9"/>
    </row>
    <row r="6" spans="1:21" ht="15" customHeight="1">
      <c r="A6" s="13"/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9"/>
    </row>
    <row r="7" spans="1:21" ht="15" customHeight="1">
      <c r="A7" s="13"/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9"/>
    </row>
    <row r="8" spans="1:21" ht="30">
      <c r="A8" s="13"/>
      <c r="B8" s="7"/>
      <c r="C8" s="144" t="str">
        <f>'Page de garde'!J13&amp;" : Statistiques INDEMNITES JOURNALIERES au "&amp;'Page de garde'!J23</f>
        <v>PREVOYANCE_ : Statistiques INDEMNITES JOURNALIERES au 31 décembre 2019</v>
      </c>
      <c r="D8" s="145"/>
      <c r="E8" s="145"/>
      <c r="F8" s="145"/>
      <c r="G8" s="145"/>
      <c r="H8" s="145"/>
      <c r="I8" s="145"/>
      <c r="J8" s="145"/>
      <c r="K8" s="145"/>
      <c r="L8" s="145"/>
      <c r="M8" s="146"/>
      <c r="N8" s="143"/>
      <c r="O8" s="8"/>
      <c r="P8" s="8"/>
      <c r="Q8" s="9"/>
    </row>
    <row r="9" spans="1:21" ht="14.25" customHeight="1">
      <c r="A9" s="13"/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9"/>
    </row>
    <row r="10" spans="1:21" ht="15" customHeight="1">
      <c r="A10" s="13"/>
      <c r="B10" s="7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9"/>
    </row>
    <row r="11" spans="1:21" ht="15" customHeight="1">
      <c r="A11" s="13"/>
      <c r="B11" s="7"/>
      <c r="C11" s="126" t="s">
        <v>0</v>
      </c>
      <c r="D11" s="8"/>
      <c r="E11" s="8"/>
      <c r="F11" s="8"/>
      <c r="G11" s="8"/>
      <c r="H11" s="8"/>
      <c r="I11" s="8"/>
      <c r="J11" s="8"/>
      <c r="K11" s="127" t="s">
        <v>1</v>
      </c>
      <c r="L11" s="8"/>
      <c r="M11" s="8"/>
      <c r="N11" s="8"/>
      <c r="O11" s="8"/>
      <c r="P11" s="8"/>
      <c r="Q11" s="9"/>
    </row>
    <row r="12" spans="1:21" ht="13.5" customHeight="1">
      <c r="A12" s="13"/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9"/>
    </row>
    <row r="13" spans="1:21" ht="45">
      <c r="A13" s="13"/>
      <c r="B13" s="7"/>
      <c r="C13" s="130" t="s">
        <v>2</v>
      </c>
      <c r="D13" s="130" t="s">
        <v>3</v>
      </c>
      <c r="E13" s="130" t="s">
        <v>4</v>
      </c>
      <c r="F13" s="130" t="s">
        <v>5</v>
      </c>
      <c r="I13" s="8"/>
      <c r="J13" s="8"/>
      <c r="K13" s="130" t="s">
        <v>6</v>
      </c>
      <c r="L13" s="130" t="s">
        <v>3</v>
      </c>
      <c r="M13" s="130" t="s">
        <v>7</v>
      </c>
      <c r="P13" s="8"/>
      <c r="Q13" s="9"/>
    </row>
    <row r="14" spans="1:21" ht="15" customHeight="1">
      <c r="A14" s="13"/>
      <c r="B14" s="7"/>
      <c r="C14" s="147" t="s">
        <v>8</v>
      </c>
      <c r="D14" s="148">
        <v>764</v>
      </c>
      <c r="E14" s="149">
        <v>48.08507853403141</v>
      </c>
      <c r="F14" s="159">
        <v>114.02225130890052</v>
      </c>
      <c r="I14" s="8"/>
      <c r="J14" s="8"/>
      <c r="K14" s="147" t="s">
        <v>9</v>
      </c>
      <c r="L14" s="147">
        <v>6</v>
      </c>
      <c r="M14" s="151">
        <v>7.5187969924812026E-3</v>
      </c>
      <c r="P14" s="8"/>
      <c r="Q14" s="9"/>
    </row>
    <row r="15" spans="1:21" ht="15" customHeight="1">
      <c r="A15" s="13"/>
      <c r="B15" s="7"/>
      <c r="C15" s="147" t="s">
        <v>10</v>
      </c>
      <c r="D15" s="148">
        <v>34</v>
      </c>
      <c r="E15" s="149">
        <v>45.088235294117645</v>
      </c>
      <c r="F15" s="159">
        <v>128.41176470588235</v>
      </c>
      <c r="I15" s="8"/>
      <c r="J15" s="8"/>
      <c r="K15" s="147" t="s">
        <v>11</v>
      </c>
      <c r="L15" s="147">
        <v>41</v>
      </c>
      <c r="M15" s="151">
        <v>5.1378446115288218E-2</v>
      </c>
      <c r="P15" s="8"/>
      <c r="Q15" s="9"/>
    </row>
    <row r="16" spans="1:21" ht="15" customHeight="1">
      <c r="A16" s="13"/>
      <c r="B16" s="7"/>
      <c r="C16" s="130" t="s">
        <v>12</v>
      </c>
      <c r="D16" s="130">
        <v>798</v>
      </c>
      <c r="E16" s="150">
        <v>47.957393483709275</v>
      </c>
      <c r="F16" s="150">
        <v>114.63533834586467</v>
      </c>
      <c r="I16" s="8"/>
      <c r="J16" s="8"/>
      <c r="K16" s="147" t="s">
        <v>13</v>
      </c>
      <c r="L16" s="147">
        <v>68</v>
      </c>
      <c r="M16" s="151">
        <v>8.5213032581453629E-2</v>
      </c>
      <c r="P16" s="8"/>
      <c r="Q16" s="9"/>
    </row>
    <row r="17" spans="1:17" ht="15" customHeight="1">
      <c r="A17" s="13"/>
      <c r="B17" s="7"/>
      <c r="C17" s="8"/>
      <c r="D17" s="8"/>
      <c r="E17" s="8"/>
      <c r="F17" s="8"/>
      <c r="G17" s="8"/>
      <c r="H17" s="8"/>
      <c r="I17" s="8"/>
      <c r="J17" s="19"/>
      <c r="K17" s="147" t="s">
        <v>14</v>
      </c>
      <c r="L17" s="147">
        <v>81</v>
      </c>
      <c r="M17" s="151">
        <v>0.10150375939849623</v>
      </c>
      <c r="P17" s="8"/>
      <c r="Q17" s="9"/>
    </row>
    <row r="18" spans="1:17" ht="15" customHeight="1">
      <c r="A18" s="13"/>
      <c r="B18" s="7"/>
      <c r="C18" s="8"/>
      <c r="D18" s="8"/>
      <c r="E18" s="8"/>
      <c r="F18" s="8"/>
      <c r="G18" s="8"/>
      <c r="H18" s="8"/>
      <c r="I18" s="8"/>
      <c r="J18" s="8"/>
      <c r="K18" s="147" t="s">
        <v>15</v>
      </c>
      <c r="L18" s="147">
        <v>80</v>
      </c>
      <c r="M18" s="151">
        <v>0.10025062656641603</v>
      </c>
      <c r="P18" s="8"/>
      <c r="Q18" s="9"/>
    </row>
    <row r="19" spans="1:17" ht="15" customHeight="1">
      <c r="A19" s="13"/>
      <c r="B19" s="7"/>
      <c r="C19" s="8"/>
      <c r="D19" s="8"/>
      <c r="E19" s="8"/>
      <c r="F19" s="8"/>
      <c r="G19" s="8"/>
      <c r="H19" s="8"/>
      <c r="I19" s="8"/>
      <c r="J19" s="19"/>
      <c r="K19" s="147" t="s">
        <v>16</v>
      </c>
      <c r="L19" s="147">
        <v>103</v>
      </c>
      <c r="M19" s="151">
        <v>0.12907268170426064</v>
      </c>
      <c r="P19" s="8"/>
      <c r="Q19" s="9"/>
    </row>
    <row r="20" spans="1:17" ht="15" customHeight="1">
      <c r="A20" s="13"/>
      <c r="B20" s="7"/>
      <c r="C20" s="8"/>
      <c r="D20" s="8"/>
      <c r="E20" s="8"/>
      <c r="F20" s="8"/>
      <c r="G20" s="8"/>
      <c r="H20" s="8"/>
      <c r="I20" s="8"/>
      <c r="J20" s="8"/>
      <c r="K20" s="147" t="s">
        <v>17</v>
      </c>
      <c r="L20" s="147">
        <v>165</v>
      </c>
      <c r="M20" s="151">
        <v>0.20676691729323307</v>
      </c>
      <c r="P20" s="8"/>
      <c r="Q20" s="9"/>
    </row>
    <row r="21" spans="1:17" ht="15" customHeight="1">
      <c r="A21" s="13"/>
      <c r="B21" s="7"/>
      <c r="C21" s="8"/>
      <c r="D21" s="8"/>
      <c r="E21" s="8"/>
      <c r="F21" s="8"/>
      <c r="G21" s="8"/>
      <c r="H21" s="8"/>
      <c r="I21" s="8"/>
      <c r="J21" s="19"/>
      <c r="K21" s="147" t="s">
        <v>18</v>
      </c>
      <c r="L21" s="147">
        <v>160</v>
      </c>
      <c r="M21" s="151">
        <v>0.20050125313283207</v>
      </c>
      <c r="P21" s="8"/>
      <c r="Q21" s="9"/>
    </row>
    <row r="22" spans="1:17" ht="15" customHeight="1">
      <c r="A22" s="13"/>
      <c r="B22" s="7"/>
      <c r="C22" s="8"/>
      <c r="D22" s="8"/>
      <c r="E22" s="8"/>
      <c r="F22" s="8"/>
      <c r="G22" s="8"/>
      <c r="H22" s="8"/>
      <c r="I22" s="8"/>
      <c r="J22" s="19"/>
      <c r="K22" s="147" t="s">
        <v>19</v>
      </c>
      <c r="L22" s="147">
        <v>94</v>
      </c>
      <c r="M22" s="151">
        <v>0.11779448621553884</v>
      </c>
      <c r="P22" s="8"/>
      <c r="Q22" s="9"/>
    </row>
    <row r="23" spans="1:17" ht="15" customHeight="1">
      <c r="A23" s="13"/>
      <c r="B23" s="7"/>
      <c r="C23" s="8"/>
      <c r="D23" s="8"/>
      <c r="E23" s="8"/>
      <c r="F23" s="8"/>
      <c r="G23" s="8"/>
      <c r="H23" s="8"/>
      <c r="I23" s="8"/>
      <c r="J23" s="8"/>
      <c r="K23" s="130" t="s">
        <v>12</v>
      </c>
      <c r="L23" s="130">
        <v>798</v>
      </c>
      <c r="M23" s="152">
        <v>1</v>
      </c>
      <c r="P23" s="8"/>
      <c r="Q23" s="9"/>
    </row>
    <row r="24" spans="1:17" ht="15" customHeight="1">
      <c r="A24" s="13"/>
      <c r="B24" s="7"/>
      <c r="C24" s="8"/>
      <c r="D24" s="8"/>
      <c r="E24" s="8"/>
      <c r="F24" s="8"/>
      <c r="G24" s="8"/>
      <c r="H24" s="8"/>
      <c r="I24" s="8"/>
      <c r="J24" s="8"/>
      <c r="P24" s="8"/>
      <c r="Q24" s="9"/>
    </row>
    <row r="25" spans="1:17" ht="15" customHeight="1">
      <c r="A25" s="13"/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9"/>
    </row>
    <row r="26" spans="1:17" ht="15" customHeight="1">
      <c r="A26" s="13"/>
      <c r="B26" s="7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9"/>
    </row>
    <row r="27" spans="1:17" ht="15" customHeight="1">
      <c r="A27" s="13"/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9"/>
    </row>
    <row r="28" spans="1:17" ht="15" customHeight="1">
      <c r="A28" s="13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9"/>
    </row>
    <row r="29" spans="1:17" ht="15" customHeight="1">
      <c r="A29" s="13"/>
      <c r="B29" s="7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9"/>
    </row>
    <row r="30" spans="1:17">
      <c r="A30" s="13"/>
      <c r="B30" s="7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9"/>
    </row>
    <row r="31" spans="1:17" ht="12" customHeight="1">
      <c r="A31" s="13"/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9"/>
    </row>
    <row r="32" spans="1:17" ht="15" customHeight="1">
      <c r="A32" s="13"/>
      <c r="B32" s="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9"/>
    </row>
    <row r="33" spans="1:17" ht="15" customHeight="1">
      <c r="A33" s="13"/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9"/>
    </row>
    <row r="34" spans="1:17" ht="15" customHeight="1">
      <c r="A34" s="13"/>
      <c r="B34" s="7"/>
      <c r="C34" s="26" t="s">
        <v>20</v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9"/>
    </row>
    <row r="35" spans="1:17" ht="15" customHeight="1">
      <c r="A35" s="13"/>
      <c r="B35" s="7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9"/>
    </row>
    <row r="36" spans="1:17" ht="15" customHeight="1">
      <c r="A36" s="13"/>
      <c r="B36" s="7"/>
      <c r="C36" s="26"/>
      <c r="D36" s="130" t="s">
        <v>3</v>
      </c>
      <c r="E36" s="130" t="s">
        <v>4</v>
      </c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9"/>
    </row>
    <row r="37" spans="1:17" ht="15" customHeight="1">
      <c r="A37" s="13"/>
      <c r="B37" s="7"/>
      <c r="C37" s="153" t="s">
        <v>21</v>
      </c>
      <c r="D37" s="154">
        <v>798</v>
      </c>
      <c r="E37" s="155">
        <v>47.957393483709275</v>
      </c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9"/>
    </row>
    <row r="38" spans="1:17" ht="15" customHeight="1">
      <c r="A38" s="13"/>
      <c r="B38" s="7"/>
      <c r="C38" s="153" t="s">
        <v>12</v>
      </c>
      <c r="D38" s="154">
        <v>798</v>
      </c>
      <c r="E38" s="155">
        <v>47.957393483709275</v>
      </c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9"/>
    </row>
    <row r="39" spans="1:17" s="165" customFormat="1" ht="15" customHeight="1">
      <c r="A39" s="14"/>
      <c r="B39" s="38"/>
      <c r="C39" s="127"/>
      <c r="D39" s="169"/>
      <c r="E39" s="170"/>
      <c r="Q39" s="35"/>
    </row>
    <row r="40" spans="1:17" s="165" customFormat="1" ht="15" customHeight="1">
      <c r="A40" s="14"/>
      <c r="B40" s="38"/>
      <c r="C40" s="127"/>
      <c r="D40" s="169"/>
      <c r="E40" s="170"/>
      <c r="Q40" s="35"/>
    </row>
    <row r="41" spans="1:17" s="165" customFormat="1" ht="15" customHeight="1">
      <c r="A41" s="14"/>
      <c r="B41" s="38"/>
      <c r="C41" s="127"/>
      <c r="D41" s="169"/>
      <c r="E41" s="170"/>
      <c r="Q41" s="35"/>
    </row>
    <row r="42" spans="1:17" s="165" customFormat="1" ht="15" customHeight="1">
      <c r="A42" s="14"/>
      <c r="B42" s="38"/>
      <c r="C42" s="127"/>
      <c r="D42" s="169"/>
      <c r="E42" s="170"/>
      <c r="Q42" s="35"/>
    </row>
    <row r="43" spans="1:17" s="165" customFormat="1" ht="15" customHeight="1">
      <c r="A43" s="14"/>
      <c r="B43" s="38"/>
      <c r="C43" s="127"/>
      <c r="D43" s="169"/>
      <c r="E43" s="170"/>
      <c r="Q43" s="35"/>
    </row>
    <row r="44" spans="1:17" s="165" customFormat="1" ht="15" customHeight="1">
      <c r="A44" s="14"/>
      <c r="B44" s="38"/>
      <c r="C44" s="127"/>
      <c r="D44" s="169"/>
      <c r="E44" s="170"/>
      <c r="Q44" s="35"/>
    </row>
    <row r="45" spans="1:17" ht="15" customHeight="1">
      <c r="A45" s="13"/>
      <c r="B45" s="7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9"/>
    </row>
    <row r="46" spans="1:17" ht="15" customHeight="1">
      <c r="A46" s="13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2"/>
    </row>
    <row r="47" spans="1:17" ht="15" customHeight="1">
      <c r="A47" s="13"/>
    </row>
  </sheetData>
  <pageMargins left="0.70866141732283472" right="0.70866141732283472" top="0.74803149606299213" bottom="0.74803149606299213" header="0.31496062992125984" footer="0.31496062992125984"/>
  <pageSetup paperSize="9" scale="62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4" tint="0.79998168889431442"/>
    <pageSetUpPr fitToPage="1"/>
  </sheetPr>
  <dimension ref="A1:L47"/>
  <sheetViews>
    <sheetView showGridLines="0" zoomScale="85" zoomScaleNormal="85" workbookViewId="0">
      <selection activeCell="C8" sqref="C8:I8"/>
    </sheetView>
  </sheetViews>
  <sheetFormatPr defaultColWidth="11.42578125" defaultRowHeight="15"/>
  <cols>
    <col min="1" max="1" width="2.85546875" style="14" customWidth="1"/>
    <col min="2" max="2" width="4.28515625" style="1" customWidth="1"/>
    <col min="3" max="3" width="28.7109375" style="1" customWidth="1"/>
    <col min="4" max="7" width="21" style="1" customWidth="1"/>
    <col min="8" max="8" width="28.140625" style="1" customWidth="1"/>
    <col min="9" max="9" width="2.85546875" style="1" customWidth="1"/>
    <col min="10" max="12" width="2.85546875" style="165" customWidth="1"/>
    <col min="13" max="16" width="11.42578125" style="1" customWidth="1"/>
    <col min="17" max="16384" width="11.42578125" style="1"/>
  </cols>
  <sheetData>
    <row r="1" spans="1:12" ht="15" customHeight="1">
      <c r="A1" s="13"/>
      <c r="B1" s="13"/>
      <c r="C1" s="13"/>
      <c r="D1" s="13"/>
      <c r="E1" s="13"/>
      <c r="F1" s="13"/>
      <c r="G1" s="13"/>
      <c r="H1" s="13"/>
      <c r="I1" s="13"/>
      <c r="J1" s="14"/>
      <c r="K1" s="14"/>
      <c r="L1" s="14"/>
    </row>
    <row r="2" spans="1:12" ht="15" customHeight="1">
      <c r="A2" s="13"/>
      <c r="B2" s="4"/>
      <c r="C2" s="5"/>
      <c r="D2" s="5"/>
      <c r="E2" s="5"/>
      <c r="F2" s="5"/>
      <c r="G2" s="5"/>
      <c r="H2" s="6"/>
    </row>
    <row r="3" spans="1:12" ht="15" customHeight="1">
      <c r="A3" s="13"/>
      <c r="B3" s="7"/>
      <c r="C3" s="8"/>
      <c r="D3" s="8"/>
      <c r="E3" s="8"/>
      <c r="F3" s="8"/>
      <c r="G3" s="8"/>
      <c r="H3" s="9"/>
    </row>
    <row r="4" spans="1:12" ht="15" customHeight="1">
      <c r="A4" s="13"/>
      <c r="B4" s="7"/>
      <c r="C4" s="8"/>
      <c r="D4" s="8"/>
      <c r="E4" s="8"/>
      <c r="F4" s="8"/>
      <c r="G4" s="8"/>
      <c r="H4" s="9"/>
    </row>
    <row r="5" spans="1:12" ht="15" customHeight="1">
      <c r="A5" s="13"/>
      <c r="B5" s="7"/>
      <c r="C5" s="8"/>
      <c r="D5" s="8"/>
      <c r="E5" s="8"/>
      <c r="F5" s="8"/>
      <c r="G5" s="8"/>
      <c r="H5" s="9"/>
    </row>
    <row r="6" spans="1:12" ht="15" customHeight="1">
      <c r="A6" s="13"/>
      <c r="B6" s="7"/>
      <c r="C6" s="8"/>
      <c r="D6" s="8"/>
      <c r="E6" s="8"/>
      <c r="F6" s="8"/>
      <c r="G6" s="8"/>
      <c r="H6" s="9"/>
    </row>
    <row r="7" spans="1:12" ht="15" customHeight="1">
      <c r="A7" s="13"/>
      <c r="B7" s="7"/>
      <c r="C7" s="8"/>
      <c r="D7" s="8"/>
      <c r="E7" s="8"/>
      <c r="F7" s="8"/>
      <c r="G7" s="8"/>
      <c r="H7" s="9"/>
    </row>
    <row r="8" spans="1:12" ht="30">
      <c r="A8" s="13"/>
      <c r="B8" s="7"/>
      <c r="C8" s="101" t="str">
        <f>'Page de garde'!J13&amp;" : Statistiques INCAPACITE au "&amp;'Page de garde'!J23</f>
        <v>PREVOYANCE_ : Statistiques INCAPACITE au 31 décembre 2019</v>
      </c>
      <c r="D8" s="31"/>
      <c r="E8" s="24"/>
      <c r="F8" s="24"/>
      <c r="G8" s="24"/>
      <c r="H8" s="24"/>
      <c r="I8" s="25"/>
    </row>
    <row r="9" spans="1:12" ht="15" customHeight="1">
      <c r="A9" s="13"/>
      <c r="B9" s="7"/>
      <c r="C9" s="8"/>
      <c r="D9" s="8"/>
      <c r="E9" s="8"/>
      <c r="F9" s="8"/>
      <c r="G9" s="8"/>
      <c r="H9" s="9"/>
    </row>
    <row r="10" spans="1:12" ht="15" customHeight="1">
      <c r="A10" s="13"/>
      <c r="B10" s="7"/>
      <c r="C10" s="8"/>
      <c r="D10" s="8"/>
      <c r="E10" s="8"/>
      <c r="F10" s="8"/>
      <c r="G10" s="8"/>
      <c r="H10" s="9"/>
    </row>
    <row r="11" spans="1:12" s="82" customFormat="1" ht="15" customHeight="1">
      <c r="A11" s="98"/>
      <c r="B11" s="99"/>
      <c r="C11" s="128" t="s">
        <v>292</v>
      </c>
      <c r="D11" s="128"/>
      <c r="E11" s="100"/>
      <c r="F11" s="100"/>
      <c r="G11" s="100"/>
      <c r="H11" s="129"/>
      <c r="I11" s="98"/>
      <c r="J11" s="100"/>
      <c r="K11" s="100"/>
      <c r="L11" s="100"/>
    </row>
    <row r="12" spans="1:12" ht="15" customHeight="1">
      <c r="A12" s="13"/>
      <c r="B12" s="7"/>
      <c r="C12" s="8"/>
      <c r="D12" s="8"/>
      <c r="F12" s="8"/>
      <c r="G12" s="8"/>
      <c r="H12" s="9"/>
    </row>
    <row r="13" spans="1:12" ht="30">
      <c r="A13" s="13"/>
      <c r="B13" s="7"/>
      <c r="C13" s="130" t="s">
        <v>293</v>
      </c>
      <c r="D13" s="160" t="s">
        <v>294</v>
      </c>
      <c r="E13" s="160" t="s">
        <v>295</v>
      </c>
      <c r="F13" s="160" t="s">
        <v>296</v>
      </c>
      <c r="G13" s="8"/>
      <c r="H13" s="9"/>
    </row>
    <row r="14" spans="1:12" ht="15" customHeight="1">
      <c r="A14" s="13"/>
      <c r="B14" s="7"/>
      <c r="C14" s="161">
        <v>2019</v>
      </c>
      <c r="D14" s="162">
        <v>798</v>
      </c>
      <c r="E14" s="162">
        <v>47.957393483709275</v>
      </c>
      <c r="F14" s="162">
        <v>114.63533834586467</v>
      </c>
      <c r="G14" s="8"/>
      <c r="H14" s="9"/>
    </row>
    <row r="15" spans="1:12" ht="15" customHeight="1">
      <c r="A15" s="13"/>
      <c r="B15" s="7"/>
      <c r="C15" s="130" t="s">
        <v>297</v>
      </c>
      <c r="D15" s="160">
        <v>798</v>
      </c>
      <c r="E15" s="160">
        <v>47.957393483709275</v>
      </c>
      <c r="F15" s="160">
        <v>114.63533834586467</v>
      </c>
      <c r="G15" s="8"/>
      <c r="H15" s="9"/>
    </row>
    <row r="16" spans="1:12" ht="15" customHeight="1">
      <c r="A16" s="13"/>
      <c r="B16" s="7"/>
      <c r="E16" s="8"/>
      <c r="F16" s="8"/>
      <c r="G16" s="8"/>
      <c r="H16" s="9"/>
    </row>
    <row r="17" spans="1:12" ht="15" customHeight="1">
      <c r="A17" s="13"/>
      <c r="B17" s="7"/>
      <c r="C17" s="8"/>
      <c r="D17" s="8"/>
      <c r="E17" s="8"/>
      <c r="F17" s="8"/>
      <c r="G17" s="8"/>
      <c r="H17" s="9"/>
    </row>
    <row r="18" spans="1:12" s="82" customFormat="1" ht="15" customHeight="1">
      <c r="A18" s="98"/>
      <c r="B18" s="99"/>
      <c r="C18" s="128" t="s">
        <v>298</v>
      </c>
      <c r="D18" s="128"/>
      <c r="E18" s="100"/>
      <c r="F18" s="100"/>
      <c r="G18" s="100"/>
      <c r="H18" s="129"/>
      <c r="I18" s="98"/>
      <c r="J18" s="100"/>
      <c r="K18" s="100"/>
      <c r="L18" s="100"/>
    </row>
    <row r="19" spans="1:12" ht="15" customHeight="1">
      <c r="A19" s="13"/>
      <c r="B19" s="7"/>
      <c r="C19" s="8"/>
      <c r="D19" s="8"/>
      <c r="E19" s="8"/>
      <c r="F19" s="8"/>
      <c r="G19" s="8"/>
      <c r="H19" s="9"/>
    </row>
    <row r="20" spans="1:12">
      <c r="A20" s="13"/>
      <c r="B20" s="7"/>
      <c r="C20" s="130" t="s">
        <v>293</v>
      </c>
      <c r="D20" s="130" t="s">
        <v>21</v>
      </c>
      <c r="E20" s="130" t="s">
        <v>297</v>
      </c>
      <c r="F20" s="8"/>
      <c r="G20" s="8"/>
      <c r="H20" s="9"/>
    </row>
    <row r="21" spans="1:12" ht="15" customHeight="1">
      <c r="A21" s="13"/>
      <c r="B21" s="7"/>
      <c r="C21" s="161">
        <v>2019</v>
      </c>
      <c r="D21" s="162">
        <v>798</v>
      </c>
      <c r="E21" s="162">
        <v>798</v>
      </c>
      <c r="F21" s="8"/>
      <c r="G21" s="8"/>
      <c r="H21" s="9"/>
    </row>
    <row r="22" spans="1:12" ht="15" customHeight="1">
      <c r="A22" s="13"/>
      <c r="B22" s="7"/>
      <c r="C22" s="130" t="s">
        <v>297</v>
      </c>
      <c r="D22" s="130">
        <v>798</v>
      </c>
      <c r="E22" s="130">
        <v>798</v>
      </c>
      <c r="F22" s="8"/>
      <c r="G22" s="8"/>
      <c r="H22" s="9"/>
    </row>
    <row r="23" spans="1:12" ht="15" customHeight="1">
      <c r="A23" s="13"/>
      <c r="B23" s="7"/>
      <c r="C23" s="8"/>
      <c r="D23" s="8"/>
      <c r="E23" s="8"/>
      <c r="F23" s="8"/>
      <c r="G23" s="8"/>
      <c r="H23" s="9"/>
    </row>
    <row r="24" spans="1:12" ht="15" customHeight="1">
      <c r="A24" s="13"/>
      <c r="B24" s="7"/>
      <c r="C24" s="8"/>
      <c r="D24" s="8"/>
      <c r="E24" s="8"/>
      <c r="F24" s="8"/>
      <c r="G24" s="8"/>
      <c r="H24" s="9"/>
    </row>
    <row r="25" spans="1:12" s="82" customFormat="1" ht="15" customHeight="1">
      <c r="A25" s="98"/>
      <c r="B25" s="99"/>
      <c r="C25" s="128" t="s">
        <v>299</v>
      </c>
      <c r="D25" s="128"/>
      <c r="E25" s="100"/>
      <c r="F25" s="100"/>
      <c r="G25" s="100"/>
      <c r="H25" s="129"/>
      <c r="I25" s="98"/>
      <c r="J25" s="100"/>
      <c r="K25" s="100"/>
      <c r="L25" s="100"/>
    </row>
    <row r="26" spans="1:12">
      <c r="A26" s="13"/>
      <c r="B26" s="7"/>
      <c r="C26" s="8"/>
      <c r="D26" s="8"/>
      <c r="E26" s="8"/>
      <c r="F26" s="8"/>
      <c r="G26" s="8"/>
      <c r="H26" s="9"/>
    </row>
    <row r="27" spans="1:12">
      <c r="A27" s="13"/>
      <c r="B27" s="7"/>
      <c r="C27" s="130" t="s">
        <v>293</v>
      </c>
      <c r="D27" s="130" t="s">
        <v>21</v>
      </c>
      <c r="E27" s="130" t="s">
        <v>297</v>
      </c>
      <c r="F27" s="8"/>
      <c r="G27" s="8"/>
      <c r="H27" s="9"/>
    </row>
    <row r="28" spans="1:12" ht="15" customHeight="1">
      <c r="A28" s="13"/>
      <c r="B28" s="7"/>
      <c r="C28" s="161">
        <v>2019</v>
      </c>
      <c r="D28" s="163">
        <v>1927976.369999998</v>
      </c>
      <c r="E28" s="163">
        <v>1927976.369999998</v>
      </c>
      <c r="F28" s="8"/>
      <c r="G28" s="8"/>
      <c r="H28" s="9"/>
    </row>
    <row r="29" spans="1:12">
      <c r="A29" s="13"/>
      <c r="B29" s="7"/>
      <c r="C29" s="130" t="s">
        <v>297</v>
      </c>
      <c r="D29" s="164">
        <v>1927976.369999998</v>
      </c>
      <c r="E29" s="164">
        <v>1927976.369999998</v>
      </c>
      <c r="F29" s="8"/>
      <c r="G29" s="8"/>
      <c r="H29" s="9"/>
    </row>
    <row r="30" spans="1:12">
      <c r="A30" s="13"/>
      <c r="B30" s="7"/>
      <c r="C30" s="8"/>
      <c r="D30" s="8"/>
      <c r="E30" s="8"/>
      <c r="F30" s="8"/>
      <c r="G30" s="8"/>
      <c r="H30" s="9"/>
    </row>
    <row r="31" spans="1:12">
      <c r="A31" s="13"/>
      <c r="B31" s="7"/>
      <c r="C31" s="8"/>
      <c r="D31" s="8"/>
      <c r="E31" s="8"/>
      <c r="F31" s="8"/>
      <c r="G31" s="8"/>
      <c r="H31" s="9"/>
    </row>
    <row r="32" spans="1:12">
      <c r="A32" s="13"/>
      <c r="B32" s="7"/>
      <c r="C32" s="8"/>
      <c r="D32" s="8"/>
      <c r="E32" s="8"/>
      <c r="F32" s="8"/>
      <c r="G32" s="8"/>
      <c r="H32" s="9"/>
    </row>
    <row r="33" spans="1:8">
      <c r="A33" s="13"/>
      <c r="B33" s="7"/>
      <c r="C33" s="8"/>
      <c r="D33" s="8"/>
      <c r="E33" s="8"/>
      <c r="F33" s="8"/>
      <c r="G33" s="8"/>
      <c r="H33" s="9"/>
    </row>
    <row r="34" spans="1:8">
      <c r="A34" s="13"/>
      <c r="B34" s="7"/>
      <c r="C34" s="8"/>
      <c r="D34" s="8"/>
      <c r="E34" s="8"/>
      <c r="F34" s="8"/>
      <c r="G34" s="8"/>
      <c r="H34" s="9"/>
    </row>
    <row r="35" spans="1:8">
      <c r="A35" s="13"/>
      <c r="B35" s="7"/>
      <c r="C35" s="8"/>
      <c r="D35" s="8"/>
      <c r="E35" s="8"/>
      <c r="F35" s="8"/>
      <c r="G35" s="8"/>
      <c r="H35" s="9"/>
    </row>
    <row r="36" spans="1:8">
      <c r="A36" s="13"/>
      <c r="B36" s="7"/>
      <c r="C36" s="8"/>
      <c r="D36" s="8"/>
      <c r="E36" s="8"/>
      <c r="F36" s="8"/>
      <c r="G36" s="8"/>
      <c r="H36" s="9"/>
    </row>
    <row r="37" spans="1:8">
      <c r="A37" s="13"/>
      <c r="B37" s="7"/>
      <c r="C37" s="8"/>
      <c r="D37" s="8"/>
      <c r="E37" s="8"/>
      <c r="F37" s="8"/>
      <c r="G37" s="8"/>
      <c r="H37" s="9"/>
    </row>
    <row r="38" spans="1:8">
      <c r="A38" s="13"/>
      <c r="B38" s="7"/>
      <c r="C38" s="8"/>
      <c r="D38" s="8"/>
      <c r="E38" s="8"/>
      <c r="F38" s="8"/>
      <c r="G38" s="8"/>
      <c r="H38" s="9"/>
    </row>
    <row r="39" spans="1:8">
      <c r="A39" s="13"/>
      <c r="B39" s="7"/>
      <c r="C39" s="8"/>
      <c r="D39" s="8"/>
      <c r="E39" s="8"/>
      <c r="F39" s="8"/>
      <c r="G39" s="8"/>
      <c r="H39" s="9"/>
    </row>
    <row r="40" spans="1:8">
      <c r="A40" s="13"/>
      <c r="B40" s="7"/>
      <c r="C40" s="8"/>
      <c r="D40" s="8"/>
      <c r="E40" s="8"/>
      <c r="F40" s="8"/>
      <c r="G40" s="8"/>
      <c r="H40" s="9"/>
    </row>
    <row r="41" spans="1:8">
      <c r="A41" s="13"/>
      <c r="B41" s="7"/>
      <c r="C41" s="8"/>
      <c r="D41" s="8"/>
      <c r="E41" s="8"/>
      <c r="F41" s="8"/>
      <c r="G41" s="8"/>
      <c r="H41" s="9"/>
    </row>
    <row r="42" spans="1:8">
      <c r="A42" s="13"/>
      <c r="B42" s="7"/>
      <c r="C42" s="8"/>
      <c r="D42" s="8"/>
      <c r="E42" s="8"/>
      <c r="F42" s="8"/>
      <c r="G42" s="8"/>
      <c r="H42" s="9"/>
    </row>
    <row r="43" spans="1:8">
      <c r="A43" s="13"/>
      <c r="B43" s="7"/>
      <c r="C43" s="8"/>
      <c r="D43" s="8"/>
      <c r="E43" s="8"/>
      <c r="F43" s="8"/>
      <c r="G43" s="8"/>
      <c r="H43" s="9"/>
    </row>
    <row r="44" spans="1:8" ht="15" customHeight="1">
      <c r="A44" s="13"/>
      <c r="B44" s="7"/>
      <c r="C44" s="8"/>
      <c r="D44" s="8"/>
      <c r="E44" s="8"/>
      <c r="F44" s="8"/>
      <c r="G44" s="8"/>
      <c r="H44" s="9"/>
    </row>
    <row r="45" spans="1:8" ht="9" customHeight="1">
      <c r="A45" s="13"/>
      <c r="B45" s="7"/>
      <c r="C45" s="8"/>
      <c r="D45" s="8"/>
      <c r="E45" s="8"/>
      <c r="F45" s="8"/>
      <c r="G45" s="8"/>
      <c r="H45" s="9"/>
    </row>
    <row r="46" spans="1:8" ht="15" customHeight="1">
      <c r="A46" s="13"/>
      <c r="B46" s="10"/>
      <c r="C46" s="11"/>
      <c r="D46" s="11"/>
      <c r="E46" s="11"/>
      <c r="F46" s="11"/>
      <c r="G46" s="11"/>
      <c r="H46" s="12"/>
    </row>
    <row r="47" spans="1:8" ht="15" customHeight="1">
      <c r="A47" s="13"/>
    </row>
  </sheetData>
  <pageMargins left="0.70866141732283472" right="0.70866141732283472" top="0.74803149606299213" bottom="0.74803149606299213" header="0.31496062992125984" footer="0.31496062992125984"/>
  <pageSetup paperSize="9" scale="55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  <pageSetUpPr fitToPage="1"/>
  </sheetPr>
  <dimension ref="A1:U818"/>
  <sheetViews>
    <sheetView showGridLines="0" zoomScaleNormal="100" workbookViewId="0">
      <selection activeCell="C13" sqref="C13:O810"/>
    </sheetView>
  </sheetViews>
  <sheetFormatPr defaultColWidth="11.42578125" defaultRowHeight="15"/>
  <cols>
    <col min="1" max="1" width="2.85546875" style="14" customWidth="1"/>
    <col min="2" max="2" width="4.28515625" style="1" customWidth="1"/>
    <col min="3" max="3" width="21.42578125" style="1" customWidth="1"/>
    <col min="4" max="4" width="12" style="136" customWidth="1"/>
    <col min="5" max="5" width="24.85546875" style="136" bestFit="1" customWidth="1"/>
    <col min="6" max="6" width="8.28515625" style="136" bestFit="1" customWidth="1"/>
    <col min="7" max="7" width="13.5703125" style="136" customWidth="1"/>
    <col min="8" max="8" width="10.28515625" style="136" bestFit="1" customWidth="1"/>
    <col min="9" max="9" width="19.7109375" style="136" customWidth="1"/>
    <col min="10" max="10" width="10.7109375" style="136" bestFit="1" customWidth="1"/>
    <col min="11" max="11" width="11.85546875" style="136" bestFit="1" customWidth="1"/>
    <col min="12" max="13" width="15" style="136" customWidth="1"/>
    <col min="14" max="14" width="12.5703125" style="136" bestFit="1" customWidth="1"/>
    <col min="15" max="15" width="15" style="136" customWidth="1"/>
    <col min="16" max="16" width="11.42578125" style="1" customWidth="1"/>
    <col min="17" max="17" width="4.140625" style="1" customWidth="1"/>
    <col min="18" max="18" width="2.85546875" style="1" customWidth="1"/>
    <col min="19" max="20" width="11.42578125" style="1" customWidth="1"/>
    <col min="21" max="21" width="19.7109375" style="1" bestFit="1" customWidth="1"/>
    <col min="22" max="25" width="11.42578125" style="1" customWidth="1"/>
    <col min="26" max="16384" width="11.42578125" style="1"/>
  </cols>
  <sheetData>
    <row r="1" spans="1:21" ht="15" customHeight="1">
      <c r="A1" s="13"/>
      <c r="B1" s="13">
        <v>2</v>
      </c>
      <c r="C1" s="13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"/>
      <c r="Q1" s="13"/>
      <c r="R1" s="13"/>
    </row>
    <row r="2" spans="1:21" ht="15" customHeight="1">
      <c r="A2" s="13"/>
      <c r="B2" s="4"/>
      <c r="C2" s="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5"/>
      <c r="Q2" s="6"/>
      <c r="U2" s="27"/>
    </row>
    <row r="3" spans="1:21" ht="15" customHeight="1">
      <c r="A3" s="13"/>
      <c r="B3" s="7"/>
      <c r="C3" s="8"/>
      <c r="P3" s="8"/>
      <c r="Q3" s="9"/>
    </row>
    <row r="4" spans="1:21" ht="15" customHeight="1">
      <c r="A4" s="13"/>
      <c r="B4" s="7"/>
      <c r="C4" s="8"/>
      <c r="P4" s="8"/>
      <c r="Q4" s="9"/>
    </row>
    <row r="5" spans="1:21" ht="15" customHeight="1">
      <c r="A5" s="13"/>
      <c r="B5" s="7"/>
      <c r="C5" s="8"/>
      <c r="P5" s="8"/>
      <c r="Q5" s="9"/>
    </row>
    <row r="6" spans="1:21" ht="15" customHeight="1">
      <c r="A6" s="13"/>
      <c r="B6" s="7"/>
      <c r="C6" s="8"/>
      <c r="P6" s="8"/>
      <c r="Q6" s="9"/>
    </row>
    <row r="7" spans="1:21" ht="15" customHeight="1" thickBot="1">
      <c r="A7" s="13"/>
      <c r="B7" s="7"/>
      <c r="C7" s="8"/>
      <c r="P7" s="8"/>
      <c r="Q7" s="9"/>
    </row>
    <row r="8" spans="1:21" ht="30.75" thickBot="1">
      <c r="A8" s="13"/>
      <c r="B8" s="7"/>
      <c r="C8" s="101" t="str">
        <f>'Page de garde'!J13&amp;" : Liste des assurés en INCAPACITE au "&amp;'Page de garde'!J23</f>
        <v>PREVOYANCE_ : Liste des assurés en INCAPACITE au 31 décembre 2019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8"/>
      <c r="Q8" s="9"/>
    </row>
    <row r="9" spans="1:21" ht="15" customHeight="1">
      <c r="A9" s="13"/>
      <c r="B9" s="7"/>
      <c r="C9" s="8"/>
      <c r="P9" s="8"/>
      <c r="Q9" s="9"/>
    </row>
    <row r="10" spans="1:21" s="165" customFormat="1" ht="15" customHeight="1">
      <c r="A10" s="14"/>
      <c r="B10" s="38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Q10" s="35"/>
    </row>
    <row r="11" spans="1:21" s="165" customFormat="1" ht="15" customHeight="1">
      <c r="A11" s="14"/>
      <c r="B11" s="38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Q11" s="35"/>
    </row>
    <row r="12" spans="1:21" s="165" customFormat="1" ht="45">
      <c r="A12" s="14"/>
      <c r="B12" s="188"/>
      <c r="C12" s="166" t="s">
        <v>62</v>
      </c>
      <c r="D12" s="166" t="s">
        <v>940</v>
      </c>
      <c r="E12" s="166" t="s">
        <v>945</v>
      </c>
      <c r="F12" s="166" t="s">
        <v>941</v>
      </c>
      <c r="G12" s="166" t="s">
        <v>942</v>
      </c>
      <c r="H12" s="166" t="s">
        <v>41</v>
      </c>
      <c r="I12" s="166" t="s">
        <v>939</v>
      </c>
      <c r="J12" s="166" t="s">
        <v>946</v>
      </c>
      <c r="K12" s="166" t="s">
        <v>948</v>
      </c>
      <c r="L12" s="166" t="s">
        <v>944</v>
      </c>
      <c r="M12" s="166" t="s">
        <v>951</v>
      </c>
      <c r="N12" s="166" t="s">
        <v>952</v>
      </c>
      <c r="O12" s="166" t="s">
        <v>943</v>
      </c>
      <c r="Q12" s="35"/>
    </row>
    <row r="13" spans="1:21" s="165" customFormat="1" ht="15" customHeight="1">
      <c r="A13" s="14"/>
      <c r="B13" s="38"/>
      <c r="C13" s="30" t="s">
        <v>39</v>
      </c>
      <c r="D13" s="138" t="s">
        <v>317</v>
      </c>
      <c r="E13" s="185" t="s">
        <v>947</v>
      </c>
      <c r="F13" s="139" t="s">
        <v>8</v>
      </c>
      <c r="G13" s="139">
        <v>25141</v>
      </c>
      <c r="H13" s="138" t="s">
        <v>200</v>
      </c>
      <c r="I13" s="139" t="s">
        <v>21</v>
      </c>
      <c r="J13" s="139">
        <v>43514</v>
      </c>
      <c r="K13" s="184">
        <v>51</v>
      </c>
      <c r="L13" s="139">
        <v>43686</v>
      </c>
      <c r="M13" s="139">
        <v>43686</v>
      </c>
      <c r="N13" s="189">
        <v>172</v>
      </c>
      <c r="O13" s="140">
        <v>7028.4500000000007</v>
      </c>
      <c r="Q13" s="35"/>
    </row>
    <row r="14" spans="1:21" s="165" customFormat="1" ht="15" customHeight="1">
      <c r="A14" s="14"/>
      <c r="B14" s="38"/>
      <c r="C14" s="30" t="s">
        <v>39</v>
      </c>
      <c r="D14" s="138" t="s">
        <v>318</v>
      </c>
      <c r="E14" s="185" t="s">
        <v>949</v>
      </c>
      <c r="F14" s="139" t="s">
        <v>8</v>
      </c>
      <c r="G14" s="139">
        <v>25211</v>
      </c>
      <c r="H14" s="138" t="s">
        <v>200</v>
      </c>
      <c r="I14" s="139" t="s">
        <v>21</v>
      </c>
      <c r="J14" s="139">
        <v>43637</v>
      </c>
      <c r="K14" s="184">
        <v>50</v>
      </c>
      <c r="L14" s="139"/>
      <c r="M14" s="139">
        <v>43891</v>
      </c>
      <c r="N14" s="189">
        <v>254</v>
      </c>
      <c r="O14" s="140">
        <v>0</v>
      </c>
      <c r="Q14" s="35"/>
    </row>
    <row r="15" spans="1:21" s="165" customFormat="1" ht="15" customHeight="1">
      <c r="A15" s="14"/>
      <c r="B15" s="38"/>
      <c r="C15" s="30" t="s">
        <v>39</v>
      </c>
      <c r="D15" s="138" t="s">
        <v>319</v>
      </c>
      <c r="E15" s="185" t="s">
        <v>950</v>
      </c>
      <c r="F15" s="139" t="s">
        <v>8</v>
      </c>
      <c r="G15" s="139">
        <v>24334</v>
      </c>
      <c r="H15" s="138" t="s">
        <v>199</v>
      </c>
      <c r="I15" s="139" t="s">
        <v>21</v>
      </c>
      <c r="J15" s="139">
        <v>43615</v>
      </c>
      <c r="K15" s="184">
        <v>53</v>
      </c>
      <c r="L15" s="139">
        <v>43668</v>
      </c>
      <c r="M15" s="139">
        <v>43668</v>
      </c>
      <c r="N15" s="189">
        <v>53</v>
      </c>
      <c r="O15" s="140">
        <v>174.24</v>
      </c>
      <c r="Q15" s="35"/>
    </row>
    <row r="16" spans="1:21" s="165" customFormat="1" ht="15" customHeight="1">
      <c r="A16" s="14"/>
      <c r="B16" s="38"/>
      <c r="C16" s="30" t="s">
        <v>39</v>
      </c>
      <c r="D16" s="138" t="s">
        <v>88</v>
      </c>
      <c r="E16" s="185" t="s">
        <v>953</v>
      </c>
      <c r="F16" s="139" t="s">
        <v>8</v>
      </c>
      <c r="G16" s="139">
        <v>24320</v>
      </c>
      <c r="H16" s="138" t="s">
        <v>199</v>
      </c>
      <c r="I16" s="139" t="s">
        <v>21</v>
      </c>
      <c r="J16" s="139">
        <v>43480</v>
      </c>
      <c r="K16" s="184">
        <v>53</v>
      </c>
      <c r="L16" s="139">
        <v>43704</v>
      </c>
      <c r="M16" s="139">
        <v>43708</v>
      </c>
      <c r="N16" s="189">
        <v>228</v>
      </c>
      <c r="O16" s="140">
        <v>3500.25</v>
      </c>
      <c r="Q16" s="35"/>
    </row>
    <row r="17" spans="1:17" s="165" customFormat="1" ht="15" customHeight="1">
      <c r="A17" s="14"/>
      <c r="B17" s="38"/>
      <c r="C17" s="30" t="s">
        <v>39</v>
      </c>
      <c r="D17" s="138" t="s">
        <v>320</v>
      </c>
      <c r="E17" s="185" t="s">
        <v>954</v>
      </c>
      <c r="F17" s="139" t="s">
        <v>8</v>
      </c>
      <c r="G17" s="139">
        <v>24328</v>
      </c>
      <c r="H17" s="138" t="s">
        <v>199</v>
      </c>
      <c r="I17" s="139" t="s">
        <v>21</v>
      </c>
      <c r="J17" s="139">
        <v>43551</v>
      </c>
      <c r="K17" s="184">
        <v>53</v>
      </c>
      <c r="L17" s="139">
        <v>43738</v>
      </c>
      <c r="M17" s="139">
        <v>43738</v>
      </c>
      <c r="N17" s="189">
        <v>187</v>
      </c>
      <c r="O17" s="140">
        <v>3556.5799999999995</v>
      </c>
      <c r="Q17" s="35"/>
    </row>
    <row r="18" spans="1:17" s="165" customFormat="1" ht="15" customHeight="1">
      <c r="A18" s="14"/>
      <c r="B18" s="38"/>
      <c r="C18" s="30" t="s">
        <v>39</v>
      </c>
      <c r="D18" s="138" t="s">
        <v>321</v>
      </c>
      <c r="E18" s="185" t="s">
        <v>955</v>
      </c>
      <c r="F18" s="139" t="s">
        <v>8</v>
      </c>
      <c r="G18" s="139">
        <v>24381</v>
      </c>
      <c r="H18" s="138" t="s">
        <v>199</v>
      </c>
      <c r="I18" s="139" t="s">
        <v>21</v>
      </c>
      <c r="J18" s="139">
        <v>43815</v>
      </c>
      <c r="K18" s="184">
        <v>53</v>
      </c>
      <c r="L18" s="139"/>
      <c r="M18" s="139">
        <v>43892</v>
      </c>
      <c r="N18" s="189">
        <v>77</v>
      </c>
      <c r="O18" s="140">
        <v>0</v>
      </c>
      <c r="Q18" s="35"/>
    </row>
    <row r="19" spans="1:17" s="165" customFormat="1" ht="15" customHeight="1">
      <c r="A19" s="14"/>
      <c r="B19" s="38"/>
      <c r="C19" s="30" t="s">
        <v>39</v>
      </c>
      <c r="D19" s="138" t="s">
        <v>322</v>
      </c>
      <c r="E19" s="185" t="s">
        <v>956</v>
      </c>
      <c r="F19" s="139" t="s">
        <v>8</v>
      </c>
      <c r="G19" s="139">
        <v>24396</v>
      </c>
      <c r="H19" s="138" t="s">
        <v>199</v>
      </c>
      <c r="I19" s="139" t="s">
        <v>21</v>
      </c>
      <c r="J19" s="139">
        <v>43525</v>
      </c>
      <c r="K19" s="184">
        <v>53</v>
      </c>
      <c r="L19" s="139">
        <v>43677</v>
      </c>
      <c r="M19" s="139"/>
      <c r="N19" s="189">
        <v>0</v>
      </c>
      <c r="O19" s="140">
        <v>3231.21</v>
      </c>
      <c r="Q19" s="35"/>
    </row>
    <row r="20" spans="1:17" s="165" customFormat="1" ht="15" customHeight="1">
      <c r="A20" s="14"/>
      <c r="B20" s="38"/>
      <c r="C20" s="30" t="s">
        <v>39</v>
      </c>
      <c r="D20" s="138" t="s">
        <v>323</v>
      </c>
      <c r="E20" s="185" t="s">
        <v>957</v>
      </c>
      <c r="F20" s="139" t="s">
        <v>8</v>
      </c>
      <c r="G20" s="139">
        <v>24424</v>
      </c>
      <c r="H20" s="138" t="s">
        <v>199</v>
      </c>
      <c r="I20" s="139" t="s">
        <v>21</v>
      </c>
      <c r="J20" s="139">
        <v>43788</v>
      </c>
      <c r="K20" s="184">
        <v>53</v>
      </c>
      <c r="L20" s="139"/>
      <c r="M20" s="139">
        <v>44073</v>
      </c>
      <c r="N20" s="189">
        <v>285</v>
      </c>
      <c r="O20" s="140">
        <v>0</v>
      </c>
      <c r="Q20" s="35"/>
    </row>
    <row r="21" spans="1:17" s="165" customFormat="1" ht="15" customHeight="1">
      <c r="A21" s="14"/>
      <c r="B21" s="38"/>
      <c r="C21" s="30" t="s">
        <v>39</v>
      </c>
      <c r="D21" s="138" t="s">
        <v>324</v>
      </c>
      <c r="E21" s="185" t="s">
        <v>957</v>
      </c>
      <c r="F21" s="139" t="s">
        <v>8</v>
      </c>
      <c r="G21" s="139">
        <v>24424</v>
      </c>
      <c r="H21" s="138" t="s">
        <v>199</v>
      </c>
      <c r="I21" s="139" t="s">
        <v>21</v>
      </c>
      <c r="J21" s="139">
        <v>43788</v>
      </c>
      <c r="K21" s="184">
        <v>53</v>
      </c>
      <c r="L21" s="139"/>
      <c r="M21" s="139">
        <v>44073</v>
      </c>
      <c r="N21" s="189">
        <v>285</v>
      </c>
      <c r="O21" s="140">
        <v>0</v>
      </c>
      <c r="Q21" s="35"/>
    </row>
    <row r="22" spans="1:17" s="165" customFormat="1" ht="15" customHeight="1">
      <c r="A22" s="14"/>
      <c r="B22" s="38"/>
      <c r="C22" s="30" t="s">
        <v>39</v>
      </c>
      <c r="D22" s="138" t="s">
        <v>325</v>
      </c>
      <c r="E22" s="185" t="s">
        <v>958</v>
      </c>
      <c r="F22" s="139" t="s">
        <v>8</v>
      </c>
      <c r="G22" s="139">
        <v>24435</v>
      </c>
      <c r="H22" s="138" t="s">
        <v>199</v>
      </c>
      <c r="I22" s="139" t="s">
        <v>21</v>
      </c>
      <c r="J22" s="139">
        <v>43479</v>
      </c>
      <c r="K22" s="184">
        <v>53</v>
      </c>
      <c r="L22" s="139">
        <v>43490</v>
      </c>
      <c r="M22" s="139">
        <v>43490</v>
      </c>
      <c r="N22" s="189">
        <v>11</v>
      </c>
      <c r="O22" s="140">
        <v>136.44</v>
      </c>
      <c r="Q22" s="35"/>
    </row>
    <row r="23" spans="1:17" s="165" customFormat="1" ht="15" customHeight="1">
      <c r="A23" s="14"/>
      <c r="B23" s="38"/>
      <c r="C23" s="30" t="s">
        <v>39</v>
      </c>
      <c r="D23" s="138" t="s">
        <v>326</v>
      </c>
      <c r="E23" s="185" t="s">
        <v>959</v>
      </c>
      <c r="F23" s="139" t="s">
        <v>8</v>
      </c>
      <c r="G23" s="139">
        <v>24449</v>
      </c>
      <c r="H23" s="138" t="s">
        <v>200</v>
      </c>
      <c r="I23" s="139" t="s">
        <v>21</v>
      </c>
      <c r="J23" s="139">
        <v>43745</v>
      </c>
      <c r="K23" s="184">
        <v>53</v>
      </c>
      <c r="L23" s="139"/>
      <c r="M23" s="139">
        <v>43838</v>
      </c>
      <c r="N23" s="189">
        <v>93</v>
      </c>
      <c r="O23" s="140">
        <v>0</v>
      </c>
      <c r="Q23" s="35"/>
    </row>
    <row r="24" spans="1:17" s="165" customFormat="1" ht="15" customHeight="1">
      <c r="A24" s="14"/>
      <c r="B24" s="38"/>
      <c r="C24" s="30" t="s">
        <v>39</v>
      </c>
      <c r="D24" s="138" t="s">
        <v>327</v>
      </c>
      <c r="E24" s="185" t="s">
        <v>960</v>
      </c>
      <c r="F24" s="139" t="s">
        <v>8</v>
      </c>
      <c r="G24" s="139">
        <v>24463</v>
      </c>
      <c r="H24" s="138" t="s">
        <v>199</v>
      </c>
      <c r="I24" s="139" t="s">
        <v>21</v>
      </c>
      <c r="J24" s="139">
        <v>43822</v>
      </c>
      <c r="K24" s="184">
        <v>53</v>
      </c>
      <c r="L24" s="139"/>
      <c r="M24" s="139">
        <v>43871</v>
      </c>
      <c r="N24" s="189">
        <v>49</v>
      </c>
      <c r="O24" s="140">
        <v>0</v>
      </c>
      <c r="Q24" s="35"/>
    </row>
    <row r="25" spans="1:17" s="165" customFormat="1" ht="15" customHeight="1">
      <c r="A25" s="14"/>
      <c r="B25" s="38"/>
      <c r="C25" s="30" t="s">
        <v>39</v>
      </c>
      <c r="D25" s="138" t="s">
        <v>328</v>
      </c>
      <c r="E25" s="185" t="s">
        <v>961</v>
      </c>
      <c r="F25" s="139" t="s">
        <v>8</v>
      </c>
      <c r="G25" s="139">
        <v>24453</v>
      </c>
      <c r="H25" s="138" t="s">
        <v>199</v>
      </c>
      <c r="I25" s="139" t="s">
        <v>21</v>
      </c>
      <c r="J25" s="139">
        <v>43777</v>
      </c>
      <c r="K25" s="184">
        <v>53</v>
      </c>
      <c r="L25" s="139"/>
      <c r="M25" s="139">
        <v>44195</v>
      </c>
      <c r="N25" s="189">
        <v>418</v>
      </c>
      <c r="O25" s="140">
        <v>0</v>
      </c>
      <c r="Q25" s="35"/>
    </row>
    <row r="26" spans="1:17" s="165" customFormat="1" ht="15" customHeight="1">
      <c r="A26" s="14"/>
      <c r="B26" s="38"/>
      <c r="C26" s="30" t="s">
        <v>39</v>
      </c>
      <c r="D26" s="138" t="s">
        <v>329</v>
      </c>
      <c r="E26" s="185" t="s">
        <v>962</v>
      </c>
      <c r="F26" s="139" t="s">
        <v>8</v>
      </c>
      <c r="G26" s="139">
        <v>24673</v>
      </c>
      <c r="H26" s="138" t="s">
        <v>199</v>
      </c>
      <c r="I26" s="139" t="s">
        <v>21</v>
      </c>
      <c r="J26" s="139">
        <v>43542</v>
      </c>
      <c r="K26" s="184">
        <v>52</v>
      </c>
      <c r="L26" s="139">
        <v>43706</v>
      </c>
      <c r="M26" s="139">
        <v>43706</v>
      </c>
      <c r="N26" s="189">
        <v>164</v>
      </c>
      <c r="O26" s="140">
        <v>5603.8499999999995</v>
      </c>
      <c r="Q26" s="35"/>
    </row>
    <row r="27" spans="1:17" s="165" customFormat="1" ht="15" customHeight="1">
      <c r="A27" s="14"/>
      <c r="B27" s="38"/>
      <c r="C27" s="30" t="s">
        <v>39</v>
      </c>
      <c r="D27" s="138" t="s">
        <v>158</v>
      </c>
      <c r="E27" s="185" t="s">
        <v>963</v>
      </c>
      <c r="F27" s="139" t="s">
        <v>8</v>
      </c>
      <c r="G27" s="139">
        <v>24500</v>
      </c>
      <c r="H27" s="138" t="s">
        <v>200</v>
      </c>
      <c r="I27" s="139" t="s">
        <v>21</v>
      </c>
      <c r="J27" s="139">
        <v>43647</v>
      </c>
      <c r="K27" s="184">
        <v>52</v>
      </c>
      <c r="L27" s="139">
        <v>43791</v>
      </c>
      <c r="M27" s="139">
        <v>43799</v>
      </c>
      <c r="N27" s="189">
        <v>152</v>
      </c>
      <c r="O27" s="140">
        <v>3037.15</v>
      </c>
      <c r="Q27" s="35"/>
    </row>
    <row r="28" spans="1:17" s="165" customFormat="1" ht="15" customHeight="1">
      <c r="A28" s="14"/>
      <c r="B28" s="38"/>
      <c r="C28" s="30" t="s">
        <v>39</v>
      </c>
      <c r="D28" s="138" t="s">
        <v>140</v>
      </c>
      <c r="E28" s="185" t="s">
        <v>964</v>
      </c>
      <c r="F28" s="139" t="s">
        <v>8</v>
      </c>
      <c r="G28" s="139">
        <v>24512</v>
      </c>
      <c r="H28" s="138" t="s">
        <v>199</v>
      </c>
      <c r="I28" s="139" t="s">
        <v>21</v>
      </c>
      <c r="J28" s="139">
        <v>43591</v>
      </c>
      <c r="K28" s="184">
        <v>52</v>
      </c>
      <c r="L28" s="139">
        <v>43773</v>
      </c>
      <c r="M28" s="139"/>
      <c r="N28" s="189">
        <v>0</v>
      </c>
      <c r="O28" s="140">
        <v>4758.3</v>
      </c>
      <c r="Q28" s="35"/>
    </row>
    <row r="29" spans="1:17" s="165" customFormat="1" ht="15" customHeight="1">
      <c r="A29" s="14"/>
      <c r="B29" s="38"/>
      <c r="C29" s="30" t="s">
        <v>39</v>
      </c>
      <c r="D29" s="138" t="s">
        <v>330</v>
      </c>
      <c r="E29" s="185" t="s">
        <v>965</v>
      </c>
      <c r="F29" s="139" t="s">
        <v>8</v>
      </c>
      <c r="G29" s="139">
        <v>24531</v>
      </c>
      <c r="H29" s="138" t="s">
        <v>199</v>
      </c>
      <c r="I29" s="139" t="s">
        <v>21</v>
      </c>
      <c r="J29" s="139">
        <v>43487</v>
      </c>
      <c r="K29" s="184">
        <v>52</v>
      </c>
      <c r="L29" s="139">
        <v>43518</v>
      </c>
      <c r="M29" s="139">
        <v>43518</v>
      </c>
      <c r="N29" s="189">
        <v>31</v>
      </c>
      <c r="O29" s="140">
        <v>101.82</v>
      </c>
      <c r="Q29" s="35"/>
    </row>
    <row r="30" spans="1:17" s="165" customFormat="1" ht="15" customHeight="1">
      <c r="A30" s="14"/>
      <c r="B30" s="38"/>
      <c r="C30" s="30" t="s">
        <v>39</v>
      </c>
      <c r="D30" s="138" t="s">
        <v>331</v>
      </c>
      <c r="E30" s="185" t="s">
        <v>966</v>
      </c>
      <c r="F30" s="139" t="s">
        <v>8</v>
      </c>
      <c r="G30" s="139">
        <v>24542</v>
      </c>
      <c r="H30" s="138" t="s">
        <v>199</v>
      </c>
      <c r="I30" s="139" t="s">
        <v>21</v>
      </c>
      <c r="J30" s="139">
        <v>43573</v>
      </c>
      <c r="K30" s="184">
        <v>52</v>
      </c>
      <c r="L30" s="139">
        <v>43658</v>
      </c>
      <c r="M30" s="139">
        <v>43658</v>
      </c>
      <c r="N30" s="189">
        <v>85</v>
      </c>
      <c r="O30" s="140">
        <v>1776.3200000000002</v>
      </c>
      <c r="Q30" s="35"/>
    </row>
    <row r="31" spans="1:17" s="165" customFormat="1" ht="15" customHeight="1">
      <c r="A31" s="14"/>
      <c r="B31" s="38"/>
      <c r="C31" s="30" t="s">
        <v>39</v>
      </c>
      <c r="D31" s="138" t="s">
        <v>91</v>
      </c>
      <c r="E31" s="185" t="s">
        <v>967</v>
      </c>
      <c r="F31" s="139" t="s">
        <v>8</v>
      </c>
      <c r="G31" s="139">
        <v>24542</v>
      </c>
      <c r="H31" s="138" t="s">
        <v>199</v>
      </c>
      <c r="I31" s="139" t="s">
        <v>21</v>
      </c>
      <c r="J31" s="139">
        <v>43479</v>
      </c>
      <c r="K31" s="184">
        <v>52</v>
      </c>
      <c r="L31" s="139">
        <v>43798</v>
      </c>
      <c r="M31" s="139"/>
      <c r="N31" s="189">
        <v>0</v>
      </c>
      <c r="O31" s="140">
        <v>21941.4</v>
      </c>
      <c r="Q31" s="35"/>
    </row>
    <row r="32" spans="1:17" s="165" customFormat="1" ht="15" customHeight="1">
      <c r="A32" s="14"/>
      <c r="B32" s="38"/>
      <c r="C32" s="30" t="s">
        <v>39</v>
      </c>
      <c r="D32" s="138" t="s">
        <v>332</v>
      </c>
      <c r="E32" s="185" t="s">
        <v>968</v>
      </c>
      <c r="F32" s="139" t="s">
        <v>8</v>
      </c>
      <c r="G32" s="139">
        <v>24587</v>
      </c>
      <c r="H32" s="138" t="s">
        <v>199</v>
      </c>
      <c r="I32" s="139" t="s">
        <v>21</v>
      </c>
      <c r="J32" s="139">
        <v>43775</v>
      </c>
      <c r="K32" s="184">
        <v>52</v>
      </c>
      <c r="L32" s="139"/>
      <c r="M32" s="139"/>
      <c r="N32" s="189">
        <v>0</v>
      </c>
      <c r="O32" s="140">
        <v>0</v>
      </c>
      <c r="Q32" s="35"/>
    </row>
    <row r="33" spans="1:17" s="165" customFormat="1" ht="15" customHeight="1">
      <c r="A33" s="14"/>
      <c r="B33" s="38"/>
      <c r="C33" s="30" t="s">
        <v>39</v>
      </c>
      <c r="D33" s="138" t="s">
        <v>333</v>
      </c>
      <c r="E33" s="185" t="s">
        <v>969</v>
      </c>
      <c r="F33" s="139" t="s">
        <v>8</v>
      </c>
      <c r="G33" s="139">
        <v>24623</v>
      </c>
      <c r="H33" s="138" t="s">
        <v>199</v>
      </c>
      <c r="I33" s="139" t="s">
        <v>21</v>
      </c>
      <c r="J33" s="139">
        <v>43757</v>
      </c>
      <c r="K33" s="184">
        <v>52</v>
      </c>
      <c r="L33" s="139"/>
      <c r="M33" s="139">
        <v>43861</v>
      </c>
      <c r="N33" s="189">
        <v>104</v>
      </c>
      <c r="O33" s="140">
        <v>0</v>
      </c>
      <c r="Q33" s="35"/>
    </row>
    <row r="34" spans="1:17" s="165" customFormat="1" ht="15" customHeight="1">
      <c r="A34" s="14"/>
      <c r="B34" s="38"/>
      <c r="C34" s="30" t="s">
        <v>39</v>
      </c>
      <c r="D34" s="138" t="s">
        <v>334</v>
      </c>
      <c r="E34" s="185" t="s">
        <v>969</v>
      </c>
      <c r="F34" s="139" t="s">
        <v>8</v>
      </c>
      <c r="G34" s="139">
        <v>24623</v>
      </c>
      <c r="H34" s="138" t="s">
        <v>199</v>
      </c>
      <c r="I34" s="139" t="s">
        <v>21</v>
      </c>
      <c r="J34" s="139">
        <v>43757</v>
      </c>
      <c r="K34" s="184">
        <v>52</v>
      </c>
      <c r="L34" s="139"/>
      <c r="M34" s="139">
        <v>43861</v>
      </c>
      <c r="N34" s="189">
        <v>104</v>
      </c>
      <c r="O34" s="140">
        <v>0</v>
      </c>
      <c r="Q34" s="35"/>
    </row>
    <row r="35" spans="1:17" s="165" customFormat="1" ht="15" customHeight="1">
      <c r="A35" s="14"/>
      <c r="B35" s="38"/>
      <c r="C35" s="30" t="s">
        <v>39</v>
      </c>
      <c r="D35" s="138" t="s">
        <v>159</v>
      </c>
      <c r="E35" s="185" t="s">
        <v>970</v>
      </c>
      <c r="F35" s="139" t="s">
        <v>8</v>
      </c>
      <c r="G35" s="139">
        <v>24596</v>
      </c>
      <c r="H35" s="138" t="s">
        <v>199</v>
      </c>
      <c r="I35" s="139" t="s">
        <v>21</v>
      </c>
      <c r="J35" s="139">
        <v>43603</v>
      </c>
      <c r="K35" s="184">
        <v>52</v>
      </c>
      <c r="L35" s="139">
        <v>43776</v>
      </c>
      <c r="M35" s="139">
        <v>43778</v>
      </c>
      <c r="N35" s="189">
        <v>175</v>
      </c>
      <c r="O35" s="140">
        <v>3520.7999999999997</v>
      </c>
      <c r="Q35" s="35"/>
    </row>
    <row r="36" spans="1:17" s="165" customFormat="1" ht="15" customHeight="1">
      <c r="A36" s="14"/>
      <c r="B36" s="38"/>
      <c r="C36" s="30" t="s">
        <v>39</v>
      </c>
      <c r="D36" s="138" t="s">
        <v>98</v>
      </c>
      <c r="E36" s="185" t="s">
        <v>971</v>
      </c>
      <c r="F36" s="139" t="s">
        <v>8</v>
      </c>
      <c r="G36" s="139">
        <v>24619</v>
      </c>
      <c r="H36" s="138" t="s">
        <v>199</v>
      </c>
      <c r="I36" s="139" t="s">
        <v>21</v>
      </c>
      <c r="J36" s="139">
        <v>43571</v>
      </c>
      <c r="K36" s="184">
        <v>52</v>
      </c>
      <c r="L36" s="139">
        <v>43786</v>
      </c>
      <c r="M36" s="139">
        <v>43932</v>
      </c>
      <c r="N36" s="189">
        <v>361</v>
      </c>
      <c r="O36" s="140">
        <v>8890.7999999999993</v>
      </c>
      <c r="Q36" s="35"/>
    </row>
    <row r="37" spans="1:17" s="165" customFormat="1" ht="15" customHeight="1">
      <c r="A37" s="14"/>
      <c r="B37" s="38"/>
      <c r="C37" s="30" t="s">
        <v>39</v>
      </c>
      <c r="D37" s="138" t="s">
        <v>335</v>
      </c>
      <c r="E37" s="185" t="s">
        <v>972</v>
      </c>
      <c r="F37" s="139" t="s">
        <v>8</v>
      </c>
      <c r="G37" s="139">
        <v>24697</v>
      </c>
      <c r="H37" s="138" t="s">
        <v>199</v>
      </c>
      <c r="I37" s="139" t="s">
        <v>21</v>
      </c>
      <c r="J37" s="139">
        <v>43668</v>
      </c>
      <c r="K37" s="184">
        <v>52</v>
      </c>
      <c r="L37" s="139"/>
      <c r="M37" s="139">
        <v>43728</v>
      </c>
      <c r="N37" s="189">
        <v>60</v>
      </c>
      <c r="O37" s="140">
        <v>0</v>
      </c>
      <c r="Q37" s="35"/>
    </row>
    <row r="38" spans="1:17" s="165" customFormat="1" ht="15" customHeight="1">
      <c r="A38" s="14"/>
      <c r="B38" s="38"/>
      <c r="C38" s="30" t="s">
        <v>39</v>
      </c>
      <c r="D38" s="138" t="s">
        <v>336</v>
      </c>
      <c r="E38" s="185" t="s">
        <v>972</v>
      </c>
      <c r="F38" s="139" t="s">
        <v>8</v>
      </c>
      <c r="G38" s="139">
        <v>24697</v>
      </c>
      <c r="H38" s="138" t="s">
        <v>199</v>
      </c>
      <c r="I38" s="139" t="s">
        <v>21</v>
      </c>
      <c r="J38" s="139">
        <v>43762</v>
      </c>
      <c r="K38" s="184">
        <v>52</v>
      </c>
      <c r="L38" s="139"/>
      <c r="M38" s="139">
        <v>43793</v>
      </c>
      <c r="N38" s="189">
        <v>31</v>
      </c>
      <c r="O38" s="140">
        <v>0</v>
      </c>
      <c r="Q38" s="35"/>
    </row>
    <row r="39" spans="1:17" s="165" customFormat="1" ht="15" customHeight="1">
      <c r="A39" s="14"/>
      <c r="B39" s="38"/>
      <c r="C39" s="30" t="s">
        <v>39</v>
      </c>
      <c r="D39" s="138" t="s">
        <v>337</v>
      </c>
      <c r="E39" s="185" t="s">
        <v>972</v>
      </c>
      <c r="F39" s="139" t="s">
        <v>8</v>
      </c>
      <c r="G39" s="139">
        <v>24697</v>
      </c>
      <c r="H39" s="138" t="s">
        <v>199</v>
      </c>
      <c r="I39" s="139" t="s">
        <v>21</v>
      </c>
      <c r="J39" s="139">
        <v>43668</v>
      </c>
      <c r="K39" s="184">
        <v>52</v>
      </c>
      <c r="L39" s="139"/>
      <c r="M39" s="139">
        <v>43728</v>
      </c>
      <c r="N39" s="189">
        <v>60</v>
      </c>
      <c r="O39" s="140">
        <v>0</v>
      </c>
      <c r="Q39" s="35"/>
    </row>
    <row r="40" spans="1:17" s="165" customFormat="1" ht="15" customHeight="1">
      <c r="A40" s="14"/>
      <c r="B40" s="38"/>
      <c r="C40" s="30" t="s">
        <v>39</v>
      </c>
      <c r="D40" s="138" t="s">
        <v>338</v>
      </c>
      <c r="E40" s="185" t="s">
        <v>972</v>
      </c>
      <c r="F40" s="139" t="s">
        <v>8</v>
      </c>
      <c r="G40" s="139">
        <v>24697</v>
      </c>
      <c r="H40" s="138" t="s">
        <v>199</v>
      </c>
      <c r="I40" s="139" t="s">
        <v>21</v>
      </c>
      <c r="J40" s="139">
        <v>43762</v>
      </c>
      <c r="K40" s="184">
        <v>52</v>
      </c>
      <c r="L40" s="139"/>
      <c r="M40" s="139">
        <v>43793</v>
      </c>
      <c r="N40" s="189">
        <v>31</v>
      </c>
      <c r="O40" s="140">
        <v>0</v>
      </c>
      <c r="Q40" s="35"/>
    </row>
    <row r="41" spans="1:17" s="165" customFormat="1" ht="15" customHeight="1">
      <c r="A41" s="14"/>
      <c r="B41" s="38"/>
      <c r="C41" s="30" t="s">
        <v>39</v>
      </c>
      <c r="D41" s="138" t="s">
        <v>339</v>
      </c>
      <c r="E41" s="185" t="s">
        <v>973</v>
      </c>
      <c r="F41" s="139" t="s">
        <v>8</v>
      </c>
      <c r="G41" s="139">
        <v>24715</v>
      </c>
      <c r="H41" s="138" t="s">
        <v>199</v>
      </c>
      <c r="I41" s="139" t="s">
        <v>21</v>
      </c>
      <c r="J41" s="139">
        <v>43719</v>
      </c>
      <c r="K41" s="184">
        <v>52</v>
      </c>
      <c r="L41" s="139">
        <v>43738</v>
      </c>
      <c r="M41" s="139">
        <v>43738</v>
      </c>
      <c r="N41" s="189">
        <v>19</v>
      </c>
      <c r="O41" s="140">
        <v>227.4</v>
      </c>
      <c r="Q41" s="35"/>
    </row>
    <row r="42" spans="1:17" s="165" customFormat="1" ht="15" customHeight="1">
      <c r="A42" s="14"/>
      <c r="B42" s="38"/>
      <c r="C42" s="30" t="s">
        <v>39</v>
      </c>
      <c r="D42" s="138" t="s">
        <v>340</v>
      </c>
      <c r="E42" s="185" t="s">
        <v>974</v>
      </c>
      <c r="F42" s="139" t="s">
        <v>8</v>
      </c>
      <c r="G42" s="139">
        <v>24705</v>
      </c>
      <c r="H42" s="138" t="s">
        <v>199</v>
      </c>
      <c r="I42" s="139" t="s">
        <v>21</v>
      </c>
      <c r="J42" s="139">
        <v>43647</v>
      </c>
      <c r="K42" s="184">
        <v>52</v>
      </c>
      <c r="L42" s="139">
        <v>43766</v>
      </c>
      <c r="M42" s="139">
        <v>43766</v>
      </c>
      <c r="N42" s="189">
        <v>119</v>
      </c>
      <c r="O42" s="140">
        <v>554.4</v>
      </c>
      <c r="Q42" s="35"/>
    </row>
    <row r="43" spans="1:17" s="165" customFormat="1" ht="15" customHeight="1">
      <c r="A43" s="14"/>
      <c r="B43" s="38"/>
      <c r="C43" s="30" t="s">
        <v>39</v>
      </c>
      <c r="D43" s="138" t="s">
        <v>341</v>
      </c>
      <c r="E43" s="185" t="s">
        <v>975</v>
      </c>
      <c r="F43" s="139" t="s">
        <v>8</v>
      </c>
      <c r="G43" s="139">
        <v>24765</v>
      </c>
      <c r="H43" s="138" t="s">
        <v>199</v>
      </c>
      <c r="I43" s="139" t="s">
        <v>21</v>
      </c>
      <c r="J43" s="139">
        <v>43634</v>
      </c>
      <c r="K43" s="184">
        <v>52</v>
      </c>
      <c r="L43" s="139"/>
      <c r="M43" s="139">
        <v>43723</v>
      </c>
      <c r="N43" s="189">
        <v>89</v>
      </c>
      <c r="O43" s="140">
        <v>0</v>
      </c>
      <c r="Q43" s="35"/>
    </row>
    <row r="44" spans="1:17" s="165" customFormat="1" ht="15" customHeight="1">
      <c r="A44" s="14"/>
      <c r="B44" s="38"/>
      <c r="C44" s="30" t="s">
        <v>39</v>
      </c>
      <c r="D44" s="138" t="s">
        <v>342</v>
      </c>
      <c r="E44" s="185" t="s">
        <v>976</v>
      </c>
      <c r="F44" s="139" t="s">
        <v>8</v>
      </c>
      <c r="G44" s="139">
        <v>24772</v>
      </c>
      <c r="H44" s="138" t="s">
        <v>199</v>
      </c>
      <c r="I44" s="139" t="s">
        <v>21</v>
      </c>
      <c r="J44" s="139">
        <v>43549</v>
      </c>
      <c r="K44" s="184">
        <v>52</v>
      </c>
      <c r="L44" s="139">
        <v>43641</v>
      </c>
      <c r="M44" s="139">
        <v>43641</v>
      </c>
      <c r="N44" s="189">
        <v>92</v>
      </c>
      <c r="O44" s="140">
        <v>1227.8700000000001</v>
      </c>
      <c r="Q44" s="35"/>
    </row>
    <row r="45" spans="1:17" s="165" customFormat="1" ht="15" customHeight="1">
      <c r="A45" s="14"/>
      <c r="B45" s="38"/>
      <c r="C45" s="30" t="s">
        <v>39</v>
      </c>
      <c r="D45" s="138" t="s">
        <v>343</v>
      </c>
      <c r="E45" s="185" t="s">
        <v>977</v>
      </c>
      <c r="F45" s="139" t="s">
        <v>8</v>
      </c>
      <c r="G45" s="139">
        <v>24759</v>
      </c>
      <c r="H45" s="138" t="s">
        <v>199</v>
      </c>
      <c r="I45" s="139" t="s">
        <v>21</v>
      </c>
      <c r="J45" s="139">
        <v>43788</v>
      </c>
      <c r="K45" s="184">
        <v>52</v>
      </c>
      <c r="L45" s="139"/>
      <c r="M45" s="139">
        <v>43849</v>
      </c>
      <c r="N45" s="189">
        <v>61</v>
      </c>
      <c r="O45" s="140">
        <v>0</v>
      </c>
      <c r="Q45" s="35"/>
    </row>
    <row r="46" spans="1:17" s="165" customFormat="1" ht="15" customHeight="1">
      <c r="A46" s="14"/>
      <c r="B46" s="38"/>
      <c r="C46" s="30" t="s">
        <v>39</v>
      </c>
      <c r="D46" s="138" t="s">
        <v>344</v>
      </c>
      <c r="E46" s="185" t="s">
        <v>978</v>
      </c>
      <c r="F46" s="139" t="s">
        <v>8</v>
      </c>
      <c r="G46" s="139">
        <v>24786</v>
      </c>
      <c r="H46" s="138" t="s">
        <v>199</v>
      </c>
      <c r="I46" s="139" t="s">
        <v>21</v>
      </c>
      <c r="J46" s="139">
        <v>43481</v>
      </c>
      <c r="K46" s="184">
        <v>52</v>
      </c>
      <c r="L46" s="139">
        <v>43511</v>
      </c>
      <c r="M46" s="139">
        <v>43511</v>
      </c>
      <c r="N46" s="189">
        <v>30</v>
      </c>
      <c r="O46" s="140">
        <v>1227.3300000000002</v>
      </c>
      <c r="Q46" s="35"/>
    </row>
    <row r="47" spans="1:17" s="165" customFormat="1" ht="15" customHeight="1">
      <c r="A47" s="14"/>
      <c r="B47" s="38"/>
      <c r="C47" s="30" t="s">
        <v>39</v>
      </c>
      <c r="D47" s="138" t="s">
        <v>345</v>
      </c>
      <c r="E47" s="185" t="s">
        <v>979</v>
      </c>
      <c r="F47" s="139" t="s">
        <v>8</v>
      </c>
      <c r="G47" s="139">
        <v>24801</v>
      </c>
      <c r="H47" s="138" t="s">
        <v>199</v>
      </c>
      <c r="I47" s="139" t="s">
        <v>21</v>
      </c>
      <c r="J47" s="139">
        <v>43623</v>
      </c>
      <c r="K47" s="184">
        <v>52</v>
      </c>
      <c r="L47" s="139"/>
      <c r="M47" s="139">
        <v>43745</v>
      </c>
      <c r="N47" s="189">
        <v>122</v>
      </c>
      <c r="O47" s="140">
        <v>0</v>
      </c>
      <c r="Q47" s="35"/>
    </row>
    <row r="48" spans="1:17" s="165" customFormat="1" ht="15" customHeight="1">
      <c r="A48" s="14"/>
      <c r="B48" s="38"/>
      <c r="C48" s="30" t="s">
        <v>39</v>
      </c>
      <c r="D48" s="138" t="s">
        <v>180</v>
      </c>
      <c r="E48" s="185" t="s">
        <v>980</v>
      </c>
      <c r="F48" s="139" t="s">
        <v>8</v>
      </c>
      <c r="G48" s="139">
        <v>24863</v>
      </c>
      <c r="H48" s="138" t="s">
        <v>199</v>
      </c>
      <c r="I48" s="139" t="s">
        <v>21</v>
      </c>
      <c r="J48" s="139">
        <v>43612</v>
      </c>
      <c r="K48" s="184">
        <v>51</v>
      </c>
      <c r="L48" s="139">
        <v>43799</v>
      </c>
      <c r="M48" s="139"/>
      <c r="N48" s="189">
        <v>0</v>
      </c>
      <c r="O48" s="140">
        <v>5043.3599999999997</v>
      </c>
      <c r="Q48" s="35"/>
    </row>
    <row r="49" spans="1:17" s="165" customFormat="1" ht="15" customHeight="1">
      <c r="A49" s="14"/>
      <c r="B49" s="38"/>
      <c r="C49" s="30" t="s">
        <v>39</v>
      </c>
      <c r="D49" s="138" t="s">
        <v>346</v>
      </c>
      <c r="E49" s="185" t="s">
        <v>981</v>
      </c>
      <c r="F49" s="139" t="s">
        <v>8</v>
      </c>
      <c r="G49" s="139">
        <v>24854</v>
      </c>
      <c r="H49" s="138" t="s">
        <v>199</v>
      </c>
      <c r="I49" s="139" t="s">
        <v>21</v>
      </c>
      <c r="J49" s="139">
        <v>43752</v>
      </c>
      <c r="K49" s="184">
        <v>51</v>
      </c>
      <c r="L49" s="139"/>
      <c r="M49" s="139">
        <v>44255</v>
      </c>
      <c r="N49" s="189">
        <v>503</v>
      </c>
      <c r="O49" s="140">
        <v>0</v>
      </c>
      <c r="Q49" s="35"/>
    </row>
    <row r="50" spans="1:17" s="165" customFormat="1" ht="15" customHeight="1">
      <c r="A50" s="14"/>
      <c r="B50" s="38"/>
      <c r="C50" s="30" t="s">
        <v>39</v>
      </c>
      <c r="D50" s="138" t="s">
        <v>347</v>
      </c>
      <c r="E50" s="185" t="s">
        <v>982</v>
      </c>
      <c r="F50" s="139" t="s">
        <v>8</v>
      </c>
      <c r="G50" s="139">
        <v>24898</v>
      </c>
      <c r="H50" s="138" t="s">
        <v>199</v>
      </c>
      <c r="I50" s="139" t="s">
        <v>21</v>
      </c>
      <c r="J50" s="139">
        <v>43583</v>
      </c>
      <c r="K50" s="184">
        <v>51</v>
      </c>
      <c r="L50" s="139">
        <v>43695</v>
      </c>
      <c r="M50" s="139">
        <v>43695</v>
      </c>
      <c r="N50" s="189">
        <v>112</v>
      </c>
      <c r="O50" s="140">
        <v>1167.81</v>
      </c>
      <c r="Q50" s="35"/>
    </row>
    <row r="51" spans="1:17" s="165" customFormat="1" ht="15" customHeight="1">
      <c r="A51" s="14"/>
      <c r="B51" s="38"/>
      <c r="C51" s="30" t="s">
        <v>39</v>
      </c>
      <c r="D51" s="138" t="s">
        <v>348</v>
      </c>
      <c r="E51" s="185" t="s">
        <v>983</v>
      </c>
      <c r="F51" s="139" t="s">
        <v>8</v>
      </c>
      <c r="G51" s="139">
        <v>25092</v>
      </c>
      <c r="H51" s="138" t="s">
        <v>199</v>
      </c>
      <c r="I51" s="139" t="s">
        <v>21</v>
      </c>
      <c r="J51" s="139">
        <v>43810</v>
      </c>
      <c r="K51" s="184">
        <v>51</v>
      </c>
      <c r="L51" s="139">
        <v>43621</v>
      </c>
      <c r="M51" s="139"/>
      <c r="N51" s="189">
        <v>0</v>
      </c>
      <c r="O51" s="140">
        <v>5518.26</v>
      </c>
      <c r="Q51" s="35"/>
    </row>
    <row r="52" spans="1:17" s="165" customFormat="1" ht="15" customHeight="1">
      <c r="A52" s="14"/>
      <c r="B52" s="38"/>
      <c r="C52" s="30" t="s">
        <v>39</v>
      </c>
      <c r="D52" s="138" t="s">
        <v>164</v>
      </c>
      <c r="E52" s="185" t="s">
        <v>984</v>
      </c>
      <c r="F52" s="139" t="s">
        <v>8</v>
      </c>
      <c r="G52" s="139">
        <v>25069</v>
      </c>
      <c r="H52" s="138" t="s">
        <v>200</v>
      </c>
      <c r="I52" s="139" t="s">
        <v>21</v>
      </c>
      <c r="J52" s="139">
        <v>43657</v>
      </c>
      <c r="K52" s="184">
        <v>51</v>
      </c>
      <c r="L52" s="139">
        <v>43781</v>
      </c>
      <c r="M52" s="139">
        <v>43795</v>
      </c>
      <c r="N52" s="189">
        <v>138</v>
      </c>
      <c r="O52" s="140">
        <v>3225.25</v>
      </c>
      <c r="Q52" s="35"/>
    </row>
    <row r="53" spans="1:17" s="165" customFormat="1" ht="15" customHeight="1">
      <c r="A53" s="14"/>
      <c r="B53" s="38"/>
      <c r="C53" s="30" t="s">
        <v>39</v>
      </c>
      <c r="D53" s="138" t="s">
        <v>349</v>
      </c>
      <c r="E53" s="185" t="s">
        <v>985</v>
      </c>
      <c r="F53" s="139" t="s">
        <v>8</v>
      </c>
      <c r="G53" s="139">
        <v>25065</v>
      </c>
      <c r="H53" s="138" t="s">
        <v>199</v>
      </c>
      <c r="I53" s="139" t="s">
        <v>21</v>
      </c>
      <c r="J53" s="139">
        <v>43797</v>
      </c>
      <c r="K53" s="184">
        <v>51</v>
      </c>
      <c r="L53" s="139"/>
      <c r="M53" s="139">
        <v>43845</v>
      </c>
      <c r="N53" s="189">
        <v>48</v>
      </c>
      <c r="O53" s="140">
        <v>0</v>
      </c>
      <c r="Q53" s="35"/>
    </row>
    <row r="54" spans="1:17" s="165" customFormat="1" ht="15" customHeight="1">
      <c r="A54" s="14"/>
      <c r="B54" s="38"/>
      <c r="C54" s="30" t="s">
        <v>39</v>
      </c>
      <c r="D54" s="138" t="s">
        <v>350</v>
      </c>
      <c r="E54" s="185" t="s">
        <v>986</v>
      </c>
      <c r="F54" s="139" t="s">
        <v>8</v>
      </c>
      <c r="G54" s="139">
        <v>25105</v>
      </c>
      <c r="H54" s="138" t="s">
        <v>200</v>
      </c>
      <c r="I54" s="139" t="s">
        <v>21</v>
      </c>
      <c r="J54" s="139">
        <v>43723</v>
      </c>
      <c r="K54" s="184">
        <v>51</v>
      </c>
      <c r="L54" s="139">
        <v>43777</v>
      </c>
      <c r="M54" s="139">
        <v>43777</v>
      </c>
      <c r="N54" s="189">
        <v>54</v>
      </c>
      <c r="O54" s="140">
        <v>1353.75</v>
      </c>
      <c r="Q54" s="35"/>
    </row>
    <row r="55" spans="1:17" s="165" customFormat="1" ht="15" customHeight="1">
      <c r="A55" s="14"/>
      <c r="B55" s="38"/>
      <c r="C55" s="30" t="s">
        <v>39</v>
      </c>
      <c r="D55" s="138" t="s">
        <v>351</v>
      </c>
      <c r="E55" s="185" t="s">
        <v>987</v>
      </c>
      <c r="F55" s="139" t="s">
        <v>8</v>
      </c>
      <c r="G55" s="139">
        <v>25100</v>
      </c>
      <c r="H55" s="138" t="s">
        <v>199</v>
      </c>
      <c r="I55" s="139" t="s">
        <v>21</v>
      </c>
      <c r="J55" s="139">
        <v>43818</v>
      </c>
      <c r="K55" s="184">
        <v>51</v>
      </c>
      <c r="L55" s="139"/>
      <c r="M55" s="139">
        <v>43864</v>
      </c>
      <c r="N55" s="189">
        <v>46</v>
      </c>
      <c r="O55" s="140">
        <v>0</v>
      </c>
      <c r="Q55" s="35"/>
    </row>
    <row r="56" spans="1:17" s="165" customFormat="1" ht="15" customHeight="1">
      <c r="A56" s="14"/>
      <c r="B56" s="38"/>
      <c r="C56" s="30" t="s">
        <v>39</v>
      </c>
      <c r="D56" s="138" t="s">
        <v>352</v>
      </c>
      <c r="E56" s="185" t="s">
        <v>988</v>
      </c>
      <c r="F56" s="139" t="s">
        <v>8</v>
      </c>
      <c r="G56" s="139">
        <v>26107</v>
      </c>
      <c r="H56" s="138" t="s">
        <v>199</v>
      </c>
      <c r="I56" s="139" t="s">
        <v>21</v>
      </c>
      <c r="J56" s="139">
        <v>43715</v>
      </c>
      <c r="K56" s="184">
        <v>48</v>
      </c>
      <c r="L56" s="139"/>
      <c r="M56" s="139">
        <v>43861</v>
      </c>
      <c r="N56" s="189">
        <v>146</v>
      </c>
      <c r="O56" s="140">
        <v>0</v>
      </c>
      <c r="Q56" s="35"/>
    </row>
    <row r="57" spans="1:17" s="165" customFormat="1" ht="15" customHeight="1">
      <c r="A57" s="14"/>
      <c r="B57" s="38"/>
      <c r="C57" s="30" t="s">
        <v>39</v>
      </c>
      <c r="D57" s="138" t="s">
        <v>353</v>
      </c>
      <c r="E57" s="185" t="s">
        <v>989</v>
      </c>
      <c r="F57" s="139" t="s">
        <v>8</v>
      </c>
      <c r="G57" s="139">
        <v>26128</v>
      </c>
      <c r="H57" s="138" t="s">
        <v>199</v>
      </c>
      <c r="I57" s="139" t="s">
        <v>21</v>
      </c>
      <c r="J57" s="139">
        <v>43753</v>
      </c>
      <c r="K57" s="184">
        <v>48</v>
      </c>
      <c r="L57" s="139"/>
      <c r="M57" s="139">
        <v>43788</v>
      </c>
      <c r="N57" s="189">
        <v>35</v>
      </c>
      <c r="O57" s="140">
        <v>0</v>
      </c>
      <c r="Q57" s="35"/>
    </row>
    <row r="58" spans="1:17" s="165" customFormat="1" ht="15" customHeight="1">
      <c r="A58" s="14"/>
      <c r="B58" s="38"/>
      <c r="C58" s="30" t="s">
        <v>39</v>
      </c>
      <c r="D58" s="138" t="s">
        <v>353</v>
      </c>
      <c r="E58" s="185" t="s">
        <v>989</v>
      </c>
      <c r="F58" s="139" t="s">
        <v>8</v>
      </c>
      <c r="G58" s="139">
        <v>26128</v>
      </c>
      <c r="H58" s="138" t="s">
        <v>199</v>
      </c>
      <c r="I58" s="139" t="s">
        <v>21</v>
      </c>
      <c r="J58" s="139">
        <v>43825</v>
      </c>
      <c r="K58" s="184">
        <v>48</v>
      </c>
      <c r="L58" s="139"/>
      <c r="M58" s="139">
        <v>44043</v>
      </c>
      <c r="N58" s="189">
        <v>218</v>
      </c>
      <c r="O58" s="140">
        <v>0</v>
      </c>
      <c r="Q58" s="35"/>
    </row>
    <row r="59" spans="1:17" s="165" customFormat="1" ht="15" customHeight="1">
      <c r="A59" s="14"/>
      <c r="B59" s="38"/>
      <c r="C59" s="30" t="s">
        <v>39</v>
      </c>
      <c r="D59" s="138" t="s">
        <v>354</v>
      </c>
      <c r="E59" s="185" t="s">
        <v>990</v>
      </c>
      <c r="F59" s="139" t="s">
        <v>8</v>
      </c>
      <c r="G59" s="139">
        <v>26157</v>
      </c>
      <c r="H59" s="138" t="s">
        <v>199</v>
      </c>
      <c r="I59" s="139" t="s">
        <v>21</v>
      </c>
      <c r="J59" s="139">
        <v>43802</v>
      </c>
      <c r="K59" s="184">
        <v>48</v>
      </c>
      <c r="L59" s="139"/>
      <c r="M59" s="139">
        <v>43896</v>
      </c>
      <c r="N59" s="189">
        <v>94</v>
      </c>
      <c r="O59" s="140">
        <v>0</v>
      </c>
      <c r="Q59" s="35"/>
    </row>
    <row r="60" spans="1:17" s="165" customFormat="1" ht="15" customHeight="1">
      <c r="A60" s="14"/>
      <c r="B60" s="38"/>
      <c r="C60" s="30" t="s">
        <v>39</v>
      </c>
      <c r="D60" s="138" t="s">
        <v>174</v>
      </c>
      <c r="E60" s="185" t="s">
        <v>991</v>
      </c>
      <c r="F60" s="139" t="s">
        <v>8</v>
      </c>
      <c r="G60" s="139">
        <v>25320</v>
      </c>
      <c r="H60" s="138" t="s">
        <v>199</v>
      </c>
      <c r="I60" s="139" t="s">
        <v>21</v>
      </c>
      <c r="J60" s="139">
        <v>43728</v>
      </c>
      <c r="K60" s="184">
        <v>50</v>
      </c>
      <c r="L60" s="139">
        <v>43797</v>
      </c>
      <c r="M60" s="139">
        <v>44008</v>
      </c>
      <c r="N60" s="189">
        <v>280</v>
      </c>
      <c r="O60" s="140">
        <v>1246</v>
      </c>
      <c r="Q60" s="35"/>
    </row>
    <row r="61" spans="1:17" s="165" customFormat="1" ht="15" customHeight="1">
      <c r="A61" s="14"/>
      <c r="B61" s="38"/>
      <c r="C61" s="30" t="s">
        <v>39</v>
      </c>
      <c r="D61" s="138" t="s">
        <v>355</v>
      </c>
      <c r="E61" s="185" t="s">
        <v>992</v>
      </c>
      <c r="F61" s="139" t="s">
        <v>8</v>
      </c>
      <c r="G61" s="139">
        <v>25304</v>
      </c>
      <c r="H61" s="138" t="s">
        <v>199</v>
      </c>
      <c r="I61" s="139" t="s">
        <v>21</v>
      </c>
      <c r="J61" s="139">
        <v>43780</v>
      </c>
      <c r="K61" s="184">
        <v>50</v>
      </c>
      <c r="L61" s="139"/>
      <c r="M61" s="139">
        <v>43997</v>
      </c>
      <c r="N61" s="189">
        <v>217</v>
      </c>
      <c r="O61" s="140">
        <v>0</v>
      </c>
      <c r="Q61" s="35"/>
    </row>
    <row r="62" spans="1:17" s="165" customFormat="1" ht="15" customHeight="1">
      <c r="A62" s="14"/>
      <c r="B62" s="38"/>
      <c r="C62" s="30" t="s">
        <v>39</v>
      </c>
      <c r="D62" s="138" t="s">
        <v>356</v>
      </c>
      <c r="E62" s="185" t="s">
        <v>993</v>
      </c>
      <c r="F62" s="139" t="s">
        <v>8</v>
      </c>
      <c r="G62" s="139">
        <v>25331</v>
      </c>
      <c r="H62" s="138" t="s">
        <v>199</v>
      </c>
      <c r="I62" s="139" t="s">
        <v>21</v>
      </c>
      <c r="J62" s="139">
        <v>43703</v>
      </c>
      <c r="K62" s="184">
        <v>50</v>
      </c>
      <c r="L62" s="139"/>
      <c r="M62" s="139">
        <v>44104</v>
      </c>
      <c r="N62" s="189">
        <v>401</v>
      </c>
      <c r="O62" s="140">
        <v>0</v>
      </c>
      <c r="Q62" s="35"/>
    </row>
    <row r="63" spans="1:17" s="165" customFormat="1" ht="15" customHeight="1">
      <c r="A63" s="14"/>
      <c r="B63" s="38"/>
      <c r="C63" s="30" t="s">
        <v>39</v>
      </c>
      <c r="D63" s="138" t="s">
        <v>357</v>
      </c>
      <c r="E63" s="185" t="s">
        <v>994</v>
      </c>
      <c r="F63" s="139" t="s">
        <v>8</v>
      </c>
      <c r="G63" s="139">
        <v>25385</v>
      </c>
      <c r="H63" s="138" t="s">
        <v>199</v>
      </c>
      <c r="I63" s="139" t="s">
        <v>21</v>
      </c>
      <c r="J63" s="139">
        <v>43804</v>
      </c>
      <c r="K63" s="184">
        <v>50</v>
      </c>
      <c r="L63" s="139"/>
      <c r="M63" s="139">
        <v>44013</v>
      </c>
      <c r="N63" s="189">
        <v>209</v>
      </c>
      <c r="O63" s="140">
        <v>0</v>
      </c>
      <c r="Q63" s="35"/>
    </row>
    <row r="64" spans="1:17" s="165" customFormat="1" ht="15" customHeight="1">
      <c r="A64" s="14"/>
      <c r="B64" s="38"/>
      <c r="C64" s="30" t="s">
        <v>39</v>
      </c>
      <c r="D64" s="138" t="s">
        <v>358</v>
      </c>
      <c r="E64" s="185" t="s">
        <v>995</v>
      </c>
      <c r="F64" s="139" t="s">
        <v>8</v>
      </c>
      <c r="G64" s="139">
        <v>25441</v>
      </c>
      <c r="H64" s="138" t="s">
        <v>199</v>
      </c>
      <c r="I64" s="139" t="s">
        <v>21</v>
      </c>
      <c r="J64" s="139">
        <v>43717</v>
      </c>
      <c r="K64" s="184">
        <v>50</v>
      </c>
      <c r="L64" s="139">
        <v>43783</v>
      </c>
      <c r="M64" s="139"/>
      <c r="N64" s="189">
        <v>0</v>
      </c>
      <c r="O64" s="140">
        <v>1455.21</v>
      </c>
      <c r="Q64" s="35"/>
    </row>
    <row r="65" spans="1:17" s="165" customFormat="1" ht="15" customHeight="1">
      <c r="A65" s="14"/>
      <c r="B65" s="38"/>
      <c r="C65" s="30" t="s">
        <v>39</v>
      </c>
      <c r="D65" s="138" t="s">
        <v>359</v>
      </c>
      <c r="E65" s="185" t="s">
        <v>996</v>
      </c>
      <c r="F65" s="139" t="s">
        <v>8</v>
      </c>
      <c r="G65" s="139">
        <v>25486</v>
      </c>
      <c r="H65" s="138" t="s">
        <v>199</v>
      </c>
      <c r="I65" s="139" t="s">
        <v>21</v>
      </c>
      <c r="J65" s="139">
        <v>43727</v>
      </c>
      <c r="K65" s="184">
        <v>50</v>
      </c>
      <c r="L65" s="139"/>
      <c r="M65" s="139"/>
      <c r="N65" s="189">
        <v>0</v>
      </c>
      <c r="O65" s="140">
        <v>0</v>
      </c>
      <c r="Q65" s="35"/>
    </row>
    <row r="66" spans="1:17" s="165" customFormat="1" ht="15" customHeight="1">
      <c r="A66" s="14"/>
      <c r="B66" s="38"/>
      <c r="C66" s="30" t="s">
        <v>39</v>
      </c>
      <c r="D66" s="138" t="s">
        <v>360</v>
      </c>
      <c r="E66" s="185" t="s">
        <v>997</v>
      </c>
      <c r="F66" s="139" t="s">
        <v>8</v>
      </c>
      <c r="G66" s="139">
        <v>25494</v>
      </c>
      <c r="H66" s="138" t="s">
        <v>199</v>
      </c>
      <c r="I66" s="139" t="s">
        <v>21</v>
      </c>
      <c r="J66" s="139">
        <v>43684</v>
      </c>
      <c r="K66" s="184">
        <v>50</v>
      </c>
      <c r="L66" s="139">
        <v>43723</v>
      </c>
      <c r="M66" s="139">
        <v>43723</v>
      </c>
      <c r="N66" s="189">
        <v>39</v>
      </c>
      <c r="O66" s="140">
        <v>762.09999999999991</v>
      </c>
      <c r="Q66" s="35"/>
    </row>
    <row r="67" spans="1:17" s="165" customFormat="1" ht="15" customHeight="1">
      <c r="A67" s="14"/>
      <c r="B67" s="38"/>
      <c r="C67" s="30" t="s">
        <v>39</v>
      </c>
      <c r="D67" s="138" t="s">
        <v>361</v>
      </c>
      <c r="E67" s="185" t="s">
        <v>998</v>
      </c>
      <c r="F67" s="139" t="s">
        <v>8</v>
      </c>
      <c r="G67" s="139">
        <v>25488</v>
      </c>
      <c r="H67" s="138" t="s">
        <v>199</v>
      </c>
      <c r="I67" s="139" t="s">
        <v>21</v>
      </c>
      <c r="J67" s="139">
        <v>43573</v>
      </c>
      <c r="K67" s="184">
        <v>50</v>
      </c>
      <c r="L67" s="139">
        <v>43681</v>
      </c>
      <c r="M67" s="139">
        <v>43681</v>
      </c>
      <c r="N67" s="189">
        <v>108</v>
      </c>
      <c r="O67" s="140">
        <v>2112.46</v>
      </c>
      <c r="Q67" s="35"/>
    </row>
    <row r="68" spans="1:17" s="165" customFormat="1" ht="15" customHeight="1">
      <c r="A68" s="14"/>
      <c r="B68" s="38"/>
      <c r="C68" s="30" t="s">
        <v>39</v>
      </c>
      <c r="D68" s="138" t="s">
        <v>362</v>
      </c>
      <c r="E68" s="185" t="s">
        <v>999</v>
      </c>
      <c r="F68" s="139" t="s">
        <v>8</v>
      </c>
      <c r="G68" s="139">
        <v>25498</v>
      </c>
      <c r="H68" s="138" t="s">
        <v>200</v>
      </c>
      <c r="I68" s="139" t="s">
        <v>21</v>
      </c>
      <c r="J68" s="139">
        <v>43500</v>
      </c>
      <c r="K68" s="184">
        <v>50</v>
      </c>
      <c r="L68" s="139">
        <v>43532</v>
      </c>
      <c r="M68" s="139">
        <v>43532</v>
      </c>
      <c r="N68" s="189">
        <v>32</v>
      </c>
      <c r="O68" s="140">
        <v>348.84</v>
      </c>
      <c r="Q68" s="35"/>
    </row>
    <row r="69" spans="1:17" s="165" customFormat="1" ht="15" customHeight="1">
      <c r="A69" s="14"/>
      <c r="B69" s="38"/>
      <c r="C69" s="30" t="s">
        <v>39</v>
      </c>
      <c r="D69" s="138" t="s">
        <v>362</v>
      </c>
      <c r="E69" s="185" t="s">
        <v>999</v>
      </c>
      <c r="F69" s="139" t="s">
        <v>8</v>
      </c>
      <c r="G69" s="139">
        <v>25498</v>
      </c>
      <c r="H69" s="138" t="s">
        <v>200</v>
      </c>
      <c r="I69" s="139" t="s">
        <v>21</v>
      </c>
      <c r="J69" s="139">
        <v>43736</v>
      </c>
      <c r="K69" s="184">
        <v>50</v>
      </c>
      <c r="L69" s="139">
        <v>43532</v>
      </c>
      <c r="M69" s="139">
        <v>43746</v>
      </c>
      <c r="N69" s="189">
        <v>10</v>
      </c>
      <c r="O69" s="140">
        <v>348.84</v>
      </c>
      <c r="Q69" s="35"/>
    </row>
    <row r="70" spans="1:17" s="165" customFormat="1" ht="15" customHeight="1">
      <c r="A70" s="14"/>
      <c r="B70" s="38"/>
      <c r="C70" s="30" t="s">
        <v>39</v>
      </c>
      <c r="D70" s="138" t="s">
        <v>362</v>
      </c>
      <c r="E70" s="185" t="s">
        <v>999</v>
      </c>
      <c r="F70" s="139" t="s">
        <v>8</v>
      </c>
      <c r="G70" s="139">
        <v>25498</v>
      </c>
      <c r="H70" s="138" t="s">
        <v>200</v>
      </c>
      <c r="I70" s="139" t="s">
        <v>21</v>
      </c>
      <c r="J70" s="139">
        <v>43773</v>
      </c>
      <c r="K70" s="184">
        <v>50</v>
      </c>
      <c r="L70" s="139">
        <v>43532</v>
      </c>
      <c r="M70" s="139">
        <v>43808</v>
      </c>
      <c r="N70" s="189">
        <v>35</v>
      </c>
      <c r="O70" s="140">
        <v>348.84</v>
      </c>
      <c r="Q70" s="35"/>
    </row>
    <row r="71" spans="1:17" s="165" customFormat="1" ht="15" customHeight="1">
      <c r="A71" s="14"/>
      <c r="B71" s="38"/>
      <c r="C71" s="30" t="s">
        <v>39</v>
      </c>
      <c r="D71" s="138" t="s">
        <v>363</v>
      </c>
      <c r="E71" s="185" t="s">
        <v>1000</v>
      </c>
      <c r="F71" s="139" t="s">
        <v>8</v>
      </c>
      <c r="G71" s="139">
        <v>25598</v>
      </c>
      <c r="H71" s="138" t="s">
        <v>200</v>
      </c>
      <c r="I71" s="139" t="s">
        <v>21</v>
      </c>
      <c r="J71" s="139">
        <v>43521</v>
      </c>
      <c r="K71" s="184">
        <v>49</v>
      </c>
      <c r="L71" s="139"/>
      <c r="M71" s="139">
        <v>43576</v>
      </c>
      <c r="N71" s="189">
        <v>55</v>
      </c>
      <c r="O71" s="140">
        <v>0</v>
      </c>
      <c r="Q71" s="35"/>
    </row>
    <row r="72" spans="1:17" s="165" customFormat="1" ht="15" customHeight="1">
      <c r="A72" s="14"/>
      <c r="B72" s="38"/>
      <c r="C72" s="30" t="s">
        <v>39</v>
      </c>
      <c r="D72" s="138" t="s">
        <v>364</v>
      </c>
      <c r="E72" s="185" t="s">
        <v>1001</v>
      </c>
      <c r="F72" s="139" t="s">
        <v>8</v>
      </c>
      <c r="G72" s="139">
        <v>25579</v>
      </c>
      <c r="H72" s="138" t="s">
        <v>199</v>
      </c>
      <c r="I72" s="139" t="s">
        <v>21</v>
      </c>
      <c r="J72" s="139">
        <v>43501</v>
      </c>
      <c r="K72" s="184">
        <v>49</v>
      </c>
      <c r="L72" s="139">
        <v>43570</v>
      </c>
      <c r="M72" s="139">
        <v>43570</v>
      </c>
      <c r="N72" s="189">
        <v>69</v>
      </c>
      <c r="O72" s="140">
        <v>934.4</v>
      </c>
      <c r="Q72" s="35"/>
    </row>
    <row r="73" spans="1:17" s="165" customFormat="1" ht="15" customHeight="1">
      <c r="A73" s="14"/>
      <c r="B73" s="38"/>
      <c r="C73" s="30" t="s">
        <v>39</v>
      </c>
      <c r="D73" s="138" t="s">
        <v>365</v>
      </c>
      <c r="E73" s="185" t="s">
        <v>1002</v>
      </c>
      <c r="F73" s="139" t="s">
        <v>8</v>
      </c>
      <c r="G73" s="139">
        <v>25659</v>
      </c>
      <c r="H73" s="138" t="s">
        <v>199</v>
      </c>
      <c r="I73" s="139" t="s">
        <v>21</v>
      </c>
      <c r="J73" s="139">
        <v>43794</v>
      </c>
      <c r="K73" s="184">
        <v>49</v>
      </c>
      <c r="L73" s="139"/>
      <c r="M73" s="139">
        <v>43838</v>
      </c>
      <c r="N73" s="189">
        <v>44</v>
      </c>
      <c r="O73" s="140">
        <v>0</v>
      </c>
      <c r="Q73" s="35"/>
    </row>
    <row r="74" spans="1:17" s="165" customFormat="1" ht="15" customHeight="1">
      <c r="A74" s="14"/>
      <c r="B74" s="38"/>
      <c r="C74" s="30" t="s">
        <v>39</v>
      </c>
      <c r="D74" s="138" t="s">
        <v>366</v>
      </c>
      <c r="E74" s="185" t="s">
        <v>1003</v>
      </c>
      <c r="F74" s="139" t="s">
        <v>8</v>
      </c>
      <c r="G74" s="139">
        <v>25783</v>
      </c>
      <c r="H74" s="138" t="s">
        <v>199</v>
      </c>
      <c r="I74" s="139" t="s">
        <v>21</v>
      </c>
      <c r="J74" s="139">
        <v>43705</v>
      </c>
      <c r="K74" s="184">
        <v>49</v>
      </c>
      <c r="L74" s="139"/>
      <c r="M74" s="139">
        <v>43888</v>
      </c>
      <c r="N74" s="189">
        <v>183</v>
      </c>
      <c r="O74" s="140">
        <v>0</v>
      </c>
      <c r="Q74" s="35"/>
    </row>
    <row r="75" spans="1:17" s="165" customFormat="1" ht="15" customHeight="1">
      <c r="A75" s="14"/>
      <c r="B75" s="38"/>
      <c r="C75" s="30" t="s">
        <v>39</v>
      </c>
      <c r="D75" s="138" t="s">
        <v>367</v>
      </c>
      <c r="E75" s="185" t="s">
        <v>1004</v>
      </c>
      <c r="F75" s="139" t="s">
        <v>8</v>
      </c>
      <c r="G75" s="139">
        <v>25782</v>
      </c>
      <c r="H75" s="138" t="s">
        <v>199</v>
      </c>
      <c r="I75" s="139" t="s">
        <v>21</v>
      </c>
      <c r="J75" s="139">
        <v>43788</v>
      </c>
      <c r="K75" s="184">
        <v>49</v>
      </c>
      <c r="L75" s="139"/>
      <c r="M75" s="139">
        <v>44095</v>
      </c>
      <c r="N75" s="189">
        <v>307</v>
      </c>
      <c r="O75" s="140">
        <v>0</v>
      </c>
      <c r="Q75" s="35"/>
    </row>
    <row r="76" spans="1:17" s="165" customFormat="1" ht="15" customHeight="1">
      <c r="A76" s="14"/>
      <c r="B76" s="38"/>
      <c r="C76" s="30" t="s">
        <v>39</v>
      </c>
      <c r="D76" s="138" t="s">
        <v>109</v>
      </c>
      <c r="E76" s="185" t="s">
        <v>1005</v>
      </c>
      <c r="F76" s="139" t="s">
        <v>8</v>
      </c>
      <c r="G76" s="139">
        <v>25897</v>
      </c>
      <c r="H76" s="138" t="s">
        <v>199</v>
      </c>
      <c r="I76" s="139" t="s">
        <v>21</v>
      </c>
      <c r="J76" s="139">
        <v>43586</v>
      </c>
      <c r="K76" s="184">
        <v>49</v>
      </c>
      <c r="L76" s="139">
        <v>43769</v>
      </c>
      <c r="M76" s="139">
        <v>43812</v>
      </c>
      <c r="N76" s="189">
        <v>226</v>
      </c>
      <c r="O76" s="140">
        <v>4137.9799999999996</v>
      </c>
      <c r="Q76" s="35"/>
    </row>
    <row r="77" spans="1:17" s="165" customFormat="1" ht="15" customHeight="1">
      <c r="A77" s="14"/>
      <c r="B77" s="38"/>
      <c r="C77" s="30" t="s">
        <v>39</v>
      </c>
      <c r="D77" s="138" t="s">
        <v>368</v>
      </c>
      <c r="E77" s="185" t="s">
        <v>1006</v>
      </c>
      <c r="F77" s="139" t="s">
        <v>8</v>
      </c>
      <c r="G77" s="139">
        <v>26075</v>
      </c>
      <c r="H77" s="138" t="s">
        <v>199</v>
      </c>
      <c r="I77" s="139" t="s">
        <v>21</v>
      </c>
      <c r="J77" s="139">
        <v>43746</v>
      </c>
      <c r="K77" s="184">
        <v>48</v>
      </c>
      <c r="L77" s="139"/>
      <c r="M77" s="139">
        <v>43881</v>
      </c>
      <c r="N77" s="189">
        <v>135</v>
      </c>
      <c r="O77" s="140">
        <v>0</v>
      </c>
      <c r="Q77" s="35"/>
    </row>
    <row r="78" spans="1:17" s="165" customFormat="1" ht="15" customHeight="1">
      <c r="A78" s="14"/>
      <c r="B78" s="38"/>
      <c r="C78" s="30" t="s">
        <v>39</v>
      </c>
      <c r="D78" s="138" t="s">
        <v>369</v>
      </c>
      <c r="E78" s="185" t="s">
        <v>1007</v>
      </c>
      <c r="F78" s="139" t="s">
        <v>8</v>
      </c>
      <c r="G78" s="139">
        <v>26281</v>
      </c>
      <c r="H78" s="138" t="s">
        <v>199</v>
      </c>
      <c r="I78" s="139" t="s">
        <v>21</v>
      </c>
      <c r="J78" s="139">
        <v>43550</v>
      </c>
      <c r="K78" s="184">
        <v>48</v>
      </c>
      <c r="L78" s="139"/>
      <c r="M78" s="139">
        <v>44088</v>
      </c>
      <c r="N78" s="189">
        <v>538</v>
      </c>
      <c r="O78" s="140">
        <v>0</v>
      </c>
      <c r="Q78" s="35"/>
    </row>
    <row r="79" spans="1:17" s="165" customFormat="1" ht="15" customHeight="1">
      <c r="A79" s="14"/>
      <c r="B79" s="38"/>
      <c r="C79" s="30" t="s">
        <v>39</v>
      </c>
      <c r="D79" s="138" t="s">
        <v>370</v>
      </c>
      <c r="E79" s="185" t="s">
        <v>1008</v>
      </c>
      <c r="F79" s="139" t="s">
        <v>8</v>
      </c>
      <c r="G79" s="139">
        <v>26268</v>
      </c>
      <c r="H79" s="138" t="s">
        <v>199</v>
      </c>
      <c r="I79" s="139" t="s">
        <v>21</v>
      </c>
      <c r="J79" s="139">
        <v>43617</v>
      </c>
      <c r="K79" s="184">
        <v>48</v>
      </c>
      <c r="L79" s="139">
        <v>43738</v>
      </c>
      <c r="M79" s="139">
        <v>43769</v>
      </c>
      <c r="N79" s="189">
        <v>152</v>
      </c>
      <c r="O79" s="140">
        <v>2450.88</v>
      </c>
      <c r="Q79" s="35"/>
    </row>
    <row r="80" spans="1:17" s="165" customFormat="1" ht="15" customHeight="1">
      <c r="A80" s="14"/>
      <c r="B80" s="38"/>
      <c r="C80" s="30" t="s">
        <v>39</v>
      </c>
      <c r="D80" s="138" t="s">
        <v>370</v>
      </c>
      <c r="E80" s="185" t="s">
        <v>1008</v>
      </c>
      <c r="F80" s="139" t="s">
        <v>8</v>
      </c>
      <c r="G80" s="139">
        <v>26268</v>
      </c>
      <c r="H80" s="138" t="s">
        <v>199</v>
      </c>
      <c r="I80" s="139" t="s">
        <v>21</v>
      </c>
      <c r="J80" s="139">
        <v>43774</v>
      </c>
      <c r="K80" s="184">
        <v>48</v>
      </c>
      <c r="L80" s="139">
        <v>43738</v>
      </c>
      <c r="M80" s="139">
        <v>43914</v>
      </c>
      <c r="N80" s="189">
        <v>140</v>
      </c>
      <c r="O80" s="140">
        <v>2450.88</v>
      </c>
      <c r="Q80" s="35"/>
    </row>
    <row r="81" spans="1:17" s="165" customFormat="1" ht="15" customHeight="1">
      <c r="A81" s="14"/>
      <c r="B81" s="38"/>
      <c r="C81" s="30" t="s">
        <v>39</v>
      </c>
      <c r="D81" s="138" t="s">
        <v>371</v>
      </c>
      <c r="E81" s="185" t="s">
        <v>1009</v>
      </c>
      <c r="F81" s="139" t="s">
        <v>8</v>
      </c>
      <c r="G81" s="139">
        <v>26498</v>
      </c>
      <c r="H81" s="138" t="s">
        <v>199</v>
      </c>
      <c r="I81" s="139" t="s">
        <v>21</v>
      </c>
      <c r="J81" s="139">
        <v>43532</v>
      </c>
      <c r="K81" s="184">
        <v>47</v>
      </c>
      <c r="L81" s="139">
        <v>43588</v>
      </c>
      <c r="M81" s="139">
        <v>43588</v>
      </c>
      <c r="N81" s="189">
        <v>56</v>
      </c>
      <c r="O81" s="140">
        <v>912.06</v>
      </c>
      <c r="Q81" s="35"/>
    </row>
    <row r="82" spans="1:17" s="165" customFormat="1" ht="15" customHeight="1">
      <c r="A82" s="14"/>
      <c r="B82" s="38"/>
      <c r="C82" s="30" t="s">
        <v>39</v>
      </c>
      <c r="D82" s="138" t="s">
        <v>176</v>
      </c>
      <c r="E82" s="185" t="s">
        <v>1010</v>
      </c>
      <c r="F82" s="139" t="s">
        <v>8</v>
      </c>
      <c r="G82" s="139">
        <v>23755</v>
      </c>
      <c r="H82" s="138" t="s">
        <v>199</v>
      </c>
      <c r="I82" s="139" t="s">
        <v>21</v>
      </c>
      <c r="J82" s="139">
        <v>43713</v>
      </c>
      <c r="K82" s="184">
        <v>54</v>
      </c>
      <c r="L82" s="139">
        <v>43793</v>
      </c>
      <c r="M82" s="139">
        <v>43778</v>
      </c>
      <c r="N82" s="189">
        <v>65</v>
      </c>
      <c r="O82" s="140">
        <v>500.78999999999996</v>
      </c>
      <c r="Q82" s="35"/>
    </row>
    <row r="83" spans="1:17" s="165" customFormat="1" ht="15" customHeight="1">
      <c r="A83" s="14"/>
      <c r="B83" s="38"/>
      <c r="C83" s="30" t="s">
        <v>39</v>
      </c>
      <c r="D83" s="138" t="s">
        <v>176</v>
      </c>
      <c r="E83" s="185" t="s">
        <v>1010</v>
      </c>
      <c r="F83" s="139" t="s">
        <v>8</v>
      </c>
      <c r="G83" s="139">
        <v>23755</v>
      </c>
      <c r="H83" s="138" t="s">
        <v>199</v>
      </c>
      <c r="I83" s="139" t="s">
        <v>21</v>
      </c>
      <c r="J83" s="139">
        <v>43713</v>
      </c>
      <c r="K83" s="184">
        <v>54</v>
      </c>
      <c r="L83" s="139">
        <v>43793</v>
      </c>
      <c r="M83" s="139">
        <v>43808</v>
      </c>
      <c r="N83" s="189">
        <v>95</v>
      </c>
      <c r="O83" s="140">
        <v>500.78999999999996</v>
      </c>
      <c r="Q83" s="35"/>
    </row>
    <row r="84" spans="1:17" s="165" customFormat="1" ht="15" customHeight="1">
      <c r="A84" s="14"/>
      <c r="B84" s="38"/>
      <c r="C84" s="30" t="s">
        <v>39</v>
      </c>
      <c r="D84" s="138" t="s">
        <v>176</v>
      </c>
      <c r="E84" s="185" t="s">
        <v>1010</v>
      </c>
      <c r="F84" s="139" t="s">
        <v>8</v>
      </c>
      <c r="G84" s="139">
        <v>23755</v>
      </c>
      <c r="H84" s="138" t="s">
        <v>199</v>
      </c>
      <c r="I84" s="139" t="s">
        <v>21</v>
      </c>
      <c r="J84" s="139">
        <v>43779</v>
      </c>
      <c r="K84" s="184">
        <v>54</v>
      </c>
      <c r="L84" s="139">
        <v>43793</v>
      </c>
      <c r="M84" s="139">
        <v>43793</v>
      </c>
      <c r="N84" s="189">
        <v>14</v>
      </c>
      <c r="O84" s="140">
        <v>500.78999999999996</v>
      </c>
      <c r="Q84" s="35"/>
    </row>
    <row r="85" spans="1:17" s="165" customFormat="1" ht="15" customHeight="1">
      <c r="A85" s="14"/>
      <c r="B85" s="38"/>
      <c r="C85" s="30" t="s">
        <v>39</v>
      </c>
      <c r="D85" s="138" t="s">
        <v>177</v>
      </c>
      <c r="E85" s="185" t="s">
        <v>1010</v>
      </c>
      <c r="F85" s="139" t="s">
        <v>8</v>
      </c>
      <c r="G85" s="139">
        <v>23755</v>
      </c>
      <c r="H85" s="138" t="s">
        <v>199</v>
      </c>
      <c r="I85" s="139" t="s">
        <v>21</v>
      </c>
      <c r="J85" s="139">
        <v>43713</v>
      </c>
      <c r="K85" s="184">
        <v>54</v>
      </c>
      <c r="L85" s="139">
        <v>43793</v>
      </c>
      <c r="M85" s="139">
        <v>43808</v>
      </c>
      <c r="N85" s="189">
        <v>95</v>
      </c>
      <c r="O85" s="140">
        <v>830.31999999999994</v>
      </c>
      <c r="Q85" s="35"/>
    </row>
    <row r="86" spans="1:17" s="165" customFormat="1" ht="15" customHeight="1">
      <c r="A86" s="14"/>
      <c r="B86" s="38"/>
      <c r="C86" s="30" t="s">
        <v>39</v>
      </c>
      <c r="D86" s="138" t="s">
        <v>177</v>
      </c>
      <c r="E86" s="185" t="s">
        <v>1010</v>
      </c>
      <c r="F86" s="139" t="s">
        <v>8</v>
      </c>
      <c r="G86" s="139">
        <v>23755</v>
      </c>
      <c r="H86" s="138" t="s">
        <v>199</v>
      </c>
      <c r="I86" s="139" t="s">
        <v>21</v>
      </c>
      <c r="J86" s="139">
        <v>43713</v>
      </c>
      <c r="K86" s="184">
        <v>54</v>
      </c>
      <c r="L86" s="139">
        <v>43793</v>
      </c>
      <c r="M86" s="139">
        <v>43793</v>
      </c>
      <c r="N86" s="189">
        <v>80</v>
      </c>
      <c r="O86" s="140">
        <v>830.31999999999994</v>
      </c>
      <c r="Q86" s="35"/>
    </row>
    <row r="87" spans="1:17" s="165" customFormat="1" ht="15" customHeight="1">
      <c r="A87" s="14"/>
      <c r="B87" s="38"/>
      <c r="C87" s="30" t="s">
        <v>39</v>
      </c>
      <c r="D87" s="138" t="s">
        <v>372</v>
      </c>
      <c r="E87" s="185" t="s">
        <v>1011</v>
      </c>
      <c r="F87" s="139" t="s">
        <v>8</v>
      </c>
      <c r="G87" s="139">
        <v>25377</v>
      </c>
      <c r="H87" s="138" t="s">
        <v>199</v>
      </c>
      <c r="I87" s="139" t="s">
        <v>21</v>
      </c>
      <c r="J87" s="139">
        <v>43782</v>
      </c>
      <c r="K87" s="184">
        <v>50</v>
      </c>
      <c r="L87" s="139"/>
      <c r="M87" s="139">
        <v>43836</v>
      </c>
      <c r="N87" s="189">
        <v>54</v>
      </c>
      <c r="O87" s="140">
        <v>0</v>
      </c>
      <c r="Q87" s="35"/>
    </row>
    <row r="88" spans="1:17" s="165" customFormat="1" ht="15" customHeight="1">
      <c r="A88" s="14"/>
      <c r="B88" s="38"/>
      <c r="C88" s="30" t="s">
        <v>39</v>
      </c>
      <c r="D88" s="138" t="s">
        <v>373</v>
      </c>
      <c r="E88" s="185" t="s">
        <v>1012</v>
      </c>
      <c r="F88" s="139" t="s">
        <v>8</v>
      </c>
      <c r="G88" s="139">
        <v>24821</v>
      </c>
      <c r="H88" s="138" t="s">
        <v>199</v>
      </c>
      <c r="I88" s="139" t="s">
        <v>21</v>
      </c>
      <c r="J88" s="139">
        <v>43619</v>
      </c>
      <c r="K88" s="184">
        <v>52</v>
      </c>
      <c r="L88" s="139">
        <v>43651</v>
      </c>
      <c r="M88" s="139">
        <v>43651</v>
      </c>
      <c r="N88" s="189">
        <v>32</v>
      </c>
      <c r="O88" s="140">
        <v>63.12</v>
      </c>
      <c r="Q88" s="35"/>
    </row>
    <row r="89" spans="1:17" s="165" customFormat="1" ht="15" customHeight="1">
      <c r="A89" s="14"/>
      <c r="B89" s="38"/>
      <c r="C89" s="30" t="s">
        <v>39</v>
      </c>
      <c r="D89" s="138" t="s">
        <v>374</v>
      </c>
      <c r="E89" s="185" t="s">
        <v>1012</v>
      </c>
      <c r="F89" s="139" t="s">
        <v>8</v>
      </c>
      <c r="G89" s="139">
        <v>24821</v>
      </c>
      <c r="H89" s="138" t="s">
        <v>199</v>
      </c>
      <c r="I89" s="139" t="s">
        <v>21</v>
      </c>
      <c r="J89" s="139">
        <v>43738</v>
      </c>
      <c r="K89" s="184">
        <v>52</v>
      </c>
      <c r="L89" s="139"/>
      <c r="M89" s="139"/>
      <c r="N89" s="189">
        <v>0</v>
      </c>
      <c r="O89" s="140">
        <v>0</v>
      </c>
      <c r="Q89" s="35"/>
    </row>
    <row r="90" spans="1:17" s="165" customFormat="1" ht="15" customHeight="1">
      <c r="A90" s="14"/>
      <c r="B90" s="38"/>
      <c r="C90" s="30" t="s">
        <v>39</v>
      </c>
      <c r="D90" s="138" t="s">
        <v>375</v>
      </c>
      <c r="E90" s="185" t="s">
        <v>1013</v>
      </c>
      <c r="F90" s="139" t="s">
        <v>8</v>
      </c>
      <c r="G90" s="139">
        <v>20635</v>
      </c>
      <c r="H90" s="138" t="s">
        <v>200</v>
      </c>
      <c r="I90" s="139" t="s">
        <v>21</v>
      </c>
      <c r="J90" s="139">
        <v>43753</v>
      </c>
      <c r="K90" s="184">
        <v>63</v>
      </c>
      <c r="L90" s="139"/>
      <c r="M90" s="139"/>
      <c r="N90" s="189">
        <v>0</v>
      </c>
      <c r="O90" s="140">
        <v>0</v>
      </c>
      <c r="Q90" s="35"/>
    </row>
    <row r="91" spans="1:17" s="165" customFormat="1" ht="15" customHeight="1">
      <c r="A91" s="14"/>
      <c r="B91" s="38"/>
      <c r="C91" s="30" t="s">
        <v>39</v>
      </c>
      <c r="D91" s="138" t="s">
        <v>376</v>
      </c>
      <c r="E91" s="185" t="s">
        <v>1014</v>
      </c>
      <c r="F91" s="139" t="s">
        <v>8</v>
      </c>
      <c r="G91" s="139">
        <v>25204</v>
      </c>
      <c r="H91" s="138" t="s">
        <v>199</v>
      </c>
      <c r="I91" s="139" t="s">
        <v>21</v>
      </c>
      <c r="J91" s="139">
        <v>43514</v>
      </c>
      <c r="K91" s="184">
        <v>50</v>
      </c>
      <c r="L91" s="139">
        <v>43714</v>
      </c>
      <c r="M91" s="139"/>
      <c r="N91" s="189">
        <v>0</v>
      </c>
      <c r="O91" s="140">
        <v>6304.77</v>
      </c>
      <c r="Q91" s="35"/>
    </row>
    <row r="92" spans="1:17" s="165" customFormat="1" ht="15" customHeight="1">
      <c r="A92" s="14"/>
      <c r="B92" s="38"/>
      <c r="C92" s="30" t="s">
        <v>39</v>
      </c>
      <c r="D92" s="138" t="s">
        <v>377</v>
      </c>
      <c r="E92" s="185" t="s">
        <v>1015</v>
      </c>
      <c r="F92" s="139" t="s">
        <v>8</v>
      </c>
      <c r="G92" s="139">
        <v>22361</v>
      </c>
      <c r="H92" s="138" t="s">
        <v>200</v>
      </c>
      <c r="I92" s="139" t="s">
        <v>21</v>
      </c>
      <c r="J92" s="139">
        <v>43509</v>
      </c>
      <c r="K92" s="184">
        <v>58</v>
      </c>
      <c r="L92" s="139">
        <v>43674</v>
      </c>
      <c r="M92" s="139">
        <v>43638</v>
      </c>
      <c r="N92" s="189">
        <v>129</v>
      </c>
      <c r="O92" s="140">
        <v>8055.880000000001</v>
      </c>
      <c r="Q92" s="35"/>
    </row>
    <row r="93" spans="1:17" s="165" customFormat="1" ht="15" customHeight="1">
      <c r="A93" s="14"/>
      <c r="B93" s="38"/>
      <c r="C93" s="30" t="s">
        <v>39</v>
      </c>
      <c r="D93" s="138" t="s">
        <v>377</v>
      </c>
      <c r="E93" s="185" t="s">
        <v>1015</v>
      </c>
      <c r="F93" s="139" t="s">
        <v>8</v>
      </c>
      <c r="G93" s="139">
        <v>22361</v>
      </c>
      <c r="H93" s="138" t="s">
        <v>200</v>
      </c>
      <c r="I93" s="139" t="s">
        <v>21</v>
      </c>
      <c r="J93" s="139">
        <v>43639</v>
      </c>
      <c r="K93" s="184">
        <v>58</v>
      </c>
      <c r="L93" s="139">
        <v>43674</v>
      </c>
      <c r="M93" s="139"/>
      <c r="N93" s="189">
        <v>0</v>
      </c>
      <c r="O93" s="140">
        <v>8055.880000000001</v>
      </c>
      <c r="Q93" s="35"/>
    </row>
    <row r="94" spans="1:17" s="165" customFormat="1" ht="15" customHeight="1">
      <c r="A94" s="14"/>
      <c r="B94" s="38"/>
      <c r="C94" s="30" t="s">
        <v>39</v>
      </c>
      <c r="D94" s="138" t="s">
        <v>378</v>
      </c>
      <c r="E94" s="185" t="s">
        <v>1016</v>
      </c>
      <c r="F94" s="139" t="s">
        <v>8</v>
      </c>
      <c r="G94" s="139">
        <v>26398</v>
      </c>
      <c r="H94" s="138" t="s">
        <v>199</v>
      </c>
      <c r="I94" s="139" t="s">
        <v>21</v>
      </c>
      <c r="J94" s="139">
        <v>43557</v>
      </c>
      <c r="K94" s="184">
        <v>47</v>
      </c>
      <c r="L94" s="139">
        <v>43712</v>
      </c>
      <c r="M94" s="139">
        <v>43712</v>
      </c>
      <c r="N94" s="189">
        <v>155</v>
      </c>
      <c r="O94" s="140">
        <v>2925.6000000000004</v>
      </c>
      <c r="Q94" s="35"/>
    </row>
    <row r="95" spans="1:17" s="165" customFormat="1" ht="15" customHeight="1">
      <c r="A95" s="14"/>
      <c r="B95" s="38"/>
      <c r="C95" s="30" t="s">
        <v>39</v>
      </c>
      <c r="D95" s="138" t="s">
        <v>167</v>
      </c>
      <c r="E95" s="185" t="s">
        <v>1017</v>
      </c>
      <c r="F95" s="139" t="s">
        <v>8</v>
      </c>
      <c r="G95" s="139">
        <v>22789</v>
      </c>
      <c r="H95" s="138" t="s">
        <v>199</v>
      </c>
      <c r="I95" s="139" t="s">
        <v>21</v>
      </c>
      <c r="J95" s="139">
        <v>43614</v>
      </c>
      <c r="K95" s="184">
        <v>57</v>
      </c>
      <c r="L95" s="139">
        <v>43797</v>
      </c>
      <c r="M95" s="139">
        <v>44029</v>
      </c>
      <c r="N95" s="189">
        <v>415</v>
      </c>
      <c r="O95" s="140">
        <v>2607.2200000000003</v>
      </c>
      <c r="Q95" s="35"/>
    </row>
    <row r="96" spans="1:17" s="165" customFormat="1" ht="15" customHeight="1">
      <c r="A96" s="14"/>
      <c r="B96" s="38"/>
      <c r="C96" s="30" t="s">
        <v>39</v>
      </c>
      <c r="D96" s="138" t="s">
        <v>135</v>
      </c>
      <c r="E96" s="185" t="s">
        <v>1018</v>
      </c>
      <c r="F96" s="139" t="s">
        <v>8</v>
      </c>
      <c r="G96" s="139">
        <v>22393</v>
      </c>
      <c r="H96" s="138" t="s">
        <v>199</v>
      </c>
      <c r="I96" s="139" t="s">
        <v>21</v>
      </c>
      <c r="J96" s="139">
        <v>43584</v>
      </c>
      <c r="K96" s="184">
        <v>58</v>
      </c>
      <c r="L96" s="139">
        <v>43782</v>
      </c>
      <c r="M96" s="139">
        <v>44074</v>
      </c>
      <c r="N96" s="189">
        <v>490</v>
      </c>
      <c r="O96" s="140">
        <v>3150.16</v>
      </c>
      <c r="Q96" s="35"/>
    </row>
    <row r="97" spans="1:17" s="165" customFormat="1" ht="15" customHeight="1">
      <c r="A97" s="14"/>
      <c r="B97" s="38"/>
      <c r="C97" s="30" t="s">
        <v>39</v>
      </c>
      <c r="D97" s="138" t="s">
        <v>379</v>
      </c>
      <c r="E97" s="185" t="s">
        <v>1019</v>
      </c>
      <c r="F97" s="139" t="s">
        <v>8</v>
      </c>
      <c r="G97" s="139">
        <v>26255</v>
      </c>
      <c r="H97" s="138" t="s">
        <v>199</v>
      </c>
      <c r="I97" s="139" t="s">
        <v>21</v>
      </c>
      <c r="J97" s="139">
        <v>43803</v>
      </c>
      <c r="K97" s="184">
        <v>48</v>
      </c>
      <c r="L97" s="139"/>
      <c r="M97" s="139"/>
      <c r="N97" s="189">
        <v>0</v>
      </c>
      <c r="O97" s="140">
        <v>0</v>
      </c>
      <c r="Q97" s="35"/>
    </row>
    <row r="98" spans="1:17" s="165" customFormat="1" ht="15" customHeight="1">
      <c r="A98" s="14"/>
      <c r="B98" s="38"/>
      <c r="C98" s="30" t="s">
        <v>39</v>
      </c>
      <c r="D98" s="138" t="s">
        <v>380</v>
      </c>
      <c r="E98" s="185" t="s">
        <v>1020</v>
      </c>
      <c r="F98" s="139" t="s">
        <v>8</v>
      </c>
      <c r="G98" s="139">
        <v>17626</v>
      </c>
      <c r="H98" s="138" t="s">
        <v>199</v>
      </c>
      <c r="I98" s="139" t="s">
        <v>21</v>
      </c>
      <c r="J98" s="139">
        <v>43755</v>
      </c>
      <c r="K98" s="184">
        <v>71</v>
      </c>
      <c r="L98" s="139"/>
      <c r="M98" s="139"/>
      <c r="N98" s="189">
        <v>0</v>
      </c>
      <c r="O98" s="140">
        <v>0</v>
      </c>
      <c r="Q98" s="35"/>
    </row>
    <row r="99" spans="1:17" s="165" customFormat="1" ht="15" customHeight="1">
      <c r="A99" s="14"/>
      <c r="B99" s="38"/>
      <c r="C99" s="30" t="s">
        <v>39</v>
      </c>
      <c r="D99" s="138" t="s">
        <v>381</v>
      </c>
      <c r="E99" s="185" t="s">
        <v>1021</v>
      </c>
      <c r="F99" s="139" t="s">
        <v>8</v>
      </c>
      <c r="G99" s="139">
        <v>29556</v>
      </c>
      <c r="H99" s="138" t="s">
        <v>199</v>
      </c>
      <c r="I99" s="139" t="s">
        <v>21</v>
      </c>
      <c r="J99" s="139">
        <v>43769</v>
      </c>
      <c r="K99" s="184">
        <v>39</v>
      </c>
      <c r="L99" s="139"/>
      <c r="M99" s="139">
        <v>43830</v>
      </c>
      <c r="N99" s="189">
        <v>61</v>
      </c>
      <c r="O99" s="140">
        <v>0</v>
      </c>
      <c r="Q99" s="35"/>
    </row>
    <row r="100" spans="1:17" s="165" customFormat="1" ht="15" customHeight="1">
      <c r="A100" s="14"/>
      <c r="B100" s="38"/>
      <c r="C100" s="30" t="s">
        <v>39</v>
      </c>
      <c r="D100" s="138" t="s">
        <v>382</v>
      </c>
      <c r="E100" s="185" t="s">
        <v>1022</v>
      </c>
      <c r="F100" s="139" t="s">
        <v>8</v>
      </c>
      <c r="G100" s="139">
        <v>19603</v>
      </c>
      <c r="H100" s="138" t="s">
        <v>199</v>
      </c>
      <c r="I100" s="139" t="s">
        <v>21</v>
      </c>
      <c r="J100" s="139">
        <v>43529</v>
      </c>
      <c r="K100" s="184">
        <v>66</v>
      </c>
      <c r="L100" s="139">
        <v>43569</v>
      </c>
      <c r="M100" s="139">
        <v>43569</v>
      </c>
      <c r="N100" s="189">
        <v>40</v>
      </c>
      <c r="O100" s="140">
        <v>241.01</v>
      </c>
      <c r="Q100" s="35"/>
    </row>
    <row r="101" spans="1:17" s="165" customFormat="1" ht="15" customHeight="1">
      <c r="A101" s="14"/>
      <c r="B101" s="38"/>
      <c r="C101" s="30" t="s">
        <v>39</v>
      </c>
      <c r="D101" s="138" t="s">
        <v>383</v>
      </c>
      <c r="E101" s="185" t="s">
        <v>1023</v>
      </c>
      <c r="F101" s="139" t="s">
        <v>8</v>
      </c>
      <c r="G101" s="139">
        <v>19815</v>
      </c>
      <c r="H101" s="138" t="s">
        <v>199</v>
      </c>
      <c r="I101" s="139" t="s">
        <v>21</v>
      </c>
      <c r="J101" s="139">
        <v>43592</v>
      </c>
      <c r="K101" s="184">
        <v>65</v>
      </c>
      <c r="L101" s="139"/>
      <c r="M101" s="139"/>
      <c r="N101" s="189">
        <v>0</v>
      </c>
      <c r="O101" s="140">
        <v>0</v>
      </c>
      <c r="Q101" s="35"/>
    </row>
    <row r="102" spans="1:17" s="165" customFormat="1" ht="15" customHeight="1">
      <c r="A102" s="14"/>
      <c r="B102" s="38"/>
      <c r="C102" s="30" t="s">
        <v>39</v>
      </c>
      <c r="D102" s="138" t="s">
        <v>384</v>
      </c>
      <c r="E102" s="185" t="s">
        <v>1024</v>
      </c>
      <c r="F102" s="139" t="s">
        <v>8</v>
      </c>
      <c r="G102" s="139">
        <v>19991</v>
      </c>
      <c r="H102" s="138" t="s">
        <v>199</v>
      </c>
      <c r="I102" s="139" t="s">
        <v>21</v>
      </c>
      <c r="J102" s="139">
        <v>43812</v>
      </c>
      <c r="K102" s="184">
        <v>65</v>
      </c>
      <c r="L102" s="139"/>
      <c r="M102" s="139">
        <v>43899</v>
      </c>
      <c r="N102" s="189">
        <v>87</v>
      </c>
      <c r="O102" s="140">
        <v>0</v>
      </c>
      <c r="Q102" s="35"/>
    </row>
    <row r="103" spans="1:17" s="165" customFormat="1" ht="15" customHeight="1">
      <c r="A103" s="14"/>
      <c r="B103" s="38"/>
      <c r="C103" s="30" t="s">
        <v>39</v>
      </c>
      <c r="D103" s="138" t="s">
        <v>123</v>
      </c>
      <c r="E103" s="185" t="s">
        <v>1025</v>
      </c>
      <c r="F103" s="139" t="s">
        <v>8</v>
      </c>
      <c r="G103" s="139">
        <v>19971</v>
      </c>
      <c r="H103" s="138" t="s">
        <v>199</v>
      </c>
      <c r="I103" s="139" t="s">
        <v>21</v>
      </c>
      <c r="J103" s="139">
        <v>43614</v>
      </c>
      <c r="K103" s="184">
        <v>65</v>
      </c>
      <c r="L103" s="139">
        <v>43799</v>
      </c>
      <c r="M103" s="139">
        <v>44043</v>
      </c>
      <c r="N103" s="189">
        <v>429</v>
      </c>
      <c r="O103" s="140">
        <v>2063.88</v>
      </c>
      <c r="Q103" s="35"/>
    </row>
    <row r="104" spans="1:17" s="165" customFormat="1" ht="15" customHeight="1">
      <c r="A104" s="14"/>
      <c r="B104" s="38"/>
      <c r="C104" s="30" t="s">
        <v>39</v>
      </c>
      <c r="D104" s="138" t="s">
        <v>149</v>
      </c>
      <c r="E104" s="185" t="s">
        <v>1026</v>
      </c>
      <c r="F104" s="139" t="s">
        <v>8</v>
      </c>
      <c r="G104" s="139">
        <v>19987</v>
      </c>
      <c r="H104" s="138" t="s">
        <v>200</v>
      </c>
      <c r="I104" s="139" t="s">
        <v>21</v>
      </c>
      <c r="J104" s="139">
        <v>43619</v>
      </c>
      <c r="K104" s="184">
        <v>65</v>
      </c>
      <c r="L104" s="139">
        <v>43776</v>
      </c>
      <c r="M104" s="139"/>
      <c r="N104" s="189">
        <v>0</v>
      </c>
      <c r="O104" s="140">
        <v>8490.24</v>
      </c>
      <c r="Q104" s="35"/>
    </row>
    <row r="105" spans="1:17" s="165" customFormat="1" ht="15" customHeight="1">
      <c r="A105" s="14"/>
      <c r="B105" s="38"/>
      <c r="C105" s="30" t="s">
        <v>39</v>
      </c>
      <c r="D105" s="138" t="s">
        <v>385</v>
      </c>
      <c r="E105" s="185" t="s">
        <v>1027</v>
      </c>
      <c r="F105" s="139" t="s">
        <v>8</v>
      </c>
      <c r="G105" s="139">
        <v>21263</v>
      </c>
      <c r="H105" s="138" t="s">
        <v>199</v>
      </c>
      <c r="I105" s="139" t="s">
        <v>21</v>
      </c>
      <c r="J105" s="139">
        <v>43681</v>
      </c>
      <c r="K105" s="184">
        <v>61</v>
      </c>
      <c r="L105" s="139"/>
      <c r="M105" s="139"/>
      <c r="N105" s="189">
        <v>0</v>
      </c>
      <c r="O105" s="140">
        <v>0</v>
      </c>
      <c r="Q105" s="35"/>
    </row>
    <row r="106" spans="1:17" s="165" customFormat="1" ht="15" customHeight="1">
      <c r="A106" s="14"/>
      <c r="B106" s="38"/>
      <c r="C106" s="30" t="s">
        <v>39</v>
      </c>
      <c r="D106" s="138" t="s">
        <v>131</v>
      </c>
      <c r="E106" s="185" t="s">
        <v>1028</v>
      </c>
      <c r="F106" s="139" t="s">
        <v>10</v>
      </c>
      <c r="G106" s="139">
        <v>21326</v>
      </c>
      <c r="H106" s="138" t="s">
        <v>199</v>
      </c>
      <c r="I106" s="139" t="s">
        <v>21</v>
      </c>
      <c r="J106" s="139">
        <v>43557</v>
      </c>
      <c r="K106" s="184">
        <v>61</v>
      </c>
      <c r="L106" s="139">
        <v>43805</v>
      </c>
      <c r="M106" s="139">
        <v>44012</v>
      </c>
      <c r="N106" s="189">
        <v>455</v>
      </c>
      <c r="O106" s="140">
        <v>4298.9700000000012</v>
      </c>
      <c r="Q106" s="35"/>
    </row>
    <row r="107" spans="1:17" s="165" customFormat="1" ht="15" customHeight="1">
      <c r="A107" s="14"/>
      <c r="B107" s="38"/>
      <c r="C107" s="30" t="s">
        <v>39</v>
      </c>
      <c r="D107" s="138" t="s">
        <v>386</v>
      </c>
      <c r="E107" s="185" t="s">
        <v>1029</v>
      </c>
      <c r="F107" s="139" t="s">
        <v>8</v>
      </c>
      <c r="G107" s="139">
        <v>21360</v>
      </c>
      <c r="H107" s="138" t="s">
        <v>199</v>
      </c>
      <c r="I107" s="139" t="s">
        <v>21</v>
      </c>
      <c r="J107" s="139">
        <v>43516</v>
      </c>
      <c r="K107" s="184">
        <v>61</v>
      </c>
      <c r="L107" s="139">
        <v>43579</v>
      </c>
      <c r="M107" s="139">
        <v>43579</v>
      </c>
      <c r="N107" s="189">
        <v>63</v>
      </c>
      <c r="O107" s="140">
        <v>32.299999999999997</v>
      </c>
      <c r="Q107" s="35"/>
    </row>
    <row r="108" spans="1:17" s="165" customFormat="1" ht="15" customHeight="1">
      <c r="A108" s="14"/>
      <c r="B108" s="38"/>
      <c r="C108" s="30" t="s">
        <v>39</v>
      </c>
      <c r="D108" s="138" t="s">
        <v>387</v>
      </c>
      <c r="E108" s="185" t="s">
        <v>1030</v>
      </c>
      <c r="F108" s="139" t="s">
        <v>8</v>
      </c>
      <c r="G108" s="139">
        <v>21369</v>
      </c>
      <c r="H108" s="138" t="s">
        <v>199</v>
      </c>
      <c r="I108" s="139" t="s">
        <v>21</v>
      </c>
      <c r="J108" s="139">
        <v>43673</v>
      </c>
      <c r="K108" s="184">
        <v>61</v>
      </c>
      <c r="L108" s="139"/>
      <c r="M108" s="139">
        <v>44043</v>
      </c>
      <c r="N108" s="189">
        <v>370</v>
      </c>
      <c r="O108" s="140">
        <v>0</v>
      </c>
      <c r="Q108" s="35"/>
    </row>
    <row r="109" spans="1:17" s="165" customFormat="1" ht="15" customHeight="1">
      <c r="A109" s="14"/>
      <c r="B109" s="38"/>
      <c r="C109" s="30" t="s">
        <v>39</v>
      </c>
      <c r="D109" s="138" t="s">
        <v>388</v>
      </c>
      <c r="E109" s="185" t="s">
        <v>1031</v>
      </c>
      <c r="F109" s="139" t="s">
        <v>8</v>
      </c>
      <c r="G109" s="139">
        <v>21381</v>
      </c>
      <c r="H109" s="138" t="s">
        <v>199</v>
      </c>
      <c r="I109" s="139" t="s">
        <v>21</v>
      </c>
      <c r="J109" s="139">
        <v>43787</v>
      </c>
      <c r="K109" s="184">
        <v>61</v>
      </c>
      <c r="L109" s="139"/>
      <c r="M109" s="139">
        <v>43983</v>
      </c>
      <c r="N109" s="189">
        <v>196</v>
      </c>
      <c r="O109" s="140">
        <v>0</v>
      </c>
      <c r="Q109" s="35"/>
    </row>
    <row r="110" spans="1:17" s="165" customFormat="1" ht="15" customHeight="1">
      <c r="A110" s="14"/>
      <c r="B110" s="38"/>
      <c r="C110" s="30" t="s">
        <v>39</v>
      </c>
      <c r="D110" s="138" t="s">
        <v>389</v>
      </c>
      <c r="E110" s="185" t="s">
        <v>1032</v>
      </c>
      <c r="F110" s="139" t="s">
        <v>8</v>
      </c>
      <c r="G110" s="139">
        <v>20568</v>
      </c>
      <c r="H110" s="138" t="s">
        <v>200</v>
      </c>
      <c r="I110" s="139" t="s">
        <v>21</v>
      </c>
      <c r="J110" s="139">
        <v>43517</v>
      </c>
      <c r="K110" s="184">
        <v>63</v>
      </c>
      <c r="L110" s="139">
        <v>43531</v>
      </c>
      <c r="M110" s="139">
        <v>43531</v>
      </c>
      <c r="N110" s="189">
        <v>14</v>
      </c>
      <c r="O110" s="140">
        <v>833.18000000000006</v>
      </c>
      <c r="Q110" s="35"/>
    </row>
    <row r="111" spans="1:17" s="165" customFormat="1" ht="15" customHeight="1">
      <c r="A111" s="14"/>
      <c r="B111" s="38"/>
      <c r="C111" s="30" t="s">
        <v>39</v>
      </c>
      <c r="D111" s="138" t="s">
        <v>390</v>
      </c>
      <c r="E111" s="185" t="s">
        <v>1033</v>
      </c>
      <c r="F111" s="139" t="s">
        <v>8</v>
      </c>
      <c r="G111" s="139">
        <v>20560</v>
      </c>
      <c r="H111" s="138" t="s">
        <v>200</v>
      </c>
      <c r="I111" s="139" t="s">
        <v>21</v>
      </c>
      <c r="J111" s="139">
        <v>43632</v>
      </c>
      <c r="K111" s="184">
        <v>63</v>
      </c>
      <c r="L111" s="139"/>
      <c r="M111" s="139">
        <v>43688</v>
      </c>
      <c r="N111" s="189">
        <v>56</v>
      </c>
      <c r="O111" s="140">
        <v>0</v>
      </c>
      <c r="Q111" s="35"/>
    </row>
    <row r="112" spans="1:17" s="165" customFormat="1" ht="15" customHeight="1">
      <c r="A112" s="14"/>
      <c r="B112" s="38"/>
      <c r="C112" s="30" t="s">
        <v>39</v>
      </c>
      <c r="D112" s="138" t="s">
        <v>390</v>
      </c>
      <c r="E112" s="185" t="s">
        <v>1033</v>
      </c>
      <c r="F112" s="139" t="s">
        <v>8</v>
      </c>
      <c r="G112" s="139">
        <v>20560</v>
      </c>
      <c r="H112" s="138" t="s">
        <v>200</v>
      </c>
      <c r="I112" s="139" t="s">
        <v>21</v>
      </c>
      <c r="J112" s="139">
        <v>43733</v>
      </c>
      <c r="K112" s="184">
        <v>63</v>
      </c>
      <c r="L112" s="139"/>
      <c r="M112" s="139">
        <v>43765</v>
      </c>
      <c r="N112" s="189">
        <v>32</v>
      </c>
      <c r="O112" s="140">
        <v>0</v>
      </c>
      <c r="Q112" s="35"/>
    </row>
    <row r="113" spans="1:17" s="165" customFormat="1" ht="15" customHeight="1">
      <c r="A113" s="14"/>
      <c r="B113" s="38"/>
      <c r="C113" s="30" t="s">
        <v>39</v>
      </c>
      <c r="D113" s="138" t="s">
        <v>391</v>
      </c>
      <c r="E113" s="185" t="s">
        <v>1034</v>
      </c>
      <c r="F113" s="139" t="s">
        <v>8</v>
      </c>
      <c r="G113" s="139">
        <v>20838</v>
      </c>
      <c r="H113" s="138" t="s">
        <v>200</v>
      </c>
      <c r="I113" s="139" t="s">
        <v>21</v>
      </c>
      <c r="J113" s="139">
        <v>43510</v>
      </c>
      <c r="K113" s="184">
        <v>62</v>
      </c>
      <c r="L113" s="139">
        <v>43646</v>
      </c>
      <c r="M113" s="139">
        <v>43646</v>
      </c>
      <c r="N113" s="189">
        <v>136</v>
      </c>
      <c r="O113" s="140">
        <v>2486.6799999999998</v>
      </c>
      <c r="Q113" s="35"/>
    </row>
    <row r="114" spans="1:17" s="165" customFormat="1" ht="15" customHeight="1">
      <c r="A114" s="14"/>
      <c r="B114" s="38"/>
      <c r="C114" s="30" t="s">
        <v>39</v>
      </c>
      <c r="D114" s="138" t="s">
        <v>392</v>
      </c>
      <c r="E114" s="185" t="s">
        <v>1035</v>
      </c>
      <c r="F114" s="139" t="s">
        <v>8</v>
      </c>
      <c r="G114" s="139">
        <v>20869</v>
      </c>
      <c r="H114" s="138" t="s">
        <v>199</v>
      </c>
      <c r="I114" s="139" t="s">
        <v>21</v>
      </c>
      <c r="J114" s="139">
        <v>43539</v>
      </c>
      <c r="K114" s="184">
        <v>62</v>
      </c>
      <c r="L114" s="139">
        <v>43590</v>
      </c>
      <c r="M114" s="139">
        <v>43590</v>
      </c>
      <c r="N114" s="189">
        <v>51</v>
      </c>
      <c r="O114" s="140">
        <v>1123.0999999999999</v>
      </c>
      <c r="Q114" s="35"/>
    </row>
    <row r="115" spans="1:17" s="165" customFormat="1" ht="15" customHeight="1">
      <c r="A115" s="14"/>
      <c r="B115" s="38"/>
      <c r="C115" s="30" t="s">
        <v>39</v>
      </c>
      <c r="D115" s="138" t="s">
        <v>393</v>
      </c>
      <c r="E115" s="185" t="s">
        <v>1036</v>
      </c>
      <c r="F115" s="139" t="s">
        <v>8</v>
      </c>
      <c r="G115" s="139">
        <v>20858</v>
      </c>
      <c r="H115" s="138" t="s">
        <v>200</v>
      </c>
      <c r="I115" s="139" t="s">
        <v>21</v>
      </c>
      <c r="J115" s="139">
        <v>43467</v>
      </c>
      <c r="K115" s="184">
        <v>62</v>
      </c>
      <c r="L115" s="139">
        <v>43802</v>
      </c>
      <c r="M115" s="139"/>
      <c r="N115" s="189">
        <v>0</v>
      </c>
      <c r="O115" s="140">
        <v>7627.2000000000007</v>
      </c>
      <c r="Q115" s="35"/>
    </row>
    <row r="116" spans="1:17" s="165" customFormat="1" ht="15" customHeight="1">
      <c r="A116" s="14"/>
      <c r="B116" s="38"/>
      <c r="C116" s="30" t="s">
        <v>39</v>
      </c>
      <c r="D116" s="138" t="s">
        <v>165</v>
      </c>
      <c r="E116" s="185" t="s">
        <v>1037</v>
      </c>
      <c r="F116" s="139" t="s">
        <v>8</v>
      </c>
      <c r="G116" s="139">
        <v>20979</v>
      </c>
      <c r="H116" s="138" t="s">
        <v>199</v>
      </c>
      <c r="I116" s="139" t="s">
        <v>21</v>
      </c>
      <c r="J116" s="139">
        <v>43656</v>
      </c>
      <c r="K116" s="184">
        <v>62</v>
      </c>
      <c r="L116" s="139">
        <v>43762</v>
      </c>
      <c r="M116" s="139">
        <v>43786</v>
      </c>
      <c r="N116" s="189">
        <v>130</v>
      </c>
      <c r="O116" s="140">
        <v>2061.29</v>
      </c>
      <c r="Q116" s="35"/>
    </row>
    <row r="117" spans="1:17" s="165" customFormat="1" ht="15" customHeight="1">
      <c r="A117" s="14"/>
      <c r="B117" s="38"/>
      <c r="C117" s="30" t="s">
        <v>39</v>
      </c>
      <c r="D117" s="138" t="s">
        <v>175</v>
      </c>
      <c r="E117" s="185" t="s">
        <v>1038</v>
      </c>
      <c r="F117" s="139" t="s">
        <v>8</v>
      </c>
      <c r="G117" s="139">
        <v>20975</v>
      </c>
      <c r="H117" s="138" t="s">
        <v>199</v>
      </c>
      <c r="I117" s="139" t="s">
        <v>21</v>
      </c>
      <c r="J117" s="139">
        <v>43655</v>
      </c>
      <c r="K117" s="184">
        <v>62</v>
      </c>
      <c r="L117" s="139">
        <v>43761</v>
      </c>
      <c r="M117" s="139"/>
      <c r="N117" s="189">
        <v>0</v>
      </c>
      <c r="O117" s="140">
        <v>1222.76</v>
      </c>
      <c r="Q117" s="35"/>
    </row>
    <row r="118" spans="1:17" s="165" customFormat="1" ht="15" customHeight="1">
      <c r="A118" s="14"/>
      <c r="B118" s="38"/>
      <c r="C118" s="30" t="s">
        <v>39</v>
      </c>
      <c r="D118" s="138" t="s">
        <v>394</v>
      </c>
      <c r="E118" s="185" t="s">
        <v>1039</v>
      </c>
      <c r="F118" s="139" t="s">
        <v>8</v>
      </c>
      <c r="G118" s="139">
        <v>21112</v>
      </c>
      <c r="H118" s="138" t="s">
        <v>199</v>
      </c>
      <c r="I118" s="139" t="s">
        <v>21</v>
      </c>
      <c r="J118" s="139">
        <v>43474</v>
      </c>
      <c r="K118" s="184">
        <v>62</v>
      </c>
      <c r="L118" s="139">
        <v>43565</v>
      </c>
      <c r="M118" s="139">
        <v>43565</v>
      </c>
      <c r="N118" s="189">
        <v>91</v>
      </c>
      <c r="O118" s="140">
        <v>4648.1399999999994</v>
      </c>
      <c r="Q118" s="35"/>
    </row>
    <row r="119" spans="1:17" s="165" customFormat="1" ht="15" customHeight="1">
      <c r="A119" s="14"/>
      <c r="B119" s="38"/>
      <c r="C119" s="30" t="s">
        <v>39</v>
      </c>
      <c r="D119" s="138" t="s">
        <v>395</v>
      </c>
      <c r="E119" s="185" t="s">
        <v>1040</v>
      </c>
      <c r="F119" s="139" t="s">
        <v>8</v>
      </c>
      <c r="G119" s="139">
        <v>21116</v>
      </c>
      <c r="H119" s="138" t="s">
        <v>199</v>
      </c>
      <c r="I119" s="139" t="s">
        <v>21</v>
      </c>
      <c r="J119" s="139">
        <v>43468</v>
      </c>
      <c r="K119" s="184">
        <v>62</v>
      </c>
      <c r="L119" s="139">
        <v>43596</v>
      </c>
      <c r="M119" s="139">
        <v>43596</v>
      </c>
      <c r="N119" s="189">
        <v>128</v>
      </c>
      <c r="O119" s="140">
        <v>7342.4800000000005</v>
      </c>
      <c r="Q119" s="35"/>
    </row>
    <row r="120" spans="1:17" s="165" customFormat="1" ht="15" customHeight="1">
      <c r="A120" s="14"/>
      <c r="B120" s="38"/>
      <c r="C120" s="30" t="s">
        <v>39</v>
      </c>
      <c r="D120" s="138" t="s">
        <v>396</v>
      </c>
      <c r="E120" s="185" t="s">
        <v>1041</v>
      </c>
      <c r="F120" s="139" t="s">
        <v>8</v>
      </c>
      <c r="G120" s="139">
        <v>21162</v>
      </c>
      <c r="H120" s="138" t="s">
        <v>199</v>
      </c>
      <c r="I120" s="139" t="s">
        <v>21</v>
      </c>
      <c r="J120" s="139">
        <v>43773</v>
      </c>
      <c r="K120" s="184">
        <v>62</v>
      </c>
      <c r="L120" s="139"/>
      <c r="M120" s="139">
        <v>44104</v>
      </c>
      <c r="N120" s="189">
        <v>331</v>
      </c>
      <c r="O120" s="140">
        <v>0</v>
      </c>
      <c r="Q120" s="35"/>
    </row>
    <row r="121" spans="1:17" s="165" customFormat="1" ht="15" customHeight="1">
      <c r="A121" s="14"/>
      <c r="B121" s="38"/>
      <c r="C121" s="30" t="s">
        <v>39</v>
      </c>
      <c r="D121" s="138" t="s">
        <v>397</v>
      </c>
      <c r="E121" s="185" t="s">
        <v>1042</v>
      </c>
      <c r="F121" s="139" t="s">
        <v>8</v>
      </c>
      <c r="G121" s="139">
        <v>21212</v>
      </c>
      <c r="H121" s="138" t="s">
        <v>199</v>
      </c>
      <c r="I121" s="139" t="s">
        <v>21</v>
      </c>
      <c r="J121" s="139">
        <v>43727</v>
      </c>
      <c r="K121" s="184">
        <v>61</v>
      </c>
      <c r="L121" s="139"/>
      <c r="M121" s="139">
        <v>43908</v>
      </c>
      <c r="N121" s="189">
        <v>181</v>
      </c>
      <c r="O121" s="140">
        <v>0</v>
      </c>
      <c r="Q121" s="35"/>
    </row>
    <row r="122" spans="1:17" s="165" customFormat="1" ht="15" customHeight="1">
      <c r="A122" s="14"/>
      <c r="B122" s="38"/>
      <c r="C122" s="30" t="s">
        <v>39</v>
      </c>
      <c r="D122" s="138" t="s">
        <v>398</v>
      </c>
      <c r="E122" s="185" t="s">
        <v>1043</v>
      </c>
      <c r="F122" s="139" t="s">
        <v>8</v>
      </c>
      <c r="G122" s="139">
        <v>22206</v>
      </c>
      <c r="H122" s="138" t="s">
        <v>199</v>
      </c>
      <c r="I122" s="139" t="s">
        <v>21</v>
      </c>
      <c r="J122" s="139">
        <v>43567</v>
      </c>
      <c r="K122" s="184">
        <v>59</v>
      </c>
      <c r="L122" s="139">
        <v>43602</v>
      </c>
      <c r="M122" s="139">
        <v>43602</v>
      </c>
      <c r="N122" s="189">
        <v>35</v>
      </c>
      <c r="O122" s="140">
        <v>122.64</v>
      </c>
      <c r="Q122" s="35"/>
    </row>
    <row r="123" spans="1:17" s="165" customFormat="1" ht="15" customHeight="1">
      <c r="A123" s="14"/>
      <c r="B123" s="38"/>
      <c r="C123" s="30" t="s">
        <v>39</v>
      </c>
      <c r="D123" s="138" t="s">
        <v>399</v>
      </c>
      <c r="E123" s="185" t="s">
        <v>1044</v>
      </c>
      <c r="F123" s="139" t="s">
        <v>8</v>
      </c>
      <c r="G123" s="139">
        <v>22229</v>
      </c>
      <c r="H123" s="138" t="s">
        <v>199</v>
      </c>
      <c r="I123" s="139" t="s">
        <v>21</v>
      </c>
      <c r="J123" s="139">
        <v>43663</v>
      </c>
      <c r="K123" s="184">
        <v>59</v>
      </c>
      <c r="L123" s="139">
        <v>43789</v>
      </c>
      <c r="M123" s="139">
        <v>43789</v>
      </c>
      <c r="N123" s="189">
        <v>126</v>
      </c>
      <c r="O123" s="140">
        <v>348.23</v>
      </c>
      <c r="Q123" s="35"/>
    </row>
    <row r="124" spans="1:17" s="165" customFormat="1" ht="15" customHeight="1">
      <c r="A124" s="14"/>
      <c r="B124" s="38"/>
      <c r="C124" s="30" t="s">
        <v>39</v>
      </c>
      <c r="D124" s="138" t="s">
        <v>157</v>
      </c>
      <c r="E124" s="185" t="s">
        <v>1044</v>
      </c>
      <c r="F124" s="139" t="s">
        <v>8</v>
      </c>
      <c r="G124" s="139">
        <v>22229</v>
      </c>
      <c r="H124" s="138" t="s">
        <v>199</v>
      </c>
      <c r="I124" s="139" t="s">
        <v>21</v>
      </c>
      <c r="J124" s="139">
        <v>43663</v>
      </c>
      <c r="K124" s="184">
        <v>59</v>
      </c>
      <c r="L124" s="139">
        <v>43789</v>
      </c>
      <c r="M124" s="139"/>
      <c r="N124" s="189">
        <v>0</v>
      </c>
      <c r="O124" s="140">
        <v>937.99</v>
      </c>
      <c r="Q124" s="35"/>
    </row>
    <row r="125" spans="1:17" s="165" customFormat="1" ht="15" customHeight="1">
      <c r="A125" s="14"/>
      <c r="B125" s="38"/>
      <c r="C125" s="30" t="s">
        <v>39</v>
      </c>
      <c r="D125" s="138" t="s">
        <v>156</v>
      </c>
      <c r="E125" s="185" t="s">
        <v>1044</v>
      </c>
      <c r="F125" s="139" t="s">
        <v>8</v>
      </c>
      <c r="G125" s="139">
        <v>22229</v>
      </c>
      <c r="H125" s="138" t="s">
        <v>199</v>
      </c>
      <c r="I125" s="139" t="s">
        <v>21</v>
      </c>
      <c r="J125" s="139">
        <v>43663</v>
      </c>
      <c r="K125" s="184">
        <v>59</v>
      </c>
      <c r="L125" s="139">
        <v>43789</v>
      </c>
      <c r="M125" s="139"/>
      <c r="N125" s="189">
        <v>0</v>
      </c>
      <c r="O125" s="140">
        <v>148.41000000000003</v>
      </c>
      <c r="Q125" s="35"/>
    </row>
    <row r="126" spans="1:17" s="165" customFormat="1" ht="15" customHeight="1">
      <c r="A126" s="14"/>
      <c r="B126" s="38"/>
      <c r="C126" s="30" t="s">
        <v>39</v>
      </c>
      <c r="D126" s="138" t="s">
        <v>138</v>
      </c>
      <c r="E126" s="185" t="s">
        <v>1045</v>
      </c>
      <c r="F126" s="139" t="s">
        <v>8</v>
      </c>
      <c r="G126" s="139">
        <v>22256</v>
      </c>
      <c r="H126" s="138" t="s">
        <v>200</v>
      </c>
      <c r="I126" s="139" t="s">
        <v>21</v>
      </c>
      <c r="J126" s="139">
        <v>43644</v>
      </c>
      <c r="K126" s="184">
        <v>59</v>
      </c>
      <c r="L126" s="139">
        <v>43809</v>
      </c>
      <c r="M126" s="139"/>
      <c r="N126" s="189">
        <v>0</v>
      </c>
      <c r="O126" s="140">
        <v>3487.0399999999995</v>
      </c>
      <c r="Q126" s="35"/>
    </row>
    <row r="127" spans="1:17" s="165" customFormat="1" ht="15" customHeight="1">
      <c r="A127" s="14"/>
      <c r="B127" s="38"/>
      <c r="C127" s="30" t="s">
        <v>39</v>
      </c>
      <c r="D127" s="138" t="s">
        <v>127</v>
      </c>
      <c r="E127" s="185" t="s">
        <v>1046</v>
      </c>
      <c r="F127" s="139" t="s">
        <v>8</v>
      </c>
      <c r="G127" s="139">
        <v>22289</v>
      </c>
      <c r="H127" s="138" t="s">
        <v>199</v>
      </c>
      <c r="I127" s="139" t="s">
        <v>21</v>
      </c>
      <c r="J127" s="139">
        <v>43598</v>
      </c>
      <c r="K127" s="184">
        <v>58</v>
      </c>
      <c r="L127" s="139">
        <v>43777</v>
      </c>
      <c r="M127" s="139"/>
      <c r="N127" s="189">
        <v>0</v>
      </c>
      <c r="O127" s="140">
        <v>4140</v>
      </c>
      <c r="Q127" s="35"/>
    </row>
    <row r="128" spans="1:17" s="165" customFormat="1" ht="15" customHeight="1">
      <c r="A128" s="14"/>
      <c r="B128" s="38"/>
      <c r="C128" s="30" t="s">
        <v>39</v>
      </c>
      <c r="D128" s="138" t="s">
        <v>400</v>
      </c>
      <c r="E128" s="185" t="s">
        <v>1047</v>
      </c>
      <c r="F128" s="139" t="s">
        <v>8</v>
      </c>
      <c r="G128" s="139">
        <v>22324</v>
      </c>
      <c r="H128" s="138" t="s">
        <v>199</v>
      </c>
      <c r="I128" s="139" t="s">
        <v>21</v>
      </c>
      <c r="J128" s="139">
        <v>43804</v>
      </c>
      <c r="K128" s="184">
        <v>58</v>
      </c>
      <c r="L128" s="139"/>
      <c r="M128" s="139">
        <v>43841</v>
      </c>
      <c r="N128" s="189">
        <v>37</v>
      </c>
      <c r="O128" s="140">
        <v>0</v>
      </c>
      <c r="Q128" s="35"/>
    </row>
    <row r="129" spans="1:17" s="165" customFormat="1" ht="15" customHeight="1">
      <c r="A129" s="14"/>
      <c r="B129" s="38"/>
      <c r="C129" s="30" t="s">
        <v>39</v>
      </c>
      <c r="D129" s="138" t="s">
        <v>401</v>
      </c>
      <c r="E129" s="185" t="s">
        <v>1048</v>
      </c>
      <c r="F129" s="139" t="s">
        <v>8</v>
      </c>
      <c r="G129" s="139">
        <v>22327</v>
      </c>
      <c r="H129" s="138" t="s">
        <v>199</v>
      </c>
      <c r="I129" s="139" t="s">
        <v>21</v>
      </c>
      <c r="J129" s="139">
        <v>43481</v>
      </c>
      <c r="K129" s="184">
        <v>58</v>
      </c>
      <c r="L129" s="139">
        <v>43560</v>
      </c>
      <c r="M129" s="139">
        <v>43556</v>
      </c>
      <c r="N129" s="189">
        <v>75</v>
      </c>
      <c r="O129" s="140">
        <v>2371.5</v>
      </c>
      <c r="Q129" s="35"/>
    </row>
    <row r="130" spans="1:17" s="165" customFormat="1" ht="15" customHeight="1">
      <c r="A130" s="14"/>
      <c r="B130" s="38"/>
      <c r="C130" s="30" t="s">
        <v>39</v>
      </c>
      <c r="D130" s="138" t="s">
        <v>401</v>
      </c>
      <c r="E130" s="185" t="s">
        <v>1048</v>
      </c>
      <c r="F130" s="139" t="s">
        <v>8</v>
      </c>
      <c r="G130" s="139">
        <v>22327</v>
      </c>
      <c r="H130" s="138" t="s">
        <v>199</v>
      </c>
      <c r="I130" s="139" t="s">
        <v>21</v>
      </c>
      <c r="J130" s="139">
        <v>43557</v>
      </c>
      <c r="K130" s="184">
        <v>58</v>
      </c>
      <c r="L130" s="139">
        <v>43560</v>
      </c>
      <c r="M130" s="139">
        <v>43560</v>
      </c>
      <c r="N130" s="189">
        <v>3</v>
      </c>
      <c r="O130" s="140">
        <v>2371.5</v>
      </c>
      <c r="Q130" s="35"/>
    </row>
    <row r="131" spans="1:17" s="165" customFormat="1" ht="15" customHeight="1">
      <c r="A131" s="14"/>
      <c r="B131" s="38"/>
      <c r="C131" s="30" t="s">
        <v>39</v>
      </c>
      <c r="D131" s="138" t="s">
        <v>402</v>
      </c>
      <c r="E131" s="185" t="s">
        <v>1049</v>
      </c>
      <c r="F131" s="139" t="s">
        <v>8</v>
      </c>
      <c r="G131" s="139">
        <v>22346</v>
      </c>
      <c r="H131" s="138" t="s">
        <v>199</v>
      </c>
      <c r="I131" s="139" t="s">
        <v>21</v>
      </c>
      <c r="J131" s="139">
        <v>43559</v>
      </c>
      <c r="K131" s="184">
        <v>58</v>
      </c>
      <c r="L131" s="139">
        <v>43672</v>
      </c>
      <c r="M131" s="139">
        <v>43672</v>
      </c>
      <c r="N131" s="189">
        <v>113</v>
      </c>
      <c r="O131" s="140">
        <v>2842.5599999999995</v>
      </c>
      <c r="Q131" s="35"/>
    </row>
    <row r="132" spans="1:17" s="165" customFormat="1" ht="15" customHeight="1">
      <c r="A132" s="14"/>
      <c r="B132" s="38"/>
      <c r="C132" s="30" t="s">
        <v>39</v>
      </c>
      <c r="D132" s="138" t="s">
        <v>169</v>
      </c>
      <c r="E132" s="185" t="s">
        <v>1050</v>
      </c>
      <c r="F132" s="139" t="s">
        <v>8</v>
      </c>
      <c r="G132" s="139">
        <v>22353</v>
      </c>
      <c r="H132" s="138" t="s">
        <v>200</v>
      </c>
      <c r="I132" s="139" t="s">
        <v>21</v>
      </c>
      <c r="J132" s="139">
        <v>43698</v>
      </c>
      <c r="K132" s="184">
        <v>58</v>
      </c>
      <c r="L132" s="139">
        <v>43801</v>
      </c>
      <c r="M132" s="139">
        <v>44041</v>
      </c>
      <c r="N132" s="189">
        <v>343</v>
      </c>
      <c r="O132" s="140">
        <v>4965.4000000000005</v>
      </c>
      <c r="Q132" s="35"/>
    </row>
    <row r="133" spans="1:17" s="165" customFormat="1" ht="15" customHeight="1">
      <c r="A133" s="14"/>
      <c r="B133" s="38"/>
      <c r="C133" s="30" t="s">
        <v>39</v>
      </c>
      <c r="D133" s="138" t="s">
        <v>403</v>
      </c>
      <c r="E133" s="185" t="s">
        <v>1051</v>
      </c>
      <c r="F133" s="139" t="s">
        <v>8</v>
      </c>
      <c r="G133" s="139">
        <v>21411</v>
      </c>
      <c r="H133" s="138" t="s">
        <v>199</v>
      </c>
      <c r="I133" s="139" t="s">
        <v>21</v>
      </c>
      <c r="J133" s="139">
        <v>43634</v>
      </c>
      <c r="K133" s="184">
        <v>61</v>
      </c>
      <c r="L133" s="139">
        <v>43705</v>
      </c>
      <c r="M133" s="139">
        <v>43705</v>
      </c>
      <c r="N133" s="189">
        <v>71</v>
      </c>
      <c r="O133" s="140">
        <v>576.66</v>
      </c>
      <c r="Q133" s="35"/>
    </row>
    <row r="134" spans="1:17" s="165" customFormat="1" ht="15" customHeight="1">
      <c r="A134" s="14"/>
      <c r="B134" s="38"/>
      <c r="C134" s="30" t="s">
        <v>39</v>
      </c>
      <c r="D134" s="138" t="s">
        <v>404</v>
      </c>
      <c r="E134" s="185" t="s">
        <v>1052</v>
      </c>
      <c r="F134" s="139" t="s">
        <v>8</v>
      </c>
      <c r="G134" s="139">
        <v>21456</v>
      </c>
      <c r="H134" s="138" t="s">
        <v>199</v>
      </c>
      <c r="I134" s="139" t="s">
        <v>21</v>
      </c>
      <c r="J134" s="139">
        <v>43613</v>
      </c>
      <c r="K134" s="184">
        <v>61</v>
      </c>
      <c r="L134" s="139"/>
      <c r="M134" s="139">
        <v>43802</v>
      </c>
      <c r="N134" s="189">
        <v>189</v>
      </c>
      <c r="O134" s="140">
        <v>0</v>
      </c>
      <c r="Q134" s="35"/>
    </row>
    <row r="135" spans="1:17" s="165" customFormat="1" ht="15" customHeight="1">
      <c r="A135" s="14"/>
      <c r="B135" s="38"/>
      <c r="C135" s="30" t="s">
        <v>39</v>
      </c>
      <c r="D135" s="138" t="s">
        <v>405</v>
      </c>
      <c r="E135" s="185" t="s">
        <v>1053</v>
      </c>
      <c r="F135" s="139" t="s">
        <v>8</v>
      </c>
      <c r="G135" s="139">
        <v>21526</v>
      </c>
      <c r="H135" s="138" t="s">
        <v>199</v>
      </c>
      <c r="I135" s="139" t="s">
        <v>21</v>
      </c>
      <c r="J135" s="139">
        <v>43705</v>
      </c>
      <c r="K135" s="184">
        <v>61</v>
      </c>
      <c r="L135" s="139"/>
      <c r="M135" s="139"/>
      <c r="N135" s="189">
        <v>0</v>
      </c>
      <c r="O135" s="140">
        <v>0</v>
      </c>
      <c r="Q135" s="35"/>
    </row>
    <row r="136" spans="1:17" s="165" customFormat="1" ht="15" customHeight="1">
      <c r="A136" s="14"/>
      <c r="B136" s="38"/>
      <c r="C136" s="30" t="s">
        <v>39</v>
      </c>
      <c r="D136" s="138" t="s">
        <v>406</v>
      </c>
      <c r="E136" s="185" t="s">
        <v>1054</v>
      </c>
      <c r="F136" s="139" t="s">
        <v>8</v>
      </c>
      <c r="G136" s="139">
        <v>21525</v>
      </c>
      <c r="H136" s="138" t="s">
        <v>200</v>
      </c>
      <c r="I136" s="139" t="s">
        <v>21</v>
      </c>
      <c r="J136" s="139">
        <v>43522</v>
      </c>
      <c r="K136" s="184">
        <v>61</v>
      </c>
      <c r="L136" s="139">
        <v>43555</v>
      </c>
      <c r="M136" s="139">
        <v>43555</v>
      </c>
      <c r="N136" s="189">
        <v>33</v>
      </c>
      <c r="O136" s="140">
        <v>109.88</v>
      </c>
      <c r="Q136" s="35"/>
    </row>
    <row r="137" spans="1:17" s="165" customFormat="1" ht="15" customHeight="1">
      <c r="A137" s="14"/>
      <c r="B137" s="38"/>
      <c r="C137" s="30" t="s">
        <v>39</v>
      </c>
      <c r="D137" s="138" t="s">
        <v>152</v>
      </c>
      <c r="E137" s="185" t="s">
        <v>1055</v>
      </c>
      <c r="F137" s="139" t="s">
        <v>8</v>
      </c>
      <c r="G137" s="139">
        <v>21548</v>
      </c>
      <c r="H137" s="138" t="s">
        <v>199</v>
      </c>
      <c r="I137" s="139" t="s">
        <v>21</v>
      </c>
      <c r="J137" s="139">
        <v>43522</v>
      </c>
      <c r="K137" s="184">
        <v>61</v>
      </c>
      <c r="L137" s="139">
        <v>43798</v>
      </c>
      <c r="M137" s="139">
        <v>43849</v>
      </c>
      <c r="N137" s="189">
        <v>327</v>
      </c>
      <c r="O137" s="140">
        <v>7866.95</v>
      </c>
      <c r="Q137" s="35"/>
    </row>
    <row r="138" spans="1:17" s="165" customFormat="1" ht="15" customHeight="1">
      <c r="A138" s="14"/>
      <c r="B138" s="38"/>
      <c r="C138" s="30" t="s">
        <v>39</v>
      </c>
      <c r="D138" s="138" t="s">
        <v>407</v>
      </c>
      <c r="E138" s="185" t="s">
        <v>1056</v>
      </c>
      <c r="F138" s="139" t="s">
        <v>8</v>
      </c>
      <c r="G138" s="139">
        <v>21566</v>
      </c>
      <c r="H138" s="138" t="s">
        <v>200</v>
      </c>
      <c r="I138" s="139" t="s">
        <v>21</v>
      </c>
      <c r="J138" s="139">
        <v>43507</v>
      </c>
      <c r="K138" s="184">
        <v>60</v>
      </c>
      <c r="L138" s="139">
        <v>43623</v>
      </c>
      <c r="M138" s="139">
        <v>43623</v>
      </c>
      <c r="N138" s="189">
        <v>116</v>
      </c>
      <c r="O138" s="140">
        <v>2335.08</v>
      </c>
      <c r="Q138" s="35"/>
    </row>
    <row r="139" spans="1:17" s="165" customFormat="1" ht="15" customHeight="1">
      <c r="A139" s="14"/>
      <c r="B139" s="38"/>
      <c r="C139" s="30" t="s">
        <v>39</v>
      </c>
      <c r="D139" s="138" t="s">
        <v>407</v>
      </c>
      <c r="E139" s="185" t="s">
        <v>1056</v>
      </c>
      <c r="F139" s="139" t="s">
        <v>8</v>
      </c>
      <c r="G139" s="139">
        <v>21566</v>
      </c>
      <c r="H139" s="138" t="s">
        <v>200</v>
      </c>
      <c r="I139" s="139" t="s">
        <v>21</v>
      </c>
      <c r="J139" s="139">
        <v>43822</v>
      </c>
      <c r="K139" s="184">
        <v>60</v>
      </c>
      <c r="L139" s="139">
        <v>43623</v>
      </c>
      <c r="M139" s="139">
        <v>44106</v>
      </c>
      <c r="N139" s="189">
        <v>284</v>
      </c>
      <c r="O139" s="140">
        <v>2335.08</v>
      </c>
      <c r="Q139" s="35"/>
    </row>
    <row r="140" spans="1:17" s="165" customFormat="1" ht="15" customHeight="1">
      <c r="A140" s="14"/>
      <c r="B140" s="38"/>
      <c r="C140" s="30" t="s">
        <v>39</v>
      </c>
      <c r="D140" s="138" t="s">
        <v>184</v>
      </c>
      <c r="E140" s="185" t="s">
        <v>1056</v>
      </c>
      <c r="F140" s="139" t="s">
        <v>8</v>
      </c>
      <c r="G140" s="139">
        <v>21566</v>
      </c>
      <c r="H140" s="138" t="s">
        <v>200</v>
      </c>
      <c r="I140" s="139" t="s">
        <v>21</v>
      </c>
      <c r="J140" s="139">
        <v>43732</v>
      </c>
      <c r="K140" s="184">
        <v>60</v>
      </c>
      <c r="L140" s="139">
        <v>43781</v>
      </c>
      <c r="M140" s="139">
        <v>43824</v>
      </c>
      <c r="N140" s="189">
        <v>92</v>
      </c>
      <c r="O140" s="140">
        <v>178.8</v>
      </c>
      <c r="Q140" s="35"/>
    </row>
    <row r="141" spans="1:17" s="165" customFormat="1" ht="15" customHeight="1">
      <c r="A141" s="14"/>
      <c r="B141" s="38"/>
      <c r="C141" s="30" t="s">
        <v>39</v>
      </c>
      <c r="D141" s="138" t="s">
        <v>408</v>
      </c>
      <c r="E141" s="185" t="s">
        <v>1057</v>
      </c>
      <c r="F141" s="139" t="s">
        <v>8</v>
      </c>
      <c r="G141" s="139">
        <v>21584</v>
      </c>
      <c r="H141" s="138" t="s">
        <v>199</v>
      </c>
      <c r="I141" s="139" t="s">
        <v>21</v>
      </c>
      <c r="J141" s="139">
        <v>43742</v>
      </c>
      <c r="K141" s="184">
        <v>60</v>
      </c>
      <c r="L141" s="139"/>
      <c r="M141" s="139">
        <v>43861</v>
      </c>
      <c r="N141" s="189">
        <v>119</v>
      </c>
      <c r="O141" s="140">
        <v>0</v>
      </c>
      <c r="Q141" s="35"/>
    </row>
    <row r="142" spans="1:17" s="165" customFormat="1" ht="15" customHeight="1">
      <c r="A142" s="14"/>
      <c r="B142" s="38"/>
      <c r="C142" s="30" t="s">
        <v>39</v>
      </c>
      <c r="D142" s="138" t="s">
        <v>125</v>
      </c>
      <c r="E142" s="185" t="s">
        <v>1058</v>
      </c>
      <c r="F142" s="139" t="s">
        <v>8</v>
      </c>
      <c r="G142" s="139">
        <v>21661</v>
      </c>
      <c r="H142" s="138" t="s">
        <v>200</v>
      </c>
      <c r="I142" s="139" t="s">
        <v>21</v>
      </c>
      <c r="J142" s="139">
        <v>43627</v>
      </c>
      <c r="K142" s="184">
        <v>60</v>
      </c>
      <c r="L142" s="139">
        <v>43801</v>
      </c>
      <c r="M142" s="139"/>
      <c r="N142" s="189">
        <v>0</v>
      </c>
      <c r="O142" s="140">
        <v>6478.6000000000022</v>
      </c>
      <c r="Q142" s="35"/>
    </row>
    <row r="143" spans="1:17" s="165" customFormat="1" ht="15" customHeight="1">
      <c r="A143" s="14"/>
      <c r="B143" s="38"/>
      <c r="C143" s="30" t="s">
        <v>39</v>
      </c>
      <c r="D143" s="138" t="s">
        <v>409</v>
      </c>
      <c r="E143" s="185" t="s">
        <v>1059</v>
      </c>
      <c r="F143" s="139" t="s">
        <v>8</v>
      </c>
      <c r="G143" s="139">
        <v>21702</v>
      </c>
      <c r="H143" s="138" t="s">
        <v>199</v>
      </c>
      <c r="I143" s="139" t="s">
        <v>21</v>
      </c>
      <c r="J143" s="139">
        <v>43533</v>
      </c>
      <c r="K143" s="184">
        <v>60</v>
      </c>
      <c r="L143" s="139">
        <v>43574</v>
      </c>
      <c r="M143" s="139">
        <v>43574</v>
      </c>
      <c r="N143" s="189">
        <v>41</v>
      </c>
      <c r="O143" s="140">
        <v>284.52</v>
      </c>
      <c r="Q143" s="35"/>
    </row>
    <row r="144" spans="1:17" s="165" customFormat="1" ht="15" customHeight="1">
      <c r="A144" s="14"/>
      <c r="B144" s="38"/>
      <c r="C144" s="30" t="s">
        <v>39</v>
      </c>
      <c r="D144" s="138" t="s">
        <v>410</v>
      </c>
      <c r="E144" s="185" t="s">
        <v>1060</v>
      </c>
      <c r="F144" s="139" t="s">
        <v>8</v>
      </c>
      <c r="G144" s="139">
        <v>21704</v>
      </c>
      <c r="H144" s="138" t="s">
        <v>199</v>
      </c>
      <c r="I144" s="139" t="s">
        <v>21</v>
      </c>
      <c r="J144" s="139">
        <v>43494</v>
      </c>
      <c r="K144" s="184">
        <v>60</v>
      </c>
      <c r="L144" s="139">
        <v>43584</v>
      </c>
      <c r="M144" s="139">
        <v>43584</v>
      </c>
      <c r="N144" s="189">
        <v>90</v>
      </c>
      <c r="O144" s="140">
        <v>7049.5599999999995</v>
      </c>
      <c r="Q144" s="35"/>
    </row>
    <row r="145" spans="1:17" s="165" customFormat="1" ht="15" customHeight="1">
      <c r="A145" s="14"/>
      <c r="B145" s="38"/>
      <c r="C145" s="30" t="s">
        <v>39</v>
      </c>
      <c r="D145" s="138" t="s">
        <v>411</v>
      </c>
      <c r="E145" s="185" t="s">
        <v>1061</v>
      </c>
      <c r="F145" s="139" t="s">
        <v>8</v>
      </c>
      <c r="G145" s="139">
        <v>21734</v>
      </c>
      <c r="H145" s="138" t="s">
        <v>199</v>
      </c>
      <c r="I145" s="139" t="s">
        <v>21</v>
      </c>
      <c r="J145" s="139">
        <v>43669</v>
      </c>
      <c r="K145" s="184">
        <v>60</v>
      </c>
      <c r="L145" s="139">
        <v>43690</v>
      </c>
      <c r="M145" s="139">
        <v>43669</v>
      </c>
      <c r="N145" s="189">
        <v>0</v>
      </c>
      <c r="O145" s="140">
        <v>7427.9500000000007</v>
      </c>
      <c r="Q145" s="35"/>
    </row>
    <row r="146" spans="1:17" s="165" customFormat="1" ht="15" customHeight="1">
      <c r="A146" s="14"/>
      <c r="B146" s="38"/>
      <c r="C146" s="30" t="s">
        <v>39</v>
      </c>
      <c r="D146" s="138" t="s">
        <v>411</v>
      </c>
      <c r="E146" s="185" t="s">
        <v>1061</v>
      </c>
      <c r="F146" s="139" t="s">
        <v>8</v>
      </c>
      <c r="G146" s="139">
        <v>21734</v>
      </c>
      <c r="H146" s="138" t="s">
        <v>199</v>
      </c>
      <c r="I146" s="139" t="s">
        <v>21</v>
      </c>
      <c r="J146" s="139">
        <v>43690</v>
      </c>
      <c r="K146" s="184">
        <v>60</v>
      </c>
      <c r="L146" s="139">
        <v>43690</v>
      </c>
      <c r="M146" s="139">
        <v>43690</v>
      </c>
      <c r="N146" s="189">
        <v>0</v>
      </c>
      <c r="O146" s="140">
        <v>7427.9500000000007</v>
      </c>
      <c r="Q146" s="35"/>
    </row>
    <row r="147" spans="1:17" s="165" customFormat="1" ht="15" customHeight="1">
      <c r="A147" s="14"/>
      <c r="B147" s="38"/>
      <c r="C147" s="30" t="s">
        <v>39</v>
      </c>
      <c r="D147" s="138" t="s">
        <v>411</v>
      </c>
      <c r="E147" s="185" t="s">
        <v>1061</v>
      </c>
      <c r="F147" s="139" t="s">
        <v>8</v>
      </c>
      <c r="G147" s="139">
        <v>21734</v>
      </c>
      <c r="H147" s="138" t="s">
        <v>199</v>
      </c>
      <c r="I147" s="139" t="s">
        <v>21</v>
      </c>
      <c r="J147" s="139">
        <v>43795</v>
      </c>
      <c r="K147" s="184">
        <v>60</v>
      </c>
      <c r="L147" s="139">
        <v>43690</v>
      </c>
      <c r="M147" s="139">
        <v>43795</v>
      </c>
      <c r="N147" s="189">
        <v>0</v>
      </c>
      <c r="O147" s="140">
        <v>7427.9500000000007</v>
      </c>
      <c r="Q147" s="35"/>
    </row>
    <row r="148" spans="1:17" s="165" customFormat="1" ht="15" customHeight="1">
      <c r="A148" s="14"/>
      <c r="B148" s="38"/>
      <c r="C148" s="30" t="s">
        <v>39</v>
      </c>
      <c r="D148" s="138" t="s">
        <v>411</v>
      </c>
      <c r="E148" s="185" t="s">
        <v>1061</v>
      </c>
      <c r="F148" s="139" t="s">
        <v>8</v>
      </c>
      <c r="G148" s="139">
        <v>21734</v>
      </c>
      <c r="H148" s="138" t="s">
        <v>199</v>
      </c>
      <c r="I148" s="139" t="s">
        <v>21</v>
      </c>
      <c r="J148" s="139">
        <v>43816</v>
      </c>
      <c r="K148" s="184">
        <v>60</v>
      </c>
      <c r="L148" s="139">
        <v>43690</v>
      </c>
      <c r="M148" s="139">
        <v>43816</v>
      </c>
      <c r="N148" s="189">
        <v>0</v>
      </c>
      <c r="O148" s="140">
        <v>7427.9500000000007</v>
      </c>
      <c r="Q148" s="35"/>
    </row>
    <row r="149" spans="1:17" s="165" customFormat="1" ht="15" customHeight="1">
      <c r="A149" s="14"/>
      <c r="B149" s="38"/>
      <c r="C149" s="30" t="s">
        <v>39</v>
      </c>
      <c r="D149" s="138" t="s">
        <v>412</v>
      </c>
      <c r="E149" s="185" t="s">
        <v>1062</v>
      </c>
      <c r="F149" s="139" t="s">
        <v>8</v>
      </c>
      <c r="G149" s="139">
        <v>21749</v>
      </c>
      <c r="H149" s="138" t="s">
        <v>200</v>
      </c>
      <c r="I149" s="139" t="s">
        <v>21</v>
      </c>
      <c r="J149" s="139">
        <v>43712</v>
      </c>
      <c r="K149" s="184">
        <v>60</v>
      </c>
      <c r="L149" s="139"/>
      <c r="M149" s="139"/>
      <c r="N149" s="189">
        <v>0</v>
      </c>
      <c r="O149" s="140">
        <v>0</v>
      </c>
      <c r="Q149" s="35"/>
    </row>
    <row r="150" spans="1:17" s="165" customFormat="1" ht="15" customHeight="1">
      <c r="A150" s="14"/>
      <c r="B150" s="38"/>
      <c r="C150" s="30" t="s">
        <v>39</v>
      </c>
      <c r="D150" s="138" t="s">
        <v>413</v>
      </c>
      <c r="E150" s="185" t="s">
        <v>1063</v>
      </c>
      <c r="F150" s="139" t="s">
        <v>8</v>
      </c>
      <c r="G150" s="139">
        <v>21840</v>
      </c>
      <c r="H150" s="138" t="s">
        <v>199</v>
      </c>
      <c r="I150" s="139" t="s">
        <v>21</v>
      </c>
      <c r="J150" s="139">
        <v>43828</v>
      </c>
      <c r="K150" s="184">
        <v>60</v>
      </c>
      <c r="L150" s="139"/>
      <c r="M150" s="139">
        <v>44012</v>
      </c>
      <c r="N150" s="189">
        <v>184</v>
      </c>
      <c r="O150" s="140">
        <v>0</v>
      </c>
      <c r="Q150" s="35"/>
    </row>
    <row r="151" spans="1:17" s="165" customFormat="1" ht="15" customHeight="1">
      <c r="A151" s="14"/>
      <c r="B151" s="38"/>
      <c r="C151" s="30" t="s">
        <v>39</v>
      </c>
      <c r="D151" s="138" t="s">
        <v>414</v>
      </c>
      <c r="E151" s="185" t="s">
        <v>1064</v>
      </c>
      <c r="F151" s="139" t="s">
        <v>8</v>
      </c>
      <c r="G151" s="139">
        <v>21826</v>
      </c>
      <c r="H151" s="138" t="s">
        <v>199</v>
      </c>
      <c r="I151" s="139" t="s">
        <v>21</v>
      </c>
      <c r="J151" s="139">
        <v>43623</v>
      </c>
      <c r="K151" s="184">
        <v>60</v>
      </c>
      <c r="L151" s="139">
        <v>43756</v>
      </c>
      <c r="M151" s="139"/>
      <c r="N151" s="189">
        <v>0</v>
      </c>
      <c r="O151" s="140">
        <v>6746.1100000000006</v>
      </c>
      <c r="Q151" s="35"/>
    </row>
    <row r="152" spans="1:17" s="165" customFormat="1" ht="15" customHeight="1">
      <c r="A152" s="14"/>
      <c r="B152" s="38"/>
      <c r="C152" s="30" t="s">
        <v>39</v>
      </c>
      <c r="D152" s="138" t="s">
        <v>415</v>
      </c>
      <c r="E152" s="185" t="s">
        <v>1065</v>
      </c>
      <c r="F152" s="139" t="s">
        <v>8</v>
      </c>
      <c r="G152" s="139">
        <v>21833</v>
      </c>
      <c r="H152" s="138" t="s">
        <v>199</v>
      </c>
      <c r="I152" s="139" t="s">
        <v>21</v>
      </c>
      <c r="J152" s="139">
        <v>43484</v>
      </c>
      <c r="K152" s="184">
        <v>60</v>
      </c>
      <c r="L152" s="139">
        <v>43555</v>
      </c>
      <c r="M152" s="139">
        <v>43555</v>
      </c>
      <c r="N152" s="189">
        <v>71</v>
      </c>
      <c r="O152" s="140">
        <v>1519.38</v>
      </c>
      <c r="Q152" s="35"/>
    </row>
    <row r="153" spans="1:17" s="165" customFormat="1" ht="15" customHeight="1">
      <c r="A153" s="14"/>
      <c r="B153" s="38"/>
      <c r="C153" s="30" t="s">
        <v>39</v>
      </c>
      <c r="D153" s="138" t="s">
        <v>416</v>
      </c>
      <c r="E153" s="185" t="s">
        <v>1066</v>
      </c>
      <c r="F153" s="139" t="s">
        <v>8</v>
      </c>
      <c r="G153" s="139">
        <v>21872</v>
      </c>
      <c r="H153" s="138" t="s">
        <v>199</v>
      </c>
      <c r="I153" s="139" t="s">
        <v>21</v>
      </c>
      <c r="J153" s="139">
        <v>43497</v>
      </c>
      <c r="K153" s="184">
        <v>60</v>
      </c>
      <c r="L153" s="139">
        <v>43700</v>
      </c>
      <c r="M153" s="139">
        <v>44043</v>
      </c>
      <c r="N153" s="189">
        <v>546</v>
      </c>
      <c r="O153" s="140">
        <v>3420.84</v>
      </c>
      <c r="Q153" s="35"/>
    </row>
    <row r="154" spans="1:17" s="165" customFormat="1" ht="15" customHeight="1">
      <c r="A154" s="14"/>
      <c r="B154" s="38"/>
      <c r="C154" s="30" t="s">
        <v>39</v>
      </c>
      <c r="D154" s="138" t="s">
        <v>417</v>
      </c>
      <c r="E154" s="185" t="s">
        <v>1067</v>
      </c>
      <c r="F154" s="139" t="s">
        <v>8</v>
      </c>
      <c r="G154" s="139">
        <v>21861</v>
      </c>
      <c r="H154" s="138" t="s">
        <v>200</v>
      </c>
      <c r="I154" s="139" t="s">
        <v>21</v>
      </c>
      <c r="J154" s="139">
        <v>43805</v>
      </c>
      <c r="K154" s="184">
        <v>60</v>
      </c>
      <c r="L154" s="139"/>
      <c r="M154" s="139">
        <v>43921</v>
      </c>
      <c r="N154" s="189">
        <v>116</v>
      </c>
      <c r="O154" s="140">
        <v>0</v>
      </c>
      <c r="Q154" s="35"/>
    </row>
    <row r="155" spans="1:17" s="165" customFormat="1" ht="15" customHeight="1">
      <c r="A155" s="14"/>
      <c r="B155" s="38"/>
      <c r="C155" s="30" t="s">
        <v>39</v>
      </c>
      <c r="D155" s="138" t="s">
        <v>418</v>
      </c>
      <c r="E155" s="185" t="s">
        <v>1068</v>
      </c>
      <c r="F155" s="139" t="s">
        <v>8</v>
      </c>
      <c r="G155" s="139">
        <v>21932</v>
      </c>
      <c r="H155" s="138" t="s">
        <v>199</v>
      </c>
      <c r="I155" s="139" t="s">
        <v>21</v>
      </c>
      <c r="J155" s="139">
        <v>43731</v>
      </c>
      <c r="K155" s="184">
        <v>59</v>
      </c>
      <c r="L155" s="139"/>
      <c r="M155" s="139"/>
      <c r="N155" s="189">
        <v>0</v>
      </c>
      <c r="O155" s="140">
        <v>0</v>
      </c>
      <c r="Q155" s="35"/>
    </row>
    <row r="156" spans="1:17" s="165" customFormat="1" ht="15" customHeight="1">
      <c r="A156" s="14"/>
      <c r="B156" s="38"/>
      <c r="C156" s="30" t="s">
        <v>39</v>
      </c>
      <c r="D156" s="138" t="s">
        <v>419</v>
      </c>
      <c r="E156" s="185" t="s">
        <v>1069</v>
      </c>
      <c r="F156" s="139" t="s">
        <v>8</v>
      </c>
      <c r="G156" s="139">
        <v>21927</v>
      </c>
      <c r="H156" s="138" t="s">
        <v>199</v>
      </c>
      <c r="I156" s="139" t="s">
        <v>21</v>
      </c>
      <c r="J156" s="139">
        <v>43774</v>
      </c>
      <c r="K156" s="184">
        <v>59</v>
      </c>
      <c r="L156" s="139"/>
      <c r="M156" s="139"/>
      <c r="N156" s="189">
        <v>0</v>
      </c>
      <c r="O156" s="140">
        <v>0</v>
      </c>
      <c r="Q156" s="35"/>
    </row>
    <row r="157" spans="1:17" s="165" customFormat="1" ht="15" customHeight="1">
      <c r="A157" s="14"/>
      <c r="B157" s="38"/>
      <c r="C157" s="30" t="s">
        <v>39</v>
      </c>
      <c r="D157" s="138" t="s">
        <v>420</v>
      </c>
      <c r="E157" s="185" t="s">
        <v>1070</v>
      </c>
      <c r="F157" s="139" t="s">
        <v>8</v>
      </c>
      <c r="G157" s="139">
        <v>21958</v>
      </c>
      <c r="H157" s="138" t="s">
        <v>199</v>
      </c>
      <c r="I157" s="139" t="s">
        <v>21</v>
      </c>
      <c r="J157" s="139">
        <v>43659</v>
      </c>
      <c r="K157" s="184">
        <v>59</v>
      </c>
      <c r="L157" s="139">
        <v>43804</v>
      </c>
      <c r="M157" s="139">
        <v>43833</v>
      </c>
      <c r="N157" s="189">
        <v>174</v>
      </c>
      <c r="O157" s="140">
        <v>3002.0800000000004</v>
      </c>
      <c r="Q157" s="35"/>
    </row>
    <row r="158" spans="1:17" s="165" customFormat="1" ht="15" customHeight="1">
      <c r="A158" s="14"/>
      <c r="B158" s="38"/>
      <c r="C158" s="30" t="s">
        <v>39</v>
      </c>
      <c r="D158" s="138" t="s">
        <v>421</v>
      </c>
      <c r="E158" s="185" t="s">
        <v>1071</v>
      </c>
      <c r="F158" s="139" t="s">
        <v>8</v>
      </c>
      <c r="G158" s="139">
        <v>21950</v>
      </c>
      <c r="H158" s="138" t="s">
        <v>199</v>
      </c>
      <c r="I158" s="139" t="s">
        <v>21</v>
      </c>
      <c r="J158" s="139">
        <v>43488</v>
      </c>
      <c r="K158" s="184">
        <v>59</v>
      </c>
      <c r="L158" s="139">
        <v>43615</v>
      </c>
      <c r="M158" s="139">
        <v>43769</v>
      </c>
      <c r="N158" s="189">
        <v>281</v>
      </c>
      <c r="O158" s="140">
        <v>1852.2</v>
      </c>
      <c r="Q158" s="35"/>
    </row>
    <row r="159" spans="1:17" s="165" customFormat="1" ht="15" customHeight="1">
      <c r="A159" s="14"/>
      <c r="B159" s="38"/>
      <c r="C159" s="30" t="s">
        <v>39</v>
      </c>
      <c r="D159" s="138" t="s">
        <v>422</v>
      </c>
      <c r="E159" s="185" t="s">
        <v>1072</v>
      </c>
      <c r="F159" s="139" t="s">
        <v>8</v>
      </c>
      <c r="G159" s="139">
        <v>22007</v>
      </c>
      <c r="H159" s="138" t="s">
        <v>199</v>
      </c>
      <c r="I159" s="139" t="s">
        <v>21</v>
      </c>
      <c r="J159" s="139">
        <v>43556</v>
      </c>
      <c r="K159" s="184">
        <v>59</v>
      </c>
      <c r="L159" s="139">
        <v>43738</v>
      </c>
      <c r="M159" s="139"/>
      <c r="N159" s="189">
        <v>0</v>
      </c>
      <c r="O159" s="140">
        <v>3272.67</v>
      </c>
      <c r="Q159" s="35"/>
    </row>
    <row r="160" spans="1:17" s="165" customFormat="1" ht="15" customHeight="1">
      <c r="A160" s="14"/>
      <c r="B160" s="38"/>
      <c r="C160" s="30" t="s">
        <v>39</v>
      </c>
      <c r="D160" s="138" t="s">
        <v>423</v>
      </c>
      <c r="E160" s="185" t="s">
        <v>1073</v>
      </c>
      <c r="F160" s="139" t="s">
        <v>8</v>
      </c>
      <c r="G160" s="139">
        <v>22035</v>
      </c>
      <c r="H160" s="138" t="s">
        <v>199</v>
      </c>
      <c r="I160" s="139" t="s">
        <v>21</v>
      </c>
      <c r="J160" s="139">
        <v>43789</v>
      </c>
      <c r="K160" s="184">
        <v>59</v>
      </c>
      <c r="L160" s="139"/>
      <c r="M160" s="139">
        <v>43951</v>
      </c>
      <c r="N160" s="189">
        <v>162</v>
      </c>
      <c r="O160" s="140">
        <v>0</v>
      </c>
      <c r="Q160" s="35"/>
    </row>
    <row r="161" spans="1:17" s="165" customFormat="1" ht="15" customHeight="1">
      <c r="A161" s="14"/>
      <c r="B161" s="38"/>
      <c r="C161" s="30" t="s">
        <v>39</v>
      </c>
      <c r="D161" s="138" t="s">
        <v>424</v>
      </c>
      <c r="E161" s="185" t="s">
        <v>1074</v>
      </c>
      <c r="F161" s="139" t="s">
        <v>8</v>
      </c>
      <c r="G161" s="139">
        <v>22050</v>
      </c>
      <c r="H161" s="138" t="s">
        <v>199</v>
      </c>
      <c r="I161" s="139" t="s">
        <v>21</v>
      </c>
      <c r="J161" s="139">
        <v>43668</v>
      </c>
      <c r="K161" s="184">
        <v>59</v>
      </c>
      <c r="L161" s="139">
        <v>43749</v>
      </c>
      <c r="M161" s="139">
        <v>43749</v>
      </c>
      <c r="N161" s="189">
        <v>81</v>
      </c>
      <c r="O161" s="140">
        <v>1629.16</v>
      </c>
      <c r="Q161" s="35"/>
    </row>
    <row r="162" spans="1:17" s="165" customFormat="1" ht="15" customHeight="1">
      <c r="A162" s="14"/>
      <c r="B162" s="38"/>
      <c r="C162" s="30" t="s">
        <v>39</v>
      </c>
      <c r="D162" s="138" t="s">
        <v>425</v>
      </c>
      <c r="E162" s="185" t="s">
        <v>1075</v>
      </c>
      <c r="F162" s="139" t="s">
        <v>8</v>
      </c>
      <c r="G162" s="139">
        <v>22096</v>
      </c>
      <c r="H162" s="138" t="s">
        <v>200</v>
      </c>
      <c r="I162" s="139" t="s">
        <v>21</v>
      </c>
      <c r="J162" s="139">
        <v>43504</v>
      </c>
      <c r="K162" s="184">
        <v>59</v>
      </c>
      <c r="L162" s="139">
        <v>43760</v>
      </c>
      <c r="M162" s="139"/>
      <c r="N162" s="189">
        <v>0</v>
      </c>
      <c r="O162" s="140">
        <v>14588.820000000002</v>
      </c>
      <c r="Q162" s="35"/>
    </row>
    <row r="163" spans="1:17" s="165" customFormat="1" ht="15" customHeight="1">
      <c r="A163" s="14"/>
      <c r="B163" s="38"/>
      <c r="C163" s="30" t="s">
        <v>39</v>
      </c>
      <c r="D163" s="138" t="s">
        <v>426</v>
      </c>
      <c r="E163" s="185" t="s">
        <v>1076</v>
      </c>
      <c r="F163" s="139" t="s">
        <v>8</v>
      </c>
      <c r="G163" s="139">
        <v>22087</v>
      </c>
      <c r="H163" s="138" t="s">
        <v>199</v>
      </c>
      <c r="I163" s="139" t="s">
        <v>21</v>
      </c>
      <c r="J163" s="139">
        <v>43657</v>
      </c>
      <c r="K163" s="184">
        <v>59</v>
      </c>
      <c r="L163" s="139">
        <v>43585</v>
      </c>
      <c r="M163" s="139">
        <v>43890</v>
      </c>
      <c r="N163" s="189">
        <v>233</v>
      </c>
      <c r="O163" s="140">
        <v>2993.17</v>
      </c>
      <c r="Q163" s="35"/>
    </row>
    <row r="164" spans="1:17" s="165" customFormat="1" ht="15" customHeight="1">
      <c r="A164" s="14"/>
      <c r="B164" s="38"/>
      <c r="C164" s="30" t="s">
        <v>39</v>
      </c>
      <c r="D164" s="138" t="s">
        <v>103</v>
      </c>
      <c r="E164" s="185" t="s">
        <v>1077</v>
      </c>
      <c r="F164" s="139" t="s">
        <v>8</v>
      </c>
      <c r="G164" s="139">
        <v>22110</v>
      </c>
      <c r="H164" s="138" t="s">
        <v>199</v>
      </c>
      <c r="I164" s="139" t="s">
        <v>21</v>
      </c>
      <c r="J164" s="139">
        <v>43482</v>
      </c>
      <c r="K164" s="184">
        <v>59</v>
      </c>
      <c r="L164" s="139">
        <v>43808</v>
      </c>
      <c r="M164" s="139">
        <v>43817</v>
      </c>
      <c r="N164" s="189">
        <v>335</v>
      </c>
      <c r="O164" s="140">
        <v>7514.0999999999995</v>
      </c>
      <c r="Q164" s="35"/>
    </row>
    <row r="165" spans="1:17" s="165" customFormat="1" ht="15" customHeight="1">
      <c r="A165" s="14"/>
      <c r="B165" s="38"/>
      <c r="C165" s="30" t="s">
        <v>39</v>
      </c>
      <c r="D165" s="138" t="s">
        <v>427</v>
      </c>
      <c r="E165" s="185" t="s">
        <v>1078</v>
      </c>
      <c r="F165" s="139" t="s">
        <v>8</v>
      </c>
      <c r="G165" s="139">
        <v>22114</v>
      </c>
      <c r="H165" s="138" t="s">
        <v>199</v>
      </c>
      <c r="I165" s="139" t="s">
        <v>21</v>
      </c>
      <c r="J165" s="139">
        <v>43607</v>
      </c>
      <c r="K165" s="184">
        <v>59</v>
      </c>
      <c r="L165" s="139">
        <v>43665</v>
      </c>
      <c r="M165" s="139">
        <v>43665</v>
      </c>
      <c r="N165" s="189">
        <v>58</v>
      </c>
      <c r="O165" s="140">
        <v>45.82</v>
      </c>
      <c r="Q165" s="35"/>
    </row>
    <row r="166" spans="1:17" s="165" customFormat="1" ht="15" customHeight="1">
      <c r="A166" s="14"/>
      <c r="B166" s="38"/>
      <c r="C166" s="30" t="s">
        <v>39</v>
      </c>
      <c r="D166" s="138" t="s">
        <v>428</v>
      </c>
      <c r="E166" s="185" t="s">
        <v>1079</v>
      </c>
      <c r="F166" s="139" t="s">
        <v>8</v>
      </c>
      <c r="G166" s="139">
        <v>23163</v>
      </c>
      <c r="H166" s="138" t="s">
        <v>200</v>
      </c>
      <c r="I166" s="139" t="s">
        <v>21</v>
      </c>
      <c r="J166" s="139">
        <v>43638</v>
      </c>
      <c r="K166" s="184">
        <v>56</v>
      </c>
      <c r="L166" s="139">
        <v>43677</v>
      </c>
      <c r="M166" s="139"/>
      <c r="N166" s="189">
        <v>0</v>
      </c>
      <c r="O166" s="140">
        <v>12202.24</v>
      </c>
      <c r="Q166" s="35"/>
    </row>
    <row r="167" spans="1:17" s="165" customFormat="1" ht="15" customHeight="1">
      <c r="A167" s="14"/>
      <c r="B167" s="38"/>
      <c r="C167" s="30" t="s">
        <v>39</v>
      </c>
      <c r="D167" s="138" t="s">
        <v>429</v>
      </c>
      <c r="E167" s="185" t="s">
        <v>1080</v>
      </c>
      <c r="F167" s="139" t="s">
        <v>8</v>
      </c>
      <c r="G167" s="139">
        <v>23184</v>
      </c>
      <c r="H167" s="138" t="s">
        <v>199</v>
      </c>
      <c r="I167" s="139" t="s">
        <v>21</v>
      </c>
      <c r="J167" s="139">
        <v>43489</v>
      </c>
      <c r="K167" s="184">
        <v>56</v>
      </c>
      <c r="L167" s="139">
        <v>43794</v>
      </c>
      <c r="M167" s="139">
        <v>43887</v>
      </c>
      <c r="N167" s="189">
        <v>398</v>
      </c>
      <c r="O167" s="140">
        <v>19123.580000000002</v>
      </c>
      <c r="Q167" s="35"/>
    </row>
    <row r="168" spans="1:17" s="165" customFormat="1" ht="15" customHeight="1">
      <c r="A168" s="14"/>
      <c r="B168" s="38"/>
      <c r="C168" s="30" t="s">
        <v>39</v>
      </c>
      <c r="D168" s="138" t="s">
        <v>430</v>
      </c>
      <c r="E168" s="185" t="s">
        <v>1081</v>
      </c>
      <c r="F168" s="139" t="s">
        <v>8</v>
      </c>
      <c r="G168" s="139">
        <v>23190</v>
      </c>
      <c r="H168" s="138" t="s">
        <v>199</v>
      </c>
      <c r="I168" s="139" t="s">
        <v>21</v>
      </c>
      <c r="J168" s="139">
        <v>43829</v>
      </c>
      <c r="K168" s="184">
        <v>56</v>
      </c>
      <c r="L168" s="139"/>
      <c r="M168" s="139"/>
      <c r="N168" s="189">
        <v>0</v>
      </c>
      <c r="O168" s="140">
        <v>0</v>
      </c>
      <c r="Q168" s="35"/>
    </row>
    <row r="169" spans="1:17" s="165" customFormat="1" ht="15" customHeight="1">
      <c r="A169" s="14"/>
      <c r="B169" s="38"/>
      <c r="C169" s="30" t="s">
        <v>39</v>
      </c>
      <c r="D169" s="138" t="s">
        <v>431</v>
      </c>
      <c r="E169" s="185" t="s">
        <v>1082</v>
      </c>
      <c r="F169" s="139" t="s">
        <v>8</v>
      </c>
      <c r="G169" s="139">
        <v>23539</v>
      </c>
      <c r="H169" s="138" t="s">
        <v>199</v>
      </c>
      <c r="I169" s="139" t="s">
        <v>21</v>
      </c>
      <c r="J169" s="139">
        <v>43742</v>
      </c>
      <c r="K169" s="184">
        <v>55</v>
      </c>
      <c r="L169" s="139"/>
      <c r="M169" s="139"/>
      <c r="N169" s="189">
        <v>0</v>
      </c>
      <c r="O169" s="140">
        <v>0</v>
      </c>
      <c r="Q169" s="35"/>
    </row>
    <row r="170" spans="1:17" s="165" customFormat="1" ht="15" customHeight="1">
      <c r="A170" s="14"/>
      <c r="B170" s="38"/>
      <c r="C170" s="30" t="s">
        <v>39</v>
      </c>
      <c r="D170" s="138" t="s">
        <v>432</v>
      </c>
      <c r="E170" s="185" t="s">
        <v>1083</v>
      </c>
      <c r="F170" s="139" t="s">
        <v>8</v>
      </c>
      <c r="G170" s="139">
        <v>23167</v>
      </c>
      <c r="H170" s="138" t="s">
        <v>199</v>
      </c>
      <c r="I170" s="139" t="s">
        <v>21</v>
      </c>
      <c r="J170" s="139">
        <v>43760</v>
      </c>
      <c r="K170" s="184">
        <v>56</v>
      </c>
      <c r="L170" s="139"/>
      <c r="M170" s="139">
        <v>43861</v>
      </c>
      <c r="N170" s="189">
        <v>101</v>
      </c>
      <c r="O170" s="140">
        <v>0</v>
      </c>
      <c r="Q170" s="35"/>
    </row>
    <row r="171" spans="1:17" s="165" customFormat="1" ht="15" customHeight="1">
      <c r="A171" s="14"/>
      <c r="B171" s="38"/>
      <c r="C171" s="30" t="s">
        <v>39</v>
      </c>
      <c r="D171" s="138" t="s">
        <v>433</v>
      </c>
      <c r="E171" s="185" t="s">
        <v>1084</v>
      </c>
      <c r="F171" s="139" t="s">
        <v>8</v>
      </c>
      <c r="G171" s="139">
        <v>23272</v>
      </c>
      <c r="H171" s="138" t="s">
        <v>200</v>
      </c>
      <c r="I171" s="139" t="s">
        <v>21</v>
      </c>
      <c r="J171" s="139">
        <v>43485</v>
      </c>
      <c r="K171" s="184">
        <v>56</v>
      </c>
      <c r="L171" s="139">
        <v>43269</v>
      </c>
      <c r="M171" s="139">
        <v>43489</v>
      </c>
      <c r="N171" s="189">
        <v>4</v>
      </c>
      <c r="O171" s="140">
        <v>3919.75</v>
      </c>
      <c r="Q171" s="35"/>
    </row>
    <row r="172" spans="1:17" s="165" customFormat="1" ht="15" customHeight="1">
      <c r="A172" s="14"/>
      <c r="B172" s="38"/>
      <c r="C172" s="30" t="s">
        <v>39</v>
      </c>
      <c r="D172" s="138" t="s">
        <v>433</v>
      </c>
      <c r="E172" s="185" t="s">
        <v>1084</v>
      </c>
      <c r="F172" s="139" t="s">
        <v>8</v>
      </c>
      <c r="G172" s="139">
        <v>23272</v>
      </c>
      <c r="H172" s="138" t="s">
        <v>200</v>
      </c>
      <c r="I172" s="139" t="s">
        <v>21</v>
      </c>
      <c r="J172" s="139">
        <v>43532</v>
      </c>
      <c r="K172" s="184">
        <v>56</v>
      </c>
      <c r="L172" s="139">
        <v>43269</v>
      </c>
      <c r="M172" s="139">
        <v>43539</v>
      </c>
      <c r="N172" s="189">
        <v>7</v>
      </c>
      <c r="O172" s="140">
        <v>3919.75</v>
      </c>
      <c r="Q172" s="35"/>
    </row>
    <row r="173" spans="1:17" s="165" customFormat="1" ht="15" customHeight="1">
      <c r="A173" s="14"/>
      <c r="B173" s="38"/>
      <c r="C173" s="30" t="s">
        <v>39</v>
      </c>
      <c r="D173" s="138" t="s">
        <v>433</v>
      </c>
      <c r="E173" s="185" t="s">
        <v>1084</v>
      </c>
      <c r="F173" s="139" t="s">
        <v>8</v>
      </c>
      <c r="G173" s="139">
        <v>23272</v>
      </c>
      <c r="H173" s="138" t="s">
        <v>200</v>
      </c>
      <c r="I173" s="139" t="s">
        <v>21</v>
      </c>
      <c r="J173" s="139">
        <v>43578</v>
      </c>
      <c r="K173" s="184">
        <v>56</v>
      </c>
      <c r="L173" s="139">
        <v>43269</v>
      </c>
      <c r="M173" s="139">
        <v>43598</v>
      </c>
      <c r="N173" s="189">
        <v>20</v>
      </c>
      <c r="O173" s="140">
        <v>3919.75</v>
      </c>
      <c r="Q173" s="35"/>
    </row>
    <row r="174" spans="1:17" s="165" customFormat="1" ht="15" customHeight="1">
      <c r="A174" s="14"/>
      <c r="B174" s="38"/>
      <c r="C174" s="30" t="s">
        <v>39</v>
      </c>
      <c r="D174" s="138" t="s">
        <v>433</v>
      </c>
      <c r="E174" s="185" t="s">
        <v>1084</v>
      </c>
      <c r="F174" s="139" t="s">
        <v>8</v>
      </c>
      <c r="G174" s="139">
        <v>23272</v>
      </c>
      <c r="H174" s="138" t="s">
        <v>200</v>
      </c>
      <c r="I174" s="139" t="s">
        <v>21</v>
      </c>
      <c r="J174" s="139">
        <v>43634</v>
      </c>
      <c r="K174" s="184">
        <v>56</v>
      </c>
      <c r="L174" s="139">
        <v>43269</v>
      </c>
      <c r="M174" s="139">
        <v>43640</v>
      </c>
      <c r="N174" s="189">
        <v>6</v>
      </c>
      <c r="O174" s="140">
        <v>3919.75</v>
      </c>
      <c r="Q174" s="35"/>
    </row>
    <row r="175" spans="1:17" s="165" customFormat="1" ht="15" customHeight="1">
      <c r="A175" s="14"/>
      <c r="B175" s="38"/>
      <c r="C175" s="30" t="s">
        <v>39</v>
      </c>
      <c r="D175" s="138" t="s">
        <v>434</v>
      </c>
      <c r="E175" s="185" t="s">
        <v>1085</v>
      </c>
      <c r="F175" s="139" t="s">
        <v>8</v>
      </c>
      <c r="G175" s="139">
        <v>23308</v>
      </c>
      <c r="H175" s="138" t="s">
        <v>199</v>
      </c>
      <c r="I175" s="139" t="s">
        <v>21</v>
      </c>
      <c r="J175" s="139">
        <v>43776</v>
      </c>
      <c r="K175" s="184">
        <v>56</v>
      </c>
      <c r="L175" s="139"/>
      <c r="M175" s="139"/>
      <c r="N175" s="189">
        <v>0</v>
      </c>
      <c r="O175" s="140">
        <v>0</v>
      </c>
      <c r="Q175" s="35"/>
    </row>
    <row r="176" spans="1:17" s="165" customFormat="1" ht="15" customHeight="1">
      <c r="A176" s="14"/>
      <c r="B176" s="38"/>
      <c r="C176" s="30" t="s">
        <v>39</v>
      </c>
      <c r="D176" s="138" t="s">
        <v>142</v>
      </c>
      <c r="E176" s="185" t="s">
        <v>1086</v>
      </c>
      <c r="F176" s="139" t="s">
        <v>8</v>
      </c>
      <c r="G176" s="139">
        <v>23313</v>
      </c>
      <c r="H176" s="138" t="s">
        <v>199</v>
      </c>
      <c r="I176" s="139" t="s">
        <v>21</v>
      </c>
      <c r="J176" s="139">
        <v>43656</v>
      </c>
      <c r="K176" s="184">
        <v>56</v>
      </c>
      <c r="L176" s="139">
        <v>43763</v>
      </c>
      <c r="M176" s="139"/>
      <c r="N176" s="189">
        <v>0</v>
      </c>
      <c r="O176" s="140">
        <v>3669.9</v>
      </c>
      <c r="Q176" s="35"/>
    </row>
    <row r="177" spans="1:17" s="165" customFormat="1" ht="15" customHeight="1">
      <c r="A177" s="14"/>
      <c r="B177" s="38"/>
      <c r="C177" s="30" t="s">
        <v>39</v>
      </c>
      <c r="D177" s="138" t="s">
        <v>173</v>
      </c>
      <c r="E177" s="185" t="s">
        <v>1087</v>
      </c>
      <c r="F177" s="139" t="s">
        <v>8</v>
      </c>
      <c r="G177" s="139">
        <v>23340</v>
      </c>
      <c r="H177" s="138" t="s">
        <v>200</v>
      </c>
      <c r="I177" s="139" t="s">
        <v>21</v>
      </c>
      <c r="J177" s="139">
        <v>43711</v>
      </c>
      <c r="K177" s="184">
        <v>56</v>
      </c>
      <c r="L177" s="139">
        <v>43781</v>
      </c>
      <c r="M177" s="139">
        <v>43830</v>
      </c>
      <c r="N177" s="189">
        <v>119</v>
      </c>
      <c r="O177" s="140">
        <v>3024.5699999999997</v>
      </c>
      <c r="Q177" s="35"/>
    </row>
    <row r="178" spans="1:17" s="165" customFormat="1" ht="15" customHeight="1">
      <c r="A178" s="14"/>
      <c r="B178" s="38"/>
      <c r="C178" s="30" t="s">
        <v>39</v>
      </c>
      <c r="D178" s="138" t="s">
        <v>435</v>
      </c>
      <c r="E178" s="185" t="s">
        <v>1088</v>
      </c>
      <c r="F178" s="139" t="s">
        <v>8</v>
      </c>
      <c r="G178" s="139">
        <v>22391</v>
      </c>
      <c r="H178" s="138" t="s">
        <v>199</v>
      </c>
      <c r="I178" s="139" t="s">
        <v>21</v>
      </c>
      <c r="J178" s="139">
        <v>43604</v>
      </c>
      <c r="K178" s="184">
        <v>58</v>
      </c>
      <c r="L178" s="139">
        <v>43665</v>
      </c>
      <c r="M178" s="139">
        <v>43665</v>
      </c>
      <c r="N178" s="189">
        <v>61</v>
      </c>
      <c r="O178" s="140">
        <v>1525.76</v>
      </c>
      <c r="Q178" s="35"/>
    </row>
    <row r="179" spans="1:17" s="165" customFormat="1" ht="15" customHeight="1">
      <c r="A179" s="14"/>
      <c r="B179" s="38"/>
      <c r="C179" s="30" t="s">
        <v>39</v>
      </c>
      <c r="D179" s="138" t="s">
        <v>161</v>
      </c>
      <c r="E179" s="185" t="s">
        <v>1089</v>
      </c>
      <c r="F179" s="139" t="s">
        <v>8</v>
      </c>
      <c r="G179" s="139">
        <v>22380</v>
      </c>
      <c r="H179" s="138" t="s">
        <v>199</v>
      </c>
      <c r="I179" s="139" t="s">
        <v>21</v>
      </c>
      <c r="J179" s="139">
        <v>43710</v>
      </c>
      <c r="K179" s="184">
        <v>58</v>
      </c>
      <c r="L179" s="139">
        <v>43799</v>
      </c>
      <c r="M179" s="139"/>
      <c r="N179" s="189">
        <v>0</v>
      </c>
      <c r="O179" s="140">
        <v>1219.2</v>
      </c>
      <c r="Q179" s="35"/>
    </row>
    <row r="180" spans="1:17" s="165" customFormat="1" ht="15" customHeight="1">
      <c r="A180" s="14"/>
      <c r="B180" s="38"/>
      <c r="C180" s="30" t="s">
        <v>39</v>
      </c>
      <c r="D180" s="138" t="s">
        <v>436</v>
      </c>
      <c r="E180" s="185" t="s">
        <v>1090</v>
      </c>
      <c r="F180" s="139" t="s">
        <v>8</v>
      </c>
      <c r="G180" s="139">
        <v>22389</v>
      </c>
      <c r="H180" s="138" t="s">
        <v>199</v>
      </c>
      <c r="I180" s="139" t="s">
        <v>21</v>
      </c>
      <c r="J180" s="139">
        <v>43731</v>
      </c>
      <c r="K180" s="184">
        <v>58</v>
      </c>
      <c r="L180" s="139"/>
      <c r="M180" s="139">
        <v>43786</v>
      </c>
      <c r="N180" s="189">
        <v>55</v>
      </c>
      <c r="O180" s="140">
        <v>0</v>
      </c>
      <c r="Q180" s="35"/>
    </row>
    <row r="181" spans="1:17" s="165" customFormat="1" ht="15" customHeight="1">
      <c r="A181" s="14"/>
      <c r="B181" s="38"/>
      <c r="C181" s="30" t="s">
        <v>39</v>
      </c>
      <c r="D181" s="138" t="s">
        <v>437</v>
      </c>
      <c r="E181" s="185" t="s">
        <v>1091</v>
      </c>
      <c r="F181" s="139" t="s">
        <v>8</v>
      </c>
      <c r="G181" s="139">
        <v>22417</v>
      </c>
      <c r="H181" s="138" t="s">
        <v>199</v>
      </c>
      <c r="I181" s="139" t="s">
        <v>21</v>
      </c>
      <c r="J181" s="139">
        <v>43609</v>
      </c>
      <c r="K181" s="184">
        <v>58</v>
      </c>
      <c r="L181" s="139">
        <v>43686</v>
      </c>
      <c r="M181" s="139">
        <v>43651</v>
      </c>
      <c r="N181" s="189">
        <v>42</v>
      </c>
      <c r="O181" s="140">
        <v>3595.29</v>
      </c>
      <c r="Q181" s="35"/>
    </row>
    <row r="182" spans="1:17" s="165" customFormat="1" ht="15" customHeight="1">
      <c r="A182" s="14"/>
      <c r="B182" s="38"/>
      <c r="C182" s="30" t="s">
        <v>39</v>
      </c>
      <c r="D182" s="138" t="s">
        <v>437</v>
      </c>
      <c r="E182" s="185" t="s">
        <v>1091</v>
      </c>
      <c r="F182" s="139" t="s">
        <v>8</v>
      </c>
      <c r="G182" s="139">
        <v>22417</v>
      </c>
      <c r="H182" s="138" t="s">
        <v>199</v>
      </c>
      <c r="I182" s="139" t="s">
        <v>21</v>
      </c>
      <c r="J182" s="139">
        <v>43656</v>
      </c>
      <c r="K182" s="184">
        <v>58</v>
      </c>
      <c r="L182" s="139">
        <v>43686</v>
      </c>
      <c r="M182" s="139">
        <v>43686</v>
      </c>
      <c r="N182" s="189">
        <v>30</v>
      </c>
      <c r="O182" s="140">
        <v>3595.29</v>
      </c>
      <c r="Q182" s="35"/>
    </row>
    <row r="183" spans="1:17" s="165" customFormat="1" ht="15" customHeight="1">
      <c r="A183" s="14"/>
      <c r="B183" s="38"/>
      <c r="C183" s="30" t="s">
        <v>39</v>
      </c>
      <c r="D183" s="138" t="s">
        <v>437</v>
      </c>
      <c r="E183" s="185" t="s">
        <v>1091</v>
      </c>
      <c r="F183" s="139" t="s">
        <v>8</v>
      </c>
      <c r="G183" s="139">
        <v>22417</v>
      </c>
      <c r="H183" s="138" t="s">
        <v>199</v>
      </c>
      <c r="I183" s="139" t="s">
        <v>21</v>
      </c>
      <c r="J183" s="139">
        <v>43726</v>
      </c>
      <c r="K183" s="184">
        <v>58</v>
      </c>
      <c r="L183" s="139">
        <v>43686</v>
      </c>
      <c r="M183" s="139">
        <v>43752</v>
      </c>
      <c r="N183" s="189">
        <v>26</v>
      </c>
      <c r="O183" s="140">
        <v>3595.29</v>
      </c>
      <c r="Q183" s="35"/>
    </row>
    <row r="184" spans="1:17" s="165" customFormat="1" ht="15" customHeight="1">
      <c r="A184" s="14"/>
      <c r="B184" s="38"/>
      <c r="C184" s="30" t="s">
        <v>39</v>
      </c>
      <c r="D184" s="138" t="s">
        <v>438</v>
      </c>
      <c r="E184" s="185" t="s">
        <v>1092</v>
      </c>
      <c r="F184" s="139" t="s">
        <v>8</v>
      </c>
      <c r="G184" s="139">
        <v>22433</v>
      </c>
      <c r="H184" s="138" t="s">
        <v>199</v>
      </c>
      <c r="I184" s="139" t="s">
        <v>21</v>
      </c>
      <c r="J184" s="139">
        <v>43567</v>
      </c>
      <c r="K184" s="184">
        <v>58</v>
      </c>
      <c r="L184" s="139"/>
      <c r="M184" s="139">
        <v>43830</v>
      </c>
      <c r="N184" s="189">
        <v>263</v>
      </c>
      <c r="O184" s="140">
        <v>0</v>
      </c>
      <c r="Q184" s="35"/>
    </row>
    <row r="185" spans="1:17" s="165" customFormat="1" ht="15" customHeight="1">
      <c r="A185" s="14"/>
      <c r="B185" s="38"/>
      <c r="C185" s="30" t="s">
        <v>39</v>
      </c>
      <c r="D185" s="138" t="s">
        <v>439</v>
      </c>
      <c r="E185" s="185" t="s">
        <v>1093</v>
      </c>
      <c r="F185" s="139" t="s">
        <v>8</v>
      </c>
      <c r="G185" s="139">
        <v>22463</v>
      </c>
      <c r="H185" s="138" t="s">
        <v>199</v>
      </c>
      <c r="I185" s="139" t="s">
        <v>21</v>
      </c>
      <c r="J185" s="139">
        <v>43670</v>
      </c>
      <c r="K185" s="184">
        <v>58</v>
      </c>
      <c r="L185" s="139">
        <v>43704</v>
      </c>
      <c r="M185" s="139">
        <v>43800</v>
      </c>
      <c r="N185" s="189">
        <v>130</v>
      </c>
      <c r="O185" s="140">
        <v>135</v>
      </c>
      <c r="Q185" s="35"/>
    </row>
    <row r="186" spans="1:17" s="165" customFormat="1" ht="15" customHeight="1">
      <c r="A186" s="14"/>
      <c r="B186" s="38"/>
      <c r="C186" s="30" t="s">
        <v>39</v>
      </c>
      <c r="D186" s="138" t="s">
        <v>439</v>
      </c>
      <c r="E186" s="185" t="s">
        <v>1093</v>
      </c>
      <c r="F186" s="139" t="s">
        <v>8</v>
      </c>
      <c r="G186" s="139">
        <v>22463</v>
      </c>
      <c r="H186" s="138" t="s">
        <v>199</v>
      </c>
      <c r="I186" s="139" t="s">
        <v>21</v>
      </c>
      <c r="J186" s="139">
        <v>43817</v>
      </c>
      <c r="K186" s="184">
        <v>58</v>
      </c>
      <c r="L186" s="139">
        <v>43704</v>
      </c>
      <c r="M186" s="139"/>
      <c r="N186" s="189">
        <v>0</v>
      </c>
      <c r="O186" s="140">
        <v>135</v>
      </c>
      <c r="Q186" s="35"/>
    </row>
    <row r="187" spans="1:17" s="165" customFormat="1" ht="15" customHeight="1">
      <c r="A187" s="14"/>
      <c r="B187" s="38"/>
      <c r="C187" s="30" t="s">
        <v>39</v>
      </c>
      <c r="D187" s="138" t="s">
        <v>440</v>
      </c>
      <c r="E187" s="185" t="s">
        <v>1094</v>
      </c>
      <c r="F187" s="139" t="s">
        <v>8</v>
      </c>
      <c r="G187" s="139">
        <v>22494</v>
      </c>
      <c r="H187" s="138" t="s">
        <v>199</v>
      </c>
      <c r="I187" s="139" t="s">
        <v>21</v>
      </c>
      <c r="J187" s="139">
        <v>43713</v>
      </c>
      <c r="K187" s="184">
        <v>58</v>
      </c>
      <c r="L187" s="139"/>
      <c r="M187" s="139">
        <v>43850</v>
      </c>
      <c r="N187" s="189">
        <v>137</v>
      </c>
      <c r="O187" s="140">
        <v>0</v>
      </c>
      <c r="Q187" s="35"/>
    </row>
    <row r="188" spans="1:17" s="165" customFormat="1" ht="15" customHeight="1">
      <c r="A188" s="14"/>
      <c r="B188" s="38"/>
      <c r="C188" s="30" t="s">
        <v>39</v>
      </c>
      <c r="D188" s="138" t="s">
        <v>441</v>
      </c>
      <c r="E188" s="185" t="s">
        <v>1095</v>
      </c>
      <c r="F188" s="139" t="s">
        <v>8</v>
      </c>
      <c r="G188" s="139">
        <v>22495</v>
      </c>
      <c r="H188" s="138" t="s">
        <v>199</v>
      </c>
      <c r="I188" s="139" t="s">
        <v>21</v>
      </c>
      <c r="J188" s="139">
        <v>43815</v>
      </c>
      <c r="K188" s="184">
        <v>58</v>
      </c>
      <c r="L188" s="139"/>
      <c r="M188" s="139">
        <v>44196</v>
      </c>
      <c r="N188" s="189">
        <v>381</v>
      </c>
      <c r="O188" s="140">
        <v>0</v>
      </c>
      <c r="Q188" s="35"/>
    </row>
    <row r="189" spans="1:17" s="165" customFormat="1" ht="15" customHeight="1">
      <c r="A189" s="14"/>
      <c r="B189" s="38"/>
      <c r="C189" s="30" t="s">
        <v>39</v>
      </c>
      <c r="D189" s="138" t="s">
        <v>442</v>
      </c>
      <c r="E189" s="185" t="s">
        <v>1096</v>
      </c>
      <c r="F189" s="139" t="s">
        <v>8</v>
      </c>
      <c r="G189" s="139">
        <v>22509</v>
      </c>
      <c r="H189" s="138" t="s">
        <v>199</v>
      </c>
      <c r="I189" s="139" t="s">
        <v>21</v>
      </c>
      <c r="J189" s="139">
        <v>43476</v>
      </c>
      <c r="K189" s="184">
        <v>58</v>
      </c>
      <c r="L189" s="139">
        <v>43787</v>
      </c>
      <c r="M189" s="139"/>
      <c r="N189" s="189">
        <v>0</v>
      </c>
      <c r="O189" s="140">
        <v>5933.2800000000007</v>
      </c>
      <c r="Q189" s="35"/>
    </row>
    <row r="190" spans="1:17" s="165" customFormat="1" ht="15" customHeight="1">
      <c r="A190" s="14"/>
      <c r="B190" s="38"/>
      <c r="C190" s="30" t="s">
        <v>39</v>
      </c>
      <c r="D190" s="138" t="s">
        <v>443</v>
      </c>
      <c r="E190" s="185" t="s">
        <v>1097</v>
      </c>
      <c r="F190" s="139" t="s">
        <v>8</v>
      </c>
      <c r="G190" s="139">
        <v>22539</v>
      </c>
      <c r="H190" s="138" t="s">
        <v>199</v>
      </c>
      <c r="I190" s="139" t="s">
        <v>21</v>
      </c>
      <c r="J190" s="139">
        <v>43468</v>
      </c>
      <c r="K190" s="184">
        <v>58</v>
      </c>
      <c r="L190" s="139">
        <v>43558</v>
      </c>
      <c r="M190" s="139">
        <v>43558</v>
      </c>
      <c r="N190" s="189">
        <v>90</v>
      </c>
      <c r="O190" s="140">
        <v>1633.58</v>
      </c>
      <c r="Q190" s="35"/>
    </row>
    <row r="191" spans="1:17" s="165" customFormat="1" ht="15" customHeight="1">
      <c r="A191" s="14"/>
      <c r="B191" s="38"/>
      <c r="C191" s="30" t="s">
        <v>39</v>
      </c>
      <c r="D191" s="138" t="s">
        <v>444</v>
      </c>
      <c r="E191" s="185" t="s">
        <v>1098</v>
      </c>
      <c r="F191" s="139" t="s">
        <v>8</v>
      </c>
      <c r="G191" s="139">
        <v>22536</v>
      </c>
      <c r="H191" s="138" t="s">
        <v>199</v>
      </c>
      <c r="I191" s="139" t="s">
        <v>21</v>
      </c>
      <c r="J191" s="139">
        <v>43578</v>
      </c>
      <c r="K191" s="184">
        <v>58</v>
      </c>
      <c r="L191" s="139">
        <v>43737</v>
      </c>
      <c r="M191" s="139">
        <v>43737</v>
      </c>
      <c r="N191" s="189">
        <v>159</v>
      </c>
      <c r="O191" s="140">
        <v>1635.4</v>
      </c>
      <c r="Q191" s="35"/>
    </row>
    <row r="192" spans="1:17" s="165" customFormat="1" ht="15" customHeight="1">
      <c r="A192" s="14"/>
      <c r="B192" s="38"/>
      <c r="C192" s="30" t="s">
        <v>39</v>
      </c>
      <c r="D192" s="138" t="s">
        <v>445</v>
      </c>
      <c r="E192" s="185" t="s">
        <v>1099</v>
      </c>
      <c r="F192" s="139" t="s">
        <v>8</v>
      </c>
      <c r="G192" s="139">
        <v>22576</v>
      </c>
      <c r="H192" s="138" t="s">
        <v>199</v>
      </c>
      <c r="I192" s="139" t="s">
        <v>21</v>
      </c>
      <c r="J192" s="139">
        <v>43811</v>
      </c>
      <c r="K192" s="184">
        <v>58</v>
      </c>
      <c r="L192" s="139"/>
      <c r="M192" s="139">
        <v>43889</v>
      </c>
      <c r="N192" s="189">
        <v>78</v>
      </c>
      <c r="O192" s="140">
        <v>0</v>
      </c>
      <c r="Q192" s="35"/>
    </row>
    <row r="193" spans="1:17" s="165" customFormat="1" ht="15" customHeight="1">
      <c r="A193" s="14"/>
      <c r="B193" s="38"/>
      <c r="C193" s="30" t="s">
        <v>39</v>
      </c>
      <c r="D193" s="138" t="s">
        <v>446</v>
      </c>
      <c r="E193" s="185" t="s">
        <v>1100</v>
      </c>
      <c r="F193" s="139" t="s">
        <v>8</v>
      </c>
      <c r="G193" s="139">
        <v>22615</v>
      </c>
      <c r="H193" s="138" t="s">
        <v>199</v>
      </c>
      <c r="I193" s="139" t="s">
        <v>21</v>
      </c>
      <c r="J193" s="139">
        <v>43524</v>
      </c>
      <c r="K193" s="184">
        <v>58</v>
      </c>
      <c r="L193" s="139">
        <v>43738</v>
      </c>
      <c r="M193" s="139">
        <v>43861</v>
      </c>
      <c r="N193" s="189">
        <v>337</v>
      </c>
      <c r="O193" s="140">
        <v>5918.880000000001</v>
      </c>
      <c r="Q193" s="35"/>
    </row>
    <row r="194" spans="1:17" s="165" customFormat="1" ht="15" customHeight="1">
      <c r="A194" s="14"/>
      <c r="B194" s="38"/>
      <c r="C194" s="30" t="s">
        <v>39</v>
      </c>
      <c r="D194" s="138" t="s">
        <v>116</v>
      </c>
      <c r="E194" s="185" t="s">
        <v>1101</v>
      </c>
      <c r="F194" s="139" t="s">
        <v>8</v>
      </c>
      <c r="G194" s="139">
        <v>22648</v>
      </c>
      <c r="H194" s="138" t="s">
        <v>199</v>
      </c>
      <c r="I194" s="139" t="s">
        <v>21</v>
      </c>
      <c r="J194" s="139">
        <v>43509</v>
      </c>
      <c r="K194" s="184">
        <v>57</v>
      </c>
      <c r="L194" s="139">
        <v>43808</v>
      </c>
      <c r="M194" s="139">
        <v>43848</v>
      </c>
      <c r="N194" s="189">
        <v>339</v>
      </c>
      <c r="O194" s="140">
        <v>6153.3</v>
      </c>
      <c r="Q194" s="35"/>
    </row>
    <row r="195" spans="1:17" s="165" customFormat="1" ht="15" customHeight="1">
      <c r="A195" s="14"/>
      <c r="B195" s="38"/>
      <c r="C195" s="30" t="s">
        <v>39</v>
      </c>
      <c r="D195" s="138" t="s">
        <v>447</v>
      </c>
      <c r="E195" s="185" t="s">
        <v>1102</v>
      </c>
      <c r="F195" s="139" t="s">
        <v>8</v>
      </c>
      <c r="G195" s="139">
        <v>22675</v>
      </c>
      <c r="H195" s="138" t="s">
        <v>199</v>
      </c>
      <c r="I195" s="139" t="s">
        <v>21</v>
      </c>
      <c r="J195" s="139">
        <v>43711</v>
      </c>
      <c r="K195" s="184">
        <v>57</v>
      </c>
      <c r="L195" s="139"/>
      <c r="M195" s="139">
        <v>43905</v>
      </c>
      <c r="N195" s="189">
        <v>194</v>
      </c>
      <c r="O195" s="140">
        <v>0</v>
      </c>
      <c r="Q195" s="35"/>
    </row>
    <row r="196" spans="1:17" s="165" customFormat="1" ht="15" customHeight="1">
      <c r="A196" s="14"/>
      <c r="B196" s="38"/>
      <c r="C196" s="30" t="s">
        <v>39</v>
      </c>
      <c r="D196" s="138" t="s">
        <v>126</v>
      </c>
      <c r="E196" s="185" t="s">
        <v>1103</v>
      </c>
      <c r="F196" s="139" t="s">
        <v>8</v>
      </c>
      <c r="G196" s="139">
        <v>22671</v>
      </c>
      <c r="H196" s="138" t="s">
        <v>199</v>
      </c>
      <c r="I196" s="139" t="s">
        <v>21</v>
      </c>
      <c r="J196" s="139">
        <v>43528</v>
      </c>
      <c r="K196" s="184">
        <v>57</v>
      </c>
      <c r="L196" s="139">
        <v>43808</v>
      </c>
      <c r="M196" s="139">
        <v>44272</v>
      </c>
      <c r="N196" s="189">
        <v>744</v>
      </c>
      <c r="O196" s="140">
        <v>8576.67</v>
      </c>
      <c r="Q196" s="35"/>
    </row>
    <row r="197" spans="1:17" s="165" customFormat="1" ht="15" customHeight="1">
      <c r="A197" s="14"/>
      <c r="B197" s="38"/>
      <c r="C197" s="30" t="s">
        <v>39</v>
      </c>
      <c r="D197" s="138" t="s">
        <v>218</v>
      </c>
      <c r="E197" s="185" t="s">
        <v>1104</v>
      </c>
      <c r="F197" s="139" t="s">
        <v>8</v>
      </c>
      <c r="G197" s="139">
        <v>22692</v>
      </c>
      <c r="H197" s="138" t="s">
        <v>200</v>
      </c>
      <c r="I197" s="139" t="s">
        <v>21</v>
      </c>
      <c r="J197" s="139">
        <v>43551</v>
      </c>
      <c r="K197" s="184">
        <v>57</v>
      </c>
      <c r="L197" s="139">
        <v>43642</v>
      </c>
      <c r="M197" s="139">
        <v>43641</v>
      </c>
      <c r="N197" s="189">
        <v>90</v>
      </c>
      <c r="O197" s="140">
        <v>122801.86</v>
      </c>
      <c r="Q197" s="35"/>
    </row>
    <row r="198" spans="1:17" s="165" customFormat="1" ht="15" customHeight="1">
      <c r="A198" s="14"/>
      <c r="B198" s="38"/>
      <c r="C198" s="30" t="s">
        <v>39</v>
      </c>
      <c r="D198" s="138" t="s">
        <v>448</v>
      </c>
      <c r="E198" s="185" t="s">
        <v>1105</v>
      </c>
      <c r="F198" s="139" t="s">
        <v>8</v>
      </c>
      <c r="G198" s="139">
        <v>22754</v>
      </c>
      <c r="H198" s="138" t="s">
        <v>199</v>
      </c>
      <c r="I198" s="139" t="s">
        <v>21</v>
      </c>
      <c r="J198" s="139">
        <v>43718</v>
      </c>
      <c r="K198" s="184">
        <v>57</v>
      </c>
      <c r="L198" s="139"/>
      <c r="M198" s="139">
        <v>43794</v>
      </c>
      <c r="N198" s="189">
        <v>76</v>
      </c>
      <c r="O198" s="140">
        <v>0</v>
      </c>
      <c r="Q198" s="35"/>
    </row>
    <row r="199" spans="1:17" s="165" customFormat="1" ht="15" customHeight="1">
      <c r="A199" s="14"/>
      <c r="B199" s="38"/>
      <c r="C199" s="30" t="s">
        <v>39</v>
      </c>
      <c r="D199" s="138" t="s">
        <v>449</v>
      </c>
      <c r="E199" s="185" t="s">
        <v>1105</v>
      </c>
      <c r="F199" s="139" t="s">
        <v>8</v>
      </c>
      <c r="G199" s="139">
        <v>22754</v>
      </c>
      <c r="H199" s="138" t="s">
        <v>199</v>
      </c>
      <c r="I199" s="139" t="s">
        <v>21</v>
      </c>
      <c r="J199" s="139">
        <v>43825</v>
      </c>
      <c r="K199" s="184">
        <v>57</v>
      </c>
      <c r="L199" s="139"/>
      <c r="M199" s="139">
        <v>43887</v>
      </c>
      <c r="N199" s="189">
        <v>62</v>
      </c>
      <c r="O199" s="140">
        <v>0</v>
      </c>
      <c r="Q199" s="35"/>
    </row>
    <row r="200" spans="1:17" s="165" customFormat="1" ht="15" customHeight="1">
      <c r="A200" s="14"/>
      <c r="B200" s="38"/>
      <c r="C200" s="30" t="s">
        <v>39</v>
      </c>
      <c r="D200" s="138" t="s">
        <v>450</v>
      </c>
      <c r="E200" s="185" t="s">
        <v>1106</v>
      </c>
      <c r="F200" s="139" t="s">
        <v>8</v>
      </c>
      <c r="G200" s="139">
        <v>22769</v>
      </c>
      <c r="H200" s="138" t="s">
        <v>200</v>
      </c>
      <c r="I200" s="139" t="s">
        <v>21</v>
      </c>
      <c r="J200" s="139">
        <v>43474</v>
      </c>
      <c r="K200" s="184">
        <v>57</v>
      </c>
      <c r="L200" s="139">
        <v>43549</v>
      </c>
      <c r="M200" s="139">
        <v>43549</v>
      </c>
      <c r="N200" s="189">
        <v>75</v>
      </c>
      <c r="O200" s="140">
        <v>4381.04</v>
      </c>
      <c r="Q200" s="35"/>
    </row>
    <row r="201" spans="1:17" s="165" customFormat="1" ht="15" customHeight="1">
      <c r="A201" s="14"/>
      <c r="B201" s="38"/>
      <c r="C201" s="30" t="s">
        <v>39</v>
      </c>
      <c r="D201" s="138" t="s">
        <v>451</v>
      </c>
      <c r="E201" s="185" t="s">
        <v>1107</v>
      </c>
      <c r="F201" s="139" t="s">
        <v>8</v>
      </c>
      <c r="G201" s="139">
        <v>22785</v>
      </c>
      <c r="H201" s="138" t="s">
        <v>199</v>
      </c>
      <c r="I201" s="139" t="s">
        <v>21</v>
      </c>
      <c r="J201" s="139">
        <v>43511</v>
      </c>
      <c r="K201" s="184">
        <v>57</v>
      </c>
      <c r="L201" s="139">
        <v>43587</v>
      </c>
      <c r="M201" s="139">
        <v>44017</v>
      </c>
      <c r="N201" s="189">
        <v>506</v>
      </c>
      <c r="O201" s="140">
        <v>983.71</v>
      </c>
      <c r="Q201" s="35"/>
    </row>
    <row r="202" spans="1:17" s="165" customFormat="1" ht="15" customHeight="1">
      <c r="A202" s="14"/>
      <c r="B202" s="38"/>
      <c r="C202" s="30" t="s">
        <v>39</v>
      </c>
      <c r="D202" s="138" t="s">
        <v>452</v>
      </c>
      <c r="E202" s="185" t="s">
        <v>1108</v>
      </c>
      <c r="F202" s="139" t="s">
        <v>8</v>
      </c>
      <c r="G202" s="139">
        <v>22817</v>
      </c>
      <c r="H202" s="138" t="s">
        <v>199</v>
      </c>
      <c r="I202" s="139" t="s">
        <v>21</v>
      </c>
      <c r="J202" s="139">
        <v>43522</v>
      </c>
      <c r="K202" s="184">
        <v>57</v>
      </c>
      <c r="L202" s="139">
        <v>43559</v>
      </c>
      <c r="M202" s="139">
        <v>43559</v>
      </c>
      <c r="N202" s="189">
        <v>37</v>
      </c>
      <c r="O202" s="140">
        <v>154.4</v>
      </c>
      <c r="Q202" s="35"/>
    </row>
    <row r="203" spans="1:17" s="165" customFormat="1" ht="15" customHeight="1">
      <c r="A203" s="14"/>
      <c r="B203" s="38"/>
      <c r="C203" s="30" t="s">
        <v>39</v>
      </c>
      <c r="D203" s="138" t="s">
        <v>453</v>
      </c>
      <c r="E203" s="185" t="s">
        <v>1109</v>
      </c>
      <c r="F203" s="139" t="s">
        <v>8</v>
      </c>
      <c r="G203" s="139">
        <v>22834</v>
      </c>
      <c r="H203" s="138" t="s">
        <v>199</v>
      </c>
      <c r="I203" s="139" t="s">
        <v>21</v>
      </c>
      <c r="J203" s="139">
        <v>43571</v>
      </c>
      <c r="K203" s="184">
        <v>57</v>
      </c>
      <c r="L203" s="139">
        <v>43623</v>
      </c>
      <c r="M203" s="139">
        <v>43623</v>
      </c>
      <c r="N203" s="189">
        <v>52</v>
      </c>
      <c r="O203" s="140">
        <v>731.17</v>
      </c>
      <c r="Q203" s="35"/>
    </row>
    <row r="204" spans="1:17" s="165" customFormat="1" ht="15" customHeight="1">
      <c r="A204" s="14"/>
      <c r="B204" s="38"/>
      <c r="C204" s="30" t="s">
        <v>39</v>
      </c>
      <c r="D204" s="138" t="s">
        <v>454</v>
      </c>
      <c r="E204" s="185" t="s">
        <v>1110</v>
      </c>
      <c r="F204" s="139" t="s">
        <v>10</v>
      </c>
      <c r="G204" s="139">
        <v>22878</v>
      </c>
      <c r="H204" s="138" t="s">
        <v>200</v>
      </c>
      <c r="I204" s="139" t="s">
        <v>21</v>
      </c>
      <c r="J204" s="139">
        <v>43542</v>
      </c>
      <c r="K204" s="184">
        <v>57</v>
      </c>
      <c r="L204" s="139">
        <v>43622</v>
      </c>
      <c r="M204" s="139">
        <v>43622</v>
      </c>
      <c r="N204" s="189">
        <v>80</v>
      </c>
      <c r="O204" s="140">
        <v>4619.07</v>
      </c>
      <c r="Q204" s="35"/>
    </row>
    <row r="205" spans="1:17" s="165" customFormat="1" ht="15" customHeight="1">
      <c r="A205" s="14"/>
      <c r="B205" s="38"/>
      <c r="C205" s="30" t="s">
        <v>39</v>
      </c>
      <c r="D205" s="138" t="s">
        <v>455</v>
      </c>
      <c r="E205" s="185" t="s">
        <v>1111</v>
      </c>
      <c r="F205" s="139" t="s">
        <v>8</v>
      </c>
      <c r="G205" s="139">
        <v>22918</v>
      </c>
      <c r="H205" s="138" t="s">
        <v>199</v>
      </c>
      <c r="I205" s="139" t="s">
        <v>21</v>
      </c>
      <c r="J205" s="139">
        <v>43507</v>
      </c>
      <c r="K205" s="184">
        <v>57</v>
      </c>
      <c r="L205" s="139">
        <v>43639</v>
      </c>
      <c r="M205" s="139">
        <v>43639</v>
      </c>
      <c r="N205" s="189">
        <v>132</v>
      </c>
      <c r="O205" s="140">
        <v>4729.76</v>
      </c>
      <c r="Q205" s="35"/>
    </row>
    <row r="206" spans="1:17" s="165" customFormat="1" ht="15" customHeight="1">
      <c r="A206" s="14"/>
      <c r="B206" s="38"/>
      <c r="C206" s="30" t="s">
        <v>39</v>
      </c>
      <c r="D206" s="138" t="s">
        <v>456</v>
      </c>
      <c r="E206" s="185" t="s">
        <v>1112</v>
      </c>
      <c r="F206" s="139" t="s">
        <v>8</v>
      </c>
      <c r="G206" s="139">
        <v>22941</v>
      </c>
      <c r="H206" s="138" t="s">
        <v>199</v>
      </c>
      <c r="I206" s="139" t="s">
        <v>21</v>
      </c>
      <c r="J206" s="139">
        <v>43830</v>
      </c>
      <c r="K206" s="184">
        <v>57</v>
      </c>
      <c r="L206" s="139"/>
      <c r="M206" s="139">
        <v>43966</v>
      </c>
      <c r="N206" s="189">
        <v>136</v>
      </c>
      <c r="O206" s="140">
        <v>0</v>
      </c>
      <c r="Q206" s="35"/>
    </row>
    <row r="207" spans="1:17" s="165" customFormat="1" ht="15" customHeight="1">
      <c r="A207" s="14"/>
      <c r="B207" s="38"/>
      <c r="C207" s="30" t="s">
        <v>39</v>
      </c>
      <c r="D207" s="138" t="s">
        <v>132</v>
      </c>
      <c r="E207" s="185" t="s">
        <v>1113</v>
      </c>
      <c r="F207" s="139" t="s">
        <v>8</v>
      </c>
      <c r="G207" s="139">
        <v>22986</v>
      </c>
      <c r="H207" s="138" t="s">
        <v>199</v>
      </c>
      <c r="I207" s="139" t="s">
        <v>21</v>
      </c>
      <c r="J207" s="139">
        <v>43640</v>
      </c>
      <c r="K207" s="184">
        <v>57</v>
      </c>
      <c r="L207" s="139">
        <v>43801</v>
      </c>
      <c r="M207" s="139">
        <v>44227</v>
      </c>
      <c r="N207" s="189">
        <v>587</v>
      </c>
      <c r="O207" s="140">
        <v>2646.6</v>
      </c>
      <c r="Q207" s="35"/>
    </row>
    <row r="208" spans="1:17" s="165" customFormat="1" ht="15" customHeight="1">
      <c r="A208" s="14"/>
      <c r="B208" s="38"/>
      <c r="C208" s="30" t="s">
        <v>39</v>
      </c>
      <c r="D208" s="138" t="s">
        <v>168</v>
      </c>
      <c r="E208" s="185" t="s">
        <v>1114</v>
      </c>
      <c r="F208" s="139" t="s">
        <v>8</v>
      </c>
      <c r="G208" s="139">
        <v>23009</v>
      </c>
      <c r="H208" s="138" t="s">
        <v>200</v>
      </c>
      <c r="I208" s="139" t="s">
        <v>21</v>
      </c>
      <c r="J208" s="139">
        <v>43629</v>
      </c>
      <c r="K208" s="184">
        <v>57</v>
      </c>
      <c r="L208" s="139">
        <v>43799</v>
      </c>
      <c r="M208" s="139"/>
      <c r="N208" s="189">
        <v>0</v>
      </c>
      <c r="O208" s="140">
        <v>1222.47</v>
      </c>
      <c r="Q208" s="35"/>
    </row>
    <row r="209" spans="1:17" s="165" customFormat="1" ht="15" customHeight="1">
      <c r="A209" s="14"/>
      <c r="B209" s="38"/>
      <c r="C209" s="30" t="s">
        <v>39</v>
      </c>
      <c r="D209" s="138" t="s">
        <v>457</v>
      </c>
      <c r="E209" s="185" t="s">
        <v>1115</v>
      </c>
      <c r="F209" s="139" t="s">
        <v>8</v>
      </c>
      <c r="G209" s="139">
        <v>23056</v>
      </c>
      <c r="H209" s="138" t="s">
        <v>200</v>
      </c>
      <c r="I209" s="139" t="s">
        <v>21</v>
      </c>
      <c r="J209" s="139">
        <v>43475</v>
      </c>
      <c r="K209" s="184">
        <v>56</v>
      </c>
      <c r="L209" s="139">
        <v>43588</v>
      </c>
      <c r="M209" s="139">
        <v>43588</v>
      </c>
      <c r="N209" s="189">
        <v>113</v>
      </c>
      <c r="O209" s="140">
        <v>7028.1</v>
      </c>
      <c r="Q209" s="35"/>
    </row>
    <row r="210" spans="1:17" s="165" customFormat="1" ht="15" customHeight="1">
      <c r="A210" s="14"/>
      <c r="B210" s="38"/>
      <c r="C210" s="30" t="s">
        <v>39</v>
      </c>
      <c r="D210" s="138" t="s">
        <v>458</v>
      </c>
      <c r="E210" s="185" t="s">
        <v>1116</v>
      </c>
      <c r="F210" s="139" t="s">
        <v>8</v>
      </c>
      <c r="G210" s="139">
        <v>23054</v>
      </c>
      <c r="H210" s="138" t="s">
        <v>199</v>
      </c>
      <c r="I210" s="139" t="s">
        <v>21</v>
      </c>
      <c r="J210" s="139">
        <v>43591</v>
      </c>
      <c r="K210" s="184">
        <v>56</v>
      </c>
      <c r="L210" s="139"/>
      <c r="M210" s="139">
        <v>43861</v>
      </c>
      <c r="N210" s="189">
        <v>270</v>
      </c>
      <c r="O210" s="140">
        <v>0</v>
      </c>
      <c r="Q210" s="35"/>
    </row>
    <row r="211" spans="1:17" s="165" customFormat="1" ht="15" customHeight="1">
      <c r="A211" s="14"/>
      <c r="B211" s="38"/>
      <c r="C211" s="30" t="s">
        <v>39</v>
      </c>
      <c r="D211" s="138" t="s">
        <v>459</v>
      </c>
      <c r="E211" s="185" t="s">
        <v>1117</v>
      </c>
      <c r="F211" s="139" t="s">
        <v>8</v>
      </c>
      <c r="G211" s="139">
        <v>23088</v>
      </c>
      <c r="H211" s="138" t="s">
        <v>199</v>
      </c>
      <c r="I211" s="139" t="s">
        <v>21</v>
      </c>
      <c r="J211" s="139">
        <v>43495</v>
      </c>
      <c r="K211" s="184">
        <v>56</v>
      </c>
      <c r="L211" s="139">
        <v>43711</v>
      </c>
      <c r="M211" s="139">
        <v>43738</v>
      </c>
      <c r="N211" s="189">
        <v>243</v>
      </c>
      <c r="O211" s="140">
        <v>2771.34</v>
      </c>
      <c r="Q211" s="35"/>
    </row>
    <row r="212" spans="1:17" s="165" customFormat="1" ht="15" customHeight="1">
      <c r="A212" s="14"/>
      <c r="B212" s="38"/>
      <c r="C212" s="30" t="s">
        <v>39</v>
      </c>
      <c r="D212" s="138" t="s">
        <v>460</v>
      </c>
      <c r="E212" s="185" t="s">
        <v>1118</v>
      </c>
      <c r="F212" s="139" t="s">
        <v>8</v>
      </c>
      <c r="G212" s="139">
        <v>23081</v>
      </c>
      <c r="H212" s="138" t="s">
        <v>199</v>
      </c>
      <c r="I212" s="139" t="s">
        <v>21</v>
      </c>
      <c r="J212" s="139">
        <v>43750</v>
      </c>
      <c r="K212" s="184">
        <v>56</v>
      </c>
      <c r="L212" s="139"/>
      <c r="M212" s="139">
        <v>43840</v>
      </c>
      <c r="N212" s="189">
        <v>90</v>
      </c>
      <c r="O212" s="140">
        <v>0</v>
      </c>
      <c r="Q212" s="35"/>
    </row>
    <row r="213" spans="1:17" s="165" customFormat="1" ht="15" customHeight="1">
      <c r="A213" s="14"/>
      <c r="B213" s="38"/>
      <c r="C213" s="30" t="s">
        <v>39</v>
      </c>
      <c r="D213" s="138" t="s">
        <v>461</v>
      </c>
      <c r="E213" s="185" t="s">
        <v>1119</v>
      </c>
      <c r="F213" s="139" t="s">
        <v>8</v>
      </c>
      <c r="G213" s="139">
        <v>23109</v>
      </c>
      <c r="H213" s="138" t="s">
        <v>199</v>
      </c>
      <c r="I213" s="139" t="s">
        <v>21</v>
      </c>
      <c r="J213" s="139">
        <v>43774</v>
      </c>
      <c r="K213" s="184">
        <v>56</v>
      </c>
      <c r="L213" s="139"/>
      <c r="M213" s="139">
        <v>43884</v>
      </c>
      <c r="N213" s="189">
        <v>110</v>
      </c>
      <c r="O213" s="140">
        <v>0</v>
      </c>
      <c r="Q213" s="35"/>
    </row>
    <row r="214" spans="1:17" s="165" customFormat="1" ht="15" customHeight="1">
      <c r="A214" s="14"/>
      <c r="B214" s="38"/>
      <c r="C214" s="30" t="s">
        <v>39</v>
      </c>
      <c r="D214" s="138" t="s">
        <v>462</v>
      </c>
      <c r="E214" s="185" t="s">
        <v>1120</v>
      </c>
      <c r="F214" s="139" t="s">
        <v>8</v>
      </c>
      <c r="G214" s="139">
        <v>23161</v>
      </c>
      <c r="H214" s="138" t="s">
        <v>199</v>
      </c>
      <c r="I214" s="139" t="s">
        <v>21</v>
      </c>
      <c r="J214" s="139">
        <v>43597</v>
      </c>
      <c r="K214" s="184">
        <v>56</v>
      </c>
      <c r="L214" s="139">
        <v>43705</v>
      </c>
      <c r="M214" s="139">
        <v>43705</v>
      </c>
      <c r="N214" s="189">
        <v>108</v>
      </c>
      <c r="O214" s="140">
        <v>0</v>
      </c>
      <c r="Q214" s="35"/>
    </row>
    <row r="215" spans="1:17" s="165" customFormat="1" ht="15" customHeight="1">
      <c r="A215" s="14"/>
      <c r="B215" s="38"/>
      <c r="C215" s="30" t="s">
        <v>39</v>
      </c>
      <c r="D215" s="138" t="s">
        <v>463</v>
      </c>
      <c r="E215" s="185" t="s">
        <v>1121</v>
      </c>
      <c r="F215" s="139" t="s">
        <v>10</v>
      </c>
      <c r="G215" s="139">
        <v>24154</v>
      </c>
      <c r="H215" s="138" t="s">
        <v>200</v>
      </c>
      <c r="I215" s="139" t="s">
        <v>21</v>
      </c>
      <c r="J215" s="139">
        <v>43516</v>
      </c>
      <c r="K215" s="184">
        <v>53</v>
      </c>
      <c r="L215" s="139">
        <v>43646</v>
      </c>
      <c r="M215" s="139">
        <v>43861</v>
      </c>
      <c r="N215" s="189">
        <v>345</v>
      </c>
      <c r="O215" s="140">
        <v>5232.79</v>
      </c>
      <c r="Q215" s="35"/>
    </row>
    <row r="216" spans="1:17" s="165" customFormat="1" ht="15" customHeight="1">
      <c r="A216" s="14"/>
      <c r="B216" s="38"/>
      <c r="C216" s="30" t="s">
        <v>39</v>
      </c>
      <c r="D216" s="138" t="s">
        <v>464</v>
      </c>
      <c r="E216" s="185" t="s">
        <v>1122</v>
      </c>
      <c r="F216" s="139" t="s">
        <v>8</v>
      </c>
      <c r="G216" s="139">
        <v>24198</v>
      </c>
      <c r="H216" s="138" t="s">
        <v>199</v>
      </c>
      <c r="I216" s="139" t="s">
        <v>21</v>
      </c>
      <c r="J216" s="139">
        <v>43542</v>
      </c>
      <c r="K216" s="184">
        <v>53</v>
      </c>
      <c r="L216" s="139">
        <v>43744</v>
      </c>
      <c r="M216" s="139">
        <v>43900</v>
      </c>
      <c r="N216" s="189">
        <v>358</v>
      </c>
      <c r="O216" s="140">
        <v>3117.46</v>
      </c>
      <c r="Q216" s="35"/>
    </row>
    <row r="217" spans="1:17" s="165" customFormat="1" ht="15" customHeight="1">
      <c r="A217" s="14"/>
      <c r="B217" s="38"/>
      <c r="C217" s="30" t="s">
        <v>39</v>
      </c>
      <c r="D217" s="138" t="s">
        <v>107</v>
      </c>
      <c r="E217" s="185" t="s">
        <v>1123</v>
      </c>
      <c r="F217" s="139" t="s">
        <v>8</v>
      </c>
      <c r="G217" s="139">
        <v>24227</v>
      </c>
      <c r="H217" s="138" t="s">
        <v>199</v>
      </c>
      <c r="I217" s="139" t="s">
        <v>21</v>
      </c>
      <c r="J217" s="139">
        <v>43544</v>
      </c>
      <c r="K217" s="184">
        <v>53</v>
      </c>
      <c r="L217" s="139">
        <v>43801</v>
      </c>
      <c r="M217" s="139"/>
      <c r="N217" s="189">
        <v>0</v>
      </c>
      <c r="O217" s="140">
        <v>982.68</v>
      </c>
      <c r="Q217" s="35"/>
    </row>
    <row r="218" spans="1:17" s="165" customFormat="1" ht="15" customHeight="1">
      <c r="A218" s="14"/>
      <c r="B218" s="38"/>
      <c r="C218" s="30" t="s">
        <v>39</v>
      </c>
      <c r="D218" s="138" t="s">
        <v>106</v>
      </c>
      <c r="E218" s="185" t="s">
        <v>1123</v>
      </c>
      <c r="F218" s="139" t="s">
        <v>8</v>
      </c>
      <c r="G218" s="139">
        <v>24227</v>
      </c>
      <c r="H218" s="138" t="s">
        <v>199</v>
      </c>
      <c r="I218" s="139" t="s">
        <v>21</v>
      </c>
      <c r="J218" s="139">
        <v>43544</v>
      </c>
      <c r="K218" s="184">
        <v>53</v>
      </c>
      <c r="L218" s="139">
        <v>43801</v>
      </c>
      <c r="M218" s="139"/>
      <c r="N218" s="189">
        <v>0</v>
      </c>
      <c r="O218" s="140">
        <v>1263.1199999999999</v>
      </c>
      <c r="Q218" s="35"/>
    </row>
    <row r="219" spans="1:17" s="165" customFormat="1" ht="15" customHeight="1">
      <c r="A219" s="14"/>
      <c r="B219" s="38"/>
      <c r="C219" s="30" t="s">
        <v>39</v>
      </c>
      <c r="D219" s="138" t="s">
        <v>465</v>
      </c>
      <c r="E219" s="185" t="s">
        <v>1124</v>
      </c>
      <c r="F219" s="139" t="s">
        <v>8</v>
      </c>
      <c r="G219" s="139">
        <v>24232</v>
      </c>
      <c r="H219" s="138" t="s">
        <v>200</v>
      </c>
      <c r="I219" s="139" t="s">
        <v>21</v>
      </c>
      <c r="J219" s="139">
        <v>43495</v>
      </c>
      <c r="K219" s="184">
        <v>53</v>
      </c>
      <c r="L219" s="139">
        <v>43604</v>
      </c>
      <c r="M219" s="139">
        <v>43642</v>
      </c>
      <c r="N219" s="189">
        <v>147</v>
      </c>
      <c r="O219" s="140">
        <v>6528</v>
      </c>
      <c r="Q219" s="35"/>
    </row>
    <row r="220" spans="1:17" s="165" customFormat="1" ht="15" customHeight="1">
      <c r="A220" s="14"/>
      <c r="B220" s="38"/>
      <c r="C220" s="30" t="s">
        <v>39</v>
      </c>
      <c r="D220" s="138" t="s">
        <v>466</v>
      </c>
      <c r="E220" s="185" t="s">
        <v>1125</v>
      </c>
      <c r="F220" s="139" t="s">
        <v>8</v>
      </c>
      <c r="G220" s="139">
        <v>24237</v>
      </c>
      <c r="H220" s="138" t="s">
        <v>199</v>
      </c>
      <c r="I220" s="139" t="s">
        <v>21</v>
      </c>
      <c r="J220" s="139">
        <v>43724</v>
      </c>
      <c r="K220" s="184">
        <v>53</v>
      </c>
      <c r="L220" s="139"/>
      <c r="M220" s="139">
        <v>43836</v>
      </c>
      <c r="N220" s="189">
        <v>112</v>
      </c>
      <c r="O220" s="140">
        <v>0</v>
      </c>
      <c r="Q220" s="35"/>
    </row>
    <row r="221" spans="1:17" s="165" customFormat="1" ht="15" customHeight="1">
      <c r="A221" s="14"/>
      <c r="B221" s="38"/>
      <c r="C221" s="30" t="s">
        <v>39</v>
      </c>
      <c r="D221" s="138" t="s">
        <v>110</v>
      </c>
      <c r="E221" s="185" t="s">
        <v>1126</v>
      </c>
      <c r="F221" s="139" t="s">
        <v>8</v>
      </c>
      <c r="G221" s="139">
        <v>23385</v>
      </c>
      <c r="H221" s="138" t="s">
        <v>200</v>
      </c>
      <c r="I221" s="139" t="s">
        <v>21</v>
      </c>
      <c r="J221" s="139">
        <v>43480</v>
      </c>
      <c r="K221" s="184">
        <v>55</v>
      </c>
      <c r="L221" s="139">
        <v>43800</v>
      </c>
      <c r="M221" s="139"/>
      <c r="N221" s="189">
        <v>0</v>
      </c>
      <c r="O221" s="140">
        <v>27886.959999999999</v>
      </c>
      <c r="Q221" s="35"/>
    </row>
    <row r="222" spans="1:17" s="165" customFormat="1" ht="15" customHeight="1">
      <c r="A222" s="14"/>
      <c r="B222" s="38"/>
      <c r="C222" s="30" t="s">
        <v>39</v>
      </c>
      <c r="D222" s="138" t="s">
        <v>467</v>
      </c>
      <c r="E222" s="185" t="s">
        <v>1127</v>
      </c>
      <c r="F222" s="139" t="s">
        <v>8</v>
      </c>
      <c r="G222" s="139">
        <v>23435</v>
      </c>
      <c r="H222" s="138" t="s">
        <v>199</v>
      </c>
      <c r="I222" s="139" t="s">
        <v>21</v>
      </c>
      <c r="J222" s="139">
        <v>43630</v>
      </c>
      <c r="K222" s="184">
        <v>55</v>
      </c>
      <c r="L222" s="139">
        <v>43738</v>
      </c>
      <c r="M222" s="139">
        <v>43738</v>
      </c>
      <c r="N222" s="189">
        <v>108</v>
      </c>
      <c r="O222" s="140">
        <v>3505.2299999999996</v>
      </c>
      <c r="Q222" s="35"/>
    </row>
    <row r="223" spans="1:17" s="165" customFormat="1" ht="15" customHeight="1">
      <c r="A223" s="14"/>
      <c r="B223" s="38"/>
      <c r="C223" s="30" t="s">
        <v>39</v>
      </c>
      <c r="D223" s="138" t="s">
        <v>108</v>
      </c>
      <c r="E223" s="185" t="s">
        <v>1128</v>
      </c>
      <c r="F223" s="139" t="s">
        <v>8</v>
      </c>
      <c r="G223" s="139">
        <v>23427</v>
      </c>
      <c r="H223" s="138" t="s">
        <v>199</v>
      </c>
      <c r="I223" s="139" t="s">
        <v>21</v>
      </c>
      <c r="J223" s="139">
        <v>43570</v>
      </c>
      <c r="K223" s="184">
        <v>55</v>
      </c>
      <c r="L223" s="139">
        <v>43767</v>
      </c>
      <c r="M223" s="139"/>
      <c r="N223" s="189">
        <v>0</v>
      </c>
      <c r="O223" s="140">
        <v>5580.9600000000009</v>
      </c>
      <c r="Q223" s="35"/>
    </row>
    <row r="224" spans="1:17" s="165" customFormat="1" ht="15" customHeight="1">
      <c r="A224" s="14"/>
      <c r="B224" s="38"/>
      <c r="C224" s="30" t="s">
        <v>39</v>
      </c>
      <c r="D224" s="138" t="s">
        <v>102</v>
      </c>
      <c r="E224" s="185" t="s">
        <v>1129</v>
      </c>
      <c r="F224" s="139" t="s">
        <v>8</v>
      </c>
      <c r="G224" s="139">
        <v>23453</v>
      </c>
      <c r="H224" s="138" t="s">
        <v>199</v>
      </c>
      <c r="I224" s="139" t="s">
        <v>21</v>
      </c>
      <c r="J224" s="139">
        <v>43476</v>
      </c>
      <c r="K224" s="184">
        <v>55</v>
      </c>
      <c r="L224" s="139">
        <v>43772</v>
      </c>
      <c r="M224" s="139"/>
      <c r="N224" s="189">
        <v>0</v>
      </c>
      <c r="O224" s="140">
        <v>5804.579999999999</v>
      </c>
      <c r="Q224" s="35"/>
    </row>
    <row r="225" spans="1:17" s="165" customFormat="1" ht="15" customHeight="1">
      <c r="A225" s="14"/>
      <c r="B225" s="38"/>
      <c r="C225" s="30" t="s">
        <v>39</v>
      </c>
      <c r="D225" s="138" t="s">
        <v>468</v>
      </c>
      <c r="E225" s="185" t="s">
        <v>1130</v>
      </c>
      <c r="F225" s="139" t="s">
        <v>8</v>
      </c>
      <c r="G225" s="139">
        <v>23525</v>
      </c>
      <c r="H225" s="138" t="s">
        <v>199</v>
      </c>
      <c r="I225" s="139" t="s">
        <v>21</v>
      </c>
      <c r="J225" s="139">
        <v>43593</v>
      </c>
      <c r="K225" s="184">
        <v>55</v>
      </c>
      <c r="L225" s="139">
        <v>43794</v>
      </c>
      <c r="M225" s="139">
        <v>43861</v>
      </c>
      <c r="N225" s="189">
        <v>268</v>
      </c>
      <c r="O225" s="140">
        <v>4393.0000000000009</v>
      </c>
      <c r="Q225" s="35"/>
    </row>
    <row r="226" spans="1:17" s="165" customFormat="1" ht="15" customHeight="1">
      <c r="A226" s="14"/>
      <c r="B226" s="38"/>
      <c r="C226" s="30" t="s">
        <v>39</v>
      </c>
      <c r="D226" s="138" t="s">
        <v>469</v>
      </c>
      <c r="E226" s="185" t="s">
        <v>1131</v>
      </c>
      <c r="F226" s="139" t="s">
        <v>8</v>
      </c>
      <c r="G226" s="139">
        <v>23539</v>
      </c>
      <c r="H226" s="138" t="s">
        <v>199</v>
      </c>
      <c r="I226" s="139" t="s">
        <v>21</v>
      </c>
      <c r="J226" s="139">
        <v>43581</v>
      </c>
      <c r="K226" s="184">
        <v>55</v>
      </c>
      <c r="L226" s="139">
        <v>43696</v>
      </c>
      <c r="M226" s="139">
        <v>43639</v>
      </c>
      <c r="N226" s="189">
        <v>58</v>
      </c>
      <c r="O226" s="140">
        <v>4284</v>
      </c>
      <c r="Q226" s="35"/>
    </row>
    <row r="227" spans="1:17" s="165" customFormat="1" ht="15" customHeight="1">
      <c r="A227" s="14"/>
      <c r="B227" s="38"/>
      <c r="C227" s="30" t="s">
        <v>39</v>
      </c>
      <c r="D227" s="138" t="s">
        <v>469</v>
      </c>
      <c r="E227" s="185" t="s">
        <v>1131</v>
      </c>
      <c r="F227" s="139" t="s">
        <v>8</v>
      </c>
      <c r="G227" s="139">
        <v>23539</v>
      </c>
      <c r="H227" s="138" t="s">
        <v>199</v>
      </c>
      <c r="I227" s="139" t="s">
        <v>21</v>
      </c>
      <c r="J227" s="139">
        <v>43643</v>
      </c>
      <c r="K227" s="184">
        <v>55</v>
      </c>
      <c r="L227" s="139">
        <v>43696</v>
      </c>
      <c r="M227" s="139">
        <v>43882</v>
      </c>
      <c r="N227" s="189">
        <v>239</v>
      </c>
      <c r="O227" s="140">
        <v>4284</v>
      </c>
      <c r="Q227" s="35"/>
    </row>
    <row r="228" spans="1:17" s="165" customFormat="1" ht="15" customHeight="1">
      <c r="A228" s="14"/>
      <c r="B228" s="38"/>
      <c r="C228" s="30" t="s">
        <v>39</v>
      </c>
      <c r="D228" s="138" t="s">
        <v>470</v>
      </c>
      <c r="E228" s="185" t="s">
        <v>1132</v>
      </c>
      <c r="F228" s="139" t="s">
        <v>8</v>
      </c>
      <c r="G228" s="139">
        <v>23560</v>
      </c>
      <c r="H228" s="138" t="s">
        <v>199</v>
      </c>
      <c r="I228" s="139" t="s">
        <v>21</v>
      </c>
      <c r="J228" s="139">
        <v>43472</v>
      </c>
      <c r="K228" s="184">
        <v>55</v>
      </c>
      <c r="L228" s="139">
        <v>43583</v>
      </c>
      <c r="M228" s="139">
        <v>43583</v>
      </c>
      <c r="N228" s="189">
        <v>111</v>
      </c>
      <c r="O228" s="140">
        <v>1625.24</v>
      </c>
      <c r="Q228" s="35"/>
    </row>
    <row r="229" spans="1:17" s="165" customFormat="1" ht="15" customHeight="1">
      <c r="A229" s="14"/>
      <c r="B229" s="38"/>
      <c r="C229" s="30" t="s">
        <v>39</v>
      </c>
      <c r="D229" s="138" t="s">
        <v>471</v>
      </c>
      <c r="E229" s="185" t="s">
        <v>1133</v>
      </c>
      <c r="F229" s="139" t="s">
        <v>8</v>
      </c>
      <c r="G229" s="139">
        <v>23613</v>
      </c>
      <c r="H229" s="138" t="s">
        <v>199</v>
      </c>
      <c r="I229" s="139" t="s">
        <v>21</v>
      </c>
      <c r="J229" s="139">
        <v>43732</v>
      </c>
      <c r="K229" s="184">
        <v>55</v>
      </c>
      <c r="L229" s="139"/>
      <c r="M229" s="139">
        <v>43792</v>
      </c>
      <c r="N229" s="189">
        <v>60</v>
      </c>
      <c r="O229" s="140">
        <v>0</v>
      </c>
      <c r="Q229" s="35"/>
    </row>
    <row r="230" spans="1:17" s="165" customFormat="1" ht="15" customHeight="1">
      <c r="A230" s="14"/>
      <c r="B230" s="38"/>
      <c r="C230" s="30" t="s">
        <v>39</v>
      </c>
      <c r="D230" s="138" t="s">
        <v>472</v>
      </c>
      <c r="E230" s="185" t="s">
        <v>1134</v>
      </c>
      <c r="F230" s="139" t="s">
        <v>8</v>
      </c>
      <c r="G230" s="139">
        <v>23590</v>
      </c>
      <c r="H230" s="138" t="s">
        <v>199</v>
      </c>
      <c r="I230" s="139" t="s">
        <v>21</v>
      </c>
      <c r="J230" s="139">
        <v>43509</v>
      </c>
      <c r="K230" s="184">
        <v>55</v>
      </c>
      <c r="L230" s="139">
        <v>43601</v>
      </c>
      <c r="M230" s="139">
        <v>43601</v>
      </c>
      <c r="N230" s="189">
        <v>92</v>
      </c>
      <c r="O230" s="140">
        <v>2040.57</v>
      </c>
      <c r="Q230" s="35"/>
    </row>
    <row r="231" spans="1:17" s="165" customFormat="1" ht="15" customHeight="1">
      <c r="A231" s="14"/>
      <c r="B231" s="38"/>
      <c r="C231" s="30" t="s">
        <v>39</v>
      </c>
      <c r="D231" s="138" t="s">
        <v>473</v>
      </c>
      <c r="E231" s="185" t="s">
        <v>1135</v>
      </c>
      <c r="F231" s="139" t="s">
        <v>8</v>
      </c>
      <c r="G231" s="139">
        <v>23615</v>
      </c>
      <c r="H231" s="138" t="s">
        <v>200</v>
      </c>
      <c r="I231" s="139" t="s">
        <v>21</v>
      </c>
      <c r="J231" s="139">
        <v>43523</v>
      </c>
      <c r="K231" s="184">
        <v>55</v>
      </c>
      <c r="L231" s="139">
        <v>43688</v>
      </c>
      <c r="M231" s="139">
        <v>43688</v>
      </c>
      <c r="N231" s="189">
        <v>165</v>
      </c>
      <c r="O231" s="140">
        <v>6499.4400000000005</v>
      </c>
      <c r="Q231" s="35"/>
    </row>
    <row r="232" spans="1:17" s="165" customFormat="1" ht="15" customHeight="1">
      <c r="A232" s="14"/>
      <c r="B232" s="38"/>
      <c r="C232" s="30" t="s">
        <v>39</v>
      </c>
      <c r="D232" s="138" t="s">
        <v>266</v>
      </c>
      <c r="E232" s="185" t="s">
        <v>1136</v>
      </c>
      <c r="F232" s="139" t="s">
        <v>8</v>
      </c>
      <c r="G232" s="139">
        <v>23638</v>
      </c>
      <c r="H232" s="138" t="s">
        <v>200</v>
      </c>
      <c r="I232" s="139" t="s">
        <v>21</v>
      </c>
      <c r="J232" s="139">
        <v>43571</v>
      </c>
      <c r="K232" s="184">
        <v>55</v>
      </c>
      <c r="L232" s="139">
        <v>43738</v>
      </c>
      <c r="M232" s="139">
        <v>43861</v>
      </c>
      <c r="N232" s="189">
        <v>290</v>
      </c>
      <c r="O232" s="140">
        <v>0</v>
      </c>
      <c r="Q232" s="35"/>
    </row>
    <row r="233" spans="1:17" s="165" customFormat="1" ht="15" customHeight="1">
      <c r="A233" s="14"/>
      <c r="B233" s="38"/>
      <c r="C233" s="30" t="s">
        <v>39</v>
      </c>
      <c r="D233" s="138" t="s">
        <v>474</v>
      </c>
      <c r="E233" s="185" t="s">
        <v>1137</v>
      </c>
      <c r="F233" s="139" t="s">
        <v>8</v>
      </c>
      <c r="G233" s="139">
        <v>23644</v>
      </c>
      <c r="H233" s="138" t="s">
        <v>200</v>
      </c>
      <c r="I233" s="139" t="s">
        <v>21</v>
      </c>
      <c r="J233" s="139">
        <v>43712</v>
      </c>
      <c r="K233" s="184">
        <v>55</v>
      </c>
      <c r="L233" s="139"/>
      <c r="M233" s="139">
        <v>44199</v>
      </c>
      <c r="N233" s="189">
        <v>487</v>
      </c>
      <c r="O233" s="140">
        <v>0</v>
      </c>
      <c r="Q233" s="35"/>
    </row>
    <row r="234" spans="1:17" s="165" customFormat="1" ht="15" customHeight="1">
      <c r="A234" s="14"/>
      <c r="B234" s="38"/>
      <c r="C234" s="30" t="s">
        <v>39</v>
      </c>
      <c r="D234" s="138" t="s">
        <v>475</v>
      </c>
      <c r="E234" s="185" t="s">
        <v>1138</v>
      </c>
      <c r="F234" s="139" t="s">
        <v>8</v>
      </c>
      <c r="G234" s="139">
        <v>23651</v>
      </c>
      <c r="H234" s="138" t="s">
        <v>200</v>
      </c>
      <c r="I234" s="139" t="s">
        <v>21</v>
      </c>
      <c r="J234" s="139">
        <v>43714</v>
      </c>
      <c r="K234" s="184">
        <v>55</v>
      </c>
      <c r="L234" s="139"/>
      <c r="M234" s="139"/>
      <c r="N234" s="189">
        <v>0</v>
      </c>
      <c r="O234" s="140">
        <v>0</v>
      </c>
      <c r="Q234" s="35"/>
    </row>
    <row r="235" spans="1:17" s="165" customFormat="1" ht="15" customHeight="1">
      <c r="A235" s="14"/>
      <c r="B235" s="38"/>
      <c r="C235" s="30" t="s">
        <v>39</v>
      </c>
      <c r="D235" s="138" t="s">
        <v>476</v>
      </c>
      <c r="E235" s="185" t="s">
        <v>1139</v>
      </c>
      <c r="F235" s="139" t="s">
        <v>8</v>
      </c>
      <c r="G235" s="139">
        <v>23690</v>
      </c>
      <c r="H235" s="138" t="s">
        <v>199</v>
      </c>
      <c r="I235" s="139" t="s">
        <v>21</v>
      </c>
      <c r="J235" s="139">
        <v>43487</v>
      </c>
      <c r="K235" s="184">
        <v>55</v>
      </c>
      <c r="L235" s="139">
        <v>43549</v>
      </c>
      <c r="M235" s="139">
        <v>43549</v>
      </c>
      <c r="N235" s="189">
        <v>62</v>
      </c>
      <c r="O235" s="140">
        <v>1151.3699999999999</v>
      </c>
      <c r="Q235" s="35"/>
    </row>
    <row r="236" spans="1:17" s="165" customFormat="1" ht="15" customHeight="1">
      <c r="A236" s="14"/>
      <c r="B236" s="38"/>
      <c r="C236" s="30" t="s">
        <v>39</v>
      </c>
      <c r="D236" s="138" t="s">
        <v>477</v>
      </c>
      <c r="E236" s="185" t="s">
        <v>1140</v>
      </c>
      <c r="F236" s="139" t="s">
        <v>8</v>
      </c>
      <c r="G236" s="139">
        <v>23805</v>
      </c>
      <c r="H236" s="138" t="s">
        <v>199</v>
      </c>
      <c r="I236" s="139" t="s">
        <v>21</v>
      </c>
      <c r="J236" s="139">
        <v>43808</v>
      </c>
      <c r="K236" s="184">
        <v>54</v>
      </c>
      <c r="L236" s="139"/>
      <c r="M236" s="139">
        <v>43981</v>
      </c>
      <c r="N236" s="189">
        <v>173</v>
      </c>
      <c r="O236" s="140">
        <v>0</v>
      </c>
      <c r="Q236" s="35"/>
    </row>
    <row r="237" spans="1:17" s="165" customFormat="1" ht="15" customHeight="1">
      <c r="A237" s="14"/>
      <c r="B237" s="38"/>
      <c r="C237" s="30" t="s">
        <v>39</v>
      </c>
      <c r="D237" s="138" t="s">
        <v>163</v>
      </c>
      <c r="E237" s="185" t="s">
        <v>1141</v>
      </c>
      <c r="F237" s="139" t="s">
        <v>8</v>
      </c>
      <c r="G237" s="139">
        <v>23802</v>
      </c>
      <c r="H237" s="138" t="s">
        <v>199</v>
      </c>
      <c r="I237" s="139" t="s">
        <v>21</v>
      </c>
      <c r="J237" s="139">
        <v>43664</v>
      </c>
      <c r="K237" s="184">
        <v>54</v>
      </c>
      <c r="L237" s="139">
        <v>43772</v>
      </c>
      <c r="M237" s="139">
        <v>43772</v>
      </c>
      <c r="N237" s="189">
        <v>108</v>
      </c>
      <c r="O237" s="140">
        <v>3018.59</v>
      </c>
      <c r="Q237" s="35"/>
    </row>
    <row r="238" spans="1:17" s="165" customFormat="1" ht="15" customHeight="1">
      <c r="A238" s="14"/>
      <c r="B238" s="38"/>
      <c r="C238" s="30" t="s">
        <v>39</v>
      </c>
      <c r="D238" s="138" t="s">
        <v>478</v>
      </c>
      <c r="E238" s="185" t="s">
        <v>1142</v>
      </c>
      <c r="F238" s="139" t="s">
        <v>8</v>
      </c>
      <c r="G238" s="139">
        <v>23807</v>
      </c>
      <c r="H238" s="138" t="s">
        <v>200</v>
      </c>
      <c r="I238" s="139" t="s">
        <v>21</v>
      </c>
      <c r="J238" s="139">
        <v>43805</v>
      </c>
      <c r="K238" s="184">
        <v>54</v>
      </c>
      <c r="L238" s="139"/>
      <c r="M238" s="139"/>
      <c r="N238" s="189">
        <v>0</v>
      </c>
      <c r="O238" s="140">
        <v>0</v>
      </c>
      <c r="Q238" s="35"/>
    </row>
    <row r="239" spans="1:17" s="165" customFormat="1" ht="15" customHeight="1">
      <c r="A239" s="14"/>
      <c r="B239" s="38"/>
      <c r="C239" s="30" t="s">
        <v>39</v>
      </c>
      <c r="D239" s="138" t="s">
        <v>479</v>
      </c>
      <c r="E239" s="185" t="s">
        <v>1143</v>
      </c>
      <c r="F239" s="139" t="s">
        <v>8</v>
      </c>
      <c r="G239" s="139">
        <v>23834</v>
      </c>
      <c r="H239" s="138" t="s">
        <v>200</v>
      </c>
      <c r="I239" s="139" t="s">
        <v>21</v>
      </c>
      <c r="J239" s="139">
        <v>43636</v>
      </c>
      <c r="K239" s="184">
        <v>54</v>
      </c>
      <c r="L239" s="139"/>
      <c r="M239" s="139">
        <v>43799</v>
      </c>
      <c r="N239" s="189">
        <v>163</v>
      </c>
      <c r="O239" s="140">
        <v>0</v>
      </c>
      <c r="Q239" s="35"/>
    </row>
    <row r="240" spans="1:17" s="165" customFormat="1" ht="15" customHeight="1">
      <c r="A240" s="14"/>
      <c r="B240" s="38"/>
      <c r="C240" s="30" t="s">
        <v>39</v>
      </c>
      <c r="D240" s="138" t="s">
        <v>480</v>
      </c>
      <c r="E240" s="185" t="s">
        <v>1144</v>
      </c>
      <c r="F240" s="139" t="s">
        <v>8</v>
      </c>
      <c r="G240" s="139">
        <v>23878</v>
      </c>
      <c r="H240" s="138" t="s">
        <v>199</v>
      </c>
      <c r="I240" s="139" t="s">
        <v>21</v>
      </c>
      <c r="J240" s="139">
        <v>43567</v>
      </c>
      <c r="K240" s="184">
        <v>54</v>
      </c>
      <c r="L240" s="139">
        <v>43661</v>
      </c>
      <c r="M240" s="139"/>
      <c r="N240" s="189">
        <v>0</v>
      </c>
      <c r="O240" s="140">
        <v>702.65</v>
      </c>
      <c r="Q240" s="35"/>
    </row>
    <row r="241" spans="1:17" s="165" customFormat="1" ht="15" customHeight="1">
      <c r="A241" s="14"/>
      <c r="B241" s="38"/>
      <c r="C241" s="30" t="s">
        <v>39</v>
      </c>
      <c r="D241" s="138" t="s">
        <v>481</v>
      </c>
      <c r="E241" s="185" t="s">
        <v>1145</v>
      </c>
      <c r="F241" s="139" t="s">
        <v>8</v>
      </c>
      <c r="G241" s="139">
        <v>23874</v>
      </c>
      <c r="H241" s="138" t="s">
        <v>200</v>
      </c>
      <c r="I241" s="139" t="s">
        <v>21</v>
      </c>
      <c r="J241" s="139">
        <v>43714</v>
      </c>
      <c r="K241" s="184">
        <v>54</v>
      </c>
      <c r="L241" s="139">
        <v>43760</v>
      </c>
      <c r="M241" s="139">
        <v>43760</v>
      </c>
      <c r="N241" s="189">
        <v>46</v>
      </c>
      <c r="O241" s="140">
        <v>878.73</v>
      </c>
      <c r="Q241" s="35"/>
    </row>
    <row r="242" spans="1:17" s="165" customFormat="1" ht="15" customHeight="1">
      <c r="A242" s="14"/>
      <c r="B242" s="38"/>
      <c r="C242" s="30" t="s">
        <v>39</v>
      </c>
      <c r="D242" s="138" t="s">
        <v>482</v>
      </c>
      <c r="E242" s="185" t="s">
        <v>1146</v>
      </c>
      <c r="F242" s="139" t="s">
        <v>8</v>
      </c>
      <c r="G242" s="139">
        <v>23879</v>
      </c>
      <c r="H242" s="138" t="s">
        <v>199</v>
      </c>
      <c r="I242" s="139" t="s">
        <v>21</v>
      </c>
      <c r="J242" s="139">
        <v>43739</v>
      </c>
      <c r="K242" s="184">
        <v>54</v>
      </c>
      <c r="L242" s="139"/>
      <c r="M242" s="139">
        <v>43839</v>
      </c>
      <c r="N242" s="189">
        <v>100</v>
      </c>
      <c r="O242" s="140">
        <v>0</v>
      </c>
      <c r="Q242" s="35"/>
    </row>
    <row r="243" spans="1:17" s="165" customFormat="1" ht="15" customHeight="1">
      <c r="A243" s="14"/>
      <c r="B243" s="38"/>
      <c r="C243" s="30" t="s">
        <v>39</v>
      </c>
      <c r="D243" s="138" t="s">
        <v>483</v>
      </c>
      <c r="E243" s="185" t="s">
        <v>1147</v>
      </c>
      <c r="F243" s="139" t="s">
        <v>10</v>
      </c>
      <c r="G243" s="139">
        <v>23915</v>
      </c>
      <c r="H243" s="138" t="s">
        <v>199</v>
      </c>
      <c r="I243" s="139" t="s">
        <v>21</v>
      </c>
      <c r="J243" s="139">
        <v>43756</v>
      </c>
      <c r="K243" s="184">
        <v>54</v>
      </c>
      <c r="L243" s="139"/>
      <c r="M243" s="139"/>
      <c r="N243" s="189">
        <v>0</v>
      </c>
      <c r="O243" s="140">
        <v>0</v>
      </c>
      <c r="Q243" s="35"/>
    </row>
    <row r="244" spans="1:17" s="165" customFormat="1" ht="15" customHeight="1">
      <c r="A244" s="14"/>
      <c r="B244" s="38"/>
      <c r="C244" s="30" t="s">
        <v>39</v>
      </c>
      <c r="D244" s="138" t="s">
        <v>484</v>
      </c>
      <c r="E244" s="185" t="s">
        <v>1148</v>
      </c>
      <c r="F244" s="139" t="s">
        <v>8</v>
      </c>
      <c r="G244" s="139">
        <v>23919</v>
      </c>
      <c r="H244" s="138" t="s">
        <v>199</v>
      </c>
      <c r="I244" s="139" t="s">
        <v>21</v>
      </c>
      <c r="J244" s="139">
        <v>43517</v>
      </c>
      <c r="K244" s="184">
        <v>54</v>
      </c>
      <c r="L244" s="139">
        <v>43594</v>
      </c>
      <c r="M244" s="139">
        <v>43594</v>
      </c>
      <c r="N244" s="189">
        <v>77</v>
      </c>
      <c r="O244" s="140">
        <v>782.4</v>
      </c>
      <c r="Q244" s="35"/>
    </row>
    <row r="245" spans="1:17" s="165" customFormat="1" ht="15" customHeight="1">
      <c r="A245" s="14"/>
      <c r="B245" s="38"/>
      <c r="C245" s="30" t="s">
        <v>39</v>
      </c>
      <c r="D245" s="138" t="s">
        <v>162</v>
      </c>
      <c r="E245" s="185" t="s">
        <v>1149</v>
      </c>
      <c r="F245" s="139" t="s">
        <v>8</v>
      </c>
      <c r="G245" s="139">
        <v>23953</v>
      </c>
      <c r="H245" s="138" t="s">
        <v>200</v>
      </c>
      <c r="I245" s="139" t="s">
        <v>21</v>
      </c>
      <c r="J245" s="139">
        <v>43592</v>
      </c>
      <c r="K245" s="184">
        <v>54</v>
      </c>
      <c r="L245" s="139">
        <v>43789</v>
      </c>
      <c r="M245" s="139">
        <v>44087</v>
      </c>
      <c r="N245" s="189">
        <v>495</v>
      </c>
      <c r="O245" s="140">
        <v>6756.96</v>
      </c>
      <c r="Q245" s="35"/>
    </row>
    <row r="246" spans="1:17" s="165" customFormat="1" ht="15" customHeight="1">
      <c r="A246" s="14"/>
      <c r="B246" s="38"/>
      <c r="C246" s="30" t="s">
        <v>39</v>
      </c>
      <c r="D246" s="138" t="s">
        <v>485</v>
      </c>
      <c r="E246" s="185" t="s">
        <v>1150</v>
      </c>
      <c r="F246" s="139" t="s">
        <v>8</v>
      </c>
      <c r="G246" s="139">
        <v>23924</v>
      </c>
      <c r="H246" s="138" t="s">
        <v>200</v>
      </c>
      <c r="I246" s="139" t="s">
        <v>21</v>
      </c>
      <c r="J246" s="139">
        <v>43598</v>
      </c>
      <c r="K246" s="184">
        <v>54</v>
      </c>
      <c r="L246" s="139">
        <v>43667</v>
      </c>
      <c r="M246" s="139">
        <v>43667</v>
      </c>
      <c r="N246" s="189">
        <v>69</v>
      </c>
      <c r="O246" s="140">
        <v>996.8</v>
      </c>
      <c r="Q246" s="35"/>
    </row>
    <row r="247" spans="1:17" s="165" customFormat="1" ht="15" customHeight="1">
      <c r="A247" s="14"/>
      <c r="B247" s="38"/>
      <c r="C247" s="30" t="s">
        <v>39</v>
      </c>
      <c r="D247" s="138" t="s">
        <v>99</v>
      </c>
      <c r="E247" s="185" t="s">
        <v>1151</v>
      </c>
      <c r="F247" s="139" t="s">
        <v>8</v>
      </c>
      <c r="G247" s="139">
        <v>23974</v>
      </c>
      <c r="H247" s="138" t="s">
        <v>199</v>
      </c>
      <c r="I247" s="139" t="s">
        <v>21</v>
      </c>
      <c r="J247" s="139">
        <v>43546</v>
      </c>
      <c r="K247" s="184">
        <v>54</v>
      </c>
      <c r="L247" s="139">
        <v>43777</v>
      </c>
      <c r="M247" s="139"/>
      <c r="N247" s="189">
        <v>0</v>
      </c>
      <c r="O247" s="140">
        <v>6661.9599999999991</v>
      </c>
      <c r="Q247" s="35"/>
    </row>
    <row r="248" spans="1:17" s="165" customFormat="1" ht="15" customHeight="1">
      <c r="A248" s="14"/>
      <c r="B248" s="38"/>
      <c r="C248" s="30" t="s">
        <v>39</v>
      </c>
      <c r="D248" s="138" t="s">
        <v>486</v>
      </c>
      <c r="E248" s="185" t="s">
        <v>1152</v>
      </c>
      <c r="F248" s="139" t="s">
        <v>8</v>
      </c>
      <c r="G248" s="139">
        <v>23960</v>
      </c>
      <c r="H248" s="138" t="s">
        <v>200</v>
      </c>
      <c r="I248" s="139" t="s">
        <v>21</v>
      </c>
      <c r="J248" s="139">
        <v>43595</v>
      </c>
      <c r="K248" s="184">
        <v>54</v>
      </c>
      <c r="L248" s="139">
        <v>43748</v>
      </c>
      <c r="M248" s="139">
        <v>43748</v>
      </c>
      <c r="N248" s="189">
        <v>153</v>
      </c>
      <c r="O248" s="140">
        <v>3365.3600000000006</v>
      </c>
      <c r="Q248" s="35"/>
    </row>
    <row r="249" spans="1:17" s="165" customFormat="1" ht="15" customHeight="1">
      <c r="A249" s="14"/>
      <c r="B249" s="38"/>
      <c r="C249" s="30" t="s">
        <v>39</v>
      </c>
      <c r="D249" s="138" t="s">
        <v>487</v>
      </c>
      <c r="E249" s="185" t="s">
        <v>1153</v>
      </c>
      <c r="F249" s="139" t="s">
        <v>8</v>
      </c>
      <c r="G249" s="139">
        <v>23960</v>
      </c>
      <c r="H249" s="138" t="s">
        <v>199</v>
      </c>
      <c r="I249" s="139" t="s">
        <v>21</v>
      </c>
      <c r="J249" s="139">
        <v>43629</v>
      </c>
      <c r="K249" s="184">
        <v>54</v>
      </c>
      <c r="L249" s="139"/>
      <c r="M249" s="139">
        <v>43693</v>
      </c>
      <c r="N249" s="189">
        <v>64</v>
      </c>
      <c r="O249" s="140">
        <v>0</v>
      </c>
      <c r="Q249" s="35"/>
    </row>
    <row r="250" spans="1:17" s="165" customFormat="1" ht="15" customHeight="1">
      <c r="A250" s="14"/>
      <c r="B250" s="38"/>
      <c r="C250" s="30" t="s">
        <v>39</v>
      </c>
      <c r="D250" s="138" t="s">
        <v>488</v>
      </c>
      <c r="E250" s="185" t="s">
        <v>1154</v>
      </c>
      <c r="F250" s="139" t="s">
        <v>8</v>
      </c>
      <c r="G250" s="139">
        <v>23983</v>
      </c>
      <c r="H250" s="138" t="s">
        <v>199</v>
      </c>
      <c r="I250" s="139" t="s">
        <v>21</v>
      </c>
      <c r="J250" s="139">
        <v>43560</v>
      </c>
      <c r="K250" s="184">
        <v>54</v>
      </c>
      <c r="L250" s="139">
        <v>43638</v>
      </c>
      <c r="M250" s="139">
        <v>43638</v>
      </c>
      <c r="N250" s="189">
        <v>78</v>
      </c>
      <c r="O250" s="140">
        <v>1464.61</v>
      </c>
      <c r="Q250" s="35"/>
    </row>
    <row r="251" spans="1:17" s="165" customFormat="1" ht="15" customHeight="1">
      <c r="A251" s="14"/>
      <c r="B251" s="38"/>
      <c r="C251" s="30" t="s">
        <v>39</v>
      </c>
      <c r="D251" s="138" t="s">
        <v>489</v>
      </c>
      <c r="E251" s="185" t="s">
        <v>1155</v>
      </c>
      <c r="F251" s="139" t="s">
        <v>8</v>
      </c>
      <c r="G251" s="139">
        <v>23980</v>
      </c>
      <c r="H251" s="138" t="s">
        <v>200</v>
      </c>
      <c r="I251" s="139" t="s">
        <v>21</v>
      </c>
      <c r="J251" s="139">
        <v>43564</v>
      </c>
      <c r="K251" s="184">
        <v>54</v>
      </c>
      <c r="L251" s="139">
        <v>43632</v>
      </c>
      <c r="M251" s="139">
        <v>43632</v>
      </c>
      <c r="N251" s="189">
        <v>68</v>
      </c>
      <c r="O251" s="140">
        <v>2247.96</v>
      </c>
      <c r="Q251" s="35"/>
    </row>
    <row r="252" spans="1:17" s="165" customFormat="1" ht="15" customHeight="1">
      <c r="A252" s="14"/>
      <c r="B252" s="38"/>
      <c r="C252" s="30" t="s">
        <v>39</v>
      </c>
      <c r="D252" s="138" t="s">
        <v>490</v>
      </c>
      <c r="E252" s="185" t="s">
        <v>1156</v>
      </c>
      <c r="F252" s="139" t="s">
        <v>8</v>
      </c>
      <c r="G252" s="139">
        <v>23966</v>
      </c>
      <c r="H252" s="138" t="s">
        <v>199</v>
      </c>
      <c r="I252" s="139" t="s">
        <v>21</v>
      </c>
      <c r="J252" s="139">
        <v>43782</v>
      </c>
      <c r="K252" s="184">
        <v>54</v>
      </c>
      <c r="L252" s="139"/>
      <c r="M252" s="139">
        <v>43890</v>
      </c>
      <c r="N252" s="189">
        <v>108</v>
      </c>
      <c r="O252" s="140">
        <v>0</v>
      </c>
      <c r="Q252" s="35"/>
    </row>
    <row r="253" spans="1:17" s="165" customFormat="1" ht="15" customHeight="1">
      <c r="A253" s="14"/>
      <c r="B253" s="38"/>
      <c r="C253" s="30" t="s">
        <v>39</v>
      </c>
      <c r="D253" s="138" t="s">
        <v>491</v>
      </c>
      <c r="E253" s="185" t="s">
        <v>1157</v>
      </c>
      <c r="F253" s="139" t="s">
        <v>8</v>
      </c>
      <c r="G253" s="139">
        <v>24006</v>
      </c>
      <c r="H253" s="138" t="s">
        <v>199</v>
      </c>
      <c r="I253" s="139" t="s">
        <v>21</v>
      </c>
      <c r="J253" s="139">
        <v>43535</v>
      </c>
      <c r="K253" s="184">
        <v>54</v>
      </c>
      <c r="L253" s="139">
        <v>43637</v>
      </c>
      <c r="M253" s="139">
        <v>43637</v>
      </c>
      <c r="N253" s="189">
        <v>102</v>
      </c>
      <c r="O253" s="140">
        <v>1814.0500000000002</v>
      </c>
      <c r="Q253" s="35"/>
    </row>
    <row r="254" spans="1:17" s="165" customFormat="1" ht="15" customHeight="1">
      <c r="A254" s="14"/>
      <c r="B254" s="38"/>
      <c r="C254" s="30" t="s">
        <v>39</v>
      </c>
      <c r="D254" s="138" t="s">
        <v>492</v>
      </c>
      <c r="E254" s="185" t="s">
        <v>1158</v>
      </c>
      <c r="F254" s="139" t="s">
        <v>8</v>
      </c>
      <c r="G254" s="139">
        <v>24040</v>
      </c>
      <c r="H254" s="138" t="s">
        <v>199</v>
      </c>
      <c r="I254" s="139" t="s">
        <v>21</v>
      </c>
      <c r="J254" s="139">
        <v>43532</v>
      </c>
      <c r="K254" s="184">
        <v>54</v>
      </c>
      <c r="L254" s="139">
        <v>43730</v>
      </c>
      <c r="M254" s="139">
        <v>43730</v>
      </c>
      <c r="N254" s="189">
        <v>198</v>
      </c>
      <c r="O254" s="140">
        <v>4931.42</v>
      </c>
      <c r="Q254" s="35"/>
    </row>
    <row r="255" spans="1:17" s="165" customFormat="1" ht="15" customHeight="1">
      <c r="A255" s="14"/>
      <c r="B255" s="38"/>
      <c r="C255" s="30" t="s">
        <v>39</v>
      </c>
      <c r="D255" s="138" t="s">
        <v>492</v>
      </c>
      <c r="E255" s="185" t="s">
        <v>1158</v>
      </c>
      <c r="F255" s="139" t="s">
        <v>8</v>
      </c>
      <c r="G255" s="139">
        <v>24040</v>
      </c>
      <c r="H255" s="138" t="s">
        <v>199</v>
      </c>
      <c r="I255" s="139" t="s">
        <v>21</v>
      </c>
      <c r="J255" s="139">
        <v>43732</v>
      </c>
      <c r="K255" s="184">
        <v>54</v>
      </c>
      <c r="L255" s="139">
        <v>43730</v>
      </c>
      <c r="M255" s="139">
        <v>43760</v>
      </c>
      <c r="N255" s="189">
        <v>28</v>
      </c>
      <c r="O255" s="140">
        <v>4931.42</v>
      </c>
      <c r="Q255" s="35"/>
    </row>
    <row r="256" spans="1:17" s="165" customFormat="1" ht="15" customHeight="1">
      <c r="A256" s="14"/>
      <c r="B256" s="38"/>
      <c r="C256" s="30" t="s">
        <v>39</v>
      </c>
      <c r="D256" s="138" t="s">
        <v>492</v>
      </c>
      <c r="E256" s="185" t="s">
        <v>1158</v>
      </c>
      <c r="F256" s="139" t="s">
        <v>8</v>
      </c>
      <c r="G256" s="139">
        <v>24040</v>
      </c>
      <c r="H256" s="138" t="s">
        <v>199</v>
      </c>
      <c r="I256" s="139" t="s">
        <v>21</v>
      </c>
      <c r="J256" s="139">
        <v>43761</v>
      </c>
      <c r="K256" s="184">
        <v>54</v>
      </c>
      <c r="L256" s="139">
        <v>43730</v>
      </c>
      <c r="M256" s="139">
        <v>43762</v>
      </c>
      <c r="N256" s="189">
        <v>1</v>
      </c>
      <c r="O256" s="140">
        <v>4931.42</v>
      </c>
      <c r="Q256" s="35"/>
    </row>
    <row r="257" spans="1:17" s="165" customFormat="1" ht="15" customHeight="1">
      <c r="A257" s="14"/>
      <c r="B257" s="38"/>
      <c r="C257" s="30" t="s">
        <v>39</v>
      </c>
      <c r="D257" s="138" t="s">
        <v>493</v>
      </c>
      <c r="E257" s="185" t="s">
        <v>1159</v>
      </c>
      <c r="F257" s="139" t="s">
        <v>8</v>
      </c>
      <c r="G257" s="139">
        <v>24033</v>
      </c>
      <c r="H257" s="138" t="s">
        <v>199</v>
      </c>
      <c r="I257" s="139" t="s">
        <v>21</v>
      </c>
      <c r="J257" s="139">
        <v>43811</v>
      </c>
      <c r="K257" s="184">
        <v>54</v>
      </c>
      <c r="L257" s="139"/>
      <c r="M257" s="139">
        <v>43879</v>
      </c>
      <c r="N257" s="189">
        <v>68</v>
      </c>
      <c r="O257" s="140">
        <v>0</v>
      </c>
      <c r="Q257" s="35"/>
    </row>
    <row r="258" spans="1:17" s="165" customFormat="1" ht="15" customHeight="1">
      <c r="A258" s="14"/>
      <c r="B258" s="38"/>
      <c r="C258" s="30" t="s">
        <v>39</v>
      </c>
      <c r="D258" s="138" t="s">
        <v>494</v>
      </c>
      <c r="E258" s="185" t="s">
        <v>1160</v>
      </c>
      <c r="F258" s="139" t="s">
        <v>8</v>
      </c>
      <c r="G258" s="139">
        <v>24052</v>
      </c>
      <c r="H258" s="138" t="s">
        <v>199</v>
      </c>
      <c r="I258" s="139" t="s">
        <v>21</v>
      </c>
      <c r="J258" s="139">
        <v>43718</v>
      </c>
      <c r="K258" s="184">
        <v>54</v>
      </c>
      <c r="L258" s="139">
        <v>43782</v>
      </c>
      <c r="M258" s="139">
        <v>43782</v>
      </c>
      <c r="N258" s="189">
        <v>64</v>
      </c>
      <c r="O258" s="140">
        <v>729.05</v>
      </c>
      <c r="Q258" s="35"/>
    </row>
    <row r="259" spans="1:17" s="165" customFormat="1" ht="15" customHeight="1">
      <c r="A259" s="14"/>
      <c r="B259" s="38"/>
      <c r="C259" s="30" t="s">
        <v>39</v>
      </c>
      <c r="D259" s="138" t="s">
        <v>495</v>
      </c>
      <c r="E259" s="185" t="s">
        <v>1161</v>
      </c>
      <c r="F259" s="139" t="s">
        <v>10</v>
      </c>
      <c r="G259" s="139">
        <v>24101</v>
      </c>
      <c r="H259" s="138" t="s">
        <v>200</v>
      </c>
      <c r="I259" s="139" t="s">
        <v>21</v>
      </c>
      <c r="J259" s="139">
        <v>43479</v>
      </c>
      <c r="K259" s="184">
        <v>54</v>
      </c>
      <c r="L259" s="139"/>
      <c r="M259" s="139">
        <v>43769</v>
      </c>
      <c r="N259" s="189">
        <v>290</v>
      </c>
      <c r="O259" s="140">
        <v>0</v>
      </c>
      <c r="Q259" s="35"/>
    </row>
    <row r="260" spans="1:17" s="165" customFormat="1" ht="15" customHeight="1">
      <c r="A260" s="14"/>
      <c r="B260" s="38"/>
      <c r="C260" s="30" t="s">
        <v>39</v>
      </c>
      <c r="D260" s="138" t="s">
        <v>496</v>
      </c>
      <c r="E260" s="185" t="s">
        <v>1162</v>
      </c>
      <c r="F260" s="139" t="s">
        <v>8</v>
      </c>
      <c r="G260" s="139">
        <v>24095</v>
      </c>
      <c r="H260" s="138" t="s">
        <v>199</v>
      </c>
      <c r="I260" s="139" t="s">
        <v>21</v>
      </c>
      <c r="J260" s="139">
        <v>43799</v>
      </c>
      <c r="K260" s="184">
        <v>54</v>
      </c>
      <c r="L260" s="139"/>
      <c r="M260" s="139">
        <v>43861</v>
      </c>
      <c r="N260" s="189">
        <v>62</v>
      </c>
      <c r="O260" s="140">
        <v>0</v>
      </c>
      <c r="Q260" s="35"/>
    </row>
    <row r="261" spans="1:17" s="165" customFormat="1" ht="15" customHeight="1">
      <c r="A261" s="14"/>
      <c r="B261" s="38"/>
      <c r="C261" s="30" t="s">
        <v>39</v>
      </c>
      <c r="D261" s="138" t="s">
        <v>497</v>
      </c>
      <c r="E261" s="185" t="s">
        <v>1163</v>
      </c>
      <c r="F261" s="139" t="s">
        <v>8</v>
      </c>
      <c r="G261" s="139">
        <v>22047</v>
      </c>
      <c r="H261" s="138" t="s">
        <v>199</v>
      </c>
      <c r="I261" s="139" t="s">
        <v>21</v>
      </c>
      <c r="J261" s="139">
        <v>43549</v>
      </c>
      <c r="K261" s="184">
        <v>59</v>
      </c>
      <c r="L261" s="139"/>
      <c r="M261" s="139">
        <v>43609</v>
      </c>
      <c r="N261" s="189">
        <v>60</v>
      </c>
      <c r="O261" s="140">
        <v>0</v>
      </c>
      <c r="Q261" s="35"/>
    </row>
    <row r="262" spans="1:17" s="165" customFormat="1" ht="15" customHeight="1">
      <c r="A262" s="14"/>
      <c r="B262" s="38"/>
      <c r="C262" s="30" t="s">
        <v>39</v>
      </c>
      <c r="D262" s="138" t="s">
        <v>498</v>
      </c>
      <c r="E262" s="185" t="s">
        <v>1164</v>
      </c>
      <c r="F262" s="139" t="s">
        <v>8</v>
      </c>
      <c r="G262" s="139">
        <v>24259</v>
      </c>
      <c r="H262" s="138" t="s">
        <v>199</v>
      </c>
      <c r="I262" s="139" t="s">
        <v>21</v>
      </c>
      <c r="J262" s="139">
        <v>43725</v>
      </c>
      <c r="K262" s="184">
        <v>53</v>
      </c>
      <c r="L262" s="139">
        <v>43767</v>
      </c>
      <c r="M262" s="139">
        <v>44012</v>
      </c>
      <c r="N262" s="189">
        <v>287</v>
      </c>
      <c r="O262" s="140">
        <v>269.88</v>
      </c>
      <c r="Q262" s="35"/>
    </row>
    <row r="263" spans="1:17" s="165" customFormat="1" ht="15" customHeight="1">
      <c r="A263" s="14"/>
      <c r="B263" s="38"/>
      <c r="C263" s="30" t="s">
        <v>39</v>
      </c>
      <c r="D263" s="138" t="s">
        <v>499</v>
      </c>
      <c r="E263" s="185" t="s">
        <v>1165</v>
      </c>
      <c r="F263" s="139" t="s">
        <v>8</v>
      </c>
      <c r="G263" s="139">
        <v>25034</v>
      </c>
      <c r="H263" s="138" t="s">
        <v>199</v>
      </c>
      <c r="I263" s="139" t="s">
        <v>21</v>
      </c>
      <c r="J263" s="139">
        <v>43551</v>
      </c>
      <c r="K263" s="184">
        <v>51</v>
      </c>
      <c r="L263" s="139">
        <v>43658</v>
      </c>
      <c r="M263" s="139">
        <v>43658</v>
      </c>
      <c r="N263" s="189">
        <v>107</v>
      </c>
      <c r="O263" s="140">
        <v>26.52</v>
      </c>
      <c r="Q263" s="35"/>
    </row>
    <row r="264" spans="1:17" s="165" customFormat="1" ht="15" customHeight="1">
      <c r="A264" s="14"/>
      <c r="B264" s="38"/>
      <c r="C264" s="30" t="s">
        <v>39</v>
      </c>
      <c r="D264" s="138" t="s">
        <v>128</v>
      </c>
      <c r="E264" s="185" t="s">
        <v>1166</v>
      </c>
      <c r="F264" s="139" t="s">
        <v>8</v>
      </c>
      <c r="G264" s="139">
        <v>26164</v>
      </c>
      <c r="H264" s="138" t="s">
        <v>199</v>
      </c>
      <c r="I264" s="139" t="s">
        <v>21</v>
      </c>
      <c r="J264" s="139">
        <v>43596</v>
      </c>
      <c r="K264" s="184">
        <v>48</v>
      </c>
      <c r="L264" s="139">
        <v>43657</v>
      </c>
      <c r="M264" s="139">
        <v>43741</v>
      </c>
      <c r="N264" s="189">
        <v>145</v>
      </c>
      <c r="O264" s="140">
        <v>339.52</v>
      </c>
      <c r="Q264" s="35"/>
    </row>
    <row r="265" spans="1:17" s="165" customFormat="1" ht="15" customHeight="1">
      <c r="A265" s="14"/>
      <c r="B265" s="38"/>
      <c r="C265" s="30" t="s">
        <v>39</v>
      </c>
      <c r="D265" s="138" t="s">
        <v>500</v>
      </c>
      <c r="E265" s="185" t="s">
        <v>1166</v>
      </c>
      <c r="F265" s="139" t="s">
        <v>8</v>
      </c>
      <c r="G265" s="139">
        <v>26164</v>
      </c>
      <c r="H265" s="138" t="s">
        <v>199</v>
      </c>
      <c r="I265" s="139" t="s">
        <v>21</v>
      </c>
      <c r="J265" s="139">
        <v>43599</v>
      </c>
      <c r="K265" s="184">
        <v>48</v>
      </c>
      <c r="L265" s="139">
        <v>43708</v>
      </c>
      <c r="M265" s="139">
        <v>43708</v>
      </c>
      <c r="N265" s="189">
        <v>109</v>
      </c>
      <c r="O265" s="140">
        <v>694.4</v>
      </c>
      <c r="Q265" s="35"/>
    </row>
    <row r="266" spans="1:17" s="165" customFormat="1" ht="15" customHeight="1">
      <c r="A266" s="14"/>
      <c r="B266" s="38"/>
      <c r="C266" s="30" t="s">
        <v>39</v>
      </c>
      <c r="D266" s="138" t="s">
        <v>501</v>
      </c>
      <c r="E266" s="185" t="s">
        <v>1167</v>
      </c>
      <c r="F266" s="139" t="s">
        <v>10</v>
      </c>
      <c r="G266" s="139">
        <v>26960</v>
      </c>
      <c r="H266" s="138" t="s">
        <v>199</v>
      </c>
      <c r="I266" s="139" t="s">
        <v>21</v>
      </c>
      <c r="J266" s="139">
        <v>43532</v>
      </c>
      <c r="K266" s="184">
        <v>46</v>
      </c>
      <c r="L266" s="139">
        <v>43716</v>
      </c>
      <c r="M266" s="139">
        <v>43716</v>
      </c>
      <c r="N266" s="189">
        <v>184</v>
      </c>
      <c r="O266" s="140">
        <v>3332.5</v>
      </c>
      <c r="Q266" s="35"/>
    </row>
    <row r="267" spans="1:17" s="165" customFormat="1" ht="15" customHeight="1">
      <c r="A267" s="14"/>
      <c r="B267" s="38"/>
      <c r="C267" s="30" t="s">
        <v>39</v>
      </c>
      <c r="D267" s="138" t="s">
        <v>179</v>
      </c>
      <c r="E267" s="185" t="s">
        <v>1168</v>
      </c>
      <c r="F267" s="139" t="s">
        <v>8</v>
      </c>
      <c r="G267" s="139">
        <v>27146</v>
      </c>
      <c r="H267" s="138" t="s">
        <v>199</v>
      </c>
      <c r="I267" s="139" t="s">
        <v>21</v>
      </c>
      <c r="J267" s="139">
        <v>43650</v>
      </c>
      <c r="K267" s="184">
        <v>45</v>
      </c>
      <c r="L267" s="139">
        <v>43795</v>
      </c>
      <c r="M267" s="139"/>
      <c r="N267" s="189">
        <v>0</v>
      </c>
      <c r="O267" s="140">
        <v>2880.2799999999997</v>
      </c>
      <c r="Q267" s="35"/>
    </row>
    <row r="268" spans="1:17" s="165" customFormat="1" ht="15" customHeight="1">
      <c r="A268" s="14"/>
      <c r="B268" s="38"/>
      <c r="C268" s="30" t="s">
        <v>39</v>
      </c>
      <c r="D268" s="138" t="s">
        <v>502</v>
      </c>
      <c r="E268" s="185" t="s">
        <v>1169</v>
      </c>
      <c r="F268" s="139" t="s">
        <v>8</v>
      </c>
      <c r="G268" s="139">
        <v>24807</v>
      </c>
      <c r="H268" s="138" t="s">
        <v>199</v>
      </c>
      <c r="I268" s="139" t="s">
        <v>21</v>
      </c>
      <c r="J268" s="139">
        <v>43768</v>
      </c>
      <c r="K268" s="184">
        <v>52</v>
      </c>
      <c r="L268" s="139"/>
      <c r="M268" s="139">
        <v>43850</v>
      </c>
      <c r="N268" s="189">
        <v>82</v>
      </c>
      <c r="O268" s="140">
        <v>0</v>
      </c>
      <c r="Q268" s="35"/>
    </row>
    <row r="269" spans="1:17" s="165" customFormat="1" ht="15" customHeight="1">
      <c r="A269" s="14"/>
      <c r="B269" s="38"/>
      <c r="C269" s="30" t="s">
        <v>39</v>
      </c>
      <c r="D269" s="138" t="s">
        <v>503</v>
      </c>
      <c r="E269" s="185" t="s">
        <v>1170</v>
      </c>
      <c r="F269" s="139" t="s">
        <v>8</v>
      </c>
      <c r="G269" s="139">
        <v>26664</v>
      </c>
      <c r="H269" s="138" t="s">
        <v>199</v>
      </c>
      <c r="I269" s="139" t="s">
        <v>21</v>
      </c>
      <c r="J269" s="139">
        <v>43801</v>
      </c>
      <c r="K269" s="184">
        <v>47</v>
      </c>
      <c r="L269" s="139"/>
      <c r="M269" s="139"/>
      <c r="N269" s="189">
        <v>0</v>
      </c>
      <c r="O269" s="140">
        <v>0</v>
      </c>
      <c r="Q269" s="35"/>
    </row>
    <row r="270" spans="1:17" s="165" customFormat="1" ht="15" customHeight="1">
      <c r="A270" s="14"/>
      <c r="B270" s="38"/>
      <c r="C270" s="30" t="s">
        <v>39</v>
      </c>
      <c r="D270" s="138" t="s">
        <v>504</v>
      </c>
      <c r="E270" s="185" t="s">
        <v>1171</v>
      </c>
      <c r="F270" s="139" t="s">
        <v>8</v>
      </c>
      <c r="G270" s="139">
        <v>24846</v>
      </c>
      <c r="H270" s="138" t="s">
        <v>199</v>
      </c>
      <c r="I270" s="139" t="s">
        <v>21</v>
      </c>
      <c r="J270" s="139">
        <v>43721</v>
      </c>
      <c r="K270" s="184">
        <v>51</v>
      </c>
      <c r="L270" s="139"/>
      <c r="M270" s="139">
        <v>44032</v>
      </c>
      <c r="N270" s="189">
        <v>311</v>
      </c>
      <c r="O270" s="140">
        <v>0</v>
      </c>
      <c r="Q270" s="35"/>
    </row>
    <row r="271" spans="1:17" s="165" customFormat="1" ht="15" customHeight="1">
      <c r="A271" s="14"/>
      <c r="B271" s="38"/>
      <c r="C271" s="30" t="s">
        <v>39</v>
      </c>
      <c r="D271" s="138" t="s">
        <v>505</v>
      </c>
      <c r="E271" s="185" t="s">
        <v>1172</v>
      </c>
      <c r="F271" s="139" t="s">
        <v>8</v>
      </c>
      <c r="G271" s="139">
        <v>26496</v>
      </c>
      <c r="H271" s="138" t="s">
        <v>199</v>
      </c>
      <c r="I271" s="139" t="s">
        <v>21</v>
      </c>
      <c r="J271" s="139">
        <v>43745</v>
      </c>
      <c r="K271" s="184">
        <v>47</v>
      </c>
      <c r="L271" s="139"/>
      <c r="M271" s="139"/>
      <c r="N271" s="189">
        <v>0</v>
      </c>
      <c r="O271" s="140">
        <v>0</v>
      </c>
      <c r="Q271" s="35"/>
    </row>
    <row r="272" spans="1:17" s="165" customFormat="1" ht="15" customHeight="1">
      <c r="A272" s="14"/>
      <c r="B272" s="38"/>
      <c r="C272" s="30" t="s">
        <v>39</v>
      </c>
      <c r="D272" s="138" t="s">
        <v>506</v>
      </c>
      <c r="E272" s="185" t="s">
        <v>1173</v>
      </c>
      <c r="F272" s="139" t="s">
        <v>8</v>
      </c>
      <c r="G272" s="139">
        <v>25150</v>
      </c>
      <c r="H272" s="138" t="s">
        <v>199</v>
      </c>
      <c r="I272" s="139" t="s">
        <v>21</v>
      </c>
      <c r="J272" s="139">
        <v>43600</v>
      </c>
      <c r="K272" s="184">
        <v>51</v>
      </c>
      <c r="L272" s="139">
        <v>43672</v>
      </c>
      <c r="M272" s="139">
        <v>43672</v>
      </c>
      <c r="N272" s="189">
        <v>72</v>
      </c>
      <c r="O272" s="140">
        <v>757.23</v>
      </c>
      <c r="Q272" s="35"/>
    </row>
    <row r="273" spans="1:17" s="165" customFormat="1" ht="15" customHeight="1">
      <c r="A273" s="14"/>
      <c r="B273" s="38"/>
      <c r="C273" s="30" t="s">
        <v>39</v>
      </c>
      <c r="D273" s="138" t="s">
        <v>507</v>
      </c>
      <c r="E273" s="185" t="s">
        <v>1174</v>
      </c>
      <c r="F273" s="139" t="s">
        <v>8</v>
      </c>
      <c r="G273" s="139">
        <v>25405</v>
      </c>
      <c r="H273" s="138" t="s">
        <v>199</v>
      </c>
      <c r="I273" s="139" t="s">
        <v>21</v>
      </c>
      <c r="J273" s="139">
        <v>43789</v>
      </c>
      <c r="K273" s="184">
        <v>50</v>
      </c>
      <c r="L273" s="139"/>
      <c r="M273" s="139">
        <v>44091</v>
      </c>
      <c r="N273" s="189">
        <v>302</v>
      </c>
      <c r="O273" s="140">
        <v>0</v>
      </c>
      <c r="Q273" s="35"/>
    </row>
    <row r="274" spans="1:17" s="165" customFormat="1" ht="15" customHeight="1">
      <c r="A274" s="14"/>
      <c r="B274" s="38"/>
      <c r="C274" s="30" t="s">
        <v>39</v>
      </c>
      <c r="D274" s="138" t="s">
        <v>508</v>
      </c>
      <c r="E274" s="185" t="s">
        <v>1175</v>
      </c>
      <c r="F274" s="139" t="s">
        <v>8</v>
      </c>
      <c r="G274" s="139">
        <v>25159</v>
      </c>
      <c r="H274" s="138" t="s">
        <v>199</v>
      </c>
      <c r="I274" s="139" t="s">
        <v>21</v>
      </c>
      <c r="J274" s="139">
        <v>43818</v>
      </c>
      <c r="K274" s="184">
        <v>51</v>
      </c>
      <c r="L274" s="139"/>
      <c r="M274" s="139">
        <v>43882</v>
      </c>
      <c r="N274" s="189">
        <v>64</v>
      </c>
      <c r="O274" s="140">
        <v>0</v>
      </c>
      <c r="Q274" s="35"/>
    </row>
    <row r="275" spans="1:17" s="165" customFormat="1" ht="15" customHeight="1">
      <c r="A275" s="14"/>
      <c r="B275" s="38"/>
      <c r="C275" s="30" t="s">
        <v>39</v>
      </c>
      <c r="D275" s="138" t="s">
        <v>153</v>
      </c>
      <c r="E275" s="185" t="s">
        <v>1176</v>
      </c>
      <c r="F275" s="139" t="s">
        <v>8</v>
      </c>
      <c r="G275" s="139">
        <v>22465</v>
      </c>
      <c r="H275" s="138" t="s">
        <v>199</v>
      </c>
      <c r="I275" s="139" t="s">
        <v>21</v>
      </c>
      <c r="J275" s="139">
        <v>43650</v>
      </c>
      <c r="K275" s="184">
        <v>58</v>
      </c>
      <c r="L275" s="139">
        <v>43808</v>
      </c>
      <c r="M275" s="139"/>
      <c r="N275" s="189">
        <v>0</v>
      </c>
      <c r="O275" s="140">
        <v>6722.19</v>
      </c>
      <c r="Q275" s="35"/>
    </row>
    <row r="276" spans="1:17" s="165" customFormat="1" ht="15" customHeight="1">
      <c r="A276" s="14"/>
      <c r="B276" s="38"/>
      <c r="C276" s="30" t="s">
        <v>39</v>
      </c>
      <c r="D276" s="138" t="s">
        <v>509</v>
      </c>
      <c r="E276" s="185" t="s">
        <v>1177</v>
      </c>
      <c r="F276" s="139" t="s">
        <v>8</v>
      </c>
      <c r="G276" s="139">
        <v>21474</v>
      </c>
      <c r="H276" s="138" t="s">
        <v>199</v>
      </c>
      <c r="I276" s="139" t="s">
        <v>21</v>
      </c>
      <c r="J276" s="139">
        <v>43549</v>
      </c>
      <c r="K276" s="184">
        <v>61</v>
      </c>
      <c r="L276" s="139">
        <v>43587</v>
      </c>
      <c r="M276" s="139">
        <v>43585</v>
      </c>
      <c r="N276" s="189">
        <v>36</v>
      </c>
      <c r="O276" s="140">
        <v>6979.5000000000009</v>
      </c>
      <c r="Q276" s="35"/>
    </row>
    <row r="277" spans="1:17" s="165" customFormat="1" ht="15" customHeight="1">
      <c r="A277" s="14"/>
      <c r="B277" s="38"/>
      <c r="C277" s="30" t="s">
        <v>39</v>
      </c>
      <c r="D277" s="138" t="s">
        <v>509</v>
      </c>
      <c r="E277" s="185" t="s">
        <v>1177</v>
      </c>
      <c r="F277" s="139" t="s">
        <v>8</v>
      </c>
      <c r="G277" s="139">
        <v>21474</v>
      </c>
      <c r="H277" s="138" t="s">
        <v>199</v>
      </c>
      <c r="I277" s="139" t="s">
        <v>21</v>
      </c>
      <c r="J277" s="139">
        <v>43585</v>
      </c>
      <c r="K277" s="184">
        <v>61</v>
      </c>
      <c r="L277" s="139">
        <v>43587</v>
      </c>
      <c r="M277" s="139">
        <v>43587</v>
      </c>
      <c r="N277" s="189">
        <v>2</v>
      </c>
      <c r="O277" s="140">
        <v>6979.5000000000009</v>
      </c>
      <c r="Q277" s="35"/>
    </row>
    <row r="278" spans="1:17" s="165" customFormat="1" ht="15" customHeight="1">
      <c r="A278" s="14"/>
      <c r="B278" s="38"/>
      <c r="C278" s="30" t="s">
        <v>39</v>
      </c>
      <c r="D278" s="138" t="s">
        <v>510</v>
      </c>
      <c r="E278" s="185" t="s">
        <v>1178</v>
      </c>
      <c r="F278" s="139" t="s">
        <v>8</v>
      </c>
      <c r="G278" s="139">
        <v>27024</v>
      </c>
      <c r="H278" s="138" t="s">
        <v>199</v>
      </c>
      <c r="I278" s="139" t="s">
        <v>21</v>
      </c>
      <c r="J278" s="139">
        <v>43781</v>
      </c>
      <c r="K278" s="184">
        <v>46</v>
      </c>
      <c r="L278" s="139"/>
      <c r="M278" s="139">
        <v>43835</v>
      </c>
      <c r="N278" s="189">
        <v>54</v>
      </c>
      <c r="O278" s="140">
        <v>0</v>
      </c>
      <c r="Q278" s="35"/>
    </row>
    <row r="279" spans="1:17" s="165" customFormat="1" ht="15" customHeight="1">
      <c r="A279" s="14"/>
      <c r="B279" s="38"/>
      <c r="C279" s="30" t="s">
        <v>39</v>
      </c>
      <c r="D279" s="138" t="s">
        <v>511</v>
      </c>
      <c r="E279" s="185" t="s">
        <v>1179</v>
      </c>
      <c r="F279" s="139" t="s">
        <v>8</v>
      </c>
      <c r="G279" s="139">
        <v>26844</v>
      </c>
      <c r="H279" s="138" t="s">
        <v>199</v>
      </c>
      <c r="I279" s="139" t="s">
        <v>21</v>
      </c>
      <c r="J279" s="139">
        <v>43717</v>
      </c>
      <c r="K279" s="184">
        <v>46</v>
      </c>
      <c r="L279" s="139">
        <v>43760</v>
      </c>
      <c r="M279" s="139">
        <v>43760</v>
      </c>
      <c r="N279" s="189">
        <v>43</v>
      </c>
      <c r="O279" s="140">
        <v>439.18</v>
      </c>
      <c r="Q279" s="35"/>
    </row>
    <row r="280" spans="1:17" s="165" customFormat="1" ht="15" customHeight="1">
      <c r="A280" s="14"/>
      <c r="B280" s="38"/>
      <c r="C280" s="30" t="s">
        <v>39</v>
      </c>
      <c r="D280" s="138" t="s">
        <v>511</v>
      </c>
      <c r="E280" s="185" t="s">
        <v>1179</v>
      </c>
      <c r="F280" s="139" t="s">
        <v>8</v>
      </c>
      <c r="G280" s="139">
        <v>26844</v>
      </c>
      <c r="H280" s="138" t="s">
        <v>199</v>
      </c>
      <c r="I280" s="139" t="s">
        <v>21</v>
      </c>
      <c r="J280" s="139">
        <v>43766</v>
      </c>
      <c r="K280" s="184">
        <v>46</v>
      </c>
      <c r="L280" s="139">
        <v>43760</v>
      </c>
      <c r="M280" s="139">
        <v>43984</v>
      </c>
      <c r="N280" s="189">
        <v>218</v>
      </c>
      <c r="O280" s="140">
        <v>439.18</v>
      </c>
      <c r="Q280" s="35"/>
    </row>
    <row r="281" spans="1:17" s="165" customFormat="1" ht="15" customHeight="1">
      <c r="A281" s="14"/>
      <c r="B281" s="38"/>
      <c r="C281" s="30" t="s">
        <v>39</v>
      </c>
      <c r="D281" s="138" t="s">
        <v>512</v>
      </c>
      <c r="E281" s="185" t="s">
        <v>1180</v>
      </c>
      <c r="F281" s="139" t="s">
        <v>8</v>
      </c>
      <c r="G281" s="139">
        <v>22766</v>
      </c>
      <c r="H281" s="138" t="s">
        <v>199</v>
      </c>
      <c r="I281" s="139" t="s">
        <v>21</v>
      </c>
      <c r="J281" s="139">
        <v>43546</v>
      </c>
      <c r="K281" s="184">
        <v>57</v>
      </c>
      <c r="L281" s="139">
        <v>43645</v>
      </c>
      <c r="M281" s="139">
        <v>43645</v>
      </c>
      <c r="N281" s="189">
        <v>99</v>
      </c>
      <c r="O281" s="140">
        <v>814.8</v>
      </c>
      <c r="Q281" s="35"/>
    </row>
    <row r="282" spans="1:17" s="165" customFormat="1" ht="15" customHeight="1">
      <c r="A282" s="14"/>
      <c r="B282" s="38"/>
      <c r="C282" s="30" t="s">
        <v>39</v>
      </c>
      <c r="D282" s="138" t="s">
        <v>513</v>
      </c>
      <c r="E282" s="185" t="s">
        <v>1181</v>
      </c>
      <c r="F282" s="139" t="s">
        <v>8</v>
      </c>
      <c r="G282" s="139">
        <v>26735</v>
      </c>
      <c r="H282" s="138" t="s">
        <v>200</v>
      </c>
      <c r="I282" s="139" t="s">
        <v>21</v>
      </c>
      <c r="J282" s="139">
        <v>43542</v>
      </c>
      <c r="K282" s="184">
        <v>46</v>
      </c>
      <c r="L282" s="139">
        <v>43646</v>
      </c>
      <c r="M282" s="139">
        <v>43646</v>
      </c>
      <c r="N282" s="189">
        <v>104</v>
      </c>
      <c r="O282" s="140">
        <v>3627</v>
      </c>
      <c r="Q282" s="35"/>
    </row>
    <row r="283" spans="1:17" s="165" customFormat="1" ht="15" customHeight="1">
      <c r="A283" s="14"/>
      <c r="B283" s="38"/>
      <c r="C283" s="30" t="s">
        <v>39</v>
      </c>
      <c r="D283" s="138" t="s">
        <v>513</v>
      </c>
      <c r="E283" s="185" t="s">
        <v>1181</v>
      </c>
      <c r="F283" s="139" t="s">
        <v>8</v>
      </c>
      <c r="G283" s="139">
        <v>26735</v>
      </c>
      <c r="H283" s="138" t="s">
        <v>200</v>
      </c>
      <c r="I283" s="139" t="s">
        <v>21</v>
      </c>
      <c r="J283" s="139">
        <v>43671</v>
      </c>
      <c r="K283" s="184">
        <v>46</v>
      </c>
      <c r="L283" s="139">
        <v>43646</v>
      </c>
      <c r="M283" s="139">
        <v>43708</v>
      </c>
      <c r="N283" s="189">
        <v>37</v>
      </c>
      <c r="O283" s="140">
        <v>3627</v>
      </c>
      <c r="Q283" s="35"/>
    </row>
    <row r="284" spans="1:17" s="165" customFormat="1" ht="15" customHeight="1">
      <c r="A284" s="14"/>
      <c r="B284" s="38"/>
      <c r="C284" s="30" t="s">
        <v>39</v>
      </c>
      <c r="D284" s="138" t="s">
        <v>514</v>
      </c>
      <c r="E284" s="185" t="s">
        <v>1182</v>
      </c>
      <c r="F284" s="139" t="s">
        <v>8</v>
      </c>
      <c r="G284" s="139">
        <v>25416</v>
      </c>
      <c r="H284" s="138" t="s">
        <v>199</v>
      </c>
      <c r="I284" s="139" t="s">
        <v>21</v>
      </c>
      <c r="J284" s="139">
        <v>43521</v>
      </c>
      <c r="K284" s="184">
        <v>50</v>
      </c>
      <c r="L284" s="139">
        <v>43616</v>
      </c>
      <c r="M284" s="139">
        <v>43616</v>
      </c>
      <c r="N284" s="189">
        <v>95</v>
      </c>
      <c r="O284" s="140">
        <v>476.52</v>
      </c>
      <c r="Q284" s="35"/>
    </row>
    <row r="285" spans="1:17" s="165" customFormat="1" ht="15" customHeight="1">
      <c r="A285" s="14"/>
      <c r="B285" s="38"/>
      <c r="C285" s="30" t="s">
        <v>39</v>
      </c>
      <c r="D285" s="138" t="s">
        <v>515</v>
      </c>
      <c r="E285" s="185" t="s">
        <v>1183</v>
      </c>
      <c r="F285" s="139" t="s">
        <v>8</v>
      </c>
      <c r="G285" s="139">
        <v>24577</v>
      </c>
      <c r="H285" s="138" t="s">
        <v>199</v>
      </c>
      <c r="I285" s="139" t="s">
        <v>21</v>
      </c>
      <c r="J285" s="139">
        <v>43633</v>
      </c>
      <c r="K285" s="184">
        <v>52</v>
      </c>
      <c r="L285" s="139"/>
      <c r="M285" s="139">
        <v>44089</v>
      </c>
      <c r="N285" s="189">
        <v>456</v>
      </c>
      <c r="O285" s="140">
        <v>0</v>
      </c>
      <c r="Q285" s="35"/>
    </row>
    <row r="286" spans="1:17" s="165" customFormat="1" ht="15" customHeight="1">
      <c r="A286" s="14"/>
      <c r="B286" s="38"/>
      <c r="C286" s="30" t="s">
        <v>39</v>
      </c>
      <c r="D286" s="138" t="s">
        <v>516</v>
      </c>
      <c r="E286" s="185" t="s">
        <v>1184</v>
      </c>
      <c r="F286" s="139" t="s">
        <v>8</v>
      </c>
      <c r="G286" s="139">
        <v>26080</v>
      </c>
      <c r="H286" s="138" t="s">
        <v>199</v>
      </c>
      <c r="I286" s="139" t="s">
        <v>21</v>
      </c>
      <c r="J286" s="139">
        <v>43639</v>
      </c>
      <c r="K286" s="184">
        <v>48</v>
      </c>
      <c r="L286" s="139">
        <v>43640</v>
      </c>
      <c r="M286" s="139">
        <v>43640</v>
      </c>
      <c r="N286" s="189">
        <v>1</v>
      </c>
      <c r="O286" s="140">
        <v>8813.52</v>
      </c>
      <c r="Q286" s="35"/>
    </row>
    <row r="287" spans="1:17" s="165" customFormat="1" ht="15" customHeight="1">
      <c r="A287" s="14"/>
      <c r="B287" s="38"/>
      <c r="C287" s="30" t="s">
        <v>39</v>
      </c>
      <c r="D287" s="138" t="s">
        <v>114</v>
      </c>
      <c r="E287" s="185" t="s">
        <v>1185</v>
      </c>
      <c r="F287" s="139" t="s">
        <v>8</v>
      </c>
      <c r="G287" s="139">
        <v>26066</v>
      </c>
      <c r="H287" s="138" t="s">
        <v>199</v>
      </c>
      <c r="I287" s="139" t="s">
        <v>21</v>
      </c>
      <c r="J287" s="139">
        <v>43475</v>
      </c>
      <c r="K287" s="184">
        <v>48</v>
      </c>
      <c r="L287" s="139">
        <v>43646</v>
      </c>
      <c r="M287" s="139">
        <v>43647</v>
      </c>
      <c r="N287" s="189">
        <v>172</v>
      </c>
      <c r="O287" s="140">
        <v>2212.36</v>
      </c>
      <c r="Q287" s="35"/>
    </row>
    <row r="288" spans="1:17" s="165" customFormat="1" ht="15" customHeight="1">
      <c r="A288" s="14"/>
      <c r="B288" s="38"/>
      <c r="C288" s="30" t="s">
        <v>39</v>
      </c>
      <c r="D288" s="138" t="s">
        <v>517</v>
      </c>
      <c r="E288" s="185" t="s">
        <v>1186</v>
      </c>
      <c r="F288" s="139" t="s">
        <v>8</v>
      </c>
      <c r="G288" s="139">
        <v>23401</v>
      </c>
      <c r="H288" s="138" t="s">
        <v>200</v>
      </c>
      <c r="I288" s="139" t="s">
        <v>21</v>
      </c>
      <c r="J288" s="139">
        <v>43770</v>
      </c>
      <c r="K288" s="184">
        <v>55</v>
      </c>
      <c r="L288" s="139"/>
      <c r="M288" s="139"/>
      <c r="N288" s="189">
        <v>0</v>
      </c>
      <c r="O288" s="140">
        <v>0</v>
      </c>
      <c r="Q288" s="35"/>
    </row>
    <row r="289" spans="1:17" s="165" customFormat="1" ht="15" customHeight="1">
      <c r="A289" s="14"/>
      <c r="B289" s="38"/>
      <c r="C289" s="30" t="s">
        <v>39</v>
      </c>
      <c r="D289" s="138" t="s">
        <v>518</v>
      </c>
      <c r="E289" s="185" t="s">
        <v>1187</v>
      </c>
      <c r="F289" s="139" t="s">
        <v>8</v>
      </c>
      <c r="G289" s="139">
        <v>25984</v>
      </c>
      <c r="H289" s="138" t="s">
        <v>199</v>
      </c>
      <c r="I289" s="139" t="s">
        <v>21</v>
      </c>
      <c r="J289" s="139">
        <v>43633</v>
      </c>
      <c r="K289" s="184">
        <v>48</v>
      </c>
      <c r="L289" s="139">
        <v>43705</v>
      </c>
      <c r="M289" s="139">
        <v>43726</v>
      </c>
      <c r="N289" s="189">
        <v>93</v>
      </c>
      <c r="O289" s="140">
        <v>1593.5</v>
      </c>
      <c r="Q289" s="35"/>
    </row>
    <row r="290" spans="1:17" s="165" customFormat="1" ht="15" customHeight="1">
      <c r="A290" s="14"/>
      <c r="B290" s="38"/>
      <c r="C290" s="30" t="s">
        <v>39</v>
      </c>
      <c r="D290" s="138" t="s">
        <v>90</v>
      </c>
      <c r="E290" s="185" t="s">
        <v>1188</v>
      </c>
      <c r="F290" s="139" t="s">
        <v>8</v>
      </c>
      <c r="G290" s="139">
        <v>24896</v>
      </c>
      <c r="H290" s="138" t="s">
        <v>200</v>
      </c>
      <c r="I290" s="139" t="s">
        <v>21</v>
      </c>
      <c r="J290" s="139">
        <v>43507</v>
      </c>
      <c r="K290" s="184">
        <v>51</v>
      </c>
      <c r="L290" s="139">
        <v>43796</v>
      </c>
      <c r="M290" s="139"/>
      <c r="N290" s="189">
        <v>0</v>
      </c>
      <c r="O290" s="140">
        <v>7659.5999999999985</v>
      </c>
      <c r="Q290" s="35"/>
    </row>
    <row r="291" spans="1:17" s="165" customFormat="1" ht="15" customHeight="1">
      <c r="A291" s="14"/>
      <c r="B291" s="38"/>
      <c r="C291" s="30" t="s">
        <v>39</v>
      </c>
      <c r="D291" s="138" t="s">
        <v>519</v>
      </c>
      <c r="E291" s="185" t="s">
        <v>1189</v>
      </c>
      <c r="F291" s="139" t="s">
        <v>8</v>
      </c>
      <c r="G291" s="139">
        <v>21034</v>
      </c>
      <c r="H291" s="138" t="s">
        <v>199</v>
      </c>
      <c r="I291" s="139" t="s">
        <v>21</v>
      </c>
      <c r="J291" s="139">
        <v>43643</v>
      </c>
      <c r="K291" s="184">
        <v>62</v>
      </c>
      <c r="L291" s="139"/>
      <c r="M291" s="139">
        <v>43769</v>
      </c>
      <c r="N291" s="189">
        <v>126</v>
      </c>
      <c r="O291" s="140">
        <v>0</v>
      </c>
      <c r="Q291" s="35"/>
    </row>
    <row r="292" spans="1:17" s="165" customFormat="1" ht="15" customHeight="1">
      <c r="A292" s="14"/>
      <c r="B292" s="38"/>
      <c r="C292" s="30" t="s">
        <v>39</v>
      </c>
      <c r="D292" s="138" t="s">
        <v>181</v>
      </c>
      <c r="E292" s="185" t="s">
        <v>1190</v>
      </c>
      <c r="F292" s="139" t="s">
        <v>8</v>
      </c>
      <c r="G292" s="139">
        <v>26509</v>
      </c>
      <c r="H292" s="138" t="s">
        <v>199</v>
      </c>
      <c r="I292" s="139" t="s">
        <v>21</v>
      </c>
      <c r="J292" s="139">
        <v>43718</v>
      </c>
      <c r="K292" s="184">
        <v>47</v>
      </c>
      <c r="L292" s="139">
        <v>43796</v>
      </c>
      <c r="M292" s="139">
        <v>43835</v>
      </c>
      <c r="N292" s="189">
        <v>117</v>
      </c>
      <c r="O292" s="140">
        <v>1043.21</v>
      </c>
      <c r="Q292" s="35"/>
    </row>
    <row r="293" spans="1:17" s="165" customFormat="1" ht="15" customHeight="1">
      <c r="A293" s="14"/>
      <c r="B293" s="38"/>
      <c r="C293" s="30" t="s">
        <v>39</v>
      </c>
      <c r="D293" s="138" t="s">
        <v>520</v>
      </c>
      <c r="E293" s="185" t="s">
        <v>1191</v>
      </c>
      <c r="F293" s="139" t="s">
        <v>8</v>
      </c>
      <c r="G293" s="139">
        <v>25895</v>
      </c>
      <c r="H293" s="138" t="s">
        <v>199</v>
      </c>
      <c r="I293" s="139" t="s">
        <v>21</v>
      </c>
      <c r="J293" s="139">
        <v>43486</v>
      </c>
      <c r="K293" s="184">
        <v>49</v>
      </c>
      <c r="L293" s="139">
        <v>43555</v>
      </c>
      <c r="M293" s="139">
        <v>43555</v>
      </c>
      <c r="N293" s="189">
        <v>69</v>
      </c>
      <c r="O293" s="140">
        <v>1316.4</v>
      </c>
      <c r="Q293" s="35"/>
    </row>
    <row r="294" spans="1:17" s="165" customFormat="1" ht="15" customHeight="1">
      <c r="A294" s="14"/>
      <c r="B294" s="38"/>
      <c r="C294" s="30" t="s">
        <v>39</v>
      </c>
      <c r="D294" s="138" t="s">
        <v>521</v>
      </c>
      <c r="E294" s="185" t="s">
        <v>1192</v>
      </c>
      <c r="F294" s="139" t="s">
        <v>8</v>
      </c>
      <c r="G294" s="139">
        <v>23855</v>
      </c>
      <c r="H294" s="138" t="s">
        <v>200</v>
      </c>
      <c r="I294" s="139" t="s">
        <v>21</v>
      </c>
      <c r="J294" s="139">
        <v>43635</v>
      </c>
      <c r="K294" s="184">
        <v>54</v>
      </c>
      <c r="L294" s="139">
        <v>43727</v>
      </c>
      <c r="M294" s="139">
        <v>44347</v>
      </c>
      <c r="N294" s="189">
        <v>712</v>
      </c>
      <c r="O294" s="140">
        <v>1500.03</v>
      </c>
      <c r="Q294" s="35"/>
    </row>
    <row r="295" spans="1:17" s="165" customFormat="1" ht="15" customHeight="1">
      <c r="A295" s="14"/>
      <c r="B295" s="38"/>
      <c r="C295" s="30" t="s">
        <v>39</v>
      </c>
      <c r="D295" s="138" t="s">
        <v>522</v>
      </c>
      <c r="E295" s="185" t="s">
        <v>1193</v>
      </c>
      <c r="F295" s="139" t="s">
        <v>8</v>
      </c>
      <c r="G295" s="139">
        <v>23907</v>
      </c>
      <c r="H295" s="138" t="s">
        <v>199</v>
      </c>
      <c r="I295" s="139" t="s">
        <v>21</v>
      </c>
      <c r="J295" s="139">
        <v>43588</v>
      </c>
      <c r="K295" s="184">
        <v>54</v>
      </c>
      <c r="L295" s="139">
        <v>43677</v>
      </c>
      <c r="M295" s="139">
        <v>43677</v>
      </c>
      <c r="N295" s="189">
        <v>89</v>
      </c>
      <c r="O295" s="140">
        <v>4581</v>
      </c>
      <c r="Q295" s="35"/>
    </row>
    <row r="296" spans="1:17" s="165" customFormat="1" ht="15" customHeight="1">
      <c r="A296" s="14"/>
      <c r="B296" s="38"/>
      <c r="C296" s="30" t="s">
        <v>39</v>
      </c>
      <c r="D296" s="138" t="s">
        <v>523</v>
      </c>
      <c r="E296" s="185" t="s">
        <v>1194</v>
      </c>
      <c r="F296" s="139" t="s">
        <v>8</v>
      </c>
      <c r="G296" s="139">
        <v>22809</v>
      </c>
      <c r="H296" s="138" t="s">
        <v>200</v>
      </c>
      <c r="I296" s="139" t="s">
        <v>21</v>
      </c>
      <c r="J296" s="139">
        <v>43801</v>
      </c>
      <c r="K296" s="184">
        <v>57</v>
      </c>
      <c r="L296" s="139"/>
      <c r="M296" s="139">
        <v>43907</v>
      </c>
      <c r="N296" s="189">
        <v>106</v>
      </c>
      <c r="O296" s="140">
        <v>0</v>
      </c>
      <c r="Q296" s="35"/>
    </row>
    <row r="297" spans="1:17" s="165" customFormat="1" ht="15" customHeight="1">
      <c r="A297" s="14"/>
      <c r="B297" s="38"/>
      <c r="C297" s="30" t="s">
        <v>39</v>
      </c>
      <c r="D297" s="138" t="s">
        <v>524</v>
      </c>
      <c r="E297" s="185" t="s">
        <v>1195</v>
      </c>
      <c r="F297" s="139" t="s">
        <v>8</v>
      </c>
      <c r="G297" s="139">
        <v>25359</v>
      </c>
      <c r="H297" s="138" t="s">
        <v>199</v>
      </c>
      <c r="I297" s="139" t="s">
        <v>21</v>
      </c>
      <c r="J297" s="139">
        <v>43729</v>
      </c>
      <c r="K297" s="184">
        <v>50</v>
      </c>
      <c r="L297" s="139"/>
      <c r="M297" s="139">
        <v>43780</v>
      </c>
      <c r="N297" s="189">
        <v>51</v>
      </c>
      <c r="O297" s="140">
        <v>0</v>
      </c>
      <c r="Q297" s="35"/>
    </row>
    <row r="298" spans="1:17" s="165" customFormat="1" ht="15" customHeight="1">
      <c r="A298" s="14"/>
      <c r="B298" s="38"/>
      <c r="C298" s="30" t="s">
        <v>39</v>
      </c>
      <c r="D298" s="138" t="s">
        <v>525</v>
      </c>
      <c r="E298" s="185" t="s">
        <v>1196</v>
      </c>
      <c r="F298" s="139" t="s">
        <v>8</v>
      </c>
      <c r="G298" s="139">
        <v>25895</v>
      </c>
      <c r="H298" s="138" t="s">
        <v>199</v>
      </c>
      <c r="I298" s="139" t="s">
        <v>21</v>
      </c>
      <c r="J298" s="139">
        <v>43784</v>
      </c>
      <c r="K298" s="184">
        <v>49</v>
      </c>
      <c r="L298" s="139"/>
      <c r="M298" s="139">
        <v>43891</v>
      </c>
      <c r="N298" s="189">
        <v>107</v>
      </c>
      <c r="O298" s="140">
        <v>0</v>
      </c>
      <c r="Q298" s="35"/>
    </row>
    <row r="299" spans="1:17" s="165" customFormat="1" ht="15" customHeight="1">
      <c r="A299" s="14"/>
      <c r="B299" s="38"/>
      <c r="C299" s="30" t="s">
        <v>39</v>
      </c>
      <c r="D299" s="138" t="s">
        <v>526</v>
      </c>
      <c r="E299" s="185" t="s">
        <v>1197</v>
      </c>
      <c r="F299" s="139" t="s">
        <v>8</v>
      </c>
      <c r="G299" s="139">
        <v>26175</v>
      </c>
      <c r="H299" s="138" t="s">
        <v>200</v>
      </c>
      <c r="I299" s="139" t="s">
        <v>21</v>
      </c>
      <c r="J299" s="139">
        <v>43635</v>
      </c>
      <c r="K299" s="184">
        <v>48</v>
      </c>
      <c r="L299" s="139">
        <v>43702</v>
      </c>
      <c r="M299" s="139">
        <v>43702</v>
      </c>
      <c r="N299" s="189">
        <v>67</v>
      </c>
      <c r="O299" s="140">
        <v>25874.959999999995</v>
      </c>
      <c r="Q299" s="35"/>
    </row>
    <row r="300" spans="1:17" s="165" customFormat="1" ht="15" customHeight="1">
      <c r="A300" s="14"/>
      <c r="B300" s="38"/>
      <c r="C300" s="30" t="s">
        <v>39</v>
      </c>
      <c r="D300" s="138" t="s">
        <v>526</v>
      </c>
      <c r="E300" s="185" t="s">
        <v>1197</v>
      </c>
      <c r="F300" s="139" t="s">
        <v>8</v>
      </c>
      <c r="G300" s="139">
        <v>26175</v>
      </c>
      <c r="H300" s="138" t="s">
        <v>200</v>
      </c>
      <c r="I300" s="139" t="s">
        <v>21</v>
      </c>
      <c r="J300" s="139">
        <v>43746</v>
      </c>
      <c r="K300" s="184">
        <v>48</v>
      </c>
      <c r="L300" s="139">
        <v>43702</v>
      </c>
      <c r="M300" s="139">
        <v>43835</v>
      </c>
      <c r="N300" s="189">
        <v>89</v>
      </c>
      <c r="O300" s="140">
        <v>25874.959999999995</v>
      </c>
      <c r="Q300" s="35"/>
    </row>
    <row r="301" spans="1:17" s="165" customFormat="1" ht="15" customHeight="1">
      <c r="A301" s="14"/>
      <c r="B301" s="38"/>
      <c r="C301" s="30" t="s">
        <v>39</v>
      </c>
      <c r="D301" s="138" t="s">
        <v>527</v>
      </c>
      <c r="E301" s="185" t="s">
        <v>1198</v>
      </c>
      <c r="F301" s="139" t="s">
        <v>8</v>
      </c>
      <c r="G301" s="139">
        <v>27545</v>
      </c>
      <c r="H301" s="138" t="s">
        <v>199</v>
      </c>
      <c r="I301" s="139" t="s">
        <v>21</v>
      </c>
      <c r="J301" s="139">
        <v>43604</v>
      </c>
      <c r="K301" s="184">
        <v>44</v>
      </c>
      <c r="L301" s="139">
        <v>43672</v>
      </c>
      <c r="M301" s="139">
        <v>43672</v>
      </c>
      <c r="N301" s="189">
        <v>68</v>
      </c>
      <c r="O301" s="140">
        <v>962.91000000000008</v>
      </c>
      <c r="Q301" s="35"/>
    </row>
    <row r="302" spans="1:17" s="165" customFormat="1" ht="15" customHeight="1">
      <c r="A302" s="14"/>
      <c r="B302" s="38"/>
      <c r="C302" s="30" t="s">
        <v>39</v>
      </c>
      <c r="D302" s="138" t="s">
        <v>528</v>
      </c>
      <c r="E302" s="185" t="s">
        <v>1199</v>
      </c>
      <c r="F302" s="139" t="s">
        <v>8</v>
      </c>
      <c r="G302" s="139">
        <v>25693</v>
      </c>
      <c r="H302" s="138" t="s">
        <v>199</v>
      </c>
      <c r="I302" s="139" t="s">
        <v>21</v>
      </c>
      <c r="J302" s="139">
        <v>43814</v>
      </c>
      <c r="K302" s="184">
        <v>49</v>
      </c>
      <c r="L302" s="139"/>
      <c r="M302" s="139"/>
      <c r="N302" s="189">
        <v>0</v>
      </c>
      <c r="O302" s="140">
        <v>0</v>
      </c>
      <c r="Q302" s="35"/>
    </row>
    <row r="303" spans="1:17" s="165" customFormat="1" ht="15" customHeight="1">
      <c r="A303" s="14"/>
      <c r="B303" s="38"/>
      <c r="C303" s="30" t="s">
        <v>39</v>
      </c>
      <c r="D303" s="138" t="s">
        <v>529</v>
      </c>
      <c r="E303" s="185" t="s">
        <v>1200</v>
      </c>
      <c r="F303" s="139" t="s">
        <v>8</v>
      </c>
      <c r="G303" s="139">
        <v>26538</v>
      </c>
      <c r="H303" s="138" t="s">
        <v>200</v>
      </c>
      <c r="I303" s="139" t="s">
        <v>21</v>
      </c>
      <c r="J303" s="139">
        <v>43503</v>
      </c>
      <c r="K303" s="184">
        <v>47</v>
      </c>
      <c r="L303" s="139">
        <v>43643</v>
      </c>
      <c r="M303" s="139">
        <v>43643</v>
      </c>
      <c r="N303" s="189">
        <v>140</v>
      </c>
      <c r="O303" s="140">
        <v>9671.43</v>
      </c>
      <c r="Q303" s="35"/>
    </row>
    <row r="304" spans="1:17" s="165" customFormat="1" ht="15" customHeight="1">
      <c r="A304" s="14"/>
      <c r="B304" s="38"/>
      <c r="C304" s="30" t="s">
        <v>39</v>
      </c>
      <c r="D304" s="138" t="s">
        <v>146</v>
      </c>
      <c r="E304" s="185" t="s">
        <v>1201</v>
      </c>
      <c r="F304" s="139" t="s">
        <v>8</v>
      </c>
      <c r="G304" s="139">
        <v>23502</v>
      </c>
      <c r="H304" s="138" t="s">
        <v>200</v>
      </c>
      <c r="I304" s="139" t="s">
        <v>21</v>
      </c>
      <c r="J304" s="139">
        <v>43620</v>
      </c>
      <c r="K304" s="184">
        <v>55</v>
      </c>
      <c r="L304" s="139">
        <v>43715</v>
      </c>
      <c r="M304" s="139">
        <v>43715</v>
      </c>
      <c r="N304" s="189">
        <v>95</v>
      </c>
      <c r="O304" s="140">
        <v>195587.47</v>
      </c>
      <c r="Q304" s="35"/>
    </row>
    <row r="305" spans="1:17" s="165" customFormat="1" ht="15" customHeight="1">
      <c r="A305" s="14"/>
      <c r="B305" s="38"/>
      <c r="C305" s="30" t="s">
        <v>39</v>
      </c>
      <c r="D305" s="138" t="s">
        <v>530</v>
      </c>
      <c r="E305" s="185" t="s">
        <v>1202</v>
      </c>
      <c r="F305" s="139" t="s">
        <v>8</v>
      </c>
      <c r="G305" s="139">
        <v>26390</v>
      </c>
      <c r="H305" s="138" t="s">
        <v>200</v>
      </c>
      <c r="I305" s="139" t="s">
        <v>21</v>
      </c>
      <c r="J305" s="139">
        <v>43767</v>
      </c>
      <c r="K305" s="184">
        <v>47</v>
      </c>
      <c r="L305" s="139"/>
      <c r="M305" s="139">
        <v>43971</v>
      </c>
      <c r="N305" s="189">
        <v>204</v>
      </c>
      <c r="O305" s="140">
        <v>0</v>
      </c>
      <c r="Q305" s="35"/>
    </row>
    <row r="306" spans="1:17" s="165" customFormat="1" ht="15" customHeight="1">
      <c r="A306" s="14"/>
      <c r="B306" s="38"/>
      <c r="C306" s="30" t="s">
        <v>39</v>
      </c>
      <c r="D306" s="138" t="s">
        <v>531</v>
      </c>
      <c r="E306" s="185" t="s">
        <v>1203</v>
      </c>
      <c r="F306" s="139" t="s">
        <v>10</v>
      </c>
      <c r="G306" s="139">
        <v>22372</v>
      </c>
      <c r="H306" s="138" t="s">
        <v>199</v>
      </c>
      <c r="I306" s="139" t="s">
        <v>21</v>
      </c>
      <c r="J306" s="139">
        <v>43804</v>
      </c>
      <c r="K306" s="184">
        <v>58</v>
      </c>
      <c r="L306" s="139"/>
      <c r="M306" s="139">
        <v>44127</v>
      </c>
      <c r="N306" s="189">
        <v>323</v>
      </c>
      <c r="O306" s="140">
        <v>0</v>
      </c>
      <c r="Q306" s="35"/>
    </row>
    <row r="307" spans="1:17" s="165" customFormat="1" ht="15" customHeight="1">
      <c r="A307" s="14"/>
      <c r="B307" s="38"/>
      <c r="C307" s="30" t="s">
        <v>39</v>
      </c>
      <c r="D307" s="138" t="s">
        <v>532</v>
      </c>
      <c r="E307" s="185" t="s">
        <v>1204</v>
      </c>
      <c r="F307" s="139" t="s">
        <v>8</v>
      </c>
      <c r="G307" s="139">
        <v>25788</v>
      </c>
      <c r="H307" s="138" t="s">
        <v>199</v>
      </c>
      <c r="I307" s="139" t="s">
        <v>21</v>
      </c>
      <c r="J307" s="139">
        <v>43626</v>
      </c>
      <c r="K307" s="184">
        <v>49</v>
      </c>
      <c r="L307" s="139">
        <v>43659</v>
      </c>
      <c r="M307" s="139">
        <v>43659</v>
      </c>
      <c r="N307" s="189">
        <v>33</v>
      </c>
      <c r="O307" s="140">
        <v>262</v>
      </c>
      <c r="Q307" s="35"/>
    </row>
    <row r="308" spans="1:17" s="165" customFormat="1" ht="15" customHeight="1">
      <c r="A308" s="14"/>
      <c r="B308" s="38"/>
      <c r="C308" s="30" t="s">
        <v>39</v>
      </c>
      <c r="D308" s="138" t="s">
        <v>533</v>
      </c>
      <c r="E308" s="185" t="s">
        <v>1205</v>
      </c>
      <c r="F308" s="139" t="s">
        <v>8</v>
      </c>
      <c r="G308" s="139">
        <v>24244</v>
      </c>
      <c r="H308" s="138" t="s">
        <v>199</v>
      </c>
      <c r="I308" s="139" t="s">
        <v>21</v>
      </c>
      <c r="J308" s="139">
        <v>43665</v>
      </c>
      <c r="K308" s="184">
        <v>53</v>
      </c>
      <c r="L308" s="139">
        <v>43790</v>
      </c>
      <c r="M308" s="139">
        <v>43836</v>
      </c>
      <c r="N308" s="189">
        <v>171</v>
      </c>
      <c r="O308" s="140">
        <v>1969.92</v>
      </c>
      <c r="Q308" s="35"/>
    </row>
    <row r="309" spans="1:17" s="165" customFormat="1" ht="15" customHeight="1">
      <c r="A309" s="14"/>
      <c r="B309" s="38"/>
      <c r="C309" s="30" t="s">
        <v>39</v>
      </c>
      <c r="D309" s="138" t="s">
        <v>534</v>
      </c>
      <c r="E309" s="185" t="s">
        <v>1206</v>
      </c>
      <c r="F309" s="139" t="s">
        <v>8</v>
      </c>
      <c r="G309" s="139">
        <v>26159</v>
      </c>
      <c r="H309" s="138" t="s">
        <v>199</v>
      </c>
      <c r="I309" s="139" t="s">
        <v>21</v>
      </c>
      <c r="J309" s="139">
        <v>43545</v>
      </c>
      <c r="K309" s="184">
        <v>48</v>
      </c>
      <c r="L309" s="139">
        <v>43738</v>
      </c>
      <c r="M309" s="139">
        <v>44056</v>
      </c>
      <c r="N309" s="189">
        <v>511</v>
      </c>
      <c r="O309" s="140">
        <v>4214.8</v>
      </c>
      <c r="Q309" s="35"/>
    </row>
    <row r="310" spans="1:17" s="165" customFormat="1" ht="15" customHeight="1">
      <c r="A310" s="14"/>
      <c r="B310" s="38"/>
      <c r="C310" s="30" t="s">
        <v>39</v>
      </c>
      <c r="D310" s="138" t="s">
        <v>535</v>
      </c>
      <c r="E310" s="185" t="s">
        <v>1207</v>
      </c>
      <c r="F310" s="139" t="s">
        <v>8</v>
      </c>
      <c r="G310" s="139">
        <v>21710</v>
      </c>
      <c r="H310" s="138" t="s">
        <v>199</v>
      </c>
      <c r="I310" s="139" t="s">
        <v>21</v>
      </c>
      <c r="J310" s="139">
        <v>43766</v>
      </c>
      <c r="K310" s="184">
        <v>60</v>
      </c>
      <c r="L310" s="139"/>
      <c r="M310" s="139"/>
      <c r="N310" s="189">
        <v>0</v>
      </c>
      <c r="O310" s="140">
        <v>0</v>
      </c>
      <c r="Q310" s="35"/>
    </row>
    <row r="311" spans="1:17" s="165" customFormat="1" ht="15" customHeight="1">
      <c r="A311" s="14"/>
      <c r="B311" s="38"/>
      <c r="C311" s="30" t="s">
        <v>39</v>
      </c>
      <c r="D311" s="138" t="s">
        <v>141</v>
      </c>
      <c r="E311" s="185" t="s">
        <v>1208</v>
      </c>
      <c r="F311" s="139" t="s">
        <v>8</v>
      </c>
      <c r="G311" s="139">
        <v>23344</v>
      </c>
      <c r="H311" s="138" t="s">
        <v>199</v>
      </c>
      <c r="I311" s="139" t="s">
        <v>21</v>
      </c>
      <c r="J311" s="139">
        <v>43634</v>
      </c>
      <c r="K311" s="184">
        <v>56</v>
      </c>
      <c r="L311" s="139">
        <v>43803</v>
      </c>
      <c r="M311" s="139">
        <v>43921</v>
      </c>
      <c r="N311" s="189">
        <v>287</v>
      </c>
      <c r="O311" s="140">
        <v>3855.6</v>
      </c>
      <c r="Q311" s="35"/>
    </row>
    <row r="312" spans="1:17" s="165" customFormat="1" ht="15" customHeight="1">
      <c r="A312" s="14"/>
      <c r="B312" s="38"/>
      <c r="C312" s="30" t="s">
        <v>39</v>
      </c>
      <c r="D312" s="138" t="s">
        <v>536</v>
      </c>
      <c r="E312" s="185" t="s">
        <v>1209</v>
      </c>
      <c r="F312" s="139" t="s">
        <v>8</v>
      </c>
      <c r="G312" s="139">
        <v>24156</v>
      </c>
      <c r="H312" s="138" t="s">
        <v>200</v>
      </c>
      <c r="I312" s="139" t="s">
        <v>21</v>
      </c>
      <c r="J312" s="139">
        <v>43472</v>
      </c>
      <c r="K312" s="184">
        <v>53</v>
      </c>
      <c r="L312" s="139">
        <v>43532</v>
      </c>
      <c r="M312" s="139">
        <v>43532</v>
      </c>
      <c r="N312" s="189">
        <v>60</v>
      </c>
      <c r="O312" s="140">
        <v>2811.08</v>
      </c>
      <c r="Q312" s="35"/>
    </row>
    <row r="313" spans="1:17" s="165" customFormat="1" ht="15" customHeight="1">
      <c r="A313" s="14"/>
      <c r="B313" s="38"/>
      <c r="C313" s="30" t="s">
        <v>39</v>
      </c>
      <c r="D313" s="138" t="s">
        <v>537</v>
      </c>
      <c r="E313" s="185" t="s">
        <v>1210</v>
      </c>
      <c r="F313" s="139" t="s">
        <v>8</v>
      </c>
      <c r="G313" s="139">
        <v>27481</v>
      </c>
      <c r="H313" s="138" t="s">
        <v>199</v>
      </c>
      <c r="I313" s="139" t="s">
        <v>21</v>
      </c>
      <c r="J313" s="139">
        <v>43759</v>
      </c>
      <c r="K313" s="184">
        <v>44</v>
      </c>
      <c r="L313" s="139"/>
      <c r="M313" s="139">
        <v>43951</v>
      </c>
      <c r="N313" s="189">
        <v>192</v>
      </c>
      <c r="O313" s="140">
        <v>0</v>
      </c>
      <c r="Q313" s="35"/>
    </row>
    <row r="314" spans="1:17" s="165" customFormat="1" ht="15" customHeight="1">
      <c r="A314" s="14"/>
      <c r="B314" s="38"/>
      <c r="C314" s="30" t="s">
        <v>39</v>
      </c>
      <c r="D314" s="138" t="s">
        <v>538</v>
      </c>
      <c r="E314" s="185" t="s">
        <v>1211</v>
      </c>
      <c r="F314" s="139" t="s">
        <v>8</v>
      </c>
      <c r="G314" s="139">
        <v>26851</v>
      </c>
      <c r="H314" s="138" t="s">
        <v>199</v>
      </c>
      <c r="I314" s="139" t="s">
        <v>21</v>
      </c>
      <c r="J314" s="139">
        <v>43563</v>
      </c>
      <c r="K314" s="184">
        <v>46</v>
      </c>
      <c r="L314" s="139">
        <v>43632</v>
      </c>
      <c r="M314" s="139">
        <v>43632</v>
      </c>
      <c r="N314" s="189">
        <v>69</v>
      </c>
      <c r="O314" s="140">
        <v>900</v>
      </c>
      <c r="Q314" s="35"/>
    </row>
    <row r="315" spans="1:17" s="165" customFormat="1" ht="15" customHeight="1">
      <c r="A315" s="14"/>
      <c r="B315" s="38"/>
      <c r="C315" s="30" t="s">
        <v>39</v>
      </c>
      <c r="D315" s="138" t="s">
        <v>539</v>
      </c>
      <c r="E315" s="185" t="s">
        <v>1212</v>
      </c>
      <c r="F315" s="139" t="s">
        <v>8</v>
      </c>
      <c r="G315" s="139">
        <v>25649</v>
      </c>
      <c r="H315" s="138" t="s">
        <v>199</v>
      </c>
      <c r="I315" s="139" t="s">
        <v>21</v>
      </c>
      <c r="J315" s="139">
        <v>43568</v>
      </c>
      <c r="K315" s="184">
        <v>49</v>
      </c>
      <c r="L315" s="139">
        <v>43662</v>
      </c>
      <c r="M315" s="139">
        <v>43662</v>
      </c>
      <c r="N315" s="189">
        <v>94</v>
      </c>
      <c r="O315" s="140">
        <v>2586.35</v>
      </c>
      <c r="Q315" s="35"/>
    </row>
    <row r="316" spans="1:17" s="165" customFormat="1" ht="15" customHeight="1">
      <c r="A316" s="14"/>
      <c r="B316" s="38"/>
      <c r="C316" s="30" t="s">
        <v>39</v>
      </c>
      <c r="D316" s="138" t="s">
        <v>540</v>
      </c>
      <c r="E316" s="185" t="s">
        <v>1213</v>
      </c>
      <c r="F316" s="139" t="s">
        <v>8</v>
      </c>
      <c r="G316" s="139">
        <v>27454</v>
      </c>
      <c r="H316" s="138" t="s">
        <v>199</v>
      </c>
      <c r="I316" s="139" t="s">
        <v>21</v>
      </c>
      <c r="J316" s="139">
        <v>43575</v>
      </c>
      <c r="K316" s="184">
        <v>44</v>
      </c>
      <c r="L316" s="139">
        <v>43686</v>
      </c>
      <c r="M316" s="139">
        <v>43686</v>
      </c>
      <c r="N316" s="189">
        <v>111</v>
      </c>
      <c r="O316" s="140">
        <v>1326.76</v>
      </c>
      <c r="Q316" s="35"/>
    </row>
    <row r="317" spans="1:17" s="165" customFormat="1" ht="15" customHeight="1">
      <c r="A317" s="14"/>
      <c r="B317" s="38"/>
      <c r="C317" s="30" t="s">
        <v>39</v>
      </c>
      <c r="D317" s="138" t="s">
        <v>540</v>
      </c>
      <c r="E317" s="185" t="s">
        <v>1213</v>
      </c>
      <c r="F317" s="139" t="s">
        <v>8</v>
      </c>
      <c r="G317" s="139">
        <v>27454</v>
      </c>
      <c r="H317" s="138" t="s">
        <v>199</v>
      </c>
      <c r="I317" s="139" t="s">
        <v>21</v>
      </c>
      <c r="J317" s="139">
        <v>43797</v>
      </c>
      <c r="K317" s="184">
        <v>44</v>
      </c>
      <c r="L317" s="139">
        <v>43686</v>
      </c>
      <c r="M317" s="139">
        <v>43835</v>
      </c>
      <c r="N317" s="189">
        <v>38</v>
      </c>
      <c r="O317" s="140">
        <v>1326.76</v>
      </c>
      <c r="Q317" s="35"/>
    </row>
    <row r="318" spans="1:17" s="165" customFormat="1" ht="15" customHeight="1">
      <c r="A318" s="14"/>
      <c r="B318" s="38"/>
      <c r="C318" s="30" t="s">
        <v>39</v>
      </c>
      <c r="D318" s="138" t="s">
        <v>541</v>
      </c>
      <c r="E318" s="185" t="s">
        <v>1214</v>
      </c>
      <c r="F318" s="139" t="s">
        <v>8</v>
      </c>
      <c r="G318" s="139">
        <v>23068</v>
      </c>
      <c r="H318" s="138" t="s">
        <v>199</v>
      </c>
      <c r="I318" s="139" t="s">
        <v>21</v>
      </c>
      <c r="J318" s="139">
        <v>43550</v>
      </c>
      <c r="K318" s="184">
        <v>56</v>
      </c>
      <c r="L318" s="139">
        <v>43663</v>
      </c>
      <c r="M318" s="139">
        <v>43663</v>
      </c>
      <c r="N318" s="189">
        <v>113</v>
      </c>
      <c r="O318" s="140">
        <v>4.59</v>
      </c>
      <c r="Q318" s="35"/>
    </row>
    <row r="319" spans="1:17" s="165" customFormat="1" ht="15" customHeight="1">
      <c r="A319" s="14"/>
      <c r="B319" s="38"/>
      <c r="C319" s="30" t="s">
        <v>39</v>
      </c>
      <c r="D319" s="138" t="s">
        <v>105</v>
      </c>
      <c r="E319" s="185" t="s">
        <v>1215</v>
      </c>
      <c r="F319" s="139" t="s">
        <v>8</v>
      </c>
      <c r="G319" s="139">
        <v>21892</v>
      </c>
      <c r="H319" s="138" t="s">
        <v>200</v>
      </c>
      <c r="I319" s="139" t="s">
        <v>21</v>
      </c>
      <c r="J319" s="139">
        <v>43473</v>
      </c>
      <c r="K319" s="184">
        <v>60</v>
      </c>
      <c r="L319" s="139">
        <v>43799</v>
      </c>
      <c r="M319" s="139">
        <v>43849</v>
      </c>
      <c r="N319" s="189">
        <v>376</v>
      </c>
      <c r="O319" s="140">
        <v>10258.379999999999</v>
      </c>
      <c r="Q319" s="35"/>
    </row>
    <row r="320" spans="1:17" s="165" customFormat="1" ht="15" customHeight="1">
      <c r="A320" s="14"/>
      <c r="B320" s="38"/>
      <c r="C320" s="30" t="s">
        <v>39</v>
      </c>
      <c r="D320" s="138" t="s">
        <v>542</v>
      </c>
      <c r="E320" s="185" t="s">
        <v>1216</v>
      </c>
      <c r="F320" s="139" t="s">
        <v>8</v>
      </c>
      <c r="G320" s="139">
        <v>27865</v>
      </c>
      <c r="H320" s="138" t="s">
        <v>199</v>
      </c>
      <c r="I320" s="139" t="s">
        <v>21</v>
      </c>
      <c r="J320" s="139">
        <v>43538</v>
      </c>
      <c r="K320" s="184">
        <v>43</v>
      </c>
      <c r="L320" s="139">
        <v>43646</v>
      </c>
      <c r="M320" s="139">
        <v>43646</v>
      </c>
      <c r="N320" s="189">
        <v>108</v>
      </c>
      <c r="O320" s="140">
        <v>1436.96</v>
      </c>
      <c r="Q320" s="35"/>
    </row>
    <row r="321" spans="1:17" s="165" customFormat="1" ht="15" customHeight="1">
      <c r="A321" s="14"/>
      <c r="B321" s="38"/>
      <c r="C321" s="30" t="s">
        <v>39</v>
      </c>
      <c r="D321" s="138" t="s">
        <v>543</v>
      </c>
      <c r="E321" s="185" t="s">
        <v>1217</v>
      </c>
      <c r="F321" s="139" t="s">
        <v>8</v>
      </c>
      <c r="G321" s="139">
        <v>26670</v>
      </c>
      <c r="H321" s="138" t="s">
        <v>199</v>
      </c>
      <c r="I321" s="139" t="s">
        <v>21</v>
      </c>
      <c r="J321" s="139">
        <v>43551</v>
      </c>
      <c r="K321" s="184">
        <v>46</v>
      </c>
      <c r="L321" s="139">
        <v>43623</v>
      </c>
      <c r="M321" s="139">
        <v>43623</v>
      </c>
      <c r="N321" s="189">
        <v>72</v>
      </c>
      <c r="O321" s="140">
        <v>1219.05</v>
      </c>
      <c r="Q321" s="35"/>
    </row>
    <row r="322" spans="1:17" s="165" customFormat="1" ht="15" customHeight="1">
      <c r="A322" s="14"/>
      <c r="B322" s="38"/>
      <c r="C322" s="30" t="s">
        <v>39</v>
      </c>
      <c r="D322" s="138" t="s">
        <v>544</v>
      </c>
      <c r="E322" s="185" t="s">
        <v>1218</v>
      </c>
      <c r="F322" s="139" t="s">
        <v>8</v>
      </c>
      <c r="G322" s="139">
        <v>23693</v>
      </c>
      <c r="H322" s="138" t="s">
        <v>199</v>
      </c>
      <c r="I322" s="139" t="s">
        <v>21</v>
      </c>
      <c r="J322" s="139">
        <v>43711</v>
      </c>
      <c r="K322" s="184">
        <v>55</v>
      </c>
      <c r="L322" s="139">
        <v>43769</v>
      </c>
      <c r="M322" s="139">
        <v>43769</v>
      </c>
      <c r="N322" s="189">
        <v>58</v>
      </c>
      <c r="O322" s="140">
        <v>349.16</v>
      </c>
      <c r="Q322" s="35"/>
    </row>
    <row r="323" spans="1:17" s="165" customFormat="1" ht="15" customHeight="1">
      <c r="A323" s="14"/>
      <c r="B323" s="38"/>
      <c r="C323" s="30" t="s">
        <v>39</v>
      </c>
      <c r="D323" s="138" t="s">
        <v>544</v>
      </c>
      <c r="E323" s="185" t="s">
        <v>1218</v>
      </c>
      <c r="F323" s="139" t="s">
        <v>8</v>
      </c>
      <c r="G323" s="139">
        <v>23693</v>
      </c>
      <c r="H323" s="138" t="s">
        <v>199</v>
      </c>
      <c r="I323" s="139" t="s">
        <v>21</v>
      </c>
      <c r="J323" s="139">
        <v>43774</v>
      </c>
      <c r="K323" s="184">
        <v>55</v>
      </c>
      <c r="L323" s="139">
        <v>43769</v>
      </c>
      <c r="M323" s="139">
        <v>43826</v>
      </c>
      <c r="N323" s="189">
        <v>52</v>
      </c>
      <c r="O323" s="140">
        <v>349.16</v>
      </c>
      <c r="Q323" s="35"/>
    </row>
    <row r="324" spans="1:17" s="165" customFormat="1" ht="15" customHeight="1">
      <c r="A324" s="14"/>
      <c r="B324" s="38"/>
      <c r="C324" s="30" t="s">
        <v>39</v>
      </c>
      <c r="D324" s="138" t="s">
        <v>545</v>
      </c>
      <c r="E324" s="185" t="s">
        <v>1219</v>
      </c>
      <c r="F324" s="139" t="s">
        <v>8</v>
      </c>
      <c r="G324" s="139">
        <v>23203</v>
      </c>
      <c r="H324" s="138" t="s">
        <v>199</v>
      </c>
      <c r="I324" s="139" t="s">
        <v>21</v>
      </c>
      <c r="J324" s="139">
        <v>43734</v>
      </c>
      <c r="K324" s="184">
        <v>56</v>
      </c>
      <c r="L324" s="139"/>
      <c r="M324" s="139"/>
      <c r="N324" s="189">
        <v>0</v>
      </c>
      <c r="O324" s="140">
        <v>0</v>
      </c>
      <c r="Q324" s="35"/>
    </row>
    <row r="325" spans="1:17" s="165" customFormat="1" ht="15" customHeight="1">
      <c r="A325" s="14"/>
      <c r="B325" s="38"/>
      <c r="C325" s="30" t="s">
        <v>39</v>
      </c>
      <c r="D325" s="138" t="s">
        <v>546</v>
      </c>
      <c r="E325" s="185" t="s">
        <v>1220</v>
      </c>
      <c r="F325" s="139" t="s">
        <v>10</v>
      </c>
      <c r="G325" s="139">
        <v>27208</v>
      </c>
      <c r="H325" s="138" t="s">
        <v>199</v>
      </c>
      <c r="I325" s="139" t="s">
        <v>21</v>
      </c>
      <c r="J325" s="139">
        <v>43763</v>
      </c>
      <c r="K325" s="184">
        <v>45</v>
      </c>
      <c r="L325" s="139"/>
      <c r="M325" s="139">
        <v>43876</v>
      </c>
      <c r="N325" s="189">
        <v>113</v>
      </c>
      <c r="O325" s="140">
        <v>0</v>
      </c>
      <c r="Q325" s="35"/>
    </row>
    <row r="326" spans="1:17" s="165" customFormat="1" ht="15" customHeight="1">
      <c r="A326" s="14"/>
      <c r="B326" s="38"/>
      <c r="C326" s="30" t="s">
        <v>39</v>
      </c>
      <c r="D326" s="138" t="s">
        <v>547</v>
      </c>
      <c r="E326" s="185" t="s">
        <v>1221</v>
      </c>
      <c r="F326" s="139" t="s">
        <v>8</v>
      </c>
      <c r="G326" s="139">
        <v>23712</v>
      </c>
      <c r="H326" s="138" t="s">
        <v>199</v>
      </c>
      <c r="I326" s="139" t="s">
        <v>21</v>
      </c>
      <c r="J326" s="139">
        <v>43717</v>
      </c>
      <c r="K326" s="184">
        <v>55</v>
      </c>
      <c r="L326" s="139"/>
      <c r="M326" s="139">
        <v>43752</v>
      </c>
      <c r="N326" s="189">
        <v>35</v>
      </c>
      <c r="O326" s="140">
        <v>0</v>
      </c>
      <c r="Q326" s="35"/>
    </row>
    <row r="327" spans="1:17" s="165" customFormat="1" ht="15" customHeight="1">
      <c r="A327" s="14"/>
      <c r="B327" s="38"/>
      <c r="C327" s="30" t="s">
        <v>39</v>
      </c>
      <c r="D327" s="138" t="s">
        <v>548</v>
      </c>
      <c r="E327" s="185" t="s">
        <v>1222</v>
      </c>
      <c r="F327" s="139" t="s">
        <v>8</v>
      </c>
      <c r="G327" s="139">
        <v>27574</v>
      </c>
      <c r="H327" s="138" t="s">
        <v>199</v>
      </c>
      <c r="I327" s="139" t="s">
        <v>21</v>
      </c>
      <c r="J327" s="139">
        <v>43627</v>
      </c>
      <c r="K327" s="184">
        <v>44</v>
      </c>
      <c r="L327" s="139">
        <v>43647</v>
      </c>
      <c r="M327" s="139">
        <v>43647</v>
      </c>
      <c r="N327" s="189">
        <v>20</v>
      </c>
      <c r="O327" s="140">
        <v>9372.35</v>
      </c>
      <c r="Q327" s="35"/>
    </row>
    <row r="328" spans="1:17" s="165" customFormat="1" ht="15" customHeight="1">
      <c r="A328" s="14"/>
      <c r="B328" s="38"/>
      <c r="C328" s="30" t="s">
        <v>39</v>
      </c>
      <c r="D328" s="138" t="s">
        <v>549</v>
      </c>
      <c r="E328" s="185" t="s">
        <v>1223</v>
      </c>
      <c r="F328" s="139" t="s">
        <v>8</v>
      </c>
      <c r="G328" s="139">
        <v>22616</v>
      </c>
      <c r="H328" s="138" t="s">
        <v>199</v>
      </c>
      <c r="I328" s="139" t="s">
        <v>21</v>
      </c>
      <c r="J328" s="139">
        <v>43826</v>
      </c>
      <c r="K328" s="184">
        <v>58</v>
      </c>
      <c r="L328" s="139"/>
      <c r="M328" s="139">
        <v>44092</v>
      </c>
      <c r="N328" s="189">
        <v>266</v>
      </c>
      <c r="O328" s="140">
        <v>0</v>
      </c>
      <c r="Q328" s="35"/>
    </row>
    <row r="329" spans="1:17" s="165" customFormat="1" ht="15" customHeight="1">
      <c r="A329" s="14"/>
      <c r="B329" s="38"/>
      <c r="C329" s="30" t="s">
        <v>39</v>
      </c>
      <c r="D329" s="138" t="s">
        <v>550</v>
      </c>
      <c r="E329" s="185" t="s">
        <v>1224</v>
      </c>
      <c r="F329" s="139" t="s">
        <v>8</v>
      </c>
      <c r="G329" s="139">
        <v>23347</v>
      </c>
      <c r="H329" s="138" t="s">
        <v>200</v>
      </c>
      <c r="I329" s="139" t="s">
        <v>21</v>
      </c>
      <c r="J329" s="139">
        <v>43752</v>
      </c>
      <c r="K329" s="184">
        <v>56</v>
      </c>
      <c r="L329" s="139">
        <v>43801</v>
      </c>
      <c r="M329" s="139">
        <v>43858</v>
      </c>
      <c r="N329" s="189">
        <v>106</v>
      </c>
      <c r="O329" s="140">
        <v>536</v>
      </c>
      <c r="Q329" s="35"/>
    </row>
    <row r="330" spans="1:17" s="165" customFormat="1" ht="15" customHeight="1">
      <c r="A330" s="14"/>
      <c r="B330" s="38"/>
      <c r="C330" s="30" t="s">
        <v>39</v>
      </c>
      <c r="D330" s="138" t="s">
        <v>551</v>
      </c>
      <c r="E330" s="185" t="s">
        <v>1225</v>
      </c>
      <c r="F330" s="139" t="s">
        <v>8</v>
      </c>
      <c r="G330" s="139">
        <v>25976</v>
      </c>
      <c r="H330" s="138" t="s">
        <v>199</v>
      </c>
      <c r="I330" s="139" t="s">
        <v>21</v>
      </c>
      <c r="J330" s="139">
        <v>43791</v>
      </c>
      <c r="K330" s="184">
        <v>48</v>
      </c>
      <c r="L330" s="139"/>
      <c r="M330" s="139"/>
      <c r="N330" s="189">
        <v>0</v>
      </c>
      <c r="O330" s="140">
        <v>0</v>
      </c>
      <c r="Q330" s="35"/>
    </row>
    <row r="331" spans="1:17" s="165" customFormat="1" ht="15" customHeight="1">
      <c r="A331" s="14"/>
      <c r="B331" s="38"/>
      <c r="C331" s="30" t="s">
        <v>39</v>
      </c>
      <c r="D331" s="138" t="s">
        <v>552</v>
      </c>
      <c r="E331" s="185" t="s">
        <v>1226</v>
      </c>
      <c r="F331" s="139" t="s">
        <v>8</v>
      </c>
      <c r="G331" s="139">
        <v>22988</v>
      </c>
      <c r="H331" s="138" t="s">
        <v>199</v>
      </c>
      <c r="I331" s="139" t="s">
        <v>21</v>
      </c>
      <c r="J331" s="139">
        <v>43800</v>
      </c>
      <c r="K331" s="184">
        <v>57</v>
      </c>
      <c r="L331" s="139">
        <v>43616</v>
      </c>
      <c r="M331" s="139"/>
      <c r="N331" s="189">
        <v>0</v>
      </c>
      <c r="O331" s="140">
        <v>0</v>
      </c>
      <c r="Q331" s="35"/>
    </row>
    <row r="332" spans="1:17" s="165" customFormat="1" ht="15" customHeight="1">
      <c r="A332" s="14"/>
      <c r="B332" s="38"/>
      <c r="C332" s="30" t="s">
        <v>39</v>
      </c>
      <c r="D332" s="138" t="s">
        <v>553</v>
      </c>
      <c r="E332" s="185" t="s">
        <v>1227</v>
      </c>
      <c r="F332" s="139" t="s">
        <v>8</v>
      </c>
      <c r="G332" s="139">
        <v>27767</v>
      </c>
      <c r="H332" s="138" t="s">
        <v>199</v>
      </c>
      <c r="I332" s="139" t="s">
        <v>21</v>
      </c>
      <c r="J332" s="139">
        <v>43721</v>
      </c>
      <c r="K332" s="184">
        <v>43</v>
      </c>
      <c r="L332" s="139"/>
      <c r="M332" s="139">
        <v>43761</v>
      </c>
      <c r="N332" s="189">
        <v>40</v>
      </c>
      <c r="O332" s="140">
        <v>0</v>
      </c>
      <c r="Q332" s="35"/>
    </row>
    <row r="333" spans="1:17" s="165" customFormat="1" ht="15" customHeight="1">
      <c r="A333" s="14"/>
      <c r="B333" s="38"/>
      <c r="C333" s="30" t="s">
        <v>39</v>
      </c>
      <c r="D333" s="138" t="s">
        <v>554</v>
      </c>
      <c r="E333" s="185" t="s">
        <v>1228</v>
      </c>
      <c r="F333" s="139" t="s">
        <v>8</v>
      </c>
      <c r="G333" s="139">
        <v>27552</v>
      </c>
      <c r="H333" s="138" t="s">
        <v>199</v>
      </c>
      <c r="I333" s="139" t="s">
        <v>21</v>
      </c>
      <c r="J333" s="139">
        <v>43623</v>
      </c>
      <c r="K333" s="184">
        <v>44</v>
      </c>
      <c r="L333" s="139">
        <v>43708</v>
      </c>
      <c r="M333" s="139">
        <v>43708</v>
      </c>
      <c r="N333" s="189">
        <v>85</v>
      </c>
      <c r="O333" s="140">
        <v>1062.8</v>
      </c>
      <c r="Q333" s="35"/>
    </row>
    <row r="334" spans="1:17" s="165" customFormat="1" ht="15" customHeight="1">
      <c r="A334" s="14"/>
      <c r="B334" s="38"/>
      <c r="C334" s="30" t="s">
        <v>39</v>
      </c>
      <c r="D334" s="138" t="s">
        <v>555</v>
      </c>
      <c r="E334" s="185" t="s">
        <v>1229</v>
      </c>
      <c r="F334" s="139" t="s">
        <v>8</v>
      </c>
      <c r="G334" s="139">
        <v>23781</v>
      </c>
      <c r="H334" s="138" t="s">
        <v>200</v>
      </c>
      <c r="I334" s="139" t="s">
        <v>21</v>
      </c>
      <c r="J334" s="139">
        <v>43739</v>
      </c>
      <c r="K334" s="184">
        <v>54</v>
      </c>
      <c r="L334" s="139"/>
      <c r="M334" s="139"/>
      <c r="N334" s="189">
        <v>0</v>
      </c>
      <c r="O334" s="140">
        <v>0</v>
      </c>
      <c r="Q334" s="35"/>
    </row>
    <row r="335" spans="1:17" s="165" customFormat="1" ht="15" customHeight="1">
      <c r="A335" s="14"/>
      <c r="B335" s="38"/>
      <c r="C335" s="30" t="s">
        <v>39</v>
      </c>
      <c r="D335" s="138" t="s">
        <v>133</v>
      </c>
      <c r="E335" s="185" t="s">
        <v>1230</v>
      </c>
      <c r="F335" s="139" t="s">
        <v>8</v>
      </c>
      <c r="G335" s="139">
        <v>25748</v>
      </c>
      <c r="H335" s="138" t="s">
        <v>200</v>
      </c>
      <c r="I335" s="139" t="s">
        <v>21</v>
      </c>
      <c r="J335" s="139">
        <v>43556</v>
      </c>
      <c r="K335" s="184">
        <v>49</v>
      </c>
      <c r="L335" s="139">
        <v>43799</v>
      </c>
      <c r="M335" s="139">
        <v>43835</v>
      </c>
      <c r="N335" s="189">
        <v>279</v>
      </c>
      <c r="O335" s="140">
        <v>8771.86</v>
      </c>
      <c r="Q335" s="35"/>
    </row>
    <row r="336" spans="1:17" s="165" customFormat="1" ht="15" customHeight="1">
      <c r="A336" s="14"/>
      <c r="B336" s="38"/>
      <c r="C336" s="30" t="s">
        <v>39</v>
      </c>
      <c r="D336" s="138" t="s">
        <v>556</v>
      </c>
      <c r="E336" s="185" t="s">
        <v>1231</v>
      </c>
      <c r="F336" s="139" t="s">
        <v>8</v>
      </c>
      <c r="G336" s="139">
        <v>27538</v>
      </c>
      <c r="H336" s="138" t="s">
        <v>200</v>
      </c>
      <c r="I336" s="139" t="s">
        <v>21</v>
      </c>
      <c r="J336" s="139">
        <v>43722</v>
      </c>
      <c r="K336" s="184">
        <v>44</v>
      </c>
      <c r="L336" s="139"/>
      <c r="M336" s="139">
        <v>43884</v>
      </c>
      <c r="N336" s="189">
        <v>162</v>
      </c>
      <c r="O336" s="140">
        <v>0</v>
      </c>
      <c r="Q336" s="35"/>
    </row>
    <row r="337" spans="1:17" s="165" customFormat="1" ht="15" customHeight="1">
      <c r="A337" s="14"/>
      <c r="B337" s="38"/>
      <c r="C337" s="30" t="s">
        <v>39</v>
      </c>
      <c r="D337" s="138" t="s">
        <v>557</v>
      </c>
      <c r="E337" s="185" t="s">
        <v>1232</v>
      </c>
      <c r="F337" s="139" t="s">
        <v>8</v>
      </c>
      <c r="G337" s="139">
        <v>20897</v>
      </c>
      <c r="H337" s="138" t="s">
        <v>199</v>
      </c>
      <c r="I337" s="139" t="s">
        <v>21</v>
      </c>
      <c r="J337" s="139">
        <v>43620</v>
      </c>
      <c r="K337" s="184">
        <v>62</v>
      </c>
      <c r="L337" s="139"/>
      <c r="M337" s="139"/>
      <c r="N337" s="189">
        <v>0</v>
      </c>
      <c r="O337" s="140">
        <v>0</v>
      </c>
      <c r="Q337" s="35"/>
    </row>
    <row r="338" spans="1:17" s="165" customFormat="1" ht="15" customHeight="1">
      <c r="A338" s="14"/>
      <c r="B338" s="38"/>
      <c r="C338" s="30" t="s">
        <v>39</v>
      </c>
      <c r="D338" s="138" t="s">
        <v>119</v>
      </c>
      <c r="E338" s="185" t="s">
        <v>1233</v>
      </c>
      <c r="F338" s="139" t="s">
        <v>8</v>
      </c>
      <c r="G338" s="139">
        <v>25781</v>
      </c>
      <c r="H338" s="138" t="s">
        <v>199</v>
      </c>
      <c r="I338" s="139" t="s">
        <v>21</v>
      </c>
      <c r="J338" s="139">
        <v>43467</v>
      </c>
      <c r="K338" s="184">
        <v>49</v>
      </c>
      <c r="L338" s="139">
        <v>43803</v>
      </c>
      <c r="M338" s="139">
        <v>44140</v>
      </c>
      <c r="N338" s="189">
        <v>673</v>
      </c>
      <c r="O338" s="140">
        <v>6840.9299999999976</v>
      </c>
      <c r="Q338" s="35"/>
    </row>
    <row r="339" spans="1:17" s="165" customFormat="1" ht="15" customHeight="1">
      <c r="A339" s="14"/>
      <c r="B339" s="38"/>
      <c r="C339" s="30" t="s">
        <v>39</v>
      </c>
      <c r="D339" s="138" t="s">
        <v>558</v>
      </c>
      <c r="E339" s="185" t="s">
        <v>1234</v>
      </c>
      <c r="F339" s="139" t="s">
        <v>10</v>
      </c>
      <c r="G339" s="139">
        <v>23612</v>
      </c>
      <c r="H339" s="138" t="s">
        <v>200</v>
      </c>
      <c r="I339" s="139" t="s">
        <v>21</v>
      </c>
      <c r="J339" s="139">
        <v>43682</v>
      </c>
      <c r="K339" s="184">
        <v>55</v>
      </c>
      <c r="L339" s="139">
        <v>43722</v>
      </c>
      <c r="M339" s="139">
        <v>43766</v>
      </c>
      <c r="N339" s="189">
        <v>84</v>
      </c>
      <c r="O339" s="140">
        <v>1593.24</v>
      </c>
      <c r="Q339" s="35"/>
    </row>
    <row r="340" spans="1:17" s="165" customFormat="1" ht="15" customHeight="1">
      <c r="A340" s="14"/>
      <c r="B340" s="38"/>
      <c r="C340" s="30" t="s">
        <v>39</v>
      </c>
      <c r="D340" s="138" t="s">
        <v>559</v>
      </c>
      <c r="E340" s="185" t="s">
        <v>1235</v>
      </c>
      <c r="F340" s="139" t="s">
        <v>8</v>
      </c>
      <c r="G340" s="139">
        <v>27606</v>
      </c>
      <c r="H340" s="138" t="s">
        <v>199</v>
      </c>
      <c r="I340" s="139" t="s">
        <v>21</v>
      </c>
      <c r="J340" s="139">
        <v>43693</v>
      </c>
      <c r="K340" s="184">
        <v>44</v>
      </c>
      <c r="L340" s="139"/>
      <c r="M340" s="139">
        <v>43765</v>
      </c>
      <c r="N340" s="189">
        <v>72</v>
      </c>
      <c r="O340" s="140">
        <v>0</v>
      </c>
      <c r="Q340" s="35"/>
    </row>
    <row r="341" spans="1:17" s="165" customFormat="1" ht="15" customHeight="1">
      <c r="A341" s="14"/>
      <c r="B341" s="38"/>
      <c r="C341" s="30" t="s">
        <v>39</v>
      </c>
      <c r="D341" s="138" t="s">
        <v>560</v>
      </c>
      <c r="E341" s="185" t="s">
        <v>1236</v>
      </c>
      <c r="F341" s="139" t="s">
        <v>8</v>
      </c>
      <c r="G341" s="139">
        <v>23196</v>
      </c>
      <c r="H341" s="138" t="s">
        <v>199</v>
      </c>
      <c r="I341" s="139" t="s">
        <v>21</v>
      </c>
      <c r="J341" s="139">
        <v>43781</v>
      </c>
      <c r="K341" s="184">
        <v>56</v>
      </c>
      <c r="L341" s="139"/>
      <c r="M341" s="139">
        <v>44012</v>
      </c>
      <c r="N341" s="189">
        <v>231</v>
      </c>
      <c r="O341" s="140">
        <v>0</v>
      </c>
      <c r="Q341" s="35"/>
    </row>
    <row r="342" spans="1:17" s="165" customFormat="1" ht="15" customHeight="1">
      <c r="A342" s="14"/>
      <c r="B342" s="38"/>
      <c r="C342" s="30" t="s">
        <v>39</v>
      </c>
      <c r="D342" s="138" t="s">
        <v>561</v>
      </c>
      <c r="E342" s="185" t="s">
        <v>1237</v>
      </c>
      <c r="F342" s="139" t="s">
        <v>8</v>
      </c>
      <c r="G342" s="139">
        <v>26738</v>
      </c>
      <c r="H342" s="138" t="s">
        <v>199</v>
      </c>
      <c r="I342" s="139" t="s">
        <v>21</v>
      </c>
      <c r="J342" s="139">
        <v>43483</v>
      </c>
      <c r="K342" s="184">
        <v>46</v>
      </c>
      <c r="L342" s="139">
        <v>43542</v>
      </c>
      <c r="M342" s="139">
        <v>43542</v>
      </c>
      <c r="N342" s="189">
        <v>59</v>
      </c>
      <c r="O342" s="140">
        <v>0</v>
      </c>
      <c r="Q342" s="35"/>
    </row>
    <row r="343" spans="1:17" s="165" customFormat="1" ht="15" customHeight="1">
      <c r="A343" s="14"/>
      <c r="B343" s="38"/>
      <c r="C343" s="30" t="s">
        <v>39</v>
      </c>
      <c r="D343" s="138" t="s">
        <v>100</v>
      </c>
      <c r="E343" s="185" t="s">
        <v>1238</v>
      </c>
      <c r="F343" s="139" t="s">
        <v>8</v>
      </c>
      <c r="G343" s="139">
        <v>21224</v>
      </c>
      <c r="H343" s="138" t="s">
        <v>199</v>
      </c>
      <c r="I343" s="139" t="s">
        <v>21</v>
      </c>
      <c r="J343" s="139">
        <v>43481</v>
      </c>
      <c r="K343" s="184">
        <v>61</v>
      </c>
      <c r="L343" s="139">
        <v>43801</v>
      </c>
      <c r="M343" s="139">
        <v>43829</v>
      </c>
      <c r="N343" s="189">
        <v>348</v>
      </c>
      <c r="O343" s="140">
        <v>11450.85</v>
      </c>
      <c r="Q343" s="35"/>
    </row>
    <row r="344" spans="1:17" s="165" customFormat="1" ht="15" customHeight="1">
      <c r="A344" s="14"/>
      <c r="B344" s="38"/>
      <c r="C344" s="30" t="s">
        <v>39</v>
      </c>
      <c r="D344" s="138" t="s">
        <v>100</v>
      </c>
      <c r="E344" s="185" t="s">
        <v>1238</v>
      </c>
      <c r="F344" s="139" t="s">
        <v>8</v>
      </c>
      <c r="G344" s="139">
        <v>21224</v>
      </c>
      <c r="H344" s="138" t="s">
        <v>199</v>
      </c>
      <c r="I344" s="139" t="s">
        <v>21</v>
      </c>
      <c r="J344" s="139">
        <v>43830</v>
      </c>
      <c r="K344" s="184">
        <v>61</v>
      </c>
      <c r="L344" s="139">
        <v>43801</v>
      </c>
      <c r="M344" s="139"/>
      <c r="N344" s="189">
        <v>0</v>
      </c>
      <c r="O344" s="140">
        <v>11450.85</v>
      </c>
      <c r="Q344" s="35"/>
    </row>
    <row r="345" spans="1:17" s="165" customFormat="1" ht="15" customHeight="1">
      <c r="A345" s="14"/>
      <c r="B345" s="38"/>
      <c r="C345" s="30" t="s">
        <v>39</v>
      </c>
      <c r="D345" s="138" t="s">
        <v>562</v>
      </c>
      <c r="E345" s="185" t="s">
        <v>1239</v>
      </c>
      <c r="F345" s="139" t="s">
        <v>8</v>
      </c>
      <c r="G345" s="139">
        <v>25697</v>
      </c>
      <c r="H345" s="138" t="s">
        <v>199</v>
      </c>
      <c r="I345" s="139" t="s">
        <v>21</v>
      </c>
      <c r="J345" s="139">
        <v>43467</v>
      </c>
      <c r="K345" s="184">
        <v>49</v>
      </c>
      <c r="L345" s="139">
        <v>43708</v>
      </c>
      <c r="M345" s="139">
        <v>43830</v>
      </c>
      <c r="N345" s="189">
        <v>363</v>
      </c>
      <c r="O345" s="140">
        <v>2787.07</v>
      </c>
      <c r="Q345" s="35"/>
    </row>
    <row r="346" spans="1:17" s="165" customFormat="1" ht="15" customHeight="1">
      <c r="A346" s="14"/>
      <c r="B346" s="38"/>
      <c r="C346" s="30" t="s">
        <v>39</v>
      </c>
      <c r="D346" s="138" t="s">
        <v>563</v>
      </c>
      <c r="E346" s="185" t="s">
        <v>1240</v>
      </c>
      <c r="F346" s="139" t="s">
        <v>8</v>
      </c>
      <c r="G346" s="139">
        <v>23253</v>
      </c>
      <c r="H346" s="138" t="s">
        <v>200</v>
      </c>
      <c r="I346" s="139" t="s">
        <v>21</v>
      </c>
      <c r="J346" s="139">
        <v>43799</v>
      </c>
      <c r="K346" s="184">
        <v>56</v>
      </c>
      <c r="L346" s="139"/>
      <c r="M346" s="139">
        <v>43847</v>
      </c>
      <c r="N346" s="189">
        <v>48</v>
      </c>
      <c r="O346" s="140">
        <v>0</v>
      </c>
      <c r="Q346" s="35"/>
    </row>
    <row r="347" spans="1:17" s="165" customFormat="1" ht="15" customHeight="1">
      <c r="A347" s="14"/>
      <c r="B347" s="38"/>
      <c r="C347" s="30" t="s">
        <v>39</v>
      </c>
      <c r="D347" s="138" t="s">
        <v>564</v>
      </c>
      <c r="E347" s="185" t="s">
        <v>1241</v>
      </c>
      <c r="F347" s="139" t="s">
        <v>8</v>
      </c>
      <c r="G347" s="139">
        <v>23104</v>
      </c>
      <c r="H347" s="138" t="s">
        <v>199</v>
      </c>
      <c r="I347" s="139" t="s">
        <v>21</v>
      </c>
      <c r="J347" s="139">
        <v>43573</v>
      </c>
      <c r="K347" s="184">
        <v>56</v>
      </c>
      <c r="L347" s="139">
        <v>43747</v>
      </c>
      <c r="M347" s="139">
        <v>43777</v>
      </c>
      <c r="N347" s="189">
        <v>204</v>
      </c>
      <c r="O347" s="140">
        <v>10235.549999999999</v>
      </c>
      <c r="Q347" s="35"/>
    </row>
    <row r="348" spans="1:17" s="165" customFormat="1" ht="15" customHeight="1">
      <c r="A348" s="14"/>
      <c r="B348" s="38"/>
      <c r="C348" s="30" t="s">
        <v>39</v>
      </c>
      <c r="D348" s="138" t="s">
        <v>564</v>
      </c>
      <c r="E348" s="185" t="s">
        <v>1241</v>
      </c>
      <c r="F348" s="139" t="s">
        <v>8</v>
      </c>
      <c r="G348" s="139">
        <v>23104</v>
      </c>
      <c r="H348" s="138" t="s">
        <v>199</v>
      </c>
      <c r="I348" s="139" t="s">
        <v>21</v>
      </c>
      <c r="J348" s="139">
        <v>43810</v>
      </c>
      <c r="K348" s="184">
        <v>56</v>
      </c>
      <c r="L348" s="139">
        <v>43747</v>
      </c>
      <c r="M348" s="139">
        <v>43861</v>
      </c>
      <c r="N348" s="189">
        <v>51</v>
      </c>
      <c r="O348" s="140">
        <v>10235.549999999999</v>
      </c>
      <c r="Q348" s="35"/>
    </row>
    <row r="349" spans="1:17" s="165" customFormat="1" ht="15" customHeight="1">
      <c r="A349" s="14"/>
      <c r="B349" s="38"/>
      <c r="C349" s="30" t="s">
        <v>39</v>
      </c>
      <c r="D349" s="138" t="s">
        <v>565</v>
      </c>
      <c r="E349" s="185" t="s">
        <v>1242</v>
      </c>
      <c r="F349" s="139" t="s">
        <v>8</v>
      </c>
      <c r="G349" s="139">
        <v>28174</v>
      </c>
      <c r="H349" s="138" t="s">
        <v>199</v>
      </c>
      <c r="I349" s="139" t="s">
        <v>21</v>
      </c>
      <c r="J349" s="139">
        <v>43675</v>
      </c>
      <c r="K349" s="184">
        <v>42</v>
      </c>
      <c r="L349" s="139"/>
      <c r="M349" s="139">
        <v>43769</v>
      </c>
      <c r="N349" s="189">
        <v>94</v>
      </c>
      <c r="O349" s="140">
        <v>0</v>
      </c>
      <c r="Q349" s="35"/>
    </row>
    <row r="350" spans="1:17" s="165" customFormat="1" ht="15" customHeight="1">
      <c r="A350" s="14"/>
      <c r="B350" s="38"/>
      <c r="C350" s="30" t="s">
        <v>39</v>
      </c>
      <c r="D350" s="138" t="s">
        <v>566</v>
      </c>
      <c r="E350" s="185" t="s">
        <v>1243</v>
      </c>
      <c r="F350" s="139" t="s">
        <v>8</v>
      </c>
      <c r="G350" s="139">
        <v>27454</v>
      </c>
      <c r="H350" s="138" t="s">
        <v>199</v>
      </c>
      <c r="I350" s="139" t="s">
        <v>21</v>
      </c>
      <c r="J350" s="139">
        <v>43668</v>
      </c>
      <c r="K350" s="184">
        <v>44</v>
      </c>
      <c r="L350" s="139">
        <v>43747</v>
      </c>
      <c r="M350" s="139"/>
      <c r="N350" s="189">
        <v>0</v>
      </c>
      <c r="O350" s="140">
        <v>1278.5</v>
      </c>
      <c r="Q350" s="35"/>
    </row>
    <row r="351" spans="1:17" s="165" customFormat="1" ht="15" customHeight="1">
      <c r="A351" s="14"/>
      <c r="B351" s="38"/>
      <c r="C351" s="30" t="s">
        <v>39</v>
      </c>
      <c r="D351" s="138" t="s">
        <v>567</v>
      </c>
      <c r="E351" s="185" t="s">
        <v>1244</v>
      </c>
      <c r="F351" s="139" t="s">
        <v>8</v>
      </c>
      <c r="G351" s="139">
        <v>24643</v>
      </c>
      <c r="H351" s="138" t="s">
        <v>199</v>
      </c>
      <c r="I351" s="139" t="s">
        <v>21</v>
      </c>
      <c r="J351" s="139">
        <v>43782</v>
      </c>
      <c r="K351" s="184">
        <v>52</v>
      </c>
      <c r="L351" s="139"/>
      <c r="M351" s="139">
        <v>43870</v>
      </c>
      <c r="N351" s="189">
        <v>88</v>
      </c>
      <c r="O351" s="140">
        <v>0</v>
      </c>
      <c r="Q351" s="35"/>
    </row>
    <row r="352" spans="1:17" s="165" customFormat="1" ht="15" customHeight="1">
      <c r="A352" s="14"/>
      <c r="B352" s="38"/>
      <c r="C352" s="30" t="s">
        <v>39</v>
      </c>
      <c r="D352" s="138" t="s">
        <v>568</v>
      </c>
      <c r="E352" s="185" t="s">
        <v>1245</v>
      </c>
      <c r="F352" s="139" t="s">
        <v>8</v>
      </c>
      <c r="G352" s="139">
        <v>26195</v>
      </c>
      <c r="H352" s="138" t="s">
        <v>200</v>
      </c>
      <c r="I352" s="139" t="s">
        <v>21</v>
      </c>
      <c r="J352" s="139">
        <v>43737</v>
      </c>
      <c r="K352" s="184">
        <v>48</v>
      </c>
      <c r="L352" s="139">
        <v>43768</v>
      </c>
      <c r="M352" s="139">
        <v>43768</v>
      </c>
      <c r="N352" s="189">
        <v>31</v>
      </c>
      <c r="O352" s="140">
        <v>196.94</v>
      </c>
      <c r="Q352" s="35"/>
    </row>
    <row r="353" spans="1:17" s="165" customFormat="1" ht="15" customHeight="1">
      <c r="A353" s="14"/>
      <c r="B353" s="38"/>
      <c r="C353" s="30" t="s">
        <v>39</v>
      </c>
      <c r="D353" s="138" t="s">
        <v>569</v>
      </c>
      <c r="E353" s="185" t="s">
        <v>1246</v>
      </c>
      <c r="F353" s="139" t="s">
        <v>8</v>
      </c>
      <c r="G353" s="139">
        <v>27126</v>
      </c>
      <c r="H353" s="138" t="s">
        <v>199</v>
      </c>
      <c r="I353" s="139" t="s">
        <v>21</v>
      </c>
      <c r="J353" s="139">
        <v>43489</v>
      </c>
      <c r="K353" s="184">
        <v>45</v>
      </c>
      <c r="L353" s="139">
        <v>43554</v>
      </c>
      <c r="M353" s="139">
        <v>43554</v>
      </c>
      <c r="N353" s="189">
        <v>65</v>
      </c>
      <c r="O353" s="140">
        <v>1942.92</v>
      </c>
      <c r="Q353" s="35"/>
    </row>
    <row r="354" spans="1:17" s="165" customFormat="1" ht="15" customHeight="1">
      <c r="A354" s="14"/>
      <c r="B354" s="38"/>
      <c r="C354" s="30" t="s">
        <v>39</v>
      </c>
      <c r="D354" s="138" t="s">
        <v>570</v>
      </c>
      <c r="E354" s="185" t="s">
        <v>1247</v>
      </c>
      <c r="F354" s="139" t="s">
        <v>8</v>
      </c>
      <c r="G354" s="139">
        <v>28851</v>
      </c>
      <c r="H354" s="138" t="s">
        <v>199</v>
      </c>
      <c r="I354" s="139" t="s">
        <v>21</v>
      </c>
      <c r="J354" s="139">
        <v>43598</v>
      </c>
      <c r="K354" s="184">
        <v>41</v>
      </c>
      <c r="L354" s="139"/>
      <c r="M354" s="139">
        <v>43626</v>
      </c>
      <c r="N354" s="189">
        <v>28</v>
      </c>
      <c r="O354" s="140">
        <v>0</v>
      </c>
      <c r="Q354" s="35"/>
    </row>
    <row r="355" spans="1:17" s="165" customFormat="1" ht="15" customHeight="1">
      <c r="A355" s="14"/>
      <c r="B355" s="38"/>
      <c r="C355" s="30" t="s">
        <v>39</v>
      </c>
      <c r="D355" s="138" t="s">
        <v>571</v>
      </c>
      <c r="E355" s="185" t="s">
        <v>1248</v>
      </c>
      <c r="F355" s="139" t="s">
        <v>8</v>
      </c>
      <c r="G355" s="139">
        <v>24595</v>
      </c>
      <c r="H355" s="138" t="s">
        <v>200</v>
      </c>
      <c r="I355" s="139" t="s">
        <v>21</v>
      </c>
      <c r="J355" s="139">
        <v>43708</v>
      </c>
      <c r="K355" s="184">
        <v>52</v>
      </c>
      <c r="L355" s="139"/>
      <c r="M355" s="139">
        <v>43800</v>
      </c>
      <c r="N355" s="189">
        <v>92</v>
      </c>
      <c r="O355" s="140">
        <v>0</v>
      </c>
      <c r="Q355" s="35"/>
    </row>
    <row r="356" spans="1:17" s="165" customFormat="1" ht="15" customHeight="1">
      <c r="A356" s="14"/>
      <c r="B356" s="38"/>
      <c r="C356" s="30" t="s">
        <v>39</v>
      </c>
      <c r="D356" s="138" t="s">
        <v>572</v>
      </c>
      <c r="E356" s="185" t="s">
        <v>1249</v>
      </c>
      <c r="F356" s="139" t="s">
        <v>8</v>
      </c>
      <c r="G356" s="139">
        <v>28586</v>
      </c>
      <c r="H356" s="138" t="s">
        <v>199</v>
      </c>
      <c r="I356" s="139" t="s">
        <v>21</v>
      </c>
      <c r="J356" s="139">
        <v>43516</v>
      </c>
      <c r="K356" s="184">
        <v>41</v>
      </c>
      <c r="L356" s="139">
        <v>43537</v>
      </c>
      <c r="M356" s="139">
        <v>43537</v>
      </c>
      <c r="N356" s="189">
        <v>21</v>
      </c>
      <c r="O356" s="140">
        <v>4163.4900000000007</v>
      </c>
      <c r="Q356" s="35"/>
    </row>
    <row r="357" spans="1:17" s="165" customFormat="1" ht="15" customHeight="1">
      <c r="A357" s="14"/>
      <c r="B357" s="38"/>
      <c r="C357" s="30" t="s">
        <v>39</v>
      </c>
      <c r="D357" s="138" t="s">
        <v>573</v>
      </c>
      <c r="E357" s="185" t="s">
        <v>1250</v>
      </c>
      <c r="F357" s="139" t="s">
        <v>8</v>
      </c>
      <c r="G357" s="139">
        <v>23983</v>
      </c>
      <c r="H357" s="138" t="s">
        <v>199</v>
      </c>
      <c r="I357" s="139" t="s">
        <v>21</v>
      </c>
      <c r="J357" s="139">
        <v>43732</v>
      </c>
      <c r="K357" s="184">
        <v>54</v>
      </c>
      <c r="L357" s="139"/>
      <c r="M357" s="139">
        <v>43768</v>
      </c>
      <c r="N357" s="189">
        <v>36</v>
      </c>
      <c r="O357" s="140">
        <v>0</v>
      </c>
      <c r="Q357" s="35"/>
    </row>
    <row r="358" spans="1:17" s="165" customFormat="1" ht="15" customHeight="1">
      <c r="A358" s="14"/>
      <c r="B358" s="38"/>
      <c r="C358" s="30" t="s">
        <v>39</v>
      </c>
      <c r="D358" s="138" t="s">
        <v>112</v>
      </c>
      <c r="E358" s="185" t="s">
        <v>1251</v>
      </c>
      <c r="F358" s="139" t="s">
        <v>8</v>
      </c>
      <c r="G358" s="139">
        <v>24171</v>
      </c>
      <c r="H358" s="138" t="s">
        <v>199</v>
      </c>
      <c r="I358" s="139" t="s">
        <v>21</v>
      </c>
      <c r="J358" s="139">
        <v>43566</v>
      </c>
      <c r="K358" s="184">
        <v>53</v>
      </c>
      <c r="L358" s="139">
        <v>43804</v>
      </c>
      <c r="M358" s="139">
        <v>43875</v>
      </c>
      <c r="N358" s="189">
        <v>309</v>
      </c>
      <c r="O358" s="140">
        <v>6610.6699999999992</v>
      </c>
      <c r="Q358" s="35"/>
    </row>
    <row r="359" spans="1:17" s="165" customFormat="1" ht="15" customHeight="1">
      <c r="A359" s="14"/>
      <c r="B359" s="38"/>
      <c r="C359" s="30" t="s">
        <v>39</v>
      </c>
      <c r="D359" s="138" t="s">
        <v>186</v>
      </c>
      <c r="E359" s="185" t="s">
        <v>1252</v>
      </c>
      <c r="F359" s="139" t="s">
        <v>8</v>
      </c>
      <c r="G359" s="139">
        <v>26810</v>
      </c>
      <c r="H359" s="138" t="s">
        <v>200</v>
      </c>
      <c r="I359" s="139" t="s">
        <v>21</v>
      </c>
      <c r="J359" s="139">
        <v>43728</v>
      </c>
      <c r="K359" s="184">
        <v>46</v>
      </c>
      <c r="L359" s="139">
        <v>43785</v>
      </c>
      <c r="M359" s="139">
        <v>44080</v>
      </c>
      <c r="N359" s="189">
        <v>352</v>
      </c>
      <c r="O359" s="140">
        <v>3852.8</v>
      </c>
      <c r="Q359" s="35"/>
    </row>
    <row r="360" spans="1:17" s="165" customFormat="1" ht="15" customHeight="1">
      <c r="A360" s="14"/>
      <c r="B360" s="38"/>
      <c r="C360" s="30" t="s">
        <v>39</v>
      </c>
      <c r="D360" s="138" t="s">
        <v>574</v>
      </c>
      <c r="E360" s="185" t="s">
        <v>1253</v>
      </c>
      <c r="F360" s="139" t="s">
        <v>8</v>
      </c>
      <c r="G360" s="139">
        <v>25228</v>
      </c>
      <c r="H360" s="138" t="s">
        <v>200</v>
      </c>
      <c r="I360" s="139" t="s">
        <v>21</v>
      </c>
      <c r="J360" s="139">
        <v>43522</v>
      </c>
      <c r="K360" s="184">
        <v>50</v>
      </c>
      <c r="L360" s="139">
        <v>43611</v>
      </c>
      <c r="M360" s="139">
        <v>43611</v>
      </c>
      <c r="N360" s="189">
        <v>89</v>
      </c>
      <c r="O360" s="140">
        <v>6364.92</v>
      </c>
      <c r="Q360" s="35"/>
    </row>
    <row r="361" spans="1:17" s="165" customFormat="1" ht="15" customHeight="1">
      <c r="A361" s="14"/>
      <c r="B361" s="38"/>
      <c r="C361" s="30" t="s">
        <v>39</v>
      </c>
      <c r="D361" s="138" t="s">
        <v>575</v>
      </c>
      <c r="E361" s="185" t="s">
        <v>1254</v>
      </c>
      <c r="F361" s="139" t="s">
        <v>8</v>
      </c>
      <c r="G361" s="139">
        <v>23313</v>
      </c>
      <c r="H361" s="138" t="s">
        <v>199</v>
      </c>
      <c r="I361" s="139" t="s">
        <v>21</v>
      </c>
      <c r="J361" s="139">
        <v>43548</v>
      </c>
      <c r="K361" s="184">
        <v>56</v>
      </c>
      <c r="L361" s="139">
        <v>43738</v>
      </c>
      <c r="M361" s="139">
        <v>43738</v>
      </c>
      <c r="N361" s="189">
        <v>190</v>
      </c>
      <c r="O361" s="140">
        <v>303.79999999999995</v>
      </c>
      <c r="Q361" s="35"/>
    </row>
    <row r="362" spans="1:17" s="165" customFormat="1" ht="15" customHeight="1">
      <c r="A362" s="14"/>
      <c r="B362" s="38"/>
      <c r="C362" s="30" t="s">
        <v>39</v>
      </c>
      <c r="D362" s="138" t="s">
        <v>171</v>
      </c>
      <c r="E362" s="185" t="s">
        <v>1255</v>
      </c>
      <c r="F362" s="139" t="s">
        <v>8</v>
      </c>
      <c r="G362" s="139">
        <v>20908</v>
      </c>
      <c r="H362" s="138" t="s">
        <v>200</v>
      </c>
      <c r="I362" s="139" t="s">
        <v>21</v>
      </c>
      <c r="J362" s="139">
        <v>43698</v>
      </c>
      <c r="K362" s="184">
        <v>62</v>
      </c>
      <c r="L362" s="139">
        <v>43802</v>
      </c>
      <c r="M362" s="139">
        <v>43803</v>
      </c>
      <c r="N362" s="189">
        <v>105</v>
      </c>
      <c r="O362" s="140">
        <v>8410.44</v>
      </c>
      <c r="Q362" s="35"/>
    </row>
    <row r="363" spans="1:17" s="165" customFormat="1" ht="15" customHeight="1">
      <c r="A363" s="14"/>
      <c r="B363" s="38"/>
      <c r="C363" s="30" t="s">
        <v>39</v>
      </c>
      <c r="D363" s="138" t="s">
        <v>171</v>
      </c>
      <c r="E363" s="185" t="s">
        <v>1255</v>
      </c>
      <c r="F363" s="139" t="s">
        <v>8</v>
      </c>
      <c r="G363" s="139">
        <v>20908</v>
      </c>
      <c r="H363" s="138" t="s">
        <v>200</v>
      </c>
      <c r="I363" s="139" t="s">
        <v>21</v>
      </c>
      <c r="J363" s="139">
        <v>43698</v>
      </c>
      <c r="K363" s="184">
        <v>62</v>
      </c>
      <c r="L363" s="139">
        <v>43802</v>
      </c>
      <c r="M363" s="139">
        <v>43803</v>
      </c>
      <c r="N363" s="189">
        <v>105</v>
      </c>
      <c r="O363" s="140">
        <v>8410.44</v>
      </c>
      <c r="Q363" s="35"/>
    </row>
    <row r="364" spans="1:17" s="165" customFormat="1" ht="15" customHeight="1">
      <c r="A364" s="14"/>
      <c r="B364" s="38"/>
      <c r="C364" s="30" t="s">
        <v>39</v>
      </c>
      <c r="D364" s="138" t="s">
        <v>178</v>
      </c>
      <c r="E364" s="185" t="s">
        <v>1256</v>
      </c>
      <c r="F364" s="139" t="s">
        <v>8</v>
      </c>
      <c r="G364" s="139">
        <v>27154</v>
      </c>
      <c r="H364" s="138" t="s">
        <v>199</v>
      </c>
      <c r="I364" s="139" t="s">
        <v>21</v>
      </c>
      <c r="J364" s="139">
        <v>43700</v>
      </c>
      <c r="K364" s="184">
        <v>45</v>
      </c>
      <c r="L364" s="139">
        <v>43767</v>
      </c>
      <c r="M364" s="139"/>
      <c r="N364" s="189">
        <v>0</v>
      </c>
      <c r="O364" s="140">
        <v>1544.6999999999998</v>
      </c>
      <c r="Q364" s="35"/>
    </row>
    <row r="365" spans="1:17" s="165" customFormat="1" ht="15" customHeight="1">
      <c r="A365" s="14"/>
      <c r="B365" s="38"/>
      <c r="C365" s="30" t="s">
        <v>39</v>
      </c>
      <c r="D365" s="138" t="s">
        <v>576</v>
      </c>
      <c r="E365" s="185" t="s">
        <v>1257</v>
      </c>
      <c r="F365" s="139" t="s">
        <v>8</v>
      </c>
      <c r="G365" s="139">
        <v>21875</v>
      </c>
      <c r="H365" s="138" t="s">
        <v>199</v>
      </c>
      <c r="I365" s="139" t="s">
        <v>21</v>
      </c>
      <c r="J365" s="139">
        <v>43726</v>
      </c>
      <c r="K365" s="184">
        <v>60</v>
      </c>
      <c r="L365" s="139"/>
      <c r="M365" s="139"/>
      <c r="N365" s="189">
        <v>0</v>
      </c>
      <c r="O365" s="140">
        <v>0</v>
      </c>
      <c r="Q365" s="35"/>
    </row>
    <row r="366" spans="1:17" s="165" customFormat="1" ht="15" customHeight="1">
      <c r="A366" s="14"/>
      <c r="B366" s="38"/>
      <c r="C366" s="30" t="s">
        <v>39</v>
      </c>
      <c r="D366" s="138" t="s">
        <v>577</v>
      </c>
      <c r="E366" s="185" t="s">
        <v>1258</v>
      </c>
      <c r="F366" s="139" t="s">
        <v>8</v>
      </c>
      <c r="G366" s="139">
        <v>24538</v>
      </c>
      <c r="H366" s="138" t="s">
        <v>199</v>
      </c>
      <c r="I366" s="139" t="s">
        <v>21</v>
      </c>
      <c r="J366" s="139">
        <v>43822</v>
      </c>
      <c r="K366" s="184">
        <v>52</v>
      </c>
      <c r="L366" s="139"/>
      <c r="M366" s="139">
        <v>43954</v>
      </c>
      <c r="N366" s="189">
        <v>132</v>
      </c>
      <c r="O366" s="140">
        <v>0</v>
      </c>
      <c r="Q366" s="35"/>
    </row>
    <row r="367" spans="1:17" s="165" customFormat="1" ht="15" customHeight="1">
      <c r="A367" s="14"/>
      <c r="B367" s="38"/>
      <c r="C367" s="30" t="s">
        <v>39</v>
      </c>
      <c r="D367" s="138" t="s">
        <v>578</v>
      </c>
      <c r="E367" s="185" t="s">
        <v>1259</v>
      </c>
      <c r="F367" s="139" t="s">
        <v>8</v>
      </c>
      <c r="G367" s="139">
        <v>29012</v>
      </c>
      <c r="H367" s="138" t="s">
        <v>199</v>
      </c>
      <c r="I367" s="139" t="s">
        <v>21</v>
      </c>
      <c r="J367" s="139">
        <v>43796</v>
      </c>
      <c r="K367" s="184">
        <v>40</v>
      </c>
      <c r="L367" s="139"/>
      <c r="M367" s="139">
        <v>43837</v>
      </c>
      <c r="N367" s="189">
        <v>41</v>
      </c>
      <c r="O367" s="140">
        <v>0</v>
      </c>
      <c r="Q367" s="35"/>
    </row>
    <row r="368" spans="1:17" s="165" customFormat="1" ht="15" customHeight="1">
      <c r="A368" s="14"/>
      <c r="B368" s="38"/>
      <c r="C368" s="30" t="s">
        <v>39</v>
      </c>
      <c r="D368" s="138" t="s">
        <v>579</v>
      </c>
      <c r="E368" s="185" t="s">
        <v>1260</v>
      </c>
      <c r="F368" s="139" t="s">
        <v>8</v>
      </c>
      <c r="G368" s="139">
        <v>28847</v>
      </c>
      <c r="H368" s="138" t="s">
        <v>199</v>
      </c>
      <c r="I368" s="139" t="s">
        <v>21</v>
      </c>
      <c r="J368" s="139">
        <v>43539</v>
      </c>
      <c r="K368" s="184">
        <v>41</v>
      </c>
      <c r="L368" s="139">
        <v>43601</v>
      </c>
      <c r="M368" s="139">
        <v>43601</v>
      </c>
      <c r="N368" s="189">
        <v>62</v>
      </c>
      <c r="O368" s="140">
        <v>772.86</v>
      </c>
      <c r="Q368" s="35"/>
    </row>
    <row r="369" spans="1:17" s="165" customFormat="1" ht="15" customHeight="1">
      <c r="A369" s="14"/>
      <c r="B369" s="38"/>
      <c r="C369" s="30" t="s">
        <v>39</v>
      </c>
      <c r="D369" s="138" t="s">
        <v>580</v>
      </c>
      <c r="E369" s="185" t="s">
        <v>1261</v>
      </c>
      <c r="F369" s="139" t="s">
        <v>8</v>
      </c>
      <c r="G369" s="139">
        <v>27939</v>
      </c>
      <c r="H369" s="138" t="s">
        <v>199</v>
      </c>
      <c r="I369" s="139" t="s">
        <v>21</v>
      </c>
      <c r="J369" s="139">
        <v>43629</v>
      </c>
      <c r="K369" s="184">
        <v>43</v>
      </c>
      <c r="L369" s="139">
        <v>43674</v>
      </c>
      <c r="M369" s="139">
        <v>43674</v>
      </c>
      <c r="N369" s="189">
        <v>45</v>
      </c>
      <c r="O369" s="140">
        <v>419.36</v>
      </c>
      <c r="Q369" s="35"/>
    </row>
    <row r="370" spans="1:17" s="165" customFormat="1" ht="15" customHeight="1">
      <c r="A370" s="14"/>
      <c r="B370" s="38"/>
      <c r="C370" s="30" t="s">
        <v>39</v>
      </c>
      <c r="D370" s="138" t="s">
        <v>581</v>
      </c>
      <c r="E370" s="185" t="s">
        <v>1262</v>
      </c>
      <c r="F370" s="139" t="s">
        <v>8</v>
      </c>
      <c r="G370" s="139">
        <v>27852</v>
      </c>
      <c r="H370" s="138" t="s">
        <v>199</v>
      </c>
      <c r="I370" s="139" t="s">
        <v>21</v>
      </c>
      <c r="J370" s="139">
        <v>43753</v>
      </c>
      <c r="K370" s="184">
        <v>43</v>
      </c>
      <c r="L370" s="139"/>
      <c r="M370" s="139">
        <v>43809</v>
      </c>
      <c r="N370" s="189">
        <v>56</v>
      </c>
      <c r="O370" s="140">
        <v>0</v>
      </c>
      <c r="Q370" s="35"/>
    </row>
    <row r="371" spans="1:17" s="165" customFormat="1" ht="15" customHeight="1">
      <c r="A371" s="14"/>
      <c r="B371" s="38"/>
      <c r="C371" s="30" t="s">
        <v>39</v>
      </c>
      <c r="D371" s="138" t="s">
        <v>582</v>
      </c>
      <c r="E371" s="185" t="s">
        <v>1263</v>
      </c>
      <c r="F371" s="139" t="s">
        <v>8</v>
      </c>
      <c r="G371" s="139">
        <v>26005</v>
      </c>
      <c r="H371" s="138" t="s">
        <v>199</v>
      </c>
      <c r="I371" s="139" t="s">
        <v>21</v>
      </c>
      <c r="J371" s="139">
        <v>43549</v>
      </c>
      <c r="K371" s="184">
        <v>48</v>
      </c>
      <c r="L371" s="139"/>
      <c r="M371" s="139">
        <v>43951</v>
      </c>
      <c r="N371" s="189">
        <v>402</v>
      </c>
      <c r="O371" s="140">
        <v>0</v>
      </c>
      <c r="Q371" s="35"/>
    </row>
    <row r="372" spans="1:17" s="165" customFormat="1" ht="15" customHeight="1">
      <c r="A372" s="14"/>
      <c r="B372" s="38"/>
      <c r="C372" s="30" t="s">
        <v>39</v>
      </c>
      <c r="D372" s="138" t="s">
        <v>583</v>
      </c>
      <c r="E372" s="185" t="s">
        <v>1264</v>
      </c>
      <c r="F372" s="139" t="s">
        <v>8</v>
      </c>
      <c r="G372" s="139">
        <v>24734</v>
      </c>
      <c r="H372" s="138" t="s">
        <v>199</v>
      </c>
      <c r="I372" s="139" t="s">
        <v>21</v>
      </c>
      <c r="J372" s="139">
        <v>43510</v>
      </c>
      <c r="K372" s="184">
        <v>52</v>
      </c>
      <c r="L372" s="139">
        <v>43646</v>
      </c>
      <c r="M372" s="139">
        <v>43708</v>
      </c>
      <c r="N372" s="189">
        <v>198</v>
      </c>
      <c r="O372" s="140">
        <v>3219.67</v>
      </c>
      <c r="Q372" s="35"/>
    </row>
    <row r="373" spans="1:17" s="165" customFormat="1" ht="15" customHeight="1">
      <c r="A373" s="14"/>
      <c r="B373" s="38"/>
      <c r="C373" s="30" t="s">
        <v>39</v>
      </c>
      <c r="D373" s="138" t="s">
        <v>584</v>
      </c>
      <c r="E373" s="185" t="s">
        <v>1265</v>
      </c>
      <c r="F373" s="139" t="s">
        <v>8</v>
      </c>
      <c r="G373" s="139">
        <v>27662</v>
      </c>
      <c r="H373" s="138" t="s">
        <v>199</v>
      </c>
      <c r="I373" s="139" t="s">
        <v>21</v>
      </c>
      <c r="J373" s="139">
        <v>43733</v>
      </c>
      <c r="K373" s="184">
        <v>44</v>
      </c>
      <c r="L373" s="139"/>
      <c r="M373" s="139">
        <v>43788</v>
      </c>
      <c r="N373" s="189">
        <v>55</v>
      </c>
      <c r="O373" s="140">
        <v>0</v>
      </c>
      <c r="Q373" s="35"/>
    </row>
    <row r="374" spans="1:17" s="165" customFormat="1" ht="15" customHeight="1">
      <c r="A374" s="14"/>
      <c r="B374" s="38"/>
      <c r="C374" s="30" t="s">
        <v>39</v>
      </c>
      <c r="D374" s="138" t="s">
        <v>585</v>
      </c>
      <c r="E374" s="185" t="s">
        <v>1266</v>
      </c>
      <c r="F374" s="139" t="s">
        <v>10</v>
      </c>
      <c r="G374" s="139">
        <v>22625</v>
      </c>
      <c r="H374" s="138" t="s">
        <v>200</v>
      </c>
      <c r="I374" s="139" t="s">
        <v>21</v>
      </c>
      <c r="J374" s="139">
        <v>43563</v>
      </c>
      <c r="K374" s="184">
        <v>58</v>
      </c>
      <c r="L374" s="139">
        <v>43614</v>
      </c>
      <c r="M374" s="139">
        <v>43614</v>
      </c>
      <c r="N374" s="189">
        <v>51</v>
      </c>
      <c r="O374" s="140">
        <v>1440.12</v>
      </c>
      <c r="Q374" s="35"/>
    </row>
    <row r="375" spans="1:17" s="165" customFormat="1" ht="15" customHeight="1">
      <c r="A375" s="14"/>
      <c r="B375" s="38"/>
      <c r="C375" s="30" t="s">
        <v>39</v>
      </c>
      <c r="D375" s="138" t="s">
        <v>586</v>
      </c>
      <c r="E375" s="185" t="s">
        <v>1267</v>
      </c>
      <c r="F375" s="139" t="s">
        <v>8</v>
      </c>
      <c r="G375" s="139">
        <v>24899</v>
      </c>
      <c r="H375" s="138" t="s">
        <v>199</v>
      </c>
      <c r="I375" s="139" t="s">
        <v>21</v>
      </c>
      <c r="J375" s="139">
        <v>43797</v>
      </c>
      <c r="K375" s="184">
        <v>51</v>
      </c>
      <c r="L375" s="139"/>
      <c r="M375" s="139">
        <v>43871</v>
      </c>
      <c r="N375" s="189">
        <v>74</v>
      </c>
      <c r="O375" s="140">
        <v>0</v>
      </c>
      <c r="Q375" s="35"/>
    </row>
    <row r="376" spans="1:17" s="165" customFormat="1" ht="15" customHeight="1">
      <c r="A376" s="14"/>
      <c r="B376" s="38"/>
      <c r="C376" s="30" t="s">
        <v>39</v>
      </c>
      <c r="D376" s="138" t="s">
        <v>587</v>
      </c>
      <c r="E376" s="185" t="s">
        <v>1268</v>
      </c>
      <c r="F376" s="139" t="s">
        <v>8</v>
      </c>
      <c r="G376" s="139">
        <v>24872</v>
      </c>
      <c r="H376" s="138" t="s">
        <v>199</v>
      </c>
      <c r="I376" s="139" t="s">
        <v>21</v>
      </c>
      <c r="J376" s="139">
        <v>43782</v>
      </c>
      <c r="K376" s="184">
        <v>51</v>
      </c>
      <c r="L376" s="139"/>
      <c r="M376" s="139">
        <v>43951</v>
      </c>
      <c r="N376" s="189">
        <v>169</v>
      </c>
      <c r="O376" s="140">
        <v>0</v>
      </c>
      <c r="Q376" s="35"/>
    </row>
    <row r="377" spans="1:17" s="165" customFormat="1" ht="15" customHeight="1">
      <c r="A377" s="14"/>
      <c r="B377" s="38"/>
      <c r="C377" s="30" t="s">
        <v>39</v>
      </c>
      <c r="D377" s="138" t="s">
        <v>588</v>
      </c>
      <c r="E377" s="185" t="s">
        <v>1269</v>
      </c>
      <c r="F377" s="139" t="s">
        <v>8</v>
      </c>
      <c r="G377" s="139">
        <v>28765</v>
      </c>
      <c r="H377" s="138" t="s">
        <v>199</v>
      </c>
      <c r="I377" s="139" t="s">
        <v>21</v>
      </c>
      <c r="J377" s="139">
        <v>43717</v>
      </c>
      <c r="K377" s="184">
        <v>41</v>
      </c>
      <c r="L377" s="139"/>
      <c r="M377" s="139">
        <v>43758</v>
      </c>
      <c r="N377" s="189">
        <v>41</v>
      </c>
      <c r="O377" s="140">
        <v>0</v>
      </c>
      <c r="Q377" s="35"/>
    </row>
    <row r="378" spans="1:17" s="165" customFormat="1" ht="15" customHeight="1">
      <c r="A378" s="14"/>
      <c r="B378" s="38"/>
      <c r="C378" s="30" t="s">
        <v>39</v>
      </c>
      <c r="D378" s="138" t="s">
        <v>589</v>
      </c>
      <c r="E378" s="185" t="s">
        <v>1270</v>
      </c>
      <c r="F378" s="139" t="s">
        <v>8</v>
      </c>
      <c r="G378" s="139">
        <v>28641</v>
      </c>
      <c r="H378" s="138" t="s">
        <v>199</v>
      </c>
      <c r="I378" s="139" t="s">
        <v>21</v>
      </c>
      <c r="J378" s="139">
        <v>43472</v>
      </c>
      <c r="K378" s="184">
        <v>41</v>
      </c>
      <c r="L378" s="139">
        <v>43529</v>
      </c>
      <c r="M378" s="139">
        <v>43667</v>
      </c>
      <c r="N378" s="189">
        <v>195</v>
      </c>
      <c r="O378" s="140">
        <v>974.4</v>
      </c>
      <c r="Q378" s="35"/>
    </row>
    <row r="379" spans="1:17" s="165" customFormat="1" ht="15" customHeight="1">
      <c r="A379" s="14"/>
      <c r="B379" s="38"/>
      <c r="C379" s="30" t="s">
        <v>39</v>
      </c>
      <c r="D379" s="138" t="s">
        <v>589</v>
      </c>
      <c r="E379" s="185" t="s">
        <v>1270</v>
      </c>
      <c r="F379" s="139" t="s">
        <v>8</v>
      </c>
      <c r="G379" s="139">
        <v>28641</v>
      </c>
      <c r="H379" s="138" t="s">
        <v>199</v>
      </c>
      <c r="I379" s="139" t="s">
        <v>21</v>
      </c>
      <c r="J379" s="139">
        <v>43710</v>
      </c>
      <c r="K379" s="184">
        <v>41</v>
      </c>
      <c r="L379" s="139">
        <v>43529</v>
      </c>
      <c r="M379" s="139">
        <v>44347</v>
      </c>
      <c r="N379" s="189">
        <v>637</v>
      </c>
      <c r="O379" s="140">
        <v>974.4</v>
      </c>
      <c r="Q379" s="35"/>
    </row>
    <row r="380" spans="1:17" s="165" customFormat="1" ht="15" customHeight="1">
      <c r="A380" s="14"/>
      <c r="B380" s="38"/>
      <c r="C380" s="30" t="s">
        <v>39</v>
      </c>
      <c r="D380" s="138" t="s">
        <v>590</v>
      </c>
      <c r="E380" s="185" t="s">
        <v>1271</v>
      </c>
      <c r="F380" s="139" t="s">
        <v>8</v>
      </c>
      <c r="G380" s="139">
        <v>23426</v>
      </c>
      <c r="H380" s="138" t="s">
        <v>199</v>
      </c>
      <c r="I380" s="139" t="s">
        <v>21</v>
      </c>
      <c r="J380" s="139">
        <v>43808</v>
      </c>
      <c r="K380" s="184">
        <v>55</v>
      </c>
      <c r="L380" s="139"/>
      <c r="M380" s="139">
        <v>43860</v>
      </c>
      <c r="N380" s="189">
        <v>52</v>
      </c>
      <c r="O380" s="140">
        <v>0</v>
      </c>
      <c r="Q380" s="35"/>
    </row>
    <row r="381" spans="1:17" s="165" customFormat="1" ht="15" customHeight="1">
      <c r="A381" s="14"/>
      <c r="B381" s="38"/>
      <c r="C381" s="30" t="s">
        <v>39</v>
      </c>
      <c r="D381" s="138" t="s">
        <v>591</v>
      </c>
      <c r="E381" s="185" t="s">
        <v>1272</v>
      </c>
      <c r="F381" s="139" t="s">
        <v>8</v>
      </c>
      <c r="G381" s="139">
        <v>28862</v>
      </c>
      <c r="H381" s="138" t="s">
        <v>199</v>
      </c>
      <c r="I381" s="139" t="s">
        <v>21</v>
      </c>
      <c r="J381" s="139">
        <v>43704</v>
      </c>
      <c r="K381" s="184">
        <v>40</v>
      </c>
      <c r="L381" s="139"/>
      <c r="M381" s="139">
        <v>43796</v>
      </c>
      <c r="N381" s="189">
        <v>92</v>
      </c>
      <c r="O381" s="140">
        <v>0</v>
      </c>
      <c r="Q381" s="35"/>
    </row>
    <row r="382" spans="1:17" s="165" customFormat="1" ht="15" customHeight="1">
      <c r="A382" s="14"/>
      <c r="B382" s="38"/>
      <c r="C382" s="30" t="s">
        <v>39</v>
      </c>
      <c r="D382" s="138" t="s">
        <v>592</v>
      </c>
      <c r="E382" s="185" t="s">
        <v>1273</v>
      </c>
      <c r="F382" s="139" t="s">
        <v>8</v>
      </c>
      <c r="G382" s="139">
        <v>20180</v>
      </c>
      <c r="H382" s="138" t="s">
        <v>200</v>
      </c>
      <c r="I382" s="139" t="s">
        <v>21</v>
      </c>
      <c r="J382" s="139">
        <v>43705</v>
      </c>
      <c r="K382" s="184">
        <v>64</v>
      </c>
      <c r="L382" s="139"/>
      <c r="M382" s="139"/>
      <c r="N382" s="189">
        <v>0</v>
      </c>
      <c r="O382" s="140">
        <v>0</v>
      </c>
      <c r="Q382" s="35"/>
    </row>
    <row r="383" spans="1:17" s="165" customFormat="1" ht="15" customHeight="1">
      <c r="A383" s="14"/>
      <c r="B383" s="38"/>
      <c r="C383" s="30" t="s">
        <v>39</v>
      </c>
      <c r="D383" s="138" t="s">
        <v>593</v>
      </c>
      <c r="E383" s="185" t="s">
        <v>1274</v>
      </c>
      <c r="F383" s="139" t="s">
        <v>8</v>
      </c>
      <c r="G383" s="139">
        <v>25117</v>
      </c>
      <c r="H383" s="138" t="s">
        <v>199</v>
      </c>
      <c r="I383" s="139" t="s">
        <v>21</v>
      </c>
      <c r="J383" s="139">
        <v>43787</v>
      </c>
      <c r="K383" s="184">
        <v>51</v>
      </c>
      <c r="L383" s="139"/>
      <c r="M383" s="139">
        <v>43889</v>
      </c>
      <c r="N383" s="189">
        <v>102</v>
      </c>
      <c r="O383" s="140">
        <v>0</v>
      </c>
      <c r="Q383" s="35"/>
    </row>
    <row r="384" spans="1:17" s="165" customFormat="1" ht="15" customHeight="1">
      <c r="A384" s="14"/>
      <c r="B384" s="38"/>
      <c r="C384" s="30" t="s">
        <v>39</v>
      </c>
      <c r="D384" s="138" t="s">
        <v>594</v>
      </c>
      <c r="E384" s="185" t="s">
        <v>1274</v>
      </c>
      <c r="F384" s="139" t="s">
        <v>8</v>
      </c>
      <c r="G384" s="139">
        <v>25117</v>
      </c>
      <c r="H384" s="138" t="s">
        <v>199</v>
      </c>
      <c r="I384" s="139" t="s">
        <v>21</v>
      </c>
      <c r="J384" s="139">
        <v>43787</v>
      </c>
      <c r="K384" s="184">
        <v>51</v>
      </c>
      <c r="L384" s="139"/>
      <c r="M384" s="139">
        <v>43889</v>
      </c>
      <c r="N384" s="189">
        <v>102</v>
      </c>
      <c r="O384" s="140">
        <v>0</v>
      </c>
      <c r="Q384" s="35"/>
    </row>
    <row r="385" spans="1:17" s="165" customFormat="1" ht="15" customHeight="1">
      <c r="A385" s="14"/>
      <c r="B385" s="38"/>
      <c r="C385" s="30" t="s">
        <v>39</v>
      </c>
      <c r="D385" s="138" t="s">
        <v>595</v>
      </c>
      <c r="E385" s="185" t="s">
        <v>1275</v>
      </c>
      <c r="F385" s="139" t="s">
        <v>8</v>
      </c>
      <c r="G385" s="139">
        <v>29536</v>
      </c>
      <c r="H385" s="138" t="s">
        <v>199</v>
      </c>
      <c r="I385" s="139" t="s">
        <v>21</v>
      </c>
      <c r="J385" s="139">
        <v>43644</v>
      </c>
      <c r="K385" s="184">
        <v>39</v>
      </c>
      <c r="L385" s="139">
        <v>43733</v>
      </c>
      <c r="M385" s="139">
        <v>43733</v>
      </c>
      <c r="N385" s="189">
        <v>89</v>
      </c>
      <c r="O385" s="140">
        <v>2866.6400000000003</v>
      </c>
      <c r="Q385" s="35"/>
    </row>
    <row r="386" spans="1:17" s="165" customFormat="1" ht="15" customHeight="1">
      <c r="A386" s="14"/>
      <c r="B386" s="38"/>
      <c r="C386" s="30" t="s">
        <v>39</v>
      </c>
      <c r="D386" s="138" t="s">
        <v>596</v>
      </c>
      <c r="E386" s="185" t="s">
        <v>1276</v>
      </c>
      <c r="F386" s="139" t="s">
        <v>8</v>
      </c>
      <c r="G386" s="139">
        <v>29538</v>
      </c>
      <c r="H386" s="138" t="s">
        <v>199</v>
      </c>
      <c r="I386" s="139" t="s">
        <v>21</v>
      </c>
      <c r="J386" s="139">
        <v>43742</v>
      </c>
      <c r="K386" s="184">
        <v>39</v>
      </c>
      <c r="L386" s="139"/>
      <c r="M386" s="139">
        <v>43881</v>
      </c>
      <c r="N386" s="189">
        <v>139</v>
      </c>
      <c r="O386" s="140">
        <v>0</v>
      </c>
      <c r="Q386" s="35"/>
    </row>
    <row r="387" spans="1:17" s="165" customFormat="1" ht="15" customHeight="1">
      <c r="A387" s="14"/>
      <c r="B387" s="38"/>
      <c r="C387" s="30" t="s">
        <v>39</v>
      </c>
      <c r="D387" s="138" t="s">
        <v>597</v>
      </c>
      <c r="E387" s="185" t="s">
        <v>1277</v>
      </c>
      <c r="F387" s="139" t="s">
        <v>8</v>
      </c>
      <c r="G387" s="139">
        <v>26794</v>
      </c>
      <c r="H387" s="138" t="s">
        <v>199</v>
      </c>
      <c r="I387" s="139" t="s">
        <v>21</v>
      </c>
      <c r="J387" s="139">
        <v>43766</v>
      </c>
      <c r="K387" s="184">
        <v>46</v>
      </c>
      <c r="L387" s="139"/>
      <c r="M387" s="139">
        <v>43868</v>
      </c>
      <c r="N387" s="189">
        <v>102</v>
      </c>
      <c r="O387" s="140">
        <v>0</v>
      </c>
      <c r="Q387" s="35"/>
    </row>
    <row r="388" spans="1:17" s="165" customFormat="1" ht="15" customHeight="1">
      <c r="A388" s="14"/>
      <c r="B388" s="38"/>
      <c r="C388" s="30" t="s">
        <v>39</v>
      </c>
      <c r="D388" s="138" t="s">
        <v>598</v>
      </c>
      <c r="E388" s="185" t="s">
        <v>1278</v>
      </c>
      <c r="F388" s="139" t="s">
        <v>8</v>
      </c>
      <c r="G388" s="139">
        <v>27058</v>
      </c>
      <c r="H388" s="138" t="s">
        <v>199</v>
      </c>
      <c r="I388" s="139" t="s">
        <v>21</v>
      </c>
      <c r="J388" s="139">
        <v>43801</v>
      </c>
      <c r="K388" s="184">
        <v>45</v>
      </c>
      <c r="L388" s="139"/>
      <c r="M388" s="139">
        <v>43863</v>
      </c>
      <c r="N388" s="189">
        <v>62</v>
      </c>
      <c r="O388" s="140">
        <v>0</v>
      </c>
      <c r="Q388" s="35"/>
    </row>
    <row r="389" spans="1:17" s="165" customFormat="1" ht="15" customHeight="1">
      <c r="A389" s="14"/>
      <c r="B389" s="38"/>
      <c r="C389" s="30" t="s">
        <v>39</v>
      </c>
      <c r="D389" s="138" t="s">
        <v>599</v>
      </c>
      <c r="E389" s="185" t="s">
        <v>1279</v>
      </c>
      <c r="F389" s="139" t="s">
        <v>8</v>
      </c>
      <c r="G389" s="139">
        <v>20069</v>
      </c>
      <c r="H389" s="138" t="s">
        <v>199</v>
      </c>
      <c r="I389" s="139" t="s">
        <v>21</v>
      </c>
      <c r="J389" s="139">
        <v>43748</v>
      </c>
      <c r="K389" s="184">
        <v>65</v>
      </c>
      <c r="L389" s="139"/>
      <c r="M389" s="139">
        <v>43893</v>
      </c>
      <c r="N389" s="189">
        <v>145</v>
      </c>
      <c r="O389" s="140">
        <v>0</v>
      </c>
      <c r="Q389" s="35"/>
    </row>
    <row r="390" spans="1:17" s="165" customFormat="1" ht="15" customHeight="1">
      <c r="A390" s="14"/>
      <c r="B390" s="38"/>
      <c r="C390" s="30" t="s">
        <v>39</v>
      </c>
      <c r="D390" s="138" t="s">
        <v>600</v>
      </c>
      <c r="E390" s="185" t="s">
        <v>1280</v>
      </c>
      <c r="F390" s="139" t="s">
        <v>8</v>
      </c>
      <c r="G390" s="139">
        <v>27911</v>
      </c>
      <c r="H390" s="138" t="s">
        <v>199</v>
      </c>
      <c r="I390" s="139" t="s">
        <v>21</v>
      </c>
      <c r="J390" s="139">
        <v>43710</v>
      </c>
      <c r="K390" s="184">
        <v>43</v>
      </c>
      <c r="L390" s="139">
        <v>43784</v>
      </c>
      <c r="M390" s="139">
        <v>43784</v>
      </c>
      <c r="N390" s="189">
        <v>74</v>
      </c>
      <c r="O390" s="140">
        <v>1189.3500000000001</v>
      </c>
      <c r="Q390" s="35"/>
    </row>
    <row r="391" spans="1:17" s="165" customFormat="1" ht="15" customHeight="1">
      <c r="A391" s="14"/>
      <c r="B391" s="38"/>
      <c r="C391" s="30" t="s">
        <v>39</v>
      </c>
      <c r="D391" s="138" t="s">
        <v>601</v>
      </c>
      <c r="E391" s="185" t="s">
        <v>1281</v>
      </c>
      <c r="F391" s="139" t="s">
        <v>8</v>
      </c>
      <c r="G391" s="139">
        <v>27111</v>
      </c>
      <c r="H391" s="138" t="s">
        <v>199</v>
      </c>
      <c r="I391" s="139" t="s">
        <v>21</v>
      </c>
      <c r="J391" s="139">
        <v>43641</v>
      </c>
      <c r="K391" s="184">
        <v>45</v>
      </c>
      <c r="L391" s="139">
        <v>43679</v>
      </c>
      <c r="M391" s="139">
        <v>43679</v>
      </c>
      <c r="N391" s="189">
        <v>38</v>
      </c>
      <c r="O391" s="140">
        <v>165.96</v>
      </c>
      <c r="Q391" s="35"/>
    </row>
    <row r="392" spans="1:17" s="165" customFormat="1" ht="15" customHeight="1">
      <c r="A392" s="14"/>
      <c r="B392" s="38"/>
      <c r="C392" s="30" t="s">
        <v>39</v>
      </c>
      <c r="D392" s="138" t="s">
        <v>155</v>
      </c>
      <c r="E392" s="185" t="s">
        <v>1282</v>
      </c>
      <c r="F392" s="139" t="s">
        <v>8</v>
      </c>
      <c r="G392" s="139">
        <v>23028</v>
      </c>
      <c r="H392" s="138" t="s">
        <v>199</v>
      </c>
      <c r="I392" s="139" t="s">
        <v>21</v>
      </c>
      <c r="J392" s="139">
        <v>43670</v>
      </c>
      <c r="K392" s="184">
        <v>56</v>
      </c>
      <c r="L392" s="139">
        <v>43772</v>
      </c>
      <c r="M392" s="139"/>
      <c r="N392" s="189">
        <v>0</v>
      </c>
      <c r="O392" s="140">
        <v>6617.45</v>
      </c>
      <c r="Q392" s="35"/>
    </row>
    <row r="393" spans="1:17" s="165" customFormat="1" ht="15" customHeight="1">
      <c r="A393" s="14"/>
      <c r="B393" s="38"/>
      <c r="C393" s="30" t="s">
        <v>39</v>
      </c>
      <c r="D393" s="138" t="s">
        <v>602</v>
      </c>
      <c r="E393" s="185" t="s">
        <v>1283</v>
      </c>
      <c r="F393" s="139" t="s">
        <v>8</v>
      </c>
      <c r="G393" s="139">
        <v>28656</v>
      </c>
      <c r="H393" s="138" t="s">
        <v>199</v>
      </c>
      <c r="I393" s="139" t="s">
        <v>21</v>
      </c>
      <c r="J393" s="139">
        <v>43486</v>
      </c>
      <c r="K393" s="184">
        <v>41</v>
      </c>
      <c r="L393" s="139">
        <v>43525</v>
      </c>
      <c r="M393" s="139">
        <v>43525</v>
      </c>
      <c r="N393" s="189">
        <v>39</v>
      </c>
      <c r="O393" s="140">
        <v>215.9</v>
      </c>
      <c r="Q393" s="35"/>
    </row>
    <row r="394" spans="1:17" s="165" customFormat="1" ht="15" customHeight="1">
      <c r="A394" s="14"/>
      <c r="B394" s="38"/>
      <c r="C394" s="30" t="s">
        <v>39</v>
      </c>
      <c r="D394" s="138" t="s">
        <v>603</v>
      </c>
      <c r="E394" s="185" t="s">
        <v>1284</v>
      </c>
      <c r="F394" s="139" t="s">
        <v>8</v>
      </c>
      <c r="G394" s="139">
        <v>26816</v>
      </c>
      <c r="H394" s="138" t="s">
        <v>200</v>
      </c>
      <c r="I394" s="139" t="s">
        <v>21</v>
      </c>
      <c r="J394" s="139">
        <v>43508</v>
      </c>
      <c r="K394" s="184">
        <v>46</v>
      </c>
      <c r="L394" s="139">
        <v>43623</v>
      </c>
      <c r="M394" s="139">
        <v>43623</v>
      </c>
      <c r="N394" s="189">
        <v>115</v>
      </c>
      <c r="O394" s="140">
        <v>8871.7599999999984</v>
      </c>
      <c r="Q394" s="35"/>
    </row>
    <row r="395" spans="1:17" s="165" customFormat="1" ht="15" customHeight="1">
      <c r="A395" s="14"/>
      <c r="B395" s="38"/>
      <c r="C395" s="30" t="s">
        <v>39</v>
      </c>
      <c r="D395" s="138" t="s">
        <v>604</v>
      </c>
      <c r="E395" s="185" t="s">
        <v>1285</v>
      </c>
      <c r="F395" s="139" t="s">
        <v>8</v>
      </c>
      <c r="G395" s="139">
        <v>29651</v>
      </c>
      <c r="H395" s="138" t="s">
        <v>199</v>
      </c>
      <c r="I395" s="139" t="s">
        <v>21</v>
      </c>
      <c r="J395" s="139">
        <v>43609</v>
      </c>
      <c r="K395" s="184">
        <v>38</v>
      </c>
      <c r="L395" s="139">
        <v>43677</v>
      </c>
      <c r="M395" s="139">
        <v>43677</v>
      </c>
      <c r="N395" s="189">
        <v>68</v>
      </c>
      <c r="O395" s="140">
        <v>1233.18</v>
      </c>
      <c r="Q395" s="35"/>
    </row>
    <row r="396" spans="1:17" s="165" customFormat="1" ht="15" customHeight="1">
      <c r="A396" s="14"/>
      <c r="B396" s="38"/>
      <c r="C396" s="30" t="s">
        <v>39</v>
      </c>
      <c r="D396" s="138" t="s">
        <v>605</v>
      </c>
      <c r="E396" s="185" t="s">
        <v>1286</v>
      </c>
      <c r="F396" s="139" t="s">
        <v>8</v>
      </c>
      <c r="G396" s="139">
        <v>21511</v>
      </c>
      <c r="H396" s="138" t="s">
        <v>199</v>
      </c>
      <c r="I396" s="139" t="s">
        <v>21</v>
      </c>
      <c r="J396" s="139">
        <v>43617</v>
      </c>
      <c r="K396" s="184">
        <v>61</v>
      </c>
      <c r="L396" s="139"/>
      <c r="M396" s="139">
        <v>43797</v>
      </c>
      <c r="N396" s="189">
        <v>180</v>
      </c>
      <c r="O396" s="140">
        <v>0</v>
      </c>
      <c r="Q396" s="35"/>
    </row>
    <row r="397" spans="1:17" s="165" customFormat="1" ht="15" customHeight="1">
      <c r="A397" s="14"/>
      <c r="B397" s="38"/>
      <c r="C397" s="30" t="s">
        <v>39</v>
      </c>
      <c r="D397" s="138" t="s">
        <v>606</v>
      </c>
      <c r="E397" s="185" t="s">
        <v>1287</v>
      </c>
      <c r="F397" s="139" t="s">
        <v>8</v>
      </c>
      <c r="G397" s="139">
        <v>25696</v>
      </c>
      <c r="H397" s="138" t="s">
        <v>199</v>
      </c>
      <c r="I397" s="139" t="s">
        <v>21</v>
      </c>
      <c r="J397" s="139">
        <v>43742</v>
      </c>
      <c r="K397" s="184">
        <v>49</v>
      </c>
      <c r="L397" s="139"/>
      <c r="M397" s="139">
        <v>43833</v>
      </c>
      <c r="N397" s="189">
        <v>91</v>
      </c>
      <c r="O397" s="140">
        <v>0</v>
      </c>
      <c r="Q397" s="35"/>
    </row>
    <row r="398" spans="1:17" s="165" customFormat="1" ht="15" customHeight="1">
      <c r="A398" s="14"/>
      <c r="B398" s="38"/>
      <c r="C398" s="30" t="s">
        <v>39</v>
      </c>
      <c r="D398" s="138" t="s">
        <v>607</v>
      </c>
      <c r="E398" s="185" t="s">
        <v>1288</v>
      </c>
      <c r="F398" s="139" t="s">
        <v>8</v>
      </c>
      <c r="G398" s="139">
        <v>27275</v>
      </c>
      <c r="H398" s="138" t="s">
        <v>199</v>
      </c>
      <c r="I398" s="139" t="s">
        <v>21</v>
      </c>
      <c r="J398" s="139">
        <v>43497</v>
      </c>
      <c r="K398" s="184">
        <v>45</v>
      </c>
      <c r="L398" s="139">
        <v>43585</v>
      </c>
      <c r="M398" s="139">
        <v>43585</v>
      </c>
      <c r="N398" s="189">
        <v>88</v>
      </c>
      <c r="O398" s="140">
        <v>2036.68</v>
      </c>
      <c r="Q398" s="35"/>
    </row>
    <row r="399" spans="1:17" s="165" customFormat="1" ht="15" customHeight="1">
      <c r="A399" s="14"/>
      <c r="B399" s="38"/>
      <c r="C399" s="30" t="s">
        <v>39</v>
      </c>
      <c r="D399" s="138" t="s">
        <v>608</v>
      </c>
      <c r="E399" s="185" t="s">
        <v>1289</v>
      </c>
      <c r="F399" s="139" t="s">
        <v>8</v>
      </c>
      <c r="G399" s="139">
        <v>29339</v>
      </c>
      <c r="H399" s="138" t="s">
        <v>199</v>
      </c>
      <c r="I399" s="139" t="s">
        <v>21</v>
      </c>
      <c r="J399" s="139">
        <v>43691</v>
      </c>
      <c r="K399" s="184">
        <v>39</v>
      </c>
      <c r="L399" s="139">
        <v>43737</v>
      </c>
      <c r="M399" s="139">
        <v>43737</v>
      </c>
      <c r="N399" s="189">
        <v>46</v>
      </c>
      <c r="O399" s="140">
        <v>437.92</v>
      </c>
      <c r="Q399" s="35"/>
    </row>
    <row r="400" spans="1:17" s="165" customFormat="1" ht="15" customHeight="1">
      <c r="A400" s="14"/>
      <c r="B400" s="38"/>
      <c r="C400" s="30" t="s">
        <v>39</v>
      </c>
      <c r="D400" s="138" t="s">
        <v>609</v>
      </c>
      <c r="E400" s="185" t="s">
        <v>1290</v>
      </c>
      <c r="F400" s="139" t="s">
        <v>8</v>
      </c>
      <c r="G400" s="139">
        <v>26932</v>
      </c>
      <c r="H400" s="138" t="s">
        <v>200</v>
      </c>
      <c r="I400" s="139" t="s">
        <v>21</v>
      </c>
      <c r="J400" s="139">
        <v>43549</v>
      </c>
      <c r="K400" s="184">
        <v>46</v>
      </c>
      <c r="L400" s="139">
        <v>43738</v>
      </c>
      <c r="M400" s="139">
        <v>43598</v>
      </c>
      <c r="N400" s="189">
        <v>49</v>
      </c>
      <c r="O400" s="140">
        <v>19958.64</v>
      </c>
      <c r="Q400" s="35"/>
    </row>
    <row r="401" spans="1:17" s="165" customFormat="1" ht="15" customHeight="1">
      <c r="A401" s="14"/>
      <c r="B401" s="38"/>
      <c r="C401" s="30" t="s">
        <v>39</v>
      </c>
      <c r="D401" s="138" t="s">
        <v>609</v>
      </c>
      <c r="E401" s="185" t="s">
        <v>1290</v>
      </c>
      <c r="F401" s="139" t="s">
        <v>8</v>
      </c>
      <c r="G401" s="139">
        <v>26932</v>
      </c>
      <c r="H401" s="138" t="s">
        <v>200</v>
      </c>
      <c r="I401" s="139" t="s">
        <v>21</v>
      </c>
      <c r="J401" s="139">
        <v>43600</v>
      </c>
      <c r="K401" s="184">
        <v>46</v>
      </c>
      <c r="L401" s="139">
        <v>43738</v>
      </c>
      <c r="M401" s="139">
        <v>43945</v>
      </c>
      <c r="N401" s="189">
        <v>345</v>
      </c>
      <c r="O401" s="140">
        <v>19958.64</v>
      </c>
      <c r="Q401" s="35"/>
    </row>
    <row r="402" spans="1:17" s="165" customFormat="1" ht="15" customHeight="1">
      <c r="A402" s="14"/>
      <c r="B402" s="38"/>
      <c r="C402" s="30" t="s">
        <v>39</v>
      </c>
      <c r="D402" s="138" t="s">
        <v>610</v>
      </c>
      <c r="E402" s="185" t="s">
        <v>1291</v>
      </c>
      <c r="F402" s="139" t="s">
        <v>8</v>
      </c>
      <c r="G402" s="139">
        <v>27709</v>
      </c>
      <c r="H402" s="138" t="s">
        <v>200</v>
      </c>
      <c r="I402" s="139" t="s">
        <v>21</v>
      </c>
      <c r="J402" s="139">
        <v>43804</v>
      </c>
      <c r="K402" s="184">
        <v>44</v>
      </c>
      <c r="L402" s="139"/>
      <c r="M402" s="139"/>
      <c r="N402" s="189">
        <v>0</v>
      </c>
      <c r="O402" s="140">
        <v>0</v>
      </c>
      <c r="Q402" s="35"/>
    </row>
    <row r="403" spans="1:17" s="165" customFormat="1" ht="15" customHeight="1">
      <c r="A403" s="14"/>
      <c r="B403" s="38"/>
      <c r="C403" s="30" t="s">
        <v>39</v>
      </c>
      <c r="D403" s="138" t="s">
        <v>611</v>
      </c>
      <c r="E403" s="185" t="s">
        <v>1292</v>
      </c>
      <c r="F403" s="139" t="s">
        <v>8</v>
      </c>
      <c r="G403" s="139">
        <v>28141</v>
      </c>
      <c r="H403" s="138" t="s">
        <v>199</v>
      </c>
      <c r="I403" s="139" t="s">
        <v>21</v>
      </c>
      <c r="J403" s="139">
        <v>43690</v>
      </c>
      <c r="K403" s="184">
        <v>42</v>
      </c>
      <c r="L403" s="139"/>
      <c r="M403" s="139">
        <v>43747</v>
      </c>
      <c r="N403" s="189">
        <v>57</v>
      </c>
      <c r="O403" s="140">
        <v>0</v>
      </c>
      <c r="Q403" s="35"/>
    </row>
    <row r="404" spans="1:17" s="165" customFormat="1" ht="15" customHeight="1">
      <c r="A404" s="14"/>
      <c r="B404" s="38"/>
      <c r="C404" s="30" t="s">
        <v>39</v>
      </c>
      <c r="D404" s="138" t="s">
        <v>611</v>
      </c>
      <c r="E404" s="185" t="s">
        <v>1292</v>
      </c>
      <c r="F404" s="139" t="s">
        <v>8</v>
      </c>
      <c r="G404" s="139">
        <v>28141</v>
      </c>
      <c r="H404" s="138" t="s">
        <v>199</v>
      </c>
      <c r="I404" s="139" t="s">
        <v>21</v>
      </c>
      <c r="J404" s="139">
        <v>43764</v>
      </c>
      <c r="K404" s="184">
        <v>42</v>
      </c>
      <c r="L404" s="139"/>
      <c r="M404" s="139">
        <v>43801</v>
      </c>
      <c r="N404" s="189">
        <v>37</v>
      </c>
      <c r="O404" s="140">
        <v>0</v>
      </c>
      <c r="Q404" s="35"/>
    </row>
    <row r="405" spans="1:17" s="165" customFormat="1" ht="15" customHeight="1">
      <c r="A405" s="14"/>
      <c r="B405" s="38"/>
      <c r="C405" s="30" t="s">
        <v>39</v>
      </c>
      <c r="D405" s="138" t="s">
        <v>612</v>
      </c>
      <c r="E405" s="185" t="s">
        <v>1293</v>
      </c>
      <c r="F405" s="139" t="s">
        <v>8</v>
      </c>
      <c r="G405" s="139">
        <v>21763</v>
      </c>
      <c r="H405" s="138" t="s">
        <v>199</v>
      </c>
      <c r="I405" s="139" t="s">
        <v>21</v>
      </c>
      <c r="J405" s="139">
        <v>43531</v>
      </c>
      <c r="K405" s="184">
        <v>60</v>
      </c>
      <c r="L405" s="139">
        <v>43621</v>
      </c>
      <c r="M405" s="139">
        <v>43621</v>
      </c>
      <c r="N405" s="189">
        <v>90</v>
      </c>
      <c r="O405" s="140">
        <v>3879.6</v>
      </c>
      <c r="Q405" s="35"/>
    </row>
    <row r="406" spans="1:17" s="165" customFormat="1" ht="15" customHeight="1">
      <c r="A406" s="14"/>
      <c r="B406" s="38"/>
      <c r="C406" s="30" t="s">
        <v>39</v>
      </c>
      <c r="D406" s="138" t="s">
        <v>613</v>
      </c>
      <c r="E406" s="185" t="s">
        <v>1293</v>
      </c>
      <c r="F406" s="139" t="s">
        <v>8</v>
      </c>
      <c r="G406" s="139">
        <v>21763</v>
      </c>
      <c r="H406" s="138" t="s">
        <v>199</v>
      </c>
      <c r="I406" s="139" t="s">
        <v>21</v>
      </c>
      <c r="J406" s="139">
        <v>43531</v>
      </c>
      <c r="K406" s="184">
        <v>60</v>
      </c>
      <c r="L406" s="139">
        <v>43621</v>
      </c>
      <c r="M406" s="139">
        <v>43621</v>
      </c>
      <c r="N406" s="189">
        <v>90</v>
      </c>
      <c r="O406" s="140">
        <v>613.66</v>
      </c>
      <c r="Q406" s="35"/>
    </row>
    <row r="407" spans="1:17" s="165" customFormat="1" ht="15" customHeight="1">
      <c r="A407" s="14"/>
      <c r="B407" s="38"/>
      <c r="C407" s="30" t="s">
        <v>39</v>
      </c>
      <c r="D407" s="138" t="s">
        <v>614</v>
      </c>
      <c r="E407" s="185" t="s">
        <v>1294</v>
      </c>
      <c r="F407" s="139" t="s">
        <v>8</v>
      </c>
      <c r="G407" s="139">
        <v>28672</v>
      </c>
      <c r="H407" s="138" t="s">
        <v>199</v>
      </c>
      <c r="I407" s="139" t="s">
        <v>21</v>
      </c>
      <c r="J407" s="139">
        <v>43753</v>
      </c>
      <c r="K407" s="184">
        <v>41</v>
      </c>
      <c r="L407" s="139"/>
      <c r="M407" s="139">
        <v>43814</v>
      </c>
      <c r="N407" s="189">
        <v>61</v>
      </c>
      <c r="O407" s="140">
        <v>0</v>
      </c>
      <c r="Q407" s="35"/>
    </row>
    <row r="408" spans="1:17" s="165" customFormat="1" ht="15" customHeight="1">
      <c r="A408" s="14"/>
      <c r="B408" s="38"/>
      <c r="C408" s="30" t="s">
        <v>39</v>
      </c>
      <c r="D408" s="138" t="s">
        <v>615</v>
      </c>
      <c r="E408" s="185" t="s">
        <v>1295</v>
      </c>
      <c r="F408" s="139" t="s">
        <v>8</v>
      </c>
      <c r="G408" s="139">
        <v>29757</v>
      </c>
      <c r="H408" s="138" t="s">
        <v>199</v>
      </c>
      <c r="I408" s="139" t="s">
        <v>21</v>
      </c>
      <c r="J408" s="139">
        <v>43752</v>
      </c>
      <c r="K408" s="184">
        <v>38</v>
      </c>
      <c r="L408" s="139"/>
      <c r="M408" s="139">
        <v>43800</v>
      </c>
      <c r="N408" s="189">
        <v>48</v>
      </c>
      <c r="O408" s="140">
        <v>0</v>
      </c>
      <c r="Q408" s="35"/>
    </row>
    <row r="409" spans="1:17" s="165" customFormat="1" ht="15" customHeight="1">
      <c r="A409" s="14"/>
      <c r="B409" s="38"/>
      <c r="C409" s="30" t="s">
        <v>39</v>
      </c>
      <c r="D409" s="138" t="s">
        <v>89</v>
      </c>
      <c r="E409" s="185" t="s">
        <v>1296</v>
      </c>
      <c r="F409" s="139" t="s">
        <v>8</v>
      </c>
      <c r="G409" s="139">
        <v>22032</v>
      </c>
      <c r="H409" s="138" t="s">
        <v>199</v>
      </c>
      <c r="I409" s="139" t="s">
        <v>21</v>
      </c>
      <c r="J409" s="139">
        <v>43482</v>
      </c>
      <c r="K409" s="184">
        <v>59</v>
      </c>
      <c r="L409" s="139">
        <v>43768</v>
      </c>
      <c r="M409" s="139">
        <v>43921</v>
      </c>
      <c r="N409" s="189">
        <v>439</v>
      </c>
      <c r="O409" s="140">
        <v>4312.46</v>
      </c>
      <c r="Q409" s="35"/>
    </row>
    <row r="410" spans="1:17" s="165" customFormat="1" ht="15" customHeight="1">
      <c r="A410" s="14"/>
      <c r="B410" s="38"/>
      <c r="C410" s="30" t="s">
        <v>39</v>
      </c>
      <c r="D410" s="138" t="s">
        <v>616</v>
      </c>
      <c r="E410" s="185" t="s">
        <v>1297</v>
      </c>
      <c r="F410" s="139" t="s">
        <v>8</v>
      </c>
      <c r="G410" s="139">
        <v>27413</v>
      </c>
      <c r="H410" s="138" t="s">
        <v>199</v>
      </c>
      <c r="I410" s="139" t="s">
        <v>21</v>
      </c>
      <c r="J410" s="139">
        <v>43721</v>
      </c>
      <c r="K410" s="184">
        <v>44</v>
      </c>
      <c r="L410" s="139"/>
      <c r="M410" s="139">
        <v>44262</v>
      </c>
      <c r="N410" s="189">
        <v>541</v>
      </c>
      <c r="O410" s="140">
        <v>0</v>
      </c>
      <c r="Q410" s="35"/>
    </row>
    <row r="411" spans="1:17" s="165" customFormat="1" ht="15" customHeight="1">
      <c r="A411" s="14"/>
      <c r="B411" s="38"/>
      <c r="C411" s="30" t="s">
        <v>39</v>
      </c>
      <c r="D411" s="138" t="s">
        <v>617</v>
      </c>
      <c r="E411" s="185" t="s">
        <v>1298</v>
      </c>
      <c r="F411" s="139" t="s">
        <v>8</v>
      </c>
      <c r="G411" s="139">
        <v>26935</v>
      </c>
      <c r="H411" s="138" t="s">
        <v>199</v>
      </c>
      <c r="I411" s="139" t="s">
        <v>21</v>
      </c>
      <c r="J411" s="139">
        <v>43790</v>
      </c>
      <c r="K411" s="184">
        <v>46</v>
      </c>
      <c r="L411" s="139"/>
      <c r="M411" s="139">
        <v>43826</v>
      </c>
      <c r="N411" s="189">
        <v>36</v>
      </c>
      <c r="O411" s="140">
        <v>0</v>
      </c>
      <c r="Q411" s="35"/>
    </row>
    <row r="412" spans="1:17" s="165" customFormat="1" ht="15" customHeight="1">
      <c r="A412" s="14"/>
      <c r="B412" s="38"/>
      <c r="C412" s="30" t="s">
        <v>39</v>
      </c>
      <c r="D412" s="138" t="s">
        <v>104</v>
      </c>
      <c r="E412" s="185" t="s">
        <v>1299</v>
      </c>
      <c r="F412" s="139" t="s">
        <v>10</v>
      </c>
      <c r="G412" s="139">
        <v>23149</v>
      </c>
      <c r="H412" s="138" t="s">
        <v>200</v>
      </c>
      <c r="I412" s="139" t="s">
        <v>21</v>
      </c>
      <c r="J412" s="139">
        <v>43552</v>
      </c>
      <c r="K412" s="184">
        <v>56</v>
      </c>
      <c r="L412" s="139">
        <v>43809</v>
      </c>
      <c r="M412" s="139">
        <v>43595</v>
      </c>
      <c r="N412" s="189">
        <v>43</v>
      </c>
      <c r="O412" s="140">
        <v>23991.64</v>
      </c>
      <c r="Q412" s="35"/>
    </row>
    <row r="413" spans="1:17" s="165" customFormat="1" ht="15" customHeight="1">
      <c r="A413" s="14"/>
      <c r="B413" s="38"/>
      <c r="C413" s="30" t="s">
        <v>39</v>
      </c>
      <c r="D413" s="138" t="s">
        <v>104</v>
      </c>
      <c r="E413" s="185" t="s">
        <v>1299</v>
      </c>
      <c r="F413" s="139" t="s">
        <v>10</v>
      </c>
      <c r="G413" s="139">
        <v>23149</v>
      </c>
      <c r="H413" s="138" t="s">
        <v>200</v>
      </c>
      <c r="I413" s="139" t="s">
        <v>21</v>
      </c>
      <c r="J413" s="139">
        <v>43596</v>
      </c>
      <c r="K413" s="184">
        <v>56</v>
      </c>
      <c r="L413" s="139">
        <v>43809</v>
      </c>
      <c r="M413" s="139">
        <v>43945</v>
      </c>
      <c r="N413" s="189">
        <v>349</v>
      </c>
      <c r="O413" s="140">
        <v>23991.64</v>
      </c>
      <c r="Q413" s="35"/>
    </row>
    <row r="414" spans="1:17" s="165" customFormat="1" ht="15" customHeight="1">
      <c r="A414" s="14"/>
      <c r="B414" s="38"/>
      <c r="C414" s="30" t="s">
        <v>39</v>
      </c>
      <c r="D414" s="138" t="s">
        <v>618</v>
      </c>
      <c r="E414" s="185" t="s">
        <v>1300</v>
      </c>
      <c r="F414" s="139" t="s">
        <v>8</v>
      </c>
      <c r="G414" s="139">
        <v>21515</v>
      </c>
      <c r="H414" s="138" t="s">
        <v>199</v>
      </c>
      <c r="I414" s="139" t="s">
        <v>21</v>
      </c>
      <c r="J414" s="139">
        <v>43484</v>
      </c>
      <c r="K414" s="184">
        <v>61</v>
      </c>
      <c r="L414" s="139">
        <v>43723</v>
      </c>
      <c r="M414" s="139">
        <v>43723</v>
      </c>
      <c r="N414" s="189">
        <v>239</v>
      </c>
      <c r="O414" s="140">
        <v>0</v>
      </c>
      <c r="Q414" s="35"/>
    </row>
    <row r="415" spans="1:17" s="165" customFormat="1" ht="15" customHeight="1">
      <c r="A415" s="14"/>
      <c r="B415" s="38"/>
      <c r="C415" s="30" t="s">
        <v>39</v>
      </c>
      <c r="D415" s="138" t="s">
        <v>619</v>
      </c>
      <c r="E415" s="185" t="s">
        <v>1301</v>
      </c>
      <c r="F415" s="139" t="s">
        <v>8</v>
      </c>
      <c r="G415" s="139">
        <v>23686</v>
      </c>
      <c r="H415" s="138" t="s">
        <v>199</v>
      </c>
      <c r="I415" s="139" t="s">
        <v>21</v>
      </c>
      <c r="J415" s="139">
        <v>43542</v>
      </c>
      <c r="K415" s="184">
        <v>55</v>
      </c>
      <c r="L415" s="139">
        <v>43602</v>
      </c>
      <c r="M415" s="139">
        <v>43602</v>
      </c>
      <c r="N415" s="189">
        <v>60</v>
      </c>
      <c r="O415" s="140">
        <v>889.39</v>
      </c>
      <c r="Q415" s="35"/>
    </row>
    <row r="416" spans="1:17" s="165" customFormat="1" ht="15" customHeight="1">
      <c r="A416" s="14"/>
      <c r="B416" s="38"/>
      <c r="C416" s="30" t="s">
        <v>39</v>
      </c>
      <c r="D416" s="138" t="s">
        <v>620</v>
      </c>
      <c r="E416" s="185" t="s">
        <v>1302</v>
      </c>
      <c r="F416" s="139" t="s">
        <v>8</v>
      </c>
      <c r="G416" s="139">
        <v>22833</v>
      </c>
      <c r="H416" s="138" t="s">
        <v>199</v>
      </c>
      <c r="I416" s="139" t="s">
        <v>21</v>
      </c>
      <c r="J416" s="139">
        <v>43596</v>
      </c>
      <c r="K416" s="184">
        <v>57</v>
      </c>
      <c r="L416" s="139">
        <v>43667</v>
      </c>
      <c r="M416" s="139">
        <v>43667</v>
      </c>
      <c r="N416" s="189">
        <v>71</v>
      </c>
      <c r="O416" s="140">
        <v>590.94000000000005</v>
      </c>
      <c r="Q416" s="35"/>
    </row>
    <row r="417" spans="1:17" s="165" customFormat="1" ht="15" customHeight="1">
      <c r="A417" s="14"/>
      <c r="B417" s="38"/>
      <c r="C417" s="30" t="s">
        <v>39</v>
      </c>
      <c r="D417" s="138" t="s">
        <v>621</v>
      </c>
      <c r="E417" s="185" t="s">
        <v>1302</v>
      </c>
      <c r="F417" s="139" t="s">
        <v>8</v>
      </c>
      <c r="G417" s="139">
        <v>22833</v>
      </c>
      <c r="H417" s="138" t="s">
        <v>200</v>
      </c>
      <c r="I417" s="139" t="s">
        <v>21</v>
      </c>
      <c r="J417" s="139">
        <v>43596</v>
      </c>
      <c r="K417" s="184">
        <v>57</v>
      </c>
      <c r="L417" s="139">
        <v>43667</v>
      </c>
      <c r="M417" s="139">
        <v>43667</v>
      </c>
      <c r="N417" s="189">
        <v>71</v>
      </c>
      <c r="O417" s="140">
        <v>690.48</v>
      </c>
      <c r="Q417" s="35"/>
    </row>
    <row r="418" spans="1:17" s="165" customFormat="1" ht="15" customHeight="1">
      <c r="A418" s="14"/>
      <c r="B418" s="38"/>
      <c r="C418" s="30" t="s">
        <v>39</v>
      </c>
      <c r="D418" s="138" t="s">
        <v>622</v>
      </c>
      <c r="E418" s="185" t="s">
        <v>1303</v>
      </c>
      <c r="F418" s="139" t="s">
        <v>8</v>
      </c>
      <c r="G418" s="139">
        <v>26132</v>
      </c>
      <c r="H418" s="138" t="s">
        <v>199</v>
      </c>
      <c r="I418" s="139" t="s">
        <v>21</v>
      </c>
      <c r="J418" s="139">
        <v>43713</v>
      </c>
      <c r="K418" s="184">
        <v>48</v>
      </c>
      <c r="L418" s="139"/>
      <c r="M418" s="139">
        <v>43765</v>
      </c>
      <c r="N418" s="189">
        <v>52</v>
      </c>
      <c r="O418" s="140">
        <v>0</v>
      </c>
      <c r="Q418" s="35"/>
    </row>
    <row r="419" spans="1:17" s="165" customFormat="1" ht="15" customHeight="1">
      <c r="A419" s="14"/>
      <c r="B419" s="38"/>
      <c r="C419" s="30" t="s">
        <v>39</v>
      </c>
      <c r="D419" s="138" t="s">
        <v>623</v>
      </c>
      <c r="E419" s="185" t="s">
        <v>1304</v>
      </c>
      <c r="F419" s="139" t="s">
        <v>8</v>
      </c>
      <c r="G419" s="139">
        <v>30592</v>
      </c>
      <c r="H419" s="138" t="s">
        <v>199</v>
      </c>
      <c r="I419" s="139" t="s">
        <v>21</v>
      </c>
      <c r="J419" s="139">
        <v>43766</v>
      </c>
      <c r="K419" s="184">
        <v>36</v>
      </c>
      <c r="L419" s="139"/>
      <c r="M419" s="139">
        <v>43831</v>
      </c>
      <c r="N419" s="189">
        <v>65</v>
      </c>
      <c r="O419" s="140">
        <v>0</v>
      </c>
      <c r="Q419" s="35"/>
    </row>
    <row r="420" spans="1:17" s="165" customFormat="1" ht="15" customHeight="1">
      <c r="A420" s="14"/>
      <c r="B420" s="38"/>
      <c r="C420" s="30" t="s">
        <v>39</v>
      </c>
      <c r="D420" s="138" t="s">
        <v>624</v>
      </c>
      <c r="E420" s="185" t="s">
        <v>1305</v>
      </c>
      <c r="F420" s="139" t="s">
        <v>8</v>
      </c>
      <c r="G420" s="139">
        <v>28695</v>
      </c>
      <c r="H420" s="138" t="s">
        <v>199</v>
      </c>
      <c r="I420" s="139" t="s">
        <v>21</v>
      </c>
      <c r="J420" s="139">
        <v>43675</v>
      </c>
      <c r="K420" s="184">
        <v>41</v>
      </c>
      <c r="L420" s="139"/>
      <c r="M420" s="139"/>
      <c r="N420" s="189">
        <v>0</v>
      </c>
      <c r="O420" s="140">
        <v>0</v>
      </c>
      <c r="Q420" s="35"/>
    </row>
    <row r="421" spans="1:17" s="165" customFormat="1" ht="15" customHeight="1">
      <c r="A421" s="14"/>
      <c r="B421" s="38"/>
      <c r="C421" s="30" t="s">
        <v>39</v>
      </c>
      <c r="D421" s="138" t="s">
        <v>625</v>
      </c>
      <c r="E421" s="185" t="s">
        <v>1306</v>
      </c>
      <c r="F421" s="139" t="s">
        <v>8</v>
      </c>
      <c r="G421" s="139">
        <v>30005</v>
      </c>
      <c r="H421" s="138" t="s">
        <v>199</v>
      </c>
      <c r="I421" s="139" t="s">
        <v>21</v>
      </c>
      <c r="J421" s="139">
        <v>43760</v>
      </c>
      <c r="K421" s="184">
        <v>37</v>
      </c>
      <c r="L421" s="139"/>
      <c r="M421" s="139">
        <v>43826</v>
      </c>
      <c r="N421" s="189">
        <v>66</v>
      </c>
      <c r="O421" s="140">
        <v>0</v>
      </c>
      <c r="Q421" s="35"/>
    </row>
    <row r="422" spans="1:17" s="165" customFormat="1" ht="15" customHeight="1">
      <c r="A422" s="14"/>
      <c r="B422" s="38"/>
      <c r="C422" s="30" t="s">
        <v>39</v>
      </c>
      <c r="D422" s="138" t="s">
        <v>625</v>
      </c>
      <c r="E422" s="185" t="s">
        <v>1306</v>
      </c>
      <c r="F422" s="139" t="s">
        <v>8</v>
      </c>
      <c r="G422" s="139">
        <v>30005</v>
      </c>
      <c r="H422" s="138" t="s">
        <v>199</v>
      </c>
      <c r="I422" s="139" t="s">
        <v>21</v>
      </c>
      <c r="J422" s="139">
        <v>43827</v>
      </c>
      <c r="K422" s="184">
        <v>37</v>
      </c>
      <c r="L422" s="139"/>
      <c r="M422" s="139">
        <v>43847</v>
      </c>
      <c r="N422" s="189">
        <v>20</v>
      </c>
      <c r="O422" s="140">
        <v>0</v>
      </c>
      <c r="Q422" s="35"/>
    </row>
    <row r="423" spans="1:17" s="165" customFormat="1" ht="15" customHeight="1">
      <c r="A423" s="14"/>
      <c r="B423" s="38"/>
      <c r="C423" s="30" t="s">
        <v>39</v>
      </c>
      <c r="D423" s="138" t="s">
        <v>626</v>
      </c>
      <c r="E423" s="185" t="s">
        <v>1307</v>
      </c>
      <c r="F423" s="139" t="s">
        <v>8</v>
      </c>
      <c r="G423" s="139">
        <v>26558</v>
      </c>
      <c r="H423" s="138" t="s">
        <v>199</v>
      </c>
      <c r="I423" s="139" t="s">
        <v>21</v>
      </c>
      <c r="J423" s="139">
        <v>43725</v>
      </c>
      <c r="K423" s="184">
        <v>47</v>
      </c>
      <c r="L423" s="139"/>
      <c r="M423" s="139"/>
      <c r="N423" s="189">
        <v>0</v>
      </c>
      <c r="O423" s="140">
        <v>0</v>
      </c>
      <c r="Q423" s="35"/>
    </row>
    <row r="424" spans="1:17" s="165" customFormat="1" ht="15" customHeight="1">
      <c r="A424" s="14"/>
      <c r="B424" s="38"/>
      <c r="C424" s="30" t="s">
        <v>39</v>
      </c>
      <c r="D424" s="138" t="s">
        <v>191</v>
      </c>
      <c r="E424" s="185" t="s">
        <v>1308</v>
      </c>
      <c r="F424" s="139" t="s">
        <v>8</v>
      </c>
      <c r="G424" s="139">
        <v>27973</v>
      </c>
      <c r="H424" s="138" t="s">
        <v>200</v>
      </c>
      <c r="I424" s="139" t="s">
        <v>21</v>
      </c>
      <c r="J424" s="139">
        <v>43644</v>
      </c>
      <c r="K424" s="184">
        <v>43</v>
      </c>
      <c r="L424" s="139">
        <v>43784</v>
      </c>
      <c r="M424" s="139"/>
      <c r="N424" s="189">
        <v>0</v>
      </c>
      <c r="O424" s="140">
        <v>5169.2700000000004</v>
      </c>
      <c r="Q424" s="35"/>
    </row>
    <row r="425" spans="1:17" s="165" customFormat="1" ht="15" customHeight="1">
      <c r="A425" s="14"/>
      <c r="B425" s="38"/>
      <c r="C425" s="30" t="s">
        <v>39</v>
      </c>
      <c r="D425" s="138" t="s">
        <v>190</v>
      </c>
      <c r="E425" s="185" t="s">
        <v>1309</v>
      </c>
      <c r="F425" s="139" t="s">
        <v>8</v>
      </c>
      <c r="G425" s="139">
        <v>27393</v>
      </c>
      <c r="H425" s="138" t="s">
        <v>199</v>
      </c>
      <c r="I425" s="139" t="s">
        <v>21</v>
      </c>
      <c r="J425" s="139">
        <v>43675</v>
      </c>
      <c r="K425" s="184">
        <v>45</v>
      </c>
      <c r="L425" s="139">
        <v>43771</v>
      </c>
      <c r="M425" s="139"/>
      <c r="N425" s="189">
        <v>0</v>
      </c>
      <c r="O425" s="140">
        <v>1351.39</v>
      </c>
      <c r="Q425" s="35"/>
    </row>
    <row r="426" spans="1:17" s="165" customFormat="1" ht="15" customHeight="1">
      <c r="A426" s="14"/>
      <c r="B426" s="38"/>
      <c r="C426" s="30" t="s">
        <v>39</v>
      </c>
      <c r="D426" s="138" t="s">
        <v>627</v>
      </c>
      <c r="E426" s="185" t="s">
        <v>1310</v>
      </c>
      <c r="F426" s="139" t="s">
        <v>8</v>
      </c>
      <c r="G426" s="139">
        <v>28308</v>
      </c>
      <c r="H426" s="138" t="s">
        <v>199</v>
      </c>
      <c r="I426" s="139" t="s">
        <v>21</v>
      </c>
      <c r="J426" s="139">
        <v>43712</v>
      </c>
      <c r="K426" s="184">
        <v>42</v>
      </c>
      <c r="L426" s="139">
        <v>43756</v>
      </c>
      <c r="M426" s="139">
        <v>43756</v>
      </c>
      <c r="N426" s="189">
        <v>44</v>
      </c>
      <c r="O426" s="140">
        <v>189.9</v>
      </c>
      <c r="Q426" s="35"/>
    </row>
    <row r="427" spans="1:17" s="165" customFormat="1" ht="15" customHeight="1">
      <c r="A427" s="14"/>
      <c r="B427" s="38"/>
      <c r="C427" s="30" t="s">
        <v>39</v>
      </c>
      <c r="D427" s="138" t="s">
        <v>628</v>
      </c>
      <c r="E427" s="185" t="s">
        <v>1311</v>
      </c>
      <c r="F427" s="139" t="s">
        <v>8</v>
      </c>
      <c r="G427" s="139">
        <v>29897</v>
      </c>
      <c r="H427" s="138" t="s">
        <v>199</v>
      </c>
      <c r="I427" s="139" t="s">
        <v>21</v>
      </c>
      <c r="J427" s="139">
        <v>43514</v>
      </c>
      <c r="K427" s="184">
        <v>38</v>
      </c>
      <c r="L427" s="139">
        <v>43631</v>
      </c>
      <c r="M427" s="139">
        <v>43631</v>
      </c>
      <c r="N427" s="189">
        <v>117</v>
      </c>
      <c r="O427" s="140">
        <v>2243.12</v>
      </c>
      <c r="Q427" s="35"/>
    </row>
    <row r="428" spans="1:17" s="165" customFormat="1" ht="15" customHeight="1">
      <c r="A428" s="14"/>
      <c r="B428" s="38"/>
      <c r="C428" s="30" t="s">
        <v>39</v>
      </c>
      <c r="D428" s="138" t="s">
        <v>629</v>
      </c>
      <c r="E428" s="185" t="s">
        <v>1312</v>
      </c>
      <c r="F428" s="139" t="s">
        <v>8</v>
      </c>
      <c r="G428" s="139">
        <v>29625</v>
      </c>
      <c r="H428" s="138" t="s">
        <v>199</v>
      </c>
      <c r="I428" s="139" t="s">
        <v>21</v>
      </c>
      <c r="J428" s="139">
        <v>43543</v>
      </c>
      <c r="K428" s="184">
        <v>38</v>
      </c>
      <c r="L428" s="139"/>
      <c r="M428" s="139">
        <v>43585</v>
      </c>
      <c r="N428" s="189">
        <v>42</v>
      </c>
      <c r="O428" s="140">
        <v>0</v>
      </c>
      <c r="Q428" s="35"/>
    </row>
    <row r="429" spans="1:17" s="165" customFormat="1" ht="15" customHeight="1">
      <c r="A429" s="14"/>
      <c r="B429" s="38"/>
      <c r="C429" s="30" t="s">
        <v>39</v>
      </c>
      <c r="D429" s="138" t="s">
        <v>629</v>
      </c>
      <c r="E429" s="185" t="s">
        <v>1312</v>
      </c>
      <c r="F429" s="139" t="s">
        <v>8</v>
      </c>
      <c r="G429" s="139">
        <v>29625</v>
      </c>
      <c r="H429" s="138" t="s">
        <v>199</v>
      </c>
      <c r="I429" s="139" t="s">
        <v>21</v>
      </c>
      <c r="J429" s="139">
        <v>43595</v>
      </c>
      <c r="K429" s="184">
        <v>38</v>
      </c>
      <c r="L429" s="139"/>
      <c r="M429" s="139">
        <v>43646</v>
      </c>
      <c r="N429" s="189">
        <v>51</v>
      </c>
      <c r="O429" s="140">
        <v>0</v>
      </c>
      <c r="Q429" s="35"/>
    </row>
    <row r="430" spans="1:17" s="165" customFormat="1" ht="15" customHeight="1">
      <c r="A430" s="14"/>
      <c r="B430" s="38"/>
      <c r="C430" s="30" t="s">
        <v>39</v>
      </c>
      <c r="D430" s="138" t="s">
        <v>630</v>
      </c>
      <c r="E430" s="185" t="s">
        <v>1312</v>
      </c>
      <c r="F430" s="139" t="s">
        <v>8</v>
      </c>
      <c r="G430" s="139">
        <v>29625</v>
      </c>
      <c r="H430" s="138" t="s">
        <v>199</v>
      </c>
      <c r="I430" s="139" t="s">
        <v>21</v>
      </c>
      <c r="J430" s="139">
        <v>43784</v>
      </c>
      <c r="K430" s="184">
        <v>38</v>
      </c>
      <c r="L430" s="139"/>
      <c r="M430" s="139">
        <v>43823</v>
      </c>
      <c r="N430" s="189">
        <v>39</v>
      </c>
      <c r="O430" s="140">
        <v>0</v>
      </c>
      <c r="Q430" s="35"/>
    </row>
    <row r="431" spans="1:17" s="165" customFormat="1" ht="15" customHeight="1">
      <c r="A431" s="14"/>
      <c r="B431" s="38"/>
      <c r="C431" s="30" t="s">
        <v>39</v>
      </c>
      <c r="D431" s="138" t="s">
        <v>631</v>
      </c>
      <c r="E431" s="185" t="s">
        <v>1313</v>
      </c>
      <c r="F431" s="139" t="s">
        <v>8</v>
      </c>
      <c r="G431" s="139">
        <v>21164</v>
      </c>
      <c r="H431" s="138" t="s">
        <v>199</v>
      </c>
      <c r="I431" s="139" t="s">
        <v>21</v>
      </c>
      <c r="J431" s="139">
        <v>43550</v>
      </c>
      <c r="K431" s="184">
        <v>62</v>
      </c>
      <c r="L431" s="139">
        <v>43710</v>
      </c>
      <c r="M431" s="139">
        <v>43670</v>
      </c>
      <c r="N431" s="189">
        <v>120</v>
      </c>
      <c r="O431" s="140">
        <v>681.68</v>
      </c>
      <c r="Q431" s="35"/>
    </row>
    <row r="432" spans="1:17" s="165" customFormat="1" ht="15" customHeight="1">
      <c r="A432" s="14"/>
      <c r="B432" s="38"/>
      <c r="C432" s="30" t="s">
        <v>39</v>
      </c>
      <c r="D432" s="138" t="s">
        <v>631</v>
      </c>
      <c r="E432" s="185" t="s">
        <v>1313</v>
      </c>
      <c r="F432" s="139" t="s">
        <v>8</v>
      </c>
      <c r="G432" s="139">
        <v>21164</v>
      </c>
      <c r="H432" s="138" t="s">
        <v>199</v>
      </c>
      <c r="I432" s="139" t="s">
        <v>21</v>
      </c>
      <c r="J432" s="139">
        <v>43700</v>
      </c>
      <c r="K432" s="184">
        <v>62</v>
      </c>
      <c r="L432" s="139">
        <v>43710</v>
      </c>
      <c r="M432" s="139">
        <v>43710</v>
      </c>
      <c r="N432" s="189">
        <v>10</v>
      </c>
      <c r="O432" s="140">
        <v>681.68</v>
      </c>
      <c r="Q432" s="35"/>
    </row>
    <row r="433" spans="1:17" s="165" customFormat="1" ht="15" customHeight="1">
      <c r="A433" s="14"/>
      <c r="B433" s="38"/>
      <c r="C433" s="30" t="s">
        <v>39</v>
      </c>
      <c r="D433" s="138" t="s">
        <v>632</v>
      </c>
      <c r="E433" s="185" t="s">
        <v>1313</v>
      </c>
      <c r="F433" s="139" t="s">
        <v>8</v>
      </c>
      <c r="G433" s="139">
        <v>21164</v>
      </c>
      <c r="H433" s="138" t="s">
        <v>199</v>
      </c>
      <c r="I433" s="139" t="s">
        <v>21</v>
      </c>
      <c r="J433" s="139">
        <v>43550</v>
      </c>
      <c r="K433" s="184">
        <v>62</v>
      </c>
      <c r="L433" s="139">
        <v>43710</v>
      </c>
      <c r="M433" s="139">
        <v>43670</v>
      </c>
      <c r="N433" s="189">
        <v>120</v>
      </c>
      <c r="O433" s="140">
        <v>838.3900000000001</v>
      </c>
      <c r="Q433" s="35"/>
    </row>
    <row r="434" spans="1:17" s="165" customFormat="1" ht="15" customHeight="1">
      <c r="A434" s="14"/>
      <c r="B434" s="38"/>
      <c r="C434" s="30" t="s">
        <v>39</v>
      </c>
      <c r="D434" s="138" t="s">
        <v>632</v>
      </c>
      <c r="E434" s="185" t="s">
        <v>1313</v>
      </c>
      <c r="F434" s="139" t="s">
        <v>8</v>
      </c>
      <c r="G434" s="139">
        <v>21164</v>
      </c>
      <c r="H434" s="138" t="s">
        <v>199</v>
      </c>
      <c r="I434" s="139" t="s">
        <v>21</v>
      </c>
      <c r="J434" s="139">
        <v>43700</v>
      </c>
      <c r="K434" s="184">
        <v>62</v>
      </c>
      <c r="L434" s="139">
        <v>43710</v>
      </c>
      <c r="M434" s="139">
        <v>43710</v>
      </c>
      <c r="N434" s="189">
        <v>10</v>
      </c>
      <c r="O434" s="140">
        <v>838.3900000000001</v>
      </c>
      <c r="Q434" s="35"/>
    </row>
    <row r="435" spans="1:17" s="165" customFormat="1" ht="15" customHeight="1">
      <c r="A435" s="14"/>
      <c r="B435" s="38"/>
      <c r="C435" s="30" t="s">
        <v>39</v>
      </c>
      <c r="D435" s="138" t="s">
        <v>633</v>
      </c>
      <c r="E435" s="185" t="s">
        <v>1314</v>
      </c>
      <c r="F435" s="139" t="s">
        <v>8</v>
      </c>
      <c r="G435" s="139">
        <v>24139</v>
      </c>
      <c r="H435" s="138" t="s">
        <v>199</v>
      </c>
      <c r="I435" s="139" t="s">
        <v>21</v>
      </c>
      <c r="J435" s="139">
        <v>43614</v>
      </c>
      <c r="K435" s="184">
        <v>53</v>
      </c>
      <c r="L435" s="139"/>
      <c r="M435" s="139">
        <v>44094</v>
      </c>
      <c r="N435" s="189">
        <v>480</v>
      </c>
      <c r="O435" s="140">
        <v>0</v>
      </c>
      <c r="Q435" s="35"/>
    </row>
    <row r="436" spans="1:17" s="165" customFormat="1" ht="15" customHeight="1">
      <c r="A436" s="14"/>
      <c r="B436" s="38"/>
      <c r="C436" s="30" t="s">
        <v>39</v>
      </c>
      <c r="D436" s="138" t="s">
        <v>634</v>
      </c>
      <c r="E436" s="185" t="s">
        <v>1315</v>
      </c>
      <c r="F436" s="139" t="s">
        <v>8</v>
      </c>
      <c r="G436" s="139">
        <v>29444</v>
      </c>
      <c r="H436" s="138" t="s">
        <v>199</v>
      </c>
      <c r="I436" s="139" t="s">
        <v>21</v>
      </c>
      <c r="J436" s="139">
        <v>43706</v>
      </c>
      <c r="K436" s="184">
        <v>39</v>
      </c>
      <c r="L436" s="139"/>
      <c r="M436" s="139">
        <v>43883</v>
      </c>
      <c r="N436" s="189">
        <v>177</v>
      </c>
      <c r="O436" s="140">
        <v>0</v>
      </c>
      <c r="Q436" s="35"/>
    </row>
    <row r="437" spans="1:17" s="165" customFormat="1" ht="15" customHeight="1">
      <c r="A437" s="14"/>
      <c r="B437" s="38"/>
      <c r="C437" s="30" t="s">
        <v>39</v>
      </c>
      <c r="D437" s="138" t="s">
        <v>635</v>
      </c>
      <c r="E437" s="185" t="s">
        <v>1316</v>
      </c>
      <c r="F437" s="139" t="s">
        <v>8</v>
      </c>
      <c r="G437" s="139">
        <v>21729</v>
      </c>
      <c r="H437" s="138" t="s">
        <v>200</v>
      </c>
      <c r="I437" s="139" t="s">
        <v>21</v>
      </c>
      <c r="J437" s="139">
        <v>43802</v>
      </c>
      <c r="K437" s="184">
        <v>60</v>
      </c>
      <c r="L437" s="139"/>
      <c r="M437" s="139">
        <v>43877</v>
      </c>
      <c r="N437" s="189">
        <v>75</v>
      </c>
      <c r="O437" s="140">
        <v>0</v>
      </c>
      <c r="Q437" s="35"/>
    </row>
    <row r="438" spans="1:17" s="165" customFormat="1" ht="15" customHeight="1">
      <c r="A438" s="14"/>
      <c r="B438" s="38"/>
      <c r="C438" s="30" t="s">
        <v>39</v>
      </c>
      <c r="D438" s="138" t="s">
        <v>636</v>
      </c>
      <c r="E438" s="185" t="s">
        <v>1317</v>
      </c>
      <c r="F438" s="139" t="s">
        <v>8</v>
      </c>
      <c r="G438" s="139">
        <v>21015</v>
      </c>
      <c r="H438" s="138" t="s">
        <v>199</v>
      </c>
      <c r="I438" s="139" t="s">
        <v>21</v>
      </c>
      <c r="J438" s="139">
        <v>43556</v>
      </c>
      <c r="K438" s="184">
        <v>62</v>
      </c>
      <c r="L438" s="139">
        <v>43678</v>
      </c>
      <c r="M438" s="139">
        <v>43678</v>
      </c>
      <c r="N438" s="189">
        <v>122</v>
      </c>
      <c r="O438" s="140">
        <v>152.52000000000001</v>
      </c>
      <c r="Q438" s="35"/>
    </row>
    <row r="439" spans="1:17" s="165" customFormat="1" ht="15" customHeight="1">
      <c r="A439" s="14"/>
      <c r="B439" s="38"/>
      <c r="C439" s="30" t="s">
        <v>39</v>
      </c>
      <c r="D439" s="138" t="s">
        <v>637</v>
      </c>
      <c r="E439" s="185" t="s">
        <v>1318</v>
      </c>
      <c r="F439" s="139" t="s">
        <v>10</v>
      </c>
      <c r="G439" s="139">
        <v>25254</v>
      </c>
      <c r="H439" s="138" t="s">
        <v>199</v>
      </c>
      <c r="I439" s="139" t="s">
        <v>21</v>
      </c>
      <c r="J439" s="139">
        <v>43781</v>
      </c>
      <c r="K439" s="184">
        <v>50</v>
      </c>
      <c r="L439" s="139"/>
      <c r="M439" s="139">
        <v>43813</v>
      </c>
      <c r="N439" s="189">
        <v>32</v>
      </c>
      <c r="O439" s="140">
        <v>0</v>
      </c>
      <c r="Q439" s="35"/>
    </row>
    <row r="440" spans="1:17" s="165" customFormat="1" ht="15" customHeight="1">
      <c r="A440" s="14"/>
      <c r="B440" s="38"/>
      <c r="C440" s="30" t="s">
        <v>39</v>
      </c>
      <c r="D440" s="138" t="s">
        <v>638</v>
      </c>
      <c r="E440" s="185" t="s">
        <v>1319</v>
      </c>
      <c r="F440" s="139" t="s">
        <v>8</v>
      </c>
      <c r="G440" s="139">
        <v>21627</v>
      </c>
      <c r="H440" s="138" t="s">
        <v>199</v>
      </c>
      <c r="I440" s="139" t="s">
        <v>21</v>
      </c>
      <c r="J440" s="139">
        <v>43811</v>
      </c>
      <c r="K440" s="184">
        <v>60</v>
      </c>
      <c r="L440" s="139"/>
      <c r="M440" s="139">
        <v>44008</v>
      </c>
      <c r="N440" s="189">
        <v>197</v>
      </c>
      <c r="O440" s="140">
        <v>0</v>
      </c>
      <c r="Q440" s="35"/>
    </row>
    <row r="441" spans="1:17" s="165" customFormat="1" ht="15" customHeight="1">
      <c r="A441" s="14"/>
      <c r="B441" s="38"/>
      <c r="C441" s="30" t="s">
        <v>39</v>
      </c>
      <c r="D441" s="138" t="s">
        <v>639</v>
      </c>
      <c r="E441" s="185" t="s">
        <v>1320</v>
      </c>
      <c r="F441" s="139" t="s">
        <v>8</v>
      </c>
      <c r="G441" s="139">
        <v>22609</v>
      </c>
      <c r="H441" s="138" t="s">
        <v>200</v>
      </c>
      <c r="I441" s="139" t="s">
        <v>21</v>
      </c>
      <c r="J441" s="139">
        <v>43775</v>
      </c>
      <c r="K441" s="184">
        <v>58</v>
      </c>
      <c r="L441" s="139"/>
      <c r="M441" s="139">
        <v>43947</v>
      </c>
      <c r="N441" s="189">
        <v>172</v>
      </c>
      <c r="O441" s="140">
        <v>0</v>
      </c>
      <c r="Q441" s="35"/>
    </row>
    <row r="442" spans="1:17" s="165" customFormat="1" ht="15" customHeight="1">
      <c r="A442" s="14"/>
      <c r="B442" s="38"/>
      <c r="C442" s="30" t="s">
        <v>39</v>
      </c>
      <c r="D442" s="138" t="s">
        <v>640</v>
      </c>
      <c r="E442" s="185" t="s">
        <v>1321</v>
      </c>
      <c r="F442" s="139" t="s">
        <v>8</v>
      </c>
      <c r="G442" s="139">
        <v>25940</v>
      </c>
      <c r="H442" s="138" t="s">
        <v>199</v>
      </c>
      <c r="I442" s="139" t="s">
        <v>21</v>
      </c>
      <c r="J442" s="139">
        <v>43801</v>
      </c>
      <c r="K442" s="184">
        <v>48</v>
      </c>
      <c r="L442" s="139"/>
      <c r="M442" s="139">
        <v>43931</v>
      </c>
      <c r="N442" s="189">
        <v>130</v>
      </c>
      <c r="O442" s="140">
        <v>0</v>
      </c>
      <c r="Q442" s="35"/>
    </row>
    <row r="443" spans="1:17" s="165" customFormat="1" ht="15" customHeight="1">
      <c r="A443" s="14"/>
      <c r="B443" s="38"/>
      <c r="C443" s="30" t="s">
        <v>39</v>
      </c>
      <c r="D443" s="138" t="s">
        <v>143</v>
      </c>
      <c r="E443" s="185" t="s">
        <v>1322</v>
      </c>
      <c r="F443" s="139" t="s">
        <v>8</v>
      </c>
      <c r="G443" s="139">
        <v>24479</v>
      </c>
      <c r="H443" s="138" t="s">
        <v>200</v>
      </c>
      <c r="I443" s="139" t="s">
        <v>21</v>
      </c>
      <c r="J443" s="139">
        <v>43660</v>
      </c>
      <c r="K443" s="184">
        <v>52</v>
      </c>
      <c r="L443" s="139">
        <v>43789</v>
      </c>
      <c r="M443" s="139">
        <v>43990</v>
      </c>
      <c r="N443" s="189">
        <v>330</v>
      </c>
      <c r="O443" s="140">
        <v>5598.0000000000009</v>
      </c>
      <c r="Q443" s="35"/>
    </row>
    <row r="444" spans="1:17" s="165" customFormat="1" ht="15" customHeight="1">
      <c r="A444" s="14"/>
      <c r="B444" s="38"/>
      <c r="C444" s="30" t="s">
        <v>39</v>
      </c>
      <c r="D444" s="138" t="s">
        <v>641</v>
      </c>
      <c r="E444" s="185" t="s">
        <v>1323</v>
      </c>
      <c r="F444" s="139" t="s">
        <v>8</v>
      </c>
      <c r="G444" s="139">
        <v>21630</v>
      </c>
      <c r="H444" s="138" t="s">
        <v>200</v>
      </c>
      <c r="I444" s="139" t="s">
        <v>21</v>
      </c>
      <c r="J444" s="139">
        <v>43724</v>
      </c>
      <c r="K444" s="184">
        <v>60</v>
      </c>
      <c r="L444" s="139"/>
      <c r="M444" s="139">
        <v>43777</v>
      </c>
      <c r="N444" s="189">
        <v>53</v>
      </c>
      <c r="O444" s="140">
        <v>0</v>
      </c>
      <c r="Q444" s="35"/>
    </row>
    <row r="445" spans="1:17" s="165" customFormat="1" ht="15" customHeight="1">
      <c r="A445" s="14"/>
      <c r="B445" s="38"/>
      <c r="C445" s="30" t="s">
        <v>39</v>
      </c>
      <c r="D445" s="138" t="s">
        <v>642</v>
      </c>
      <c r="E445" s="185" t="s">
        <v>1324</v>
      </c>
      <c r="F445" s="139" t="s">
        <v>8</v>
      </c>
      <c r="G445" s="139">
        <v>23574</v>
      </c>
      <c r="H445" s="138" t="s">
        <v>199</v>
      </c>
      <c r="I445" s="139" t="s">
        <v>21</v>
      </c>
      <c r="J445" s="139">
        <v>43598</v>
      </c>
      <c r="K445" s="184">
        <v>55</v>
      </c>
      <c r="L445" s="139">
        <v>43712</v>
      </c>
      <c r="M445" s="139">
        <v>43712</v>
      </c>
      <c r="N445" s="189">
        <v>114</v>
      </c>
      <c r="O445" s="140">
        <v>1405.9599999999998</v>
      </c>
      <c r="Q445" s="35"/>
    </row>
    <row r="446" spans="1:17" s="165" customFormat="1" ht="15" customHeight="1">
      <c r="A446" s="14"/>
      <c r="B446" s="38"/>
      <c r="C446" s="30" t="s">
        <v>39</v>
      </c>
      <c r="D446" s="138" t="s">
        <v>643</v>
      </c>
      <c r="E446" s="185" t="s">
        <v>1325</v>
      </c>
      <c r="F446" s="139" t="s">
        <v>8</v>
      </c>
      <c r="G446" s="139">
        <v>22554</v>
      </c>
      <c r="H446" s="138" t="s">
        <v>199</v>
      </c>
      <c r="I446" s="139" t="s">
        <v>21</v>
      </c>
      <c r="J446" s="139">
        <v>43500</v>
      </c>
      <c r="K446" s="184">
        <v>58</v>
      </c>
      <c r="L446" s="139">
        <v>43679</v>
      </c>
      <c r="M446" s="139">
        <v>43679</v>
      </c>
      <c r="N446" s="189">
        <v>179</v>
      </c>
      <c r="O446" s="140">
        <v>0</v>
      </c>
      <c r="Q446" s="35"/>
    </row>
    <row r="447" spans="1:17" s="165" customFormat="1" ht="15" customHeight="1">
      <c r="A447" s="14"/>
      <c r="B447" s="38"/>
      <c r="C447" s="30" t="s">
        <v>39</v>
      </c>
      <c r="D447" s="138" t="s">
        <v>644</v>
      </c>
      <c r="E447" s="185" t="s">
        <v>1326</v>
      </c>
      <c r="F447" s="139" t="s">
        <v>8</v>
      </c>
      <c r="G447" s="139">
        <v>29135</v>
      </c>
      <c r="H447" s="138" t="s">
        <v>199</v>
      </c>
      <c r="I447" s="139" t="s">
        <v>21</v>
      </c>
      <c r="J447" s="139">
        <v>43578</v>
      </c>
      <c r="K447" s="184">
        <v>40</v>
      </c>
      <c r="L447" s="139"/>
      <c r="M447" s="139">
        <v>43921</v>
      </c>
      <c r="N447" s="189">
        <v>343</v>
      </c>
      <c r="O447" s="140">
        <v>0</v>
      </c>
      <c r="Q447" s="35"/>
    </row>
    <row r="448" spans="1:17" s="165" customFormat="1" ht="15" customHeight="1">
      <c r="A448" s="14"/>
      <c r="B448" s="38"/>
      <c r="C448" s="30" t="s">
        <v>39</v>
      </c>
      <c r="D448" s="138" t="s">
        <v>645</v>
      </c>
      <c r="E448" s="185" t="s">
        <v>1327</v>
      </c>
      <c r="F448" s="139" t="s">
        <v>8</v>
      </c>
      <c r="G448" s="139">
        <v>23940</v>
      </c>
      <c r="H448" s="138" t="s">
        <v>199</v>
      </c>
      <c r="I448" s="139" t="s">
        <v>21</v>
      </c>
      <c r="J448" s="139">
        <v>43600</v>
      </c>
      <c r="K448" s="184">
        <v>54</v>
      </c>
      <c r="L448" s="139">
        <v>43691</v>
      </c>
      <c r="M448" s="139">
        <v>43691</v>
      </c>
      <c r="N448" s="189">
        <v>91</v>
      </c>
      <c r="O448" s="140">
        <v>71.3</v>
      </c>
      <c r="Q448" s="35"/>
    </row>
    <row r="449" spans="1:17" s="165" customFormat="1" ht="15" customHeight="1">
      <c r="A449" s="14"/>
      <c r="B449" s="38"/>
      <c r="C449" s="30" t="s">
        <v>39</v>
      </c>
      <c r="D449" s="138" t="s">
        <v>646</v>
      </c>
      <c r="E449" s="185" t="s">
        <v>1328</v>
      </c>
      <c r="F449" s="139" t="s">
        <v>8</v>
      </c>
      <c r="G449" s="139">
        <v>24416</v>
      </c>
      <c r="H449" s="138" t="s">
        <v>199</v>
      </c>
      <c r="I449" s="139" t="s">
        <v>21</v>
      </c>
      <c r="J449" s="139">
        <v>43700</v>
      </c>
      <c r="K449" s="184">
        <v>53</v>
      </c>
      <c r="L449" s="139"/>
      <c r="M449" s="139">
        <v>43876</v>
      </c>
      <c r="N449" s="189">
        <v>176</v>
      </c>
      <c r="O449" s="140">
        <v>0</v>
      </c>
      <c r="Q449" s="35"/>
    </row>
    <row r="450" spans="1:17" s="165" customFormat="1" ht="15" customHeight="1">
      <c r="A450" s="14"/>
      <c r="B450" s="38"/>
      <c r="C450" s="30" t="s">
        <v>39</v>
      </c>
      <c r="D450" s="138" t="s">
        <v>647</v>
      </c>
      <c r="E450" s="185" t="s">
        <v>1329</v>
      </c>
      <c r="F450" s="139" t="s">
        <v>8</v>
      </c>
      <c r="G450" s="139">
        <v>21893</v>
      </c>
      <c r="H450" s="138" t="s">
        <v>199</v>
      </c>
      <c r="I450" s="139" t="s">
        <v>21</v>
      </c>
      <c r="J450" s="139">
        <v>43543</v>
      </c>
      <c r="K450" s="184">
        <v>60</v>
      </c>
      <c r="L450" s="139">
        <v>43709</v>
      </c>
      <c r="M450" s="139">
        <v>43709</v>
      </c>
      <c r="N450" s="189">
        <v>166</v>
      </c>
      <c r="O450" s="140">
        <v>3629.13</v>
      </c>
      <c r="Q450" s="35"/>
    </row>
    <row r="451" spans="1:17" s="165" customFormat="1" ht="15" customHeight="1">
      <c r="A451" s="14"/>
      <c r="B451" s="38"/>
      <c r="C451" s="30" t="s">
        <v>39</v>
      </c>
      <c r="D451" s="138" t="s">
        <v>648</v>
      </c>
      <c r="E451" s="185" t="s">
        <v>1330</v>
      </c>
      <c r="F451" s="139" t="s">
        <v>8</v>
      </c>
      <c r="G451" s="139">
        <v>30437</v>
      </c>
      <c r="H451" s="138" t="s">
        <v>199</v>
      </c>
      <c r="I451" s="139" t="s">
        <v>21</v>
      </c>
      <c r="J451" s="139">
        <v>43623</v>
      </c>
      <c r="K451" s="184">
        <v>36</v>
      </c>
      <c r="L451" s="139">
        <v>43679</v>
      </c>
      <c r="M451" s="139">
        <v>43679</v>
      </c>
      <c r="N451" s="189">
        <v>56</v>
      </c>
      <c r="O451" s="140">
        <v>321.83999999999997</v>
      </c>
      <c r="Q451" s="35"/>
    </row>
    <row r="452" spans="1:17" s="165" customFormat="1" ht="15" customHeight="1">
      <c r="A452" s="14"/>
      <c r="B452" s="38"/>
      <c r="C452" s="30" t="s">
        <v>39</v>
      </c>
      <c r="D452" s="138" t="s">
        <v>649</v>
      </c>
      <c r="E452" s="185" t="s">
        <v>1331</v>
      </c>
      <c r="F452" s="139" t="s">
        <v>8</v>
      </c>
      <c r="G452" s="139">
        <v>29410</v>
      </c>
      <c r="H452" s="138" t="s">
        <v>199</v>
      </c>
      <c r="I452" s="139" t="s">
        <v>21</v>
      </c>
      <c r="J452" s="139">
        <v>43798</v>
      </c>
      <c r="K452" s="184">
        <v>39</v>
      </c>
      <c r="L452" s="139"/>
      <c r="M452" s="139">
        <v>43890</v>
      </c>
      <c r="N452" s="189">
        <v>92</v>
      </c>
      <c r="O452" s="140">
        <v>0</v>
      </c>
      <c r="Q452" s="35"/>
    </row>
    <row r="453" spans="1:17" s="165" customFormat="1" ht="15" customHeight="1">
      <c r="A453" s="14"/>
      <c r="B453" s="38"/>
      <c r="C453" s="30" t="s">
        <v>39</v>
      </c>
      <c r="D453" s="138" t="s">
        <v>188</v>
      </c>
      <c r="E453" s="185" t="s">
        <v>1332</v>
      </c>
      <c r="F453" s="139" t="s">
        <v>8</v>
      </c>
      <c r="G453" s="139">
        <v>29009</v>
      </c>
      <c r="H453" s="138" t="s">
        <v>199</v>
      </c>
      <c r="I453" s="139" t="s">
        <v>21</v>
      </c>
      <c r="J453" s="139">
        <v>43725</v>
      </c>
      <c r="K453" s="184">
        <v>40</v>
      </c>
      <c r="L453" s="139">
        <v>43809</v>
      </c>
      <c r="M453" s="139"/>
      <c r="N453" s="189">
        <v>0</v>
      </c>
      <c r="O453" s="140">
        <v>1181.4000000000001</v>
      </c>
      <c r="Q453" s="35"/>
    </row>
    <row r="454" spans="1:17" s="165" customFormat="1" ht="15" customHeight="1">
      <c r="A454" s="14"/>
      <c r="B454" s="38"/>
      <c r="C454" s="30" t="s">
        <v>39</v>
      </c>
      <c r="D454" s="138" t="s">
        <v>650</v>
      </c>
      <c r="E454" s="185" t="s">
        <v>1333</v>
      </c>
      <c r="F454" s="139" t="s">
        <v>8</v>
      </c>
      <c r="G454" s="139">
        <v>23373</v>
      </c>
      <c r="H454" s="138" t="s">
        <v>199</v>
      </c>
      <c r="I454" s="139" t="s">
        <v>21</v>
      </c>
      <c r="J454" s="139">
        <v>43529</v>
      </c>
      <c r="K454" s="184">
        <v>56</v>
      </c>
      <c r="L454" s="139">
        <v>43572</v>
      </c>
      <c r="M454" s="139">
        <v>43572</v>
      </c>
      <c r="N454" s="189">
        <v>43</v>
      </c>
      <c r="O454" s="140">
        <v>329.28</v>
      </c>
      <c r="Q454" s="35"/>
    </row>
    <row r="455" spans="1:17" s="165" customFormat="1" ht="15" customHeight="1">
      <c r="A455" s="14"/>
      <c r="B455" s="38"/>
      <c r="C455" s="30" t="s">
        <v>39</v>
      </c>
      <c r="D455" s="138" t="s">
        <v>281</v>
      </c>
      <c r="E455" s="185" t="s">
        <v>1334</v>
      </c>
      <c r="F455" s="139" t="s">
        <v>8</v>
      </c>
      <c r="G455" s="139">
        <v>23454</v>
      </c>
      <c r="H455" s="138" t="s">
        <v>199</v>
      </c>
      <c r="I455" s="139" t="s">
        <v>21</v>
      </c>
      <c r="J455" s="139">
        <v>43705</v>
      </c>
      <c r="K455" s="184">
        <v>55</v>
      </c>
      <c r="L455" s="139"/>
      <c r="M455" s="139">
        <v>43799</v>
      </c>
      <c r="N455" s="189">
        <v>94</v>
      </c>
      <c r="O455" s="140">
        <v>0</v>
      </c>
      <c r="Q455" s="35"/>
    </row>
    <row r="456" spans="1:17" s="165" customFormat="1" ht="15" customHeight="1">
      <c r="A456" s="14"/>
      <c r="B456" s="38"/>
      <c r="C456" s="30" t="s">
        <v>39</v>
      </c>
      <c r="D456" s="138" t="s">
        <v>651</v>
      </c>
      <c r="E456" s="185" t="s">
        <v>1335</v>
      </c>
      <c r="F456" s="139" t="s">
        <v>8</v>
      </c>
      <c r="G456" s="139">
        <v>26101</v>
      </c>
      <c r="H456" s="138" t="s">
        <v>199</v>
      </c>
      <c r="I456" s="139" t="s">
        <v>21</v>
      </c>
      <c r="J456" s="139">
        <v>43611</v>
      </c>
      <c r="K456" s="184">
        <v>48</v>
      </c>
      <c r="L456" s="139"/>
      <c r="M456" s="139">
        <v>43665</v>
      </c>
      <c r="N456" s="189">
        <v>54</v>
      </c>
      <c r="O456" s="140">
        <v>0</v>
      </c>
      <c r="Q456" s="35"/>
    </row>
    <row r="457" spans="1:17" s="165" customFormat="1" ht="15" customHeight="1">
      <c r="A457" s="14"/>
      <c r="B457" s="38"/>
      <c r="C457" s="30" t="s">
        <v>39</v>
      </c>
      <c r="D457" s="138" t="s">
        <v>652</v>
      </c>
      <c r="E457" s="185" t="s">
        <v>1336</v>
      </c>
      <c r="F457" s="139" t="s">
        <v>8</v>
      </c>
      <c r="G457" s="139">
        <v>28330</v>
      </c>
      <c r="H457" s="138" t="s">
        <v>199</v>
      </c>
      <c r="I457" s="139" t="s">
        <v>21</v>
      </c>
      <c r="J457" s="139">
        <v>43550</v>
      </c>
      <c r="K457" s="184">
        <v>42</v>
      </c>
      <c r="L457" s="139">
        <v>43600</v>
      </c>
      <c r="M457" s="139">
        <v>43600</v>
      </c>
      <c r="N457" s="189">
        <v>50</v>
      </c>
      <c r="O457" s="140">
        <v>392.7</v>
      </c>
      <c r="Q457" s="35"/>
    </row>
    <row r="458" spans="1:17" s="165" customFormat="1" ht="15" customHeight="1">
      <c r="A458" s="14"/>
      <c r="B458" s="38"/>
      <c r="C458" s="30" t="s">
        <v>39</v>
      </c>
      <c r="D458" s="138" t="s">
        <v>653</v>
      </c>
      <c r="E458" s="185" t="s">
        <v>1337</v>
      </c>
      <c r="F458" s="139" t="s">
        <v>8</v>
      </c>
      <c r="G458" s="139">
        <v>29453</v>
      </c>
      <c r="H458" s="138" t="s">
        <v>199</v>
      </c>
      <c r="I458" s="139" t="s">
        <v>21</v>
      </c>
      <c r="J458" s="139">
        <v>43558</v>
      </c>
      <c r="K458" s="184">
        <v>39</v>
      </c>
      <c r="L458" s="139"/>
      <c r="M458" s="139">
        <v>43672</v>
      </c>
      <c r="N458" s="189">
        <v>114</v>
      </c>
      <c r="O458" s="140">
        <v>0</v>
      </c>
      <c r="Q458" s="35"/>
    </row>
    <row r="459" spans="1:17" s="165" customFormat="1" ht="15" customHeight="1">
      <c r="A459" s="14"/>
      <c r="B459" s="38"/>
      <c r="C459" s="30" t="s">
        <v>39</v>
      </c>
      <c r="D459" s="138" t="s">
        <v>654</v>
      </c>
      <c r="E459" s="185" t="s">
        <v>1338</v>
      </c>
      <c r="F459" s="139" t="s">
        <v>8</v>
      </c>
      <c r="G459" s="139">
        <v>24631</v>
      </c>
      <c r="H459" s="138" t="s">
        <v>199</v>
      </c>
      <c r="I459" s="139" t="s">
        <v>21</v>
      </c>
      <c r="J459" s="139">
        <v>43481</v>
      </c>
      <c r="K459" s="184">
        <v>52</v>
      </c>
      <c r="L459" s="139">
        <v>43511</v>
      </c>
      <c r="M459" s="139">
        <v>43511</v>
      </c>
      <c r="N459" s="189">
        <v>30</v>
      </c>
      <c r="O459" s="140">
        <v>12.97</v>
      </c>
      <c r="Q459" s="35"/>
    </row>
    <row r="460" spans="1:17" s="165" customFormat="1" ht="15" customHeight="1">
      <c r="A460" s="14"/>
      <c r="B460" s="38"/>
      <c r="C460" s="30" t="s">
        <v>39</v>
      </c>
      <c r="D460" s="138" t="s">
        <v>655</v>
      </c>
      <c r="E460" s="185" t="s">
        <v>1339</v>
      </c>
      <c r="F460" s="139" t="s">
        <v>8</v>
      </c>
      <c r="G460" s="139">
        <v>24557</v>
      </c>
      <c r="H460" s="138" t="s">
        <v>199</v>
      </c>
      <c r="I460" s="139" t="s">
        <v>21</v>
      </c>
      <c r="J460" s="139">
        <v>43682</v>
      </c>
      <c r="K460" s="184">
        <v>52</v>
      </c>
      <c r="L460" s="139">
        <v>43434</v>
      </c>
      <c r="M460" s="139">
        <v>43892</v>
      </c>
      <c r="N460" s="189">
        <v>210</v>
      </c>
      <c r="O460" s="140">
        <v>3763.8</v>
      </c>
      <c r="Q460" s="35"/>
    </row>
    <row r="461" spans="1:17" s="165" customFormat="1" ht="15" customHeight="1">
      <c r="A461" s="14"/>
      <c r="B461" s="38"/>
      <c r="C461" s="30" t="s">
        <v>39</v>
      </c>
      <c r="D461" s="138" t="s">
        <v>656</v>
      </c>
      <c r="E461" s="185" t="s">
        <v>1340</v>
      </c>
      <c r="F461" s="139" t="s">
        <v>8</v>
      </c>
      <c r="G461" s="139">
        <v>23475</v>
      </c>
      <c r="H461" s="138" t="s">
        <v>199</v>
      </c>
      <c r="I461" s="139" t="s">
        <v>21</v>
      </c>
      <c r="J461" s="139">
        <v>43703</v>
      </c>
      <c r="K461" s="184">
        <v>55</v>
      </c>
      <c r="L461" s="139"/>
      <c r="M461" s="139">
        <v>43792</v>
      </c>
      <c r="N461" s="189">
        <v>89</v>
      </c>
      <c r="O461" s="140">
        <v>0</v>
      </c>
      <c r="Q461" s="35"/>
    </row>
    <row r="462" spans="1:17" s="165" customFormat="1" ht="15" customHeight="1">
      <c r="A462" s="14"/>
      <c r="B462" s="38"/>
      <c r="C462" s="30" t="s">
        <v>39</v>
      </c>
      <c r="D462" s="138" t="s">
        <v>657</v>
      </c>
      <c r="E462" s="185" t="s">
        <v>1341</v>
      </c>
      <c r="F462" s="139" t="s">
        <v>8</v>
      </c>
      <c r="G462" s="139">
        <v>23210</v>
      </c>
      <c r="H462" s="138" t="s">
        <v>199</v>
      </c>
      <c r="I462" s="139" t="s">
        <v>21</v>
      </c>
      <c r="J462" s="139">
        <v>43739</v>
      </c>
      <c r="K462" s="184">
        <v>56</v>
      </c>
      <c r="L462" s="139"/>
      <c r="M462" s="139">
        <v>43830</v>
      </c>
      <c r="N462" s="189">
        <v>91</v>
      </c>
      <c r="O462" s="140">
        <v>0</v>
      </c>
      <c r="Q462" s="35"/>
    </row>
    <row r="463" spans="1:17" s="165" customFormat="1" ht="15" customHeight="1">
      <c r="A463" s="14"/>
      <c r="B463" s="38"/>
      <c r="C463" s="30" t="s">
        <v>39</v>
      </c>
      <c r="D463" s="138" t="s">
        <v>658</v>
      </c>
      <c r="E463" s="185" t="s">
        <v>1089</v>
      </c>
      <c r="F463" s="139" t="s">
        <v>8</v>
      </c>
      <c r="G463" s="139">
        <v>23986</v>
      </c>
      <c r="H463" s="138" t="s">
        <v>200</v>
      </c>
      <c r="I463" s="139" t="s">
        <v>21</v>
      </c>
      <c r="J463" s="139">
        <v>43584</v>
      </c>
      <c r="K463" s="184">
        <v>54</v>
      </c>
      <c r="L463" s="139">
        <v>43653</v>
      </c>
      <c r="M463" s="139">
        <v>43653</v>
      </c>
      <c r="N463" s="189">
        <v>69</v>
      </c>
      <c r="O463" s="140">
        <v>3779.2</v>
      </c>
      <c r="Q463" s="35"/>
    </row>
    <row r="464" spans="1:17" s="165" customFormat="1" ht="15" customHeight="1">
      <c r="A464" s="14"/>
      <c r="B464" s="38"/>
      <c r="C464" s="30" t="s">
        <v>39</v>
      </c>
      <c r="D464" s="138" t="s">
        <v>659</v>
      </c>
      <c r="E464" s="185" t="s">
        <v>1342</v>
      </c>
      <c r="F464" s="139" t="s">
        <v>8</v>
      </c>
      <c r="G464" s="139">
        <v>29611</v>
      </c>
      <c r="H464" s="138" t="s">
        <v>199</v>
      </c>
      <c r="I464" s="139" t="s">
        <v>21</v>
      </c>
      <c r="J464" s="139">
        <v>43601</v>
      </c>
      <c r="K464" s="184">
        <v>38</v>
      </c>
      <c r="L464" s="139"/>
      <c r="M464" s="139">
        <v>43638</v>
      </c>
      <c r="N464" s="189">
        <v>37</v>
      </c>
      <c r="O464" s="140">
        <v>0</v>
      </c>
      <c r="Q464" s="35"/>
    </row>
    <row r="465" spans="1:17" s="165" customFormat="1" ht="15" customHeight="1">
      <c r="A465" s="14"/>
      <c r="B465" s="38"/>
      <c r="C465" s="30" t="s">
        <v>39</v>
      </c>
      <c r="D465" s="138" t="s">
        <v>283</v>
      </c>
      <c r="E465" s="185" t="s">
        <v>1343</v>
      </c>
      <c r="F465" s="139" t="s">
        <v>8</v>
      </c>
      <c r="G465" s="139">
        <v>23126</v>
      </c>
      <c r="H465" s="138" t="s">
        <v>199</v>
      </c>
      <c r="I465" s="139" t="s">
        <v>21</v>
      </c>
      <c r="J465" s="139">
        <v>43736</v>
      </c>
      <c r="K465" s="184">
        <v>56</v>
      </c>
      <c r="L465" s="139">
        <v>43796</v>
      </c>
      <c r="M465" s="139">
        <v>43799</v>
      </c>
      <c r="N465" s="189">
        <v>63</v>
      </c>
      <c r="O465" s="140">
        <v>14170.520000000004</v>
      </c>
      <c r="Q465" s="35"/>
    </row>
    <row r="466" spans="1:17" s="165" customFormat="1" ht="15" customHeight="1">
      <c r="A466" s="14"/>
      <c r="B466" s="38"/>
      <c r="C466" s="30" t="s">
        <v>39</v>
      </c>
      <c r="D466" s="138" t="s">
        <v>94</v>
      </c>
      <c r="E466" s="185" t="s">
        <v>1344</v>
      </c>
      <c r="F466" s="139" t="s">
        <v>8</v>
      </c>
      <c r="G466" s="139">
        <v>21949</v>
      </c>
      <c r="H466" s="138" t="s">
        <v>199</v>
      </c>
      <c r="I466" s="139" t="s">
        <v>21</v>
      </c>
      <c r="J466" s="139">
        <v>43476</v>
      </c>
      <c r="K466" s="184">
        <v>59</v>
      </c>
      <c r="L466" s="139">
        <v>43770</v>
      </c>
      <c r="M466" s="139">
        <v>43780</v>
      </c>
      <c r="N466" s="189">
        <v>304</v>
      </c>
      <c r="O466" s="140">
        <v>461.1</v>
      </c>
      <c r="Q466" s="35"/>
    </row>
    <row r="467" spans="1:17" s="165" customFormat="1" ht="15" customHeight="1">
      <c r="A467" s="14"/>
      <c r="B467" s="38"/>
      <c r="C467" s="30" t="s">
        <v>39</v>
      </c>
      <c r="D467" s="138" t="s">
        <v>121</v>
      </c>
      <c r="E467" s="185" t="s">
        <v>1344</v>
      </c>
      <c r="F467" s="139" t="s">
        <v>8</v>
      </c>
      <c r="G467" s="139">
        <v>21949</v>
      </c>
      <c r="H467" s="138" t="s">
        <v>199</v>
      </c>
      <c r="I467" s="139" t="s">
        <v>21</v>
      </c>
      <c r="J467" s="139">
        <v>43476</v>
      </c>
      <c r="K467" s="184">
        <v>59</v>
      </c>
      <c r="L467" s="139">
        <v>43770</v>
      </c>
      <c r="M467" s="139">
        <v>43780</v>
      </c>
      <c r="N467" s="189">
        <v>304</v>
      </c>
      <c r="O467" s="140">
        <v>134.15</v>
      </c>
      <c r="Q467" s="35"/>
    </row>
    <row r="468" spans="1:17" s="165" customFormat="1" ht="15" customHeight="1">
      <c r="A468" s="14"/>
      <c r="B468" s="38"/>
      <c r="C468" s="30" t="s">
        <v>39</v>
      </c>
      <c r="D468" s="138" t="s">
        <v>660</v>
      </c>
      <c r="E468" s="185" t="s">
        <v>1345</v>
      </c>
      <c r="F468" s="139" t="s">
        <v>8</v>
      </c>
      <c r="G468" s="139">
        <v>21443</v>
      </c>
      <c r="H468" s="138" t="s">
        <v>199</v>
      </c>
      <c r="I468" s="139" t="s">
        <v>21</v>
      </c>
      <c r="J468" s="139">
        <v>43513</v>
      </c>
      <c r="K468" s="184">
        <v>61</v>
      </c>
      <c r="L468" s="139">
        <v>43644</v>
      </c>
      <c r="M468" s="139">
        <v>43644</v>
      </c>
      <c r="N468" s="189">
        <v>131</v>
      </c>
      <c r="O468" s="140">
        <v>2098.14</v>
      </c>
      <c r="Q468" s="35"/>
    </row>
    <row r="469" spans="1:17" s="165" customFormat="1" ht="15" customHeight="1">
      <c r="A469" s="14"/>
      <c r="B469" s="38"/>
      <c r="C469" s="30" t="s">
        <v>39</v>
      </c>
      <c r="D469" s="138" t="s">
        <v>661</v>
      </c>
      <c r="E469" s="185" t="s">
        <v>1346</v>
      </c>
      <c r="F469" s="139" t="s">
        <v>8</v>
      </c>
      <c r="G469" s="139">
        <v>28331</v>
      </c>
      <c r="H469" s="138" t="s">
        <v>199</v>
      </c>
      <c r="I469" s="139" t="s">
        <v>21</v>
      </c>
      <c r="J469" s="139">
        <v>43728</v>
      </c>
      <c r="K469" s="184">
        <v>42</v>
      </c>
      <c r="L469" s="139"/>
      <c r="M469" s="139">
        <v>43864</v>
      </c>
      <c r="N469" s="189">
        <v>136</v>
      </c>
      <c r="O469" s="140">
        <v>0</v>
      </c>
      <c r="Q469" s="35"/>
    </row>
    <row r="470" spans="1:17" s="165" customFormat="1" ht="15" customHeight="1">
      <c r="A470" s="14"/>
      <c r="B470" s="38"/>
      <c r="C470" s="30" t="s">
        <v>39</v>
      </c>
      <c r="D470" s="138" t="s">
        <v>662</v>
      </c>
      <c r="E470" s="185" t="s">
        <v>1347</v>
      </c>
      <c r="F470" s="139" t="s">
        <v>8</v>
      </c>
      <c r="G470" s="139">
        <v>22633</v>
      </c>
      <c r="H470" s="138" t="s">
        <v>199</v>
      </c>
      <c r="I470" s="139" t="s">
        <v>21</v>
      </c>
      <c r="J470" s="139">
        <v>43775</v>
      </c>
      <c r="K470" s="184">
        <v>58</v>
      </c>
      <c r="L470" s="139"/>
      <c r="M470" s="139">
        <v>43964</v>
      </c>
      <c r="N470" s="189">
        <v>189</v>
      </c>
      <c r="O470" s="140">
        <v>0</v>
      </c>
      <c r="Q470" s="35"/>
    </row>
    <row r="471" spans="1:17" s="165" customFormat="1" ht="15" customHeight="1">
      <c r="A471" s="14"/>
      <c r="B471" s="38"/>
      <c r="C471" s="30" t="s">
        <v>39</v>
      </c>
      <c r="D471" s="138" t="s">
        <v>183</v>
      </c>
      <c r="E471" s="185" t="s">
        <v>1348</v>
      </c>
      <c r="F471" s="139" t="s">
        <v>8</v>
      </c>
      <c r="G471" s="139">
        <v>31180</v>
      </c>
      <c r="H471" s="138" t="s">
        <v>199</v>
      </c>
      <c r="I471" s="139" t="s">
        <v>21</v>
      </c>
      <c r="J471" s="139">
        <v>43641</v>
      </c>
      <c r="K471" s="184">
        <v>34</v>
      </c>
      <c r="L471" s="139">
        <v>43770</v>
      </c>
      <c r="M471" s="139">
        <v>44292</v>
      </c>
      <c r="N471" s="189">
        <v>651</v>
      </c>
      <c r="O471" s="140">
        <v>2092</v>
      </c>
      <c r="Q471" s="35"/>
    </row>
    <row r="472" spans="1:17" s="165" customFormat="1" ht="15" customHeight="1">
      <c r="A472" s="14"/>
      <c r="B472" s="38"/>
      <c r="C472" s="30" t="s">
        <v>39</v>
      </c>
      <c r="D472" s="138" t="s">
        <v>663</v>
      </c>
      <c r="E472" s="185" t="s">
        <v>1349</v>
      </c>
      <c r="F472" s="139" t="s">
        <v>8</v>
      </c>
      <c r="G472" s="139">
        <v>27152</v>
      </c>
      <c r="H472" s="138" t="s">
        <v>199</v>
      </c>
      <c r="I472" s="139" t="s">
        <v>21</v>
      </c>
      <c r="J472" s="139">
        <v>43567</v>
      </c>
      <c r="K472" s="184">
        <v>45</v>
      </c>
      <c r="L472" s="139">
        <v>43774</v>
      </c>
      <c r="M472" s="139">
        <v>43944</v>
      </c>
      <c r="N472" s="189">
        <v>377</v>
      </c>
      <c r="O472" s="140">
        <v>10784.699999999999</v>
      </c>
      <c r="Q472" s="35"/>
    </row>
    <row r="473" spans="1:17" s="165" customFormat="1" ht="15" customHeight="1">
      <c r="A473" s="14"/>
      <c r="B473" s="38"/>
      <c r="C473" s="30" t="s">
        <v>39</v>
      </c>
      <c r="D473" s="138" t="s">
        <v>664</v>
      </c>
      <c r="E473" s="185" t="s">
        <v>1350</v>
      </c>
      <c r="F473" s="139" t="s">
        <v>8</v>
      </c>
      <c r="G473" s="139">
        <v>30148</v>
      </c>
      <c r="H473" s="138" t="s">
        <v>200</v>
      </c>
      <c r="I473" s="139" t="s">
        <v>21</v>
      </c>
      <c r="J473" s="139">
        <v>43794</v>
      </c>
      <c r="K473" s="184">
        <v>37</v>
      </c>
      <c r="L473" s="139"/>
      <c r="M473" s="139">
        <v>44159</v>
      </c>
      <c r="N473" s="189">
        <v>365</v>
      </c>
      <c r="O473" s="140">
        <v>0</v>
      </c>
      <c r="Q473" s="35"/>
    </row>
    <row r="474" spans="1:17" s="165" customFormat="1" ht="15" customHeight="1">
      <c r="A474" s="14"/>
      <c r="B474" s="38"/>
      <c r="C474" s="30" t="s">
        <v>39</v>
      </c>
      <c r="D474" s="138" t="s">
        <v>665</v>
      </c>
      <c r="E474" s="185" t="s">
        <v>1351</v>
      </c>
      <c r="F474" s="139" t="s">
        <v>8</v>
      </c>
      <c r="G474" s="139">
        <v>30831</v>
      </c>
      <c r="H474" s="138" t="s">
        <v>199</v>
      </c>
      <c r="I474" s="139" t="s">
        <v>21</v>
      </c>
      <c r="J474" s="139">
        <v>43486</v>
      </c>
      <c r="K474" s="184">
        <v>35</v>
      </c>
      <c r="L474" s="139">
        <v>43545</v>
      </c>
      <c r="M474" s="139">
        <v>43545</v>
      </c>
      <c r="N474" s="189">
        <v>59</v>
      </c>
      <c r="O474" s="140">
        <v>617.70000000000005</v>
      </c>
      <c r="Q474" s="35"/>
    </row>
    <row r="475" spans="1:17" s="165" customFormat="1" ht="15" customHeight="1">
      <c r="A475" s="14"/>
      <c r="B475" s="38"/>
      <c r="C475" s="30" t="s">
        <v>39</v>
      </c>
      <c r="D475" s="138" t="s">
        <v>666</v>
      </c>
      <c r="E475" s="185" t="s">
        <v>1352</v>
      </c>
      <c r="F475" s="139" t="s">
        <v>8</v>
      </c>
      <c r="G475" s="139">
        <v>29813</v>
      </c>
      <c r="H475" s="138" t="s">
        <v>199</v>
      </c>
      <c r="I475" s="139" t="s">
        <v>21</v>
      </c>
      <c r="J475" s="139">
        <v>43467</v>
      </c>
      <c r="K475" s="184">
        <v>38</v>
      </c>
      <c r="L475" s="139">
        <v>43511</v>
      </c>
      <c r="M475" s="139">
        <v>43511</v>
      </c>
      <c r="N475" s="189">
        <v>44</v>
      </c>
      <c r="O475" s="140">
        <v>505.65</v>
      </c>
      <c r="Q475" s="35"/>
    </row>
    <row r="476" spans="1:17" s="165" customFormat="1" ht="15" customHeight="1">
      <c r="A476" s="14"/>
      <c r="B476" s="38"/>
      <c r="C476" s="30" t="s">
        <v>39</v>
      </c>
      <c r="D476" s="138" t="s">
        <v>667</v>
      </c>
      <c r="E476" s="185" t="s">
        <v>1353</v>
      </c>
      <c r="F476" s="139" t="s">
        <v>8</v>
      </c>
      <c r="G476" s="139">
        <v>30399</v>
      </c>
      <c r="H476" s="138" t="s">
        <v>199</v>
      </c>
      <c r="I476" s="139" t="s">
        <v>21</v>
      </c>
      <c r="J476" s="139">
        <v>43829</v>
      </c>
      <c r="K476" s="184">
        <v>36</v>
      </c>
      <c r="L476" s="139"/>
      <c r="M476" s="139">
        <v>43989</v>
      </c>
      <c r="N476" s="189">
        <v>160</v>
      </c>
      <c r="O476" s="140">
        <v>0</v>
      </c>
      <c r="Q476" s="35"/>
    </row>
    <row r="477" spans="1:17" s="165" customFormat="1" ht="15" customHeight="1">
      <c r="A477" s="14"/>
      <c r="B477" s="38"/>
      <c r="C477" s="30" t="s">
        <v>39</v>
      </c>
      <c r="D477" s="138" t="s">
        <v>668</v>
      </c>
      <c r="E477" s="185" t="s">
        <v>1354</v>
      </c>
      <c r="F477" s="139" t="s">
        <v>8</v>
      </c>
      <c r="G477" s="139">
        <v>21815</v>
      </c>
      <c r="H477" s="138" t="s">
        <v>199</v>
      </c>
      <c r="I477" s="139" t="s">
        <v>21</v>
      </c>
      <c r="J477" s="139">
        <v>43595</v>
      </c>
      <c r="K477" s="184">
        <v>60</v>
      </c>
      <c r="L477" s="139">
        <v>43747</v>
      </c>
      <c r="M477" s="139">
        <v>44008</v>
      </c>
      <c r="N477" s="189">
        <v>413</v>
      </c>
      <c r="O477" s="140">
        <v>3114.36</v>
      </c>
      <c r="Q477" s="35"/>
    </row>
    <row r="478" spans="1:17" s="165" customFormat="1" ht="15" customHeight="1">
      <c r="A478" s="14"/>
      <c r="B478" s="38"/>
      <c r="C478" s="30" t="s">
        <v>39</v>
      </c>
      <c r="D478" s="138" t="s">
        <v>669</v>
      </c>
      <c r="E478" s="185" t="s">
        <v>1355</v>
      </c>
      <c r="F478" s="139" t="s">
        <v>8</v>
      </c>
      <c r="G478" s="139">
        <v>25430</v>
      </c>
      <c r="H478" s="138" t="s">
        <v>199</v>
      </c>
      <c r="I478" s="139" t="s">
        <v>21</v>
      </c>
      <c r="J478" s="139">
        <v>43508</v>
      </c>
      <c r="K478" s="184">
        <v>50</v>
      </c>
      <c r="L478" s="139">
        <v>43562</v>
      </c>
      <c r="M478" s="139">
        <v>43562</v>
      </c>
      <c r="N478" s="189">
        <v>54</v>
      </c>
      <c r="O478" s="140">
        <v>523</v>
      </c>
      <c r="Q478" s="35"/>
    </row>
    <row r="479" spans="1:17" s="165" customFormat="1" ht="15" customHeight="1">
      <c r="A479" s="14"/>
      <c r="B479" s="38"/>
      <c r="C479" s="30" t="s">
        <v>39</v>
      </c>
      <c r="D479" s="138" t="s">
        <v>122</v>
      </c>
      <c r="E479" s="185" t="s">
        <v>1356</v>
      </c>
      <c r="F479" s="139" t="s">
        <v>8</v>
      </c>
      <c r="G479" s="139">
        <v>25110</v>
      </c>
      <c r="H479" s="138" t="s">
        <v>199</v>
      </c>
      <c r="I479" s="139" t="s">
        <v>21</v>
      </c>
      <c r="J479" s="139">
        <v>43599</v>
      </c>
      <c r="K479" s="184">
        <v>51</v>
      </c>
      <c r="L479" s="139">
        <v>43795</v>
      </c>
      <c r="M479" s="139"/>
      <c r="N479" s="189">
        <v>0</v>
      </c>
      <c r="O479" s="140">
        <v>2271.1999999999998</v>
      </c>
      <c r="Q479" s="35"/>
    </row>
    <row r="480" spans="1:17" s="165" customFormat="1" ht="15" customHeight="1">
      <c r="A480" s="14"/>
      <c r="B480" s="38"/>
      <c r="C480" s="30" t="s">
        <v>39</v>
      </c>
      <c r="D480" s="138" t="s">
        <v>670</v>
      </c>
      <c r="E480" s="185" t="s">
        <v>1357</v>
      </c>
      <c r="F480" s="139" t="s">
        <v>8</v>
      </c>
      <c r="G480" s="139">
        <v>24267</v>
      </c>
      <c r="H480" s="138" t="s">
        <v>199</v>
      </c>
      <c r="I480" s="139" t="s">
        <v>21</v>
      </c>
      <c r="J480" s="139">
        <v>43785</v>
      </c>
      <c r="K480" s="184">
        <v>53</v>
      </c>
      <c r="L480" s="139"/>
      <c r="M480" s="139">
        <v>43835</v>
      </c>
      <c r="N480" s="189">
        <v>50</v>
      </c>
      <c r="O480" s="140">
        <v>0</v>
      </c>
      <c r="Q480" s="35"/>
    </row>
    <row r="481" spans="1:17" s="165" customFormat="1" ht="15" customHeight="1">
      <c r="A481" s="14"/>
      <c r="B481" s="38"/>
      <c r="C481" s="30" t="s">
        <v>39</v>
      </c>
      <c r="D481" s="138" t="s">
        <v>671</v>
      </c>
      <c r="E481" s="185" t="s">
        <v>1358</v>
      </c>
      <c r="F481" s="139" t="s">
        <v>8</v>
      </c>
      <c r="G481" s="139">
        <v>30993</v>
      </c>
      <c r="H481" s="138" t="s">
        <v>199</v>
      </c>
      <c r="I481" s="139" t="s">
        <v>21</v>
      </c>
      <c r="J481" s="139">
        <v>43545</v>
      </c>
      <c r="K481" s="184">
        <v>35</v>
      </c>
      <c r="L481" s="139">
        <v>43707</v>
      </c>
      <c r="M481" s="139">
        <v>43707</v>
      </c>
      <c r="N481" s="189">
        <v>162</v>
      </c>
      <c r="O481" s="140">
        <v>4222.75</v>
      </c>
      <c r="Q481" s="35"/>
    </row>
    <row r="482" spans="1:17" s="165" customFormat="1" ht="15" customHeight="1">
      <c r="A482" s="14"/>
      <c r="B482" s="38"/>
      <c r="C482" s="30" t="s">
        <v>39</v>
      </c>
      <c r="D482" s="138" t="s">
        <v>672</v>
      </c>
      <c r="E482" s="185" t="s">
        <v>1359</v>
      </c>
      <c r="F482" s="139" t="s">
        <v>8</v>
      </c>
      <c r="G482" s="139">
        <v>28757</v>
      </c>
      <c r="H482" s="138" t="s">
        <v>199</v>
      </c>
      <c r="I482" s="139" t="s">
        <v>21</v>
      </c>
      <c r="J482" s="139">
        <v>43602</v>
      </c>
      <c r="K482" s="184">
        <v>41</v>
      </c>
      <c r="L482" s="139"/>
      <c r="M482" s="139">
        <v>43708</v>
      </c>
      <c r="N482" s="189">
        <v>106</v>
      </c>
      <c r="O482" s="140">
        <v>0</v>
      </c>
      <c r="Q482" s="35"/>
    </row>
    <row r="483" spans="1:17" s="165" customFormat="1" ht="15" customHeight="1">
      <c r="A483" s="14"/>
      <c r="B483" s="38"/>
      <c r="C483" s="30" t="s">
        <v>39</v>
      </c>
      <c r="D483" s="138" t="s">
        <v>673</v>
      </c>
      <c r="E483" s="185" t="s">
        <v>1360</v>
      </c>
      <c r="F483" s="139" t="s">
        <v>8</v>
      </c>
      <c r="G483" s="139">
        <v>29371</v>
      </c>
      <c r="H483" s="138" t="s">
        <v>199</v>
      </c>
      <c r="I483" s="139" t="s">
        <v>21</v>
      </c>
      <c r="J483" s="139">
        <v>43768</v>
      </c>
      <c r="K483" s="184">
        <v>39</v>
      </c>
      <c r="L483" s="139">
        <v>43508</v>
      </c>
      <c r="M483" s="139">
        <v>44028</v>
      </c>
      <c r="N483" s="189">
        <v>260</v>
      </c>
      <c r="O483" s="140">
        <v>337.25999999999988</v>
      </c>
      <c r="Q483" s="35"/>
    </row>
    <row r="484" spans="1:17" s="165" customFormat="1" ht="15" customHeight="1">
      <c r="A484" s="14"/>
      <c r="B484" s="38"/>
      <c r="C484" s="30" t="s">
        <v>39</v>
      </c>
      <c r="D484" s="138" t="s">
        <v>674</v>
      </c>
      <c r="E484" s="185" t="s">
        <v>1361</v>
      </c>
      <c r="F484" s="139" t="s">
        <v>8</v>
      </c>
      <c r="G484" s="139">
        <v>31192</v>
      </c>
      <c r="H484" s="138" t="s">
        <v>200</v>
      </c>
      <c r="I484" s="139" t="s">
        <v>21</v>
      </c>
      <c r="J484" s="139">
        <v>43801</v>
      </c>
      <c r="K484" s="184">
        <v>34</v>
      </c>
      <c r="L484" s="139"/>
      <c r="M484" s="139">
        <v>43857</v>
      </c>
      <c r="N484" s="189">
        <v>56</v>
      </c>
      <c r="O484" s="140">
        <v>0</v>
      </c>
      <c r="Q484" s="35"/>
    </row>
    <row r="485" spans="1:17" s="165" customFormat="1" ht="15" customHeight="1">
      <c r="A485" s="14"/>
      <c r="B485" s="38"/>
      <c r="C485" s="30" t="s">
        <v>39</v>
      </c>
      <c r="D485" s="138" t="s">
        <v>97</v>
      </c>
      <c r="E485" s="185" t="s">
        <v>1362</v>
      </c>
      <c r="F485" s="139" t="s">
        <v>8</v>
      </c>
      <c r="G485" s="139">
        <v>30097</v>
      </c>
      <c r="H485" s="138" t="s">
        <v>199</v>
      </c>
      <c r="I485" s="139" t="s">
        <v>21</v>
      </c>
      <c r="J485" s="139">
        <v>43508</v>
      </c>
      <c r="K485" s="184">
        <v>37</v>
      </c>
      <c r="L485" s="139">
        <v>43808</v>
      </c>
      <c r="M485" s="139">
        <v>43573</v>
      </c>
      <c r="N485" s="189">
        <v>65</v>
      </c>
      <c r="O485" s="140">
        <v>6210.3700000000008</v>
      </c>
      <c r="Q485" s="35"/>
    </row>
    <row r="486" spans="1:17" s="165" customFormat="1" ht="15" customHeight="1">
      <c r="A486" s="14"/>
      <c r="B486" s="38"/>
      <c r="C486" s="30" t="s">
        <v>39</v>
      </c>
      <c r="D486" s="138" t="s">
        <v>97</v>
      </c>
      <c r="E486" s="185" t="s">
        <v>1362</v>
      </c>
      <c r="F486" s="139" t="s">
        <v>8</v>
      </c>
      <c r="G486" s="139">
        <v>30097</v>
      </c>
      <c r="H486" s="138" t="s">
        <v>199</v>
      </c>
      <c r="I486" s="139" t="s">
        <v>21</v>
      </c>
      <c r="J486" s="139">
        <v>43574</v>
      </c>
      <c r="K486" s="184">
        <v>37</v>
      </c>
      <c r="L486" s="139">
        <v>43808</v>
      </c>
      <c r="M486" s="139">
        <v>44259</v>
      </c>
      <c r="N486" s="189">
        <v>685</v>
      </c>
      <c r="O486" s="140">
        <v>6210.3700000000008</v>
      </c>
      <c r="Q486" s="35"/>
    </row>
    <row r="487" spans="1:17" s="165" customFormat="1" ht="15" customHeight="1">
      <c r="A487" s="14"/>
      <c r="B487" s="38"/>
      <c r="C487" s="30" t="s">
        <v>39</v>
      </c>
      <c r="D487" s="138" t="s">
        <v>675</v>
      </c>
      <c r="E487" s="185" t="s">
        <v>1363</v>
      </c>
      <c r="F487" s="139" t="s">
        <v>8</v>
      </c>
      <c r="G487" s="139">
        <v>29313</v>
      </c>
      <c r="H487" s="138" t="s">
        <v>200</v>
      </c>
      <c r="I487" s="139" t="s">
        <v>21</v>
      </c>
      <c r="J487" s="139">
        <v>43553</v>
      </c>
      <c r="K487" s="184">
        <v>39</v>
      </c>
      <c r="L487" s="139">
        <v>43680</v>
      </c>
      <c r="M487" s="139">
        <v>43680</v>
      </c>
      <c r="N487" s="189">
        <v>127</v>
      </c>
      <c r="O487" s="140">
        <v>4942.1400000000003</v>
      </c>
      <c r="Q487" s="35"/>
    </row>
    <row r="488" spans="1:17" s="165" customFormat="1" ht="15" customHeight="1">
      <c r="A488" s="14"/>
      <c r="B488" s="38"/>
      <c r="C488" s="30" t="s">
        <v>39</v>
      </c>
      <c r="D488" s="138" t="s">
        <v>676</v>
      </c>
      <c r="E488" s="185" t="s">
        <v>1364</v>
      </c>
      <c r="F488" s="139" t="s">
        <v>8</v>
      </c>
      <c r="G488" s="139">
        <v>30721</v>
      </c>
      <c r="H488" s="138" t="s">
        <v>199</v>
      </c>
      <c r="I488" s="139" t="s">
        <v>21</v>
      </c>
      <c r="J488" s="139">
        <v>43661</v>
      </c>
      <c r="K488" s="184">
        <v>35</v>
      </c>
      <c r="L488" s="139">
        <v>43723</v>
      </c>
      <c r="M488" s="139">
        <v>43723</v>
      </c>
      <c r="N488" s="189">
        <v>62</v>
      </c>
      <c r="O488" s="140">
        <v>950.4</v>
      </c>
      <c r="Q488" s="35"/>
    </row>
    <row r="489" spans="1:17" s="165" customFormat="1" ht="15" customHeight="1">
      <c r="A489" s="14"/>
      <c r="B489" s="38"/>
      <c r="C489" s="30" t="s">
        <v>39</v>
      </c>
      <c r="D489" s="138" t="s">
        <v>185</v>
      </c>
      <c r="E489" s="185" t="s">
        <v>1365</v>
      </c>
      <c r="F489" s="139" t="s">
        <v>8</v>
      </c>
      <c r="G489" s="139">
        <v>29960</v>
      </c>
      <c r="H489" s="138" t="s">
        <v>199</v>
      </c>
      <c r="I489" s="139" t="s">
        <v>21</v>
      </c>
      <c r="J489" s="139">
        <v>43736</v>
      </c>
      <c r="K489" s="184">
        <v>37</v>
      </c>
      <c r="L489" s="139">
        <v>43767</v>
      </c>
      <c r="M489" s="139">
        <v>43769</v>
      </c>
      <c r="N489" s="189">
        <v>33</v>
      </c>
      <c r="O489" s="140">
        <v>40.380000000000003</v>
      </c>
      <c r="Q489" s="35"/>
    </row>
    <row r="490" spans="1:17" s="165" customFormat="1" ht="15" customHeight="1">
      <c r="A490" s="14"/>
      <c r="B490" s="38"/>
      <c r="C490" s="30" t="s">
        <v>39</v>
      </c>
      <c r="D490" s="138" t="s">
        <v>185</v>
      </c>
      <c r="E490" s="185" t="s">
        <v>1365</v>
      </c>
      <c r="F490" s="139" t="s">
        <v>8</v>
      </c>
      <c r="G490" s="139">
        <v>29960</v>
      </c>
      <c r="H490" s="138" t="s">
        <v>199</v>
      </c>
      <c r="I490" s="139" t="s">
        <v>21</v>
      </c>
      <c r="J490" s="139">
        <v>43776</v>
      </c>
      <c r="K490" s="184">
        <v>37</v>
      </c>
      <c r="L490" s="139">
        <v>43767</v>
      </c>
      <c r="M490" s="139"/>
      <c r="N490" s="189">
        <v>0</v>
      </c>
      <c r="O490" s="140">
        <v>40.380000000000003</v>
      </c>
      <c r="Q490" s="35"/>
    </row>
    <row r="491" spans="1:17" s="165" customFormat="1" ht="15" customHeight="1">
      <c r="A491" s="14"/>
      <c r="B491" s="38"/>
      <c r="C491" s="30" t="s">
        <v>39</v>
      </c>
      <c r="D491" s="138" t="s">
        <v>677</v>
      </c>
      <c r="E491" s="185" t="s">
        <v>1366</v>
      </c>
      <c r="F491" s="139" t="s">
        <v>8</v>
      </c>
      <c r="G491" s="139">
        <v>29479</v>
      </c>
      <c r="H491" s="138" t="s">
        <v>199</v>
      </c>
      <c r="I491" s="139" t="s">
        <v>21</v>
      </c>
      <c r="J491" s="139">
        <v>43473</v>
      </c>
      <c r="K491" s="184">
        <v>39</v>
      </c>
      <c r="L491" s="139">
        <v>43695</v>
      </c>
      <c r="M491" s="139">
        <v>43695</v>
      </c>
      <c r="N491" s="189">
        <v>222</v>
      </c>
      <c r="O491" s="140">
        <v>5771.78</v>
      </c>
      <c r="Q491" s="35"/>
    </row>
    <row r="492" spans="1:17" s="165" customFormat="1" ht="15" customHeight="1">
      <c r="A492" s="14"/>
      <c r="B492" s="38"/>
      <c r="C492" s="30" t="s">
        <v>39</v>
      </c>
      <c r="D492" s="138" t="s">
        <v>678</v>
      </c>
      <c r="E492" s="185" t="s">
        <v>1367</v>
      </c>
      <c r="F492" s="139" t="s">
        <v>8</v>
      </c>
      <c r="G492" s="139">
        <v>23647</v>
      </c>
      <c r="H492" s="138" t="s">
        <v>199</v>
      </c>
      <c r="I492" s="139" t="s">
        <v>21</v>
      </c>
      <c r="J492" s="139">
        <v>43745</v>
      </c>
      <c r="K492" s="184">
        <v>55</v>
      </c>
      <c r="L492" s="139"/>
      <c r="M492" s="139">
        <v>43870</v>
      </c>
      <c r="N492" s="189">
        <v>125</v>
      </c>
      <c r="O492" s="140">
        <v>0</v>
      </c>
      <c r="Q492" s="35"/>
    </row>
    <row r="493" spans="1:17" s="165" customFormat="1" ht="15" customHeight="1">
      <c r="A493" s="14"/>
      <c r="B493" s="38"/>
      <c r="C493" s="30" t="s">
        <v>39</v>
      </c>
      <c r="D493" s="138" t="s">
        <v>113</v>
      </c>
      <c r="E493" s="185" t="s">
        <v>1368</v>
      </c>
      <c r="F493" s="139" t="s">
        <v>8</v>
      </c>
      <c r="G493" s="139">
        <v>21250</v>
      </c>
      <c r="H493" s="138" t="s">
        <v>200</v>
      </c>
      <c r="I493" s="139" t="s">
        <v>21</v>
      </c>
      <c r="J493" s="139">
        <v>43487</v>
      </c>
      <c r="K493" s="184">
        <v>61</v>
      </c>
      <c r="L493" s="139">
        <v>43805</v>
      </c>
      <c r="M493" s="139">
        <v>43580</v>
      </c>
      <c r="N493" s="189">
        <v>93</v>
      </c>
      <c r="O493" s="140">
        <v>6644.7999999999993</v>
      </c>
      <c r="Q493" s="35"/>
    </row>
    <row r="494" spans="1:17" s="165" customFormat="1" ht="15" customHeight="1">
      <c r="A494" s="14"/>
      <c r="B494" s="38"/>
      <c r="C494" s="30" t="s">
        <v>39</v>
      </c>
      <c r="D494" s="138" t="s">
        <v>113</v>
      </c>
      <c r="E494" s="185" t="s">
        <v>1368</v>
      </c>
      <c r="F494" s="139" t="s">
        <v>8</v>
      </c>
      <c r="G494" s="139">
        <v>21250</v>
      </c>
      <c r="H494" s="138" t="s">
        <v>200</v>
      </c>
      <c r="I494" s="139" t="s">
        <v>21</v>
      </c>
      <c r="J494" s="139">
        <v>43581</v>
      </c>
      <c r="K494" s="184">
        <v>61</v>
      </c>
      <c r="L494" s="139">
        <v>43805</v>
      </c>
      <c r="M494" s="139"/>
      <c r="N494" s="189">
        <v>0</v>
      </c>
      <c r="O494" s="140">
        <v>6644.7999999999993</v>
      </c>
      <c r="Q494" s="35"/>
    </row>
    <row r="495" spans="1:17" s="165" customFormat="1" ht="15" customHeight="1">
      <c r="A495" s="14"/>
      <c r="B495" s="38"/>
      <c r="C495" s="30" t="s">
        <v>39</v>
      </c>
      <c r="D495" s="138" t="s">
        <v>679</v>
      </c>
      <c r="E495" s="185" t="s">
        <v>1369</v>
      </c>
      <c r="F495" s="139" t="s">
        <v>8</v>
      </c>
      <c r="G495" s="139">
        <v>22494</v>
      </c>
      <c r="H495" s="138" t="s">
        <v>199</v>
      </c>
      <c r="I495" s="139" t="s">
        <v>21</v>
      </c>
      <c r="J495" s="139">
        <v>43479</v>
      </c>
      <c r="K495" s="184">
        <v>58</v>
      </c>
      <c r="L495" s="139">
        <v>43516</v>
      </c>
      <c r="M495" s="139">
        <v>43516</v>
      </c>
      <c r="N495" s="189">
        <v>37</v>
      </c>
      <c r="O495" s="140">
        <v>78.8</v>
      </c>
      <c r="Q495" s="35"/>
    </row>
    <row r="496" spans="1:17" s="165" customFormat="1" ht="15" customHeight="1">
      <c r="A496" s="14"/>
      <c r="B496" s="38"/>
      <c r="C496" s="30" t="s">
        <v>39</v>
      </c>
      <c r="D496" s="138" t="s">
        <v>680</v>
      </c>
      <c r="E496" s="185" t="s">
        <v>1370</v>
      </c>
      <c r="F496" s="139" t="s">
        <v>8</v>
      </c>
      <c r="G496" s="139">
        <v>26097</v>
      </c>
      <c r="H496" s="138" t="s">
        <v>199</v>
      </c>
      <c r="I496" s="139" t="s">
        <v>21</v>
      </c>
      <c r="J496" s="139">
        <v>43810</v>
      </c>
      <c r="K496" s="184">
        <v>48</v>
      </c>
      <c r="L496" s="139"/>
      <c r="M496" s="139">
        <v>43989</v>
      </c>
      <c r="N496" s="189">
        <v>179</v>
      </c>
      <c r="O496" s="140">
        <v>0</v>
      </c>
      <c r="Q496" s="35"/>
    </row>
    <row r="497" spans="1:17" s="165" customFormat="1" ht="15" customHeight="1">
      <c r="A497" s="14"/>
      <c r="B497" s="38"/>
      <c r="C497" s="30" t="s">
        <v>39</v>
      </c>
      <c r="D497" s="138" t="s">
        <v>681</v>
      </c>
      <c r="E497" s="185" t="s">
        <v>1371</v>
      </c>
      <c r="F497" s="139" t="s">
        <v>8</v>
      </c>
      <c r="G497" s="139">
        <v>25061</v>
      </c>
      <c r="H497" s="138" t="s">
        <v>199</v>
      </c>
      <c r="I497" s="139" t="s">
        <v>21</v>
      </c>
      <c r="J497" s="139">
        <v>43794</v>
      </c>
      <c r="K497" s="184">
        <v>51</v>
      </c>
      <c r="L497" s="139"/>
      <c r="M497" s="139">
        <v>43881</v>
      </c>
      <c r="N497" s="189">
        <v>87</v>
      </c>
      <c r="O497" s="140">
        <v>0</v>
      </c>
      <c r="Q497" s="35"/>
    </row>
    <row r="498" spans="1:17" s="165" customFormat="1" ht="15" customHeight="1">
      <c r="A498" s="14"/>
      <c r="B498" s="38"/>
      <c r="C498" s="30" t="s">
        <v>39</v>
      </c>
      <c r="D498" s="138" t="s">
        <v>682</v>
      </c>
      <c r="E498" s="185" t="s">
        <v>1372</v>
      </c>
      <c r="F498" s="139" t="s">
        <v>8</v>
      </c>
      <c r="G498" s="139">
        <v>22565</v>
      </c>
      <c r="H498" s="138" t="s">
        <v>199</v>
      </c>
      <c r="I498" s="139" t="s">
        <v>21</v>
      </c>
      <c r="J498" s="139">
        <v>43676</v>
      </c>
      <c r="K498" s="184">
        <v>58</v>
      </c>
      <c r="L498" s="139">
        <v>43761</v>
      </c>
      <c r="M498" s="139">
        <v>43761</v>
      </c>
      <c r="N498" s="189">
        <v>85</v>
      </c>
      <c r="O498" s="140">
        <v>0</v>
      </c>
      <c r="Q498" s="35"/>
    </row>
    <row r="499" spans="1:17" s="165" customFormat="1" ht="15" customHeight="1">
      <c r="A499" s="14"/>
      <c r="B499" s="38"/>
      <c r="C499" s="30" t="s">
        <v>39</v>
      </c>
      <c r="D499" s="138" t="s">
        <v>683</v>
      </c>
      <c r="E499" s="185" t="s">
        <v>1373</v>
      </c>
      <c r="F499" s="139" t="s">
        <v>8</v>
      </c>
      <c r="G499" s="139">
        <v>28028</v>
      </c>
      <c r="H499" s="138" t="s">
        <v>200</v>
      </c>
      <c r="I499" s="139" t="s">
        <v>21</v>
      </c>
      <c r="J499" s="139">
        <v>43483</v>
      </c>
      <c r="K499" s="184">
        <v>43</v>
      </c>
      <c r="L499" s="139">
        <v>43588</v>
      </c>
      <c r="M499" s="139">
        <v>43551</v>
      </c>
      <c r="N499" s="189">
        <v>68</v>
      </c>
      <c r="O499" s="140">
        <v>9916.9600000000009</v>
      </c>
      <c r="Q499" s="35"/>
    </row>
    <row r="500" spans="1:17" s="165" customFormat="1" ht="15" customHeight="1">
      <c r="A500" s="14"/>
      <c r="B500" s="38"/>
      <c r="C500" s="30" t="s">
        <v>39</v>
      </c>
      <c r="D500" s="138" t="s">
        <v>683</v>
      </c>
      <c r="E500" s="185" t="s">
        <v>1373</v>
      </c>
      <c r="F500" s="139" t="s">
        <v>8</v>
      </c>
      <c r="G500" s="139">
        <v>28028</v>
      </c>
      <c r="H500" s="138" t="s">
        <v>200</v>
      </c>
      <c r="I500" s="139" t="s">
        <v>21</v>
      </c>
      <c r="J500" s="139">
        <v>43552</v>
      </c>
      <c r="K500" s="184">
        <v>43</v>
      </c>
      <c r="L500" s="139">
        <v>43588</v>
      </c>
      <c r="M500" s="139">
        <v>43588</v>
      </c>
      <c r="N500" s="189">
        <v>36</v>
      </c>
      <c r="O500" s="140">
        <v>9916.9600000000009</v>
      </c>
      <c r="Q500" s="35"/>
    </row>
    <row r="501" spans="1:17" s="165" customFormat="1" ht="15" customHeight="1">
      <c r="A501" s="14"/>
      <c r="B501" s="38"/>
      <c r="C501" s="30" t="s">
        <v>39</v>
      </c>
      <c r="D501" s="138" t="s">
        <v>684</v>
      </c>
      <c r="E501" s="185" t="s">
        <v>1374</v>
      </c>
      <c r="F501" s="139" t="s">
        <v>8</v>
      </c>
      <c r="G501" s="139">
        <v>29723</v>
      </c>
      <c r="H501" s="138" t="s">
        <v>200</v>
      </c>
      <c r="I501" s="139" t="s">
        <v>21</v>
      </c>
      <c r="J501" s="139">
        <v>43756</v>
      </c>
      <c r="K501" s="184">
        <v>38</v>
      </c>
      <c r="L501" s="139"/>
      <c r="M501" s="139"/>
      <c r="N501" s="189">
        <v>0</v>
      </c>
      <c r="O501" s="140">
        <v>0</v>
      </c>
      <c r="Q501" s="35"/>
    </row>
    <row r="502" spans="1:17" s="165" customFormat="1" ht="15" customHeight="1">
      <c r="A502" s="14"/>
      <c r="B502" s="38"/>
      <c r="C502" s="30" t="s">
        <v>39</v>
      </c>
      <c r="D502" s="138" t="s">
        <v>685</v>
      </c>
      <c r="E502" s="185" t="s">
        <v>1375</v>
      </c>
      <c r="F502" s="139" t="s">
        <v>8</v>
      </c>
      <c r="G502" s="139">
        <v>30647</v>
      </c>
      <c r="H502" s="138" t="s">
        <v>199</v>
      </c>
      <c r="I502" s="139" t="s">
        <v>21</v>
      </c>
      <c r="J502" s="139">
        <v>43473</v>
      </c>
      <c r="K502" s="184">
        <v>36</v>
      </c>
      <c r="L502" s="139">
        <v>43557</v>
      </c>
      <c r="M502" s="139">
        <v>43557</v>
      </c>
      <c r="N502" s="189">
        <v>84</v>
      </c>
      <c r="O502" s="140">
        <v>704</v>
      </c>
      <c r="Q502" s="35"/>
    </row>
    <row r="503" spans="1:17" s="165" customFormat="1" ht="15" customHeight="1">
      <c r="A503" s="14"/>
      <c r="B503" s="38"/>
      <c r="C503" s="30" t="s">
        <v>39</v>
      </c>
      <c r="D503" s="138" t="s">
        <v>686</v>
      </c>
      <c r="E503" s="185" t="s">
        <v>1376</v>
      </c>
      <c r="F503" s="139" t="s">
        <v>8</v>
      </c>
      <c r="G503" s="139">
        <v>31122</v>
      </c>
      <c r="H503" s="138" t="s">
        <v>199</v>
      </c>
      <c r="I503" s="139" t="s">
        <v>21</v>
      </c>
      <c r="J503" s="139">
        <v>43472</v>
      </c>
      <c r="K503" s="184">
        <v>34</v>
      </c>
      <c r="L503" s="139">
        <v>43539</v>
      </c>
      <c r="M503" s="139">
        <v>43539</v>
      </c>
      <c r="N503" s="189">
        <v>67</v>
      </c>
      <c r="O503" s="140">
        <v>1808.8</v>
      </c>
      <c r="Q503" s="35"/>
    </row>
    <row r="504" spans="1:17" s="165" customFormat="1" ht="15" customHeight="1">
      <c r="A504" s="14"/>
      <c r="B504" s="38"/>
      <c r="C504" s="30" t="s">
        <v>39</v>
      </c>
      <c r="D504" s="138" t="s">
        <v>687</v>
      </c>
      <c r="E504" s="185" t="s">
        <v>1377</v>
      </c>
      <c r="F504" s="139" t="s">
        <v>8</v>
      </c>
      <c r="G504" s="139">
        <v>26480</v>
      </c>
      <c r="H504" s="138" t="s">
        <v>199</v>
      </c>
      <c r="I504" s="139" t="s">
        <v>21</v>
      </c>
      <c r="J504" s="139">
        <v>43497</v>
      </c>
      <c r="K504" s="184">
        <v>47</v>
      </c>
      <c r="L504" s="139">
        <v>43769</v>
      </c>
      <c r="M504" s="139">
        <v>44043</v>
      </c>
      <c r="N504" s="189">
        <v>546</v>
      </c>
      <c r="O504" s="140">
        <v>2823.01</v>
      </c>
      <c r="Q504" s="35"/>
    </row>
    <row r="505" spans="1:17" s="165" customFormat="1" ht="15" customHeight="1">
      <c r="A505" s="14"/>
      <c r="B505" s="38"/>
      <c r="C505" s="30" t="s">
        <v>39</v>
      </c>
      <c r="D505" s="138" t="s">
        <v>166</v>
      </c>
      <c r="E505" s="185" t="s">
        <v>1378</v>
      </c>
      <c r="F505" s="139" t="s">
        <v>8</v>
      </c>
      <c r="G505" s="139">
        <v>30943</v>
      </c>
      <c r="H505" s="138" t="s">
        <v>199</v>
      </c>
      <c r="I505" s="139" t="s">
        <v>21</v>
      </c>
      <c r="J505" s="139">
        <v>43637</v>
      </c>
      <c r="K505" s="184">
        <v>35</v>
      </c>
      <c r="L505" s="139">
        <v>43782</v>
      </c>
      <c r="M505" s="139">
        <v>43824</v>
      </c>
      <c r="N505" s="189">
        <v>187</v>
      </c>
      <c r="O505" s="140">
        <v>5818.5599999999995</v>
      </c>
      <c r="Q505" s="35"/>
    </row>
    <row r="506" spans="1:17" s="165" customFormat="1" ht="15" customHeight="1">
      <c r="A506" s="14"/>
      <c r="B506" s="38"/>
      <c r="C506" s="30" t="s">
        <v>39</v>
      </c>
      <c r="D506" s="138" t="s">
        <v>688</v>
      </c>
      <c r="E506" s="185" t="s">
        <v>1379</v>
      </c>
      <c r="F506" s="139" t="s">
        <v>8</v>
      </c>
      <c r="G506" s="139">
        <v>22181</v>
      </c>
      <c r="H506" s="138" t="s">
        <v>199</v>
      </c>
      <c r="I506" s="139" t="s">
        <v>21</v>
      </c>
      <c r="J506" s="139">
        <v>43816</v>
      </c>
      <c r="K506" s="184">
        <v>59</v>
      </c>
      <c r="L506" s="139"/>
      <c r="M506" s="139"/>
      <c r="N506" s="189">
        <v>0</v>
      </c>
      <c r="O506" s="140">
        <v>0</v>
      </c>
      <c r="Q506" s="35"/>
    </row>
    <row r="507" spans="1:17" s="165" customFormat="1" ht="15" customHeight="1">
      <c r="A507" s="14"/>
      <c r="B507" s="38"/>
      <c r="C507" s="30" t="s">
        <v>39</v>
      </c>
      <c r="D507" s="138" t="s">
        <v>689</v>
      </c>
      <c r="E507" s="185" t="s">
        <v>1380</v>
      </c>
      <c r="F507" s="139" t="s">
        <v>8</v>
      </c>
      <c r="G507" s="139">
        <v>29963</v>
      </c>
      <c r="H507" s="138" t="s">
        <v>199</v>
      </c>
      <c r="I507" s="139" t="s">
        <v>21</v>
      </c>
      <c r="J507" s="139">
        <v>43660</v>
      </c>
      <c r="K507" s="184">
        <v>37</v>
      </c>
      <c r="L507" s="139"/>
      <c r="M507" s="139">
        <v>43716</v>
      </c>
      <c r="N507" s="189">
        <v>56</v>
      </c>
      <c r="O507" s="140">
        <v>0</v>
      </c>
      <c r="Q507" s="35"/>
    </row>
    <row r="508" spans="1:17" s="165" customFormat="1" ht="15" customHeight="1">
      <c r="A508" s="14"/>
      <c r="B508" s="38"/>
      <c r="C508" s="30" t="s">
        <v>39</v>
      </c>
      <c r="D508" s="138" t="s">
        <v>150</v>
      </c>
      <c r="E508" s="185" t="s">
        <v>1381</v>
      </c>
      <c r="F508" s="139" t="s">
        <v>8</v>
      </c>
      <c r="G508" s="139">
        <v>21953</v>
      </c>
      <c r="H508" s="138" t="s">
        <v>199</v>
      </c>
      <c r="I508" s="139" t="s">
        <v>21</v>
      </c>
      <c r="J508" s="139">
        <v>43606</v>
      </c>
      <c r="K508" s="184">
        <v>59</v>
      </c>
      <c r="L508" s="139">
        <v>43782</v>
      </c>
      <c r="M508" s="139">
        <v>43890</v>
      </c>
      <c r="N508" s="189">
        <v>284</v>
      </c>
      <c r="O508" s="140">
        <v>217.56</v>
      </c>
      <c r="Q508" s="35"/>
    </row>
    <row r="509" spans="1:17" s="165" customFormat="1" ht="15" customHeight="1">
      <c r="A509" s="14"/>
      <c r="B509" s="38"/>
      <c r="C509" s="30" t="s">
        <v>39</v>
      </c>
      <c r="D509" s="138" t="s">
        <v>95</v>
      </c>
      <c r="E509" s="185" t="s">
        <v>1382</v>
      </c>
      <c r="F509" s="139" t="s">
        <v>8</v>
      </c>
      <c r="G509" s="139">
        <v>32035</v>
      </c>
      <c r="H509" s="138" t="s">
        <v>199</v>
      </c>
      <c r="I509" s="139" t="s">
        <v>21</v>
      </c>
      <c r="J509" s="139">
        <v>43513</v>
      </c>
      <c r="K509" s="184">
        <v>32</v>
      </c>
      <c r="L509" s="139">
        <v>43811</v>
      </c>
      <c r="M509" s="139">
        <v>43564</v>
      </c>
      <c r="N509" s="189">
        <v>51</v>
      </c>
      <c r="O509" s="140">
        <v>1292.48</v>
      </c>
      <c r="Q509" s="35"/>
    </row>
    <row r="510" spans="1:17" s="165" customFormat="1" ht="15" customHeight="1">
      <c r="A510" s="14"/>
      <c r="B510" s="38"/>
      <c r="C510" s="30" t="s">
        <v>39</v>
      </c>
      <c r="D510" s="138" t="s">
        <v>95</v>
      </c>
      <c r="E510" s="185" t="s">
        <v>1382</v>
      </c>
      <c r="F510" s="139" t="s">
        <v>8</v>
      </c>
      <c r="G510" s="139">
        <v>32035</v>
      </c>
      <c r="H510" s="138" t="s">
        <v>199</v>
      </c>
      <c r="I510" s="139" t="s">
        <v>21</v>
      </c>
      <c r="J510" s="139">
        <v>43565</v>
      </c>
      <c r="K510" s="184">
        <v>32</v>
      </c>
      <c r="L510" s="139">
        <v>43811</v>
      </c>
      <c r="M510" s="139"/>
      <c r="N510" s="189">
        <v>0</v>
      </c>
      <c r="O510" s="140">
        <v>1292.48</v>
      </c>
      <c r="Q510" s="35"/>
    </row>
    <row r="511" spans="1:17" s="165" customFormat="1" ht="15" customHeight="1">
      <c r="A511" s="14"/>
      <c r="B511" s="38"/>
      <c r="C511" s="30" t="s">
        <v>39</v>
      </c>
      <c r="D511" s="138" t="s">
        <v>690</v>
      </c>
      <c r="E511" s="185" t="s">
        <v>1383</v>
      </c>
      <c r="F511" s="139" t="s">
        <v>8</v>
      </c>
      <c r="G511" s="139">
        <v>22711</v>
      </c>
      <c r="H511" s="138" t="s">
        <v>199</v>
      </c>
      <c r="I511" s="139" t="s">
        <v>21</v>
      </c>
      <c r="J511" s="139">
        <v>43531</v>
      </c>
      <c r="K511" s="184">
        <v>57</v>
      </c>
      <c r="L511" s="139">
        <v>43706</v>
      </c>
      <c r="M511" s="139">
        <v>43706</v>
      </c>
      <c r="N511" s="189">
        <v>175</v>
      </c>
      <c r="O511" s="140">
        <v>400.04</v>
      </c>
      <c r="Q511" s="35"/>
    </row>
    <row r="512" spans="1:17" s="165" customFormat="1" ht="15" customHeight="1">
      <c r="A512" s="14"/>
      <c r="B512" s="38"/>
      <c r="C512" s="30" t="s">
        <v>39</v>
      </c>
      <c r="D512" s="138" t="s">
        <v>691</v>
      </c>
      <c r="E512" s="185" t="s">
        <v>1384</v>
      </c>
      <c r="F512" s="139" t="s">
        <v>8</v>
      </c>
      <c r="G512" s="139">
        <v>29657</v>
      </c>
      <c r="H512" s="138" t="s">
        <v>199</v>
      </c>
      <c r="I512" s="139" t="s">
        <v>21</v>
      </c>
      <c r="J512" s="139">
        <v>43815</v>
      </c>
      <c r="K512" s="184">
        <v>38</v>
      </c>
      <c r="L512" s="139"/>
      <c r="M512" s="139">
        <v>43903</v>
      </c>
      <c r="N512" s="189">
        <v>88</v>
      </c>
      <c r="O512" s="140">
        <v>0</v>
      </c>
      <c r="Q512" s="35"/>
    </row>
    <row r="513" spans="1:17" s="165" customFormat="1" ht="15" customHeight="1">
      <c r="A513" s="14"/>
      <c r="B513" s="38"/>
      <c r="C513" s="30" t="s">
        <v>39</v>
      </c>
      <c r="D513" s="138" t="s">
        <v>692</v>
      </c>
      <c r="E513" s="185" t="s">
        <v>1385</v>
      </c>
      <c r="F513" s="139" t="s">
        <v>8</v>
      </c>
      <c r="G513" s="139">
        <v>30420</v>
      </c>
      <c r="H513" s="138" t="s">
        <v>199</v>
      </c>
      <c r="I513" s="139" t="s">
        <v>21</v>
      </c>
      <c r="J513" s="139">
        <v>43781</v>
      </c>
      <c r="K513" s="184">
        <v>36</v>
      </c>
      <c r="L513" s="139"/>
      <c r="M513" s="139">
        <v>44098</v>
      </c>
      <c r="N513" s="189">
        <v>317</v>
      </c>
      <c r="O513" s="140">
        <v>0</v>
      </c>
      <c r="Q513" s="35"/>
    </row>
    <row r="514" spans="1:17" s="165" customFormat="1" ht="15" customHeight="1">
      <c r="A514" s="14"/>
      <c r="B514" s="38"/>
      <c r="C514" s="30" t="s">
        <v>39</v>
      </c>
      <c r="D514" s="138" t="s">
        <v>693</v>
      </c>
      <c r="E514" s="185" t="s">
        <v>1386</v>
      </c>
      <c r="F514" s="139" t="s">
        <v>8</v>
      </c>
      <c r="G514" s="139">
        <v>22737</v>
      </c>
      <c r="H514" s="138" t="s">
        <v>199</v>
      </c>
      <c r="I514" s="139" t="s">
        <v>21</v>
      </c>
      <c r="J514" s="139">
        <v>43497</v>
      </c>
      <c r="K514" s="184">
        <v>57</v>
      </c>
      <c r="L514" s="139">
        <v>43553</v>
      </c>
      <c r="M514" s="139">
        <v>43553</v>
      </c>
      <c r="N514" s="189">
        <v>56</v>
      </c>
      <c r="O514" s="140">
        <v>581.58000000000004</v>
      </c>
      <c r="Q514" s="35"/>
    </row>
    <row r="515" spans="1:17" s="165" customFormat="1" ht="15" customHeight="1">
      <c r="A515" s="14"/>
      <c r="B515" s="38"/>
      <c r="C515" s="30" t="s">
        <v>39</v>
      </c>
      <c r="D515" s="138" t="s">
        <v>139</v>
      </c>
      <c r="E515" s="185" t="s">
        <v>1387</v>
      </c>
      <c r="F515" s="139" t="s">
        <v>8</v>
      </c>
      <c r="G515" s="139">
        <v>26447</v>
      </c>
      <c r="H515" s="138" t="s">
        <v>199</v>
      </c>
      <c r="I515" s="139" t="s">
        <v>21</v>
      </c>
      <c r="J515" s="139">
        <v>43584</v>
      </c>
      <c r="K515" s="184">
        <v>47</v>
      </c>
      <c r="L515" s="139">
        <v>43799</v>
      </c>
      <c r="M515" s="139">
        <v>43890</v>
      </c>
      <c r="N515" s="189">
        <v>306</v>
      </c>
      <c r="O515" s="140">
        <v>3659.79</v>
      </c>
      <c r="Q515" s="35"/>
    </row>
    <row r="516" spans="1:17" s="165" customFormat="1" ht="15" customHeight="1">
      <c r="A516" s="14"/>
      <c r="B516" s="38"/>
      <c r="C516" s="30" t="s">
        <v>39</v>
      </c>
      <c r="D516" s="138" t="s">
        <v>694</v>
      </c>
      <c r="E516" s="185" t="s">
        <v>1388</v>
      </c>
      <c r="F516" s="139" t="s">
        <v>8</v>
      </c>
      <c r="G516" s="139">
        <v>28167</v>
      </c>
      <c r="H516" s="138" t="s">
        <v>199</v>
      </c>
      <c r="I516" s="139" t="s">
        <v>21</v>
      </c>
      <c r="J516" s="139">
        <v>43703</v>
      </c>
      <c r="K516" s="184">
        <v>42</v>
      </c>
      <c r="L516" s="139"/>
      <c r="M516" s="139">
        <v>44056</v>
      </c>
      <c r="N516" s="189">
        <v>353</v>
      </c>
      <c r="O516" s="140">
        <v>0</v>
      </c>
      <c r="Q516" s="35"/>
    </row>
    <row r="517" spans="1:17" s="165" customFormat="1" ht="15" customHeight="1">
      <c r="A517" s="14"/>
      <c r="B517" s="38"/>
      <c r="C517" s="30" t="s">
        <v>39</v>
      </c>
      <c r="D517" s="138" t="s">
        <v>695</v>
      </c>
      <c r="E517" s="185" t="s">
        <v>1389</v>
      </c>
      <c r="F517" s="139" t="s">
        <v>8</v>
      </c>
      <c r="G517" s="139">
        <v>22920</v>
      </c>
      <c r="H517" s="138" t="s">
        <v>199</v>
      </c>
      <c r="I517" s="139" t="s">
        <v>21</v>
      </c>
      <c r="J517" s="139">
        <v>43501</v>
      </c>
      <c r="K517" s="184">
        <v>57</v>
      </c>
      <c r="L517" s="139">
        <v>43575</v>
      </c>
      <c r="M517" s="139">
        <v>43575</v>
      </c>
      <c r="N517" s="189">
        <v>74</v>
      </c>
      <c r="O517" s="140">
        <v>1428.75</v>
      </c>
      <c r="Q517" s="35"/>
    </row>
    <row r="518" spans="1:17" s="165" customFormat="1" ht="15" customHeight="1">
      <c r="A518" s="14"/>
      <c r="B518" s="38"/>
      <c r="C518" s="30" t="s">
        <v>39</v>
      </c>
      <c r="D518" s="138" t="s">
        <v>696</v>
      </c>
      <c r="E518" s="185" t="s">
        <v>1390</v>
      </c>
      <c r="F518" s="139" t="s">
        <v>8</v>
      </c>
      <c r="G518" s="139">
        <v>29487</v>
      </c>
      <c r="H518" s="138" t="s">
        <v>199</v>
      </c>
      <c r="I518" s="139" t="s">
        <v>21</v>
      </c>
      <c r="J518" s="139">
        <v>43486</v>
      </c>
      <c r="K518" s="184">
        <v>39</v>
      </c>
      <c r="L518" s="139">
        <v>43499</v>
      </c>
      <c r="M518" s="139">
        <v>43499</v>
      </c>
      <c r="N518" s="189">
        <v>13</v>
      </c>
      <c r="O518" s="140">
        <v>873.17</v>
      </c>
      <c r="Q518" s="35"/>
    </row>
    <row r="519" spans="1:17" s="165" customFormat="1" ht="15" customHeight="1">
      <c r="A519" s="14"/>
      <c r="B519" s="38"/>
      <c r="C519" s="30" t="s">
        <v>39</v>
      </c>
      <c r="D519" s="138" t="s">
        <v>697</v>
      </c>
      <c r="E519" s="185" t="s">
        <v>1391</v>
      </c>
      <c r="F519" s="139" t="s">
        <v>8</v>
      </c>
      <c r="G519" s="139">
        <v>28948</v>
      </c>
      <c r="H519" s="138" t="s">
        <v>199</v>
      </c>
      <c r="I519" s="139" t="s">
        <v>21</v>
      </c>
      <c r="J519" s="139">
        <v>43746</v>
      </c>
      <c r="K519" s="184">
        <v>40</v>
      </c>
      <c r="L519" s="139"/>
      <c r="M519" s="139">
        <v>43856</v>
      </c>
      <c r="N519" s="189">
        <v>110</v>
      </c>
      <c r="O519" s="140">
        <v>0</v>
      </c>
      <c r="Q519" s="35"/>
    </row>
    <row r="520" spans="1:17" s="165" customFormat="1" ht="15" customHeight="1">
      <c r="A520" s="14"/>
      <c r="B520" s="38"/>
      <c r="C520" s="30" t="s">
        <v>39</v>
      </c>
      <c r="D520" s="138" t="s">
        <v>698</v>
      </c>
      <c r="E520" s="185" t="s">
        <v>1392</v>
      </c>
      <c r="F520" s="139" t="s">
        <v>8</v>
      </c>
      <c r="G520" s="139">
        <v>27911</v>
      </c>
      <c r="H520" s="138" t="s">
        <v>199</v>
      </c>
      <c r="I520" s="139" t="s">
        <v>21</v>
      </c>
      <c r="J520" s="139">
        <v>43734</v>
      </c>
      <c r="K520" s="184">
        <v>43</v>
      </c>
      <c r="L520" s="139"/>
      <c r="M520" s="139">
        <v>43830</v>
      </c>
      <c r="N520" s="189">
        <v>96</v>
      </c>
      <c r="O520" s="140">
        <v>0</v>
      </c>
      <c r="Q520" s="35"/>
    </row>
    <row r="521" spans="1:17" s="165" customFormat="1" ht="15" customHeight="1">
      <c r="A521" s="14"/>
      <c r="B521" s="38"/>
      <c r="C521" s="30" t="s">
        <v>39</v>
      </c>
      <c r="D521" s="138" t="s">
        <v>699</v>
      </c>
      <c r="E521" s="185" t="s">
        <v>1393</v>
      </c>
      <c r="F521" s="139" t="s">
        <v>8</v>
      </c>
      <c r="G521" s="139">
        <v>21594</v>
      </c>
      <c r="H521" s="138" t="s">
        <v>200</v>
      </c>
      <c r="I521" s="139" t="s">
        <v>21</v>
      </c>
      <c r="J521" s="139">
        <v>43563</v>
      </c>
      <c r="K521" s="184">
        <v>60</v>
      </c>
      <c r="L521" s="139">
        <v>43621</v>
      </c>
      <c r="M521" s="139">
        <v>43621</v>
      </c>
      <c r="N521" s="189">
        <v>58</v>
      </c>
      <c r="O521" s="140">
        <v>1055.02</v>
      </c>
      <c r="Q521" s="35"/>
    </row>
    <row r="522" spans="1:17" s="165" customFormat="1" ht="15" customHeight="1">
      <c r="A522" s="14"/>
      <c r="B522" s="38"/>
      <c r="C522" s="30" t="s">
        <v>39</v>
      </c>
      <c r="D522" s="138" t="s">
        <v>147</v>
      </c>
      <c r="E522" s="185" t="s">
        <v>1393</v>
      </c>
      <c r="F522" s="139" t="s">
        <v>8</v>
      </c>
      <c r="G522" s="139">
        <v>21594</v>
      </c>
      <c r="H522" s="138" t="s">
        <v>200</v>
      </c>
      <c r="I522" s="139" t="s">
        <v>21</v>
      </c>
      <c r="J522" s="139">
        <v>43664</v>
      </c>
      <c r="K522" s="184">
        <v>60</v>
      </c>
      <c r="L522" s="139">
        <v>43797</v>
      </c>
      <c r="M522" s="139"/>
      <c r="N522" s="189">
        <v>0</v>
      </c>
      <c r="O522" s="140">
        <v>3515.2</v>
      </c>
      <c r="Q522" s="35"/>
    </row>
    <row r="523" spans="1:17" s="165" customFormat="1" ht="15" customHeight="1">
      <c r="A523" s="14"/>
      <c r="B523" s="38"/>
      <c r="C523" s="30" t="s">
        <v>39</v>
      </c>
      <c r="D523" s="138" t="s">
        <v>700</v>
      </c>
      <c r="E523" s="185" t="s">
        <v>1394</v>
      </c>
      <c r="F523" s="139" t="s">
        <v>8</v>
      </c>
      <c r="G523" s="139">
        <v>25869</v>
      </c>
      <c r="H523" s="138" t="s">
        <v>199</v>
      </c>
      <c r="I523" s="139" t="s">
        <v>21</v>
      </c>
      <c r="J523" s="139">
        <v>43645</v>
      </c>
      <c r="K523" s="184">
        <v>49</v>
      </c>
      <c r="L523" s="139"/>
      <c r="M523" s="139">
        <v>43764</v>
      </c>
      <c r="N523" s="189">
        <v>119</v>
      </c>
      <c r="O523" s="140">
        <v>0</v>
      </c>
      <c r="Q523" s="35"/>
    </row>
    <row r="524" spans="1:17" s="165" customFormat="1" ht="15" customHeight="1">
      <c r="A524" s="14"/>
      <c r="B524" s="38"/>
      <c r="C524" s="30" t="s">
        <v>39</v>
      </c>
      <c r="D524" s="138" t="s">
        <v>701</v>
      </c>
      <c r="E524" s="185" t="s">
        <v>1395</v>
      </c>
      <c r="F524" s="139" t="s">
        <v>8</v>
      </c>
      <c r="G524" s="139">
        <v>30181</v>
      </c>
      <c r="H524" s="138" t="s">
        <v>199</v>
      </c>
      <c r="I524" s="139" t="s">
        <v>21</v>
      </c>
      <c r="J524" s="139">
        <v>43511</v>
      </c>
      <c r="K524" s="184">
        <v>37</v>
      </c>
      <c r="L524" s="139">
        <v>43565</v>
      </c>
      <c r="M524" s="139">
        <v>43565</v>
      </c>
      <c r="N524" s="189">
        <v>54</v>
      </c>
      <c r="O524" s="140">
        <v>778.75</v>
      </c>
      <c r="Q524" s="35"/>
    </row>
    <row r="525" spans="1:17" s="165" customFormat="1" ht="15" customHeight="1">
      <c r="A525" s="14"/>
      <c r="B525" s="38"/>
      <c r="C525" s="30" t="s">
        <v>39</v>
      </c>
      <c r="D525" s="138" t="s">
        <v>702</v>
      </c>
      <c r="E525" s="185" t="s">
        <v>1395</v>
      </c>
      <c r="F525" s="139" t="s">
        <v>8</v>
      </c>
      <c r="G525" s="139">
        <v>30181</v>
      </c>
      <c r="H525" s="138" t="s">
        <v>199</v>
      </c>
      <c r="I525" s="139" t="s">
        <v>21</v>
      </c>
      <c r="J525" s="139">
        <v>43578</v>
      </c>
      <c r="K525" s="184">
        <v>37</v>
      </c>
      <c r="L525" s="139">
        <v>43663</v>
      </c>
      <c r="M525" s="139">
        <v>43663</v>
      </c>
      <c r="N525" s="189">
        <v>85</v>
      </c>
      <c r="O525" s="140">
        <v>1802.64</v>
      </c>
      <c r="Q525" s="35"/>
    </row>
    <row r="526" spans="1:17" s="165" customFormat="1" ht="15" customHeight="1">
      <c r="A526" s="14"/>
      <c r="B526" s="38"/>
      <c r="C526" s="30" t="s">
        <v>39</v>
      </c>
      <c r="D526" s="138" t="s">
        <v>703</v>
      </c>
      <c r="E526" s="185" t="s">
        <v>1396</v>
      </c>
      <c r="F526" s="139" t="s">
        <v>8</v>
      </c>
      <c r="G526" s="139">
        <v>22088</v>
      </c>
      <c r="H526" s="138" t="s">
        <v>199</v>
      </c>
      <c r="I526" s="139" t="s">
        <v>21</v>
      </c>
      <c r="J526" s="139">
        <v>43497</v>
      </c>
      <c r="K526" s="184">
        <v>59</v>
      </c>
      <c r="L526" s="139">
        <v>43769</v>
      </c>
      <c r="M526" s="139">
        <v>43769</v>
      </c>
      <c r="N526" s="189">
        <v>272</v>
      </c>
      <c r="O526" s="140">
        <v>6920.6400000000012</v>
      </c>
      <c r="Q526" s="35"/>
    </row>
    <row r="527" spans="1:17" s="165" customFormat="1" ht="15" customHeight="1">
      <c r="A527" s="14"/>
      <c r="B527" s="38"/>
      <c r="C527" s="30" t="s">
        <v>39</v>
      </c>
      <c r="D527" s="138" t="s">
        <v>703</v>
      </c>
      <c r="E527" s="185" t="s">
        <v>1396</v>
      </c>
      <c r="F527" s="139" t="s">
        <v>8</v>
      </c>
      <c r="G527" s="139">
        <v>22088</v>
      </c>
      <c r="H527" s="138" t="s">
        <v>199</v>
      </c>
      <c r="I527" s="139" t="s">
        <v>21</v>
      </c>
      <c r="J527" s="139">
        <v>43770</v>
      </c>
      <c r="K527" s="184">
        <v>59</v>
      </c>
      <c r="L527" s="139">
        <v>43769</v>
      </c>
      <c r="M527" s="139">
        <v>43779</v>
      </c>
      <c r="N527" s="189">
        <v>9</v>
      </c>
      <c r="O527" s="140">
        <v>6920.6400000000012</v>
      </c>
      <c r="Q527" s="35"/>
    </row>
    <row r="528" spans="1:17" s="165" customFormat="1" ht="15" customHeight="1">
      <c r="A528" s="14"/>
      <c r="B528" s="38"/>
      <c r="C528" s="30" t="s">
        <v>39</v>
      </c>
      <c r="D528" s="138" t="s">
        <v>704</v>
      </c>
      <c r="E528" s="185" t="s">
        <v>1397</v>
      </c>
      <c r="F528" s="139" t="s">
        <v>8</v>
      </c>
      <c r="G528" s="139">
        <v>30464</v>
      </c>
      <c r="H528" s="138" t="s">
        <v>199</v>
      </c>
      <c r="I528" s="139" t="s">
        <v>21</v>
      </c>
      <c r="J528" s="139">
        <v>43556</v>
      </c>
      <c r="K528" s="184">
        <v>36</v>
      </c>
      <c r="L528" s="139">
        <v>43717</v>
      </c>
      <c r="M528" s="139">
        <v>43717</v>
      </c>
      <c r="N528" s="189">
        <v>161</v>
      </c>
      <c r="O528" s="140">
        <v>2626.8</v>
      </c>
      <c r="Q528" s="35"/>
    </row>
    <row r="529" spans="1:17" s="165" customFormat="1" ht="15" customHeight="1">
      <c r="A529" s="14"/>
      <c r="B529" s="38"/>
      <c r="C529" s="30" t="s">
        <v>39</v>
      </c>
      <c r="D529" s="138" t="s">
        <v>705</v>
      </c>
      <c r="E529" s="185" t="s">
        <v>1398</v>
      </c>
      <c r="F529" s="139" t="s">
        <v>8</v>
      </c>
      <c r="G529" s="139">
        <v>28467</v>
      </c>
      <c r="H529" s="138" t="s">
        <v>200</v>
      </c>
      <c r="I529" s="139" t="s">
        <v>21</v>
      </c>
      <c r="J529" s="139">
        <v>43585</v>
      </c>
      <c r="K529" s="184">
        <v>42</v>
      </c>
      <c r="L529" s="139">
        <v>43766</v>
      </c>
      <c r="M529" s="139">
        <v>43766</v>
      </c>
      <c r="N529" s="189">
        <v>181</v>
      </c>
      <c r="O529" s="140">
        <v>9691.5</v>
      </c>
      <c r="Q529" s="35"/>
    </row>
    <row r="530" spans="1:17" s="165" customFormat="1" ht="15" customHeight="1">
      <c r="A530" s="14"/>
      <c r="B530" s="38"/>
      <c r="C530" s="30" t="s">
        <v>39</v>
      </c>
      <c r="D530" s="138" t="s">
        <v>706</v>
      </c>
      <c r="E530" s="185" t="s">
        <v>1399</v>
      </c>
      <c r="F530" s="139" t="s">
        <v>8</v>
      </c>
      <c r="G530" s="139">
        <v>25666</v>
      </c>
      <c r="H530" s="138" t="s">
        <v>199</v>
      </c>
      <c r="I530" s="139" t="s">
        <v>21</v>
      </c>
      <c r="J530" s="139">
        <v>43620</v>
      </c>
      <c r="K530" s="184">
        <v>49</v>
      </c>
      <c r="L530" s="139">
        <v>43749</v>
      </c>
      <c r="M530" s="139">
        <v>43868</v>
      </c>
      <c r="N530" s="189">
        <v>248</v>
      </c>
      <c r="O530" s="140">
        <v>1881</v>
      </c>
      <c r="Q530" s="35"/>
    </row>
    <row r="531" spans="1:17" s="165" customFormat="1" ht="15" customHeight="1">
      <c r="A531" s="14"/>
      <c r="B531" s="38"/>
      <c r="C531" s="30" t="s">
        <v>39</v>
      </c>
      <c r="D531" s="138" t="s">
        <v>707</v>
      </c>
      <c r="E531" s="185" t="s">
        <v>1400</v>
      </c>
      <c r="F531" s="139" t="s">
        <v>8</v>
      </c>
      <c r="G531" s="139">
        <v>29162</v>
      </c>
      <c r="H531" s="138" t="s">
        <v>199</v>
      </c>
      <c r="I531" s="139" t="s">
        <v>21</v>
      </c>
      <c r="J531" s="139">
        <v>43521</v>
      </c>
      <c r="K531" s="184">
        <v>40</v>
      </c>
      <c r="L531" s="139"/>
      <c r="M531" s="139">
        <v>43599</v>
      </c>
      <c r="N531" s="189">
        <v>78</v>
      </c>
      <c r="O531" s="140">
        <v>0</v>
      </c>
      <c r="Q531" s="35"/>
    </row>
    <row r="532" spans="1:17" s="165" customFormat="1" ht="15" customHeight="1">
      <c r="A532" s="14"/>
      <c r="B532" s="38"/>
      <c r="C532" s="30" t="s">
        <v>39</v>
      </c>
      <c r="D532" s="138" t="s">
        <v>708</v>
      </c>
      <c r="E532" s="185" t="s">
        <v>1401</v>
      </c>
      <c r="F532" s="139" t="s">
        <v>8</v>
      </c>
      <c r="G532" s="139">
        <v>30839</v>
      </c>
      <c r="H532" s="138" t="s">
        <v>200</v>
      </c>
      <c r="I532" s="139" t="s">
        <v>21</v>
      </c>
      <c r="J532" s="139">
        <v>43697</v>
      </c>
      <c r="K532" s="184">
        <v>35</v>
      </c>
      <c r="L532" s="139">
        <v>43781</v>
      </c>
      <c r="M532" s="139">
        <v>43774</v>
      </c>
      <c r="N532" s="189">
        <v>77</v>
      </c>
      <c r="O532" s="140">
        <v>2002.68</v>
      </c>
      <c r="Q532" s="35"/>
    </row>
    <row r="533" spans="1:17" s="165" customFormat="1" ht="15" customHeight="1">
      <c r="A533" s="14"/>
      <c r="B533" s="38"/>
      <c r="C533" s="30" t="s">
        <v>39</v>
      </c>
      <c r="D533" s="138" t="s">
        <v>708</v>
      </c>
      <c r="E533" s="185" t="s">
        <v>1401</v>
      </c>
      <c r="F533" s="139" t="s">
        <v>8</v>
      </c>
      <c r="G533" s="139">
        <v>30839</v>
      </c>
      <c r="H533" s="138" t="s">
        <v>200</v>
      </c>
      <c r="I533" s="139" t="s">
        <v>21</v>
      </c>
      <c r="J533" s="139">
        <v>43775</v>
      </c>
      <c r="K533" s="184">
        <v>35</v>
      </c>
      <c r="L533" s="139">
        <v>43781</v>
      </c>
      <c r="M533" s="139">
        <v>43921</v>
      </c>
      <c r="N533" s="189">
        <v>146</v>
      </c>
      <c r="O533" s="140">
        <v>2002.68</v>
      </c>
      <c r="Q533" s="35"/>
    </row>
    <row r="534" spans="1:17" s="165" customFormat="1" ht="15" customHeight="1">
      <c r="A534" s="14"/>
      <c r="B534" s="38"/>
      <c r="C534" s="30" t="s">
        <v>39</v>
      </c>
      <c r="D534" s="138" t="s">
        <v>709</v>
      </c>
      <c r="E534" s="185" t="s">
        <v>1402</v>
      </c>
      <c r="F534" s="139" t="s">
        <v>8</v>
      </c>
      <c r="G534" s="139">
        <v>29275</v>
      </c>
      <c r="H534" s="138" t="s">
        <v>199</v>
      </c>
      <c r="I534" s="139" t="s">
        <v>21</v>
      </c>
      <c r="J534" s="139">
        <v>43766</v>
      </c>
      <c r="K534" s="184">
        <v>39</v>
      </c>
      <c r="L534" s="139"/>
      <c r="M534" s="139">
        <v>43868</v>
      </c>
      <c r="N534" s="189">
        <v>102</v>
      </c>
      <c r="O534" s="140">
        <v>0</v>
      </c>
      <c r="Q534" s="35"/>
    </row>
    <row r="535" spans="1:17" s="165" customFormat="1" ht="15" customHeight="1">
      <c r="A535" s="14"/>
      <c r="B535" s="38"/>
      <c r="C535" s="30" t="s">
        <v>39</v>
      </c>
      <c r="D535" s="138" t="s">
        <v>710</v>
      </c>
      <c r="E535" s="185" t="s">
        <v>1403</v>
      </c>
      <c r="F535" s="139" t="s">
        <v>8</v>
      </c>
      <c r="G535" s="139">
        <v>29722</v>
      </c>
      <c r="H535" s="138" t="s">
        <v>199</v>
      </c>
      <c r="I535" s="139" t="s">
        <v>21</v>
      </c>
      <c r="J535" s="139">
        <v>43472</v>
      </c>
      <c r="K535" s="184">
        <v>38</v>
      </c>
      <c r="L535" s="139">
        <v>43548</v>
      </c>
      <c r="M535" s="139">
        <v>43548</v>
      </c>
      <c r="N535" s="189">
        <v>76</v>
      </c>
      <c r="O535" s="140">
        <v>1400.6</v>
      </c>
      <c r="Q535" s="35"/>
    </row>
    <row r="536" spans="1:17" s="165" customFormat="1" ht="15" customHeight="1">
      <c r="A536" s="14"/>
      <c r="B536" s="38"/>
      <c r="C536" s="30" t="s">
        <v>39</v>
      </c>
      <c r="D536" s="138" t="s">
        <v>711</v>
      </c>
      <c r="E536" s="185" t="s">
        <v>1404</v>
      </c>
      <c r="F536" s="139" t="s">
        <v>8</v>
      </c>
      <c r="G536" s="139">
        <v>30480</v>
      </c>
      <c r="H536" s="138" t="s">
        <v>200</v>
      </c>
      <c r="I536" s="139" t="s">
        <v>21</v>
      </c>
      <c r="J536" s="139">
        <v>43685</v>
      </c>
      <c r="K536" s="184">
        <v>36</v>
      </c>
      <c r="L536" s="139">
        <v>43744</v>
      </c>
      <c r="M536" s="139">
        <v>43749</v>
      </c>
      <c r="N536" s="189">
        <v>64</v>
      </c>
      <c r="O536" s="140">
        <v>2443.1999999999998</v>
      </c>
      <c r="Q536" s="35"/>
    </row>
    <row r="537" spans="1:17" s="165" customFormat="1" ht="15" customHeight="1">
      <c r="A537" s="14"/>
      <c r="B537" s="38"/>
      <c r="C537" s="30" t="s">
        <v>39</v>
      </c>
      <c r="D537" s="138" t="s">
        <v>712</v>
      </c>
      <c r="E537" s="185" t="s">
        <v>1405</v>
      </c>
      <c r="F537" s="139" t="s">
        <v>8</v>
      </c>
      <c r="G537" s="139">
        <v>30075</v>
      </c>
      <c r="H537" s="138" t="s">
        <v>200</v>
      </c>
      <c r="I537" s="139" t="s">
        <v>21</v>
      </c>
      <c r="J537" s="139">
        <v>43536</v>
      </c>
      <c r="K537" s="184">
        <v>37</v>
      </c>
      <c r="L537" s="139"/>
      <c r="M537" s="139">
        <v>43739</v>
      </c>
      <c r="N537" s="189">
        <v>203</v>
      </c>
      <c r="O537" s="140">
        <v>0</v>
      </c>
      <c r="Q537" s="35"/>
    </row>
    <row r="538" spans="1:17" s="165" customFormat="1" ht="15" customHeight="1">
      <c r="A538" s="14"/>
      <c r="B538" s="38"/>
      <c r="C538" s="30" t="s">
        <v>39</v>
      </c>
      <c r="D538" s="138" t="s">
        <v>713</v>
      </c>
      <c r="E538" s="185" t="s">
        <v>1406</v>
      </c>
      <c r="F538" s="139" t="s">
        <v>8</v>
      </c>
      <c r="G538" s="139">
        <v>23498</v>
      </c>
      <c r="H538" s="138" t="s">
        <v>200</v>
      </c>
      <c r="I538" s="139" t="s">
        <v>21</v>
      </c>
      <c r="J538" s="139">
        <v>43628</v>
      </c>
      <c r="K538" s="184">
        <v>55</v>
      </c>
      <c r="L538" s="139">
        <v>43732</v>
      </c>
      <c r="M538" s="139">
        <v>43732</v>
      </c>
      <c r="N538" s="189">
        <v>104</v>
      </c>
      <c r="O538" s="140">
        <v>4385.25</v>
      </c>
      <c r="Q538" s="35"/>
    </row>
    <row r="539" spans="1:17" s="165" customFormat="1" ht="15" customHeight="1">
      <c r="A539" s="14"/>
      <c r="B539" s="38"/>
      <c r="C539" s="30" t="s">
        <v>39</v>
      </c>
      <c r="D539" s="138" t="s">
        <v>714</v>
      </c>
      <c r="E539" s="185" t="s">
        <v>1407</v>
      </c>
      <c r="F539" s="139" t="s">
        <v>8</v>
      </c>
      <c r="G539" s="139">
        <v>25196</v>
      </c>
      <c r="H539" s="138" t="s">
        <v>199</v>
      </c>
      <c r="I539" s="139" t="s">
        <v>21</v>
      </c>
      <c r="J539" s="139">
        <v>43588</v>
      </c>
      <c r="K539" s="184">
        <v>51</v>
      </c>
      <c r="L539" s="139">
        <v>43623</v>
      </c>
      <c r="M539" s="139">
        <v>43623</v>
      </c>
      <c r="N539" s="189">
        <v>35</v>
      </c>
      <c r="O539" s="140">
        <v>345.18</v>
      </c>
      <c r="Q539" s="35"/>
    </row>
    <row r="540" spans="1:17" s="165" customFormat="1" ht="15" customHeight="1">
      <c r="A540" s="14"/>
      <c r="B540" s="38"/>
      <c r="C540" s="30" t="s">
        <v>39</v>
      </c>
      <c r="D540" s="138" t="s">
        <v>715</v>
      </c>
      <c r="E540" s="185" t="s">
        <v>1408</v>
      </c>
      <c r="F540" s="139" t="s">
        <v>8</v>
      </c>
      <c r="G540" s="139">
        <v>31037</v>
      </c>
      <c r="H540" s="138" t="s">
        <v>199</v>
      </c>
      <c r="I540" s="139" t="s">
        <v>21</v>
      </c>
      <c r="J540" s="139">
        <v>43592</v>
      </c>
      <c r="K540" s="184">
        <v>35</v>
      </c>
      <c r="L540" s="139">
        <v>43632</v>
      </c>
      <c r="M540" s="139">
        <v>43632</v>
      </c>
      <c r="N540" s="189">
        <v>40</v>
      </c>
      <c r="O540" s="140">
        <v>365.75</v>
      </c>
      <c r="Q540" s="35"/>
    </row>
    <row r="541" spans="1:17" s="165" customFormat="1" ht="15" customHeight="1">
      <c r="A541" s="14"/>
      <c r="B541" s="38"/>
      <c r="C541" s="30" t="s">
        <v>39</v>
      </c>
      <c r="D541" s="138" t="s">
        <v>716</v>
      </c>
      <c r="E541" s="185" t="s">
        <v>1409</v>
      </c>
      <c r="F541" s="139" t="s">
        <v>8</v>
      </c>
      <c r="G541" s="139">
        <v>25444</v>
      </c>
      <c r="H541" s="138" t="s">
        <v>199</v>
      </c>
      <c r="I541" s="139" t="s">
        <v>21</v>
      </c>
      <c r="J541" s="139">
        <v>43500</v>
      </c>
      <c r="K541" s="184">
        <v>50</v>
      </c>
      <c r="L541" s="139">
        <v>43537</v>
      </c>
      <c r="M541" s="139">
        <v>43537</v>
      </c>
      <c r="N541" s="189">
        <v>37</v>
      </c>
      <c r="O541" s="140">
        <v>2337.04</v>
      </c>
      <c r="Q541" s="35"/>
    </row>
    <row r="542" spans="1:17" s="165" customFormat="1" ht="15" customHeight="1">
      <c r="A542" s="14"/>
      <c r="B542" s="38"/>
      <c r="C542" s="30" t="s">
        <v>39</v>
      </c>
      <c r="D542" s="138" t="s">
        <v>717</v>
      </c>
      <c r="E542" s="185" t="s">
        <v>1410</v>
      </c>
      <c r="F542" s="139" t="s">
        <v>8</v>
      </c>
      <c r="G542" s="139">
        <v>25240</v>
      </c>
      <c r="H542" s="138" t="s">
        <v>200</v>
      </c>
      <c r="I542" s="139" t="s">
        <v>21</v>
      </c>
      <c r="J542" s="139">
        <v>43640</v>
      </c>
      <c r="K542" s="184">
        <v>50</v>
      </c>
      <c r="L542" s="139">
        <v>43709</v>
      </c>
      <c r="M542" s="139">
        <v>43672</v>
      </c>
      <c r="N542" s="189">
        <v>32</v>
      </c>
      <c r="O542" s="140">
        <v>8054.76</v>
      </c>
      <c r="Q542" s="35"/>
    </row>
    <row r="543" spans="1:17" s="165" customFormat="1" ht="15" customHeight="1">
      <c r="A543" s="14"/>
      <c r="B543" s="38"/>
      <c r="C543" s="30" t="s">
        <v>39</v>
      </c>
      <c r="D543" s="138" t="s">
        <v>717</v>
      </c>
      <c r="E543" s="185" t="s">
        <v>1410</v>
      </c>
      <c r="F543" s="139" t="s">
        <v>8</v>
      </c>
      <c r="G543" s="139">
        <v>25240</v>
      </c>
      <c r="H543" s="138" t="s">
        <v>200</v>
      </c>
      <c r="I543" s="139" t="s">
        <v>21</v>
      </c>
      <c r="J543" s="139">
        <v>43703</v>
      </c>
      <c r="K543" s="184">
        <v>50</v>
      </c>
      <c r="L543" s="139">
        <v>43709</v>
      </c>
      <c r="M543" s="139">
        <v>43709</v>
      </c>
      <c r="N543" s="189">
        <v>6</v>
      </c>
      <c r="O543" s="140">
        <v>8054.76</v>
      </c>
      <c r="Q543" s="35"/>
    </row>
    <row r="544" spans="1:17" s="165" customFormat="1" ht="15" customHeight="1">
      <c r="A544" s="14"/>
      <c r="B544" s="38"/>
      <c r="C544" s="30" t="s">
        <v>39</v>
      </c>
      <c r="D544" s="138" t="s">
        <v>718</v>
      </c>
      <c r="E544" s="185" t="s">
        <v>1411</v>
      </c>
      <c r="F544" s="139" t="s">
        <v>8</v>
      </c>
      <c r="G544" s="139">
        <v>23619</v>
      </c>
      <c r="H544" s="138" t="s">
        <v>199</v>
      </c>
      <c r="I544" s="139" t="s">
        <v>21</v>
      </c>
      <c r="J544" s="139">
        <v>43787</v>
      </c>
      <c r="K544" s="184">
        <v>55</v>
      </c>
      <c r="L544" s="139"/>
      <c r="M544" s="139"/>
      <c r="N544" s="189">
        <v>0</v>
      </c>
      <c r="O544" s="140">
        <v>0</v>
      </c>
      <c r="Q544" s="35"/>
    </row>
    <row r="545" spans="1:17" s="165" customFormat="1" ht="15" customHeight="1">
      <c r="A545" s="14"/>
      <c r="B545" s="38"/>
      <c r="C545" s="30" t="s">
        <v>39</v>
      </c>
      <c r="D545" s="138" t="s">
        <v>719</v>
      </c>
      <c r="E545" s="185" t="s">
        <v>1412</v>
      </c>
      <c r="F545" s="139" t="s">
        <v>8</v>
      </c>
      <c r="G545" s="139">
        <v>27930</v>
      </c>
      <c r="H545" s="138" t="s">
        <v>199</v>
      </c>
      <c r="I545" s="139" t="s">
        <v>21</v>
      </c>
      <c r="J545" s="139">
        <v>43495</v>
      </c>
      <c r="K545" s="184">
        <v>43</v>
      </c>
      <c r="L545" s="139">
        <v>43567</v>
      </c>
      <c r="M545" s="139">
        <v>43567</v>
      </c>
      <c r="N545" s="189">
        <v>72</v>
      </c>
      <c r="O545" s="140">
        <v>108.36</v>
      </c>
      <c r="Q545" s="35"/>
    </row>
    <row r="546" spans="1:17" s="165" customFormat="1" ht="15" customHeight="1">
      <c r="A546" s="14"/>
      <c r="B546" s="38"/>
      <c r="C546" s="30" t="s">
        <v>39</v>
      </c>
      <c r="D546" s="138" t="s">
        <v>137</v>
      </c>
      <c r="E546" s="185" t="s">
        <v>1413</v>
      </c>
      <c r="F546" s="139" t="s">
        <v>10</v>
      </c>
      <c r="G546" s="139">
        <v>25754</v>
      </c>
      <c r="H546" s="138" t="s">
        <v>199</v>
      </c>
      <c r="I546" s="139" t="s">
        <v>21</v>
      </c>
      <c r="J546" s="139">
        <v>43477</v>
      </c>
      <c r="K546" s="184">
        <v>49</v>
      </c>
      <c r="L546" s="139">
        <v>43790</v>
      </c>
      <c r="M546" s="139"/>
      <c r="N546" s="189">
        <v>0</v>
      </c>
      <c r="O546" s="140">
        <v>3092.76</v>
      </c>
      <c r="Q546" s="35"/>
    </row>
    <row r="547" spans="1:17" s="165" customFormat="1" ht="15" customHeight="1">
      <c r="A547" s="14"/>
      <c r="B547" s="38"/>
      <c r="C547" s="30" t="s">
        <v>39</v>
      </c>
      <c r="D547" s="138" t="s">
        <v>720</v>
      </c>
      <c r="E547" s="185" t="s">
        <v>1414</v>
      </c>
      <c r="F547" s="139" t="s">
        <v>8</v>
      </c>
      <c r="G547" s="139">
        <v>22242</v>
      </c>
      <c r="H547" s="138" t="s">
        <v>200</v>
      </c>
      <c r="I547" s="139" t="s">
        <v>21</v>
      </c>
      <c r="J547" s="139">
        <v>43594</v>
      </c>
      <c r="K547" s="184">
        <v>59</v>
      </c>
      <c r="L547" s="139">
        <v>43708</v>
      </c>
      <c r="M547" s="139">
        <v>43781</v>
      </c>
      <c r="N547" s="189">
        <v>187</v>
      </c>
      <c r="O547" s="140">
        <v>6682.2000000000007</v>
      </c>
      <c r="Q547" s="35"/>
    </row>
    <row r="548" spans="1:17" s="165" customFormat="1" ht="15" customHeight="1">
      <c r="A548" s="14"/>
      <c r="B548" s="38"/>
      <c r="C548" s="30" t="s">
        <v>39</v>
      </c>
      <c r="D548" s="138" t="s">
        <v>118</v>
      </c>
      <c r="E548" s="185" t="s">
        <v>1415</v>
      </c>
      <c r="F548" s="139" t="s">
        <v>8</v>
      </c>
      <c r="G548" s="139">
        <v>22913</v>
      </c>
      <c r="H548" s="138" t="s">
        <v>199</v>
      </c>
      <c r="I548" s="139" t="s">
        <v>21</v>
      </c>
      <c r="J548" s="139">
        <v>43592</v>
      </c>
      <c r="K548" s="184">
        <v>57</v>
      </c>
      <c r="L548" s="139">
        <v>43775</v>
      </c>
      <c r="M548" s="139">
        <v>43877</v>
      </c>
      <c r="N548" s="189">
        <v>285</v>
      </c>
      <c r="O548" s="140">
        <v>4242.7000000000007</v>
      </c>
      <c r="Q548" s="35"/>
    </row>
    <row r="549" spans="1:17" s="165" customFormat="1" ht="15" customHeight="1">
      <c r="A549" s="14"/>
      <c r="B549" s="38"/>
      <c r="C549" s="30" t="s">
        <v>39</v>
      </c>
      <c r="D549" s="138" t="s">
        <v>144</v>
      </c>
      <c r="E549" s="185" t="s">
        <v>1416</v>
      </c>
      <c r="F549" s="139" t="s">
        <v>8</v>
      </c>
      <c r="G549" s="139">
        <v>27323</v>
      </c>
      <c r="H549" s="138" t="s">
        <v>199</v>
      </c>
      <c r="I549" s="139" t="s">
        <v>21</v>
      </c>
      <c r="J549" s="139">
        <v>43487</v>
      </c>
      <c r="K549" s="184">
        <v>45</v>
      </c>
      <c r="L549" s="139">
        <v>43805</v>
      </c>
      <c r="M549" s="139"/>
      <c r="N549" s="189">
        <v>0</v>
      </c>
      <c r="O549" s="140">
        <v>6490.9399999999987</v>
      </c>
      <c r="Q549" s="35"/>
    </row>
    <row r="550" spans="1:17" s="165" customFormat="1" ht="15" customHeight="1">
      <c r="A550" s="14"/>
      <c r="B550" s="38"/>
      <c r="C550" s="30" t="s">
        <v>39</v>
      </c>
      <c r="D550" s="138" t="s">
        <v>721</v>
      </c>
      <c r="E550" s="185" t="s">
        <v>1417</v>
      </c>
      <c r="F550" s="139" t="s">
        <v>8</v>
      </c>
      <c r="G550" s="139">
        <v>23361</v>
      </c>
      <c r="H550" s="138" t="s">
        <v>199</v>
      </c>
      <c r="I550" s="139" t="s">
        <v>21</v>
      </c>
      <c r="J550" s="139">
        <v>43622</v>
      </c>
      <c r="K550" s="184">
        <v>56</v>
      </c>
      <c r="L550" s="139">
        <v>43741</v>
      </c>
      <c r="M550" s="139">
        <v>43741</v>
      </c>
      <c r="N550" s="189">
        <v>119</v>
      </c>
      <c r="O550" s="140">
        <v>0</v>
      </c>
      <c r="Q550" s="35"/>
    </row>
    <row r="551" spans="1:17" s="165" customFormat="1" ht="15" customHeight="1">
      <c r="A551" s="14"/>
      <c r="B551" s="38"/>
      <c r="C551" s="30" t="s">
        <v>39</v>
      </c>
      <c r="D551" s="138" t="s">
        <v>722</v>
      </c>
      <c r="E551" s="185" t="s">
        <v>1418</v>
      </c>
      <c r="F551" s="139" t="s">
        <v>8</v>
      </c>
      <c r="G551" s="139">
        <v>26287</v>
      </c>
      <c r="H551" s="138" t="s">
        <v>199</v>
      </c>
      <c r="I551" s="139" t="s">
        <v>21</v>
      </c>
      <c r="J551" s="139">
        <v>43558</v>
      </c>
      <c r="K551" s="184">
        <v>48</v>
      </c>
      <c r="L551" s="139">
        <v>43603</v>
      </c>
      <c r="M551" s="139">
        <v>43603</v>
      </c>
      <c r="N551" s="189">
        <v>45</v>
      </c>
      <c r="O551" s="140">
        <v>334.72</v>
      </c>
      <c r="Q551" s="35"/>
    </row>
    <row r="552" spans="1:17" s="165" customFormat="1" ht="15" customHeight="1">
      <c r="A552" s="14"/>
      <c r="B552" s="38"/>
      <c r="C552" s="30" t="s">
        <v>39</v>
      </c>
      <c r="D552" s="138" t="s">
        <v>723</v>
      </c>
      <c r="E552" s="185" t="s">
        <v>1419</v>
      </c>
      <c r="F552" s="139" t="s">
        <v>8</v>
      </c>
      <c r="G552" s="139">
        <v>32053</v>
      </c>
      <c r="H552" s="138" t="s">
        <v>199</v>
      </c>
      <c r="I552" s="139" t="s">
        <v>21</v>
      </c>
      <c r="J552" s="139">
        <v>43787</v>
      </c>
      <c r="K552" s="184">
        <v>32</v>
      </c>
      <c r="L552" s="139"/>
      <c r="M552" s="139">
        <v>44012</v>
      </c>
      <c r="N552" s="189">
        <v>225</v>
      </c>
      <c r="O552" s="140">
        <v>0</v>
      </c>
      <c r="Q552" s="35"/>
    </row>
    <row r="553" spans="1:17" s="165" customFormat="1" ht="15" customHeight="1">
      <c r="A553" s="14"/>
      <c r="B553" s="38"/>
      <c r="C553" s="30" t="s">
        <v>39</v>
      </c>
      <c r="D553" s="138" t="s">
        <v>724</v>
      </c>
      <c r="E553" s="185" t="s">
        <v>1420</v>
      </c>
      <c r="F553" s="139" t="s">
        <v>8</v>
      </c>
      <c r="G553" s="139">
        <v>22652</v>
      </c>
      <c r="H553" s="138" t="s">
        <v>199</v>
      </c>
      <c r="I553" s="139" t="s">
        <v>21</v>
      </c>
      <c r="J553" s="139">
        <v>43702</v>
      </c>
      <c r="K553" s="184">
        <v>57</v>
      </c>
      <c r="L553" s="139"/>
      <c r="M553" s="139">
        <v>43744</v>
      </c>
      <c r="N553" s="189">
        <v>42</v>
      </c>
      <c r="O553" s="140">
        <v>0</v>
      </c>
      <c r="Q553" s="35"/>
    </row>
    <row r="554" spans="1:17" s="165" customFormat="1" ht="15" customHeight="1">
      <c r="A554" s="14"/>
      <c r="B554" s="38"/>
      <c r="C554" s="30" t="s">
        <v>39</v>
      </c>
      <c r="D554" s="138" t="s">
        <v>725</v>
      </c>
      <c r="E554" s="185" t="s">
        <v>1421</v>
      </c>
      <c r="F554" s="139" t="s">
        <v>8</v>
      </c>
      <c r="G554" s="139">
        <v>28180</v>
      </c>
      <c r="H554" s="138" t="s">
        <v>199</v>
      </c>
      <c r="I554" s="139" t="s">
        <v>21</v>
      </c>
      <c r="J554" s="139">
        <v>43726</v>
      </c>
      <c r="K554" s="184">
        <v>42</v>
      </c>
      <c r="L554" s="139"/>
      <c r="M554" s="139"/>
      <c r="N554" s="189">
        <v>0</v>
      </c>
      <c r="O554" s="140">
        <v>0</v>
      </c>
      <c r="Q554" s="35"/>
    </row>
    <row r="555" spans="1:17" s="165" customFormat="1" ht="15" customHeight="1">
      <c r="A555" s="14"/>
      <c r="B555" s="38"/>
      <c r="C555" s="30" t="s">
        <v>39</v>
      </c>
      <c r="D555" s="138" t="s">
        <v>726</v>
      </c>
      <c r="E555" s="185" t="s">
        <v>1422</v>
      </c>
      <c r="F555" s="139" t="s">
        <v>8</v>
      </c>
      <c r="G555" s="139">
        <v>20305</v>
      </c>
      <c r="H555" s="138" t="s">
        <v>199</v>
      </c>
      <c r="I555" s="139" t="s">
        <v>21</v>
      </c>
      <c r="J555" s="139">
        <v>43514</v>
      </c>
      <c r="K555" s="184">
        <v>64</v>
      </c>
      <c r="L555" s="139">
        <v>43589</v>
      </c>
      <c r="M555" s="139">
        <v>43589</v>
      </c>
      <c r="N555" s="189">
        <v>75</v>
      </c>
      <c r="O555" s="140">
        <v>0</v>
      </c>
      <c r="Q555" s="35"/>
    </row>
    <row r="556" spans="1:17" s="165" customFormat="1" ht="15" customHeight="1">
      <c r="A556" s="14"/>
      <c r="B556" s="38"/>
      <c r="C556" s="30" t="s">
        <v>39</v>
      </c>
      <c r="D556" s="138" t="s">
        <v>93</v>
      </c>
      <c r="E556" s="185" t="s">
        <v>1423</v>
      </c>
      <c r="F556" s="139" t="s">
        <v>8</v>
      </c>
      <c r="G556" s="139">
        <v>22474</v>
      </c>
      <c r="H556" s="138" t="s">
        <v>199</v>
      </c>
      <c r="I556" s="139" t="s">
        <v>21</v>
      </c>
      <c r="J556" s="139">
        <v>43515</v>
      </c>
      <c r="K556" s="184">
        <v>58</v>
      </c>
      <c r="L556" s="139">
        <v>43805</v>
      </c>
      <c r="M556" s="139"/>
      <c r="N556" s="189">
        <v>0</v>
      </c>
      <c r="O556" s="140">
        <v>5013.8099999999986</v>
      </c>
      <c r="Q556" s="35"/>
    </row>
    <row r="557" spans="1:17" s="165" customFormat="1" ht="15" customHeight="1">
      <c r="A557" s="14"/>
      <c r="B557" s="38"/>
      <c r="C557" s="30" t="s">
        <v>39</v>
      </c>
      <c r="D557" s="138" t="s">
        <v>727</v>
      </c>
      <c r="E557" s="185" t="s">
        <v>1424</v>
      </c>
      <c r="F557" s="139" t="s">
        <v>10</v>
      </c>
      <c r="G557" s="139">
        <v>30024</v>
      </c>
      <c r="H557" s="138" t="s">
        <v>200</v>
      </c>
      <c r="I557" s="139" t="s">
        <v>21</v>
      </c>
      <c r="J557" s="139">
        <v>43740</v>
      </c>
      <c r="K557" s="184">
        <v>37</v>
      </c>
      <c r="L557" s="139"/>
      <c r="M557" s="139">
        <v>43958</v>
      </c>
      <c r="N557" s="189">
        <v>218</v>
      </c>
      <c r="O557" s="140">
        <v>0</v>
      </c>
      <c r="Q557" s="35"/>
    </row>
    <row r="558" spans="1:17" s="165" customFormat="1" ht="15" customHeight="1">
      <c r="A558" s="14"/>
      <c r="B558" s="38"/>
      <c r="C558" s="30" t="s">
        <v>39</v>
      </c>
      <c r="D558" s="138" t="s">
        <v>728</v>
      </c>
      <c r="E558" s="185" t="s">
        <v>1425</v>
      </c>
      <c r="F558" s="139" t="s">
        <v>8</v>
      </c>
      <c r="G558" s="139">
        <v>20763</v>
      </c>
      <c r="H558" s="138" t="s">
        <v>199</v>
      </c>
      <c r="I558" s="139" t="s">
        <v>21</v>
      </c>
      <c r="J558" s="139">
        <v>43797</v>
      </c>
      <c r="K558" s="184">
        <v>63</v>
      </c>
      <c r="L558" s="139"/>
      <c r="M558" s="139">
        <v>43851</v>
      </c>
      <c r="N558" s="189">
        <v>54</v>
      </c>
      <c r="O558" s="140">
        <v>0</v>
      </c>
      <c r="Q558" s="35"/>
    </row>
    <row r="559" spans="1:17" s="165" customFormat="1" ht="15" customHeight="1">
      <c r="A559" s="14"/>
      <c r="B559" s="38"/>
      <c r="C559" s="30" t="s">
        <v>39</v>
      </c>
      <c r="D559" s="138" t="s">
        <v>729</v>
      </c>
      <c r="E559" s="185" t="s">
        <v>1426</v>
      </c>
      <c r="F559" s="139" t="s">
        <v>8</v>
      </c>
      <c r="G559" s="139">
        <v>19907</v>
      </c>
      <c r="H559" s="138" t="s">
        <v>200</v>
      </c>
      <c r="I559" s="139" t="s">
        <v>21</v>
      </c>
      <c r="J559" s="139">
        <v>43773</v>
      </c>
      <c r="K559" s="184">
        <v>65</v>
      </c>
      <c r="L559" s="139"/>
      <c r="M559" s="139">
        <v>43811</v>
      </c>
      <c r="N559" s="189">
        <v>38</v>
      </c>
      <c r="O559" s="140">
        <v>0</v>
      </c>
      <c r="Q559" s="35"/>
    </row>
    <row r="560" spans="1:17" s="165" customFormat="1" ht="15" customHeight="1">
      <c r="A560" s="14"/>
      <c r="B560" s="38"/>
      <c r="C560" s="30" t="s">
        <v>39</v>
      </c>
      <c r="D560" s="138" t="s">
        <v>730</v>
      </c>
      <c r="E560" s="185" t="s">
        <v>1426</v>
      </c>
      <c r="F560" s="139" t="s">
        <v>8</v>
      </c>
      <c r="G560" s="139">
        <v>19907</v>
      </c>
      <c r="H560" s="138" t="s">
        <v>200</v>
      </c>
      <c r="I560" s="139" t="s">
        <v>21</v>
      </c>
      <c r="J560" s="139">
        <v>43817</v>
      </c>
      <c r="K560" s="184">
        <v>65</v>
      </c>
      <c r="L560" s="139"/>
      <c r="M560" s="139"/>
      <c r="N560" s="189">
        <v>0</v>
      </c>
      <c r="O560" s="140">
        <v>0</v>
      </c>
      <c r="Q560" s="35"/>
    </row>
    <row r="561" spans="1:17" s="165" customFormat="1" ht="15" customHeight="1">
      <c r="A561" s="14"/>
      <c r="B561" s="38"/>
      <c r="C561" s="30" t="s">
        <v>39</v>
      </c>
      <c r="D561" s="138" t="s">
        <v>731</v>
      </c>
      <c r="E561" s="185" t="s">
        <v>1427</v>
      </c>
      <c r="F561" s="139" t="s">
        <v>8</v>
      </c>
      <c r="G561" s="139">
        <v>31644</v>
      </c>
      <c r="H561" s="138" t="s">
        <v>199</v>
      </c>
      <c r="I561" s="139" t="s">
        <v>21</v>
      </c>
      <c r="J561" s="139">
        <v>43781</v>
      </c>
      <c r="K561" s="184">
        <v>33</v>
      </c>
      <c r="L561" s="139"/>
      <c r="M561" s="139">
        <v>43836</v>
      </c>
      <c r="N561" s="189">
        <v>55</v>
      </c>
      <c r="O561" s="140">
        <v>0</v>
      </c>
      <c r="Q561" s="35"/>
    </row>
    <row r="562" spans="1:17" s="165" customFormat="1" ht="15" customHeight="1">
      <c r="A562" s="14"/>
      <c r="B562" s="38"/>
      <c r="C562" s="30" t="s">
        <v>39</v>
      </c>
      <c r="D562" s="138" t="s">
        <v>732</v>
      </c>
      <c r="E562" s="185" t="s">
        <v>1428</v>
      </c>
      <c r="F562" s="139" t="s">
        <v>8</v>
      </c>
      <c r="G562" s="139">
        <v>31202</v>
      </c>
      <c r="H562" s="138" t="s">
        <v>199</v>
      </c>
      <c r="I562" s="139" t="s">
        <v>21</v>
      </c>
      <c r="J562" s="139">
        <v>43717</v>
      </c>
      <c r="K562" s="184">
        <v>34</v>
      </c>
      <c r="L562" s="139"/>
      <c r="M562" s="139">
        <v>43781</v>
      </c>
      <c r="N562" s="189">
        <v>64</v>
      </c>
      <c r="O562" s="140">
        <v>0</v>
      </c>
      <c r="Q562" s="35"/>
    </row>
    <row r="563" spans="1:17" s="165" customFormat="1" ht="15" customHeight="1">
      <c r="A563" s="14"/>
      <c r="B563" s="38"/>
      <c r="C563" s="30" t="s">
        <v>39</v>
      </c>
      <c r="D563" s="138" t="s">
        <v>733</v>
      </c>
      <c r="E563" s="185" t="s">
        <v>1429</v>
      </c>
      <c r="F563" s="139" t="s">
        <v>10</v>
      </c>
      <c r="G563" s="139">
        <v>27866</v>
      </c>
      <c r="H563" s="138" t="s">
        <v>199</v>
      </c>
      <c r="I563" s="139" t="s">
        <v>21</v>
      </c>
      <c r="J563" s="139">
        <v>43509</v>
      </c>
      <c r="K563" s="184">
        <v>43</v>
      </c>
      <c r="L563" s="139">
        <v>43541</v>
      </c>
      <c r="M563" s="139">
        <v>43541</v>
      </c>
      <c r="N563" s="189">
        <v>32</v>
      </c>
      <c r="O563" s="140">
        <v>135.78</v>
      </c>
      <c r="Q563" s="35"/>
    </row>
    <row r="564" spans="1:17" s="165" customFormat="1" ht="15" customHeight="1">
      <c r="A564" s="14"/>
      <c r="B564" s="38"/>
      <c r="C564" s="30" t="s">
        <v>39</v>
      </c>
      <c r="D564" s="138" t="s">
        <v>734</v>
      </c>
      <c r="E564" s="185" t="s">
        <v>1430</v>
      </c>
      <c r="F564" s="139" t="s">
        <v>8</v>
      </c>
      <c r="G564" s="139">
        <v>24500</v>
      </c>
      <c r="H564" s="138" t="s">
        <v>199</v>
      </c>
      <c r="I564" s="139" t="s">
        <v>21</v>
      </c>
      <c r="J564" s="139">
        <v>43544</v>
      </c>
      <c r="K564" s="184">
        <v>52</v>
      </c>
      <c r="L564" s="139">
        <v>43672</v>
      </c>
      <c r="M564" s="139">
        <v>43672</v>
      </c>
      <c r="N564" s="189">
        <v>128</v>
      </c>
      <c r="O564" s="140">
        <v>2990.79</v>
      </c>
      <c r="Q564" s="35"/>
    </row>
    <row r="565" spans="1:17" s="165" customFormat="1" ht="15" customHeight="1">
      <c r="A565" s="14"/>
      <c r="B565" s="38"/>
      <c r="C565" s="30" t="s">
        <v>39</v>
      </c>
      <c r="D565" s="138" t="s">
        <v>735</v>
      </c>
      <c r="E565" s="185" t="s">
        <v>1431</v>
      </c>
      <c r="F565" s="139" t="s">
        <v>8</v>
      </c>
      <c r="G565" s="139">
        <v>28829</v>
      </c>
      <c r="H565" s="138" t="s">
        <v>199</v>
      </c>
      <c r="I565" s="139" t="s">
        <v>21</v>
      </c>
      <c r="J565" s="139">
        <v>43778</v>
      </c>
      <c r="K565" s="184">
        <v>41</v>
      </c>
      <c r="L565" s="139"/>
      <c r="M565" s="139">
        <v>44213</v>
      </c>
      <c r="N565" s="189">
        <v>435</v>
      </c>
      <c r="O565" s="140">
        <v>0</v>
      </c>
      <c r="Q565" s="35"/>
    </row>
    <row r="566" spans="1:17" s="165" customFormat="1" ht="15" customHeight="1">
      <c r="A566" s="14"/>
      <c r="B566" s="38"/>
      <c r="C566" s="30" t="s">
        <v>39</v>
      </c>
      <c r="D566" s="138" t="s">
        <v>736</v>
      </c>
      <c r="E566" s="185" t="s">
        <v>1432</v>
      </c>
      <c r="F566" s="139" t="s">
        <v>8</v>
      </c>
      <c r="G566" s="139">
        <v>31296</v>
      </c>
      <c r="H566" s="138" t="s">
        <v>199</v>
      </c>
      <c r="I566" s="139" t="s">
        <v>21</v>
      </c>
      <c r="J566" s="139">
        <v>43542</v>
      </c>
      <c r="K566" s="184">
        <v>34</v>
      </c>
      <c r="L566" s="139">
        <v>43712</v>
      </c>
      <c r="M566" s="139">
        <v>43712</v>
      </c>
      <c r="N566" s="189">
        <v>170</v>
      </c>
      <c r="O566" s="140">
        <v>7003.47</v>
      </c>
      <c r="Q566" s="35"/>
    </row>
    <row r="567" spans="1:17" s="165" customFormat="1" ht="15" customHeight="1">
      <c r="A567" s="14"/>
      <c r="B567" s="38"/>
      <c r="C567" s="30" t="s">
        <v>39</v>
      </c>
      <c r="D567" s="138" t="s">
        <v>737</v>
      </c>
      <c r="E567" s="185" t="s">
        <v>1433</v>
      </c>
      <c r="F567" s="139" t="s">
        <v>8</v>
      </c>
      <c r="G567" s="139">
        <v>31646</v>
      </c>
      <c r="H567" s="138" t="s">
        <v>200</v>
      </c>
      <c r="I567" s="139" t="s">
        <v>21</v>
      </c>
      <c r="J567" s="139">
        <v>43549</v>
      </c>
      <c r="K567" s="184">
        <v>33</v>
      </c>
      <c r="L567" s="139">
        <v>43639</v>
      </c>
      <c r="M567" s="139">
        <v>43639</v>
      </c>
      <c r="N567" s="189">
        <v>90</v>
      </c>
      <c r="O567" s="140">
        <v>591.70000000000005</v>
      </c>
      <c r="Q567" s="35"/>
    </row>
    <row r="568" spans="1:17" s="165" customFormat="1" ht="15" customHeight="1">
      <c r="A568" s="14"/>
      <c r="B568" s="38"/>
      <c r="C568" s="30" t="s">
        <v>39</v>
      </c>
      <c r="D568" s="138" t="s">
        <v>170</v>
      </c>
      <c r="E568" s="185" t="s">
        <v>1434</v>
      </c>
      <c r="F568" s="139" t="s">
        <v>8</v>
      </c>
      <c r="G568" s="139">
        <v>27514</v>
      </c>
      <c r="H568" s="138" t="s">
        <v>199</v>
      </c>
      <c r="I568" s="139" t="s">
        <v>21</v>
      </c>
      <c r="J568" s="139">
        <v>43665</v>
      </c>
      <c r="K568" s="184">
        <v>44</v>
      </c>
      <c r="L568" s="139">
        <v>43784</v>
      </c>
      <c r="M568" s="139">
        <v>43848</v>
      </c>
      <c r="N568" s="189">
        <v>183</v>
      </c>
      <c r="O568" s="140">
        <v>1591.1999999999998</v>
      </c>
      <c r="Q568" s="35"/>
    </row>
    <row r="569" spans="1:17" s="165" customFormat="1" ht="15" customHeight="1">
      <c r="A569" s="14"/>
      <c r="B569" s="38"/>
      <c r="C569" s="30" t="s">
        <v>39</v>
      </c>
      <c r="D569" s="138" t="s">
        <v>738</v>
      </c>
      <c r="E569" s="185" t="s">
        <v>1435</v>
      </c>
      <c r="F569" s="139" t="s">
        <v>8</v>
      </c>
      <c r="G569" s="139">
        <v>28694</v>
      </c>
      <c r="H569" s="138" t="s">
        <v>199</v>
      </c>
      <c r="I569" s="139" t="s">
        <v>21</v>
      </c>
      <c r="J569" s="139">
        <v>43630</v>
      </c>
      <c r="K569" s="184">
        <v>41</v>
      </c>
      <c r="L569" s="139">
        <v>43751</v>
      </c>
      <c r="M569" s="139">
        <v>43751</v>
      </c>
      <c r="N569" s="189">
        <v>121</v>
      </c>
      <c r="O569" s="140">
        <v>1207.04</v>
      </c>
      <c r="Q569" s="35"/>
    </row>
    <row r="570" spans="1:17" s="165" customFormat="1" ht="15" customHeight="1">
      <c r="A570" s="14"/>
      <c r="B570" s="38"/>
      <c r="C570" s="30" t="s">
        <v>39</v>
      </c>
      <c r="D570" s="138" t="s">
        <v>124</v>
      </c>
      <c r="E570" s="185" t="s">
        <v>1436</v>
      </c>
      <c r="F570" s="139" t="s">
        <v>8</v>
      </c>
      <c r="G570" s="139">
        <v>29156</v>
      </c>
      <c r="H570" s="138" t="s">
        <v>199</v>
      </c>
      <c r="I570" s="139" t="s">
        <v>21</v>
      </c>
      <c r="J570" s="139">
        <v>43600</v>
      </c>
      <c r="K570" s="184">
        <v>40</v>
      </c>
      <c r="L570" s="139">
        <v>43640</v>
      </c>
      <c r="M570" s="139"/>
      <c r="N570" s="189">
        <v>0</v>
      </c>
      <c r="O570" s="140">
        <v>350.02</v>
      </c>
      <c r="Q570" s="35"/>
    </row>
    <row r="571" spans="1:17" s="165" customFormat="1" ht="15" customHeight="1">
      <c r="A571" s="14"/>
      <c r="B571" s="38"/>
      <c r="C571" s="30" t="s">
        <v>39</v>
      </c>
      <c r="D571" s="138" t="s">
        <v>739</v>
      </c>
      <c r="E571" s="185" t="s">
        <v>1437</v>
      </c>
      <c r="F571" s="139" t="s">
        <v>8</v>
      </c>
      <c r="G571" s="139">
        <v>31419</v>
      </c>
      <c r="H571" s="138" t="s">
        <v>199</v>
      </c>
      <c r="I571" s="139" t="s">
        <v>21</v>
      </c>
      <c r="J571" s="139">
        <v>43709</v>
      </c>
      <c r="K571" s="184">
        <v>33</v>
      </c>
      <c r="L571" s="139"/>
      <c r="M571" s="139"/>
      <c r="N571" s="189">
        <v>0</v>
      </c>
      <c r="O571" s="140">
        <v>0</v>
      </c>
      <c r="Q571" s="35"/>
    </row>
    <row r="572" spans="1:17" s="165" customFormat="1" ht="15" customHeight="1">
      <c r="A572" s="14"/>
      <c r="B572" s="38"/>
      <c r="C572" s="30" t="s">
        <v>39</v>
      </c>
      <c r="D572" s="138" t="s">
        <v>740</v>
      </c>
      <c r="E572" s="185" t="s">
        <v>1438</v>
      </c>
      <c r="F572" s="139" t="s">
        <v>8</v>
      </c>
      <c r="G572" s="139">
        <v>31680</v>
      </c>
      <c r="H572" s="138" t="s">
        <v>199</v>
      </c>
      <c r="I572" s="139" t="s">
        <v>21</v>
      </c>
      <c r="J572" s="139">
        <v>43710</v>
      </c>
      <c r="K572" s="184">
        <v>33</v>
      </c>
      <c r="L572" s="139">
        <v>43801</v>
      </c>
      <c r="M572" s="139">
        <v>43812</v>
      </c>
      <c r="N572" s="189">
        <v>102</v>
      </c>
      <c r="O572" s="140">
        <v>1801.72</v>
      </c>
      <c r="Q572" s="35"/>
    </row>
    <row r="573" spans="1:17" s="165" customFormat="1" ht="15" customHeight="1">
      <c r="A573" s="14"/>
      <c r="B573" s="38"/>
      <c r="C573" s="30" t="s">
        <v>39</v>
      </c>
      <c r="D573" s="138" t="s">
        <v>741</v>
      </c>
      <c r="E573" s="185" t="s">
        <v>1439</v>
      </c>
      <c r="F573" s="139" t="s">
        <v>8</v>
      </c>
      <c r="G573" s="139">
        <v>29295</v>
      </c>
      <c r="H573" s="138" t="s">
        <v>199</v>
      </c>
      <c r="I573" s="139" t="s">
        <v>21</v>
      </c>
      <c r="J573" s="139">
        <v>43602</v>
      </c>
      <c r="K573" s="184">
        <v>39</v>
      </c>
      <c r="L573" s="139"/>
      <c r="M573" s="139">
        <v>43677</v>
      </c>
      <c r="N573" s="189">
        <v>75</v>
      </c>
      <c r="O573" s="140">
        <v>0</v>
      </c>
      <c r="Q573" s="35"/>
    </row>
    <row r="574" spans="1:17" s="165" customFormat="1" ht="15" customHeight="1">
      <c r="A574" s="14"/>
      <c r="B574" s="38"/>
      <c r="C574" s="30" t="s">
        <v>39</v>
      </c>
      <c r="D574" s="138" t="s">
        <v>742</v>
      </c>
      <c r="E574" s="185" t="s">
        <v>1440</v>
      </c>
      <c r="F574" s="139" t="s">
        <v>8</v>
      </c>
      <c r="G574" s="139">
        <v>23882</v>
      </c>
      <c r="H574" s="138" t="s">
        <v>199</v>
      </c>
      <c r="I574" s="139" t="s">
        <v>21</v>
      </c>
      <c r="J574" s="139">
        <v>43607</v>
      </c>
      <c r="K574" s="184">
        <v>54</v>
      </c>
      <c r="L574" s="139">
        <v>43709</v>
      </c>
      <c r="M574" s="139">
        <v>43709</v>
      </c>
      <c r="N574" s="189">
        <v>102</v>
      </c>
      <c r="O574" s="140">
        <v>4199.6899999999996</v>
      </c>
      <c r="Q574" s="35"/>
    </row>
    <row r="575" spans="1:17" s="165" customFormat="1" ht="15" customHeight="1">
      <c r="A575" s="14"/>
      <c r="B575" s="38"/>
      <c r="C575" s="30" t="s">
        <v>39</v>
      </c>
      <c r="D575" s="138" t="s">
        <v>743</v>
      </c>
      <c r="E575" s="185" t="s">
        <v>1441</v>
      </c>
      <c r="F575" s="139" t="s">
        <v>8</v>
      </c>
      <c r="G575" s="139">
        <v>26257</v>
      </c>
      <c r="H575" s="138" t="s">
        <v>199</v>
      </c>
      <c r="I575" s="139" t="s">
        <v>21</v>
      </c>
      <c r="J575" s="139">
        <v>43820</v>
      </c>
      <c r="K575" s="184">
        <v>48</v>
      </c>
      <c r="L575" s="139"/>
      <c r="M575" s="139">
        <v>43924</v>
      </c>
      <c r="N575" s="189">
        <v>104</v>
      </c>
      <c r="O575" s="140">
        <v>0</v>
      </c>
      <c r="Q575" s="35"/>
    </row>
    <row r="576" spans="1:17" s="165" customFormat="1" ht="15" customHeight="1">
      <c r="A576" s="14"/>
      <c r="B576" s="38"/>
      <c r="C576" s="30" t="s">
        <v>39</v>
      </c>
      <c r="D576" s="138" t="s">
        <v>744</v>
      </c>
      <c r="E576" s="185" t="s">
        <v>1442</v>
      </c>
      <c r="F576" s="139" t="s">
        <v>8</v>
      </c>
      <c r="G576" s="139">
        <v>21306</v>
      </c>
      <c r="H576" s="138" t="s">
        <v>200</v>
      </c>
      <c r="I576" s="139" t="s">
        <v>21</v>
      </c>
      <c r="J576" s="139">
        <v>43773</v>
      </c>
      <c r="K576" s="184">
        <v>61</v>
      </c>
      <c r="L576" s="139">
        <v>43800</v>
      </c>
      <c r="M576" s="139"/>
      <c r="N576" s="189">
        <v>0</v>
      </c>
      <c r="O576" s="140">
        <v>38999.909999999996</v>
      </c>
      <c r="Q576" s="35"/>
    </row>
    <row r="577" spans="1:17" s="165" customFormat="1" ht="15" customHeight="1">
      <c r="A577" s="14"/>
      <c r="B577" s="38"/>
      <c r="C577" s="30" t="s">
        <v>39</v>
      </c>
      <c r="D577" s="138" t="s">
        <v>745</v>
      </c>
      <c r="E577" s="185" t="s">
        <v>1443</v>
      </c>
      <c r="F577" s="139" t="s">
        <v>8</v>
      </c>
      <c r="G577" s="139">
        <v>28593</v>
      </c>
      <c r="H577" s="138" t="s">
        <v>200</v>
      </c>
      <c r="I577" s="139" t="s">
        <v>21</v>
      </c>
      <c r="J577" s="139">
        <v>43746</v>
      </c>
      <c r="K577" s="184">
        <v>41</v>
      </c>
      <c r="L577" s="139"/>
      <c r="M577" s="139">
        <v>44101</v>
      </c>
      <c r="N577" s="189">
        <v>355</v>
      </c>
      <c r="O577" s="140">
        <v>0</v>
      </c>
      <c r="Q577" s="35"/>
    </row>
    <row r="578" spans="1:17" s="165" customFormat="1" ht="15" customHeight="1">
      <c r="A578" s="14"/>
      <c r="B578" s="38"/>
      <c r="C578" s="30" t="s">
        <v>39</v>
      </c>
      <c r="D578" s="138" t="s">
        <v>746</v>
      </c>
      <c r="E578" s="185" t="s">
        <v>1444</v>
      </c>
      <c r="F578" s="139" t="s">
        <v>8</v>
      </c>
      <c r="G578" s="139">
        <v>31498</v>
      </c>
      <c r="H578" s="138" t="s">
        <v>199</v>
      </c>
      <c r="I578" s="139" t="s">
        <v>21</v>
      </c>
      <c r="J578" s="139">
        <v>43721</v>
      </c>
      <c r="K578" s="184">
        <v>33</v>
      </c>
      <c r="L578" s="139"/>
      <c r="M578" s="139">
        <v>43768</v>
      </c>
      <c r="N578" s="189">
        <v>47</v>
      </c>
      <c r="O578" s="140">
        <v>0</v>
      </c>
      <c r="Q578" s="35"/>
    </row>
    <row r="579" spans="1:17" s="165" customFormat="1" ht="15" customHeight="1">
      <c r="A579" s="14"/>
      <c r="B579" s="38"/>
      <c r="C579" s="30" t="s">
        <v>39</v>
      </c>
      <c r="D579" s="138" t="s">
        <v>747</v>
      </c>
      <c r="E579" s="185" t="s">
        <v>1445</v>
      </c>
      <c r="F579" s="139" t="s">
        <v>8</v>
      </c>
      <c r="G579" s="139">
        <v>28491</v>
      </c>
      <c r="H579" s="138" t="s">
        <v>199</v>
      </c>
      <c r="I579" s="139" t="s">
        <v>21</v>
      </c>
      <c r="J579" s="139">
        <v>43722</v>
      </c>
      <c r="K579" s="184">
        <v>41</v>
      </c>
      <c r="L579" s="139"/>
      <c r="M579" s="139">
        <v>43779</v>
      </c>
      <c r="N579" s="189">
        <v>57</v>
      </c>
      <c r="O579" s="140">
        <v>0</v>
      </c>
      <c r="Q579" s="35"/>
    </row>
    <row r="580" spans="1:17" s="165" customFormat="1" ht="15" customHeight="1">
      <c r="A580" s="14"/>
      <c r="B580" s="38"/>
      <c r="C580" s="30" t="s">
        <v>39</v>
      </c>
      <c r="D580" s="138" t="s">
        <v>748</v>
      </c>
      <c r="E580" s="185" t="s">
        <v>1446</v>
      </c>
      <c r="F580" s="139" t="s">
        <v>8</v>
      </c>
      <c r="G580" s="139">
        <v>25073</v>
      </c>
      <c r="H580" s="138" t="s">
        <v>199</v>
      </c>
      <c r="I580" s="139" t="s">
        <v>21</v>
      </c>
      <c r="J580" s="139">
        <v>43647</v>
      </c>
      <c r="K580" s="184">
        <v>51</v>
      </c>
      <c r="L580" s="139"/>
      <c r="M580" s="139">
        <v>44050</v>
      </c>
      <c r="N580" s="189">
        <v>403</v>
      </c>
      <c r="O580" s="140">
        <v>0</v>
      </c>
      <c r="Q580" s="35"/>
    </row>
    <row r="581" spans="1:17" s="165" customFormat="1" ht="15" customHeight="1">
      <c r="A581" s="14"/>
      <c r="B581" s="38"/>
      <c r="C581" s="30" t="s">
        <v>39</v>
      </c>
      <c r="D581" s="138" t="s">
        <v>749</v>
      </c>
      <c r="E581" s="185" t="s">
        <v>1447</v>
      </c>
      <c r="F581" s="139" t="s">
        <v>8</v>
      </c>
      <c r="G581" s="139">
        <v>32407</v>
      </c>
      <c r="H581" s="138" t="s">
        <v>199</v>
      </c>
      <c r="I581" s="139" t="s">
        <v>21</v>
      </c>
      <c r="J581" s="139">
        <v>43635</v>
      </c>
      <c r="K581" s="184">
        <v>31</v>
      </c>
      <c r="L581" s="139">
        <v>43672</v>
      </c>
      <c r="M581" s="139">
        <v>43672</v>
      </c>
      <c r="N581" s="189">
        <v>37</v>
      </c>
      <c r="O581" s="140">
        <v>131.28</v>
      </c>
      <c r="Q581" s="35"/>
    </row>
    <row r="582" spans="1:17" s="165" customFormat="1" ht="15" customHeight="1">
      <c r="A582" s="14"/>
      <c r="B582" s="38"/>
      <c r="C582" s="30" t="s">
        <v>39</v>
      </c>
      <c r="D582" s="138" t="s">
        <v>120</v>
      </c>
      <c r="E582" s="185" t="s">
        <v>1448</v>
      </c>
      <c r="F582" s="139" t="s">
        <v>8</v>
      </c>
      <c r="G582" s="139">
        <v>29098</v>
      </c>
      <c r="H582" s="138" t="s">
        <v>199</v>
      </c>
      <c r="I582" s="139" t="s">
        <v>21</v>
      </c>
      <c r="J582" s="139">
        <v>43521</v>
      </c>
      <c r="K582" s="184">
        <v>40</v>
      </c>
      <c r="L582" s="139">
        <v>43788</v>
      </c>
      <c r="M582" s="139">
        <v>43616</v>
      </c>
      <c r="N582" s="189">
        <v>95</v>
      </c>
      <c r="O582" s="140">
        <v>8317.65</v>
      </c>
      <c r="Q582" s="35"/>
    </row>
    <row r="583" spans="1:17" s="165" customFormat="1" ht="15" customHeight="1">
      <c r="A583" s="14"/>
      <c r="B583" s="38"/>
      <c r="C583" s="30" t="s">
        <v>39</v>
      </c>
      <c r="D583" s="138" t="s">
        <v>120</v>
      </c>
      <c r="E583" s="185" t="s">
        <v>1448</v>
      </c>
      <c r="F583" s="139" t="s">
        <v>8</v>
      </c>
      <c r="G583" s="139">
        <v>29098</v>
      </c>
      <c r="H583" s="138" t="s">
        <v>199</v>
      </c>
      <c r="I583" s="139" t="s">
        <v>21</v>
      </c>
      <c r="J583" s="139">
        <v>43643</v>
      </c>
      <c r="K583" s="184">
        <v>40</v>
      </c>
      <c r="L583" s="139">
        <v>43788</v>
      </c>
      <c r="M583" s="139">
        <v>43890</v>
      </c>
      <c r="N583" s="189">
        <v>247</v>
      </c>
      <c r="O583" s="140">
        <v>8317.65</v>
      </c>
      <c r="Q583" s="35"/>
    </row>
    <row r="584" spans="1:17" s="165" customFormat="1" ht="15" customHeight="1">
      <c r="A584" s="14"/>
      <c r="B584" s="38"/>
      <c r="C584" s="30" t="s">
        <v>39</v>
      </c>
      <c r="D584" s="138" t="s">
        <v>750</v>
      </c>
      <c r="E584" s="185" t="s">
        <v>1449</v>
      </c>
      <c r="F584" s="139" t="s">
        <v>8</v>
      </c>
      <c r="G584" s="139">
        <v>26614</v>
      </c>
      <c r="H584" s="138" t="s">
        <v>199</v>
      </c>
      <c r="I584" s="139" t="s">
        <v>21</v>
      </c>
      <c r="J584" s="139">
        <v>43735</v>
      </c>
      <c r="K584" s="184">
        <v>47</v>
      </c>
      <c r="L584" s="139"/>
      <c r="M584" s="139"/>
      <c r="N584" s="189">
        <v>0</v>
      </c>
      <c r="O584" s="140">
        <v>0</v>
      </c>
      <c r="Q584" s="35"/>
    </row>
    <row r="585" spans="1:17" s="165" customFormat="1" ht="15" customHeight="1">
      <c r="A585" s="14"/>
      <c r="B585" s="38"/>
      <c r="C585" s="30" t="s">
        <v>39</v>
      </c>
      <c r="D585" s="138" t="s">
        <v>751</v>
      </c>
      <c r="E585" s="185" t="s">
        <v>1450</v>
      </c>
      <c r="F585" s="139" t="s">
        <v>8</v>
      </c>
      <c r="G585" s="139">
        <v>27541</v>
      </c>
      <c r="H585" s="138" t="s">
        <v>199</v>
      </c>
      <c r="I585" s="139" t="s">
        <v>21</v>
      </c>
      <c r="J585" s="139">
        <v>43472</v>
      </c>
      <c r="K585" s="184">
        <v>44</v>
      </c>
      <c r="L585" s="139">
        <v>43555</v>
      </c>
      <c r="M585" s="139">
        <v>43555</v>
      </c>
      <c r="N585" s="189">
        <v>83</v>
      </c>
      <c r="O585" s="140">
        <v>339.66</v>
      </c>
      <c r="Q585" s="35"/>
    </row>
    <row r="586" spans="1:17" s="165" customFormat="1" ht="15" customHeight="1">
      <c r="A586" s="14"/>
      <c r="B586" s="38"/>
      <c r="C586" s="30" t="s">
        <v>39</v>
      </c>
      <c r="D586" s="138" t="s">
        <v>115</v>
      </c>
      <c r="E586" s="185" t="s">
        <v>1451</v>
      </c>
      <c r="F586" s="139" t="s">
        <v>8</v>
      </c>
      <c r="G586" s="139">
        <v>31378</v>
      </c>
      <c r="H586" s="138" t="s">
        <v>200</v>
      </c>
      <c r="I586" s="139" t="s">
        <v>21</v>
      </c>
      <c r="J586" s="139">
        <v>43504</v>
      </c>
      <c r="K586" s="184">
        <v>34</v>
      </c>
      <c r="L586" s="139">
        <v>43803</v>
      </c>
      <c r="M586" s="139">
        <v>44080</v>
      </c>
      <c r="N586" s="189">
        <v>576</v>
      </c>
      <c r="O586" s="140">
        <v>4843.7999999999993</v>
      </c>
      <c r="Q586" s="35"/>
    </row>
    <row r="587" spans="1:17" s="165" customFormat="1" ht="15" customHeight="1">
      <c r="A587" s="14"/>
      <c r="B587" s="38"/>
      <c r="C587" s="30" t="s">
        <v>39</v>
      </c>
      <c r="D587" s="138" t="s">
        <v>752</v>
      </c>
      <c r="E587" s="185" t="s">
        <v>1452</v>
      </c>
      <c r="F587" s="139" t="s">
        <v>8</v>
      </c>
      <c r="G587" s="139">
        <v>31520</v>
      </c>
      <c r="H587" s="138" t="s">
        <v>200</v>
      </c>
      <c r="I587" s="139" t="s">
        <v>21</v>
      </c>
      <c r="J587" s="139">
        <v>43578</v>
      </c>
      <c r="K587" s="184">
        <v>33</v>
      </c>
      <c r="L587" s="139">
        <v>43635</v>
      </c>
      <c r="M587" s="139">
        <v>43635</v>
      </c>
      <c r="N587" s="189">
        <v>57</v>
      </c>
      <c r="O587" s="140">
        <v>1086.68</v>
      </c>
      <c r="Q587" s="35"/>
    </row>
    <row r="588" spans="1:17" s="165" customFormat="1" ht="15" customHeight="1">
      <c r="A588" s="14"/>
      <c r="B588" s="38"/>
      <c r="C588" s="30" t="s">
        <v>39</v>
      </c>
      <c r="D588" s="138" t="s">
        <v>753</v>
      </c>
      <c r="E588" s="185" t="s">
        <v>1453</v>
      </c>
      <c r="F588" s="139" t="s">
        <v>8</v>
      </c>
      <c r="G588" s="139">
        <v>32239</v>
      </c>
      <c r="H588" s="138" t="s">
        <v>199</v>
      </c>
      <c r="I588" s="139" t="s">
        <v>21</v>
      </c>
      <c r="J588" s="139">
        <v>43539</v>
      </c>
      <c r="K588" s="184">
        <v>31</v>
      </c>
      <c r="L588" s="139">
        <v>43703</v>
      </c>
      <c r="M588" s="139"/>
      <c r="N588" s="189">
        <v>0</v>
      </c>
      <c r="O588" s="140">
        <v>3189.78</v>
      </c>
      <c r="Q588" s="35"/>
    </row>
    <row r="589" spans="1:17" s="165" customFormat="1" ht="15" customHeight="1">
      <c r="A589" s="14"/>
      <c r="B589" s="38"/>
      <c r="C589" s="30" t="s">
        <v>39</v>
      </c>
      <c r="D589" s="138" t="s">
        <v>192</v>
      </c>
      <c r="E589" s="185" t="s">
        <v>1454</v>
      </c>
      <c r="F589" s="139" t="s">
        <v>8</v>
      </c>
      <c r="G589" s="139">
        <v>29317</v>
      </c>
      <c r="H589" s="138" t="s">
        <v>200</v>
      </c>
      <c r="I589" s="139" t="s">
        <v>21</v>
      </c>
      <c r="J589" s="139">
        <v>43672</v>
      </c>
      <c r="K589" s="184">
        <v>39</v>
      </c>
      <c r="L589" s="139">
        <v>43734</v>
      </c>
      <c r="M589" s="139">
        <v>43734</v>
      </c>
      <c r="N589" s="189">
        <v>62</v>
      </c>
      <c r="O589" s="140">
        <v>1186.68</v>
      </c>
      <c r="Q589" s="35"/>
    </row>
    <row r="590" spans="1:17" s="165" customFormat="1" ht="15" customHeight="1">
      <c r="A590" s="14"/>
      <c r="B590" s="38"/>
      <c r="C590" s="30" t="s">
        <v>39</v>
      </c>
      <c r="D590" s="138" t="s">
        <v>754</v>
      </c>
      <c r="E590" s="185" t="s">
        <v>1455</v>
      </c>
      <c r="F590" s="139" t="s">
        <v>8</v>
      </c>
      <c r="G590" s="139">
        <v>33608</v>
      </c>
      <c r="H590" s="138" t="s">
        <v>199</v>
      </c>
      <c r="I590" s="139" t="s">
        <v>21</v>
      </c>
      <c r="J590" s="139">
        <v>43633</v>
      </c>
      <c r="K590" s="184">
        <v>27</v>
      </c>
      <c r="L590" s="139">
        <v>43740</v>
      </c>
      <c r="M590" s="139">
        <v>43740</v>
      </c>
      <c r="N590" s="189">
        <v>107</v>
      </c>
      <c r="O590" s="140">
        <v>1938.3</v>
      </c>
      <c r="Q590" s="35"/>
    </row>
    <row r="591" spans="1:17" s="165" customFormat="1" ht="15" customHeight="1">
      <c r="A591" s="14"/>
      <c r="B591" s="38"/>
      <c r="C591" s="30" t="s">
        <v>39</v>
      </c>
      <c r="D591" s="138" t="s">
        <v>755</v>
      </c>
      <c r="E591" s="185" t="s">
        <v>1456</v>
      </c>
      <c r="F591" s="139" t="s">
        <v>8</v>
      </c>
      <c r="G591" s="139">
        <v>30000</v>
      </c>
      <c r="H591" s="138" t="s">
        <v>199</v>
      </c>
      <c r="I591" s="139" t="s">
        <v>21</v>
      </c>
      <c r="J591" s="139">
        <v>43727</v>
      </c>
      <c r="K591" s="184">
        <v>37</v>
      </c>
      <c r="L591" s="139"/>
      <c r="M591" s="139">
        <v>43835</v>
      </c>
      <c r="N591" s="189">
        <v>108</v>
      </c>
      <c r="O591" s="140">
        <v>0</v>
      </c>
      <c r="Q591" s="35"/>
    </row>
    <row r="592" spans="1:17" s="165" customFormat="1" ht="15" customHeight="1">
      <c r="A592" s="14"/>
      <c r="B592" s="38"/>
      <c r="C592" s="30" t="s">
        <v>39</v>
      </c>
      <c r="D592" s="138" t="s">
        <v>756</v>
      </c>
      <c r="E592" s="185" t="s">
        <v>1457</v>
      </c>
      <c r="F592" s="139" t="s">
        <v>8</v>
      </c>
      <c r="G592" s="139">
        <v>32650</v>
      </c>
      <c r="H592" s="138" t="s">
        <v>199</v>
      </c>
      <c r="I592" s="139" t="s">
        <v>21</v>
      </c>
      <c r="J592" s="139">
        <v>43742</v>
      </c>
      <c r="K592" s="184">
        <v>30</v>
      </c>
      <c r="L592" s="139"/>
      <c r="M592" s="139">
        <v>43773</v>
      </c>
      <c r="N592" s="189">
        <v>31</v>
      </c>
      <c r="O592" s="140">
        <v>0</v>
      </c>
      <c r="Q592" s="35"/>
    </row>
    <row r="593" spans="1:17" s="165" customFormat="1" ht="15" customHeight="1">
      <c r="A593" s="14"/>
      <c r="B593" s="38"/>
      <c r="C593" s="30" t="s">
        <v>39</v>
      </c>
      <c r="D593" s="138" t="s">
        <v>757</v>
      </c>
      <c r="E593" s="185" t="s">
        <v>1458</v>
      </c>
      <c r="F593" s="139" t="s">
        <v>8</v>
      </c>
      <c r="G593" s="139">
        <v>33704</v>
      </c>
      <c r="H593" s="138" t="s">
        <v>199</v>
      </c>
      <c r="I593" s="139" t="s">
        <v>21</v>
      </c>
      <c r="J593" s="139">
        <v>43694</v>
      </c>
      <c r="K593" s="184">
        <v>27</v>
      </c>
      <c r="L593" s="139"/>
      <c r="M593" s="139">
        <v>43893</v>
      </c>
      <c r="N593" s="189">
        <v>199</v>
      </c>
      <c r="O593" s="140">
        <v>0</v>
      </c>
      <c r="Q593" s="35"/>
    </row>
    <row r="594" spans="1:17" s="165" customFormat="1" ht="15" customHeight="1">
      <c r="A594" s="14"/>
      <c r="B594" s="38"/>
      <c r="C594" s="30" t="s">
        <v>39</v>
      </c>
      <c r="D594" s="138" t="s">
        <v>111</v>
      </c>
      <c r="E594" s="185" t="s">
        <v>1459</v>
      </c>
      <c r="F594" s="139" t="s">
        <v>8</v>
      </c>
      <c r="G594" s="139">
        <v>29819</v>
      </c>
      <c r="H594" s="138" t="s">
        <v>199</v>
      </c>
      <c r="I594" s="139" t="s">
        <v>21</v>
      </c>
      <c r="J594" s="139">
        <v>43532</v>
      </c>
      <c r="K594" s="184">
        <v>38</v>
      </c>
      <c r="L594" s="139">
        <v>43787</v>
      </c>
      <c r="M594" s="139">
        <v>43890</v>
      </c>
      <c r="N594" s="189">
        <v>358</v>
      </c>
      <c r="O594" s="140">
        <v>12692.16</v>
      </c>
      <c r="Q594" s="35"/>
    </row>
    <row r="595" spans="1:17" s="165" customFormat="1" ht="15" customHeight="1">
      <c r="A595" s="14"/>
      <c r="B595" s="38"/>
      <c r="C595" s="30" t="s">
        <v>39</v>
      </c>
      <c r="D595" s="138" t="s">
        <v>758</v>
      </c>
      <c r="E595" s="185" t="s">
        <v>1460</v>
      </c>
      <c r="F595" s="139" t="s">
        <v>8</v>
      </c>
      <c r="G595" s="139">
        <v>26135</v>
      </c>
      <c r="H595" s="138" t="s">
        <v>200</v>
      </c>
      <c r="I595" s="139" t="s">
        <v>21</v>
      </c>
      <c r="J595" s="139">
        <v>43472</v>
      </c>
      <c r="K595" s="184">
        <v>48</v>
      </c>
      <c r="L595" s="139"/>
      <c r="M595" s="139">
        <v>43513</v>
      </c>
      <c r="N595" s="189">
        <v>41</v>
      </c>
      <c r="O595" s="140">
        <v>0</v>
      </c>
      <c r="Q595" s="35"/>
    </row>
    <row r="596" spans="1:17" s="165" customFormat="1" ht="15" customHeight="1">
      <c r="A596" s="14"/>
      <c r="B596" s="38"/>
      <c r="C596" s="30" t="s">
        <v>39</v>
      </c>
      <c r="D596" s="138" t="s">
        <v>758</v>
      </c>
      <c r="E596" s="185" t="s">
        <v>1460</v>
      </c>
      <c r="F596" s="139" t="s">
        <v>8</v>
      </c>
      <c r="G596" s="139">
        <v>26135</v>
      </c>
      <c r="H596" s="138" t="s">
        <v>200</v>
      </c>
      <c r="I596" s="139" t="s">
        <v>21</v>
      </c>
      <c r="J596" s="139">
        <v>43515</v>
      </c>
      <c r="K596" s="184">
        <v>48</v>
      </c>
      <c r="L596" s="139"/>
      <c r="M596" s="139">
        <v>43518</v>
      </c>
      <c r="N596" s="189">
        <v>3</v>
      </c>
      <c r="O596" s="140">
        <v>0</v>
      </c>
      <c r="Q596" s="35"/>
    </row>
    <row r="597" spans="1:17" s="165" customFormat="1" ht="15" customHeight="1">
      <c r="A597" s="14"/>
      <c r="B597" s="38"/>
      <c r="C597" s="30" t="s">
        <v>39</v>
      </c>
      <c r="D597" s="138" t="s">
        <v>759</v>
      </c>
      <c r="E597" s="185" t="s">
        <v>1461</v>
      </c>
      <c r="F597" s="139" t="s">
        <v>8</v>
      </c>
      <c r="G597" s="139">
        <v>29122</v>
      </c>
      <c r="H597" s="138" t="s">
        <v>199</v>
      </c>
      <c r="I597" s="139" t="s">
        <v>21</v>
      </c>
      <c r="J597" s="139">
        <v>43740</v>
      </c>
      <c r="K597" s="184">
        <v>40</v>
      </c>
      <c r="L597" s="139"/>
      <c r="M597" s="139">
        <v>43822</v>
      </c>
      <c r="N597" s="189">
        <v>82</v>
      </c>
      <c r="O597" s="140">
        <v>0</v>
      </c>
      <c r="Q597" s="35"/>
    </row>
    <row r="598" spans="1:17" s="165" customFormat="1" ht="15" customHeight="1">
      <c r="A598" s="14"/>
      <c r="B598" s="38"/>
      <c r="C598" s="30" t="s">
        <v>39</v>
      </c>
      <c r="D598" s="138" t="s">
        <v>760</v>
      </c>
      <c r="E598" s="185" t="s">
        <v>1462</v>
      </c>
      <c r="F598" s="139" t="s">
        <v>8</v>
      </c>
      <c r="G598" s="139">
        <v>21671</v>
      </c>
      <c r="H598" s="138" t="s">
        <v>199</v>
      </c>
      <c r="I598" s="139" t="s">
        <v>21</v>
      </c>
      <c r="J598" s="139">
        <v>43677</v>
      </c>
      <c r="K598" s="184">
        <v>60</v>
      </c>
      <c r="L598" s="139"/>
      <c r="M598" s="139">
        <v>43771</v>
      </c>
      <c r="N598" s="189">
        <v>94</v>
      </c>
      <c r="O598" s="140">
        <v>0</v>
      </c>
      <c r="Q598" s="35"/>
    </row>
    <row r="599" spans="1:17" s="165" customFormat="1" ht="15" customHeight="1">
      <c r="A599" s="14"/>
      <c r="B599" s="38"/>
      <c r="C599" s="30" t="s">
        <v>39</v>
      </c>
      <c r="D599" s="138" t="s">
        <v>761</v>
      </c>
      <c r="E599" s="185" t="s">
        <v>1463</v>
      </c>
      <c r="F599" s="139" t="s">
        <v>8</v>
      </c>
      <c r="G599" s="139">
        <v>30319</v>
      </c>
      <c r="H599" s="138" t="s">
        <v>199</v>
      </c>
      <c r="I599" s="139" t="s">
        <v>21</v>
      </c>
      <c r="J599" s="139">
        <v>43486</v>
      </c>
      <c r="K599" s="184">
        <v>36</v>
      </c>
      <c r="L599" s="139">
        <v>43735</v>
      </c>
      <c r="M599" s="139">
        <v>44112</v>
      </c>
      <c r="N599" s="189">
        <v>626</v>
      </c>
      <c r="O599" s="140">
        <v>3896.62</v>
      </c>
      <c r="Q599" s="35"/>
    </row>
    <row r="600" spans="1:17" s="165" customFormat="1" ht="15" customHeight="1">
      <c r="A600" s="14"/>
      <c r="B600" s="38"/>
      <c r="C600" s="30" t="s">
        <v>39</v>
      </c>
      <c r="D600" s="138" t="s">
        <v>762</v>
      </c>
      <c r="E600" s="185" t="s">
        <v>1464</v>
      </c>
      <c r="F600" s="139" t="s">
        <v>8</v>
      </c>
      <c r="G600" s="139">
        <v>21759</v>
      </c>
      <c r="H600" s="138" t="s">
        <v>199</v>
      </c>
      <c r="I600" s="139" t="s">
        <v>21</v>
      </c>
      <c r="J600" s="139">
        <v>43590</v>
      </c>
      <c r="K600" s="184">
        <v>60</v>
      </c>
      <c r="L600" s="139">
        <v>43646</v>
      </c>
      <c r="M600" s="139">
        <v>43646</v>
      </c>
      <c r="N600" s="189">
        <v>56</v>
      </c>
      <c r="O600" s="140">
        <v>59.4</v>
      </c>
      <c r="Q600" s="35"/>
    </row>
    <row r="601" spans="1:17" s="165" customFormat="1" ht="15" customHeight="1">
      <c r="A601" s="14"/>
      <c r="B601" s="38"/>
      <c r="C601" s="30" t="s">
        <v>39</v>
      </c>
      <c r="D601" s="138" t="s">
        <v>763</v>
      </c>
      <c r="E601" s="185" t="s">
        <v>1465</v>
      </c>
      <c r="F601" s="139" t="s">
        <v>8</v>
      </c>
      <c r="G601" s="139">
        <v>21976</v>
      </c>
      <c r="H601" s="138" t="s">
        <v>199</v>
      </c>
      <c r="I601" s="139" t="s">
        <v>21</v>
      </c>
      <c r="J601" s="139">
        <v>43690</v>
      </c>
      <c r="K601" s="184">
        <v>59</v>
      </c>
      <c r="L601" s="139"/>
      <c r="M601" s="139">
        <v>43753</v>
      </c>
      <c r="N601" s="189">
        <v>63</v>
      </c>
      <c r="O601" s="140">
        <v>0</v>
      </c>
      <c r="Q601" s="35"/>
    </row>
    <row r="602" spans="1:17" s="165" customFormat="1" ht="15" customHeight="1">
      <c r="A602" s="14"/>
      <c r="B602" s="38"/>
      <c r="C602" s="30" t="s">
        <v>39</v>
      </c>
      <c r="D602" s="138" t="s">
        <v>764</v>
      </c>
      <c r="E602" s="185" t="s">
        <v>1466</v>
      </c>
      <c r="F602" s="139" t="s">
        <v>8</v>
      </c>
      <c r="G602" s="139">
        <v>31599</v>
      </c>
      <c r="H602" s="138" t="s">
        <v>199</v>
      </c>
      <c r="I602" s="139" t="s">
        <v>21</v>
      </c>
      <c r="J602" s="139">
        <v>43542</v>
      </c>
      <c r="K602" s="184">
        <v>33</v>
      </c>
      <c r="L602" s="139">
        <v>43677</v>
      </c>
      <c r="M602" s="139">
        <v>43677</v>
      </c>
      <c r="N602" s="189">
        <v>135</v>
      </c>
      <c r="O602" s="140">
        <v>0</v>
      </c>
      <c r="Q602" s="35"/>
    </row>
    <row r="603" spans="1:17" s="165" customFormat="1" ht="15" customHeight="1">
      <c r="A603" s="14"/>
      <c r="B603" s="38"/>
      <c r="C603" s="30" t="s">
        <v>39</v>
      </c>
      <c r="D603" s="138" t="s">
        <v>765</v>
      </c>
      <c r="E603" s="185" t="s">
        <v>1467</v>
      </c>
      <c r="F603" s="139" t="s">
        <v>8</v>
      </c>
      <c r="G603" s="139">
        <v>23863</v>
      </c>
      <c r="H603" s="138" t="s">
        <v>199</v>
      </c>
      <c r="I603" s="139" t="s">
        <v>21</v>
      </c>
      <c r="J603" s="139">
        <v>43637</v>
      </c>
      <c r="K603" s="184">
        <v>54</v>
      </c>
      <c r="L603" s="139">
        <v>43709</v>
      </c>
      <c r="M603" s="139">
        <v>43709</v>
      </c>
      <c r="N603" s="189">
        <v>72</v>
      </c>
      <c r="O603" s="140">
        <v>97.18</v>
      </c>
      <c r="Q603" s="35"/>
    </row>
    <row r="604" spans="1:17" s="165" customFormat="1" ht="15" customHeight="1">
      <c r="A604" s="14"/>
      <c r="B604" s="38"/>
      <c r="C604" s="30" t="s">
        <v>39</v>
      </c>
      <c r="D604" s="138" t="s">
        <v>765</v>
      </c>
      <c r="E604" s="185" t="s">
        <v>1467</v>
      </c>
      <c r="F604" s="139" t="s">
        <v>8</v>
      </c>
      <c r="G604" s="139">
        <v>23863</v>
      </c>
      <c r="H604" s="138" t="s">
        <v>199</v>
      </c>
      <c r="I604" s="139" t="s">
        <v>21</v>
      </c>
      <c r="J604" s="139">
        <v>43740</v>
      </c>
      <c r="K604" s="184">
        <v>54</v>
      </c>
      <c r="L604" s="139">
        <v>43709</v>
      </c>
      <c r="M604" s="139">
        <v>44064</v>
      </c>
      <c r="N604" s="189">
        <v>324</v>
      </c>
      <c r="O604" s="140">
        <v>97.18</v>
      </c>
      <c r="Q604" s="35"/>
    </row>
    <row r="605" spans="1:17" s="165" customFormat="1" ht="15" customHeight="1">
      <c r="A605" s="14"/>
      <c r="B605" s="38"/>
      <c r="C605" s="30" t="s">
        <v>39</v>
      </c>
      <c r="D605" s="138" t="s">
        <v>766</v>
      </c>
      <c r="E605" s="185" t="s">
        <v>1468</v>
      </c>
      <c r="F605" s="139" t="s">
        <v>8</v>
      </c>
      <c r="G605" s="139">
        <v>21006</v>
      </c>
      <c r="H605" s="138" t="s">
        <v>199</v>
      </c>
      <c r="I605" s="139" t="s">
        <v>21</v>
      </c>
      <c r="J605" s="139">
        <v>43714</v>
      </c>
      <c r="K605" s="184">
        <v>62</v>
      </c>
      <c r="L605" s="139"/>
      <c r="M605" s="139">
        <v>43808</v>
      </c>
      <c r="N605" s="189">
        <v>94</v>
      </c>
      <c r="O605" s="140">
        <v>0</v>
      </c>
      <c r="Q605" s="35"/>
    </row>
    <row r="606" spans="1:17" s="165" customFormat="1" ht="15" customHeight="1">
      <c r="A606" s="14"/>
      <c r="B606" s="38"/>
      <c r="C606" s="30" t="s">
        <v>39</v>
      </c>
      <c r="D606" s="138" t="s">
        <v>767</v>
      </c>
      <c r="E606" s="185" t="s">
        <v>1469</v>
      </c>
      <c r="F606" s="139" t="s">
        <v>8</v>
      </c>
      <c r="G606" s="139">
        <v>27866</v>
      </c>
      <c r="H606" s="138" t="s">
        <v>199</v>
      </c>
      <c r="I606" s="139" t="s">
        <v>21</v>
      </c>
      <c r="J606" s="139">
        <v>43682</v>
      </c>
      <c r="K606" s="184">
        <v>43</v>
      </c>
      <c r="L606" s="139"/>
      <c r="M606" s="139">
        <v>43966</v>
      </c>
      <c r="N606" s="189">
        <v>284</v>
      </c>
      <c r="O606" s="140">
        <v>0</v>
      </c>
      <c r="Q606" s="35"/>
    </row>
    <row r="607" spans="1:17" s="165" customFormat="1" ht="15" customHeight="1">
      <c r="A607" s="14"/>
      <c r="B607" s="38"/>
      <c r="C607" s="30" t="s">
        <v>39</v>
      </c>
      <c r="D607" s="138" t="s">
        <v>768</v>
      </c>
      <c r="E607" s="185" t="s">
        <v>1470</v>
      </c>
      <c r="F607" s="139" t="s">
        <v>8</v>
      </c>
      <c r="G607" s="139">
        <v>33170</v>
      </c>
      <c r="H607" s="138" t="s">
        <v>199</v>
      </c>
      <c r="I607" s="139" t="s">
        <v>21</v>
      </c>
      <c r="J607" s="139">
        <v>43644</v>
      </c>
      <c r="K607" s="184">
        <v>29</v>
      </c>
      <c r="L607" s="139"/>
      <c r="M607" s="139">
        <v>43773</v>
      </c>
      <c r="N607" s="189">
        <v>129</v>
      </c>
      <c r="O607" s="140">
        <v>0</v>
      </c>
      <c r="Q607" s="35"/>
    </row>
    <row r="608" spans="1:17" s="165" customFormat="1" ht="15" customHeight="1">
      <c r="A608" s="14"/>
      <c r="B608" s="38"/>
      <c r="C608" s="30" t="s">
        <v>39</v>
      </c>
      <c r="D608" s="138" t="s">
        <v>769</v>
      </c>
      <c r="E608" s="185" t="s">
        <v>1471</v>
      </c>
      <c r="F608" s="139" t="s">
        <v>8</v>
      </c>
      <c r="G608" s="139">
        <v>35024</v>
      </c>
      <c r="H608" s="138" t="s">
        <v>199</v>
      </c>
      <c r="I608" s="139" t="s">
        <v>21</v>
      </c>
      <c r="J608" s="139">
        <v>43627</v>
      </c>
      <c r="K608" s="184">
        <v>24</v>
      </c>
      <c r="L608" s="139">
        <v>43699</v>
      </c>
      <c r="M608" s="139">
        <v>43699</v>
      </c>
      <c r="N608" s="189">
        <v>72</v>
      </c>
      <c r="O608" s="140">
        <v>853.55</v>
      </c>
      <c r="Q608" s="35"/>
    </row>
    <row r="609" spans="1:17" s="165" customFormat="1" ht="15" customHeight="1">
      <c r="A609" s="14"/>
      <c r="B609" s="38"/>
      <c r="C609" s="30" t="s">
        <v>39</v>
      </c>
      <c r="D609" s="138" t="s">
        <v>770</v>
      </c>
      <c r="E609" s="185" t="s">
        <v>1472</v>
      </c>
      <c r="F609" s="139" t="s">
        <v>8</v>
      </c>
      <c r="G609" s="139">
        <v>27130</v>
      </c>
      <c r="H609" s="138" t="s">
        <v>199</v>
      </c>
      <c r="I609" s="139" t="s">
        <v>21</v>
      </c>
      <c r="J609" s="139">
        <v>43726</v>
      </c>
      <c r="K609" s="184">
        <v>45</v>
      </c>
      <c r="L609" s="139"/>
      <c r="M609" s="139"/>
      <c r="N609" s="189">
        <v>0</v>
      </c>
      <c r="O609" s="140">
        <v>0</v>
      </c>
      <c r="Q609" s="35"/>
    </row>
    <row r="610" spans="1:17" s="165" customFormat="1" ht="15" customHeight="1">
      <c r="A610" s="14"/>
      <c r="B610" s="38"/>
      <c r="C610" s="30" t="s">
        <v>39</v>
      </c>
      <c r="D610" s="138" t="s">
        <v>771</v>
      </c>
      <c r="E610" s="185" t="s">
        <v>1473</v>
      </c>
      <c r="F610" s="139" t="s">
        <v>8</v>
      </c>
      <c r="G610" s="139">
        <v>32081</v>
      </c>
      <c r="H610" s="138" t="s">
        <v>199</v>
      </c>
      <c r="I610" s="139" t="s">
        <v>21</v>
      </c>
      <c r="J610" s="139">
        <v>43488</v>
      </c>
      <c r="K610" s="184">
        <v>32</v>
      </c>
      <c r="L610" s="139">
        <v>43602</v>
      </c>
      <c r="M610" s="139">
        <v>43602</v>
      </c>
      <c r="N610" s="189">
        <v>114</v>
      </c>
      <c r="O610" s="140">
        <v>769.25</v>
      </c>
      <c r="Q610" s="35"/>
    </row>
    <row r="611" spans="1:17" s="165" customFormat="1" ht="15" customHeight="1">
      <c r="A611" s="14"/>
      <c r="B611" s="38"/>
      <c r="C611" s="30" t="s">
        <v>39</v>
      </c>
      <c r="D611" s="138" t="s">
        <v>772</v>
      </c>
      <c r="E611" s="185" t="s">
        <v>1474</v>
      </c>
      <c r="F611" s="139" t="s">
        <v>8</v>
      </c>
      <c r="G611" s="139">
        <v>25744</v>
      </c>
      <c r="H611" s="138" t="s">
        <v>199</v>
      </c>
      <c r="I611" s="139" t="s">
        <v>21</v>
      </c>
      <c r="J611" s="139">
        <v>43647</v>
      </c>
      <c r="K611" s="184">
        <v>49</v>
      </c>
      <c r="L611" s="139"/>
      <c r="M611" s="139">
        <v>43738</v>
      </c>
      <c r="N611" s="189">
        <v>91</v>
      </c>
      <c r="O611" s="140">
        <v>0</v>
      </c>
      <c r="Q611" s="35"/>
    </row>
    <row r="612" spans="1:17" s="165" customFormat="1" ht="15" customHeight="1">
      <c r="A612" s="14"/>
      <c r="B612" s="38"/>
      <c r="C612" s="30" t="s">
        <v>39</v>
      </c>
      <c r="D612" s="138" t="s">
        <v>773</v>
      </c>
      <c r="E612" s="185" t="s">
        <v>1475</v>
      </c>
      <c r="F612" s="139" t="s">
        <v>8</v>
      </c>
      <c r="G612" s="139">
        <v>28651</v>
      </c>
      <c r="H612" s="138" t="s">
        <v>199</v>
      </c>
      <c r="I612" s="139" t="s">
        <v>21</v>
      </c>
      <c r="J612" s="139">
        <v>43766</v>
      </c>
      <c r="K612" s="184">
        <v>41</v>
      </c>
      <c r="L612" s="139"/>
      <c r="M612" s="139">
        <v>43847</v>
      </c>
      <c r="N612" s="189">
        <v>81</v>
      </c>
      <c r="O612" s="140">
        <v>0</v>
      </c>
      <c r="Q612" s="35"/>
    </row>
    <row r="613" spans="1:17" s="165" customFormat="1" ht="15" customHeight="1">
      <c r="A613" s="14"/>
      <c r="B613" s="38"/>
      <c r="C613" s="30" t="s">
        <v>39</v>
      </c>
      <c r="D613" s="138" t="s">
        <v>774</v>
      </c>
      <c r="E613" s="185" t="s">
        <v>1476</v>
      </c>
      <c r="F613" s="139" t="s">
        <v>8</v>
      </c>
      <c r="G613" s="139">
        <v>31680</v>
      </c>
      <c r="H613" s="138" t="s">
        <v>199</v>
      </c>
      <c r="I613" s="139" t="s">
        <v>21</v>
      </c>
      <c r="J613" s="139">
        <v>43557</v>
      </c>
      <c r="K613" s="184">
        <v>33</v>
      </c>
      <c r="L613" s="139">
        <v>43588</v>
      </c>
      <c r="M613" s="139">
        <v>43588</v>
      </c>
      <c r="N613" s="189">
        <v>31</v>
      </c>
      <c r="O613" s="140">
        <v>128.62</v>
      </c>
      <c r="Q613" s="35"/>
    </row>
    <row r="614" spans="1:17" s="165" customFormat="1" ht="15" customHeight="1">
      <c r="A614" s="14"/>
      <c r="B614" s="38"/>
      <c r="C614" s="30" t="s">
        <v>39</v>
      </c>
      <c r="D614" s="138" t="s">
        <v>775</v>
      </c>
      <c r="E614" s="185" t="s">
        <v>1477</v>
      </c>
      <c r="F614" s="139" t="s">
        <v>8</v>
      </c>
      <c r="G614" s="139">
        <v>32103</v>
      </c>
      <c r="H614" s="138" t="s">
        <v>199</v>
      </c>
      <c r="I614" s="139" t="s">
        <v>21</v>
      </c>
      <c r="J614" s="139">
        <v>43500</v>
      </c>
      <c r="K614" s="184">
        <v>32</v>
      </c>
      <c r="L614" s="139">
        <v>43558</v>
      </c>
      <c r="M614" s="139">
        <v>43558</v>
      </c>
      <c r="N614" s="189">
        <v>58</v>
      </c>
      <c r="O614" s="140">
        <v>1157.68</v>
      </c>
      <c r="Q614" s="35"/>
    </row>
    <row r="615" spans="1:17" s="165" customFormat="1" ht="15" customHeight="1">
      <c r="A615" s="14"/>
      <c r="B615" s="38"/>
      <c r="C615" s="30" t="s">
        <v>39</v>
      </c>
      <c r="D615" s="138" t="s">
        <v>776</v>
      </c>
      <c r="E615" s="185" t="s">
        <v>1478</v>
      </c>
      <c r="F615" s="139" t="s">
        <v>8</v>
      </c>
      <c r="G615" s="139">
        <v>32132</v>
      </c>
      <c r="H615" s="138" t="s">
        <v>199</v>
      </c>
      <c r="I615" s="139" t="s">
        <v>21</v>
      </c>
      <c r="J615" s="139">
        <v>43487</v>
      </c>
      <c r="K615" s="184">
        <v>32</v>
      </c>
      <c r="L615" s="139">
        <v>43633</v>
      </c>
      <c r="M615" s="139">
        <v>43633</v>
      </c>
      <c r="N615" s="189">
        <v>146</v>
      </c>
      <c r="O615" s="140">
        <v>3729.96</v>
      </c>
      <c r="Q615" s="35"/>
    </row>
    <row r="616" spans="1:17" s="165" customFormat="1" ht="15" customHeight="1">
      <c r="A616" s="14"/>
      <c r="B616" s="38"/>
      <c r="C616" s="30" t="s">
        <v>39</v>
      </c>
      <c r="D616" s="138" t="s">
        <v>777</v>
      </c>
      <c r="E616" s="185" t="s">
        <v>1479</v>
      </c>
      <c r="F616" s="139" t="s">
        <v>8</v>
      </c>
      <c r="G616" s="139">
        <v>32899</v>
      </c>
      <c r="H616" s="138" t="s">
        <v>199</v>
      </c>
      <c r="I616" s="139" t="s">
        <v>21</v>
      </c>
      <c r="J616" s="139">
        <v>43714</v>
      </c>
      <c r="K616" s="184">
        <v>29</v>
      </c>
      <c r="L616" s="139"/>
      <c r="M616" s="139">
        <v>43749</v>
      </c>
      <c r="N616" s="189">
        <v>35</v>
      </c>
      <c r="O616" s="140">
        <v>0</v>
      </c>
      <c r="Q616" s="35"/>
    </row>
    <row r="617" spans="1:17" s="165" customFormat="1" ht="15" customHeight="1">
      <c r="A617" s="14"/>
      <c r="B617" s="38"/>
      <c r="C617" s="30" t="s">
        <v>39</v>
      </c>
      <c r="D617" s="138" t="s">
        <v>778</v>
      </c>
      <c r="E617" s="185" t="s">
        <v>1480</v>
      </c>
      <c r="F617" s="139" t="s">
        <v>8</v>
      </c>
      <c r="G617" s="139">
        <v>32630</v>
      </c>
      <c r="H617" s="138" t="s">
        <v>199</v>
      </c>
      <c r="I617" s="139" t="s">
        <v>21</v>
      </c>
      <c r="J617" s="139">
        <v>43669</v>
      </c>
      <c r="K617" s="184">
        <v>30</v>
      </c>
      <c r="L617" s="139">
        <v>43725</v>
      </c>
      <c r="M617" s="139">
        <v>43725</v>
      </c>
      <c r="N617" s="189">
        <v>56</v>
      </c>
      <c r="O617" s="140">
        <v>9857.74</v>
      </c>
      <c r="Q617" s="35"/>
    </row>
    <row r="618" spans="1:17" s="165" customFormat="1" ht="15" customHeight="1">
      <c r="A618" s="14"/>
      <c r="B618" s="38"/>
      <c r="C618" s="30" t="s">
        <v>39</v>
      </c>
      <c r="D618" s="138" t="s">
        <v>779</v>
      </c>
      <c r="E618" s="185" t="s">
        <v>1481</v>
      </c>
      <c r="F618" s="139" t="s">
        <v>8</v>
      </c>
      <c r="G618" s="139">
        <v>31702</v>
      </c>
      <c r="H618" s="138" t="s">
        <v>199</v>
      </c>
      <c r="I618" s="139" t="s">
        <v>21</v>
      </c>
      <c r="J618" s="139">
        <v>43657</v>
      </c>
      <c r="K618" s="184">
        <v>33</v>
      </c>
      <c r="L618" s="139">
        <v>43804</v>
      </c>
      <c r="M618" s="139">
        <v>43787</v>
      </c>
      <c r="N618" s="189">
        <v>130</v>
      </c>
      <c r="O618" s="140">
        <v>1799.2600000000002</v>
      </c>
      <c r="Q618" s="35"/>
    </row>
    <row r="619" spans="1:17" s="165" customFormat="1" ht="15" customHeight="1">
      <c r="A619" s="14"/>
      <c r="B619" s="38"/>
      <c r="C619" s="30" t="s">
        <v>39</v>
      </c>
      <c r="D619" s="138" t="s">
        <v>779</v>
      </c>
      <c r="E619" s="185" t="s">
        <v>1481</v>
      </c>
      <c r="F619" s="139" t="s">
        <v>8</v>
      </c>
      <c r="G619" s="139">
        <v>31702</v>
      </c>
      <c r="H619" s="138" t="s">
        <v>199</v>
      </c>
      <c r="I619" s="139" t="s">
        <v>21</v>
      </c>
      <c r="J619" s="139">
        <v>43788</v>
      </c>
      <c r="K619" s="184">
        <v>33</v>
      </c>
      <c r="L619" s="139">
        <v>43804</v>
      </c>
      <c r="M619" s="139">
        <v>43804</v>
      </c>
      <c r="N619" s="189">
        <v>16</v>
      </c>
      <c r="O619" s="140">
        <v>1799.2600000000002</v>
      </c>
      <c r="Q619" s="35"/>
    </row>
    <row r="620" spans="1:17" s="165" customFormat="1" ht="15" customHeight="1">
      <c r="A620" s="14"/>
      <c r="B620" s="38"/>
      <c r="C620" s="30" t="s">
        <v>39</v>
      </c>
      <c r="D620" s="138" t="s">
        <v>780</v>
      </c>
      <c r="E620" s="185" t="s">
        <v>1482</v>
      </c>
      <c r="F620" s="139" t="s">
        <v>8</v>
      </c>
      <c r="G620" s="139">
        <v>31977</v>
      </c>
      <c r="H620" s="138" t="s">
        <v>199</v>
      </c>
      <c r="I620" s="139" t="s">
        <v>21</v>
      </c>
      <c r="J620" s="139">
        <v>43467</v>
      </c>
      <c r="K620" s="184">
        <v>32</v>
      </c>
      <c r="L620" s="139">
        <v>43502</v>
      </c>
      <c r="M620" s="139">
        <v>43502</v>
      </c>
      <c r="N620" s="189">
        <v>35</v>
      </c>
      <c r="O620" s="140">
        <v>170.46</v>
      </c>
      <c r="Q620" s="35"/>
    </row>
    <row r="621" spans="1:17" s="165" customFormat="1" ht="15" customHeight="1">
      <c r="A621" s="14"/>
      <c r="B621" s="38"/>
      <c r="C621" s="30" t="s">
        <v>39</v>
      </c>
      <c r="D621" s="138" t="s">
        <v>781</v>
      </c>
      <c r="E621" s="185" t="s">
        <v>1483</v>
      </c>
      <c r="F621" s="139" t="s">
        <v>8</v>
      </c>
      <c r="G621" s="139">
        <v>32500</v>
      </c>
      <c r="H621" s="138" t="s">
        <v>200</v>
      </c>
      <c r="I621" s="139" t="s">
        <v>21</v>
      </c>
      <c r="J621" s="139">
        <v>43745</v>
      </c>
      <c r="K621" s="184">
        <v>31</v>
      </c>
      <c r="L621" s="139"/>
      <c r="M621" s="139">
        <v>43806</v>
      </c>
      <c r="N621" s="189">
        <v>61</v>
      </c>
      <c r="O621" s="140">
        <v>0</v>
      </c>
      <c r="Q621" s="35"/>
    </row>
    <row r="622" spans="1:17" s="165" customFormat="1" ht="15" customHeight="1">
      <c r="A622" s="14"/>
      <c r="B622" s="38"/>
      <c r="C622" s="30" t="s">
        <v>39</v>
      </c>
      <c r="D622" s="138" t="s">
        <v>782</v>
      </c>
      <c r="E622" s="185" t="s">
        <v>1483</v>
      </c>
      <c r="F622" s="139" t="s">
        <v>8</v>
      </c>
      <c r="G622" s="139">
        <v>32500</v>
      </c>
      <c r="H622" s="138" t="s">
        <v>200</v>
      </c>
      <c r="I622" s="139" t="s">
        <v>21</v>
      </c>
      <c r="J622" s="139">
        <v>43537</v>
      </c>
      <c r="K622" s="184">
        <v>31</v>
      </c>
      <c r="L622" s="139"/>
      <c r="M622" s="139">
        <v>43574</v>
      </c>
      <c r="N622" s="189">
        <v>37</v>
      </c>
      <c r="O622" s="140">
        <v>0</v>
      </c>
      <c r="Q622" s="35"/>
    </row>
    <row r="623" spans="1:17" s="165" customFormat="1" ht="15" customHeight="1">
      <c r="A623" s="14"/>
      <c r="B623" s="38"/>
      <c r="C623" s="30" t="s">
        <v>39</v>
      </c>
      <c r="D623" s="138" t="s">
        <v>783</v>
      </c>
      <c r="E623" s="185" t="s">
        <v>1484</v>
      </c>
      <c r="F623" s="139" t="s">
        <v>8</v>
      </c>
      <c r="G623" s="139">
        <v>20699</v>
      </c>
      <c r="H623" s="138" t="s">
        <v>199</v>
      </c>
      <c r="I623" s="139" t="s">
        <v>21</v>
      </c>
      <c r="J623" s="139">
        <v>43502</v>
      </c>
      <c r="K623" s="184">
        <v>63</v>
      </c>
      <c r="L623" s="139">
        <v>43644</v>
      </c>
      <c r="M623" s="139"/>
      <c r="N623" s="189">
        <v>0</v>
      </c>
      <c r="O623" s="140">
        <v>326.57</v>
      </c>
      <c r="Q623" s="35"/>
    </row>
    <row r="624" spans="1:17" s="165" customFormat="1" ht="15" customHeight="1">
      <c r="A624" s="14"/>
      <c r="B624" s="38"/>
      <c r="C624" s="30" t="s">
        <v>39</v>
      </c>
      <c r="D624" s="138" t="s">
        <v>784</v>
      </c>
      <c r="E624" s="185" t="s">
        <v>1485</v>
      </c>
      <c r="F624" s="139" t="s">
        <v>8</v>
      </c>
      <c r="G624" s="139">
        <v>31334</v>
      </c>
      <c r="H624" s="138" t="s">
        <v>199</v>
      </c>
      <c r="I624" s="139" t="s">
        <v>21</v>
      </c>
      <c r="J624" s="139">
        <v>43607</v>
      </c>
      <c r="K624" s="184">
        <v>34</v>
      </c>
      <c r="L624" s="139">
        <v>43638</v>
      </c>
      <c r="M624" s="139">
        <v>43638</v>
      </c>
      <c r="N624" s="189">
        <v>31</v>
      </c>
      <c r="O624" s="140">
        <v>80.34</v>
      </c>
      <c r="Q624" s="35"/>
    </row>
    <row r="625" spans="1:17" s="165" customFormat="1" ht="15" customHeight="1">
      <c r="A625" s="14"/>
      <c r="B625" s="38"/>
      <c r="C625" s="30" t="s">
        <v>39</v>
      </c>
      <c r="D625" s="138" t="s">
        <v>87</v>
      </c>
      <c r="E625" s="185" t="s">
        <v>1486</v>
      </c>
      <c r="F625" s="139" t="s">
        <v>8</v>
      </c>
      <c r="G625" s="139">
        <v>24900</v>
      </c>
      <c r="H625" s="138" t="s">
        <v>199</v>
      </c>
      <c r="I625" s="139" t="s">
        <v>21</v>
      </c>
      <c r="J625" s="139">
        <v>43472</v>
      </c>
      <c r="K625" s="184">
        <v>51</v>
      </c>
      <c r="L625" s="139">
        <v>43795</v>
      </c>
      <c r="M625" s="139">
        <v>43516</v>
      </c>
      <c r="N625" s="189">
        <v>44</v>
      </c>
      <c r="O625" s="140">
        <v>12348.84</v>
      </c>
      <c r="Q625" s="35"/>
    </row>
    <row r="626" spans="1:17" s="165" customFormat="1" ht="15" customHeight="1">
      <c r="A626" s="14"/>
      <c r="B626" s="38"/>
      <c r="C626" s="30" t="s">
        <v>39</v>
      </c>
      <c r="D626" s="138" t="s">
        <v>87</v>
      </c>
      <c r="E626" s="185" t="s">
        <v>1486</v>
      </c>
      <c r="F626" s="139" t="s">
        <v>8</v>
      </c>
      <c r="G626" s="139">
        <v>24900</v>
      </c>
      <c r="H626" s="138" t="s">
        <v>199</v>
      </c>
      <c r="I626" s="139" t="s">
        <v>21</v>
      </c>
      <c r="J626" s="139">
        <v>43522</v>
      </c>
      <c r="K626" s="184">
        <v>51</v>
      </c>
      <c r="L626" s="139">
        <v>43795</v>
      </c>
      <c r="M626" s="139"/>
      <c r="N626" s="189">
        <v>0</v>
      </c>
      <c r="O626" s="140">
        <v>12348.84</v>
      </c>
      <c r="Q626" s="35"/>
    </row>
    <row r="627" spans="1:17" s="165" customFormat="1" ht="15" customHeight="1">
      <c r="A627" s="14"/>
      <c r="B627" s="38"/>
      <c r="C627" s="30" t="s">
        <v>39</v>
      </c>
      <c r="D627" s="138" t="s">
        <v>117</v>
      </c>
      <c r="E627" s="185" t="s">
        <v>1487</v>
      </c>
      <c r="F627" s="139" t="s">
        <v>8</v>
      </c>
      <c r="G627" s="139">
        <v>24407</v>
      </c>
      <c r="H627" s="138" t="s">
        <v>199</v>
      </c>
      <c r="I627" s="139" t="s">
        <v>21</v>
      </c>
      <c r="J627" s="139">
        <v>43594</v>
      </c>
      <c r="K627" s="184">
        <v>53</v>
      </c>
      <c r="L627" s="139">
        <v>43783</v>
      </c>
      <c r="M627" s="139">
        <v>43799</v>
      </c>
      <c r="N627" s="189">
        <v>205</v>
      </c>
      <c r="O627" s="140">
        <v>2324.7999999999997</v>
      </c>
      <c r="Q627" s="35"/>
    </row>
    <row r="628" spans="1:17" s="165" customFormat="1" ht="15" customHeight="1">
      <c r="A628" s="14"/>
      <c r="B628" s="38"/>
      <c r="C628" s="30" t="s">
        <v>39</v>
      </c>
      <c r="D628" s="138" t="s">
        <v>785</v>
      </c>
      <c r="E628" s="185" t="s">
        <v>1488</v>
      </c>
      <c r="F628" s="139" t="s">
        <v>8</v>
      </c>
      <c r="G628" s="139">
        <v>26028</v>
      </c>
      <c r="H628" s="138" t="s">
        <v>199</v>
      </c>
      <c r="I628" s="139" t="s">
        <v>21</v>
      </c>
      <c r="J628" s="139">
        <v>43566</v>
      </c>
      <c r="K628" s="184">
        <v>48</v>
      </c>
      <c r="L628" s="139">
        <v>43618</v>
      </c>
      <c r="M628" s="139">
        <v>43618</v>
      </c>
      <c r="N628" s="189">
        <v>52</v>
      </c>
      <c r="O628" s="140">
        <v>360.18</v>
      </c>
      <c r="Q628" s="35"/>
    </row>
    <row r="629" spans="1:17" s="165" customFormat="1" ht="15" customHeight="1">
      <c r="A629" s="14"/>
      <c r="B629" s="38"/>
      <c r="C629" s="30" t="s">
        <v>39</v>
      </c>
      <c r="D629" s="138" t="s">
        <v>786</v>
      </c>
      <c r="E629" s="185" t="s">
        <v>1489</v>
      </c>
      <c r="F629" s="139" t="s">
        <v>8</v>
      </c>
      <c r="G629" s="139">
        <v>23473</v>
      </c>
      <c r="H629" s="138" t="s">
        <v>199</v>
      </c>
      <c r="I629" s="139" t="s">
        <v>21</v>
      </c>
      <c r="J629" s="139">
        <v>43627</v>
      </c>
      <c r="K629" s="184">
        <v>55</v>
      </c>
      <c r="L629" s="139">
        <v>43658</v>
      </c>
      <c r="M629" s="139">
        <v>43658</v>
      </c>
      <c r="N629" s="189">
        <v>31</v>
      </c>
      <c r="O629" s="140">
        <v>4.9400000000000004</v>
      </c>
      <c r="Q629" s="35"/>
    </row>
    <row r="630" spans="1:17" s="165" customFormat="1" ht="15" customHeight="1">
      <c r="A630" s="14"/>
      <c r="B630" s="38"/>
      <c r="C630" s="30" t="s">
        <v>39</v>
      </c>
      <c r="D630" s="138" t="s">
        <v>787</v>
      </c>
      <c r="E630" s="185" t="s">
        <v>1490</v>
      </c>
      <c r="F630" s="139" t="s">
        <v>8</v>
      </c>
      <c r="G630" s="139">
        <v>33670</v>
      </c>
      <c r="H630" s="138" t="s">
        <v>199</v>
      </c>
      <c r="I630" s="139" t="s">
        <v>21</v>
      </c>
      <c r="J630" s="139">
        <v>43750</v>
      </c>
      <c r="K630" s="184">
        <v>27</v>
      </c>
      <c r="L630" s="139"/>
      <c r="M630" s="139">
        <v>43890</v>
      </c>
      <c r="N630" s="189">
        <v>140</v>
      </c>
      <c r="O630" s="140">
        <v>0</v>
      </c>
      <c r="Q630" s="35"/>
    </row>
    <row r="631" spans="1:17" s="165" customFormat="1" ht="15" customHeight="1">
      <c r="A631" s="14"/>
      <c r="B631" s="38"/>
      <c r="C631" s="30" t="s">
        <v>39</v>
      </c>
      <c r="D631" s="138" t="s">
        <v>151</v>
      </c>
      <c r="E631" s="185" t="s">
        <v>1491</v>
      </c>
      <c r="F631" s="139" t="s">
        <v>8</v>
      </c>
      <c r="G631" s="139">
        <v>21366</v>
      </c>
      <c r="H631" s="138" t="s">
        <v>199</v>
      </c>
      <c r="I631" s="139" t="s">
        <v>21</v>
      </c>
      <c r="J631" s="139">
        <v>43636</v>
      </c>
      <c r="K631" s="184">
        <v>61</v>
      </c>
      <c r="L631" s="139">
        <v>43796</v>
      </c>
      <c r="M631" s="139">
        <v>43929</v>
      </c>
      <c r="N631" s="189">
        <v>293</v>
      </c>
      <c r="O631" s="140">
        <v>4108.16</v>
      </c>
      <c r="Q631" s="35"/>
    </row>
    <row r="632" spans="1:17" s="165" customFormat="1" ht="15" customHeight="1">
      <c r="A632" s="14"/>
      <c r="B632" s="38"/>
      <c r="C632" s="30" t="s">
        <v>39</v>
      </c>
      <c r="D632" s="138" t="s">
        <v>788</v>
      </c>
      <c r="E632" s="185" t="s">
        <v>1492</v>
      </c>
      <c r="F632" s="139" t="s">
        <v>8</v>
      </c>
      <c r="G632" s="139">
        <v>30570</v>
      </c>
      <c r="H632" s="138" t="s">
        <v>199</v>
      </c>
      <c r="I632" s="139" t="s">
        <v>21</v>
      </c>
      <c r="J632" s="139">
        <v>43766</v>
      </c>
      <c r="K632" s="184">
        <v>36</v>
      </c>
      <c r="L632" s="139"/>
      <c r="M632" s="139">
        <v>43858</v>
      </c>
      <c r="N632" s="189">
        <v>92</v>
      </c>
      <c r="O632" s="140">
        <v>0</v>
      </c>
      <c r="Q632" s="35"/>
    </row>
    <row r="633" spans="1:17" s="165" customFormat="1" ht="15" customHeight="1">
      <c r="A633" s="14"/>
      <c r="B633" s="38"/>
      <c r="C633" s="30" t="s">
        <v>39</v>
      </c>
      <c r="D633" s="138" t="s">
        <v>160</v>
      </c>
      <c r="E633" s="185" t="s">
        <v>1493</v>
      </c>
      <c r="F633" s="139" t="s">
        <v>8</v>
      </c>
      <c r="G633" s="139">
        <v>25658</v>
      </c>
      <c r="H633" s="138" t="s">
        <v>199</v>
      </c>
      <c r="I633" s="139" t="s">
        <v>21</v>
      </c>
      <c r="J633" s="139">
        <v>43538</v>
      </c>
      <c r="K633" s="184">
        <v>49</v>
      </c>
      <c r="L633" s="139">
        <v>43783</v>
      </c>
      <c r="M633" s="139"/>
      <c r="N633" s="189">
        <v>0</v>
      </c>
      <c r="O633" s="140">
        <v>4752</v>
      </c>
      <c r="Q633" s="35"/>
    </row>
    <row r="634" spans="1:17" s="165" customFormat="1" ht="15" customHeight="1">
      <c r="A634" s="14"/>
      <c r="B634" s="38"/>
      <c r="C634" s="30" t="s">
        <v>39</v>
      </c>
      <c r="D634" s="138" t="s">
        <v>789</v>
      </c>
      <c r="E634" s="185" t="s">
        <v>1494</v>
      </c>
      <c r="F634" s="139" t="s">
        <v>8</v>
      </c>
      <c r="G634" s="139">
        <v>27667</v>
      </c>
      <c r="H634" s="138" t="s">
        <v>199</v>
      </c>
      <c r="I634" s="139" t="s">
        <v>21</v>
      </c>
      <c r="J634" s="139">
        <v>43649</v>
      </c>
      <c r="K634" s="184">
        <v>44</v>
      </c>
      <c r="L634" s="139">
        <v>43708</v>
      </c>
      <c r="M634" s="139">
        <v>43708</v>
      </c>
      <c r="N634" s="189">
        <v>59</v>
      </c>
      <c r="O634" s="140">
        <v>512.1</v>
      </c>
      <c r="Q634" s="35"/>
    </row>
    <row r="635" spans="1:17" s="165" customFormat="1" ht="15" customHeight="1">
      <c r="A635" s="14"/>
      <c r="B635" s="38"/>
      <c r="C635" s="30" t="s">
        <v>39</v>
      </c>
      <c r="D635" s="138" t="s">
        <v>790</v>
      </c>
      <c r="E635" s="185" t="s">
        <v>1495</v>
      </c>
      <c r="F635" s="139" t="s">
        <v>8</v>
      </c>
      <c r="G635" s="139">
        <v>31807</v>
      </c>
      <c r="H635" s="138" t="s">
        <v>199</v>
      </c>
      <c r="I635" s="139" t="s">
        <v>21</v>
      </c>
      <c r="J635" s="139">
        <v>43560</v>
      </c>
      <c r="K635" s="184">
        <v>32</v>
      </c>
      <c r="L635" s="139"/>
      <c r="M635" s="139">
        <v>43638</v>
      </c>
      <c r="N635" s="189">
        <v>78</v>
      </c>
      <c r="O635" s="140">
        <v>0</v>
      </c>
      <c r="Q635" s="35"/>
    </row>
    <row r="636" spans="1:17" s="165" customFormat="1" ht="15" customHeight="1">
      <c r="A636" s="14"/>
      <c r="B636" s="38"/>
      <c r="C636" s="30" t="s">
        <v>39</v>
      </c>
      <c r="D636" s="138" t="s">
        <v>791</v>
      </c>
      <c r="E636" s="185" t="s">
        <v>1496</v>
      </c>
      <c r="F636" s="139" t="s">
        <v>8</v>
      </c>
      <c r="G636" s="139">
        <v>33310</v>
      </c>
      <c r="H636" s="138" t="s">
        <v>199</v>
      </c>
      <c r="I636" s="139" t="s">
        <v>21</v>
      </c>
      <c r="J636" s="139">
        <v>43776</v>
      </c>
      <c r="K636" s="184">
        <v>28</v>
      </c>
      <c r="L636" s="139"/>
      <c r="M636" s="139">
        <v>43819</v>
      </c>
      <c r="N636" s="189">
        <v>43</v>
      </c>
      <c r="O636" s="140">
        <v>0</v>
      </c>
      <c r="Q636" s="35"/>
    </row>
    <row r="637" spans="1:17" s="165" customFormat="1" ht="15" customHeight="1">
      <c r="A637" s="14"/>
      <c r="B637" s="38"/>
      <c r="C637" s="30" t="s">
        <v>39</v>
      </c>
      <c r="D637" s="138" t="s">
        <v>792</v>
      </c>
      <c r="E637" s="185" t="s">
        <v>1497</v>
      </c>
      <c r="F637" s="139" t="s">
        <v>8</v>
      </c>
      <c r="G637" s="139">
        <v>28608</v>
      </c>
      <c r="H637" s="138" t="s">
        <v>199</v>
      </c>
      <c r="I637" s="139" t="s">
        <v>21</v>
      </c>
      <c r="J637" s="139">
        <v>43788</v>
      </c>
      <c r="K637" s="184">
        <v>41</v>
      </c>
      <c r="L637" s="139"/>
      <c r="M637" s="139">
        <v>43917</v>
      </c>
      <c r="N637" s="189">
        <v>129</v>
      </c>
      <c r="O637" s="140">
        <v>0</v>
      </c>
      <c r="Q637" s="35"/>
    </row>
    <row r="638" spans="1:17" s="165" customFormat="1" ht="15" customHeight="1">
      <c r="A638" s="14"/>
      <c r="B638" s="38"/>
      <c r="C638" s="30" t="s">
        <v>39</v>
      </c>
      <c r="D638" s="138" t="s">
        <v>154</v>
      </c>
      <c r="E638" s="185" t="s">
        <v>1498</v>
      </c>
      <c r="F638" s="139" t="s">
        <v>8</v>
      </c>
      <c r="G638" s="139">
        <v>23224</v>
      </c>
      <c r="H638" s="138" t="s">
        <v>199</v>
      </c>
      <c r="I638" s="139" t="s">
        <v>21</v>
      </c>
      <c r="J638" s="139">
        <v>43630</v>
      </c>
      <c r="K638" s="184">
        <v>56</v>
      </c>
      <c r="L638" s="139">
        <v>43798</v>
      </c>
      <c r="M638" s="139"/>
      <c r="N638" s="189">
        <v>0</v>
      </c>
      <c r="O638" s="140">
        <v>3030.2</v>
      </c>
      <c r="Q638" s="35"/>
    </row>
    <row r="639" spans="1:17" s="165" customFormat="1" ht="15" customHeight="1">
      <c r="A639" s="14"/>
      <c r="B639" s="38"/>
      <c r="C639" s="30" t="s">
        <v>39</v>
      </c>
      <c r="D639" s="138" t="s">
        <v>793</v>
      </c>
      <c r="E639" s="185" t="s">
        <v>1499</v>
      </c>
      <c r="F639" s="139" t="s">
        <v>8</v>
      </c>
      <c r="G639" s="139">
        <v>24517</v>
      </c>
      <c r="H639" s="138" t="s">
        <v>199</v>
      </c>
      <c r="I639" s="139" t="s">
        <v>21</v>
      </c>
      <c r="J639" s="139">
        <v>43476</v>
      </c>
      <c r="K639" s="184">
        <v>52</v>
      </c>
      <c r="L639" s="139">
        <v>43677</v>
      </c>
      <c r="M639" s="139">
        <v>43677</v>
      </c>
      <c r="N639" s="189">
        <v>201</v>
      </c>
      <c r="O639" s="140">
        <v>6407</v>
      </c>
      <c r="Q639" s="35"/>
    </row>
    <row r="640" spans="1:17" s="165" customFormat="1" ht="15" customHeight="1">
      <c r="A640" s="14"/>
      <c r="B640" s="38"/>
      <c r="C640" s="30" t="s">
        <v>39</v>
      </c>
      <c r="D640" s="138" t="s">
        <v>794</v>
      </c>
      <c r="E640" s="185" t="s">
        <v>1500</v>
      </c>
      <c r="F640" s="139" t="s">
        <v>8</v>
      </c>
      <c r="G640" s="139">
        <v>31594</v>
      </c>
      <c r="H640" s="138" t="s">
        <v>200</v>
      </c>
      <c r="I640" s="139" t="s">
        <v>21</v>
      </c>
      <c r="J640" s="139">
        <v>43565</v>
      </c>
      <c r="K640" s="184">
        <v>33</v>
      </c>
      <c r="L640" s="139">
        <v>43745</v>
      </c>
      <c r="M640" s="139">
        <v>43757</v>
      </c>
      <c r="N640" s="189">
        <v>192</v>
      </c>
      <c r="O640" s="140">
        <v>6233.28</v>
      </c>
      <c r="Q640" s="35"/>
    </row>
    <row r="641" spans="1:17" s="165" customFormat="1" ht="15" customHeight="1">
      <c r="A641" s="14"/>
      <c r="B641" s="38"/>
      <c r="C641" s="30" t="s">
        <v>39</v>
      </c>
      <c r="D641" s="138" t="s">
        <v>795</v>
      </c>
      <c r="E641" s="185" t="s">
        <v>1501</v>
      </c>
      <c r="F641" s="139" t="s">
        <v>8</v>
      </c>
      <c r="G641" s="139">
        <v>32299</v>
      </c>
      <c r="H641" s="138" t="s">
        <v>199</v>
      </c>
      <c r="I641" s="139" t="s">
        <v>21</v>
      </c>
      <c r="J641" s="139">
        <v>43525</v>
      </c>
      <c r="K641" s="184">
        <v>31</v>
      </c>
      <c r="L641" s="139">
        <v>43574</v>
      </c>
      <c r="M641" s="139">
        <v>43574</v>
      </c>
      <c r="N641" s="189">
        <v>49</v>
      </c>
      <c r="O641" s="140">
        <v>635.4</v>
      </c>
      <c r="Q641" s="35"/>
    </row>
    <row r="642" spans="1:17" s="165" customFormat="1" ht="15" customHeight="1">
      <c r="A642" s="14"/>
      <c r="B642" s="38"/>
      <c r="C642" s="30" t="s">
        <v>39</v>
      </c>
      <c r="D642" s="138" t="s">
        <v>796</v>
      </c>
      <c r="E642" s="185" t="s">
        <v>1502</v>
      </c>
      <c r="F642" s="139" t="s">
        <v>8</v>
      </c>
      <c r="G642" s="139">
        <v>26172</v>
      </c>
      <c r="H642" s="138" t="s">
        <v>199</v>
      </c>
      <c r="I642" s="139" t="s">
        <v>21</v>
      </c>
      <c r="J642" s="139">
        <v>43474</v>
      </c>
      <c r="K642" s="184">
        <v>48</v>
      </c>
      <c r="L642" s="139">
        <v>43777</v>
      </c>
      <c r="M642" s="139">
        <v>43777</v>
      </c>
      <c r="N642" s="189">
        <v>303</v>
      </c>
      <c r="O642" s="140">
        <v>1857.72</v>
      </c>
      <c r="Q642" s="35"/>
    </row>
    <row r="643" spans="1:17" s="165" customFormat="1" ht="15" customHeight="1">
      <c r="A643" s="14"/>
      <c r="B643" s="38"/>
      <c r="C643" s="30" t="s">
        <v>39</v>
      </c>
      <c r="D643" s="138" t="s">
        <v>796</v>
      </c>
      <c r="E643" s="185" t="s">
        <v>1502</v>
      </c>
      <c r="F643" s="139" t="s">
        <v>8</v>
      </c>
      <c r="G643" s="139">
        <v>26172</v>
      </c>
      <c r="H643" s="138" t="s">
        <v>199</v>
      </c>
      <c r="I643" s="139" t="s">
        <v>21</v>
      </c>
      <c r="J643" s="139">
        <v>43778</v>
      </c>
      <c r="K643" s="184">
        <v>48</v>
      </c>
      <c r="L643" s="139">
        <v>43777</v>
      </c>
      <c r="M643" s="139"/>
      <c r="N643" s="189">
        <v>0</v>
      </c>
      <c r="O643" s="140">
        <v>1857.72</v>
      </c>
      <c r="Q643" s="35"/>
    </row>
    <row r="644" spans="1:17" s="165" customFormat="1" ht="15" customHeight="1">
      <c r="A644" s="14"/>
      <c r="B644" s="38"/>
      <c r="C644" s="30" t="s">
        <v>39</v>
      </c>
      <c r="D644" s="138" t="s">
        <v>797</v>
      </c>
      <c r="E644" s="185" t="s">
        <v>1503</v>
      </c>
      <c r="F644" s="139" t="s">
        <v>10</v>
      </c>
      <c r="G644" s="139">
        <v>31205</v>
      </c>
      <c r="H644" s="138" t="s">
        <v>200</v>
      </c>
      <c r="I644" s="139" t="s">
        <v>21</v>
      </c>
      <c r="J644" s="139">
        <v>43606</v>
      </c>
      <c r="K644" s="184">
        <v>34</v>
      </c>
      <c r="L644" s="139">
        <v>43738</v>
      </c>
      <c r="M644" s="139">
        <v>43687</v>
      </c>
      <c r="N644" s="189">
        <v>81</v>
      </c>
      <c r="O644" s="140">
        <v>3631.78</v>
      </c>
      <c r="Q644" s="35"/>
    </row>
    <row r="645" spans="1:17" s="165" customFormat="1" ht="15" customHeight="1">
      <c r="A645" s="14"/>
      <c r="B645" s="38"/>
      <c r="C645" s="30" t="s">
        <v>39</v>
      </c>
      <c r="D645" s="138" t="s">
        <v>797</v>
      </c>
      <c r="E645" s="185" t="s">
        <v>1503</v>
      </c>
      <c r="F645" s="139" t="s">
        <v>10</v>
      </c>
      <c r="G645" s="139">
        <v>31205</v>
      </c>
      <c r="H645" s="138" t="s">
        <v>200</v>
      </c>
      <c r="I645" s="139" t="s">
        <v>21</v>
      </c>
      <c r="J645" s="139">
        <v>43688</v>
      </c>
      <c r="K645" s="184">
        <v>34</v>
      </c>
      <c r="L645" s="139">
        <v>43738</v>
      </c>
      <c r="M645" s="139">
        <v>43738</v>
      </c>
      <c r="N645" s="189">
        <v>50</v>
      </c>
      <c r="O645" s="140">
        <v>3631.78</v>
      </c>
      <c r="Q645" s="35"/>
    </row>
    <row r="646" spans="1:17" s="165" customFormat="1" ht="15" customHeight="1">
      <c r="A646" s="14"/>
      <c r="B646" s="38"/>
      <c r="C646" s="30" t="s">
        <v>39</v>
      </c>
      <c r="D646" s="138" t="s">
        <v>797</v>
      </c>
      <c r="E646" s="185" t="s">
        <v>1503</v>
      </c>
      <c r="F646" s="139" t="s">
        <v>10</v>
      </c>
      <c r="G646" s="139">
        <v>31205</v>
      </c>
      <c r="H646" s="138" t="s">
        <v>200</v>
      </c>
      <c r="I646" s="139" t="s">
        <v>21</v>
      </c>
      <c r="J646" s="139">
        <v>43759</v>
      </c>
      <c r="K646" s="184">
        <v>34</v>
      </c>
      <c r="L646" s="139">
        <v>43738</v>
      </c>
      <c r="M646" s="139">
        <v>43787</v>
      </c>
      <c r="N646" s="189">
        <v>28</v>
      </c>
      <c r="O646" s="140">
        <v>3631.78</v>
      </c>
      <c r="Q646" s="35"/>
    </row>
    <row r="647" spans="1:17" s="165" customFormat="1" ht="15" customHeight="1">
      <c r="A647" s="14"/>
      <c r="B647" s="38"/>
      <c r="C647" s="30" t="s">
        <v>39</v>
      </c>
      <c r="D647" s="138" t="s">
        <v>798</v>
      </c>
      <c r="E647" s="185" t="s">
        <v>1504</v>
      </c>
      <c r="F647" s="139" t="s">
        <v>8</v>
      </c>
      <c r="G647" s="139">
        <v>25525</v>
      </c>
      <c r="H647" s="138" t="s">
        <v>199</v>
      </c>
      <c r="I647" s="139" t="s">
        <v>21</v>
      </c>
      <c r="J647" s="139">
        <v>43745</v>
      </c>
      <c r="K647" s="184">
        <v>50</v>
      </c>
      <c r="L647" s="139"/>
      <c r="M647" s="139">
        <v>43782</v>
      </c>
      <c r="N647" s="189">
        <v>37</v>
      </c>
      <c r="O647" s="140">
        <v>0</v>
      </c>
      <c r="Q647" s="35"/>
    </row>
    <row r="648" spans="1:17" s="165" customFormat="1" ht="15" customHeight="1">
      <c r="A648" s="14"/>
      <c r="B648" s="38"/>
      <c r="C648" s="30" t="s">
        <v>39</v>
      </c>
      <c r="D648" s="138" t="s">
        <v>799</v>
      </c>
      <c r="E648" s="185" t="s">
        <v>1505</v>
      </c>
      <c r="F648" s="139" t="s">
        <v>8</v>
      </c>
      <c r="G648" s="139">
        <v>28207</v>
      </c>
      <c r="H648" s="138" t="s">
        <v>199</v>
      </c>
      <c r="I648" s="139" t="s">
        <v>21</v>
      </c>
      <c r="J648" s="139">
        <v>43567</v>
      </c>
      <c r="K648" s="184">
        <v>42</v>
      </c>
      <c r="L648" s="139">
        <v>43598</v>
      </c>
      <c r="M648" s="139">
        <v>43598</v>
      </c>
      <c r="N648" s="189">
        <v>31</v>
      </c>
      <c r="O648" s="140">
        <v>1126.07</v>
      </c>
      <c r="Q648" s="35"/>
    </row>
    <row r="649" spans="1:17" s="165" customFormat="1" ht="15" customHeight="1">
      <c r="A649" s="14"/>
      <c r="B649" s="38"/>
      <c r="C649" s="30" t="s">
        <v>39</v>
      </c>
      <c r="D649" s="138" t="s">
        <v>800</v>
      </c>
      <c r="E649" s="185" t="s">
        <v>1506</v>
      </c>
      <c r="F649" s="139" t="s">
        <v>8</v>
      </c>
      <c r="G649" s="139">
        <v>30293</v>
      </c>
      <c r="H649" s="138" t="s">
        <v>200</v>
      </c>
      <c r="I649" s="139" t="s">
        <v>21</v>
      </c>
      <c r="J649" s="139">
        <v>43584</v>
      </c>
      <c r="K649" s="184">
        <v>37</v>
      </c>
      <c r="L649" s="139">
        <v>43653</v>
      </c>
      <c r="M649" s="139">
        <v>43653</v>
      </c>
      <c r="N649" s="189">
        <v>69</v>
      </c>
      <c r="O649" s="140">
        <v>1143.5999999999999</v>
      </c>
      <c r="Q649" s="35"/>
    </row>
    <row r="650" spans="1:17" s="165" customFormat="1" ht="15" customHeight="1">
      <c r="A650" s="14"/>
      <c r="B650" s="38"/>
      <c r="C650" s="30" t="s">
        <v>39</v>
      </c>
      <c r="D650" s="138" t="s">
        <v>288</v>
      </c>
      <c r="E650" s="185" t="s">
        <v>1507</v>
      </c>
      <c r="F650" s="139" t="s">
        <v>8</v>
      </c>
      <c r="G650" s="139">
        <v>23657</v>
      </c>
      <c r="H650" s="138" t="s">
        <v>199</v>
      </c>
      <c r="I650" s="139" t="s">
        <v>21</v>
      </c>
      <c r="J650" s="139">
        <v>43689</v>
      </c>
      <c r="K650" s="184">
        <v>55</v>
      </c>
      <c r="L650" s="139">
        <v>43799</v>
      </c>
      <c r="M650" s="139">
        <v>43799</v>
      </c>
      <c r="N650" s="189">
        <v>110</v>
      </c>
      <c r="O650" s="140">
        <v>954.72</v>
      </c>
      <c r="Q650" s="35"/>
    </row>
    <row r="651" spans="1:17" s="165" customFormat="1" ht="15" customHeight="1">
      <c r="A651" s="14"/>
      <c r="B651" s="38"/>
      <c r="C651" s="30" t="s">
        <v>39</v>
      </c>
      <c r="D651" s="138" t="s">
        <v>801</v>
      </c>
      <c r="E651" s="185" t="s">
        <v>1508</v>
      </c>
      <c r="F651" s="139" t="s">
        <v>8</v>
      </c>
      <c r="G651" s="139">
        <v>24984</v>
      </c>
      <c r="H651" s="138" t="s">
        <v>200</v>
      </c>
      <c r="I651" s="139" t="s">
        <v>21</v>
      </c>
      <c r="J651" s="139">
        <v>43621</v>
      </c>
      <c r="K651" s="184">
        <v>51</v>
      </c>
      <c r="L651" s="139"/>
      <c r="M651" s="139">
        <v>44253</v>
      </c>
      <c r="N651" s="189">
        <v>632</v>
      </c>
      <c r="O651" s="140">
        <v>0</v>
      </c>
      <c r="Q651" s="35"/>
    </row>
    <row r="652" spans="1:17" s="165" customFormat="1" ht="15" customHeight="1">
      <c r="A652" s="14"/>
      <c r="B652" s="38"/>
      <c r="C652" s="30" t="s">
        <v>39</v>
      </c>
      <c r="D652" s="138" t="s">
        <v>802</v>
      </c>
      <c r="E652" s="185" t="s">
        <v>1509</v>
      </c>
      <c r="F652" s="139" t="s">
        <v>8</v>
      </c>
      <c r="G652" s="139">
        <v>25112</v>
      </c>
      <c r="H652" s="138" t="s">
        <v>199</v>
      </c>
      <c r="I652" s="139" t="s">
        <v>21</v>
      </c>
      <c r="J652" s="139">
        <v>43808</v>
      </c>
      <c r="K652" s="184">
        <v>51</v>
      </c>
      <c r="L652" s="139"/>
      <c r="M652" s="139">
        <v>43839</v>
      </c>
      <c r="N652" s="189">
        <v>31</v>
      </c>
      <c r="O652" s="140">
        <v>0</v>
      </c>
      <c r="Q652" s="35"/>
    </row>
    <row r="653" spans="1:17" s="165" customFormat="1" ht="15" customHeight="1">
      <c r="A653" s="14"/>
      <c r="B653" s="38"/>
      <c r="C653" s="30" t="s">
        <v>39</v>
      </c>
      <c r="D653" s="138" t="s">
        <v>803</v>
      </c>
      <c r="E653" s="185" t="s">
        <v>1510</v>
      </c>
      <c r="F653" s="139" t="s">
        <v>10</v>
      </c>
      <c r="G653" s="139">
        <v>33499</v>
      </c>
      <c r="H653" s="138" t="s">
        <v>199</v>
      </c>
      <c r="I653" s="139" t="s">
        <v>21</v>
      </c>
      <c r="J653" s="139">
        <v>43713</v>
      </c>
      <c r="K653" s="184">
        <v>28</v>
      </c>
      <c r="L653" s="139"/>
      <c r="M653" s="139"/>
      <c r="N653" s="189">
        <v>0</v>
      </c>
      <c r="O653" s="140">
        <v>0</v>
      </c>
      <c r="Q653" s="35"/>
    </row>
    <row r="654" spans="1:17" s="165" customFormat="1" ht="15" customHeight="1">
      <c r="A654" s="14"/>
      <c r="B654" s="38"/>
      <c r="C654" s="30" t="s">
        <v>39</v>
      </c>
      <c r="D654" s="138" t="s">
        <v>804</v>
      </c>
      <c r="E654" s="185" t="s">
        <v>1511</v>
      </c>
      <c r="F654" s="139" t="s">
        <v>8</v>
      </c>
      <c r="G654" s="139">
        <v>18678</v>
      </c>
      <c r="H654" s="138" t="s">
        <v>199</v>
      </c>
      <c r="I654" s="139" t="s">
        <v>21</v>
      </c>
      <c r="J654" s="139">
        <v>43628</v>
      </c>
      <c r="K654" s="184">
        <v>68</v>
      </c>
      <c r="L654" s="139"/>
      <c r="M654" s="139">
        <v>43784</v>
      </c>
      <c r="N654" s="189">
        <v>156</v>
      </c>
      <c r="O654" s="140">
        <v>0</v>
      </c>
      <c r="Q654" s="35"/>
    </row>
    <row r="655" spans="1:17" s="165" customFormat="1" ht="15" customHeight="1">
      <c r="A655" s="14"/>
      <c r="B655" s="38"/>
      <c r="C655" s="30" t="s">
        <v>39</v>
      </c>
      <c r="D655" s="138" t="s">
        <v>805</v>
      </c>
      <c r="E655" s="185" t="s">
        <v>1512</v>
      </c>
      <c r="F655" s="139" t="s">
        <v>8</v>
      </c>
      <c r="G655" s="139">
        <v>24807</v>
      </c>
      <c r="H655" s="138" t="s">
        <v>200</v>
      </c>
      <c r="I655" s="139" t="s">
        <v>21</v>
      </c>
      <c r="J655" s="139">
        <v>43769</v>
      </c>
      <c r="K655" s="184">
        <v>52</v>
      </c>
      <c r="L655" s="139"/>
      <c r="M655" s="139"/>
      <c r="N655" s="189">
        <v>0</v>
      </c>
      <c r="O655" s="140">
        <v>0</v>
      </c>
      <c r="Q655" s="35"/>
    </row>
    <row r="656" spans="1:17" s="165" customFormat="1" ht="15" customHeight="1">
      <c r="A656" s="14"/>
      <c r="B656" s="38"/>
      <c r="C656" s="30" t="s">
        <v>39</v>
      </c>
      <c r="D656" s="138" t="s">
        <v>806</v>
      </c>
      <c r="E656" s="185" t="s">
        <v>1513</v>
      </c>
      <c r="F656" s="139" t="s">
        <v>8</v>
      </c>
      <c r="G656" s="139">
        <v>25542</v>
      </c>
      <c r="H656" s="138" t="s">
        <v>199</v>
      </c>
      <c r="I656" s="139" t="s">
        <v>21</v>
      </c>
      <c r="J656" s="139">
        <v>43822</v>
      </c>
      <c r="K656" s="184">
        <v>50</v>
      </c>
      <c r="L656" s="139"/>
      <c r="M656" s="139">
        <v>43871</v>
      </c>
      <c r="N656" s="189">
        <v>49</v>
      </c>
      <c r="O656" s="140">
        <v>0</v>
      </c>
      <c r="Q656" s="35"/>
    </row>
    <row r="657" spans="1:17" s="165" customFormat="1" ht="15" customHeight="1">
      <c r="A657" s="14"/>
      <c r="B657" s="38"/>
      <c r="C657" s="30" t="s">
        <v>39</v>
      </c>
      <c r="D657" s="138" t="s">
        <v>807</v>
      </c>
      <c r="E657" s="185" t="s">
        <v>1513</v>
      </c>
      <c r="F657" s="139" t="s">
        <v>8</v>
      </c>
      <c r="G657" s="139">
        <v>25542</v>
      </c>
      <c r="H657" s="138" t="s">
        <v>199</v>
      </c>
      <c r="I657" s="139" t="s">
        <v>21</v>
      </c>
      <c r="J657" s="139">
        <v>43822</v>
      </c>
      <c r="K657" s="184">
        <v>50</v>
      </c>
      <c r="L657" s="139"/>
      <c r="M657" s="139">
        <v>43921</v>
      </c>
      <c r="N657" s="189">
        <v>99</v>
      </c>
      <c r="O657" s="140">
        <v>0</v>
      </c>
      <c r="Q657" s="35"/>
    </row>
    <row r="658" spans="1:17" s="165" customFormat="1" ht="15" customHeight="1">
      <c r="A658" s="14"/>
      <c r="B658" s="38"/>
      <c r="C658" s="30" t="s">
        <v>39</v>
      </c>
      <c r="D658" s="138" t="s">
        <v>808</v>
      </c>
      <c r="E658" s="185" t="s">
        <v>1514</v>
      </c>
      <c r="F658" s="139" t="s">
        <v>8</v>
      </c>
      <c r="G658" s="139">
        <v>27857</v>
      </c>
      <c r="H658" s="138" t="s">
        <v>199</v>
      </c>
      <c r="I658" s="139" t="s">
        <v>21</v>
      </c>
      <c r="J658" s="139">
        <v>43482</v>
      </c>
      <c r="K658" s="184">
        <v>43</v>
      </c>
      <c r="L658" s="139">
        <v>43637</v>
      </c>
      <c r="M658" s="139">
        <v>43637</v>
      </c>
      <c r="N658" s="189">
        <v>155</v>
      </c>
      <c r="O658" s="140">
        <v>2807.28</v>
      </c>
      <c r="Q658" s="35"/>
    </row>
    <row r="659" spans="1:17" s="165" customFormat="1" ht="15" customHeight="1">
      <c r="A659" s="14"/>
      <c r="B659" s="38"/>
      <c r="C659" s="30" t="s">
        <v>39</v>
      </c>
      <c r="D659" s="138" t="s">
        <v>809</v>
      </c>
      <c r="E659" s="185" t="s">
        <v>1515</v>
      </c>
      <c r="F659" s="139" t="s">
        <v>8</v>
      </c>
      <c r="G659" s="139">
        <v>31078</v>
      </c>
      <c r="H659" s="138" t="s">
        <v>199</v>
      </c>
      <c r="I659" s="139" t="s">
        <v>21</v>
      </c>
      <c r="J659" s="139">
        <v>43488</v>
      </c>
      <c r="K659" s="184">
        <v>34</v>
      </c>
      <c r="L659" s="139">
        <v>43525</v>
      </c>
      <c r="M659" s="139">
        <v>43525</v>
      </c>
      <c r="N659" s="189">
        <v>37</v>
      </c>
      <c r="O659" s="140">
        <v>504.8</v>
      </c>
      <c r="Q659" s="35"/>
    </row>
    <row r="660" spans="1:17" s="165" customFormat="1" ht="15" customHeight="1">
      <c r="A660" s="14"/>
      <c r="B660" s="38"/>
      <c r="C660" s="30" t="s">
        <v>39</v>
      </c>
      <c r="D660" s="138" t="s">
        <v>136</v>
      </c>
      <c r="E660" s="185" t="s">
        <v>1515</v>
      </c>
      <c r="F660" s="139" t="s">
        <v>8</v>
      </c>
      <c r="G660" s="139">
        <v>31078</v>
      </c>
      <c r="H660" s="138" t="s">
        <v>199</v>
      </c>
      <c r="I660" s="139" t="s">
        <v>21</v>
      </c>
      <c r="J660" s="139">
        <v>43558</v>
      </c>
      <c r="K660" s="184">
        <v>34</v>
      </c>
      <c r="L660" s="139">
        <v>43801</v>
      </c>
      <c r="M660" s="139">
        <v>43801</v>
      </c>
      <c r="N660" s="189">
        <v>243</v>
      </c>
      <c r="O660" s="140">
        <v>12827.16</v>
      </c>
      <c r="Q660" s="35"/>
    </row>
    <row r="661" spans="1:17" s="165" customFormat="1" ht="15" customHeight="1">
      <c r="A661" s="14"/>
      <c r="B661" s="38"/>
      <c r="C661" s="30" t="s">
        <v>39</v>
      </c>
      <c r="D661" s="138" t="s">
        <v>136</v>
      </c>
      <c r="E661" s="185" t="s">
        <v>1515</v>
      </c>
      <c r="F661" s="139" t="s">
        <v>8</v>
      </c>
      <c r="G661" s="139">
        <v>31078</v>
      </c>
      <c r="H661" s="138" t="s">
        <v>199</v>
      </c>
      <c r="I661" s="139" t="s">
        <v>21</v>
      </c>
      <c r="J661" s="139">
        <v>43802</v>
      </c>
      <c r="K661" s="184">
        <v>34</v>
      </c>
      <c r="L661" s="139">
        <v>43801</v>
      </c>
      <c r="M661" s="139">
        <v>43819</v>
      </c>
      <c r="N661" s="189">
        <v>17</v>
      </c>
      <c r="O661" s="140">
        <v>12827.16</v>
      </c>
      <c r="Q661" s="35"/>
    </row>
    <row r="662" spans="1:17" s="165" customFormat="1" ht="15" customHeight="1">
      <c r="A662" s="14"/>
      <c r="B662" s="38"/>
      <c r="C662" s="30" t="s">
        <v>39</v>
      </c>
      <c r="D662" s="138" t="s">
        <v>810</v>
      </c>
      <c r="E662" s="185" t="s">
        <v>1516</v>
      </c>
      <c r="F662" s="139" t="s">
        <v>8</v>
      </c>
      <c r="G662" s="139">
        <v>31729</v>
      </c>
      <c r="H662" s="138" t="s">
        <v>199</v>
      </c>
      <c r="I662" s="139" t="s">
        <v>21</v>
      </c>
      <c r="J662" s="139">
        <v>43601</v>
      </c>
      <c r="K662" s="184">
        <v>33</v>
      </c>
      <c r="L662" s="139"/>
      <c r="M662" s="139">
        <v>43665</v>
      </c>
      <c r="N662" s="189">
        <v>64</v>
      </c>
      <c r="O662" s="140">
        <v>0</v>
      </c>
      <c r="Q662" s="35"/>
    </row>
    <row r="663" spans="1:17" s="165" customFormat="1" ht="15" customHeight="1">
      <c r="A663" s="14"/>
      <c r="B663" s="38"/>
      <c r="C663" s="30" t="s">
        <v>39</v>
      </c>
      <c r="D663" s="138" t="s">
        <v>811</v>
      </c>
      <c r="E663" s="185" t="s">
        <v>1517</v>
      </c>
      <c r="F663" s="139" t="s">
        <v>8</v>
      </c>
      <c r="G663" s="139">
        <v>32176</v>
      </c>
      <c r="H663" s="138" t="s">
        <v>199</v>
      </c>
      <c r="I663" s="139" t="s">
        <v>21</v>
      </c>
      <c r="J663" s="139">
        <v>43797</v>
      </c>
      <c r="K663" s="184">
        <v>31</v>
      </c>
      <c r="L663" s="139"/>
      <c r="M663" s="139">
        <v>43843</v>
      </c>
      <c r="N663" s="189">
        <v>46</v>
      </c>
      <c r="O663" s="140">
        <v>0</v>
      </c>
      <c r="Q663" s="35"/>
    </row>
    <row r="664" spans="1:17" s="165" customFormat="1" ht="15" customHeight="1">
      <c r="A664" s="14"/>
      <c r="B664" s="38"/>
      <c r="C664" s="30" t="s">
        <v>39</v>
      </c>
      <c r="D664" s="138" t="s">
        <v>812</v>
      </c>
      <c r="E664" s="185" t="s">
        <v>1518</v>
      </c>
      <c r="F664" s="139" t="s">
        <v>8</v>
      </c>
      <c r="G664" s="139">
        <v>33086</v>
      </c>
      <c r="H664" s="138" t="s">
        <v>199</v>
      </c>
      <c r="I664" s="139" t="s">
        <v>21</v>
      </c>
      <c r="J664" s="139">
        <v>43605</v>
      </c>
      <c r="K664" s="184">
        <v>29</v>
      </c>
      <c r="L664" s="139">
        <v>43680</v>
      </c>
      <c r="M664" s="139">
        <v>43680</v>
      </c>
      <c r="N664" s="189">
        <v>75</v>
      </c>
      <c r="O664" s="140">
        <v>1500.98</v>
      </c>
      <c r="Q664" s="35"/>
    </row>
    <row r="665" spans="1:17" s="165" customFormat="1" ht="15" customHeight="1">
      <c r="A665" s="14"/>
      <c r="B665" s="38"/>
      <c r="C665" s="30" t="s">
        <v>39</v>
      </c>
      <c r="D665" s="138" t="s">
        <v>813</v>
      </c>
      <c r="E665" s="185" t="s">
        <v>1519</v>
      </c>
      <c r="F665" s="139" t="s">
        <v>8</v>
      </c>
      <c r="G665" s="139">
        <v>33188</v>
      </c>
      <c r="H665" s="138" t="s">
        <v>199</v>
      </c>
      <c r="I665" s="139" t="s">
        <v>21</v>
      </c>
      <c r="J665" s="139">
        <v>43563</v>
      </c>
      <c r="K665" s="184">
        <v>29</v>
      </c>
      <c r="L665" s="139">
        <v>43738</v>
      </c>
      <c r="M665" s="139">
        <v>44113</v>
      </c>
      <c r="N665" s="189">
        <v>550</v>
      </c>
      <c r="O665" s="140">
        <v>2381.2599999999998</v>
      </c>
      <c r="Q665" s="35"/>
    </row>
    <row r="666" spans="1:17" s="165" customFormat="1" ht="15" customHeight="1">
      <c r="A666" s="14"/>
      <c r="B666" s="38"/>
      <c r="C666" s="30" t="s">
        <v>39</v>
      </c>
      <c r="D666" s="138" t="s">
        <v>130</v>
      </c>
      <c r="E666" s="185" t="s">
        <v>1520</v>
      </c>
      <c r="F666" s="139" t="s">
        <v>8</v>
      </c>
      <c r="G666" s="139">
        <v>33536</v>
      </c>
      <c r="H666" s="138" t="s">
        <v>199</v>
      </c>
      <c r="I666" s="139" t="s">
        <v>21</v>
      </c>
      <c r="J666" s="139">
        <v>43591</v>
      </c>
      <c r="K666" s="184">
        <v>28</v>
      </c>
      <c r="L666" s="139">
        <v>43772</v>
      </c>
      <c r="M666" s="139"/>
      <c r="N666" s="189">
        <v>0</v>
      </c>
      <c r="O666" s="140">
        <v>3906.4000000000005</v>
      </c>
      <c r="Q666" s="35"/>
    </row>
    <row r="667" spans="1:17" s="165" customFormat="1" ht="15" customHeight="1">
      <c r="A667" s="14"/>
      <c r="B667" s="38"/>
      <c r="C667" s="30" t="s">
        <v>39</v>
      </c>
      <c r="D667" s="138" t="s">
        <v>814</v>
      </c>
      <c r="E667" s="185" t="s">
        <v>1521</v>
      </c>
      <c r="F667" s="139" t="s">
        <v>8</v>
      </c>
      <c r="G667" s="139">
        <v>32981</v>
      </c>
      <c r="H667" s="138" t="s">
        <v>199</v>
      </c>
      <c r="I667" s="139" t="s">
        <v>21</v>
      </c>
      <c r="J667" s="139">
        <v>43473</v>
      </c>
      <c r="K667" s="184">
        <v>29</v>
      </c>
      <c r="L667" s="139">
        <v>43542</v>
      </c>
      <c r="M667" s="139">
        <v>43542</v>
      </c>
      <c r="N667" s="189">
        <v>69</v>
      </c>
      <c r="O667" s="140">
        <v>606.79999999999995</v>
      </c>
      <c r="Q667" s="35"/>
    </row>
    <row r="668" spans="1:17" s="165" customFormat="1" ht="15" customHeight="1">
      <c r="A668" s="14"/>
      <c r="B668" s="38"/>
      <c r="C668" s="30" t="s">
        <v>39</v>
      </c>
      <c r="D668" s="138" t="s">
        <v>815</v>
      </c>
      <c r="E668" s="185" t="s">
        <v>1522</v>
      </c>
      <c r="F668" s="139" t="s">
        <v>8</v>
      </c>
      <c r="G668" s="139">
        <v>33144</v>
      </c>
      <c r="H668" s="138" t="s">
        <v>199</v>
      </c>
      <c r="I668" s="139" t="s">
        <v>21</v>
      </c>
      <c r="J668" s="139">
        <v>43489</v>
      </c>
      <c r="K668" s="184">
        <v>29</v>
      </c>
      <c r="L668" s="139">
        <v>43549</v>
      </c>
      <c r="M668" s="139">
        <v>43549</v>
      </c>
      <c r="N668" s="189">
        <v>60</v>
      </c>
      <c r="O668" s="140">
        <v>450.43000000000006</v>
      </c>
      <c r="Q668" s="35"/>
    </row>
    <row r="669" spans="1:17" s="165" customFormat="1" ht="15" customHeight="1">
      <c r="A669" s="14"/>
      <c r="B669" s="38"/>
      <c r="C669" s="30" t="s">
        <v>39</v>
      </c>
      <c r="D669" s="138" t="s">
        <v>816</v>
      </c>
      <c r="E669" s="185" t="s">
        <v>1523</v>
      </c>
      <c r="F669" s="139" t="s">
        <v>8</v>
      </c>
      <c r="G669" s="139">
        <v>32766</v>
      </c>
      <c r="H669" s="138" t="s">
        <v>199</v>
      </c>
      <c r="I669" s="139" t="s">
        <v>21</v>
      </c>
      <c r="J669" s="139">
        <v>43657</v>
      </c>
      <c r="K669" s="184">
        <v>30</v>
      </c>
      <c r="L669" s="139">
        <v>43731</v>
      </c>
      <c r="M669" s="139">
        <v>43731</v>
      </c>
      <c r="N669" s="189">
        <v>74</v>
      </c>
      <c r="O669" s="140">
        <v>1383.3</v>
      </c>
      <c r="Q669" s="35"/>
    </row>
    <row r="670" spans="1:17" s="165" customFormat="1" ht="15" customHeight="1">
      <c r="A670" s="14"/>
      <c r="B670" s="38"/>
      <c r="C670" s="30" t="s">
        <v>39</v>
      </c>
      <c r="D670" s="138" t="s">
        <v>817</v>
      </c>
      <c r="E670" s="185" t="s">
        <v>1524</v>
      </c>
      <c r="F670" s="139" t="s">
        <v>8</v>
      </c>
      <c r="G670" s="139">
        <v>27212</v>
      </c>
      <c r="H670" s="138" t="s">
        <v>199</v>
      </c>
      <c r="I670" s="139" t="s">
        <v>21</v>
      </c>
      <c r="J670" s="139">
        <v>43500</v>
      </c>
      <c r="K670" s="184">
        <v>45</v>
      </c>
      <c r="L670" s="139">
        <v>43541</v>
      </c>
      <c r="M670" s="139">
        <v>43541</v>
      </c>
      <c r="N670" s="189">
        <v>41</v>
      </c>
      <c r="O670" s="140">
        <v>15.84</v>
      </c>
      <c r="Q670" s="35"/>
    </row>
    <row r="671" spans="1:17" s="165" customFormat="1" ht="15" customHeight="1">
      <c r="A671" s="14"/>
      <c r="B671" s="38"/>
      <c r="C671" s="30" t="s">
        <v>39</v>
      </c>
      <c r="D671" s="138" t="s">
        <v>818</v>
      </c>
      <c r="E671" s="185" t="s">
        <v>1524</v>
      </c>
      <c r="F671" s="139" t="s">
        <v>8</v>
      </c>
      <c r="G671" s="139">
        <v>27212</v>
      </c>
      <c r="H671" s="138" t="s">
        <v>199</v>
      </c>
      <c r="I671" s="139" t="s">
        <v>21</v>
      </c>
      <c r="J671" s="139">
        <v>43500</v>
      </c>
      <c r="K671" s="184">
        <v>45</v>
      </c>
      <c r="L671" s="139">
        <v>43541</v>
      </c>
      <c r="M671" s="139">
        <v>43541</v>
      </c>
      <c r="N671" s="189">
        <v>41</v>
      </c>
      <c r="O671" s="140">
        <v>9.1199999999999992</v>
      </c>
      <c r="Q671" s="35"/>
    </row>
    <row r="672" spans="1:17" s="165" customFormat="1" ht="15" customHeight="1">
      <c r="A672" s="14"/>
      <c r="B672" s="38"/>
      <c r="C672" s="30" t="s">
        <v>39</v>
      </c>
      <c r="D672" s="138" t="s">
        <v>290</v>
      </c>
      <c r="E672" s="185" t="s">
        <v>1525</v>
      </c>
      <c r="F672" s="139" t="s">
        <v>8</v>
      </c>
      <c r="G672" s="139">
        <v>21866</v>
      </c>
      <c r="H672" s="138" t="s">
        <v>199</v>
      </c>
      <c r="I672" s="139" t="s">
        <v>21</v>
      </c>
      <c r="J672" s="139">
        <v>43466</v>
      </c>
      <c r="K672" s="184">
        <v>60</v>
      </c>
      <c r="L672" s="139">
        <v>43738</v>
      </c>
      <c r="M672" s="139">
        <v>43585</v>
      </c>
      <c r="N672" s="189">
        <v>119</v>
      </c>
      <c r="O672" s="140">
        <v>280.95</v>
      </c>
      <c r="Q672" s="35"/>
    </row>
    <row r="673" spans="1:17" s="165" customFormat="1" ht="15" customHeight="1">
      <c r="A673" s="14"/>
      <c r="B673" s="38"/>
      <c r="C673" s="30" t="s">
        <v>39</v>
      </c>
      <c r="D673" s="138" t="s">
        <v>819</v>
      </c>
      <c r="E673" s="185" t="s">
        <v>1526</v>
      </c>
      <c r="F673" s="139" t="s">
        <v>8</v>
      </c>
      <c r="G673" s="139">
        <v>32877</v>
      </c>
      <c r="H673" s="138" t="s">
        <v>199</v>
      </c>
      <c r="I673" s="139" t="s">
        <v>21</v>
      </c>
      <c r="J673" s="139">
        <v>43652</v>
      </c>
      <c r="K673" s="184">
        <v>29</v>
      </c>
      <c r="L673" s="139"/>
      <c r="M673" s="139">
        <v>43727</v>
      </c>
      <c r="N673" s="189">
        <v>75</v>
      </c>
      <c r="O673" s="140">
        <v>0</v>
      </c>
      <c r="Q673" s="35"/>
    </row>
    <row r="674" spans="1:17" s="165" customFormat="1" ht="15" customHeight="1">
      <c r="A674" s="14"/>
      <c r="B674" s="38"/>
      <c r="C674" s="30" t="s">
        <v>39</v>
      </c>
      <c r="D674" s="138" t="s">
        <v>820</v>
      </c>
      <c r="E674" s="185" t="s">
        <v>1527</v>
      </c>
      <c r="F674" s="139" t="s">
        <v>8</v>
      </c>
      <c r="G674" s="139">
        <v>31836</v>
      </c>
      <c r="H674" s="138" t="s">
        <v>199</v>
      </c>
      <c r="I674" s="139" t="s">
        <v>21</v>
      </c>
      <c r="J674" s="139">
        <v>43734</v>
      </c>
      <c r="K674" s="184">
        <v>32</v>
      </c>
      <c r="L674" s="139"/>
      <c r="M674" s="139">
        <v>43787</v>
      </c>
      <c r="N674" s="189">
        <v>53</v>
      </c>
      <c r="O674" s="140">
        <v>0</v>
      </c>
      <c r="Q674" s="35"/>
    </row>
    <row r="675" spans="1:17" s="165" customFormat="1" ht="15" customHeight="1">
      <c r="A675" s="14"/>
      <c r="B675" s="38"/>
      <c r="C675" s="30" t="s">
        <v>39</v>
      </c>
      <c r="D675" s="138" t="s">
        <v>821</v>
      </c>
      <c r="E675" s="185" t="s">
        <v>1528</v>
      </c>
      <c r="F675" s="139" t="s">
        <v>10</v>
      </c>
      <c r="G675" s="139">
        <v>32679</v>
      </c>
      <c r="H675" s="138" t="s">
        <v>200</v>
      </c>
      <c r="I675" s="139" t="s">
        <v>21</v>
      </c>
      <c r="J675" s="139">
        <v>43535</v>
      </c>
      <c r="K675" s="184">
        <v>30</v>
      </c>
      <c r="L675" s="139">
        <v>43611</v>
      </c>
      <c r="M675" s="139">
        <v>43611</v>
      </c>
      <c r="N675" s="189">
        <v>76</v>
      </c>
      <c r="O675" s="140">
        <v>2362.69</v>
      </c>
      <c r="Q675" s="35"/>
    </row>
    <row r="676" spans="1:17" s="165" customFormat="1" ht="15" customHeight="1">
      <c r="A676" s="14"/>
      <c r="B676" s="38"/>
      <c r="C676" s="30" t="s">
        <v>39</v>
      </c>
      <c r="D676" s="138" t="s">
        <v>822</v>
      </c>
      <c r="E676" s="185" t="s">
        <v>1529</v>
      </c>
      <c r="F676" s="139" t="s">
        <v>8</v>
      </c>
      <c r="G676" s="139">
        <v>29841</v>
      </c>
      <c r="H676" s="138" t="s">
        <v>199</v>
      </c>
      <c r="I676" s="139" t="s">
        <v>21</v>
      </c>
      <c r="J676" s="139">
        <v>43752</v>
      </c>
      <c r="K676" s="184">
        <v>38</v>
      </c>
      <c r="L676" s="139"/>
      <c r="M676" s="139"/>
      <c r="N676" s="189">
        <v>0</v>
      </c>
      <c r="O676" s="140">
        <v>0</v>
      </c>
      <c r="Q676" s="35"/>
    </row>
    <row r="677" spans="1:17" s="165" customFormat="1" ht="15" customHeight="1">
      <c r="A677" s="14"/>
      <c r="B677" s="38"/>
      <c r="C677" s="30" t="s">
        <v>39</v>
      </c>
      <c r="D677" s="138" t="s">
        <v>823</v>
      </c>
      <c r="E677" s="185" t="s">
        <v>1530</v>
      </c>
      <c r="F677" s="139" t="s">
        <v>8</v>
      </c>
      <c r="G677" s="139">
        <v>32183</v>
      </c>
      <c r="H677" s="138" t="s">
        <v>199</v>
      </c>
      <c r="I677" s="139" t="s">
        <v>21</v>
      </c>
      <c r="J677" s="139">
        <v>43476</v>
      </c>
      <c r="K677" s="184">
        <v>31</v>
      </c>
      <c r="L677" s="139">
        <v>43530</v>
      </c>
      <c r="M677" s="139">
        <v>43530</v>
      </c>
      <c r="N677" s="189">
        <v>54</v>
      </c>
      <c r="O677" s="140">
        <v>449.5</v>
      </c>
      <c r="Q677" s="35"/>
    </row>
    <row r="678" spans="1:17" s="165" customFormat="1" ht="15" customHeight="1">
      <c r="A678" s="14"/>
      <c r="B678" s="38"/>
      <c r="C678" s="30" t="s">
        <v>39</v>
      </c>
      <c r="D678" s="138" t="s">
        <v>824</v>
      </c>
      <c r="E678" s="185" t="s">
        <v>1531</v>
      </c>
      <c r="F678" s="139" t="s">
        <v>10</v>
      </c>
      <c r="G678" s="139">
        <v>33165</v>
      </c>
      <c r="H678" s="138" t="s">
        <v>200</v>
      </c>
      <c r="I678" s="139" t="s">
        <v>21</v>
      </c>
      <c r="J678" s="139">
        <v>43757</v>
      </c>
      <c r="K678" s="184">
        <v>29</v>
      </c>
      <c r="L678" s="139"/>
      <c r="M678" s="139">
        <v>44243</v>
      </c>
      <c r="N678" s="189">
        <v>486</v>
      </c>
      <c r="O678" s="140">
        <v>0</v>
      </c>
      <c r="Q678" s="35"/>
    </row>
    <row r="679" spans="1:17" s="165" customFormat="1" ht="15" customHeight="1">
      <c r="A679" s="14"/>
      <c r="B679" s="38"/>
      <c r="C679" s="30" t="s">
        <v>39</v>
      </c>
      <c r="D679" s="138" t="s">
        <v>825</v>
      </c>
      <c r="E679" s="185" t="s">
        <v>1532</v>
      </c>
      <c r="F679" s="139" t="s">
        <v>8</v>
      </c>
      <c r="G679" s="139">
        <v>28044</v>
      </c>
      <c r="H679" s="138" t="s">
        <v>199</v>
      </c>
      <c r="I679" s="139" t="s">
        <v>21</v>
      </c>
      <c r="J679" s="139">
        <v>43748</v>
      </c>
      <c r="K679" s="184">
        <v>43</v>
      </c>
      <c r="L679" s="139"/>
      <c r="M679" s="139"/>
      <c r="N679" s="189">
        <v>0</v>
      </c>
      <c r="O679" s="140">
        <v>0</v>
      </c>
      <c r="Q679" s="35"/>
    </row>
    <row r="680" spans="1:17" s="165" customFormat="1" ht="15" customHeight="1">
      <c r="A680" s="14"/>
      <c r="B680" s="38"/>
      <c r="C680" s="30" t="s">
        <v>39</v>
      </c>
      <c r="D680" s="138" t="s">
        <v>826</v>
      </c>
      <c r="E680" s="185" t="s">
        <v>1533</v>
      </c>
      <c r="F680" s="139" t="s">
        <v>10</v>
      </c>
      <c r="G680" s="139">
        <v>29016</v>
      </c>
      <c r="H680" s="138" t="s">
        <v>200</v>
      </c>
      <c r="I680" s="139" t="s">
        <v>21</v>
      </c>
      <c r="J680" s="139">
        <v>43744</v>
      </c>
      <c r="K680" s="184">
        <v>40</v>
      </c>
      <c r="L680" s="139"/>
      <c r="M680" s="139">
        <v>43857</v>
      </c>
      <c r="N680" s="189">
        <v>113</v>
      </c>
      <c r="O680" s="140">
        <v>0</v>
      </c>
      <c r="Q680" s="35"/>
    </row>
    <row r="681" spans="1:17" s="165" customFormat="1" ht="15" customHeight="1">
      <c r="A681" s="14"/>
      <c r="B681" s="38"/>
      <c r="C681" s="30" t="s">
        <v>39</v>
      </c>
      <c r="D681" s="138" t="s">
        <v>827</v>
      </c>
      <c r="E681" s="185" t="s">
        <v>1534</v>
      </c>
      <c r="F681" s="139" t="s">
        <v>8</v>
      </c>
      <c r="G681" s="139">
        <v>28643</v>
      </c>
      <c r="H681" s="138" t="s">
        <v>199</v>
      </c>
      <c r="I681" s="139" t="s">
        <v>21</v>
      </c>
      <c r="J681" s="139">
        <v>43697</v>
      </c>
      <c r="K681" s="184">
        <v>41</v>
      </c>
      <c r="L681" s="139"/>
      <c r="M681" s="139">
        <v>43746</v>
      </c>
      <c r="N681" s="189">
        <v>49</v>
      </c>
      <c r="O681" s="140">
        <v>0</v>
      </c>
      <c r="Q681" s="35"/>
    </row>
    <row r="682" spans="1:17" s="165" customFormat="1" ht="15" customHeight="1">
      <c r="A682" s="14"/>
      <c r="B682" s="38"/>
      <c r="C682" s="30" t="s">
        <v>39</v>
      </c>
      <c r="D682" s="138" t="s">
        <v>828</v>
      </c>
      <c r="E682" s="185" t="s">
        <v>1535</v>
      </c>
      <c r="F682" s="139" t="s">
        <v>8</v>
      </c>
      <c r="G682" s="139">
        <v>33298</v>
      </c>
      <c r="H682" s="138" t="s">
        <v>199</v>
      </c>
      <c r="I682" s="139" t="s">
        <v>21</v>
      </c>
      <c r="J682" s="139">
        <v>43774</v>
      </c>
      <c r="K682" s="184">
        <v>28</v>
      </c>
      <c r="L682" s="139"/>
      <c r="M682" s="139">
        <v>43850</v>
      </c>
      <c r="N682" s="189">
        <v>76</v>
      </c>
      <c r="O682" s="140">
        <v>0</v>
      </c>
      <c r="Q682" s="35"/>
    </row>
    <row r="683" spans="1:17" s="165" customFormat="1" ht="15" customHeight="1">
      <c r="A683" s="14"/>
      <c r="B683" s="38"/>
      <c r="C683" s="30" t="s">
        <v>39</v>
      </c>
      <c r="D683" s="138" t="s">
        <v>829</v>
      </c>
      <c r="E683" s="185" t="s">
        <v>1536</v>
      </c>
      <c r="F683" s="139" t="s">
        <v>8</v>
      </c>
      <c r="G683" s="139">
        <v>30776</v>
      </c>
      <c r="H683" s="138" t="s">
        <v>199</v>
      </c>
      <c r="I683" s="139" t="s">
        <v>21</v>
      </c>
      <c r="J683" s="139">
        <v>43479</v>
      </c>
      <c r="K683" s="184">
        <v>35</v>
      </c>
      <c r="L683" s="139">
        <v>43525</v>
      </c>
      <c r="M683" s="139">
        <v>43525</v>
      </c>
      <c r="N683" s="189">
        <v>46</v>
      </c>
      <c r="O683" s="140">
        <v>302.94</v>
      </c>
      <c r="Q683" s="35"/>
    </row>
    <row r="684" spans="1:17" s="165" customFormat="1" ht="15" customHeight="1">
      <c r="A684" s="14"/>
      <c r="B684" s="38"/>
      <c r="C684" s="30" t="s">
        <v>39</v>
      </c>
      <c r="D684" s="138" t="s">
        <v>830</v>
      </c>
      <c r="E684" s="185" t="s">
        <v>1537</v>
      </c>
      <c r="F684" s="139" t="s">
        <v>8</v>
      </c>
      <c r="G684" s="139">
        <v>31628</v>
      </c>
      <c r="H684" s="138" t="s">
        <v>199</v>
      </c>
      <c r="I684" s="139" t="s">
        <v>21</v>
      </c>
      <c r="J684" s="139">
        <v>43574</v>
      </c>
      <c r="K684" s="184">
        <v>33</v>
      </c>
      <c r="L684" s="139">
        <v>43613</v>
      </c>
      <c r="M684" s="139">
        <v>43613</v>
      </c>
      <c r="N684" s="189">
        <v>39</v>
      </c>
      <c r="O684" s="140">
        <v>175.4</v>
      </c>
      <c r="Q684" s="35"/>
    </row>
    <row r="685" spans="1:17" s="165" customFormat="1" ht="15" customHeight="1">
      <c r="A685" s="14"/>
      <c r="B685" s="38"/>
      <c r="C685" s="30" t="s">
        <v>39</v>
      </c>
      <c r="D685" s="138" t="s">
        <v>831</v>
      </c>
      <c r="E685" s="185" t="s">
        <v>1538</v>
      </c>
      <c r="F685" s="139" t="s">
        <v>10</v>
      </c>
      <c r="G685" s="139">
        <v>19895</v>
      </c>
      <c r="H685" s="138" t="s">
        <v>199</v>
      </c>
      <c r="I685" s="139" t="s">
        <v>21</v>
      </c>
      <c r="J685" s="139">
        <v>43727</v>
      </c>
      <c r="K685" s="184">
        <v>65</v>
      </c>
      <c r="L685" s="139"/>
      <c r="M685" s="139">
        <v>44043</v>
      </c>
      <c r="N685" s="189">
        <v>316</v>
      </c>
      <c r="O685" s="140">
        <v>0</v>
      </c>
      <c r="Q685" s="35"/>
    </row>
    <row r="686" spans="1:17" s="165" customFormat="1" ht="15" customHeight="1">
      <c r="A686" s="14"/>
      <c r="B686" s="38"/>
      <c r="C686" s="30" t="s">
        <v>39</v>
      </c>
      <c r="D686" s="138" t="s">
        <v>832</v>
      </c>
      <c r="E686" s="185" t="s">
        <v>1539</v>
      </c>
      <c r="F686" s="139" t="s">
        <v>8</v>
      </c>
      <c r="G686" s="139">
        <v>32263</v>
      </c>
      <c r="H686" s="138" t="s">
        <v>199</v>
      </c>
      <c r="I686" s="139" t="s">
        <v>21</v>
      </c>
      <c r="J686" s="139">
        <v>43602</v>
      </c>
      <c r="K686" s="184">
        <v>31</v>
      </c>
      <c r="L686" s="139">
        <v>43751</v>
      </c>
      <c r="M686" s="139">
        <v>43755</v>
      </c>
      <c r="N686" s="189">
        <v>153</v>
      </c>
      <c r="O686" s="140">
        <v>750.3</v>
      </c>
      <c r="Q686" s="35"/>
    </row>
    <row r="687" spans="1:17" s="165" customFormat="1" ht="15" customHeight="1">
      <c r="A687" s="14"/>
      <c r="B687" s="38"/>
      <c r="C687" s="30" t="s">
        <v>39</v>
      </c>
      <c r="D687" s="138" t="s">
        <v>833</v>
      </c>
      <c r="E687" s="185" t="s">
        <v>1540</v>
      </c>
      <c r="F687" s="139" t="s">
        <v>8</v>
      </c>
      <c r="G687" s="139">
        <v>33662</v>
      </c>
      <c r="H687" s="138" t="s">
        <v>199</v>
      </c>
      <c r="I687" s="139" t="s">
        <v>21</v>
      </c>
      <c r="J687" s="139">
        <v>43562</v>
      </c>
      <c r="K687" s="184">
        <v>27</v>
      </c>
      <c r="L687" s="139">
        <v>43623</v>
      </c>
      <c r="M687" s="139">
        <v>43623</v>
      </c>
      <c r="N687" s="189">
        <v>61</v>
      </c>
      <c r="O687" s="140">
        <v>329.6</v>
      </c>
      <c r="Q687" s="35"/>
    </row>
    <row r="688" spans="1:17" s="165" customFormat="1" ht="15" customHeight="1">
      <c r="A688" s="14"/>
      <c r="B688" s="38"/>
      <c r="C688" s="30" t="s">
        <v>39</v>
      </c>
      <c r="D688" s="138" t="s">
        <v>86</v>
      </c>
      <c r="E688" s="185" t="s">
        <v>1541</v>
      </c>
      <c r="F688" s="139" t="s">
        <v>8</v>
      </c>
      <c r="G688" s="139">
        <v>26092</v>
      </c>
      <c r="H688" s="138" t="s">
        <v>199</v>
      </c>
      <c r="I688" s="139" t="s">
        <v>21</v>
      </c>
      <c r="J688" s="139">
        <v>43473</v>
      </c>
      <c r="K688" s="184">
        <v>48</v>
      </c>
      <c r="L688" s="139">
        <v>43789</v>
      </c>
      <c r="M688" s="139">
        <v>43924</v>
      </c>
      <c r="N688" s="189">
        <v>451</v>
      </c>
      <c r="O688" s="140">
        <v>3131.17</v>
      </c>
      <c r="Q688" s="35"/>
    </row>
    <row r="689" spans="1:17" s="165" customFormat="1" ht="15" customHeight="1">
      <c r="A689" s="14"/>
      <c r="B689" s="38"/>
      <c r="C689" s="30" t="s">
        <v>39</v>
      </c>
      <c r="D689" s="138" t="s">
        <v>101</v>
      </c>
      <c r="E689" s="185" t="s">
        <v>1542</v>
      </c>
      <c r="F689" s="139" t="s">
        <v>10</v>
      </c>
      <c r="G689" s="139">
        <v>28877</v>
      </c>
      <c r="H689" s="138" t="s">
        <v>199</v>
      </c>
      <c r="I689" s="139" t="s">
        <v>21</v>
      </c>
      <c r="J689" s="139">
        <v>43466</v>
      </c>
      <c r="K689" s="184">
        <v>40</v>
      </c>
      <c r="L689" s="139">
        <v>43804</v>
      </c>
      <c r="M689" s="139">
        <v>43566</v>
      </c>
      <c r="N689" s="189">
        <v>100</v>
      </c>
      <c r="O689" s="140">
        <v>12084.96</v>
      </c>
      <c r="Q689" s="35"/>
    </row>
    <row r="690" spans="1:17" s="165" customFormat="1" ht="15" customHeight="1">
      <c r="A690" s="14"/>
      <c r="B690" s="38"/>
      <c r="C690" s="30" t="s">
        <v>39</v>
      </c>
      <c r="D690" s="138" t="s">
        <v>101</v>
      </c>
      <c r="E690" s="185" t="s">
        <v>1542</v>
      </c>
      <c r="F690" s="139" t="s">
        <v>10</v>
      </c>
      <c r="G690" s="139">
        <v>28877</v>
      </c>
      <c r="H690" s="138" t="s">
        <v>199</v>
      </c>
      <c r="I690" s="139" t="s">
        <v>21</v>
      </c>
      <c r="J690" s="139">
        <v>43567</v>
      </c>
      <c r="K690" s="184">
        <v>40</v>
      </c>
      <c r="L690" s="139">
        <v>43804</v>
      </c>
      <c r="M690" s="139"/>
      <c r="N690" s="189">
        <v>0</v>
      </c>
      <c r="O690" s="140">
        <v>12084.96</v>
      </c>
      <c r="Q690" s="35"/>
    </row>
    <row r="691" spans="1:17" s="165" customFormat="1" ht="15" customHeight="1">
      <c r="A691" s="14"/>
      <c r="B691" s="38"/>
      <c r="C691" s="30" t="s">
        <v>39</v>
      </c>
      <c r="D691" s="138" t="s">
        <v>834</v>
      </c>
      <c r="E691" s="185" t="s">
        <v>1543</v>
      </c>
      <c r="F691" s="139" t="s">
        <v>8</v>
      </c>
      <c r="G691" s="139">
        <v>30763</v>
      </c>
      <c r="H691" s="138" t="s">
        <v>199</v>
      </c>
      <c r="I691" s="139" t="s">
        <v>21</v>
      </c>
      <c r="J691" s="139">
        <v>43511</v>
      </c>
      <c r="K691" s="184">
        <v>35</v>
      </c>
      <c r="L691" s="139">
        <v>43545</v>
      </c>
      <c r="M691" s="139">
        <v>43545</v>
      </c>
      <c r="N691" s="189">
        <v>34</v>
      </c>
      <c r="O691" s="140">
        <v>208.6</v>
      </c>
      <c r="Q691" s="35"/>
    </row>
    <row r="692" spans="1:17" s="165" customFormat="1" ht="15" customHeight="1">
      <c r="A692" s="14"/>
      <c r="B692" s="38"/>
      <c r="C692" s="30" t="s">
        <v>39</v>
      </c>
      <c r="D692" s="138" t="s">
        <v>835</v>
      </c>
      <c r="E692" s="185" t="s">
        <v>1544</v>
      </c>
      <c r="F692" s="139" t="s">
        <v>8</v>
      </c>
      <c r="G692" s="139">
        <v>30086</v>
      </c>
      <c r="H692" s="138" t="s">
        <v>199</v>
      </c>
      <c r="I692" s="139" t="s">
        <v>21</v>
      </c>
      <c r="J692" s="139">
        <v>43741</v>
      </c>
      <c r="K692" s="184">
        <v>37</v>
      </c>
      <c r="L692" s="139"/>
      <c r="M692" s="139">
        <v>43807</v>
      </c>
      <c r="N692" s="189">
        <v>66</v>
      </c>
      <c r="O692" s="140">
        <v>0</v>
      </c>
      <c r="Q692" s="35"/>
    </row>
    <row r="693" spans="1:17" s="165" customFormat="1" ht="15" customHeight="1">
      <c r="A693" s="14"/>
      <c r="B693" s="38"/>
      <c r="C693" s="30" t="s">
        <v>39</v>
      </c>
      <c r="D693" s="138" t="s">
        <v>836</v>
      </c>
      <c r="E693" s="185" t="s">
        <v>1545</v>
      </c>
      <c r="F693" s="139" t="s">
        <v>8</v>
      </c>
      <c r="G693" s="139">
        <v>32680</v>
      </c>
      <c r="H693" s="138" t="s">
        <v>199</v>
      </c>
      <c r="I693" s="139" t="s">
        <v>21</v>
      </c>
      <c r="J693" s="139">
        <v>43742</v>
      </c>
      <c r="K693" s="184">
        <v>30</v>
      </c>
      <c r="L693" s="139"/>
      <c r="M693" s="139">
        <v>43837</v>
      </c>
      <c r="N693" s="189">
        <v>95</v>
      </c>
      <c r="O693" s="140">
        <v>0</v>
      </c>
      <c r="Q693" s="35"/>
    </row>
    <row r="694" spans="1:17" s="165" customFormat="1" ht="15" customHeight="1">
      <c r="A694" s="14"/>
      <c r="B694" s="38"/>
      <c r="C694" s="30" t="s">
        <v>39</v>
      </c>
      <c r="D694" s="138" t="s">
        <v>837</v>
      </c>
      <c r="E694" s="185" t="s">
        <v>1546</v>
      </c>
      <c r="F694" s="139" t="s">
        <v>8</v>
      </c>
      <c r="G694" s="139">
        <v>33403</v>
      </c>
      <c r="H694" s="138" t="s">
        <v>199</v>
      </c>
      <c r="I694" s="139" t="s">
        <v>21</v>
      </c>
      <c r="J694" s="139">
        <v>43468</v>
      </c>
      <c r="K694" s="184">
        <v>28</v>
      </c>
      <c r="L694" s="139">
        <v>43527</v>
      </c>
      <c r="M694" s="139">
        <v>43527</v>
      </c>
      <c r="N694" s="189">
        <v>59</v>
      </c>
      <c r="O694" s="140">
        <v>640.20000000000005</v>
      </c>
      <c r="Q694" s="35"/>
    </row>
    <row r="695" spans="1:17" s="165" customFormat="1" ht="15" customHeight="1">
      <c r="A695" s="14"/>
      <c r="B695" s="38"/>
      <c r="C695" s="30" t="s">
        <v>39</v>
      </c>
      <c r="D695" s="138" t="s">
        <v>838</v>
      </c>
      <c r="E695" s="185" t="s">
        <v>1547</v>
      </c>
      <c r="F695" s="139" t="s">
        <v>8</v>
      </c>
      <c r="G695" s="139">
        <v>33442</v>
      </c>
      <c r="H695" s="138" t="s">
        <v>199</v>
      </c>
      <c r="I695" s="139" t="s">
        <v>21</v>
      </c>
      <c r="J695" s="139">
        <v>43711</v>
      </c>
      <c r="K695" s="184">
        <v>28</v>
      </c>
      <c r="L695" s="139">
        <v>43782</v>
      </c>
      <c r="M695" s="139">
        <v>43782</v>
      </c>
      <c r="N695" s="189">
        <v>71</v>
      </c>
      <c r="O695" s="140">
        <v>868.14</v>
      </c>
      <c r="Q695" s="35"/>
    </row>
    <row r="696" spans="1:17" s="165" customFormat="1" ht="15" customHeight="1">
      <c r="A696" s="14"/>
      <c r="B696" s="38"/>
      <c r="C696" s="30" t="s">
        <v>39</v>
      </c>
      <c r="D696" s="138" t="s">
        <v>839</v>
      </c>
      <c r="E696" s="185" t="s">
        <v>1548</v>
      </c>
      <c r="F696" s="139" t="s">
        <v>8</v>
      </c>
      <c r="G696" s="139">
        <v>32034</v>
      </c>
      <c r="H696" s="138" t="s">
        <v>199</v>
      </c>
      <c r="I696" s="139" t="s">
        <v>21</v>
      </c>
      <c r="J696" s="139">
        <v>43740</v>
      </c>
      <c r="K696" s="184">
        <v>32</v>
      </c>
      <c r="L696" s="139"/>
      <c r="M696" s="139">
        <v>43831</v>
      </c>
      <c r="N696" s="189">
        <v>91</v>
      </c>
      <c r="O696" s="140">
        <v>0</v>
      </c>
      <c r="Q696" s="35"/>
    </row>
    <row r="697" spans="1:17" s="165" customFormat="1" ht="15" customHeight="1">
      <c r="A697" s="14"/>
      <c r="B697" s="38"/>
      <c r="C697" s="30" t="s">
        <v>39</v>
      </c>
      <c r="D697" s="138" t="s">
        <v>840</v>
      </c>
      <c r="E697" s="185" t="s">
        <v>1549</v>
      </c>
      <c r="F697" s="139" t="s">
        <v>8</v>
      </c>
      <c r="G697" s="139">
        <v>30376</v>
      </c>
      <c r="H697" s="138" t="s">
        <v>199</v>
      </c>
      <c r="I697" s="139" t="s">
        <v>21</v>
      </c>
      <c r="J697" s="139">
        <v>43696</v>
      </c>
      <c r="K697" s="184">
        <v>36</v>
      </c>
      <c r="L697" s="139"/>
      <c r="M697" s="139">
        <v>43770</v>
      </c>
      <c r="N697" s="189">
        <v>74</v>
      </c>
      <c r="O697" s="140">
        <v>0</v>
      </c>
      <c r="Q697" s="35"/>
    </row>
    <row r="698" spans="1:17" s="165" customFormat="1" ht="15" customHeight="1">
      <c r="A698" s="14"/>
      <c r="B698" s="38"/>
      <c r="C698" s="30" t="s">
        <v>39</v>
      </c>
      <c r="D698" s="138" t="s">
        <v>841</v>
      </c>
      <c r="E698" s="185" t="s">
        <v>1550</v>
      </c>
      <c r="F698" s="139" t="s">
        <v>8</v>
      </c>
      <c r="G698" s="139">
        <v>31528</v>
      </c>
      <c r="H698" s="138" t="s">
        <v>199</v>
      </c>
      <c r="I698" s="139" t="s">
        <v>21</v>
      </c>
      <c r="J698" s="139">
        <v>43698</v>
      </c>
      <c r="K698" s="184">
        <v>33</v>
      </c>
      <c r="L698" s="139"/>
      <c r="M698" s="139">
        <v>44123</v>
      </c>
      <c r="N698" s="189">
        <v>425</v>
      </c>
      <c r="O698" s="140">
        <v>0</v>
      </c>
      <c r="Q698" s="35"/>
    </row>
    <row r="699" spans="1:17" s="165" customFormat="1" ht="15" customHeight="1">
      <c r="A699" s="14"/>
      <c r="B699" s="38"/>
      <c r="C699" s="30" t="s">
        <v>39</v>
      </c>
      <c r="D699" s="138" t="s">
        <v>842</v>
      </c>
      <c r="E699" s="185" t="s">
        <v>1551</v>
      </c>
      <c r="F699" s="139" t="s">
        <v>8</v>
      </c>
      <c r="G699" s="139">
        <v>32619</v>
      </c>
      <c r="H699" s="138" t="s">
        <v>199</v>
      </c>
      <c r="I699" s="139" t="s">
        <v>21</v>
      </c>
      <c r="J699" s="139">
        <v>43829</v>
      </c>
      <c r="K699" s="184">
        <v>30</v>
      </c>
      <c r="L699" s="139"/>
      <c r="M699" s="139">
        <v>43893</v>
      </c>
      <c r="N699" s="189">
        <v>64</v>
      </c>
      <c r="O699" s="140">
        <v>0</v>
      </c>
      <c r="Q699" s="35"/>
    </row>
    <row r="700" spans="1:17" s="165" customFormat="1" ht="15" customHeight="1">
      <c r="A700" s="14"/>
      <c r="B700" s="38"/>
      <c r="C700" s="30" t="s">
        <v>39</v>
      </c>
      <c r="D700" s="138" t="s">
        <v>843</v>
      </c>
      <c r="E700" s="185" t="s">
        <v>1552</v>
      </c>
      <c r="F700" s="139" t="s">
        <v>8</v>
      </c>
      <c r="G700" s="139">
        <v>27303</v>
      </c>
      <c r="H700" s="138" t="s">
        <v>199</v>
      </c>
      <c r="I700" s="139" t="s">
        <v>21</v>
      </c>
      <c r="J700" s="139">
        <v>43816</v>
      </c>
      <c r="K700" s="184">
        <v>45</v>
      </c>
      <c r="L700" s="139"/>
      <c r="M700" s="139">
        <v>43859</v>
      </c>
      <c r="N700" s="189">
        <v>43</v>
      </c>
      <c r="O700" s="140">
        <v>0</v>
      </c>
      <c r="Q700" s="35"/>
    </row>
    <row r="701" spans="1:17" s="165" customFormat="1" ht="15" customHeight="1">
      <c r="A701" s="14"/>
      <c r="B701" s="38"/>
      <c r="C701" s="30" t="s">
        <v>39</v>
      </c>
      <c r="D701" s="138" t="s">
        <v>844</v>
      </c>
      <c r="E701" s="185" t="s">
        <v>1553</v>
      </c>
      <c r="F701" s="139" t="s">
        <v>8</v>
      </c>
      <c r="G701" s="139">
        <v>21262</v>
      </c>
      <c r="H701" s="138" t="s">
        <v>199</v>
      </c>
      <c r="I701" s="139" t="s">
        <v>21</v>
      </c>
      <c r="J701" s="139">
        <v>43634</v>
      </c>
      <c r="K701" s="184">
        <v>61</v>
      </c>
      <c r="L701" s="139">
        <v>43780</v>
      </c>
      <c r="M701" s="139">
        <v>43921</v>
      </c>
      <c r="N701" s="189">
        <v>287</v>
      </c>
      <c r="O701" s="140">
        <v>293.67</v>
      </c>
      <c r="Q701" s="35"/>
    </row>
    <row r="702" spans="1:17" s="165" customFormat="1" ht="15" customHeight="1">
      <c r="A702" s="14"/>
      <c r="B702" s="38"/>
      <c r="C702" s="30" t="s">
        <v>39</v>
      </c>
      <c r="D702" s="138" t="s">
        <v>845</v>
      </c>
      <c r="E702" s="185" t="s">
        <v>1554</v>
      </c>
      <c r="F702" s="139" t="s">
        <v>8</v>
      </c>
      <c r="G702" s="139">
        <v>22755</v>
      </c>
      <c r="H702" s="138" t="s">
        <v>199</v>
      </c>
      <c r="I702" s="139" t="s">
        <v>21</v>
      </c>
      <c r="J702" s="139">
        <v>43710</v>
      </c>
      <c r="K702" s="184">
        <v>57</v>
      </c>
      <c r="L702" s="139"/>
      <c r="M702" s="139">
        <v>43781</v>
      </c>
      <c r="N702" s="189">
        <v>71</v>
      </c>
      <c r="O702" s="140">
        <v>0</v>
      </c>
      <c r="Q702" s="35"/>
    </row>
    <row r="703" spans="1:17" s="165" customFormat="1" ht="15" customHeight="1">
      <c r="A703" s="14"/>
      <c r="B703" s="38"/>
      <c r="C703" s="30" t="s">
        <v>39</v>
      </c>
      <c r="D703" s="138" t="s">
        <v>187</v>
      </c>
      <c r="E703" s="185" t="s">
        <v>1555</v>
      </c>
      <c r="F703" s="139" t="s">
        <v>8</v>
      </c>
      <c r="G703" s="139">
        <v>24422</v>
      </c>
      <c r="H703" s="138" t="s">
        <v>199</v>
      </c>
      <c r="I703" s="139" t="s">
        <v>21</v>
      </c>
      <c r="J703" s="139">
        <v>43713</v>
      </c>
      <c r="K703" s="184">
        <v>53</v>
      </c>
      <c r="L703" s="139">
        <v>43783</v>
      </c>
      <c r="M703" s="139"/>
      <c r="N703" s="189">
        <v>0</v>
      </c>
      <c r="O703" s="140">
        <v>1138.98</v>
      </c>
      <c r="Q703" s="35"/>
    </row>
    <row r="704" spans="1:17" s="165" customFormat="1" ht="15" customHeight="1">
      <c r="A704" s="14"/>
      <c r="B704" s="38"/>
      <c r="C704" s="30" t="s">
        <v>39</v>
      </c>
      <c r="D704" s="138" t="s">
        <v>846</v>
      </c>
      <c r="E704" s="185" t="s">
        <v>1556</v>
      </c>
      <c r="F704" s="139" t="s">
        <v>8</v>
      </c>
      <c r="G704" s="139">
        <v>25409</v>
      </c>
      <c r="H704" s="138" t="s">
        <v>199</v>
      </c>
      <c r="I704" s="139" t="s">
        <v>21</v>
      </c>
      <c r="J704" s="139">
        <v>43654</v>
      </c>
      <c r="K704" s="184">
        <v>50</v>
      </c>
      <c r="L704" s="139"/>
      <c r="M704" s="139">
        <v>43715</v>
      </c>
      <c r="N704" s="189">
        <v>61</v>
      </c>
      <c r="O704" s="140">
        <v>0</v>
      </c>
      <c r="Q704" s="35"/>
    </row>
    <row r="705" spans="1:17" s="165" customFormat="1" ht="15" customHeight="1">
      <c r="A705" s="14"/>
      <c r="B705" s="38"/>
      <c r="C705" s="30" t="s">
        <v>39</v>
      </c>
      <c r="D705" s="138" t="s">
        <v>847</v>
      </c>
      <c r="E705" s="185" t="s">
        <v>1557</v>
      </c>
      <c r="F705" s="139" t="s">
        <v>8</v>
      </c>
      <c r="G705" s="139">
        <v>28303</v>
      </c>
      <c r="H705" s="138" t="s">
        <v>199</v>
      </c>
      <c r="I705" s="139" t="s">
        <v>21</v>
      </c>
      <c r="J705" s="139">
        <v>43784</v>
      </c>
      <c r="K705" s="184">
        <v>42</v>
      </c>
      <c r="L705" s="139"/>
      <c r="M705" s="139"/>
      <c r="N705" s="189">
        <v>0</v>
      </c>
      <c r="O705" s="140">
        <v>0</v>
      </c>
      <c r="Q705" s="35"/>
    </row>
    <row r="706" spans="1:17" s="165" customFormat="1" ht="15" customHeight="1">
      <c r="A706" s="14"/>
      <c r="B706" s="38"/>
      <c r="C706" s="30" t="s">
        <v>39</v>
      </c>
      <c r="D706" s="138" t="s">
        <v>848</v>
      </c>
      <c r="E706" s="185" t="s">
        <v>1558</v>
      </c>
      <c r="F706" s="139" t="s">
        <v>8</v>
      </c>
      <c r="G706" s="139">
        <v>30536</v>
      </c>
      <c r="H706" s="138" t="s">
        <v>199</v>
      </c>
      <c r="I706" s="139" t="s">
        <v>21</v>
      </c>
      <c r="J706" s="139">
        <v>43605</v>
      </c>
      <c r="K706" s="184">
        <v>36</v>
      </c>
      <c r="L706" s="139">
        <v>43646</v>
      </c>
      <c r="M706" s="139">
        <v>43646</v>
      </c>
      <c r="N706" s="189">
        <v>41</v>
      </c>
      <c r="O706" s="140">
        <v>353.88</v>
      </c>
      <c r="Q706" s="35"/>
    </row>
    <row r="707" spans="1:17" s="165" customFormat="1" ht="15" customHeight="1">
      <c r="A707" s="14"/>
      <c r="B707" s="38"/>
      <c r="C707" s="30" t="s">
        <v>39</v>
      </c>
      <c r="D707" s="138" t="s">
        <v>849</v>
      </c>
      <c r="E707" s="185" t="s">
        <v>1559</v>
      </c>
      <c r="F707" s="139" t="s">
        <v>8</v>
      </c>
      <c r="G707" s="139">
        <v>33360</v>
      </c>
      <c r="H707" s="138" t="s">
        <v>199</v>
      </c>
      <c r="I707" s="139" t="s">
        <v>21</v>
      </c>
      <c r="J707" s="139">
        <v>43486</v>
      </c>
      <c r="K707" s="184">
        <v>28</v>
      </c>
      <c r="L707" s="139">
        <v>43625</v>
      </c>
      <c r="M707" s="139">
        <v>43625</v>
      </c>
      <c r="N707" s="189">
        <v>139</v>
      </c>
      <c r="O707" s="140">
        <v>2361.6999999999998</v>
      </c>
      <c r="Q707" s="35"/>
    </row>
    <row r="708" spans="1:17" s="165" customFormat="1" ht="15" customHeight="1">
      <c r="A708" s="14"/>
      <c r="B708" s="38"/>
      <c r="C708" s="30" t="s">
        <v>39</v>
      </c>
      <c r="D708" s="138" t="s">
        <v>850</v>
      </c>
      <c r="E708" s="185" t="s">
        <v>1560</v>
      </c>
      <c r="F708" s="139" t="s">
        <v>8</v>
      </c>
      <c r="G708" s="139">
        <v>27039</v>
      </c>
      <c r="H708" s="138" t="s">
        <v>199</v>
      </c>
      <c r="I708" s="139" t="s">
        <v>21</v>
      </c>
      <c r="J708" s="139">
        <v>43499</v>
      </c>
      <c r="K708" s="184">
        <v>45</v>
      </c>
      <c r="L708" s="139">
        <v>43555</v>
      </c>
      <c r="M708" s="139">
        <v>43555</v>
      </c>
      <c r="N708" s="189">
        <v>56</v>
      </c>
      <c r="O708" s="140">
        <v>389.34</v>
      </c>
      <c r="Q708" s="35"/>
    </row>
    <row r="709" spans="1:17" s="165" customFormat="1" ht="15" customHeight="1">
      <c r="A709" s="14"/>
      <c r="B709" s="38"/>
      <c r="C709" s="30" t="s">
        <v>39</v>
      </c>
      <c r="D709" s="138" t="s">
        <v>851</v>
      </c>
      <c r="E709" s="185" t="s">
        <v>1561</v>
      </c>
      <c r="F709" s="139" t="s">
        <v>8</v>
      </c>
      <c r="G709" s="139">
        <v>27304</v>
      </c>
      <c r="H709" s="138" t="s">
        <v>199</v>
      </c>
      <c r="I709" s="139" t="s">
        <v>21</v>
      </c>
      <c r="J709" s="139">
        <v>43578</v>
      </c>
      <c r="K709" s="184">
        <v>45</v>
      </c>
      <c r="L709" s="139">
        <v>43726</v>
      </c>
      <c r="M709" s="139">
        <v>43891</v>
      </c>
      <c r="N709" s="189">
        <v>313</v>
      </c>
      <c r="O709" s="140">
        <v>5635.6</v>
      </c>
      <c r="Q709" s="35"/>
    </row>
    <row r="710" spans="1:17" s="165" customFormat="1" ht="15" customHeight="1">
      <c r="A710" s="14"/>
      <c r="B710" s="38"/>
      <c r="C710" s="30" t="s">
        <v>39</v>
      </c>
      <c r="D710" s="138" t="s">
        <v>852</v>
      </c>
      <c r="E710" s="185" t="s">
        <v>1562</v>
      </c>
      <c r="F710" s="139" t="s">
        <v>8</v>
      </c>
      <c r="G710" s="139">
        <v>33032</v>
      </c>
      <c r="H710" s="138" t="s">
        <v>199</v>
      </c>
      <c r="I710" s="139" t="s">
        <v>21</v>
      </c>
      <c r="J710" s="139">
        <v>43488</v>
      </c>
      <c r="K710" s="184">
        <v>29</v>
      </c>
      <c r="L710" s="139">
        <v>43585</v>
      </c>
      <c r="M710" s="139">
        <v>43585</v>
      </c>
      <c r="N710" s="189">
        <v>97</v>
      </c>
      <c r="O710" s="140">
        <v>801.34</v>
      </c>
      <c r="Q710" s="35"/>
    </row>
    <row r="711" spans="1:17" s="165" customFormat="1" ht="15" customHeight="1">
      <c r="A711" s="14"/>
      <c r="B711" s="38"/>
      <c r="C711" s="30" t="s">
        <v>39</v>
      </c>
      <c r="D711" s="138" t="s">
        <v>853</v>
      </c>
      <c r="E711" s="185" t="s">
        <v>1562</v>
      </c>
      <c r="F711" s="139" t="s">
        <v>8</v>
      </c>
      <c r="G711" s="139">
        <v>33032</v>
      </c>
      <c r="H711" s="138" t="s">
        <v>199</v>
      </c>
      <c r="I711" s="139" t="s">
        <v>21</v>
      </c>
      <c r="J711" s="139">
        <v>43488</v>
      </c>
      <c r="K711" s="184">
        <v>29</v>
      </c>
      <c r="L711" s="139">
        <v>43585</v>
      </c>
      <c r="M711" s="139">
        <v>43585</v>
      </c>
      <c r="N711" s="189">
        <v>97</v>
      </c>
      <c r="O711" s="140">
        <v>803.4</v>
      </c>
      <c r="Q711" s="35"/>
    </row>
    <row r="712" spans="1:17" s="165" customFormat="1" ht="15" customHeight="1">
      <c r="A712" s="14"/>
      <c r="B712" s="38"/>
      <c r="C712" s="30" t="s">
        <v>39</v>
      </c>
      <c r="D712" s="138" t="s">
        <v>129</v>
      </c>
      <c r="E712" s="185" t="s">
        <v>1563</v>
      </c>
      <c r="F712" s="139" t="s">
        <v>8</v>
      </c>
      <c r="G712" s="139">
        <v>32789</v>
      </c>
      <c r="H712" s="138" t="s">
        <v>199</v>
      </c>
      <c r="I712" s="139" t="s">
        <v>21</v>
      </c>
      <c r="J712" s="139">
        <v>43598</v>
      </c>
      <c r="K712" s="184">
        <v>30</v>
      </c>
      <c r="L712" s="139">
        <v>43786</v>
      </c>
      <c r="M712" s="139">
        <v>43787</v>
      </c>
      <c r="N712" s="189">
        <v>189</v>
      </c>
      <c r="O712" s="140">
        <v>3405.78</v>
      </c>
      <c r="Q712" s="35"/>
    </row>
    <row r="713" spans="1:17" s="165" customFormat="1" ht="15" customHeight="1">
      <c r="A713" s="14"/>
      <c r="B713" s="38"/>
      <c r="C713" s="30" t="s">
        <v>39</v>
      </c>
      <c r="D713" s="138" t="s">
        <v>854</v>
      </c>
      <c r="E713" s="185" t="s">
        <v>1564</v>
      </c>
      <c r="F713" s="139" t="s">
        <v>8</v>
      </c>
      <c r="G713" s="139">
        <v>31647</v>
      </c>
      <c r="H713" s="138" t="s">
        <v>200</v>
      </c>
      <c r="I713" s="139" t="s">
        <v>21</v>
      </c>
      <c r="J713" s="139">
        <v>43655</v>
      </c>
      <c r="K713" s="184">
        <v>33</v>
      </c>
      <c r="L713" s="139">
        <v>43700</v>
      </c>
      <c r="M713" s="139">
        <v>43700</v>
      </c>
      <c r="N713" s="189">
        <v>45</v>
      </c>
      <c r="O713" s="140">
        <v>921.6</v>
      </c>
      <c r="Q713" s="35"/>
    </row>
    <row r="714" spans="1:17" s="165" customFormat="1" ht="15" customHeight="1">
      <c r="A714" s="14"/>
      <c r="B714" s="38"/>
      <c r="C714" s="30" t="s">
        <v>39</v>
      </c>
      <c r="D714" s="138" t="s">
        <v>189</v>
      </c>
      <c r="E714" s="185" t="s">
        <v>1565</v>
      </c>
      <c r="F714" s="139" t="s">
        <v>8</v>
      </c>
      <c r="G714" s="139">
        <v>24226</v>
      </c>
      <c r="H714" s="138" t="s">
        <v>199</v>
      </c>
      <c r="I714" s="139" t="s">
        <v>21</v>
      </c>
      <c r="J714" s="139">
        <v>43671</v>
      </c>
      <c r="K714" s="184">
        <v>53</v>
      </c>
      <c r="L714" s="139">
        <v>43776</v>
      </c>
      <c r="M714" s="139">
        <v>43835</v>
      </c>
      <c r="N714" s="189">
        <v>164</v>
      </c>
      <c r="O714" s="140">
        <v>1364.2</v>
      </c>
      <c r="Q714" s="35"/>
    </row>
    <row r="715" spans="1:17" s="165" customFormat="1" ht="15" customHeight="1">
      <c r="A715" s="14"/>
      <c r="B715" s="38"/>
      <c r="C715" s="30" t="s">
        <v>39</v>
      </c>
      <c r="D715" s="138" t="s">
        <v>855</v>
      </c>
      <c r="E715" s="185" t="s">
        <v>1566</v>
      </c>
      <c r="F715" s="139" t="s">
        <v>8</v>
      </c>
      <c r="G715" s="139">
        <v>24786</v>
      </c>
      <c r="H715" s="138" t="s">
        <v>199</v>
      </c>
      <c r="I715" s="139" t="s">
        <v>21</v>
      </c>
      <c r="J715" s="139">
        <v>43549</v>
      </c>
      <c r="K715" s="184">
        <v>52</v>
      </c>
      <c r="L715" s="139">
        <v>43727</v>
      </c>
      <c r="M715" s="139">
        <v>43884</v>
      </c>
      <c r="N715" s="189">
        <v>335</v>
      </c>
      <c r="O715" s="140">
        <v>2646.2400000000002</v>
      </c>
      <c r="Q715" s="35"/>
    </row>
    <row r="716" spans="1:17" s="165" customFormat="1" ht="15" customHeight="1">
      <c r="A716" s="14"/>
      <c r="B716" s="38"/>
      <c r="C716" s="30" t="s">
        <v>39</v>
      </c>
      <c r="D716" s="138" t="s">
        <v>856</v>
      </c>
      <c r="E716" s="185" t="s">
        <v>1567</v>
      </c>
      <c r="F716" s="139" t="s">
        <v>8</v>
      </c>
      <c r="G716" s="139">
        <v>30629</v>
      </c>
      <c r="H716" s="138" t="s">
        <v>199</v>
      </c>
      <c r="I716" s="139" t="s">
        <v>21</v>
      </c>
      <c r="J716" s="139">
        <v>43605</v>
      </c>
      <c r="K716" s="184">
        <v>36</v>
      </c>
      <c r="L716" s="139">
        <v>43691</v>
      </c>
      <c r="M716" s="139">
        <v>43691</v>
      </c>
      <c r="N716" s="189">
        <v>86</v>
      </c>
      <c r="O716" s="140">
        <v>1015.3</v>
      </c>
      <c r="Q716" s="35"/>
    </row>
    <row r="717" spans="1:17" s="165" customFormat="1" ht="15" customHeight="1">
      <c r="A717" s="14"/>
      <c r="B717" s="38"/>
      <c r="C717" s="30" t="s">
        <v>39</v>
      </c>
      <c r="D717" s="138" t="s">
        <v>857</v>
      </c>
      <c r="E717" s="185" t="s">
        <v>1568</v>
      </c>
      <c r="F717" s="139" t="s">
        <v>8</v>
      </c>
      <c r="G717" s="139">
        <v>34491</v>
      </c>
      <c r="H717" s="138" t="s">
        <v>200</v>
      </c>
      <c r="I717" s="139" t="s">
        <v>21</v>
      </c>
      <c r="J717" s="139">
        <v>43751</v>
      </c>
      <c r="K717" s="184">
        <v>25</v>
      </c>
      <c r="L717" s="139"/>
      <c r="M717" s="139">
        <v>43785</v>
      </c>
      <c r="N717" s="189">
        <v>34</v>
      </c>
      <c r="O717" s="140">
        <v>0</v>
      </c>
      <c r="Q717" s="35"/>
    </row>
    <row r="718" spans="1:17" s="165" customFormat="1" ht="15" customHeight="1">
      <c r="A718" s="14"/>
      <c r="B718" s="38"/>
      <c r="C718" s="30" t="s">
        <v>39</v>
      </c>
      <c r="D718" s="138" t="s">
        <v>858</v>
      </c>
      <c r="E718" s="185" t="s">
        <v>1569</v>
      </c>
      <c r="F718" s="139" t="s">
        <v>8</v>
      </c>
      <c r="G718" s="139">
        <v>34903</v>
      </c>
      <c r="H718" s="138" t="s">
        <v>199</v>
      </c>
      <c r="I718" s="139" t="s">
        <v>21</v>
      </c>
      <c r="J718" s="139">
        <v>43643</v>
      </c>
      <c r="K718" s="184">
        <v>24</v>
      </c>
      <c r="L718" s="139"/>
      <c r="M718" s="139">
        <v>43680</v>
      </c>
      <c r="N718" s="189">
        <v>37</v>
      </c>
      <c r="O718" s="140">
        <v>0</v>
      </c>
      <c r="Q718" s="35"/>
    </row>
    <row r="719" spans="1:17" s="165" customFormat="1" ht="15" customHeight="1">
      <c r="A719" s="14"/>
      <c r="B719" s="38"/>
      <c r="C719" s="30" t="s">
        <v>39</v>
      </c>
      <c r="D719" s="138" t="s">
        <v>858</v>
      </c>
      <c r="E719" s="185" t="s">
        <v>1569</v>
      </c>
      <c r="F719" s="139" t="s">
        <v>8</v>
      </c>
      <c r="G719" s="139">
        <v>34903</v>
      </c>
      <c r="H719" s="138" t="s">
        <v>199</v>
      </c>
      <c r="I719" s="139" t="s">
        <v>21</v>
      </c>
      <c r="J719" s="139">
        <v>43796</v>
      </c>
      <c r="K719" s="184">
        <v>24</v>
      </c>
      <c r="L719" s="139"/>
      <c r="M719" s="139">
        <v>43913</v>
      </c>
      <c r="N719" s="189">
        <v>117</v>
      </c>
      <c r="O719" s="140">
        <v>0</v>
      </c>
      <c r="Q719" s="35"/>
    </row>
    <row r="720" spans="1:17" s="165" customFormat="1" ht="15" customHeight="1">
      <c r="A720" s="14"/>
      <c r="B720" s="38"/>
      <c r="C720" s="30" t="s">
        <v>39</v>
      </c>
      <c r="D720" s="138" t="s">
        <v>859</v>
      </c>
      <c r="E720" s="185" t="s">
        <v>1570</v>
      </c>
      <c r="F720" s="139" t="s">
        <v>8</v>
      </c>
      <c r="G720" s="139">
        <v>22910</v>
      </c>
      <c r="H720" s="138" t="s">
        <v>199</v>
      </c>
      <c r="I720" s="139" t="s">
        <v>21</v>
      </c>
      <c r="J720" s="139">
        <v>43805</v>
      </c>
      <c r="K720" s="184">
        <v>57</v>
      </c>
      <c r="L720" s="139"/>
      <c r="M720" s="139">
        <v>43847</v>
      </c>
      <c r="N720" s="189">
        <v>42</v>
      </c>
      <c r="O720" s="140">
        <v>0</v>
      </c>
      <c r="Q720" s="35"/>
    </row>
    <row r="721" spans="1:17" s="165" customFormat="1" ht="15" customHeight="1">
      <c r="A721" s="14"/>
      <c r="B721" s="38"/>
      <c r="C721" s="30" t="s">
        <v>39</v>
      </c>
      <c r="D721" s="138" t="s">
        <v>860</v>
      </c>
      <c r="E721" s="185" t="s">
        <v>1571</v>
      </c>
      <c r="F721" s="139" t="s">
        <v>8</v>
      </c>
      <c r="G721" s="139">
        <v>26705</v>
      </c>
      <c r="H721" s="138" t="s">
        <v>199</v>
      </c>
      <c r="I721" s="139" t="s">
        <v>21</v>
      </c>
      <c r="J721" s="139">
        <v>43799</v>
      </c>
      <c r="K721" s="184">
        <v>46</v>
      </c>
      <c r="L721" s="139"/>
      <c r="M721" s="139">
        <v>43991</v>
      </c>
      <c r="N721" s="189">
        <v>192</v>
      </c>
      <c r="O721" s="140">
        <v>0</v>
      </c>
      <c r="Q721" s="35"/>
    </row>
    <row r="722" spans="1:17" s="165" customFormat="1" ht="15" customHeight="1">
      <c r="A722" s="14"/>
      <c r="B722" s="38"/>
      <c r="C722" s="30" t="s">
        <v>39</v>
      </c>
      <c r="D722" s="138" t="s">
        <v>861</v>
      </c>
      <c r="E722" s="185" t="s">
        <v>1572</v>
      </c>
      <c r="F722" s="139" t="s">
        <v>8</v>
      </c>
      <c r="G722" s="139">
        <v>33350</v>
      </c>
      <c r="H722" s="138" t="s">
        <v>199</v>
      </c>
      <c r="I722" s="139" t="s">
        <v>21</v>
      </c>
      <c r="J722" s="139">
        <v>43571</v>
      </c>
      <c r="K722" s="184">
        <v>28</v>
      </c>
      <c r="L722" s="139">
        <v>43695</v>
      </c>
      <c r="M722" s="139">
        <v>43695</v>
      </c>
      <c r="N722" s="189">
        <v>124</v>
      </c>
      <c r="O722" s="140">
        <v>1125.75</v>
      </c>
      <c r="Q722" s="35"/>
    </row>
    <row r="723" spans="1:17" s="165" customFormat="1" ht="15" customHeight="1">
      <c r="A723" s="14"/>
      <c r="B723" s="38"/>
      <c r="C723" s="30" t="s">
        <v>39</v>
      </c>
      <c r="D723" s="138" t="s">
        <v>148</v>
      </c>
      <c r="E723" s="185" t="s">
        <v>1573</v>
      </c>
      <c r="F723" s="139" t="s">
        <v>10</v>
      </c>
      <c r="G723" s="139">
        <v>32772</v>
      </c>
      <c r="H723" s="138" t="s">
        <v>199</v>
      </c>
      <c r="I723" s="139" t="s">
        <v>21</v>
      </c>
      <c r="J723" s="139">
        <v>43627</v>
      </c>
      <c r="K723" s="184">
        <v>30</v>
      </c>
      <c r="L723" s="139">
        <v>43759</v>
      </c>
      <c r="M723" s="139"/>
      <c r="N723" s="189">
        <v>0</v>
      </c>
      <c r="O723" s="140">
        <v>450.71999999999997</v>
      </c>
      <c r="Q723" s="35"/>
    </row>
    <row r="724" spans="1:17" s="165" customFormat="1" ht="15" customHeight="1">
      <c r="A724" s="14"/>
      <c r="B724" s="38"/>
      <c r="C724" s="30" t="s">
        <v>39</v>
      </c>
      <c r="D724" s="138" t="s">
        <v>862</v>
      </c>
      <c r="E724" s="185" t="s">
        <v>1574</v>
      </c>
      <c r="F724" s="139" t="s">
        <v>8</v>
      </c>
      <c r="G724" s="139">
        <v>30399</v>
      </c>
      <c r="H724" s="138" t="s">
        <v>199</v>
      </c>
      <c r="I724" s="139" t="s">
        <v>21</v>
      </c>
      <c r="J724" s="139">
        <v>43755</v>
      </c>
      <c r="K724" s="184">
        <v>36</v>
      </c>
      <c r="L724" s="139"/>
      <c r="M724" s="139">
        <v>43791</v>
      </c>
      <c r="N724" s="189">
        <v>36</v>
      </c>
      <c r="O724" s="140">
        <v>0</v>
      </c>
      <c r="Q724" s="35"/>
    </row>
    <row r="725" spans="1:17" s="165" customFormat="1" ht="15" customHeight="1">
      <c r="A725" s="14"/>
      <c r="B725" s="38"/>
      <c r="C725" s="30" t="s">
        <v>39</v>
      </c>
      <c r="D725" s="138" t="s">
        <v>863</v>
      </c>
      <c r="E725" s="185" t="s">
        <v>1575</v>
      </c>
      <c r="F725" s="139" t="s">
        <v>8</v>
      </c>
      <c r="G725" s="139">
        <v>32575</v>
      </c>
      <c r="H725" s="138" t="s">
        <v>199</v>
      </c>
      <c r="I725" s="139" t="s">
        <v>21</v>
      </c>
      <c r="J725" s="139">
        <v>43651</v>
      </c>
      <c r="K725" s="184">
        <v>30</v>
      </c>
      <c r="L725" s="139">
        <v>43729</v>
      </c>
      <c r="M725" s="139">
        <v>43729</v>
      </c>
      <c r="N725" s="189">
        <v>78</v>
      </c>
      <c r="O725" s="140">
        <v>1019.6899999999998</v>
      </c>
      <c r="Q725" s="35"/>
    </row>
    <row r="726" spans="1:17" s="165" customFormat="1" ht="15" customHeight="1">
      <c r="A726" s="14"/>
      <c r="B726" s="38"/>
      <c r="C726" s="30" t="s">
        <v>39</v>
      </c>
      <c r="D726" s="138" t="s">
        <v>172</v>
      </c>
      <c r="E726" s="185" t="s">
        <v>1576</v>
      </c>
      <c r="F726" s="139" t="s">
        <v>8</v>
      </c>
      <c r="G726" s="139">
        <v>33586</v>
      </c>
      <c r="H726" s="138" t="s">
        <v>200</v>
      </c>
      <c r="I726" s="139" t="s">
        <v>21</v>
      </c>
      <c r="J726" s="139">
        <v>43696</v>
      </c>
      <c r="K726" s="184">
        <v>28</v>
      </c>
      <c r="L726" s="139">
        <v>43771</v>
      </c>
      <c r="M726" s="139"/>
      <c r="N726" s="189">
        <v>0</v>
      </c>
      <c r="O726" s="140">
        <v>983.93999999999994</v>
      </c>
      <c r="Q726" s="35"/>
    </row>
    <row r="727" spans="1:17" s="165" customFormat="1" ht="15" customHeight="1">
      <c r="A727" s="14"/>
      <c r="B727" s="38"/>
      <c r="C727" s="30" t="s">
        <v>39</v>
      </c>
      <c r="D727" s="138" t="s">
        <v>864</v>
      </c>
      <c r="E727" s="185" t="s">
        <v>1577</v>
      </c>
      <c r="F727" s="139" t="s">
        <v>8</v>
      </c>
      <c r="G727" s="139">
        <v>23874</v>
      </c>
      <c r="H727" s="138" t="s">
        <v>199</v>
      </c>
      <c r="I727" s="139" t="s">
        <v>21</v>
      </c>
      <c r="J727" s="139">
        <v>43713</v>
      </c>
      <c r="K727" s="184">
        <v>54</v>
      </c>
      <c r="L727" s="139"/>
      <c r="M727" s="139">
        <v>43921</v>
      </c>
      <c r="N727" s="189">
        <v>208</v>
      </c>
      <c r="O727" s="140">
        <v>0</v>
      </c>
      <c r="Q727" s="35"/>
    </row>
    <row r="728" spans="1:17" s="165" customFormat="1" ht="15" customHeight="1">
      <c r="A728" s="14"/>
      <c r="B728" s="38"/>
      <c r="C728" s="30" t="s">
        <v>39</v>
      </c>
      <c r="D728" s="138" t="s">
        <v>865</v>
      </c>
      <c r="E728" s="185" t="s">
        <v>1578</v>
      </c>
      <c r="F728" s="139" t="s">
        <v>8</v>
      </c>
      <c r="G728" s="139">
        <v>32750</v>
      </c>
      <c r="H728" s="138" t="s">
        <v>200</v>
      </c>
      <c r="I728" s="139" t="s">
        <v>21</v>
      </c>
      <c r="J728" s="139">
        <v>43562</v>
      </c>
      <c r="K728" s="184">
        <v>30</v>
      </c>
      <c r="L728" s="139"/>
      <c r="M728" s="139"/>
      <c r="N728" s="189">
        <v>0</v>
      </c>
      <c r="O728" s="140">
        <v>0</v>
      </c>
      <c r="Q728" s="35"/>
    </row>
    <row r="729" spans="1:17" s="165" customFormat="1" ht="15" customHeight="1">
      <c r="A729" s="14"/>
      <c r="B729" s="38"/>
      <c r="C729" s="30" t="s">
        <v>39</v>
      </c>
      <c r="D729" s="138" t="s">
        <v>866</v>
      </c>
      <c r="E729" s="185" t="s">
        <v>1579</v>
      </c>
      <c r="F729" s="139" t="s">
        <v>8</v>
      </c>
      <c r="G729" s="139">
        <v>32113</v>
      </c>
      <c r="H729" s="138" t="s">
        <v>199</v>
      </c>
      <c r="I729" s="139" t="s">
        <v>21</v>
      </c>
      <c r="J729" s="139">
        <v>43699</v>
      </c>
      <c r="K729" s="184">
        <v>32</v>
      </c>
      <c r="L729" s="139">
        <v>43732</v>
      </c>
      <c r="M729" s="139">
        <v>43780</v>
      </c>
      <c r="N729" s="189">
        <v>81</v>
      </c>
      <c r="O729" s="140">
        <v>6.92</v>
      </c>
      <c r="Q729" s="35"/>
    </row>
    <row r="730" spans="1:17" s="165" customFormat="1" ht="15" customHeight="1">
      <c r="A730" s="14"/>
      <c r="B730" s="38"/>
      <c r="C730" s="30" t="s">
        <v>39</v>
      </c>
      <c r="D730" s="138" t="s">
        <v>867</v>
      </c>
      <c r="E730" s="185" t="s">
        <v>1580</v>
      </c>
      <c r="F730" s="139" t="s">
        <v>8</v>
      </c>
      <c r="G730" s="139">
        <v>25254</v>
      </c>
      <c r="H730" s="138" t="s">
        <v>199</v>
      </c>
      <c r="I730" s="139" t="s">
        <v>21</v>
      </c>
      <c r="J730" s="139">
        <v>43468</v>
      </c>
      <c r="K730" s="184">
        <v>50</v>
      </c>
      <c r="L730" s="139">
        <v>43621</v>
      </c>
      <c r="M730" s="139">
        <v>43621</v>
      </c>
      <c r="N730" s="189">
        <v>153</v>
      </c>
      <c r="O730" s="140">
        <v>1326.8</v>
      </c>
      <c r="Q730" s="35"/>
    </row>
    <row r="731" spans="1:17" s="165" customFormat="1" ht="15" customHeight="1">
      <c r="A731" s="14"/>
      <c r="B731" s="38"/>
      <c r="C731" s="30" t="s">
        <v>39</v>
      </c>
      <c r="D731" s="138" t="s">
        <v>868</v>
      </c>
      <c r="E731" s="185" t="s">
        <v>1581</v>
      </c>
      <c r="F731" s="139" t="s">
        <v>8</v>
      </c>
      <c r="G731" s="139">
        <v>29938</v>
      </c>
      <c r="H731" s="138" t="s">
        <v>199</v>
      </c>
      <c r="I731" s="139" t="s">
        <v>21</v>
      </c>
      <c r="J731" s="139">
        <v>43759</v>
      </c>
      <c r="K731" s="184">
        <v>38</v>
      </c>
      <c r="L731" s="139"/>
      <c r="M731" s="139">
        <v>43844</v>
      </c>
      <c r="N731" s="189">
        <v>85</v>
      </c>
      <c r="O731" s="140">
        <v>0</v>
      </c>
      <c r="Q731" s="35"/>
    </row>
    <row r="732" spans="1:17" s="165" customFormat="1" ht="15" customHeight="1">
      <c r="A732" s="14"/>
      <c r="B732" s="38"/>
      <c r="C732" s="30" t="s">
        <v>39</v>
      </c>
      <c r="D732" s="138" t="s">
        <v>869</v>
      </c>
      <c r="E732" s="185" t="s">
        <v>1582</v>
      </c>
      <c r="F732" s="139" t="s">
        <v>8</v>
      </c>
      <c r="G732" s="139">
        <v>25293</v>
      </c>
      <c r="H732" s="138" t="s">
        <v>200</v>
      </c>
      <c r="I732" s="139" t="s">
        <v>21</v>
      </c>
      <c r="J732" s="139">
        <v>43732</v>
      </c>
      <c r="K732" s="184">
        <v>50</v>
      </c>
      <c r="L732" s="139"/>
      <c r="M732" s="139">
        <v>43835</v>
      </c>
      <c r="N732" s="189">
        <v>103</v>
      </c>
      <c r="O732" s="140">
        <v>0</v>
      </c>
      <c r="Q732" s="35"/>
    </row>
    <row r="733" spans="1:17" s="165" customFormat="1" ht="15" customHeight="1">
      <c r="A733" s="14"/>
      <c r="B733" s="38"/>
      <c r="C733" s="30" t="s">
        <v>39</v>
      </c>
      <c r="D733" s="138" t="s">
        <v>870</v>
      </c>
      <c r="E733" s="185" t="s">
        <v>1583</v>
      </c>
      <c r="F733" s="139" t="s">
        <v>8</v>
      </c>
      <c r="G733" s="139">
        <v>32365</v>
      </c>
      <c r="H733" s="138" t="s">
        <v>199</v>
      </c>
      <c r="I733" s="139" t="s">
        <v>21</v>
      </c>
      <c r="J733" s="139">
        <v>43794</v>
      </c>
      <c r="K733" s="184">
        <v>31</v>
      </c>
      <c r="L733" s="139"/>
      <c r="M733" s="139">
        <v>43862</v>
      </c>
      <c r="N733" s="189">
        <v>68</v>
      </c>
      <c r="O733" s="140">
        <v>0</v>
      </c>
      <c r="Q733" s="35"/>
    </row>
    <row r="734" spans="1:17" s="165" customFormat="1" ht="15" customHeight="1">
      <c r="A734" s="14"/>
      <c r="B734" s="38"/>
      <c r="C734" s="30" t="s">
        <v>39</v>
      </c>
      <c r="D734" s="138" t="s">
        <v>871</v>
      </c>
      <c r="E734" s="185" t="s">
        <v>1584</v>
      </c>
      <c r="F734" s="139" t="s">
        <v>8</v>
      </c>
      <c r="G734" s="139">
        <v>34106</v>
      </c>
      <c r="H734" s="138" t="s">
        <v>199</v>
      </c>
      <c r="I734" s="139" t="s">
        <v>21</v>
      </c>
      <c r="J734" s="139">
        <v>43579</v>
      </c>
      <c r="K734" s="184">
        <v>26</v>
      </c>
      <c r="L734" s="139">
        <v>43680</v>
      </c>
      <c r="M734" s="139">
        <v>43679</v>
      </c>
      <c r="N734" s="189">
        <v>100</v>
      </c>
      <c r="O734" s="140">
        <v>1449.86</v>
      </c>
      <c r="Q734" s="35"/>
    </row>
    <row r="735" spans="1:17" s="165" customFormat="1" ht="15" customHeight="1">
      <c r="A735" s="14"/>
      <c r="B735" s="38"/>
      <c r="C735" s="30" t="s">
        <v>39</v>
      </c>
      <c r="D735" s="138" t="s">
        <v>871</v>
      </c>
      <c r="E735" s="185" t="s">
        <v>1584</v>
      </c>
      <c r="F735" s="139" t="s">
        <v>8</v>
      </c>
      <c r="G735" s="139">
        <v>34106</v>
      </c>
      <c r="H735" s="138" t="s">
        <v>199</v>
      </c>
      <c r="I735" s="139" t="s">
        <v>21</v>
      </c>
      <c r="J735" s="139">
        <v>43680</v>
      </c>
      <c r="K735" s="184">
        <v>26</v>
      </c>
      <c r="L735" s="139">
        <v>43680</v>
      </c>
      <c r="M735" s="139">
        <v>43680</v>
      </c>
      <c r="N735" s="189">
        <v>0</v>
      </c>
      <c r="O735" s="140">
        <v>1449.86</v>
      </c>
      <c r="Q735" s="35"/>
    </row>
    <row r="736" spans="1:17" s="165" customFormat="1" ht="15" customHeight="1">
      <c r="A736" s="14"/>
      <c r="B736" s="38"/>
      <c r="C736" s="30" t="s">
        <v>39</v>
      </c>
      <c r="D736" s="138" t="s">
        <v>872</v>
      </c>
      <c r="E736" s="185" t="s">
        <v>1585</v>
      </c>
      <c r="F736" s="139" t="s">
        <v>8</v>
      </c>
      <c r="G736" s="139">
        <v>33313</v>
      </c>
      <c r="H736" s="138" t="s">
        <v>200</v>
      </c>
      <c r="I736" s="139" t="s">
        <v>21</v>
      </c>
      <c r="J736" s="139">
        <v>43564</v>
      </c>
      <c r="K736" s="184">
        <v>28</v>
      </c>
      <c r="L736" s="139"/>
      <c r="M736" s="139">
        <v>43599</v>
      </c>
      <c r="N736" s="189">
        <v>35</v>
      </c>
      <c r="O736" s="140">
        <v>0</v>
      </c>
      <c r="Q736" s="35"/>
    </row>
    <row r="737" spans="1:17" s="165" customFormat="1" ht="15" customHeight="1">
      <c r="A737" s="14"/>
      <c r="B737" s="38"/>
      <c r="C737" s="30" t="s">
        <v>39</v>
      </c>
      <c r="D737" s="138" t="s">
        <v>872</v>
      </c>
      <c r="E737" s="185" t="s">
        <v>1585</v>
      </c>
      <c r="F737" s="139" t="s">
        <v>8</v>
      </c>
      <c r="G737" s="139">
        <v>33313</v>
      </c>
      <c r="H737" s="138" t="s">
        <v>200</v>
      </c>
      <c r="I737" s="139" t="s">
        <v>21</v>
      </c>
      <c r="J737" s="139">
        <v>43600</v>
      </c>
      <c r="K737" s="184">
        <v>28</v>
      </c>
      <c r="L737" s="139"/>
      <c r="M737" s="139">
        <v>43600</v>
      </c>
      <c r="N737" s="189">
        <v>0</v>
      </c>
      <c r="O737" s="140">
        <v>0</v>
      </c>
      <c r="Q737" s="35"/>
    </row>
    <row r="738" spans="1:17" s="165" customFormat="1" ht="15" customHeight="1">
      <c r="A738" s="14"/>
      <c r="B738" s="38"/>
      <c r="C738" s="30" t="s">
        <v>39</v>
      </c>
      <c r="D738" s="138" t="s">
        <v>873</v>
      </c>
      <c r="E738" s="185" t="s">
        <v>1586</v>
      </c>
      <c r="F738" s="139" t="s">
        <v>8</v>
      </c>
      <c r="G738" s="139">
        <v>29795</v>
      </c>
      <c r="H738" s="138" t="s">
        <v>199</v>
      </c>
      <c r="I738" s="139" t="s">
        <v>21</v>
      </c>
      <c r="J738" s="139">
        <v>43488</v>
      </c>
      <c r="K738" s="184">
        <v>38</v>
      </c>
      <c r="L738" s="139">
        <v>43516</v>
      </c>
      <c r="M738" s="139">
        <v>43516</v>
      </c>
      <c r="N738" s="189">
        <v>28</v>
      </c>
      <c r="O738" s="140">
        <v>1637.12</v>
      </c>
      <c r="Q738" s="35"/>
    </row>
    <row r="739" spans="1:17" s="165" customFormat="1" ht="15" customHeight="1">
      <c r="A739" s="14"/>
      <c r="B739" s="38"/>
      <c r="C739" s="30" t="s">
        <v>39</v>
      </c>
      <c r="D739" s="138" t="s">
        <v>874</v>
      </c>
      <c r="E739" s="185" t="s">
        <v>1586</v>
      </c>
      <c r="F739" s="139" t="s">
        <v>8</v>
      </c>
      <c r="G739" s="139">
        <v>29795</v>
      </c>
      <c r="H739" s="138" t="s">
        <v>199</v>
      </c>
      <c r="I739" s="139" t="s">
        <v>21</v>
      </c>
      <c r="J739" s="139">
        <v>43739</v>
      </c>
      <c r="K739" s="184">
        <v>38</v>
      </c>
      <c r="L739" s="139"/>
      <c r="M739" s="139">
        <v>44012</v>
      </c>
      <c r="N739" s="189">
        <v>273</v>
      </c>
      <c r="O739" s="140">
        <v>0</v>
      </c>
      <c r="Q739" s="35"/>
    </row>
    <row r="740" spans="1:17" s="165" customFormat="1" ht="15" customHeight="1">
      <c r="A740" s="14"/>
      <c r="B740" s="38"/>
      <c r="C740" s="30" t="s">
        <v>39</v>
      </c>
      <c r="D740" s="138" t="s">
        <v>875</v>
      </c>
      <c r="E740" s="185" t="s">
        <v>1587</v>
      </c>
      <c r="F740" s="139" t="s">
        <v>8</v>
      </c>
      <c r="G740" s="139">
        <v>27595</v>
      </c>
      <c r="H740" s="138" t="s">
        <v>199</v>
      </c>
      <c r="I740" s="139" t="s">
        <v>21</v>
      </c>
      <c r="J740" s="139">
        <v>43535</v>
      </c>
      <c r="K740" s="184">
        <v>44</v>
      </c>
      <c r="L740" s="139">
        <v>43574</v>
      </c>
      <c r="M740" s="139">
        <v>43574</v>
      </c>
      <c r="N740" s="189">
        <v>39</v>
      </c>
      <c r="O740" s="140">
        <v>203.2</v>
      </c>
      <c r="Q740" s="35"/>
    </row>
    <row r="741" spans="1:17" s="165" customFormat="1" ht="15" customHeight="1">
      <c r="A741" s="14"/>
      <c r="B741" s="38"/>
      <c r="C741" s="30" t="s">
        <v>39</v>
      </c>
      <c r="D741" s="138" t="s">
        <v>876</v>
      </c>
      <c r="E741" s="185" t="s">
        <v>1588</v>
      </c>
      <c r="F741" s="139" t="s">
        <v>8</v>
      </c>
      <c r="G741" s="139">
        <v>26282</v>
      </c>
      <c r="H741" s="138" t="s">
        <v>199</v>
      </c>
      <c r="I741" s="139" t="s">
        <v>21</v>
      </c>
      <c r="J741" s="139">
        <v>43627</v>
      </c>
      <c r="K741" s="184">
        <v>48</v>
      </c>
      <c r="L741" s="139"/>
      <c r="M741" s="139">
        <v>43919</v>
      </c>
      <c r="N741" s="189">
        <v>292</v>
      </c>
      <c r="O741" s="140">
        <v>0</v>
      </c>
      <c r="Q741" s="35"/>
    </row>
    <row r="742" spans="1:17" s="165" customFormat="1" ht="15" customHeight="1">
      <c r="A742" s="14"/>
      <c r="B742" s="38"/>
      <c r="C742" s="30" t="s">
        <v>39</v>
      </c>
      <c r="D742" s="138" t="s">
        <v>877</v>
      </c>
      <c r="E742" s="185" t="s">
        <v>1589</v>
      </c>
      <c r="F742" s="139" t="s">
        <v>8</v>
      </c>
      <c r="G742" s="139">
        <v>33870</v>
      </c>
      <c r="H742" s="138" t="s">
        <v>199</v>
      </c>
      <c r="I742" s="139" t="s">
        <v>21</v>
      </c>
      <c r="J742" s="139">
        <v>43587</v>
      </c>
      <c r="K742" s="184">
        <v>27</v>
      </c>
      <c r="L742" s="139">
        <v>43740</v>
      </c>
      <c r="M742" s="139">
        <v>43740</v>
      </c>
      <c r="N742" s="189">
        <v>153</v>
      </c>
      <c r="O742" s="140">
        <v>1959.2</v>
      </c>
      <c r="Q742" s="35"/>
    </row>
    <row r="743" spans="1:17" s="165" customFormat="1" ht="15" customHeight="1">
      <c r="A743" s="14"/>
      <c r="B743" s="38"/>
      <c r="C743" s="30" t="s">
        <v>39</v>
      </c>
      <c r="D743" s="138" t="s">
        <v>878</v>
      </c>
      <c r="E743" s="185" t="s">
        <v>1590</v>
      </c>
      <c r="F743" s="139" t="s">
        <v>8</v>
      </c>
      <c r="G743" s="139">
        <v>27809</v>
      </c>
      <c r="H743" s="138" t="s">
        <v>199</v>
      </c>
      <c r="I743" s="139" t="s">
        <v>21</v>
      </c>
      <c r="J743" s="139">
        <v>43797</v>
      </c>
      <c r="K743" s="184">
        <v>43</v>
      </c>
      <c r="L743" s="139"/>
      <c r="M743" s="139">
        <v>43990</v>
      </c>
      <c r="N743" s="189">
        <v>193</v>
      </c>
      <c r="O743" s="140">
        <v>0</v>
      </c>
      <c r="Q743" s="35"/>
    </row>
    <row r="744" spans="1:17" s="165" customFormat="1" ht="15" customHeight="1">
      <c r="A744" s="14"/>
      <c r="B744" s="38"/>
      <c r="C744" s="30" t="s">
        <v>39</v>
      </c>
      <c r="D744" s="138" t="s">
        <v>879</v>
      </c>
      <c r="E744" s="185" t="s">
        <v>1591</v>
      </c>
      <c r="F744" s="139" t="s">
        <v>8</v>
      </c>
      <c r="G744" s="139">
        <v>23537</v>
      </c>
      <c r="H744" s="138" t="s">
        <v>199</v>
      </c>
      <c r="I744" s="139" t="s">
        <v>21</v>
      </c>
      <c r="J744" s="139">
        <v>43598</v>
      </c>
      <c r="K744" s="184">
        <v>55</v>
      </c>
      <c r="L744" s="139">
        <v>43802</v>
      </c>
      <c r="M744" s="139">
        <v>43963</v>
      </c>
      <c r="N744" s="189">
        <v>365</v>
      </c>
      <c r="O744" s="140">
        <v>8116.1599999999989</v>
      </c>
      <c r="Q744" s="35"/>
    </row>
    <row r="745" spans="1:17" s="165" customFormat="1" ht="15" customHeight="1">
      <c r="A745" s="14"/>
      <c r="B745" s="38"/>
      <c r="C745" s="30" t="s">
        <v>39</v>
      </c>
      <c r="D745" s="138" t="s">
        <v>880</v>
      </c>
      <c r="E745" s="185" t="s">
        <v>1592</v>
      </c>
      <c r="F745" s="139" t="s">
        <v>8</v>
      </c>
      <c r="G745" s="139">
        <v>30281</v>
      </c>
      <c r="H745" s="138" t="s">
        <v>199</v>
      </c>
      <c r="I745" s="139" t="s">
        <v>21</v>
      </c>
      <c r="J745" s="139">
        <v>43486</v>
      </c>
      <c r="K745" s="184">
        <v>37</v>
      </c>
      <c r="L745" s="139">
        <v>43547</v>
      </c>
      <c r="M745" s="139">
        <v>43547</v>
      </c>
      <c r="N745" s="189">
        <v>61</v>
      </c>
      <c r="O745" s="140">
        <v>384.32</v>
      </c>
      <c r="Q745" s="35"/>
    </row>
    <row r="746" spans="1:17" s="165" customFormat="1" ht="15" customHeight="1">
      <c r="A746" s="14"/>
      <c r="B746" s="38"/>
      <c r="C746" s="30" t="s">
        <v>39</v>
      </c>
      <c r="D746" s="138" t="s">
        <v>881</v>
      </c>
      <c r="E746" s="185" t="s">
        <v>1593</v>
      </c>
      <c r="F746" s="139" t="s">
        <v>8</v>
      </c>
      <c r="G746" s="139">
        <v>35102</v>
      </c>
      <c r="H746" s="138" t="s">
        <v>199</v>
      </c>
      <c r="I746" s="139" t="s">
        <v>21</v>
      </c>
      <c r="J746" s="139">
        <v>43781</v>
      </c>
      <c r="K746" s="184">
        <v>23</v>
      </c>
      <c r="L746" s="139"/>
      <c r="M746" s="139">
        <v>43837</v>
      </c>
      <c r="N746" s="189">
        <v>56</v>
      </c>
      <c r="O746" s="140">
        <v>0</v>
      </c>
      <c r="Q746" s="35"/>
    </row>
    <row r="747" spans="1:17" s="165" customFormat="1" ht="15" customHeight="1">
      <c r="A747" s="14"/>
      <c r="B747" s="38"/>
      <c r="C747" s="30" t="s">
        <v>39</v>
      </c>
      <c r="D747" s="138" t="s">
        <v>882</v>
      </c>
      <c r="E747" s="185" t="s">
        <v>1594</v>
      </c>
      <c r="F747" s="139" t="s">
        <v>8</v>
      </c>
      <c r="G747" s="139">
        <v>26601</v>
      </c>
      <c r="H747" s="138" t="s">
        <v>200</v>
      </c>
      <c r="I747" s="139" t="s">
        <v>21</v>
      </c>
      <c r="J747" s="139">
        <v>43761</v>
      </c>
      <c r="K747" s="184">
        <v>47</v>
      </c>
      <c r="L747" s="139"/>
      <c r="M747" s="139">
        <v>43980</v>
      </c>
      <c r="N747" s="189">
        <v>219</v>
      </c>
      <c r="O747" s="140">
        <v>0</v>
      </c>
      <c r="Q747" s="35"/>
    </row>
    <row r="748" spans="1:17" s="165" customFormat="1" ht="15" customHeight="1">
      <c r="A748" s="14"/>
      <c r="B748" s="38"/>
      <c r="C748" s="30" t="s">
        <v>39</v>
      </c>
      <c r="D748" s="138" t="s">
        <v>883</v>
      </c>
      <c r="E748" s="185" t="s">
        <v>1595</v>
      </c>
      <c r="F748" s="139" t="s">
        <v>8</v>
      </c>
      <c r="G748" s="139">
        <v>29105</v>
      </c>
      <c r="H748" s="138" t="s">
        <v>199</v>
      </c>
      <c r="I748" s="139" t="s">
        <v>21</v>
      </c>
      <c r="J748" s="139">
        <v>43743</v>
      </c>
      <c r="K748" s="184">
        <v>40</v>
      </c>
      <c r="L748" s="139"/>
      <c r="M748" s="139">
        <v>43870</v>
      </c>
      <c r="N748" s="189">
        <v>127</v>
      </c>
      <c r="O748" s="140">
        <v>0</v>
      </c>
      <c r="Q748" s="35"/>
    </row>
    <row r="749" spans="1:17" s="165" customFormat="1" ht="15" customHeight="1">
      <c r="A749" s="14"/>
      <c r="B749" s="38"/>
      <c r="C749" s="30" t="s">
        <v>39</v>
      </c>
      <c r="D749" s="138" t="s">
        <v>884</v>
      </c>
      <c r="E749" s="185" t="s">
        <v>1596</v>
      </c>
      <c r="F749" s="139" t="s">
        <v>8</v>
      </c>
      <c r="G749" s="139">
        <v>31089</v>
      </c>
      <c r="H749" s="138" t="s">
        <v>199</v>
      </c>
      <c r="I749" s="139" t="s">
        <v>21</v>
      </c>
      <c r="J749" s="139">
        <v>43549</v>
      </c>
      <c r="K749" s="184">
        <v>34</v>
      </c>
      <c r="L749" s="139"/>
      <c r="M749" s="139">
        <v>43615</v>
      </c>
      <c r="N749" s="189">
        <v>66</v>
      </c>
      <c r="O749" s="140">
        <v>0</v>
      </c>
      <c r="Q749" s="35"/>
    </row>
    <row r="750" spans="1:17" s="165" customFormat="1" ht="15" customHeight="1">
      <c r="A750" s="14"/>
      <c r="B750" s="38"/>
      <c r="C750" s="30" t="s">
        <v>39</v>
      </c>
      <c r="D750" s="138" t="s">
        <v>885</v>
      </c>
      <c r="E750" s="185" t="s">
        <v>1597</v>
      </c>
      <c r="F750" s="139" t="s">
        <v>8</v>
      </c>
      <c r="G750" s="139">
        <v>31514</v>
      </c>
      <c r="H750" s="138" t="s">
        <v>200</v>
      </c>
      <c r="I750" s="139" t="s">
        <v>21</v>
      </c>
      <c r="J750" s="139">
        <v>43493</v>
      </c>
      <c r="K750" s="184">
        <v>33</v>
      </c>
      <c r="L750" s="139">
        <v>43615</v>
      </c>
      <c r="M750" s="139">
        <v>43537</v>
      </c>
      <c r="N750" s="189">
        <v>44</v>
      </c>
      <c r="O750" s="140">
        <v>2953.8900000000003</v>
      </c>
      <c r="Q750" s="35"/>
    </row>
    <row r="751" spans="1:17" s="165" customFormat="1" ht="15" customHeight="1">
      <c r="A751" s="14"/>
      <c r="B751" s="38"/>
      <c r="C751" s="30" t="s">
        <v>39</v>
      </c>
      <c r="D751" s="138" t="s">
        <v>885</v>
      </c>
      <c r="E751" s="185" t="s">
        <v>1597</v>
      </c>
      <c r="F751" s="139" t="s">
        <v>8</v>
      </c>
      <c r="G751" s="139">
        <v>31514</v>
      </c>
      <c r="H751" s="138" t="s">
        <v>200</v>
      </c>
      <c r="I751" s="139" t="s">
        <v>21</v>
      </c>
      <c r="J751" s="139">
        <v>43556</v>
      </c>
      <c r="K751" s="184">
        <v>33</v>
      </c>
      <c r="L751" s="139">
        <v>43615</v>
      </c>
      <c r="M751" s="139">
        <v>43615</v>
      </c>
      <c r="N751" s="189">
        <v>59</v>
      </c>
      <c r="O751" s="140">
        <v>2953.8900000000003</v>
      </c>
      <c r="Q751" s="35"/>
    </row>
    <row r="752" spans="1:17" s="165" customFormat="1" ht="15" customHeight="1">
      <c r="A752" s="14"/>
      <c r="B752" s="38"/>
      <c r="C752" s="30" t="s">
        <v>39</v>
      </c>
      <c r="D752" s="138" t="s">
        <v>886</v>
      </c>
      <c r="E752" s="185" t="s">
        <v>1598</v>
      </c>
      <c r="F752" s="139" t="s">
        <v>10</v>
      </c>
      <c r="G752" s="139">
        <v>22460</v>
      </c>
      <c r="H752" s="138" t="s">
        <v>199</v>
      </c>
      <c r="I752" s="139" t="s">
        <v>21</v>
      </c>
      <c r="J752" s="139">
        <v>43466</v>
      </c>
      <c r="K752" s="184">
        <v>58</v>
      </c>
      <c r="L752" s="139">
        <v>43626</v>
      </c>
      <c r="M752" s="139">
        <v>43616</v>
      </c>
      <c r="N752" s="189">
        <v>150</v>
      </c>
      <c r="O752" s="140">
        <v>9566.2799999999988</v>
      </c>
      <c r="Q752" s="35"/>
    </row>
    <row r="753" spans="1:17" s="165" customFormat="1" ht="15" customHeight="1">
      <c r="A753" s="14"/>
      <c r="B753" s="38"/>
      <c r="C753" s="30" t="s">
        <v>39</v>
      </c>
      <c r="D753" s="138" t="s">
        <v>886</v>
      </c>
      <c r="E753" s="185" t="s">
        <v>1598</v>
      </c>
      <c r="F753" s="139" t="s">
        <v>10</v>
      </c>
      <c r="G753" s="139">
        <v>22460</v>
      </c>
      <c r="H753" s="138" t="s">
        <v>199</v>
      </c>
      <c r="I753" s="139" t="s">
        <v>21</v>
      </c>
      <c r="J753" s="139">
        <v>43617</v>
      </c>
      <c r="K753" s="184">
        <v>58</v>
      </c>
      <c r="L753" s="139">
        <v>43626</v>
      </c>
      <c r="M753" s="139">
        <v>43626</v>
      </c>
      <c r="N753" s="189">
        <v>9</v>
      </c>
      <c r="O753" s="140">
        <v>9566.2799999999988</v>
      </c>
      <c r="Q753" s="35"/>
    </row>
    <row r="754" spans="1:17" s="165" customFormat="1" ht="15" customHeight="1">
      <c r="A754" s="14"/>
      <c r="B754" s="38"/>
      <c r="C754" s="30" t="s">
        <v>39</v>
      </c>
      <c r="D754" s="138" t="s">
        <v>887</v>
      </c>
      <c r="E754" s="185" t="s">
        <v>1599</v>
      </c>
      <c r="F754" s="139" t="s">
        <v>8</v>
      </c>
      <c r="G754" s="139">
        <v>32334</v>
      </c>
      <c r="H754" s="138" t="s">
        <v>199</v>
      </c>
      <c r="I754" s="139" t="s">
        <v>21</v>
      </c>
      <c r="J754" s="139">
        <v>43717</v>
      </c>
      <c r="K754" s="184">
        <v>31</v>
      </c>
      <c r="L754" s="139">
        <v>43755</v>
      </c>
      <c r="M754" s="139">
        <v>43755</v>
      </c>
      <c r="N754" s="189">
        <v>38</v>
      </c>
      <c r="O754" s="140">
        <v>168.75</v>
      </c>
      <c r="Q754" s="35"/>
    </row>
    <row r="755" spans="1:17" s="165" customFormat="1" ht="15" customHeight="1">
      <c r="A755" s="14"/>
      <c r="B755" s="38"/>
      <c r="C755" s="30" t="s">
        <v>39</v>
      </c>
      <c r="D755" s="138" t="s">
        <v>888</v>
      </c>
      <c r="E755" s="185" t="s">
        <v>1600</v>
      </c>
      <c r="F755" s="139" t="s">
        <v>8</v>
      </c>
      <c r="G755" s="139">
        <v>30501</v>
      </c>
      <c r="H755" s="138" t="s">
        <v>199</v>
      </c>
      <c r="I755" s="139" t="s">
        <v>21</v>
      </c>
      <c r="J755" s="139">
        <v>43697</v>
      </c>
      <c r="K755" s="184">
        <v>36</v>
      </c>
      <c r="L755" s="139">
        <v>43698</v>
      </c>
      <c r="M755" s="139">
        <v>43698</v>
      </c>
      <c r="N755" s="189">
        <v>1</v>
      </c>
      <c r="O755" s="140">
        <v>40.4</v>
      </c>
      <c r="Q755" s="35"/>
    </row>
    <row r="756" spans="1:17" s="165" customFormat="1" ht="15" customHeight="1">
      <c r="A756" s="14"/>
      <c r="B756" s="38"/>
      <c r="C756" s="30" t="s">
        <v>39</v>
      </c>
      <c r="D756" s="138" t="s">
        <v>889</v>
      </c>
      <c r="E756" s="185" t="s">
        <v>1601</v>
      </c>
      <c r="F756" s="139" t="s">
        <v>8</v>
      </c>
      <c r="G756" s="139">
        <v>31730</v>
      </c>
      <c r="H756" s="138" t="s">
        <v>199</v>
      </c>
      <c r="I756" s="139" t="s">
        <v>21</v>
      </c>
      <c r="J756" s="139">
        <v>43633</v>
      </c>
      <c r="K756" s="184">
        <v>33</v>
      </c>
      <c r="L756" s="139">
        <v>43707</v>
      </c>
      <c r="M756" s="139">
        <v>43707</v>
      </c>
      <c r="N756" s="189">
        <v>74</v>
      </c>
      <c r="O756" s="140">
        <v>1256.8499999999999</v>
      </c>
      <c r="Q756" s="35"/>
    </row>
    <row r="757" spans="1:17" s="165" customFormat="1" ht="15" customHeight="1">
      <c r="A757" s="14"/>
      <c r="B757" s="38"/>
      <c r="C757" s="30" t="s">
        <v>39</v>
      </c>
      <c r="D757" s="138" t="s">
        <v>890</v>
      </c>
      <c r="E757" s="185" t="s">
        <v>1602</v>
      </c>
      <c r="F757" s="139" t="s">
        <v>8</v>
      </c>
      <c r="G757" s="139">
        <v>31264</v>
      </c>
      <c r="H757" s="138" t="s">
        <v>199</v>
      </c>
      <c r="I757" s="139" t="s">
        <v>21</v>
      </c>
      <c r="J757" s="139">
        <v>43766</v>
      </c>
      <c r="K757" s="184">
        <v>34</v>
      </c>
      <c r="L757" s="139"/>
      <c r="M757" s="139">
        <v>43861</v>
      </c>
      <c r="N757" s="189">
        <v>95</v>
      </c>
      <c r="O757" s="140">
        <v>0</v>
      </c>
      <c r="Q757" s="35"/>
    </row>
    <row r="758" spans="1:17" s="165" customFormat="1" ht="15" customHeight="1">
      <c r="A758" s="14"/>
      <c r="B758" s="38"/>
      <c r="C758" s="30" t="s">
        <v>39</v>
      </c>
      <c r="D758" s="138" t="s">
        <v>891</v>
      </c>
      <c r="E758" s="185" t="s">
        <v>1603</v>
      </c>
      <c r="F758" s="139" t="s">
        <v>8</v>
      </c>
      <c r="G758" s="139">
        <v>27238</v>
      </c>
      <c r="H758" s="138" t="s">
        <v>199</v>
      </c>
      <c r="I758" s="139" t="s">
        <v>21</v>
      </c>
      <c r="J758" s="139">
        <v>43805</v>
      </c>
      <c r="K758" s="184">
        <v>45</v>
      </c>
      <c r="L758" s="139"/>
      <c r="M758" s="139">
        <v>43868</v>
      </c>
      <c r="N758" s="189">
        <v>63</v>
      </c>
      <c r="O758" s="140">
        <v>0</v>
      </c>
      <c r="Q758" s="35"/>
    </row>
    <row r="759" spans="1:17" s="165" customFormat="1" ht="15" customHeight="1">
      <c r="A759" s="14"/>
      <c r="B759" s="38"/>
      <c r="C759" s="30" t="s">
        <v>39</v>
      </c>
      <c r="D759" s="138" t="s">
        <v>892</v>
      </c>
      <c r="E759" s="185" t="s">
        <v>1604</v>
      </c>
      <c r="F759" s="139" t="s">
        <v>8</v>
      </c>
      <c r="G759" s="139">
        <v>23782</v>
      </c>
      <c r="H759" s="138" t="s">
        <v>199</v>
      </c>
      <c r="I759" s="139" t="s">
        <v>21</v>
      </c>
      <c r="J759" s="139">
        <v>43563</v>
      </c>
      <c r="K759" s="184">
        <v>54</v>
      </c>
      <c r="L759" s="139">
        <v>43611</v>
      </c>
      <c r="M759" s="139">
        <v>43611</v>
      </c>
      <c r="N759" s="189">
        <v>48</v>
      </c>
      <c r="O759" s="140">
        <v>63.27</v>
      </c>
      <c r="Q759" s="35"/>
    </row>
    <row r="760" spans="1:17" s="165" customFormat="1" ht="15" customHeight="1">
      <c r="A760" s="14"/>
      <c r="B760" s="38"/>
      <c r="C760" s="30" t="s">
        <v>39</v>
      </c>
      <c r="D760" s="138" t="s">
        <v>893</v>
      </c>
      <c r="E760" s="185" t="s">
        <v>1605</v>
      </c>
      <c r="F760" s="139" t="s">
        <v>8</v>
      </c>
      <c r="G760" s="139">
        <v>28803</v>
      </c>
      <c r="H760" s="138" t="s">
        <v>199</v>
      </c>
      <c r="I760" s="139" t="s">
        <v>21</v>
      </c>
      <c r="J760" s="139">
        <v>43579</v>
      </c>
      <c r="K760" s="184">
        <v>41</v>
      </c>
      <c r="L760" s="139">
        <v>43697</v>
      </c>
      <c r="M760" s="139">
        <v>43697</v>
      </c>
      <c r="N760" s="189">
        <v>118</v>
      </c>
      <c r="O760" s="140">
        <v>1720.37</v>
      </c>
      <c r="Q760" s="35"/>
    </row>
    <row r="761" spans="1:17" s="165" customFormat="1" ht="15" customHeight="1">
      <c r="A761" s="14"/>
      <c r="B761" s="38"/>
      <c r="C761" s="30" t="s">
        <v>39</v>
      </c>
      <c r="D761" s="138" t="s">
        <v>894</v>
      </c>
      <c r="E761" s="185" t="s">
        <v>1606</v>
      </c>
      <c r="F761" s="139" t="s">
        <v>10</v>
      </c>
      <c r="G761" s="139">
        <v>26051</v>
      </c>
      <c r="H761" s="138" t="s">
        <v>199</v>
      </c>
      <c r="I761" s="139" t="s">
        <v>21</v>
      </c>
      <c r="J761" s="139">
        <v>43661</v>
      </c>
      <c r="K761" s="184">
        <v>48</v>
      </c>
      <c r="L761" s="139"/>
      <c r="M761" s="139">
        <v>43784</v>
      </c>
      <c r="N761" s="189">
        <v>123</v>
      </c>
      <c r="O761" s="140">
        <v>0</v>
      </c>
      <c r="Q761" s="35"/>
    </row>
    <row r="762" spans="1:17" s="165" customFormat="1" ht="15" customHeight="1">
      <c r="A762" s="14"/>
      <c r="B762" s="38"/>
      <c r="C762" s="30" t="s">
        <v>39</v>
      </c>
      <c r="D762" s="138" t="s">
        <v>895</v>
      </c>
      <c r="E762" s="185" t="s">
        <v>1607</v>
      </c>
      <c r="F762" s="139" t="s">
        <v>8</v>
      </c>
      <c r="G762" s="139">
        <v>25226</v>
      </c>
      <c r="H762" s="138" t="s">
        <v>199</v>
      </c>
      <c r="I762" s="139" t="s">
        <v>21</v>
      </c>
      <c r="J762" s="139">
        <v>43564</v>
      </c>
      <c r="K762" s="184">
        <v>50</v>
      </c>
      <c r="L762" s="139"/>
      <c r="M762" s="139"/>
      <c r="N762" s="189">
        <v>0</v>
      </c>
      <c r="O762" s="140">
        <v>0</v>
      </c>
      <c r="Q762" s="35"/>
    </row>
    <row r="763" spans="1:17" s="165" customFormat="1" ht="15" customHeight="1">
      <c r="A763" s="14"/>
      <c r="B763" s="38"/>
      <c r="C763" s="30" t="s">
        <v>39</v>
      </c>
      <c r="D763" s="138" t="s">
        <v>896</v>
      </c>
      <c r="E763" s="185" t="s">
        <v>1608</v>
      </c>
      <c r="F763" s="139" t="s">
        <v>8</v>
      </c>
      <c r="G763" s="139">
        <v>30757</v>
      </c>
      <c r="H763" s="138" t="s">
        <v>199</v>
      </c>
      <c r="I763" s="139" t="s">
        <v>21</v>
      </c>
      <c r="J763" s="139">
        <v>43635</v>
      </c>
      <c r="K763" s="184">
        <v>35</v>
      </c>
      <c r="L763" s="139"/>
      <c r="M763" s="139"/>
      <c r="N763" s="189">
        <v>0</v>
      </c>
      <c r="O763" s="140">
        <v>0</v>
      </c>
      <c r="Q763" s="35"/>
    </row>
    <row r="764" spans="1:17" s="165" customFormat="1" ht="15" customHeight="1">
      <c r="A764" s="14"/>
      <c r="B764" s="38"/>
      <c r="C764" s="30" t="s">
        <v>39</v>
      </c>
      <c r="D764" s="138" t="s">
        <v>92</v>
      </c>
      <c r="E764" s="185" t="s">
        <v>1609</v>
      </c>
      <c r="F764" s="139" t="s">
        <v>8</v>
      </c>
      <c r="G764" s="139">
        <v>30041</v>
      </c>
      <c r="H764" s="138" t="s">
        <v>199</v>
      </c>
      <c r="I764" s="139" t="s">
        <v>21</v>
      </c>
      <c r="J764" s="139">
        <v>43515</v>
      </c>
      <c r="K764" s="184">
        <v>37</v>
      </c>
      <c r="L764" s="139">
        <v>43791</v>
      </c>
      <c r="M764" s="139">
        <v>43891</v>
      </c>
      <c r="N764" s="189">
        <v>376</v>
      </c>
      <c r="O764" s="140">
        <v>3122.0800000000004</v>
      </c>
      <c r="Q764" s="35"/>
    </row>
    <row r="765" spans="1:17" s="165" customFormat="1" ht="15" customHeight="1">
      <c r="A765" s="14"/>
      <c r="B765" s="38"/>
      <c r="C765" s="30" t="s">
        <v>39</v>
      </c>
      <c r="D765" s="138" t="s">
        <v>897</v>
      </c>
      <c r="E765" s="185" t="s">
        <v>1610</v>
      </c>
      <c r="F765" s="139" t="s">
        <v>8</v>
      </c>
      <c r="G765" s="139">
        <v>22439</v>
      </c>
      <c r="H765" s="138" t="s">
        <v>199</v>
      </c>
      <c r="I765" s="139" t="s">
        <v>21</v>
      </c>
      <c r="J765" s="139">
        <v>43580</v>
      </c>
      <c r="K765" s="184">
        <v>58</v>
      </c>
      <c r="L765" s="139">
        <v>43703</v>
      </c>
      <c r="M765" s="139">
        <v>43703</v>
      </c>
      <c r="N765" s="189">
        <v>123</v>
      </c>
      <c r="O765" s="140">
        <v>0</v>
      </c>
      <c r="Q765" s="35"/>
    </row>
    <row r="766" spans="1:17" s="165" customFormat="1" ht="15" customHeight="1">
      <c r="A766" s="14"/>
      <c r="B766" s="38"/>
      <c r="C766" s="30" t="s">
        <v>39</v>
      </c>
      <c r="D766" s="138" t="s">
        <v>898</v>
      </c>
      <c r="E766" s="185" t="s">
        <v>1611</v>
      </c>
      <c r="F766" s="139" t="s">
        <v>8</v>
      </c>
      <c r="G766" s="139">
        <v>21380</v>
      </c>
      <c r="H766" s="138" t="s">
        <v>200</v>
      </c>
      <c r="I766" s="139" t="s">
        <v>21</v>
      </c>
      <c r="J766" s="139">
        <v>43644</v>
      </c>
      <c r="K766" s="184">
        <v>61</v>
      </c>
      <c r="L766" s="139">
        <v>43749</v>
      </c>
      <c r="M766" s="139">
        <v>43923</v>
      </c>
      <c r="N766" s="189">
        <v>279</v>
      </c>
      <c r="O766" s="140">
        <v>14987.2</v>
      </c>
      <c r="Q766" s="35"/>
    </row>
    <row r="767" spans="1:17" s="165" customFormat="1" ht="15" customHeight="1">
      <c r="A767" s="14"/>
      <c r="B767" s="38"/>
      <c r="C767" s="30" t="s">
        <v>39</v>
      </c>
      <c r="D767" s="138" t="s">
        <v>899</v>
      </c>
      <c r="E767" s="185" t="s">
        <v>1612</v>
      </c>
      <c r="F767" s="139" t="s">
        <v>8</v>
      </c>
      <c r="G767" s="139">
        <v>33251</v>
      </c>
      <c r="H767" s="138" t="s">
        <v>199</v>
      </c>
      <c r="I767" s="139" t="s">
        <v>21</v>
      </c>
      <c r="J767" s="139">
        <v>43601</v>
      </c>
      <c r="K767" s="184">
        <v>28</v>
      </c>
      <c r="L767" s="139">
        <v>43677</v>
      </c>
      <c r="M767" s="139">
        <v>43677</v>
      </c>
      <c r="N767" s="189">
        <v>76</v>
      </c>
      <c r="O767" s="140">
        <v>844.69</v>
      </c>
      <c r="Q767" s="35"/>
    </row>
    <row r="768" spans="1:17" s="165" customFormat="1" ht="15" customHeight="1">
      <c r="A768" s="14"/>
      <c r="B768" s="38"/>
      <c r="C768" s="30" t="s">
        <v>39</v>
      </c>
      <c r="D768" s="138" t="s">
        <v>145</v>
      </c>
      <c r="E768" s="185" t="s">
        <v>1613</v>
      </c>
      <c r="F768" s="139" t="s">
        <v>10</v>
      </c>
      <c r="G768" s="139">
        <v>28248</v>
      </c>
      <c r="H768" s="138" t="s">
        <v>200</v>
      </c>
      <c r="I768" s="139" t="s">
        <v>21</v>
      </c>
      <c r="J768" s="139">
        <v>43619</v>
      </c>
      <c r="K768" s="184">
        <v>42</v>
      </c>
      <c r="L768" s="139">
        <v>43801</v>
      </c>
      <c r="M768" s="139">
        <v>43710</v>
      </c>
      <c r="N768" s="189">
        <v>91</v>
      </c>
      <c r="O768" s="140">
        <v>5723.73</v>
      </c>
      <c r="Q768" s="35"/>
    </row>
    <row r="769" spans="1:17" s="165" customFormat="1" ht="15" customHeight="1">
      <c r="A769" s="14"/>
      <c r="B769" s="38"/>
      <c r="C769" s="30" t="s">
        <v>39</v>
      </c>
      <c r="D769" s="138" t="s">
        <v>145</v>
      </c>
      <c r="E769" s="185" t="s">
        <v>1613</v>
      </c>
      <c r="F769" s="139" t="s">
        <v>10</v>
      </c>
      <c r="G769" s="139">
        <v>28248</v>
      </c>
      <c r="H769" s="138" t="s">
        <v>200</v>
      </c>
      <c r="I769" s="139" t="s">
        <v>21</v>
      </c>
      <c r="J769" s="139">
        <v>43711</v>
      </c>
      <c r="K769" s="184">
        <v>42</v>
      </c>
      <c r="L769" s="139">
        <v>43801</v>
      </c>
      <c r="M769" s="139"/>
      <c r="N769" s="189">
        <v>0</v>
      </c>
      <c r="O769" s="140">
        <v>5723.73</v>
      </c>
      <c r="Q769" s="35"/>
    </row>
    <row r="770" spans="1:17" s="165" customFormat="1" ht="15" customHeight="1">
      <c r="A770" s="14"/>
      <c r="B770" s="38"/>
      <c r="C770" s="30" t="s">
        <v>39</v>
      </c>
      <c r="D770" s="138" t="s">
        <v>900</v>
      </c>
      <c r="E770" s="185" t="s">
        <v>1614</v>
      </c>
      <c r="F770" s="139" t="s">
        <v>8</v>
      </c>
      <c r="G770" s="139">
        <v>33268</v>
      </c>
      <c r="H770" s="138" t="s">
        <v>199</v>
      </c>
      <c r="I770" s="139" t="s">
        <v>21</v>
      </c>
      <c r="J770" s="139">
        <v>43617</v>
      </c>
      <c r="K770" s="184">
        <v>28</v>
      </c>
      <c r="L770" s="139">
        <v>43649</v>
      </c>
      <c r="M770" s="139">
        <v>43649</v>
      </c>
      <c r="N770" s="189">
        <v>32</v>
      </c>
      <c r="O770" s="140">
        <v>41.7</v>
      </c>
      <c r="Q770" s="35"/>
    </row>
    <row r="771" spans="1:17" s="165" customFormat="1" ht="15" customHeight="1">
      <c r="A771" s="14"/>
      <c r="B771" s="38"/>
      <c r="C771" s="30" t="s">
        <v>39</v>
      </c>
      <c r="D771" s="138" t="s">
        <v>901</v>
      </c>
      <c r="E771" s="185" t="s">
        <v>1615</v>
      </c>
      <c r="F771" s="139" t="s">
        <v>8</v>
      </c>
      <c r="G771" s="139">
        <v>29194</v>
      </c>
      <c r="H771" s="138" t="s">
        <v>199</v>
      </c>
      <c r="I771" s="139" t="s">
        <v>21</v>
      </c>
      <c r="J771" s="139">
        <v>43806</v>
      </c>
      <c r="K771" s="184">
        <v>40</v>
      </c>
      <c r="L771" s="139"/>
      <c r="M771" s="139">
        <v>43968</v>
      </c>
      <c r="N771" s="189">
        <v>162</v>
      </c>
      <c r="O771" s="140">
        <v>0</v>
      </c>
      <c r="Q771" s="35"/>
    </row>
    <row r="772" spans="1:17" s="165" customFormat="1" ht="15" customHeight="1">
      <c r="A772" s="14"/>
      <c r="B772" s="38"/>
      <c r="C772" s="30" t="s">
        <v>39</v>
      </c>
      <c r="D772" s="138" t="s">
        <v>182</v>
      </c>
      <c r="E772" s="185" t="s">
        <v>1616</v>
      </c>
      <c r="F772" s="139" t="s">
        <v>8</v>
      </c>
      <c r="G772" s="139">
        <v>25183</v>
      </c>
      <c r="H772" s="138" t="s">
        <v>199</v>
      </c>
      <c r="I772" s="139" t="s">
        <v>21</v>
      </c>
      <c r="J772" s="139">
        <v>43703</v>
      </c>
      <c r="K772" s="184">
        <v>51</v>
      </c>
      <c r="L772" s="139">
        <v>43799</v>
      </c>
      <c r="M772" s="139"/>
      <c r="N772" s="189">
        <v>0</v>
      </c>
      <c r="O772" s="140">
        <v>1423.08</v>
      </c>
      <c r="Q772" s="35"/>
    </row>
    <row r="773" spans="1:17" s="165" customFormat="1" ht="15" customHeight="1">
      <c r="A773" s="14"/>
      <c r="B773" s="38"/>
      <c r="C773" s="30" t="s">
        <v>39</v>
      </c>
      <c r="D773" s="138" t="s">
        <v>902</v>
      </c>
      <c r="E773" s="185" t="s">
        <v>1617</v>
      </c>
      <c r="F773" s="139" t="s">
        <v>8</v>
      </c>
      <c r="G773" s="139">
        <v>33684</v>
      </c>
      <c r="H773" s="138" t="s">
        <v>199</v>
      </c>
      <c r="I773" s="139" t="s">
        <v>21</v>
      </c>
      <c r="J773" s="139">
        <v>43623</v>
      </c>
      <c r="K773" s="184">
        <v>27</v>
      </c>
      <c r="L773" s="139">
        <v>43672</v>
      </c>
      <c r="M773" s="139">
        <v>43672</v>
      </c>
      <c r="N773" s="189">
        <v>49</v>
      </c>
      <c r="O773" s="140">
        <v>321.2</v>
      </c>
      <c r="Q773" s="35"/>
    </row>
    <row r="774" spans="1:17" s="165" customFormat="1" ht="15" customHeight="1">
      <c r="A774" s="14"/>
      <c r="B774" s="38"/>
      <c r="C774" s="30" t="s">
        <v>39</v>
      </c>
      <c r="D774" s="138" t="s">
        <v>903</v>
      </c>
      <c r="E774" s="185" t="s">
        <v>1618</v>
      </c>
      <c r="F774" s="139" t="s">
        <v>8</v>
      </c>
      <c r="G774" s="139">
        <v>32721</v>
      </c>
      <c r="H774" s="138" t="s">
        <v>199</v>
      </c>
      <c r="I774" s="139" t="s">
        <v>21</v>
      </c>
      <c r="J774" s="139">
        <v>43493</v>
      </c>
      <c r="K774" s="184">
        <v>30</v>
      </c>
      <c r="L774" s="139">
        <v>43602</v>
      </c>
      <c r="M774" s="139">
        <v>43602</v>
      </c>
      <c r="N774" s="189">
        <v>109</v>
      </c>
      <c r="O774" s="140">
        <v>2087.1999999999998</v>
      </c>
      <c r="Q774" s="35"/>
    </row>
    <row r="775" spans="1:17" s="165" customFormat="1" ht="15" customHeight="1">
      <c r="A775" s="14"/>
      <c r="B775" s="38"/>
      <c r="C775" s="30" t="s">
        <v>39</v>
      </c>
      <c r="D775" s="138" t="s">
        <v>904</v>
      </c>
      <c r="E775" s="185" t="s">
        <v>1619</v>
      </c>
      <c r="F775" s="139" t="s">
        <v>8</v>
      </c>
      <c r="G775" s="139">
        <v>27609</v>
      </c>
      <c r="H775" s="138" t="s">
        <v>199</v>
      </c>
      <c r="I775" s="139" t="s">
        <v>21</v>
      </c>
      <c r="J775" s="139">
        <v>43558</v>
      </c>
      <c r="K775" s="184">
        <v>44</v>
      </c>
      <c r="L775" s="139">
        <v>43618</v>
      </c>
      <c r="M775" s="139">
        <v>43711</v>
      </c>
      <c r="N775" s="189">
        <v>153</v>
      </c>
      <c r="O775" s="140">
        <v>514.6</v>
      </c>
      <c r="Q775" s="35"/>
    </row>
    <row r="776" spans="1:17" s="165" customFormat="1" ht="15" customHeight="1">
      <c r="A776" s="14"/>
      <c r="B776" s="38"/>
      <c r="C776" s="30" t="s">
        <v>39</v>
      </c>
      <c r="D776" s="138" t="s">
        <v>905</v>
      </c>
      <c r="E776" s="185" t="s">
        <v>1620</v>
      </c>
      <c r="F776" s="139" t="s">
        <v>8</v>
      </c>
      <c r="G776" s="139">
        <v>33266</v>
      </c>
      <c r="H776" s="138" t="s">
        <v>199</v>
      </c>
      <c r="I776" s="139" t="s">
        <v>21</v>
      </c>
      <c r="J776" s="139">
        <v>43573</v>
      </c>
      <c r="K776" s="184">
        <v>28</v>
      </c>
      <c r="L776" s="139"/>
      <c r="M776" s="139">
        <v>43627</v>
      </c>
      <c r="N776" s="189">
        <v>54</v>
      </c>
      <c r="O776" s="140">
        <v>0</v>
      </c>
      <c r="Q776" s="35"/>
    </row>
    <row r="777" spans="1:17" s="165" customFormat="1" ht="15" customHeight="1">
      <c r="A777" s="14"/>
      <c r="B777" s="38"/>
      <c r="C777" s="30" t="s">
        <v>39</v>
      </c>
      <c r="D777" s="138" t="s">
        <v>905</v>
      </c>
      <c r="E777" s="185" t="s">
        <v>1620</v>
      </c>
      <c r="F777" s="139" t="s">
        <v>8</v>
      </c>
      <c r="G777" s="139">
        <v>33266</v>
      </c>
      <c r="H777" s="138" t="s">
        <v>199</v>
      </c>
      <c r="I777" s="139" t="s">
        <v>21</v>
      </c>
      <c r="J777" s="139">
        <v>43628</v>
      </c>
      <c r="K777" s="184">
        <v>28</v>
      </c>
      <c r="L777" s="139"/>
      <c r="M777" s="139">
        <v>43648</v>
      </c>
      <c r="N777" s="189">
        <v>20</v>
      </c>
      <c r="O777" s="140">
        <v>0</v>
      </c>
      <c r="Q777" s="35"/>
    </row>
    <row r="778" spans="1:17" s="165" customFormat="1" ht="15" customHeight="1">
      <c r="A778" s="14"/>
      <c r="B778" s="38"/>
      <c r="C778" s="30" t="s">
        <v>39</v>
      </c>
      <c r="D778" s="138" t="s">
        <v>906</v>
      </c>
      <c r="E778" s="185" t="s">
        <v>1621</v>
      </c>
      <c r="F778" s="139" t="s">
        <v>8</v>
      </c>
      <c r="G778" s="139">
        <v>32408</v>
      </c>
      <c r="H778" s="138" t="s">
        <v>199</v>
      </c>
      <c r="I778" s="139" t="s">
        <v>21</v>
      </c>
      <c r="J778" s="139">
        <v>43538</v>
      </c>
      <c r="K778" s="184">
        <v>31</v>
      </c>
      <c r="L778" s="139">
        <v>43649</v>
      </c>
      <c r="M778" s="139">
        <v>43588</v>
      </c>
      <c r="N778" s="189">
        <v>50</v>
      </c>
      <c r="O778" s="140">
        <v>671.57999999999993</v>
      </c>
      <c r="Q778" s="35"/>
    </row>
    <row r="779" spans="1:17" s="165" customFormat="1" ht="15" customHeight="1">
      <c r="A779" s="14"/>
      <c r="B779" s="38"/>
      <c r="C779" s="30" t="s">
        <v>39</v>
      </c>
      <c r="D779" s="138" t="s">
        <v>906</v>
      </c>
      <c r="E779" s="185" t="s">
        <v>1621</v>
      </c>
      <c r="F779" s="139" t="s">
        <v>8</v>
      </c>
      <c r="G779" s="139">
        <v>32408</v>
      </c>
      <c r="H779" s="138" t="s">
        <v>199</v>
      </c>
      <c r="I779" s="139" t="s">
        <v>21</v>
      </c>
      <c r="J779" s="139">
        <v>43589</v>
      </c>
      <c r="K779" s="184">
        <v>31</v>
      </c>
      <c r="L779" s="139">
        <v>43649</v>
      </c>
      <c r="M779" s="139">
        <v>43649</v>
      </c>
      <c r="N779" s="189">
        <v>60</v>
      </c>
      <c r="O779" s="140">
        <v>671.57999999999993</v>
      </c>
      <c r="Q779" s="35"/>
    </row>
    <row r="780" spans="1:17" s="165" customFormat="1" ht="15" customHeight="1">
      <c r="A780" s="14"/>
      <c r="B780" s="38"/>
      <c r="C780" s="30" t="s">
        <v>39</v>
      </c>
      <c r="D780" s="138" t="s">
        <v>907</v>
      </c>
      <c r="E780" s="185" t="s">
        <v>1622</v>
      </c>
      <c r="F780" s="139" t="s">
        <v>8</v>
      </c>
      <c r="G780" s="139">
        <v>294</v>
      </c>
      <c r="H780" s="138" t="s">
        <v>199</v>
      </c>
      <c r="I780" s="139" t="s">
        <v>21</v>
      </c>
      <c r="J780" s="139">
        <v>43633</v>
      </c>
      <c r="K780" s="184">
        <v>119</v>
      </c>
      <c r="L780" s="139">
        <v>43693</v>
      </c>
      <c r="M780" s="139">
        <v>43693</v>
      </c>
      <c r="N780" s="189">
        <v>60</v>
      </c>
      <c r="O780" s="140">
        <v>568.54</v>
      </c>
      <c r="Q780" s="35"/>
    </row>
    <row r="781" spans="1:17" s="165" customFormat="1" ht="15" customHeight="1">
      <c r="A781" s="14"/>
      <c r="B781" s="38"/>
      <c r="C781" s="30" t="s">
        <v>39</v>
      </c>
      <c r="D781" s="138" t="s">
        <v>908</v>
      </c>
      <c r="E781" s="185" t="s">
        <v>1623</v>
      </c>
      <c r="F781" s="139" t="s">
        <v>8</v>
      </c>
      <c r="G781" s="139">
        <v>33204</v>
      </c>
      <c r="H781" s="138" t="s">
        <v>199</v>
      </c>
      <c r="I781" s="139" t="s">
        <v>21</v>
      </c>
      <c r="J781" s="139">
        <v>43759</v>
      </c>
      <c r="K781" s="184">
        <v>29</v>
      </c>
      <c r="L781" s="139"/>
      <c r="M781" s="139">
        <v>44049</v>
      </c>
      <c r="N781" s="189">
        <v>290</v>
      </c>
      <c r="O781" s="140">
        <v>0</v>
      </c>
      <c r="Q781" s="35"/>
    </row>
    <row r="782" spans="1:17" s="165" customFormat="1" ht="15" customHeight="1">
      <c r="A782" s="14"/>
      <c r="B782" s="38"/>
      <c r="C782" s="30" t="s">
        <v>39</v>
      </c>
      <c r="D782" s="138" t="s">
        <v>134</v>
      </c>
      <c r="E782" s="185" t="s">
        <v>1624</v>
      </c>
      <c r="F782" s="139" t="s">
        <v>8</v>
      </c>
      <c r="G782" s="139">
        <v>24854</v>
      </c>
      <c r="H782" s="138" t="s">
        <v>199</v>
      </c>
      <c r="I782" s="139" t="s">
        <v>21</v>
      </c>
      <c r="J782" s="139">
        <v>43657</v>
      </c>
      <c r="K782" s="184">
        <v>51</v>
      </c>
      <c r="L782" s="139">
        <v>43769</v>
      </c>
      <c r="M782" s="139"/>
      <c r="N782" s="189">
        <v>0</v>
      </c>
      <c r="O782" s="140">
        <v>2737.34</v>
      </c>
      <c r="Q782" s="35"/>
    </row>
    <row r="783" spans="1:17" s="165" customFormat="1" ht="15" customHeight="1">
      <c r="A783" s="14"/>
      <c r="B783" s="38"/>
      <c r="C783" s="30" t="s">
        <v>39</v>
      </c>
      <c r="D783" s="138" t="s">
        <v>909</v>
      </c>
      <c r="E783" s="185" t="s">
        <v>1625</v>
      </c>
      <c r="F783" s="139" t="s">
        <v>8</v>
      </c>
      <c r="G783" s="139">
        <v>29666</v>
      </c>
      <c r="H783" s="138" t="s">
        <v>199</v>
      </c>
      <c r="I783" s="139" t="s">
        <v>21</v>
      </c>
      <c r="J783" s="139">
        <v>43727</v>
      </c>
      <c r="K783" s="184">
        <v>38</v>
      </c>
      <c r="L783" s="139"/>
      <c r="M783" s="139">
        <v>43812</v>
      </c>
      <c r="N783" s="189">
        <v>85</v>
      </c>
      <c r="O783" s="140">
        <v>0</v>
      </c>
      <c r="Q783" s="35"/>
    </row>
    <row r="784" spans="1:17" s="165" customFormat="1" ht="15" customHeight="1">
      <c r="A784" s="14"/>
      <c r="B784" s="38"/>
      <c r="C784" s="30" t="s">
        <v>39</v>
      </c>
      <c r="D784" s="138" t="s">
        <v>910</v>
      </c>
      <c r="E784" s="185" t="s">
        <v>1626</v>
      </c>
      <c r="F784" s="139" t="s">
        <v>8</v>
      </c>
      <c r="G784" s="139">
        <v>25151</v>
      </c>
      <c r="H784" s="138" t="s">
        <v>199</v>
      </c>
      <c r="I784" s="139" t="s">
        <v>21</v>
      </c>
      <c r="J784" s="139">
        <v>43754</v>
      </c>
      <c r="K784" s="184">
        <v>51</v>
      </c>
      <c r="L784" s="139"/>
      <c r="M784" s="139">
        <v>43817</v>
      </c>
      <c r="N784" s="189">
        <v>63</v>
      </c>
      <c r="O784" s="140">
        <v>0</v>
      </c>
      <c r="Q784" s="35"/>
    </row>
    <row r="785" spans="1:17" s="165" customFormat="1" ht="15" customHeight="1">
      <c r="A785" s="14"/>
      <c r="B785" s="38"/>
      <c r="C785" s="30" t="s">
        <v>39</v>
      </c>
      <c r="D785" s="138" t="s">
        <v>911</v>
      </c>
      <c r="E785" s="185" t="s">
        <v>1627</v>
      </c>
      <c r="F785" s="139" t="s">
        <v>8</v>
      </c>
      <c r="G785" s="139">
        <v>34466</v>
      </c>
      <c r="H785" s="138" t="s">
        <v>199</v>
      </c>
      <c r="I785" s="139" t="s">
        <v>21</v>
      </c>
      <c r="J785" s="139">
        <v>43782</v>
      </c>
      <c r="K785" s="184">
        <v>25</v>
      </c>
      <c r="L785" s="139"/>
      <c r="M785" s="139">
        <v>43913</v>
      </c>
      <c r="N785" s="189">
        <v>131</v>
      </c>
      <c r="O785" s="140">
        <v>0</v>
      </c>
      <c r="Q785" s="35"/>
    </row>
    <row r="786" spans="1:17" s="165" customFormat="1" ht="15" customHeight="1">
      <c r="A786" s="14"/>
      <c r="B786" s="38"/>
      <c r="C786" s="30" t="s">
        <v>39</v>
      </c>
      <c r="D786" s="138" t="s">
        <v>912</v>
      </c>
      <c r="E786" s="185" t="s">
        <v>1628</v>
      </c>
      <c r="F786" s="139" t="s">
        <v>8</v>
      </c>
      <c r="G786" s="139">
        <v>26433</v>
      </c>
      <c r="H786" s="138" t="s">
        <v>199</v>
      </c>
      <c r="I786" s="139" t="s">
        <v>21</v>
      </c>
      <c r="J786" s="139">
        <v>43756</v>
      </c>
      <c r="K786" s="184">
        <v>47</v>
      </c>
      <c r="L786" s="139"/>
      <c r="M786" s="139"/>
      <c r="N786" s="189">
        <v>0</v>
      </c>
      <c r="O786" s="140">
        <v>0</v>
      </c>
      <c r="Q786" s="35"/>
    </row>
    <row r="787" spans="1:17" s="165" customFormat="1" ht="15" customHeight="1">
      <c r="A787" s="14"/>
      <c r="B787" s="38"/>
      <c r="C787" s="30" t="s">
        <v>39</v>
      </c>
      <c r="D787" s="138" t="s">
        <v>913</v>
      </c>
      <c r="E787" s="185" t="s">
        <v>1629</v>
      </c>
      <c r="F787" s="139" t="s">
        <v>8</v>
      </c>
      <c r="G787" s="139">
        <v>33083</v>
      </c>
      <c r="H787" s="138" t="s">
        <v>199</v>
      </c>
      <c r="I787" s="139" t="s">
        <v>21</v>
      </c>
      <c r="J787" s="139">
        <v>43714</v>
      </c>
      <c r="K787" s="184">
        <v>29</v>
      </c>
      <c r="L787" s="139">
        <v>43763</v>
      </c>
      <c r="M787" s="139">
        <v>43863</v>
      </c>
      <c r="N787" s="189">
        <v>149</v>
      </c>
      <c r="O787" s="140">
        <v>886</v>
      </c>
      <c r="Q787" s="35"/>
    </row>
    <row r="788" spans="1:17" s="165" customFormat="1" ht="15" customHeight="1">
      <c r="A788" s="14"/>
      <c r="B788" s="38"/>
      <c r="C788" s="30" t="s">
        <v>39</v>
      </c>
      <c r="D788" s="138" t="s">
        <v>96</v>
      </c>
      <c r="E788" s="185" t="s">
        <v>1630</v>
      </c>
      <c r="F788" s="139" t="s">
        <v>8</v>
      </c>
      <c r="G788" s="139">
        <v>30366</v>
      </c>
      <c r="H788" s="138" t="s">
        <v>199</v>
      </c>
      <c r="I788" s="139" t="s">
        <v>21</v>
      </c>
      <c r="J788" s="139">
        <v>43508</v>
      </c>
      <c r="K788" s="184">
        <v>36</v>
      </c>
      <c r="L788" s="139">
        <v>43775</v>
      </c>
      <c r="M788" s="139"/>
      <c r="N788" s="189">
        <v>0</v>
      </c>
      <c r="O788" s="140">
        <v>3619.98</v>
      </c>
      <c r="Q788" s="35"/>
    </row>
    <row r="789" spans="1:17" s="165" customFormat="1" ht="15" customHeight="1">
      <c r="A789" s="14"/>
      <c r="B789" s="38"/>
      <c r="C789" s="30" t="s">
        <v>39</v>
      </c>
      <c r="D789" s="138" t="s">
        <v>914</v>
      </c>
      <c r="E789" s="185" t="s">
        <v>1631</v>
      </c>
      <c r="F789" s="139" t="s">
        <v>8</v>
      </c>
      <c r="G789" s="139">
        <v>32000</v>
      </c>
      <c r="H789" s="138" t="s">
        <v>200</v>
      </c>
      <c r="I789" s="139" t="s">
        <v>21</v>
      </c>
      <c r="J789" s="139">
        <v>43760</v>
      </c>
      <c r="K789" s="184">
        <v>32</v>
      </c>
      <c r="L789" s="139"/>
      <c r="M789" s="139">
        <v>43815</v>
      </c>
      <c r="N789" s="189">
        <v>55</v>
      </c>
      <c r="O789" s="140">
        <v>0</v>
      </c>
      <c r="Q789" s="35"/>
    </row>
    <row r="790" spans="1:17" s="165" customFormat="1" ht="15" customHeight="1">
      <c r="A790" s="14"/>
      <c r="B790" s="38"/>
      <c r="C790" s="30" t="s">
        <v>39</v>
      </c>
      <c r="D790" s="138" t="s">
        <v>915</v>
      </c>
      <c r="E790" s="185" t="s">
        <v>1632</v>
      </c>
      <c r="F790" s="139" t="s">
        <v>8</v>
      </c>
      <c r="G790" s="139">
        <v>30629</v>
      </c>
      <c r="H790" s="138" t="s">
        <v>200</v>
      </c>
      <c r="I790" s="139" t="s">
        <v>21</v>
      </c>
      <c r="J790" s="139">
        <v>43801</v>
      </c>
      <c r="K790" s="184">
        <v>36</v>
      </c>
      <c r="L790" s="139"/>
      <c r="M790" s="139">
        <v>43835</v>
      </c>
      <c r="N790" s="189">
        <v>34</v>
      </c>
      <c r="O790" s="140">
        <v>0</v>
      </c>
      <c r="Q790" s="35"/>
    </row>
    <row r="791" spans="1:17" s="165" customFormat="1" ht="15" customHeight="1">
      <c r="A791" s="14"/>
      <c r="B791" s="38"/>
      <c r="C791" s="30" t="s">
        <v>39</v>
      </c>
      <c r="D791" s="138" t="s">
        <v>916</v>
      </c>
      <c r="E791" s="185" t="s">
        <v>1633</v>
      </c>
      <c r="F791" s="139" t="s">
        <v>8</v>
      </c>
      <c r="G791" s="139">
        <v>27181</v>
      </c>
      <c r="H791" s="138" t="s">
        <v>199</v>
      </c>
      <c r="I791" s="139" t="s">
        <v>21</v>
      </c>
      <c r="J791" s="139">
        <v>43818</v>
      </c>
      <c r="K791" s="184">
        <v>45</v>
      </c>
      <c r="L791" s="139"/>
      <c r="M791" s="139">
        <v>43951</v>
      </c>
      <c r="N791" s="189">
        <v>133</v>
      </c>
      <c r="O791" s="140">
        <v>0</v>
      </c>
      <c r="Q791" s="35"/>
    </row>
    <row r="792" spans="1:17" s="165" customFormat="1" ht="15" customHeight="1">
      <c r="A792" s="14"/>
      <c r="B792" s="38"/>
      <c r="C792" s="30" t="s">
        <v>39</v>
      </c>
      <c r="D792" s="138" t="s">
        <v>917</v>
      </c>
      <c r="E792" s="185" t="s">
        <v>1634</v>
      </c>
      <c r="F792" s="139" t="s">
        <v>8</v>
      </c>
      <c r="G792" s="139">
        <v>29228</v>
      </c>
      <c r="H792" s="138" t="s">
        <v>199</v>
      </c>
      <c r="I792" s="139" t="s">
        <v>21</v>
      </c>
      <c r="J792" s="139">
        <v>43727</v>
      </c>
      <c r="K792" s="184">
        <v>39</v>
      </c>
      <c r="L792" s="139"/>
      <c r="M792" s="139">
        <v>43760</v>
      </c>
      <c r="N792" s="189">
        <v>33</v>
      </c>
      <c r="O792" s="140">
        <v>0</v>
      </c>
      <c r="Q792" s="35"/>
    </row>
    <row r="793" spans="1:17" s="165" customFormat="1" ht="15" customHeight="1">
      <c r="A793" s="14"/>
      <c r="B793" s="38"/>
      <c r="C793" s="30" t="s">
        <v>39</v>
      </c>
      <c r="D793" s="138" t="s">
        <v>918</v>
      </c>
      <c r="E793" s="185" t="s">
        <v>1635</v>
      </c>
      <c r="F793" s="139" t="s">
        <v>8</v>
      </c>
      <c r="G793" s="139">
        <v>30286</v>
      </c>
      <c r="H793" s="138" t="s">
        <v>199</v>
      </c>
      <c r="I793" s="139" t="s">
        <v>21</v>
      </c>
      <c r="J793" s="139">
        <v>43500</v>
      </c>
      <c r="K793" s="184">
        <v>37</v>
      </c>
      <c r="L793" s="139">
        <v>43668</v>
      </c>
      <c r="M793" s="139">
        <v>43595</v>
      </c>
      <c r="N793" s="189">
        <v>95</v>
      </c>
      <c r="O793" s="140">
        <v>2327.8000000000002</v>
      </c>
      <c r="Q793" s="35"/>
    </row>
    <row r="794" spans="1:17" s="165" customFormat="1" ht="15" customHeight="1">
      <c r="A794" s="14"/>
      <c r="B794" s="38"/>
      <c r="C794" s="30" t="s">
        <v>39</v>
      </c>
      <c r="D794" s="138" t="s">
        <v>918</v>
      </c>
      <c r="E794" s="185" t="s">
        <v>1635</v>
      </c>
      <c r="F794" s="139" t="s">
        <v>8</v>
      </c>
      <c r="G794" s="139">
        <v>30286</v>
      </c>
      <c r="H794" s="138" t="s">
        <v>199</v>
      </c>
      <c r="I794" s="139" t="s">
        <v>21</v>
      </c>
      <c r="J794" s="139">
        <v>43596</v>
      </c>
      <c r="K794" s="184">
        <v>37</v>
      </c>
      <c r="L794" s="139">
        <v>43668</v>
      </c>
      <c r="M794" s="139">
        <v>43668</v>
      </c>
      <c r="N794" s="189">
        <v>72</v>
      </c>
      <c r="O794" s="140">
        <v>2327.8000000000002</v>
      </c>
      <c r="Q794" s="35"/>
    </row>
    <row r="795" spans="1:17" s="165" customFormat="1" ht="15" customHeight="1">
      <c r="A795" s="14"/>
      <c r="B795" s="38"/>
      <c r="C795" s="30" t="s">
        <v>39</v>
      </c>
      <c r="D795" s="138" t="s">
        <v>919</v>
      </c>
      <c r="E795" s="185" t="s">
        <v>1636</v>
      </c>
      <c r="F795" s="139" t="s">
        <v>8</v>
      </c>
      <c r="G795" s="139">
        <v>33649</v>
      </c>
      <c r="H795" s="138" t="s">
        <v>199</v>
      </c>
      <c r="I795" s="139" t="s">
        <v>21</v>
      </c>
      <c r="J795" s="139">
        <v>43602</v>
      </c>
      <c r="K795" s="184">
        <v>27</v>
      </c>
      <c r="L795" s="139">
        <v>43718</v>
      </c>
      <c r="M795" s="139">
        <v>43758</v>
      </c>
      <c r="N795" s="189">
        <v>156</v>
      </c>
      <c r="O795" s="140">
        <v>1700.85</v>
      </c>
      <c r="Q795" s="35"/>
    </row>
    <row r="796" spans="1:17" s="165" customFormat="1" ht="15" customHeight="1">
      <c r="A796" s="14"/>
      <c r="B796" s="38"/>
      <c r="C796" s="30" t="s">
        <v>39</v>
      </c>
      <c r="D796" s="138" t="s">
        <v>920</v>
      </c>
      <c r="E796" s="185" t="s">
        <v>1637</v>
      </c>
      <c r="F796" s="139" t="s">
        <v>8</v>
      </c>
      <c r="G796" s="139">
        <v>24929</v>
      </c>
      <c r="H796" s="138" t="s">
        <v>199</v>
      </c>
      <c r="I796" s="139" t="s">
        <v>21</v>
      </c>
      <c r="J796" s="139">
        <v>43772</v>
      </c>
      <c r="K796" s="184">
        <v>51</v>
      </c>
      <c r="L796" s="139"/>
      <c r="M796" s="139">
        <v>43951</v>
      </c>
      <c r="N796" s="189">
        <v>179</v>
      </c>
      <c r="O796" s="140">
        <v>0</v>
      </c>
      <c r="Q796" s="35"/>
    </row>
    <row r="797" spans="1:17" s="165" customFormat="1" ht="15" customHeight="1">
      <c r="A797" s="14"/>
      <c r="B797" s="38"/>
      <c r="C797" s="30" t="s">
        <v>39</v>
      </c>
      <c r="D797" s="138" t="s">
        <v>921</v>
      </c>
      <c r="E797" s="185" t="s">
        <v>1638</v>
      </c>
      <c r="F797" s="139" t="s">
        <v>8</v>
      </c>
      <c r="G797" s="139">
        <v>26275</v>
      </c>
      <c r="H797" s="138" t="s">
        <v>199</v>
      </c>
      <c r="I797" s="139" t="s">
        <v>21</v>
      </c>
      <c r="J797" s="139">
        <v>43643</v>
      </c>
      <c r="K797" s="184">
        <v>48</v>
      </c>
      <c r="L797" s="139">
        <v>43709</v>
      </c>
      <c r="M797" s="139">
        <v>43709</v>
      </c>
      <c r="N797" s="189">
        <v>66</v>
      </c>
      <c r="O797" s="140">
        <v>663.04</v>
      </c>
      <c r="Q797" s="35"/>
    </row>
    <row r="798" spans="1:17" s="165" customFormat="1" ht="15" customHeight="1">
      <c r="A798" s="14"/>
      <c r="B798" s="38"/>
      <c r="C798" s="30" t="s">
        <v>39</v>
      </c>
      <c r="D798" s="138" t="s">
        <v>922</v>
      </c>
      <c r="E798" s="185" t="s">
        <v>1639</v>
      </c>
      <c r="F798" s="139" t="s">
        <v>10</v>
      </c>
      <c r="G798" s="139">
        <v>34839</v>
      </c>
      <c r="H798" s="138" t="s">
        <v>199</v>
      </c>
      <c r="I798" s="139" t="s">
        <v>21</v>
      </c>
      <c r="J798" s="139">
        <v>43592</v>
      </c>
      <c r="K798" s="184">
        <v>24</v>
      </c>
      <c r="L798" s="139">
        <v>43706</v>
      </c>
      <c r="M798" s="139">
        <v>43706</v>
      </c>
      <c r="N798" s="189">
        <v>114</v>
      </c>
      <c r="O798" s="140">
        <v>1337.9</v>
      </c>
      <c r="Q798" s="35"/>
    </row>
    <row r="799" spans="1:17" s="165" customFormat="1" ht="15" customHeight="1">
      <c r="A799" s="14"/>
      <c r="B799" s="38"/>
      <c r="C799" s="30" t="s">
        <v>39</v>
      </c>
      <c r="D799" s="138" t="s">
        <v>923</v>
      </c>
      <c r="E799" s="185" t="s">
        <v>1640</v>
      </c>
      <c r="F799" s="139" t="s">
        <v>8</v>
      </c>
      <c r="G799" s="139">
        <v>29982</v>
      </c>
      <c r="H799" s="138" t="s">
        <v>199</v>
      </c>
      <c r="I799" s="139" t="s">
        <v>21</v>
      </c>
      <c r="J799" s="139">
        <v>43641</v>
      </c>
      <c r="K799" s="184">
        <v>37</v>
      </c>
      <c r="L799" s="139"/>
      <c r="M799" s="139">
        <v>43677</v>
      </c>
      <c r="N799" s="189">
        <v>36</v>
      </c>
      <c r="O799" s="140">
        <v>0</v>
      </c>
      <c r="Q799" s="35"/>
    </row>
    <row r="800" spans="1:17" s="165" customFormat="1" ht="15" customHeight="1">
      <c r="A800" s="14"/>
      <c r="B800" s="38"/>
      <c r="C800" s="30" t="s">
        <v>39</v>
      </c>
      <c r="D800" s="138" t="s">
        <v>923</v>
      </c>
      <c r="E800" s="185" t="s">
        <v>1640</v>
      </c>
      <c r="F800" s="139" t="s">
        <v>8</v>
      </c>
      <c r="G800" s="139">
        <v>29982</v>
      </c>
      <c r="H800" s="138" t="s">
        <v>199</v>
      </c>
      <c r="I800" s="139" t="s">
        <v>21</v>
      </c>
      <c r="J800" s="139">
        <v>43803</v>
      </c>
      <c r="K800" s="184">
        <v>37</v>
      </c>
      <c r="L800" s="139"/>
      <c r="M800" s="139">
        <v>44091</v>
      </c>
      <c r="N800" s="189">
        <v>288</v>
      </c>
      <c r="O800" s="140">
        <v>0</v>
      </c>
      <c r="Q800" s="35"/>
    </row>
    <row r="801" spans="1:17" s="165" customFormat="1" ht="15" customHeight="1">
      <c r="A801" s="14"/>
      <c r="B801" s="38"/>
      <c r="C801" s="30" t="s">
        <v>39</v>
      </c>
      <c r="D801" s="138" t="s">
        <v>924</v>
      </c>
      <c r="E801" s="185" t="s">
        <v>1641</v>
      </c>
      <c r="F801" s="139" t="s">
        <v>10</v>
      </c>
      <c r="G801" s="139">
        <v>34408</v>
      </c>
      <c r="H801" s="138" t="s">
        <v>199</v>
      </c>
      <c r="I801" s="139" t="s">
        <v>21</v>
      </c>
      <c r="J801" s="139">
        <v>43775</v>
      </c>
      <c r="K801" s="184">
        <v>25</v>
      </c>
      <c r="L801" s="139"/>
      <c r="M801" s="139">
        <v>43805</v>
      </c>
      <c r="N801" s="189">
        <v>30</v>
      </c>
      <c r="O801" s="140">
        <v>0</v>
      </c>
      <c r="Q801" s="35"/>
    </row>
    <row r="802" spans="1:17" s="165" customFormat="1" ht="15" customHeight="1">
      <c r="A802" s="14"/>
      <c r="B802" s="38"/>
      <c r="C802" s="30" t="s">
        <v>39</v>
      </c>
      <c r="D802" s="138" t="s">
        <v>925</v>
      </c>
      <c r="E802" s="185" t="s">
        <v>1642</v>
      </c>
      <c r="F802" s="139" t="s">
        <v>8</v>
      </c>
      <c r="G802" s="139">
        <v>29434</v>
      </c>
      <c r="H802" s="138" t="s">
        <v>199</v>
      </c>
      <c r="I802" s="139" t="s">
        <v>21</v>
      </c>
      <c r="J802" s="139">
        <v>43539</v>
      </c>
      <c r="K802" s="184">
        <v>39</v>
      </c>
      <c r="L802" s="139">
        <v>43679</v>
      </c>
      <c r="M802" s="139">
        <v>43698</v>
      </c>
      <c r="N802" s="189">
        <v>159</v>
      </c>
      <c r="O802" s="140">
        <v>1142.19</v>
      </c>
      <c r="Q802" s="35"/>
    </row>
    <row r="803" spans="1:17" s="165" customFormat="1" ht="15" customHeight="1">
      <c r="A803" s="14"/>
      <c r="B803" s="38"/>
      <c r="C803" s="30" t="s">
        <v>39</v>
      </c>
      <c r="D803" s="138" t="s">
        <v>926</v>
      </c>
      <c r="E803" s="185" t="s">
        <v>1643</v>
      </c>
      <c r="F803" s="139" t="s">
        <v>8</v>
      </c>
      <c r="G803" s="139">
        <v>25927</v>
      </c>
      <c r="H803" s="138" t="s">
        <v>199</v>
      </c>
      <c r="I803" s="139" t="s">
        <v>21</v>
      </c>
      <c r="J803" s="139">
        <v>43807</v>
      </c>
      <c r="K803" s="184">
        <v>49</v>
      </c>
      <c r="L803" s="139"/>
      <c r="M803" s="139">
        <v>43859</v>
      </c>
      <c r="N803" s="189">
        <v>52</v>
      </c>
      <c r="O803" s="140">
        <v>0</v>
      </c>
      <c r="Q803" s="35"/>
    </row>
    <row r="804" spans="1:17" s="165" customFormat="1" ht="15" customHeight="1">
      <c r="A804" s="14"/>
      <c r="B804" s="38"/>
      <c r="C804" s="30" t="s">
        <v>39</v>
      </c>
      <c r="D804" s="138" t="s">
        <v>927</v>
      </c>
      <c r="E804" s="185" t="s">
        <v>1644</v>
      </c>
      <c r="F804" s="139" t="s">
        <v>8</v>
      </c>
      <c r="G804" s="139">
        <v>34532</v>
      </c>
      <c r="H804" s="138" t="s">
        <v>199</v>
      </c>
      <c r="I804" s="139" t="s">
        <v>21</v>
      </c>
      <c r="J804" s="139">
        <v>43651</v>
      </c>
      <c r="K804" s="184">
        <v>25</v>
      </c>
      <c r="L804" s="139"/>
      <c r="M804" s="139">
        <v>43738</v>
      </c>
      <c r="N804" s="189">
        <v>87</v>
      </c>
      <c r="O804" s="140">
        <v>0</v>
      </c>
      <c r="Q804" s="35"/>
    </row>
    <row r="805" spans="1:17" s="165" customFormat="1" ht="15" customHeight="1">
      <c r="A805" s="14"/>
      <c r="B805" s="38"/>
      <c r="C805" s="30" t="s">
        <v>39</v>
      </c>
      <c r="D805" s="138" t="s">
        <v>928</v>
      </c>
      <c r="E805" s="185" t="s">
        <v>1645</v>
      </c>
      <c r="F805" s="139" t="s">
        <v>8</v>
      </c>
      <c r="G805" s="139">
        <v>28672</v>
      </c>
      <c r="H805" s="138" t="s">
        <v>199</v>
      </c>
      <c r="I805" s="139" t="s">
        <v>21</v>
      </c>
      <c r="J805" s="139">
        <v>43477</v>
      </c>
      <c r="K805" s="184">
        <v>41</v>
      </c>
      <c r="L805" s="139">
        <v>43635</v>
      </c>
      <c r="M805" s="139">
        <v>43635</v>
      </c>
      <c r="N805" s="189">
        <v>158</v>
      </c>
      <c r="O805" s="140">
        <v>821.73</v>
      </c>
      <c r="Q805" s="35"/>
    </row>
    <row r="806" spans="1:17" s="165" customFormat="1" ht="15" customHeight="1">
      <c r="A806" s="14"/>
      <c r="B806" s="38"/>
      <c r="C806" s="30" t="s">
        <v>39</v>
      </c>
      <c r="D806" s="138" t="s">
        <v>929</v>
      </c>
      <c r="E806" s="185" t="s">
        <v>1646</v>
      </c>
      <c r="F806" s="139" t="s">
        <v>8</v>
      </c>
      <c r="G806" s="139">
        <v>35193</v>
      </c>
      <c r="H806" s="138" t="s">
        <v>199</v>
      </c>
      <c r="I806" s="139" t="s">
        <v>21</v>
      </c>
      <c r="J806" s="139">
        <v>43784</v>
      </c>
      <c r="K806" s="184">
        <v>23</v>
      </c>
      <c r="L806" s="139"/>
      <c r="M806" s="139">
        <v>43872</v>
      </c>
      <c r="N806" s="189">
        <v>88</v>
      </c>
      <c r="O806" s="140">
        <v>0</v>
      </c>
      <c r="Q806" s="35"/>
    </row>
    <row r="807" spans="1:17" s="165" customFormat="1" ht="15" customHeight="1">
      <c r="A807" s="14"/>
      <c r="B807" s="38"/>
      <c r="C807" s="30" t="s">
        <v>39</v>
      </c>
      <c r="D807" s="138" t="s">
        <v>930</v>
      </c>
      <c r="E807" s="185" t="s">
        <v>1647</v>
      </c>
      <c r="F807" s="139" t="s">
        <v>8</v>
      </c>
      <c r="G807" s="139">
        <v>29584</v>
      </c>
      <c r="H807" s="138" t="s">
        <v>199</v>
      </c>
      <c r="I807" s="139" t="s">
        <v>21</v>
      </c>
      <c r="J807" s="139">
        <v>43754</v>
      </c>
      <c r="K807" s="184">
        <v>39</v>
      </c>
      <c r="L807" s="139"/>
      <c r="M807" s="139">
        <v>43829</v>
      </c>
      <c r="N807" s="189">
        <v>75</v>
      </c>
      <c r="O807" s="140">
        <v>0</v>
      </c>
      <c r="Q807" s="35"/>
    </row>
    <row r="808" spans="1:17" s="165" customFormat="1" ht="15" customHeight="1">
      <c r="A808" s="14"/>
      <c r="B808" s="38"/>
      <c r="C808" s="30" t="s">
        <v>39</v>
      </c>
      <c r="D808" s="138" t="s">
        <v>931</v>
      </c>
      <c r="E808" s="185" t="s">
        <v>1648</v>
      </c>
      <c r="F808" s="139" t="s">
        <v>8</v>
      </c>
      <c r="G808" s="139">
        <v>33159</v>
      </c>
      <c r="H808" s="138" t="s">
        <v>199</v>
      </c>
      <c r="I808" s="139" t="s">
        <v>21</v>
      </c>
      <c r="J808" s="139">
        <v>43775</v>
      </c>
      <c r="K808" s="184">
        <v>29</v>
      </c>
      <c r="L808" s="139"/>
      <c r="M808" s="139">
        <v>43863</v>
      </c>
      <c r="N808" s="189">
        <v>88</v>
      </c>
      <c r="O808" s="140">
        <v>0</v>
      </c>
      <c r="Q808" s="35"/>
    </row>
    <row r="809" spans="1:17" s="165" customFormat="1" ht="15" customHeight="1">
      <c r="A809" s="14"/>
      <c r="B809" s="38"/>
      <c r="C809" s="30" t="s">
        <v>39</v>
      </c>
      <c r="D809" s="138" t="s">
        <v>932</v>
      </c>
      <c r="E809" s="185" t="s">
        <v>1649</v>
      </c>
      <c r="F809" s="139" t="s">
        <v>8</v>
      </c>
      <c r="G809" s="139">
        <v>22493</v>
      </c>
      <c r="H809" s="138" t="s">
        <v>199</v>
      </c>
      <c r="I809" s="139" t="s">
        <v>21</v>
      </c>
      <c r="J809" s="139">
        <v>43826</v>
      </c>
      <c r="K809" s="184">
        <v>58</v>
      </c>
      <c r="L809" s="139"/>
      <c r="M809" s="139">
        <v>43868</v>
      </c>
      <c r="N809" s="189">
        <v>42</v>
      </c>
      <c r="O809" s="140">
        <v>0</v>
      </c>
      <c r="Q809" s="35"/>
    </row>
    <row r="810" spans="1:17" s="165" customFormat="1" ht="15" customHeight="1">
      <c r="A810" s="14"/>
      <c r="B810" s="38"/>
      <c r="C810" s="30" t="s">
        <v>39</v>
      </c>
      <c r="D810" s="138" t="s">
        <v>933</v>
      </c>
      <c r="E810" s="185" t="s">
        <v>1650</v>
      </c>
      <c r="F810" s="139" t="s">
        <v>8</v>
      </c>
      <c r="G810" s="139">
        <v>27482</v>
      </c>
      <c r="H810" s="138" t="s">
        <v>199</v>
      </c>
      <c r="I810" s="139" t="s">
        <v>21</v>
      </c>
      <c r="J810" s="139">
        <v>43774</v>
      </c>
      <c r="K810" s="184">
        <v>44</v>
      </c>
      <c r="L810" s="139"/>
      <c r="M810" s="139">
        <v>43848</v>
      </c>
      <c r="N810" s="189">
        <v>74</v>
      </c>
      <c r="O810" s="140">
        <v>0</v>
      </c>
      <c r="Q810" s="35"/>
    </row>
    <row r="811" spans="1:17" s="165" customFormat="1" ht="15" customHeight="1">
      <c r="A811" s="14"/>
      <c r="B811" s="38"/>
      <c r="D811" s="136"/>
      <c r="E811" s="186"/>
      <c r="F811" s="182"/>
      <c r="G811" s="182"/>
      <c r="H811" s="136"/>
      <c r="I811" s="182"/>
      <c r="J811" s="182"/>
      <c r="K811" s="187"/>
      <c r="L811" s="182"/>
      <c r="M811" s="182"/>
      <c r="N811" s="190"/>
      <c r="O811" s="183"/>
      <c r="Q811" s="35"/>
    </row>
    <row r="812" spans="1:17" s="165" customFormat="1" ht="15" customHeight="1">
      <c r="A812" s="14"/>
      <c r="B812" s="38"/>
      <c r="D812" s="136"/>
      <c r="E812" s="186"/>
      <c r="F812" s="182"/>
      <c r="G812" s="182"/>
      <c r="H812" s="136"/>
      <c r="I812" s="182"/>
      <c r="J812" s="182"/>
      <c r="K812" s="187"/>
      <c r="L812" s="182"/>
      <c r="M812" s="182"/>
      <c r="N812" s="190"/>
      <c r="O812" s="183"/>
      <c r="Q812" s="35"/>
    </row>
    <row r="813" spans="1:17" s="165" customFormat="1" ht="15" customHeight="1">
      <c r="A813" s="14"/>
      <c r="B813" s="38"/>
      <c r="D813" s="136"/>
      <c r="E813" s="186"/>
      <c r="F813" s="182"/>
      <c r="G813" s="182"/>
      <c r="H813" s="136"/>
      <c r="I813" s="182"/>
      <c r="J813" s="182"/>
      <c r="K813" s="187"/>
      <c r="L813" s="182"/>
      <c r="M813" s="182"/>
      <c r="N813" s="190"/>
      <c r="O813" s="183"/>
      <c r="Q813" s="35"/>
    </row>
    <row r="814" spans="1:17" s="165" customFormat="1" ht="15" customHeight="1">
      <c r="A814" s="14"/>
      <c r="B814" s="38"/>
      <c r="D814" s="136"/>
      <c r="E814" s="186"/>
      <c r="F814" s="182"/>
      <c r="G814" s="182"/>
      <c r="H814" s="136"/>
      <c r="I814" s="182"/>
      <c r="J814" s="182"/>
      <c r="K814" s="187"/>
      <c r="L814" s="182"/>
      <c r="M814" s="182"/>
      <c r="N814" s="190"/>
      <c r="O814" s="183"/>
      <c r="Q814" s="35"/>
    </row>
    <row r="815" spans="1:17">
      <c r="B815" s="38"/>
      <c r="Q815" s="35"/>
    </row>
    <row r="816" spans="1:17">
      <c r="A816" s="180"/>
      <c r="B816" s="181"/>
      <c r="D816" s="179"/>
      <c r="P816" s="46"/>
      <c r="Q816" s="60"/>
    </row>
    <row r="817" spans="1:21" s="165" customFormat="1" ht="15" customHeight="1">
      <c r="A817" s="14"/>
      <c r="C817" s="57"/>
      <c r="D817" s="135"/>
      <c r="E817" s="135"/>
      <c r="F817" s="135"/>
      <c r="G817" s="135"/>
      <c r="H817" s="135"/>
      <c r="I817" s="135"/>
      <c r="J817" s="135"/>
      <c r="K817" s="135"/>
      <c r="L817" s="135"/>
      <c r="M817" s="135"/>
      <c r="N817" s="135"/>
      <c r="O817" s="135"/>
      <c r="P817" s="57"/>
      <c r="Q817" s="57"/>
      <c r="U817" s="29"/>
    </row>
    <row r="818" spans="1:21">
      <c r="D818" s="165"/>
      <c r="E818" s="165"/>
      <c r="F818" s="165"/>
      <c r="G818" s="165"/>
      <c r="H818" s="165"/>
      <c r="I818" s="165"/>
      <c r="J818" s="165"/>
      <c r="K818" s="165"/>
      <c r="L818" s="165"/>
      <c r="M818" s="165"/>
      <c r="N818" s="165"/>
      <c r="O818" s="165"/>
    </row>
  </sheetData>
  <pageMargins left="0.70866141732283472" right="0.70866141732283472" top="0.74803149606299213" bottom="0.74803149606299213" header="0.31496062992125984" footer="0.31496062992125984"/>
  <pageSetup paperSize="9" scale="40" fitToHeight="100" orientation="portrait" r:id="rId1"/>
  <headerFooter>
    <oddFooter>&amp;C&amp;F   &amp;A  &amp;P/&amp;N   &amp;D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  <pageSetUpPr fitToPage="1"/>
  </sheetPr>
  <dimension ref="A1:U47"/>
  <sheetViews>
    <sheetView showGridLines="0" zoomScale="70" zoomScaleNormal="70" workbookViewId="0">
      <selection activeCell="B2" sqref="B2"/>
    </sheetView>
  </sheetViews>
  <sheetFormatPr defaultColWidth="11.42578125" defaultRowHeight="15"/>
  <cols>
    <col min="1" max="1" width="2.85546875" style="14" customWidth="1"/>
    <col min="2" max="2" width="4.28515625" style="78" customWidth="1"/>
    <col min="3" max="3" width="28.7109375" style="78" customWidth="1"/>
    <col min="4" max="9" width="11.42578125" style="78" customWidth="1"/>
    <col min="10" max="10" width="20" style="78" customWidth="1"/>
    <col min="11" max="11" width="34.28515625" style="78" customWidth="1"/>
    <col min="12" max="15" width="11.42578125" style="78" customWidth="1"/>
    <col min="16" max="16" width="2.5703125" style="78" customWidth="1"/>
    <col min="17" max="17" width="4.140625" style="78" customWidth="1"/>
    <col min="18" max="18" width="2.85546875" style="78" customWidth="1"/>
    <col min="19" max="20" width="11.42578125" style="78" customWidth="1"/>
    <col min="21" max="21" width="19.7109375" style="78" bestFit="1" customWidth="1"/>
    <col min="22" max="25" width="11.42578125" style="78" customWidth="1"/>
    <col min="26" max="16384" width="11.42578125" style="78"/>
  </cols>
  <sheetData>
    <row r="1" spans="2:21" ht="15" customHeight="1"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2:21" ht="15" customHeight="1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  <c r="U2" s="29"/>
    </row>
    <row r="3" spans="2:21" ht="15" customHeight="1">
      <c r="B3" s="38"/>
      <c r="Q3" s="35"/>
    </row>
    <row r="4" spans="2:21" ht="15" customHeight="1">
      <c r="B4" s="38"/>
      <c r="Q4" s="35"/>
    </row>
    <row r="5" spans="2:21" ht="15" customHeight="1">
      <c r="B5" s="38"/>
      <c r="Q5" s="35"/>
    </row>
    <row r="6" spans="2:21" ht="15" customHeight="1">
      <c r="B6" s="38"/>
      <c r="Q6" s="35"/>
    </row>
    <row r="7" spans="2:21" ht="15" customHeight="1">
      <c r="B7" s="38"/>
      <c r="Q7" s="35"/>
    </row>
    <row r="8" spans="2:21" ht="30">
      <c r="B8" s="38"/>
      <c r="C8" s="101" t="str">
        <f>'Page de garde'!J13&amp;" : Statistiques DES INVALIDITES au "&amp;'Page de garde'!J23</f>
        <v>PREVOYANCE_ : Statistiques DES INVALIDITES au 31 décembre 2019</v>
      </c>
      <c r="D8" s="102"/>
      <c r="E8" s="102"/>
      <c r="F8" s="102"/>
      <c r="G8" s="102"/>
      <c r="H8" s="102"/>
      <c r="I8" s="102"/>
      <c r="J8" s="102"/>
      <c r="K8" s="102"/>
      <c r="L8" s="102"/>
      <c r="M8" s="103"/>
      <c r="Q8" s="35"/>
    </row>
    <row r="9" spans="2:21" ht="14.25" customHeight="1">
      <c r="B9" s="38"/>
      <c r="Q9" s="35"/>
    </row>
    <row r="10" spans="2:21" ht="15" customHeight="1">
      <c r="B10" s="38"/>
      <c r="Q10" s="35"/>
    </row>
    <row r="11" spans="2:21" ht="15" customHeight="1">
      <c r="B11" s="38"/>
      <c r="C11" s="126" t="s">
        <v>0</v>
      </c>
      <c r="K11" s="127" t="s">
        <v>300</v>
      </c>
      <c r="Q11" s="35"/>
    </row>
    <row r="12" spans="2:21" ht="13.5" customHeight="1">
      <c r="B12" s="38"/>
      <c r="Q12" s="35"/>
    </row>
    <row r="13" spans="2:21" ht="45">
      <c r="B13" s="38"/>
      <c r="C13" s="130" t="s">
        <v>2</v>
      </c>
      <c r="D13" s="130" t="s">
        <v>301</v>
      </c>
      <c r="E13" s="130" t="s">
        <v>302</v>
      </c>
      <c r="F13" s="130" t="s">
        <v>303</v>
      </c>
      <c r="K13" s="130" t="s">
        <v>6</v>
      </c>
      <c r="L13" s="130" t="s">
        <v>3</v>
      </c>
      <c r="M13" s="130" t="s">
        <v>7</v>
      </c>
      <c r="Q13" s="35"/>
    </row>
    <row r="14" spans="2:21" ht="15" customHeight="1">
      <c r="B14" s="38"/>
      <c r="C14" s="147" t="s">
        <v>8</v>
      </c>
      <c r="D14" s="148">
        <v>43</v>
      </c>
      <c r="E14" s="149">
        <v>53.953488372093027</v>
      </c>
      <c r="F14" s="149">
        <v>28.162790697674417</v>
      </c>
      <c r="K14" s="147" t="s">
        <v>9</v>
      </c>
      <c r="L14" s="147">
        <v>0</v>
      </c>
      <c r="M14" s="151">
        <v>0</v>
      </c>
      <c r="Q14" s="35"/>
    </row>
    <row r="15" spans="2:21" ht="15" customHeight="1">
      <c r="B15" s="38"/>
      <c r="C15" s="147" t="s">
        <v>10</v>
      </c>
      <c r="D15" s="148">
        <v>2</v>
      </c>
      <c r="E15" s="149">
        <v>47</v>
      </c>
      <c r="F15" s="149">
        <v>0</v>
      </c>
      <c r="K15" s="147" t="s">
        <v>11</v>
      </c>
      <c r="L15" s="147">
        <v>0</v>
      </c>
      <c r="M15" s="151">
        <v>0</v>
      </c>
      <c r="Q15" s="35"/>
    </row>
    <row r="16" spans="2:21" ht="15" customHeight="1">
      <c r="B16" s="38"/>
      <c r="C16" s="130" t="s">
        <v>12</v>
      </c>
      <c r="D16" s="130">
        <v>45</v>
      </c>
      <c r="E16" s="150">
        <v>53.644444444444446</v>
      </c>
      <c r="F16" s="150">
        <v>26.911111111111111</v>
      </c>
      <c r="K16" s="147" t="s">
        <v>13</v>
      </c>
      <c r="L16" s="147">
        <v>0</v>
      </c>
      <c r="M16" s="151">
        <v>0</v>
      </c>
      <c r="Q16" s="35"/>
    </row>
    <row r="17" spans="2:17" ht="15" customHeight="1">
      <c r="B17" s="38"/>
      <c r="K17" s="147" t="s">
        <v>14</v>
      </c>
      <c r="L17" s="147">
        <v>2</v>
      </c>
      <c r="M17" s="151">
        <v>4.4444444444444446E-2</v>
      </c>
      <c r="Q17" s="35"/>
    </row>
    <row r="18" spans="2:17" ht="15" customHeight="1">
      <c r="B18" s="38"/>
      <c r="K18" s="147" t="s">
        <v>15</v>
      </c>
      <c r="L18" s="147">
        <v>3</v>
      </c>
      <c r="M18" s="151">
        <v>6.6666666666666666E-2</v>
      </c>
      <c r="Q18" s="35"/>
    </row>
    <row r="19" spans="2:17" ht="15" customHeight="1">
      <c r="B19" s="38"/>
      <c r="K19" s="147" t="s">
        <v>16</v>
      </c>
      <c r="L19" s="147">
        <v>6</v>
      </c>
      <c r="M19" s="151">
        <v>0.13333333333333333</v>
      </c>
      <c r="Q19" s="35"/>
    </row>
    <row r="20" spans="2:17" ht="15" customHeight="1">
      <c r="B20" s="38"/>
      <c r="K20" s="147" t="s">
        <v>17</v>
      </c>
      <c r="L20" s="147">
        <v>8</v>
      </c>
      <c r="M20" s="151">
        <v>0.17777777777777778</v>
      </c>
      <c r="Q20" s="35"/>
    </row>
    <row r="21" spans="2:17" ht="15" customHeight="1">
      <c r="B21" s="38"/>
      <c r="K21" s="147" t="s">
        <v>18</v>
      </c>
      <c r="L21" s="147">
        <v>20</v>
      </c>
      <c r="M21" s="151">
        <v>0.44444444444444442</v>
      </c>
      <c r="Q21" s="35"/>
    </row>
    <row r="22" spans="2:17" ht="15" customHeight="1">
      <c r="B22" s="38"/>
      <c r="K22" s="147" t="s">
        <v>19</v>
      </c>
      <c r="L22" s="147">
        <v>6</v>
      </c>
      <c r="M22" s="151">
        <v>0.13333333333333333</v>
      </c>
      <c r="Q22" s="35"/>
    </row>
    <row r="23" spans="2:17" ht="15" customHeight="1">
      <c r="B23" s="38"/>
      <c r="K23" s="130" t="s">
        <v>12</v>
      </c>
      <c r="L23" s="130">
        <v>45</v>
      </c>
      <c r="M23" s="152">
        <v>1</v>
      </c>
      <c r="Q23" s="35"/>
    </row>
    <row r="24" spans="2:17" ht="15" customHeight="1">
      <c r="B24" s="38"/>
      <c r="Q24" s="35"/>
    </row>
    <row r="25" spans="2:17" ht="15" customHeight="1">
      <c r="B25" s="38"/>
      <c r="Q25" s="35"/>
    </row>
    <row r="26" spans="2:17" ht="15" customHeight="1">
      <c r="B26" s="38"/>
      <c r="Q26" s="35"/>
    </row>
    <row r="27" spans="2:17" ht="15" customHeight="1">
      <c r="B27" s="38"/>
      <c r="Q27" s="35"/>
    </row>
    <row r="28" spans="2:17" ht="15" customHeight="1">
      <c r="B28" s="38"/>
      <c r="Q28" s="35"/>
    </row>
    <row r="29" spans="2:17" ht="15" customHeight="1">
      <c r="B29" s="38"/>
      <c r="Q29" s="35"/>
    </row>
    <row r="30" spans="2:17">
      <c r="B30" s="38"/>
      <c r="Q30" s="35"/>
    </row>
    <row r="31" spans="2:17" ht="12" customHeight="1">
      <c r="B31" s="38"/>
      <c r="Q31" s="35"/>
    </row>
    <row r="32" spans="2:17" ht="15" customHeight="1">
      <c r="B32" s="38"/>
      <c r="Q32" s="35"/>
    </row>
    <row r="33" spans="1:17" ht="15" customHeight="1">
      <c r="B33" s="38"/>
      <c r="Q33" s="35"/>
    </row>
    <row r="34" spans="1:17" ht="15" customHeight="1">
      <c r="B34" s="38"/>
      <c r="C34" s="26" t="s">
        <v>20</v>
      </c>
      <c r="Q34" s="35"/>
    </row>
    <row r="35" spans="1:17" ht="15" customHeight="1">
      <c r="B35" s="38"/>
      <c r="Q35" s="35"/>
    </row>
    <row r="36" spans="1:17" ht="15" customHeight="1">
      <c r="B36" s="38"/>
      <c r="C36" s="26"/>
      <c r="D36" s="130" t="s">
        <v>3</v>
      </c>
      <c r="E36" s="130" t="s">
        <v>4</v>
      </c>
      <c r="Q36" s="35"/>
    </row>
    <row r="37" spans="1:17" ht="15" customHeight="1">
      <c r="B37" s="38"/>
      <c r="C37" s="153" t="s">
        <v>28</v>
      </c>
      <c r="D37" s="154">
        <v>45</v>
      </c>
      <c r="E37" s="155">
        <v>53.644444444444446</v>
      </c>
      <c r="Q37" s="35"/>
    </row>
    <row r="38" spans="1:17" ht="15" customHeight="1">
      <c r="B38" s="38"/>
      <c r="C38" s="153" t="s">
        <v>12</v>
      </c>
      <c r="D38" s="154">
        <v>45</v>
      </c>
      <c r="E38" s="155">
        <v>53.644444444444446</v>
      </c>
      <c r="Q38" s="35"/>
    </row>
    <row r="39" spans="1:17" s="165" customFormat="1" ht="15" customHeight="1">
      <c r="A39" s="14"/>
      <c r="B39" s="38"/>
      <c r="C39" s="127"/>
      <c r="D39" s="169"/>
      <c r="E39" s="170"/>
      <c r="Q39" s="35"/>
    </row>
    <row r="40" spans="1:17" ht="15" customHeight="1">
      <c r="B40" s="38"/>
      <c r="Q40" s="35"/>
    </row>
    <row r="41" spans="1:17" ht="15" customHeight="1">
      <c r="B41" s="38"/>
      <c r="Q41" s="35"/>
    </row>
    <row r="42" spans="1:17" ht="15" customHeight="1">
      <c r="B42" s="38"/>
      <c r="Q42" s="35"/>
    </row>
    <row r="43" spans="1:17" ht="15" customHeight="1">
      <c r="B43" s="38"/>
      <c r="Q43" s="35"/>
    </row>
    <row r="44" spans="1:17" ht="15" customHeight="1">
      <c r="B44" s="38"/>
      <c r="Q44" s="35"/>
    </row>
    <row r="45" spans="1:17" ht="15" customHeight="1">
      <c r="B45" s="38"/>
      <c r="Q45" s="35"/>
    </row>
    <row r="46" spans="1:17" ht="15" customHeight="1">
      <c r="B46" s="45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60"/>
    </row>
    <row r="47" spans="1:17" ht="15" customHeight="1"/>
  </sheetData>
  <pageMargins left="0.70866141732283472" right="0.70866141732283472" top="0.74803149606299213" bottom="0.74803149606299213" header="0.31496062992125984" footer="0.31496062992125984"/>
  <pageSetup paperSize="9" scale="62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4" tint="0.79998168889431442"/>
    <pageSetUpPr fitToPage="1"/>
  </sheetPr>
  <dimension ref="A1:U65"/>
  <sheetViews>
    <sheetView showGridLines="0" zoomScaleNormal="100" workbookViewId="0">
      <selection activeCell="C13" sqref="C13:O57"/>
    </sheetView>
  </sheetViews>
  <sheetFormatPr defaultColWidth="11.42578125" defaultRowHeight="15"/>
  <cols>
    <col min="1" max="1" width="2.85546875" style="14" customWidth="1"/>
    <col min="2" max="2" width="4.28515625" style="165" customWidth="1"/>
    <col min="3" max="3" width="21.42578125" style="165" customWidth="1"/>
    <col min="4" max="4" width="12" style="136" customWidth="1"/>
    <col min="5" max="5" width="24.85546875" style="136" bestFit="1" customWidth="1"/>
    <col min="6" max="6" width="8.28515625" style="136" bestFit="1" customWidth="1"/>
    <col min="7" max="7" width="13.5703125" style="136" customWidth="1"/>
    <col min="8" max="8" width="10.28515625" style="136" bestFit="1" customWidth="1"/>
    <col min="9" max="9" width="19.7109375" style="136" customWidth="1"/>
    <col min="10" max="10" width="10.7109375" style="136" bestFit="1" customWidth="1"/>
    <col min="11" max="11" width="11.85546875" style="136" bestFit="1" customWidth="1"/>
    <col min="12" max="13" width="15" style="136" customWidth="1"/>
    <col min="14" max="14" width="12.5703125" style="136" bestFit="1" customWidth="1"/>
    <col min="15" max="15" width="15" style="136" customWidth="1"/>
    <col min="16" max="16" width="11.42578125" style="165" customWidth="1"/>
    <col min="17" max="17" width="4.140625" style="165" customWidth="1"/>
    <col min="18" max="18" width="2.85546875" style="165" customWidth="1"/>
    <col min="19" max="20" width="11.42578125" style="165" customWidth="1"/>
    <col min="21" max="21" width="19.7109375" style="165" bestFit="1" customWidth="1"/>
    <col min="22" max="25" width="11.42578125" style="165" customWidth="1"/>
    <col min="26" max="16384" width="11.42578125" style="165"/>
  </cols>
  <sheetData>
    <row r="1" spans="2:21" ht="15" customHeight="1">
      <c r="B1" s="14">
        <v>2</v>
      </c>
      <c r="C1" s="1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4"/>
      <c r="Q1" s="14"/>
      <c r="R1" s="14"/>
    </row>
    <row r="2" spans="2:21" ht="15" customHeight="1">
      <c r="B2" s="56"/>
      <c r="C2" s="57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57"/>
      <c r="Q2" s="58"/>
      <c r="U2" s="29"/>
    </row>
    <row r="3" spans="2:21" ht="15" customHeight="1">
      <c r="B3" s="38"/>
      <c r="Q3" s="35"/>
    </row>
    <row r="4" spans="2:21" ht="15" customHeight="1">
      <c r="B4" s="38"/>
      <c r="Q4" s="35"/>
    </row>
    <row r="5" spans="2:21" ht="15" customHeight="1">
      <c r="B5" s="38"/>
      <c r="Q5" s="35"/>
    </row>
    <row r="6" spans="2:21" ht="15" customHeight="1">
      <c r="B6" s="38"/>
      <c r="Q6" s="35"/>
    </row>
    <row r="7" spans="2:21" ht="15" customHeight="1" thickBot="1">
      <c r="B7" s="38"/>
      <c r="Q7" s="35"/>
    </row>
    <row r="8" spans="2:21" ht="30.75" thickBot="1">
      <c r="B8" s="38"/>
      <c r="C8" s="101" t="str">
        <f>'Page de garde'!J13&amp;" : Liste des assurés en INVALIDITE au "&amp;'Page de garde'!J23</f>
        <v>PREVOYANCE_ : Liste des assurés en INVALIDITE au 31 décembre 2019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Q8" s="35"/>
    </row>
    <row r="9" spans="2:21" ht="15" customHeight="1">
      <c r="B9" s="38"/>
      <c r="Q9" s="35"/>
    </row>
    <row r="10" spans="2:21" ht="15" customHeight="1">
      <c r="B10" s="38"/>
      <c r="Q10" s="35"/>
    </row>
    <row r="11" spans="2:21" ht="15" customHeight="1">
      <c r="B11" s="38"/>
      <c r="Q11" s="35"/>
    </row>
    <row r="12" spans="2:21" ht="45">
      <c r="B12" s="188"/>
      <c r="C12" s="166" t="s">
        <v>62</v>
      </c>
      <c r="D12" s="166" t="s">
        <v>940</v>
      </c>
      <c r="E12" s="166" t="s">
        <v>945</v>
      </c>
      <c r="F12" s="166" t="s">
        <v>941</v>
      </c>
      <c r="G12" s="166" t="s">
        <v>942</v>
      </c>
      <c r="H12" s="166" t="s">
        <v>41</v>
      </c>
      <c r="I12" s="166" t="s">
        <v>939</v>
      </c>
      <c r="J12" s="166" t="s">
        <v>946</v>
      </c>
      <c r="K12" s="166" t="s">
        <v>948</v>
      </c>
      <c r="L12" s="166" t="s">
        <v>944</v>
      </c>
      <c r="M12" s="166" t="s">
        <v>951</v>
      </c>
      <c r="N12" s="166" t="s">
        <v>952</v>
      </c>
      <c r="O12" s="166" t="s">
        <v>943</v>
      </c>
      <c r="Q12" s="35"/>
    </row>
    <row r="13" spans="2:21" ht="15" customHeight="1">
      <c r="B13" s="38"/>
      <c r="C13" s="30" t="s">
        <v>39</v>
      </c>
      <c r="D13" s="138" t="s">
        <v>247</v>
      </c>
      <c r="E13" s="185" t="s">
        <v>1651</v>
      </c>
      <c r="F13" s="139" t="s">
        <v>8</v>
      </c>
      <c r="G13" s="139">
        <v>24432</v>
      </c>
      <c r="H13" s="138" t="s">
        <v>199</v>
      </c>
      <c r="I13" s="139" t="s">
        <v>28</v>
      </c>
      <c r="J13" s="139">
        <v>43525</v>
      </c>
      <c r="K13" s="184">
        <v>53</v>
      </c>
      <c r="L13" s="139">
        <v>43738</v>
      </c>
      <c r="M13" s="139"/>
      <c r="N13" s="189">
        <v>0</v>
      </c>
      <c r="O13" s="140">
        <v>293.32</v>
      </c>
      <c r="Q13" s="35"/>
    </row>
    <row r="14" spans="2:21" ht="15" customHeight="1">
      <c r="B14" s="38"/>
      <c r="C14" s="30" t="s">
        <v>39</v>
      </c>
      <c r="D14" s="138" t="s">
        <v>248</v>
      </c>
      <c r="E14" s="185" t="s">
        <v>1652</v>
      </c>
      <c r="F14" s="139" t="s">
        <v>8</v>
      </c>
      <c r="G14" s="139">
        <v>25797</v>
      </c>
      <c r="H14" s="138" t="s">
        <v>200</v>
      </c>
      <c r="I14" s="139" t="s">
        <v>28</v>
      </c>
      <c r="J14" s="139">
        <v>43739</v>
      </c>
      <c r="K14" s="184">
        <v>49</v>
      </c>
      <c r="L14" s="139">
        <v>43585</v>
      </c>
      <c r="M14" s="139"/>
      <c r="N14" s="189">
        <v>0</v>
      </c>
      <c r="O14" s="140">
        <v>1930.5</v>
      </c>
      <c r="Q14" s="35"/>
    </row>
    <row r="15" spans="2:21" ht="15" customHeight="1">
      <c r="B15" s="38"/>
      <c r="C15" s="30" t="s">
        <v>39</v>
      </c>
      <c r="D15" s="138" t="s">
        <v>249</v>
      </c>
      <c r="E15" s="185" t="s">
        <v>1653</v>
      </c>
      <c r="F15" s="139" t="s">
        <v>8</v>
      </c>
      <c r="G15" s="139">
        <v>21279</v>
      </c>
      <c r="H15" s="138" t="s">
        <v>199</v>
      </c>
      <c r="I15" s="139" t="s">
        <v>28</v>
      </c>
      <c r="J15" s="139">
        <v>43497</v>
      </c>
      <c r="K15" s="184">
        <v>61</v>
      </c>
      <c r="L15" s="139">
        <v>43738</v>
      </c>
      <c r="M15" s="139">
        <v>43951</v>
      </c>
      <c r="N15" s="189">
        <v>454</v>
      </c>
      <c r="O15" s="140">
        <v>63433.87</v>
      </c>
      <c r="Q15" s="35"/>
    </row>
    <row r="16" spans="2:21" ht="15" customHeight="1">
      <c r="B16" s="38"/>
      <c r="C16" s="30" t="s">
        <v>39</v>
      </c>
      <c r="D16" s="138" t="s">
        <v>250</v>
      </c>
      <c r="E16" s="185" t="s">
        <v>1654</v>
      </c>
      <c r="F16" s="139" t="s">
        <v>8</v>
      </c>
      <c r="G16" s="139">
        <v>21318</v>
      </c>
      <c r="H16" s="138" t="s">
        <v>199</v>
      </c>
      <c r="I16" s="139" t="s">
        <v>28</v>
      </c>
      <c r="J16" s="139">
        <v>43470</v>
      </c>
      <c r="K16" s="184">
        <v>61</v>
      </c>
      <c r="L16" s="139">
        <v>43738</v>
      </c>
      <c r="M16" s="139">
        <v>43982</v>
      </c>
      <c r="N16" s="189">
        <v>512</v>
      </c>
      <c r="O16" s="140">
        <v>4615.6500000000005</v>
      </c>
      <c r="Q16" s="35"/>
    </row>
    <row r="17" spans="2:17" ht="15" customHeight="1">
      <c r="B17" s="38"/>
      <c r="C17" s="30" t="s">
        <v>39</v>
      </c>
      <c r="D17" s="138" t="s">
        <v>251</v>
      </c>
      <c r="E17" s="185" t="s">
        <v>1655</v>
      </c>
      <c r="F17" s="139" t="s">
        <v>8</v>
      </c>
      <c r="G17" s="139">
        <v>20944</v>
      </c>
      <c r="H17" s="138" t="s">
        <v>199</v>
      </c>
      <c r="I17" s="139" t="s">
        <v>28</v>
      </c>
      <c r="J17" s="139">
        <v>43556</v>
      </c>
      <c r="K17" s="184">
        <v>62</v>
      </c>
      <c r="L17" s="139">
        <v>43616</v>
      </c>
      <c r="M17" s="139">
        <v>43616</v>
      </c>
      <c r="N17" s="189">
        <v>60</v>
      </c>
      <c r="O17" s="140">
        <v>681.7</v>
      </c>
      <c r="Q17" s="35"/>
    </row>
    <row r="18" spans="2:17" ht="15" customHeight="1">
      <c r="B18" s="38"/>
      <c r="C18" s="30" t="s">
        <v>39</v>
      </c>
      <c r="D18" s="138" t="s">
        <v>252</v>
      </c>
      <c r="E18" s="185" t="s">
        <v>1656</v>
      </c>
      <c r="F18" s="139" t="s">
        <v>8</v>
      </c>
      <c r="G18" s="139">
        <v>22205</v>
      </c>
      <c r="H18" s="138" t="s">
        <v>200</v>
      </c>
      <c r="I18" s="139" t="s">
        <v>28</v>
      </c>
      <c r="J18" s="139">
        <v>43525</v>
      </c>
      <c r="K18" s="184">
        <v>59</v>
      </c>
      <c r="L18" s="139">
        <v>43738</v>
      </c>
      <c r="M18" s="139"/>
      <c r="N18" s="189">
        <v>0</v>
      </c>
      <c r="O18" s="140">
        <v>7770.33</v>
      </c>
      <c r="Q18" s="35"/>
    </row>
    <row r="19" spans="2:17" ht="15" customHeight="1">
      <c r="B19" s="38"/>
      <c r="C19" s="30" t="s">
        <v>39</v>
      </c>
      <c r="D19" s="138" t="s">
        <v>253</v>
      </c>
      <c r="E19" s="185" t="s">
        <v>1657</v>
      </c>
      <c r="F19" s="139" t="s">
        <v>8</v>
      </c>
      <c r="G19" s="139">
        <v>22262</v>
      </c>
      <c r="H19" s="138" t="s">
        <v>199</v>
      </c>
      <c r="I19" s="139" t="s">
        <v>28</v>
      </c>
      <c r="J19" s="139">
        <v>43690</v>
      </c>
      <c r="K19" s="184">
        <v>59</v>
      </c>
      <c r="L19" s="139">
        <v>43738</v>
      </c>
      <c r="M19" s="139"/>
      <c r="N19" s="189">
        <v>0</v>
      </c>
      <c r="O19" s="140">
        <v>1019.71</v>
      </c>
      <c r="Q19" s="35"/>
    </row>
    <row r="20" spans="2:17" ht="15" customHeight="1">
      <c r="B20" s="38"/>
      <c r="C20" s="30" t="s">
        <v>39</v>
      </c>
      <c r="D20" s="138" t="s">
        <v>254</v>
      </c>
      <c r="E20" s="185" t="s">
        <v>1658</v>
      </c>
      <c r="F20" s="139" t="s">
        <v>8</v>
      </c>
      <c r="G20" s="139">
        <v>21966</v>
      </c>
      <c r="H20" s="138" t="s">
        <v>199</v>
      </c>
      <c r="I20" s="139" t="s">
        <v>28</v>
      </c>
      <c r="J20" s="139">
        <v>43647</v>
      </c>
      <c r="K20" s="184">
        <v>59</v>
      </c>
      <c r="L20" s="139">
        <v>43738</v>
      </c>
      <c r="M20" s="139"/>
      <c r="N20" s="189">
        <v>0</v>
      </c>
      <c r="O20" s="140">
        <v>0</v>
      </c>
      <c r="Q20" s="35"/>
    </row>
    <row r="21" spans="2:17" ht="15" customHeight="1">
      <c r="B21" s="38"/>
      <c r="C21" s="30" t="s">
        <v>39</v>
      </c>
      <c r="D21" s="138" t="s">
        <v>255</v>
      </c>
      <c r="E21" s="185" t="s">
        <v>1659</v>
      </c>
      <c r="F21" s="139" t="s">
        <v>8</v>
      </c>
      <c r="G21" s="139">
        <v>22028</v>
      </c>
      <c r="H21" s="138" t="s">
        <v>199</v>
      </c>
      <c r="I21" s="139" t="s">
        <v>28</v>
      </c>
      <c r="J21" s="139">
        <v>43556</v>
      </c>
      <c r="K21" s="184">
        <v>59</v>
      </c>
      <c r="L21" s="139">
        <v>43738</v>
      </c>
      <c r="M21" s="139"/>
      <c r="N21" s="189">
        <v>0</v>
      </c>
      <c r="O21" s="140">
        <v>4938</v>
      </c>
      <c r="Q21" s="35"/>
    </row>
    <row r="22" spans="2:17" ht="15" customHeight="1">
      <c r="B22" s="38"/>
      <c r="C22" s="30" t="s">
        <v>39</v>
      </c>
      <c r="D22" s="138" t="s">
        <v>256</v>
      </c>
      <c r="E22" s="185" t="s">
        <v>1660</v>
      </c>
      <c r="F22" s="139" t="s">
        <v>8</v>
      </c>
      <c r="G22" s="139">
        <v>22129</v>
      </c>
      <c r="H22" s="138" t="s">
        <v>199</v>
      </c>
      <c r="I22" s="139" t="s">
        <v>28</v>
      </c>
      <c r="J22" s="139">
        <v>43770</v>
      </c>
      <c r="K22" s="184">
        <v>59</v>
      </c>
      <c r="L22" s="139"/>
      <c r="M22" s="139"/>
      <c r="N22" s="189">
        <v>0</v>
      </c>
      <c r="O22" s="140">
        <v>0</v>
      </c>
      <c r="Q22" s="35"/>
    </row>
    <row r="23" spans="2:17" ht="15" customHeight="1">
      <c r="B23" s="38"/>
      <c r="C23" s="30" t="s">
        <v>39</v>
      </c>
      <c r="D23" s="138" t="s">
        <v>257</v>
      </c>
      <c r="E23" s="185" t="s">
        <v>1661</v>
      </c>
      <c r="F23" s="139" t="s">
        <v>8</v>
      </c>
      <c r="G23" s="139">
        <v>23293</v>
      </c>
      <c r="H23" s="138" t="s">
        <v>200</v>
      </c>
      <c r="I23" s="139" t="s">
        <v>28</v>
      </c>
      <c r="J23" s="139">
        <v>43497</v>
      </c>
      <c r="K23" s="184">
        <v>56</v>
      </c>
      <c r="L23" s="139">
        <v>43738</v>
      </c>
      <c r="M23" s="139"/>
      <c r="N23" s="189">
        <v>0</v>
      </c>
      <c r="O23" s="140">
        <v>6612.8</v>
      </c>
      <c r="Q23" s="35"/>
    </row>
    <row r="24" spans="2:17" ht="15" customHeight="1">
      <c r="B24" s="38"/>
      <c r="C24" s="30" t="s">
        <v>39</v>
      </c>
      <c r="D24" s="138" t="s">
        <v>258</v>
      </c>
      <c r="E24" s="185" t="s">
        <v>1662</v>
      </c>
      <c r="F24" s="139" t="s">
        <v>8</v>
      </c>
      <c r="G24" s="139">
        <v>22423</v>
      </c>
      <c r="H24" s="138" t="s">
        <v>199</v>
      </c>
      <c r="I24" s="139" t="s">
        <v>28</v>
      </c>
      <c r="J24" s="139">
        <v>43800</v>
      </c>
      <c r="K24" s="184">
        <v>58</v>
      </c>
      <c r="L24" s="139">
        <v>43472</v>
      </c>
      <c r="M24" s="139"/>
      <c r="N24" s="189">
        <v>0</v>
      </c>
      <c r="O24" s="140">
        <v>8311.98</v>
      </c>
      <c r="Q24" s="35"/>
    </row>
    <row r="25" spans="2:17" ht="15" customHeight="1">
      <c r="B25" s="38"/>
      <c r="C25" s="30" t="s">
        <v>39</v>
      </c>
      <c r="D25" s="138" t="s">
        <v>259</v>
      </c>
      <c r="E25" s="185" t="s">
        <v>1663</v>
      </c>
      <c r="F25" s="139" t="s">
        <v>8</v>
      </c>
      <c r="G25" s="139">
        <v>22620</v>
      </c>
      <c r="H25" s="138" t="s">
        <v>199</v>
      </c>
      <c r="I25" s="139" t="s">
        <v>28</v>
      </c>
      <c r="J25" s="139">
        <v>43556</v>
      </c>
      <c r="K25" s="184">
        <v>58</v>
      </c>
      <c r="L25" s="139">
        <v>43738</v>
      </c>
      <c r="M25" s="139"/>
      <c r="N25" s="189">
        <v>0</v>
      </c>
      <c r="O25" s="140">
        <v>25208.860000000004</v>
      </c>
      <c r="Q25" s="35"/>
    </row>
    <row r="26" spans="2:17" ht="15" customHeight="1">
      <c r="B26" s="38"/>
      <c r="C26" s="30" t="s">
        <v>39</v>
      </c>
      <c r="D26" s="138" t="s">
        <v>260</v>
      </c>
      <c r="E26" s="185" t="s">
        <v>1664</v>
      </c>
      <c r="F26" s="139" t="s">
        <v>8</v>
      </c>
      <c r="G26" s="139">
        <v>22647</v>
      </c>
      <c r="H26" s="138" t="s">
        <v>199</v>
      </c>
      <c r="I26" s="139" t="s">
        <v>28</v>
      </c>
      <c r="J26" s="139">
        <v>43800</v>
      </c>
      <c r="K26" s="184">
        <v>57</v>
      </c>
      <c r="L26" s="139"/>
      <c r="M26" s="139"/>
      <c r="N26" s="189">
        <v>0</v>
      </c>
      <c r="O26" s="140">
        <v>0</v>
      </c>
      <c r="Q26" s="35"/>
    </row>
    <row r="27" spans="2:17" ht="15" customHeight="1">
      <c r="B27" s="38"/>
      <c r="C27" s="30" t="s">
        <v>39</v>
      </c>
      <c r="D27" s="138" t="s">
        <v>261</v>
      </c>
      <c r="E27" s="185" t="s">
        <v>1665</v>
      </c>
      <c r="F27" s="139" t="s">
        <v>8</v>
      </c>
      <c r="G27" s="139">
        <v>23035</v>
      </c>
      <c r="H27" s="138" t="s">
        <v>199</v>
      </c>
      <c r="I27" s="139" t="s">
        <v>28</v>
      </c>
      <c r="J27" s="139">
        <v>43556</v>
      </c>
      <c r="K27" s="184">
        <v>56</v>
      </c>
      <c r="L27" s="139">
        <v>43738</v>
      </c>
      <c r="M27" s="139"/>
      <c r="N27" s="189">
        <v>0</v>
      </c>
      <c r="O27" s="140">
        <v>8845.9599999999991</v>
      </c>
      <c r="Q27" s="35"/>
    </row>
    <row r="28" spans="2:17" ht="15" customHeight="1">
      <c r="B28" s="38"/>
      <c r="C28" s="30" t="s">
        <v>39</v>
      </c>
      <c r="D28" s="138" t="s">
        <v>262</v>
      </c>
      <c r="E28" s="185" t="s">
        <v>1666</v>
      </c>
      <c r="F28" s="139" t="s">
        <v>10</v>
      </c>
      <c r="G28" s="139">
        <v>23071</v>
      </c>
      <c r="H28" s="138" t="s">
        <v>199</v>
      </c>
      <c r="I28" s="139" t="s">
        <v>28</v>
      </c>
      <c r="J28" s="139">
        <v>43678</v>
      </c>
      <c r="K28" s="184">
        <v>56</v>
      </c>
      <c r="L28" s="139">
        <v>43738</v>
      </c>
      <c r="M28" s="139"/>
      <c r="N28" s="189">
        <v>0</v>
      </c>
      <c r="O28" s="140">
        <v>1449.2</v>
      </c>
      <c r="Q28" s="35"/>
    </row>
    <row r="29" spans="2:17" ht="15" customHeight="1">
      <c r="B29" s="38"/>
      <c r="C29" s="30" t="s">
        <v>39</v>
      </c>
      <c r="D29" s="138" t="s">
        <v>263</v>
      </c>
      <c r="E29" s="185" t="s">
        <v>1667</v>
      </c>
      <c r="F29" s="139" t="s">
        <v>8</v>
      </c>
      <c r="G29" s="139">
        <v>23521</v>
      </c>
      <c r="H29" s="138" t="s">
        <v>199</v>
      </c>
      <c r="I29" s="139" t="s">
        <v>28</v>
      </c>
      <c r="J29" s="139">
        <v>43678</v>
      </c>
      <c r="K29" s="184">
        <v>55</v>
      </c>
      <c r="L29" s="139"/>
      <c r="M29" s="139"/>
      <c r="N29" s="189">
        <v>0</v>
      </c>
      <c r="O29" s="140">
        <v>0</v>
      </c>
      <c r="Q29" s="35"/>
    </row>
    <row r="30" spans="2:17" ht="15" customHeight="1">
      <c r="B30" s="38"/>
      <c r="C30" s="30" t="s">
        <v>39</v>
      </c>
      <c r="D30" s="138" t="s">
        <v>264</v>
      </c>
      <c r="E30" s="185" t="s">
        <v>1668</v>
      </c>
      <c r="F30" s="139" t="s">
        <v>8</v>
      </c>
      <c r="G30" s="139">
        <v>23529</v>
      </c>
      <c r="H30" s="138" t="s">
        <v>199</v>
      </c>
      <c r="I30" s="139" t="s">
        <v>28</v>
      </c>
      <c r="J30" s="139">
        <v>43566</v>
      </c>
      <c r="K30" s="184">
        <v>55</v>
      </c>
      <c r="L30" s="139">
        <v>43738</v>
      </c>
      <c r="M30" s="139"/>
      <c r="N30" s="189">
        <v>0</v>
      </c>
      <c r="O30" s="140">
        <v>1945.31</v>
      </c>
      <c r="Q30" s="35"/>
    </row>
    <row r="31" spans="2:17" ht="15" customHeight="1">
      <c r="B31" s="38"/>
      <c r="C31" s="30" t="s">
        <v>39</v>
      </c>
      <c r="D31" s="138" t="s">
        <v>265</v>
      </c>
      <c r="E31" s="185" t="s">
        <v>1668</v>
      </c>
      <c r="F31" s="139" t="s">
        <v>8</v>
      </c>
      <c r="G31" s="139">
        <v>23529</v>
      </c>
      <c r="H31" s="138" t="s">
        <v>199</v>
      </c>
      <c r="I31" s="139" t="s">
        <v>28</v>
      </c>
      <c r="J31" s="139">
        <v>43566</v>
      </c>
      <c r="K31" s="184">
        <v>55</v>
      </c>
      <c r="L31" s="139">
        <v>43738</v>
      </c>
      <c r="M31" s="139"/>
      <c r="N31" s="189">
        <v>0</v>
      </c>
      <c r="O31" s="140">
        <v>1539.9699999999998</v>
      </c>
      <c r="Q31" s="35"/>
    </row>
    <row r="32" spans="2:17" ht="15" customHeight="1">
      <c r="B32" s="38"/>
      <c r="C32" s="30" t="s">
        <v>39</v>
      </c>
      <c r="D32" s="138" t="s">
        <v>266</v>
      </c>
      <c r="E32" s="185" t="s">
        <v>1136</v>
      </c>
      <c r="F32" s="139" t="s">
        <v>8</v>
      </c>
      <c r="G32" s="139">
        <v>23638</v>
      </c>
      <c r="H32" s="138" t="s">
        <v>200</v>
      </c>
      <c r="I32" s="139" t="s">
        <v>28</v>
      </c>
      <c r="J32" s="139">
        <v>43525</v>
      </c>
      <c r="K32" s="184">
        <v>55</v>
      </c>
      <c r="L32" s="139">
        <v>43738</v>
      </c>
      <c r="M32" s="139"/>
      <c r="N32" s="189">
        <v>0</v>
      </c>
      <c r="O32" s="140">
        <v>0</v>
      </c>
      <c r="Q32" s="35"/>
    </row>
    <row r="33" spans="2:17" ht="15" customHeight="1">
      <c r="B33" s="38"/>
      <c r="C33" s="30" t="s">
        <v>39</v>
      </c>
      <c r="D33" s="138" t="s">
        <v>267</v>
      </c>
      <c r="E33" s="185" t="s">
        <v>1669</v>
      </c>
      <c r="F33" s="139" t="s">
        <v>8</v>
      </c>
      <c r="G33" s="139">
        <v>23824</v>
      </c>
      <c r="H33" s="138" t="s">
        <v>199</v>
      </c>
      <c r="I33" s="139" t="s">
        <v>28</v>
      </c>
      <c r="J33" s="139">
        <v>43556</v>
      </c>
      <c r="K33" s="184">
        <v>54</v>
      </c>
      <c r="L33" s="139">
        <v>43738</v>
      </c>
      <c r="M33" s="139"/>
      <c r="N33" s="189">
        <v>0</v>
      </c>
      <c r="O33" s="140">
        <v>14923.580000000002</v>
      </c>
      <c r="Q33" s="35"/>
    </row>
    <row r="34" spans="2:17" ht="15" customHeight="1">
      <c r="B34" s="38"/>
      <c r="C34" s="30" t="s">
        <v>39</v>
      </c>
      <c r="D34" s="138" t="s">
        <v>268</v>
      </c>
      <c r="E34" s="185" t="s">
        <v>1670</v>
      </c>
      <c r="F34" s="139" t="s">
        <v>8</v>
      </c>
      <c r="G34" s="139">
        <v>26552</v>
      </c>
      <c r="H34" s="138" t="s">
        <v>199</v>
      </c>
      <c r="I34" s="139" t="s">
        <v>28</v>
      </c>
      <c r="J34" s="139">
        <v>43647</v>
      </c>
      <c r="K34" s="184">
        <v>47</v>
      </c>
      <c r="L34" s="139">
        <v>43738</v>
      </c>
      <c r="M34" s="139"/>
      <c r="N34" s="189">
        <v>0</v>
      </c>
      <c r="O34" s="140">
        <v>1425.06</v>
      </c>
      <c r="Q34" s="35"/>
    </row>
    <row r="35" spans="2:17" ht="15" customHeight="1">
      <c r="B35" s="38"/>
      <c r="C35" s="30" t="s">
        <v>39</v>
      </c>
      <c r="D35" s="138" t="s">
        <v>269</v>
      </c>
      <c r="E35" s="185" t="s">
        <v>1671</v>
      </c>
      <c r="F35" s="139" t="s">
        <v>8</v>
      </c>
      <c r="G35" s="139">
        <v>23411</v>
      </c>
      <c r="H35" s="138" t="s">
        <v>200</v>
      </c>
      <c r="I35" s="139" t="s">
        <v>28</v>
      </c>
      <c r="J35" s="139">
        <v>43498</v>
      </c>
      <c r="K35" s="184">
        <v>55</v>
      </c>
      <c r="L35" s="139">
        <v>43738</v>
      </c>
      <c r="M35" s="139"/>
      <c r="N35" s="189">
        <v>0</v>
      </c>
      <c r="O35" s="140">
        <v>0</v>
      </c>
      <c r="Q35" s="35"/>
    </row>
    <row r="36" spans="2:17" ht="15" customHeight="1">
      <c r="B36" s="38"/>
      <c r="C36" s="30" t="s">
        <v>39</v>
      </c>
      <c r="D36" s="138" t="s">
        <v>270</v>
      </c>
      <c r="E36" s="185" t="s">
        <v>1672</v>
      </c>
      <c r="F36" s="139" t="s">
        <v>8</v>
      </c>
      <c r="G36" s="139">
        <v>26221</v>
      </c>
      <c r="H36" s="138" t="s">
        <v>200</v>
      </c>
      <c r="I36" s="139" t="s">
        <v>28</v>
      </c>
      <c r="J36" s="139">
        <v>43547</v>
      </c>
      <c r="K36" s="184">
        <v>48</v>
      </c>
      <c r="L36" s="139">
        <v>43738</v>
      </c>
      <c r="M36" s="139"/>
      <c r="N36" s="189">
        <v>0</v>
      </c>
      <c r="O36" s="140">
        <v>10407.4</v>
      </c>
      <c r="Q36" s="35"/>
    </row>
    <row r="37" spans="2:17" ht="15" customHeight="1">
      <c r="B37" s="38"/>
      <c r="C37" s="30" t="s">
        <v>39</v>
      </c>
      <c r="D37" s="138" t="s">
        <v>271</v>
      </c>
      <c r="E37" s="185" t="s">
        <v>1673</v>
      </c>
      <c r="F37" s="139" t="s">
        <v>8</v>
      </c>
      <c r="G37" s="139">
        <v>23788</v>
      </c>
      <c r="H37" s="138" t="s">
        <v>199</v>
      </c>
      <c r="I37" s="139" t="s">
        <v>28</v>
      </c>
      <c r="J37" s="139">
        <v>43525</v>
      </c>
      <c r="K37" s="184">
        <v>54</v>
      </c>
      <c r="L37" s="139"/>
      <c r="M37" s="139"/>
      <c r="N37" s="189">
        <v>0</v>
      </c>
      <c r="O37" s="140">
        <v>0</v>
      </c>
      <c r="Q37" s="35"/>
    </row>
    <row r="38" spans="2:17" ht="15" customHeight="1">
      <c r="B38" s="38"/>
      <c r="C38" s="30" t="s">
        <v>39</v>
      </c>
      <c r="D38" s="138" t="s">
        <v>272</v>
      </c>
      <c r="E38" s="185" t="s">
        <v>1674</v>
      </c>
      <c r="F38" s="139" t="s">
        <v>8</v>
      </c>
      <c r="G38" s="139">
        <v>25569</v>
      </c>
      <c r="H38" s="138" t="s">
        <v>199</v>
      </c>
      <c r="I38" s="139" t="s">
        <v>28</v>
      </c>
      <c r="J38" s="139">
        <v>43678</v>
      </c>
      <c r="K38" s="184">
        <v>49</v>
      </c>
      <c r="L38" s="139">
        <v>43738</v>
      </c>
      <c r="M38" s="139"/>
      <c r="N38" s="189">
        <v>0</v>
      </c>
      <c r="O38" s="140">
        <v>790.86</v>
      </c>
      <c r="Q38" s="35"/>
    </row>
    <row r="39" spans="2:17" ht="15" customHeight="1">
      <c r="B39" s="38"/>
      <c r="C39" s="30" t="s">
        <v>39</v>
      </c>
      <c r="D39" s="138" t="s">
        <v>273</v>
      </c>
      <c r="E39" s="185" t="s">
        <v>1675</v>
      </c>
      <c r="F39" s="139" t="s">
        <v>8</v>
      </c>
      <c r="G39" s="139">
        <v>26345</v>
      </c>
      <c r="H39" s="138" t="s">
        <v>199</v>
      </c>
      <c r="I39" s="139" t="s">
        <v>28</v>
      </c>
      <c r="J39" s="139">
        <v>43507</v>
      </c>
      <c r="K39" s="184">
        <v>47</v>
      </c>
      <c r="L39" s="139">
        <v>43738</v>
      </c>
      <c r="M39" s="139"/>
      <c r="N39" s="189">
        <v>0</v>
      </c>
      <c r="O39" s="140">
        <v>5406.5599999999995</v>
      </c>
      <c r="Q39" s="35"/>
    </row>
    <row r="40" spans="2:17" ht="15" customHeight="1">
      <c r="B40" s="38"/>
      <c r="C40" s="30" t="s">
        <v>39</v>
      </c>
      <c r="D40" s="138" t="s">
        <v>274</v>
      </c>
      <c r="E40" s="185" t="s">
        <v>1676</v>
      </c>
      <c r="F40" s="139" t="s">
        <v>8</v>
      </c>
      <c r="G40" s="139">
        <v>28894</v>
      </c>
      <c r="H40" s="138" t="s">
        <v>199</v>
      </c>
      <c r="I40" s="139" t="s">
        <v>28</v>
      </c>
      <c r="J40" s="139">
        <v>43709</v>
      </c>
      <c r="K40" s="184">
        <v>40</v>
      </c>
      <c r="L40" s="139">
        <v>43404</v>
      </c>
      <c r="M40" s="139"/>
      <c r="N40" s="189">
        <v>0</v>
      </c>
      <c r="O40" s="140">
        <v>43.12</v>
      </c>
      <c r="Q40" s="35"/>
    </row>
    <row r="41" spans="2:17" ht="15" customHeight="1">
      <c r="B41" s="38"/>
      <c r="C41" s="30" t="s">
        <v>39</v>
      </c>
      <c r="D41" s="138" t="s">
        <v>275</v>
      </c>
      <c r="E41" s="185" t="s">
        <v>1677</v>
      </c>
      <c r="F41" s="139" t="s">
        <v>8</v>
      </c>
      <c r="G41" s="139">
        <v>21582</v>
      </c>
      <c r="H41" s="138" t="s">
        <v>199</v>
      </c>
      <c r="I41" s="139" t="s">
        <v>28</v>
      </c>
      <c r="J41" s="139">
        <v>43586</v>
      </c>
      <c r="K41" s="184">
        <v>60</v>
      </c>
      <c r="L41" s="139">
        <v>43646</v>
      </c>
      <c r="M41" s="139"/>
      <c r="N41" s="189">
        <v>0</v>
      </c>
      <c r="O41" s="140">
        <v>258.2</v>
      </c>
      <c r="Q41" s="35"/>
    </row>
    <row r="42" spans="2:17" ht="15" customHeight="1">
      <c r="B42" s="38"/>
      <c r="C42" s="30" t="s">
        <v>39</v>
      </c>
      <c r="D42" s="138" t="s">
        <v>276</v>
      </c>
      <c r="E42" s="185" t="s">
        <v>1678</v>
      </c>
      <c r="F42" s="139" t="s">
        <v>8</v>
      </c>
      <c r="G42" s="139">
        <v>23265</v>
      </c>
      <c r="H42" s="138" t="s">
        <v>199</v>
      </c>
      <c r="I42" s="139" t="s">
        <v>28</v>
      </c>
      <c r="J42" s="139">
        <v>43586</v>
      </c>
      <c r="K42" s="184">
        <v>56</v>
      </c>
      <c r="L42" s="139">
        <v>43738</v>
      </c>
      <c r="M42" s="139"/>
      <c r="N42" s="189">
        <v>0</v>
      </c>
      <c r="O42" s="140">
        <v>2106.9499999999998</v>
      </c>
      <c r="Q42" s="35"/>
    </row>
    <row r="43" spans="2:17" ht="15" customHeight="1">
      <c r="B43" s="38"/>
      <c r="C43" s="30" t="s">
        <v>39</v>
      </c>
      <c r="D43" s="138" t="s">
        <v>277</v>
      </c>
      <c r="E43" s="185" t="s">
        <v>1679</v>
      </c>
      <c r="F43" s="139" t="s">
        <v>8</v>
      </c>
      <c r="G43" s="139">
        <v>28698</v>
      </c>
      <c r="H43" s="138" t="s">
        <v>199</v>
      </c>
      <c r="I43" s="139" t="s">
        <v>28</v>
      </c>
      <c r="J43" s="139">
        <v>43620</v>
      </c>
      <c r="K43" s="184">
        <v>41</v>
      </c>
      <c r="L43" s="139"/>
      <c r="M43" s="139">
        <v>43805</v>
      </c>
      <c r="N43" s="189">
        <v>185</v>
      </c>
      <c r="O43" s="140">
        <v>0</v>
      </c>
      <c r="Q43" s="35"/>
    </row>
    <row r="44" spans="2:17" ht="15" customHeight="1">
      <c r="B44" s="38"/>
      <c r="C44" s="30" t="s">
        <v>39</v>
      </c>
      <c r="D44" s="138" t="s">
        <v>278</v>
      </c>
      <c r="E44" s="185" t="s">
        <v>1680</v>
      </c>
      <c r="F44" s="139" t="s">
        <v>8</v>
      </c>
      <c r="G44" s="139">
        <v>21586</v>
      </c>
      <c r="H44" s="138" t="s">
        <v>199</v>
      </c>
      <c r="I44" s="139" t="s">
        <v>28</v>
      </c>
      <c r="J44" s="139">
        <v>43770</v>
      </c>
      <c r="K44" s="184">
        <v>60</v>
      </c>
      <c r="L44" s="139"/>
      <c r="M44" s="139"/>
      <c r="N44" s="189">
        <v>0</v>
      </c>
      <c r="O44" s="140">
        <v>0</v>
      </c>
      <c r="Q44" s="35"/>
    </row>
    <row r="45" spans="2:17" ht="15" customHeight="1">
      <c r="B45" s="38"/>
      <c r="C45" s="30" t="s">
        <v>39</v>
      </c>
      <c r="D45" s="138" t="s">
        <v>279</v>
      </c>
      <c r="E45" s="185" t="s">
        <v>1681</v>
      </c>
      <c r="F45" s="139" t="s">
        <v>8</v>
      </c>
      <c r="G45" s="139">
        <v>23760</v>
      </c>
      <c r="H45" s="138" t="s">
        <v>199</v>
      </c>
      <c r="I45" s="139" t="s">
        <v>28</v>
      </c>
      <c r="J45" s="139">
        <v>43764</v>
      </c>
      <c r="K45" s="184">
        <v>54</v>
      </c>
      <c r="L45" s="139"/>
      <c r="M45" s="139"/>
      <c r="N45" s="189">
        <v>0</v>
      </c>
      <c r="O45" s="140">
        <v>0</v>
      </c>
      <c r="Q45" s="35"/>
    </row>
    <row r="46" spans="2:17" ht="15" customHeight="1">
      <c r="B46" s="38"/>
      <c r="C46" s="30" t="s">
        <v>39</v>
      </c>
      <c r="D46" s="138" t="s">
        <v>280</v>
      </c>
      <c r="E46" s="185" t="s">
        <v>1682</v>
      </c>
      <c r="F46" s="139" t="s">
        <v>8</v>
      </c>
      <c r="G46" s="139">
        <v>24105</v>
      </c>
      <c r="H46" s="138" t="s">
        <v>199</v>
      </c>
      <c r="I46" s="139" t="s">
        <v>28</v>
      </c>
      <c r="J46" s="139">
        <v>43811</v>
      </c>
      <c r="K46" s="184">
        <v>54</v>
      </c>
      <c r="L46" s="139"/>
      <c r="M46" s="139"/>
      <c r="N46" s="189">
        <v>0</v>
      </c>
      <c r="O46" s="140">
        <v>0</v>
      </c>
      <c r="Q46" s="35"/>
    </row>
    <row r="47" spans="2:17" ht="15" customHeight="1">
      <c r="B47" s="38"/>
      <c r="C47" s="30" t="s">
        <v>39</v>
      </c>
      <c r="D47" s="138" t="s">
        <v>281</v>
      </c>
      <c r="E47" s="185" t="s">
        <v>1334</v>
      </c>
      <c r="F47" s="139" t="s">
        <v>8</v>
      </c>
      <c r="G47" s="139">
        <v>23454</v>
      </c>
      <c r="H47" s="138" t="s">
        <v>199</v>
      </c>
      <c r="I47" s="139" t="s">
        <v>28</v>
      </c>
      <c r="J47" s="139">
        <v>43800</v>
      </c>
      <c r="K47" s="184">
        <v>55</v>
      </c>
      <c r="L47" s="139"/>
      <c r="M47" s="139"/>
      <c r="N47" s="189">
        <v>0</v>
      </c>
      <c r="O47" s="140">
        <v>0</v>
      </c>
      <c r="Q47" s="35"/>
    </row>
    <row r="48" spans="2:17" ht="15" customHeight="1">
      <c r="B48" s="38"/>
      <c r="C48" s="30" t="s">
        <v>39</v>
      </c>
      <c r="D48" s="138" t="s">
        <v>282</v>
      </c>
      <c r="E48" s="185" t="s">
        <v>1683</v>
      </c>
      <c r="F48" s="139" t="s">
        <v>8</v>
      </c>
      <c r="G48" s="139">
        <v>25647</v>
      </c>
      <c r="H48" s="138" t="s">
        <v>199</v>
      </c>
      <c r="I48" s="139" t="s">
        <v>28</v>
      </c>
      <c r="J48" s="139">
        <v>43736</v>
      </c>
      <c r="K48" s="184">
        <v>49</v>
      </c>
      <c r="L48" s="139"/>
      <c r="M48" s="139"/>
      <c r="N48" s="189">
        <v>0</v>
      </c>
      <c r="O48" s="140">
        <v>0</v>
      </c>
      <c r="Q48" s="35"/>
    </row>
    <row r="49" spans="1:21" ht="15" customHeight="1">
      <c r="B49" s="38"/>
      <c r="C49" s="30" t="s">
        <v>39</v>
      </c>
      <c r="D49" s="138" t="s">
        <v>283</v>
      </c>
      <c r="E49" s="185" t="s">
        <v>1343</v>
      </c>
      <c r="F49" s="139" t="s">
        <v>8</v>
      </c>
      <c r="G49" s="139">
        <v>23126</v>
      </c>
      <c r="H49" s="138" t="s">
        <v>199</v>
      </c>
      <c r="I49" s="139" t="s">
        <v>28</v>
      </c>
      <c r="J49" s="139">
        <v>43800</v>
      </c>
      <c r="K49" s="184">
        <v>56</v>
      </c>
      <c r="L49" s="139">
        <v>43796</v>
      </c>
      <c r="M49" s="139"/>
      <c r="N49" s="189">
        <v>0</v>
      </c>
      <c r="O49" s="140">
        <v>14170.520000000004</v>
      </c>
      <c r="Q49" s="35"/>
    </row>
    <row r="50" spans="1:21" ht="15" customHeight="1">
      <c r="B50" s="38"/>
      <c r="C50" s="30" t="s">
        <v>39</v>
      </c>
      <c r="D50" s="138" t="s">
        <v>284</v>
      </c>
      <c r="E50" s="185" t="s">
        <v>1684</v>
      </c>
      <c r="F50" s="139" t="s">
        <v>8</v>
      </c>
      <c r="G50" s="139">
        <v>24302</v>
      </c>
      <c r="H50" s="138" t="s">
        <v>199</v>
      </c>
      <c r="I50" s="139" t="s">
        <v>28</v>
      </c>
      <c r="J50" s="139">
        <v>43520</v>
      </c>
      <c r="K50" s="184">
        <v>53</v>
      </c>
      <c r="L50" s="139">
        <v>43738</v>
      </c>
      <c r="M50" s="139"/>
      <c r="N50" s="189">
        <v>0</v>
      </c>
      <c r="O50" s="140">
        <v>4284.82</v>
      </c>
      <c r="Q50" s="35"/>
    </row>
    <row r="51" spans="1:21" ht="15" customHeight="1">
      <c r="B51" s="38"/>
      <c r="C51" s="30" t="s">
        <v>39</v>
      </c>
      <c r="D51" s="138" t="s">
        <v>285</v>
      </c>
      <c r="E51" s="185" t="s">
        <v>1685</v>
      </c>
      <c r="F51" s="139" t="s">
        <v>8</v>
      </c>
      <c r="G51" s="139">
        <v>24266</v>
      </c>
      <c r="H51" s="138" t="s">
        <v>199</v>
      </c>
      <c r="I51" s="139" t="s">
        <v>28</v>
      </c>
      <c r="J51" s="139">
        <v>43739</v>
      </c>
      <c r="K51" s="184">
        <v>53</v>
      </c>
      <c r="L51" s="139"/>
      <c r="M51" s="139"/>
      <c r="N51" s="189">
        <v>0</v>
      </c>
      <c r="O51" s="140">
        <v>0</v>
      </c>
      <c r="Q51" s="35"/>
    </row>
    <row r="52" spans="1:21" ht="15" customHeight="1">
      <c r="B52" s="38"/>
      <c r="C52" s="30" t="s">
        <v>39</v>
      </c>
      <c r="D52" s="138" t="s">
        <v>286</v>
      </c>
      <c r="E52" s="185" t="s">
        <v>1686</v>
      </c>
      <c r="F52" s="139" t="s">
        <v>10</v>
      </c>
      <c r="G52" s="139">
        <v>29776</v>
      </c>
      <c r="H52" s="138" t="s">
        <v>200</v>
      </c>
      <c r="I52" s="139" t="s">
        <v>28</v>
      </c>
      <c r="J52" s="139">
        <v>43800</v>
      </c>
      <c r="K52" s="184">
        <v>38</v>
      </c>
      <c r="L52" s="139">
        <v>43615</v>
      </c>
      <c r="M52" s="139"/>
      <c r="N52" s="189">
        <v>0</v>
      </c>
      <c r="O52" s="140">
        <v>14362.019999999991</v>
      </c>
      <c r="Q52" s="35"/>
    </row>
    <row r="53" spans="1:21" ht="15" customHeight="1">
      <c r="B53" s="38"/>
      <c r="C53" s="30" t="s">
        <v>39</v>
      </c>
      <c r="D53" s="138" t="s">
        <v>287</v>
      </c>
      <c r="E53" s="185" t="s">
        <v>1687</v>
      </c>
      <c r="F53" s="139" t="s">
        <v>8</v>
      </c>
      <c r="G53" s="139">
        <v>29729</v>
      </c>
      <c r="H53" s="138" t="s">
        <v>199</v>
      </c>
      <c r="I53" s="139" t="s">
        <v>28</v>
      </c>
      <c r="J53" s="139">
        <v>43739</v>
      </c>
      <c r="K53" s="184">
        <v>38</v>
      </c>
      <c r="L53" s="139"/>
      <c r="M53" s="139"/>
      <c r="N53" s="189">
        <v>0</v>
      </c>
      <c r="O53" s="140">
        <v>0</v>
      </c>
      <c r="Q53" s="35"/>
    </row>
    <row r="54" spans="1:21" ht="15" customHeight="1">
      <c r="B54" s="38"/>
      <c r="C54" s="30" t="s">
        <v>39</v>
      </c>
      <c r="D54" s="138" t="s">
        <v>288</v>
      </c>
      <c r="E54" s="185" t="s">
        <v>1507</v>
      </c>
      <c r="F54" s="139" t="s">
        <v>8</v>
      </c>
      <c r="G54" s="139">
        <v>23657</v>
      </c>
      <c r="H54" s="138" t="s">
        <v>199</v>
      </c>
      <c r="I54" s="139" t="s">
        <v>28</v>
      </c>
      <c r="J54" s="139">
        <v>43800</v>
      </c>
      <c r="K54" s="184">
        <v>55</v>
      </c>
      <c r="L54" s="139">
        <v>43799</v>
      </c>
      <c r="M54" s="139"/>
      <c r="N54" s="189">
        <v>0</v>
      </c>
      <c r="O54" s="140">
        <v>954.72</v>
      </c>
      <c r="Q54" s="35"/>
    </row>
    <row r="55" spans="1:21" ht="15" customHeight="1">
      <c r="B55" s="38"/>
      <c r="C55" s="30" t="s">
        <v>39</v>
      </c>
      <c r="D55" s="138" t="s">
        <v>289</v>
      </c>
      <c r="E55" s="185" t="s">
        <v>1688</v>
      </c>
      <c r="F55" s="139" t="s">
        <v>8</v>
      </c>
      <c r="G55" s="139">
        <v>28127</v>
      </c>
      <c r="H55" s="138" t="s">
        <v>200</v>
      </c>
      <c r="I55" s="139" t="s">
        <v>28</v>
      </c>
      <c r="J55" s="139">
        <v>43709</v>
      </c>
      <c r="K55" s="184">
        <v>42</v>
      </c>
      <c r="L55" s="139">
        <v>43738</v>
      </c>
      <c r="M55" s="139"/>
      <c r="N55" s="189">
        <v>0</v>
      </c>
      <c r="O55" s="140">
        <v>348.43</v>
      </c>
      <c r="Q55" s="35"/>
    </row>
    <row r="56" spans="1:21" ht="15" customHeight="1">
      <c r="B56" s="38"/>
      <c r="C56" s="30" t="s">
        <v>39</v>
      </c>
      <c r="D56" s="138" t="s">
        <v>290</v>
      </c>
      <c r="E56" s="185" t="s">
        <v>1525</v>
      </c>
      <c r="F56" s="139" t="s">
        <v>8</v>
      </c>
      <c r="G56" s="139">
        <v>21866</v>
      </c>
      <c r="H56" s="138" t="s">
        <v>199</v>
      </c>
      <c r="I56" s="139" t="s">
        <v>28</v>
      </c>
      <c r="J56" s="139">
        <v>43586</v>
      </c>
      <c r="K56" s="184">
        <v>60</v>
      </c>
      <c r="L56" s="139">
        <v>43738</v>
      </c>
      <c r="M56" s="139"/>
      <c r="N56" s="189">
        <v>0</v>
      </c>
      <c r="O56" s="140">
        <v>280.95</v>
      </c>
      <c r="Q56" s="35"/>
    </row>
    <row r="57" spans="1:21" ht="15" customHeight="1">
      <c r="B57" s="38"/>
      <c r="C57" s="30" t="s">
        <v>39</v>
      </c>
      <c r="D57" s="138" t="s">
        <v>291</v>
      </c>
      <c r="E57" s="185" t="s">
        <v>1577</v>
      </c>
      <c r="F57" s="139" t="s">
        <v>8</v>
      </c>
      <c r="G57" s="139">
        <v>23874</v>
      </c>
      <c r="H57" s="138" t="s">
        <v>199</v>
      </c>
      <c r="I57" s="139" t="s">
        <v>28</v>
      </c>
      <c r="J57" s="139">
        <v>43556</v>
      </c>
      <c r="K57" s="184">
        <v>54</v>
      </c>
      <c r="L57" s="139"/>
      <c r="M57" s="139"/>
      <c r="N57" s="189">
        <v>0</v>
      </c>
      <c r="O57" s="140">
        <v>0</v>
      </c>
      <c r="Q57" s="35"/>
    </row>
    <row r="58" spans="1:21" ht="15" customHeight="1">
      <c r="B58" s="38"/>
      <c r="E58" s="186"/>
      <c r="F58" s="182"/>
      <c r="G58" s="182"/>
      <c r="I58" s="182"/>
      <c r="J58" s="182"/>
      <c r="K58" s="187"/>
      <c r="L58" s="182"/>
      <c r="M58" s="182"/>
      <c r="N58" s="190"/>
      <c r="O58" s="183"/>
      <c r="Q58" s="35"/>
    </row>
    <row r="59" spans="1:21" ht="15" customHeight="1">
      <c r="B59" s="38"/>
      <c r="E59" s="186"/>
      <c r="F59" s="182"/>
      <c r="G59" s="182"/>
      <c r="I59" s="182"/>
      <c r="J59" s="182"/>
      <c r="K59" s="187"/>
      <c r="L59" s="182"/>
      <c r="M59" s="182"/>
      <c r="N59" s="190"/>
      <c r="O59" s="183"/>
      <c r="Q59" s="35"/>
    </row>
    <row r="60" spans="1:21" ht="15" customHeight="1">
      <c r="B60" s="38"/>
      <c r="E60" s="186"/>
      <c r="F60" s="182"/>
      <c r="G60" s="182"/>
      <c r="I60" s="182"/>
      <c r="J60" s="182"/>
      <c r="K60" s="187"/>
      <c r="L60" s="182"/>
      <c r="M60" s="182"/>
      <c r="N60" s="190"/>
      <c r="O60" s="183"/>
      <c r="Q60" s="35"/>
    </row>
    <row r="61" spans="1:21" ht="15" customHeight="1">
      <c r="B61" s="38"/>
      <c r="E61" s="186"/>
      <c r="F61" s="182"/>
      <c r="G61" s="182"/>
      <c r="I61" s="182"/>
      <c r="J61" s="182"/>
      <c r="K61" s="187"/>
      <c r="L61" s="182"/>
      <c r="M61" s="182"/>
      <c r="N61" s="190"/>
      <c r="O61" s="183"/>
      <c r="Q61" s="35"/>
    </row>
    <row r="62" spans="1:21" ht="15" customHeight="1">
      <c r="B62" s="38"/>
      <c r="E62" s="186"/>
      <c r="F62" s="182"/>
      <c r="G62" s="182"/>
      <c r="I62" s="182"/>
      <c r="J62" s="182"/>
      <c r="K62" s="187"/>
      <c r="L62" s="182"/>
      <c r="M62" s="182"/>
      <c r="N62" s="190"/>
      <c r="O62" s="183"/>
      <c r="Q62" s="35"/>
    </row>
    <row r="63" spans="1:21">
      <c r="A63" s="180"/>
      <c r="B63" s="181"/>
      <c r="D63" s="179"/>
      <c r="P63" s="46"/>
      <c r="Q63" s="60"/>
    </row>
    <row r="64" spans="1:21" ht="15" customHeight="1">
      <c r="C64" s="57"/>
      <c r="D64" s="135"/>
      <c r="E64" s="135"/>
      <c r="F64" s="135"/>
      <c r="G64" s="135"/>
      <c r="H64" s="135"/>
      <c r="I64" s="135"/>
      <c r="J64" s="135"/>
      <c r="K64" s="135"/>
      <c r="L64" s="135"/>
      <c r="M64" s="135"/>
      <c r="N64" s="135"/>
      <c r="O64" s="135"/>
      <c r="P64" s="57"/>
      <c r="Q64" s="57"/>
      <c r="U64" s="29"/>
    </row>
    <row r="65" spans="4:15">
      <c r="D65" s="165"/>
      <c r="E65" s="165"/>
      <c r="F65" s="165"/>
      <c r="G65" s="165"/>
      <c r="H65" s="165"/>
      <c r="I65" s="165"/>
      <c r="J65" s="165"/>
      <c r="K65" s="165"/>
      <c r="L65" s="165"/>
      <c r="M65" s="165"/>
      <c r="N65" s="165"/>
      <c r="O65" s="165"/>
    </row>
  </sheetData>
  <pageMargins left="0.70866141732283472" right="0.70866141732283472" top="0.74803149606299213" bottom="0.74803149606299213" header="0.31496062992125984" footer="0.31496062992125984"/>
  <pageSetup paperSize="9" scale="40" fitToHeight="100" orientation="portrait" r:id="rId1"/>
  <headerFooter>
    <oddFooter>&amp;C&amp;F   &amp;A  &amp;P/&amp;N   &amp;D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4" tint="0.79998168889431442"/>
    <pageSetUpPr fitToPage="1"/>
  </sheetPr>
  <dimension ref="A1:U47"/>
  <sheetViews>
    <sheetView showGridLines="0" zoomScale="70" zoomScaleNormal="70" workbookViewId="0">
      <selection activeCell="A38" sqref="A38:XFD38"/>
    </sheetView>
  </sheetViews>
  <sheetFormatPr defaultColWidth="11.42578125" defaultRowHeight="15"/>
  <cols>
    <col min="1" max="1" width="2.85546875" style="14" customWidth="1"/>
    <col min="2" max="2" width="4.28515625" style="78" customWidth="1"/>
    <col min="3" max="3" width="28.7109375" style="78" customWidth="1"/>
    <col min="4" max="9" width="11.42578125" style="78" customWidth="1"/>
    <col min="10" max="10" width="20" style="78" customWidth="1"/>
    <col min="11" max="11" width="34.28515625" style="78" customWidth="1"/>
    <col min="12" max="15" width="11.42578125" style="78" customWidth="1"/>
    <col min="16" max="16" width="2.5703125" style="78" customWidth="1"/>
    <col min="17" max="17" width="4.140625" style="78" customWidth="1"/>
    <col min="18" max="18" width="2.85546875" style="78" customWidth="1"/>
    <col min="19" max="20" width="11.42578125" style="78" customWidth="1"/>
    <col min="21" max="21" width="19.7109375" style="78" bestFit="1" customWidth="1"/>
    <col min="22" max="25" width="11.42578125" style="78" customWidth="1"/>
    <col min="26" max="16384" width="11.42578125" style="78"/>
  </cols>
  <sheetData>
    <row r="1" spans="2:21" ht="15" customHeight="1"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2:21" ht="15" customHeight="1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  <c r="U2" s="29"/>
    </row>
    <row r="3" spans="2:21" ht="15" customHeight="1">
      <c r="B3" s="38"/>
      <c r="Q3" s="35"/>
    </row>
    <row r="4" spans="2:21" ht="15" customHeight="1">
      <c r="B4" s="38"/>
      <c r="Q4" s="35"/>
    </row>
    <row r="5" spans="2:21" ht="15" customHeight="1">
      <c r="B5" s="38"/>
      <c r="Q5" s="35"/>
    </row>
    <row r="6" spans="2:21" ht="15" customHeight="1">
      <c r="B6" s="38"/>
      <c r="Q6" s="35"/>
    </row>
    <row r="7" spans="2:21" ht="15" customHeight="1">
      <c r="B7" s="38"/>
      <c r="Q7" s="35"/>
    </row>
    <row r="8" spans="2:21" ht="30">
      <c r="B8" s="38"/>
      <c r="C8" s="101" t="str">
        <f>'Page de garde'!J13&amp;" : Statistiques DECES au "&amp;'Page de garde'!J23</f>
        <v>PREVOYANCE_ : Statistiques DECES au 31 décembre 2019</v>
      </c>
      <c r="D8" s="102"/>
      <c r="E8" s="102"/>
      <c r="F8" s="102"/>
      <c r="G8" s="102"/>
      <c r="H8" s="102"/>
      <c r="I8" s="102"/>
      <c r="J8" s="102"/>
      <c r="K8" s="102"/>
      <c r="L8" s="102"/>
      <c r="M8" s="103"/>
      <c r="Q8" s="35"/>
    </row>
    <row r="9" spans="2:21" ht="14.25" customHeight="1">
      <c r="B9" s="38"/>
      <c r="Q9" s="35"/>
    </row>
    <row r="10" spans="2:21" ht="15" customHeight="1">
      <c r="B10" s="38"/>
      <c r="Q10" s="35"/>
    </row>
    <row r="11" spans="2:21" ht="15" customHeight="1">
      <c r="B11" s="38"/>
      <c r="C11" s="126" t="s">
        <v>0</v>
      </c>
      <c r="K11" s="127" t="s">
        <v>304</v>
      </c>
      <c r="Q11" s="35"/>
    </row>
    <row r="12" spans="2:21" ht="13.5" customHeight="1">
      <c r="B12" s="38"/>
      <c r="Q12" s="35"/>
    </row>
    <row r="13" spans="2:21" ht="45">
      <c r="B13" s="38"/>
      <c r="C13" s="130" t="s">
        <v>2</v>
      </c>
      <c r="D13" s="130" t="s">
        <v>305</v>
      </c>
      <c r="E13" s="130" t="s">
        <v>302</v>
      </c>
      <c r="F13" s="156"/>
      <c r="K13" s="130" t="s">
        <v>6</v>
      </c>
      <c r="L13" s="130" t="s">
        <v>306</v>
      </c>
      <c r="M13" s="130" t="s">
        <v>307</v>
      </c>
      <c r="Q13" s="35"/>
    </row>
    <row r="14" spans="2:21" ht="15" customHeight="1">
      <c r="B14" s="38"/>
      <c r="C14" s="147" t="s">
        <v>8</v>
      </c>
      <c r="D14" s="148">
        <v>28</v>
      </c>
      <c r="E14" s="149">
        <v>52</v>
      </c>
      <c r="F14" s="157"/>
      <c r="K14" s="147" t="s">
        <v>9</v>
      </c>
      <c r="L14" s="147">
        <v>2</v>
      </c>
      <c r="M14" s="151">
        <v>4.2553191489361701E-2</v>
      </c>
      <c r="Q14" s="35"/>
    </row>
    <row r="15" spans="2:21" ht="15" customHeight="1">
      <c r="B15" s="38"/>
      <c r="C15" s="147" t="s">
        <v>10</v>
      </c>
      <c r="D15" s="148">
        <v>19</v>
      </c>
      <c r="E15" s="149">
        <v>56.94736842105263</v>
      </c>
      <c r="F15" s="157"/>
      <c r="K15" s="147" t="s">
        <v>11</v>
      </c>
      <c r="L15" s="147">
        <v>0</v>
      </c>
      <c r="M15" s="151">
        <v>0</v>
      </c>
      <c r="Q15" s="35"/>
    </row>
    <row r="16" spans="2:21" ht="15" customHeight="1">
      <c r="B16" s="38"/>
      <c r="C16" s="130" t="s">
        <v>12</v>
      </c>
      <c r="D16" s="130">
        <v>47</v>
      </c>
      <c r="E16" s="150">
        <v>54</v>
      </c>
      <c r="F16" s="158"/>
      <c r="K16" s="147" t="s">
        <v>13</v>
      </c>
      <c r="L16" s="147">
        <v>0</v>
      </c>
      <c r="M16" s="151">
        <v>0</v>
      </c>
      <c r="Q16" s="35"/>
    </row>
    <row r="17" spans="2:17" ht="15" customHeight="1">
      <c r="B17" s="38"/>
      <c r="K17" s="147" t="s">
        <v>14</v>
      </c>
      <c r="L17" s="147">
        <v>1</v>
      </c>
      <c r="M17" s="151">
        <v>2.1276595744680851E-2</v>
      </c>
      <c r="Q17" s="35"/>
    </row>
    <row r="18" spans="2:17" ht="15" customHeight="1">
      <c r="B18" s="38"/>
      <c r="K18" s="147" t="s">
        <v>15</v>
      </c>
      <c r="L18" s="147">
        <v>4</v>
      </c>
      <c r="M18" s="151">
        <v>8.5106382978723402E-2</v>
      </c>
      <c r="Q18" s="35"/>
    </row>
    <row r="19" spans="2:17" ht="15" customHeight="1">
      <c r="B19" s="38"/>
      <c r="K19" s="147" t="s">
        <v>16</v>
      </c>
      <c r="L19" s="147">
        <v>3</v>
      </c>
      <c r="M19" s="151">
        <v>6.3829787234042548E-2</v>
      </c>
      <c r="Q19" s="35"/>
    </row>
    <row r="20" spans="2:17" ht="15" customHeight="1">
      <c r="B20" s="38"/>
      <c r="K20" s="147" t="s">
        <v>17</v>
      </c>
      <c r="L20" s="147">
        <v>7</v>
      </c>
      <c r="M20" s="151">
        <v>0.14893617021276595</v>
      </c>
      <c r="Q20" s="35"/>
    </row>
    <row r="21" spans="2:17" ht="15" customHeight="1">
      <c r="B21" s="38"/>
      <c r="K21" s="147" t="s">
        <v>18</v>
      </c>
      <c r="L21" s="147">
        <v>14</v>
      </c>
      <c r="M21" s="151">
        <v>0.2978723404255319</v>
      </c>
      <c r="Q21" s="35"/>
    </row>
    <row r="22" spans="2:17" ht="15" customHeight="1">
      <c r="B22" s="38"/>
      <c r="K22" s="147" t="s">
        <v>19</v>
      </c>
      <c r="L22" s="147">
        <v>16</v>
      </c>
      <c r="M22" s="151">
        <v>0.34042553191489361</v>
      </c>
      <c r="Q22" s="35"/>
    </row>
    <row r="23" spans="2:17" ht="15" customHeight="1">
      <c r="B23" s="38"/>
      <c r="K23" s="130" t="s">
        <v>12</v>
      </c>
      <c r="L23" s="130">
        <v>47</v>
      </c>
      <c r="M23" s="152">
        <v>1</v>
      </c>
      <c r="Q23" s="35"/>
    </row>
    <row r="24" spans="2:17" ht="15" customHeight="1">
      <c r="B24" s="38"/>
      <c r="Q24" s="35"/>
    </row>
    <row r="25" spans="2:17" ht="15" customHeight="1">
      <c r="B25" s="38"/>
      <c r="Q25" s="35"/>
    </row>
    <row r="26" spans="2:17" ht="15" customHeight="1">
      <c r="B26" s="38"/>
      <c r="Q26" s="35"/>
    </row>
    <row r="27" spans="2:17" ht="15" customHeight="1">
      <c r="B27" s="38"/>
      <c r="Q27" s="35"/>
    </row>
    <row r="28" spans="2:17" ht="15" customHeight="1">
      <c r="B28" s="38"/>
      <c r="Q28" s="35"/>
    </row>
    <row r="29" spans="2:17" ht="15" customHeight="1">
      <c r="B29" s="38"/>
      <c r="Q29" s="35"/>
    </row>
    <row r="30" spans="2:17">
      <c r="B30" s="38"/>
      <c r="Q30" s="35"/>
    </row>
    <row r="31" spans="2:17" ht="12" customHeight="1">
      <c r="B31" s="38"/>
      <c r="Q31" s="35"/>
    </row>
    <row r="32" spans="2:17" ht="15" customHeight="1">
      <c r="B32" s="38"/>
      <c r="Q32" s="35"/>
    </row>
    <row r="33" spans="1:17" ht="15" customHeight="1">
      <c r="B33" s="38"/>
      <c r="Q33" s="35"/>
    </row>
    <row r="34" spans="1:17" ht="15" customHeight="1">
      <c r="B34" s="38"/>
      <c r="C34" s="26" t="s">
        <v>308</v>
      </c>
      <c r="Q34" s="35"/>
    </row>
    <row r="35" spans="1:17" ht="15" customHeight="1">
      <c r="B35" s="38"/>
      <c r="Q35" s="35"/>
    </row>
    <row r="36" spans="1:17" ht="15" customHeight="1">
      <c r="B36" s="38"/>
      <c r="C36" s="26"/>
      <c r="D36" s="130" t="s">
        <v>3</v>
      </c>
      <c r="E36" s="130" t="s">
        <v>4</v>
      </c>
      <c r="Q36" s="35"/>
    </row>
    <row r="37" spans="1:17" ht="15" customHeight="1">
      <c r="B37" s="38"/>
      <c r="C37" s="153" t="s">
        <v>204</v>
      </c>
      <c r="D37" s="154">
        <v>30</v>
      </c>
      <c r="E37" s="155">
        <v>54.2</v>
      </c>
      <c r="Q37" s="35"/>
    </row>
    <row r="38" spans="1:17" s="165" customFormat="1" ht="15" customHeight="1">
      <c r="A38" s="14"/>
      <c r="B38" s="38"/>
      <c r="C38" s="153" t="s">
        <v>201</v>
      </c>
      <c r="D38" s="154">
        <v>16</v>
      </c>
      <c r="E38" s="155">
        <v>56.0625</v>
      </c>
      <c r="Q38" s="35"/>
    </row>
    <row r="39" spans="1:17" s="165" customFormat="1" ht="15" customHeight="1">
      <c r="A39" s="14"/>
      <c r="B39" s="38"/>
      <c r="C39" s="153" t="s">
        <v>238</v>
      </c>
      <c r="D39" s="154">
        <v>1</v>
      </c>
      <c r="E39" s="155">
        <v>15</v>
      </c>
      <c r="Q39" s="35"/>
    </row>
    <row r="40" spans="1:17" ht="15" customHeight="1">
      <c r="B40" s="38"/>
      <c r="C40" s="153" t="s">
        <v>12</v>
      </c>
      <c r="D40" s="154">
        <v>47</v>
      </c>
      <c r="E40" s="155">
        <v>54</v>
      </c>
      <c r="Q40" s="35"/>
    </row>
    <row r="41" spans="1:17" s="165" customFormat="1" ht="15" customHeight="1">
      <c r="A41" s="14"/>
      <c r="B41" s="38"/>
      <c r="C41" s="127"/>
      <c r="D41" s="169"/>
      <c r="E41" s="170"/>
      <c r="Q41" s="35"/>
    </row>
    <row r="42" spans="1:17" ht="15" customHeight="1">
      <c r="B42" s="38"/>
      <c r="Q42" s="35"/>
    </row>
    <row r="43" spans="1:17" ht="15" customHeight="1">
      <c r="B43" s="38"/>
      <c r="Q43" s="35"/>
    </row>
    <row r="44" spans="1:17" ht="15" customHeight="1">
      <c r="B44" s="38"/>
      <c r="Q44" s="35"/>
    </row>
    <row r="45" spans="1:17" ht="15" customHeight="1">
      <c r="B45" s="38"/>
      <c r="Q45" s="35"/>
    </row>
    <row r="46" spans="1:17" ht="15" customHeight="1">
      <c r="B46" s="45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60"/>
    </row>
    <row r="47" spans="1:17" ht="15" customHeight="1"/>
  </sheetData>
  <pageMargins left="0.70866141732283472" right="0.70866141732283472" top="0.74803149606299213" bottom="0.74803149606299213" header="0.31496062992125984" footer="0.31496062992125984"/>
  <pageSetup paperSize="9" scale="62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4" tint="0.79998168889431442"/>
    <pageSetUpPr fitToPage="1"/>
  </sheetPr>
  <dimension ref="A1:U67"/>
  <sheetViews>
    <sheetView showGridLines="0" zoomScaleNormal="100" workbookViewId="0">
      <selection activeCell="A14" sqref="A14:XFD14"/>
    </sheetView>
  </sheetViews>
  <sheetFormatPr defaultColWidth="11.42578125" defaultRowHeight="15"/>
  <cols>
    <col min="1" max="1" width="2.85546875" style="14" customWidth="1"/>
    <col min="2" max="2" width="4.28515625" style="165" customWidth="1"/>
    <col min="3" max="3" width="21.42578125" style="165" customWidth="1"/>
    <col min="4" max="4" width="12" style="136" customWidth="1"/>
    <col min="5" max="5" width="24.85546875" style="136" bestFit="1" customWidth="1"/>
    <col min="6" max="6" width="8.28515625" style="136" bestFit="1" customWidth="1"/>
    <col min="7" max="7" width="13.5703125" style="136" customWidth="1"/>
    <col min="8" max="8" width="10.28515625" style="136" bestFit="1" customWidth="1"/>
    <col min="9" max="9" width="19.7109375" style="136" customWidth="1"/>
    <col min="10" max="10" width="10.7109375" style="136" bestFit="1" customWidth="1"/>
    <col min="11" max="11" width="11.85546875" style="136" bestFit="1" customWidth="1"/>
    <col min="12" max="13" width="15" style="136" customWidth="1"/>
    <col min="14" max="14" width="12.5703125" style="136" bestFit="1" customWidth="1"/>
    <col min="15" max="15" width="15" style="136" customWidth="1"/>
    <col min="16" max="16" width="11.42578125" style="165" customWidth="1"/>
    <col min="17" max="17" width="4.140625" style="165" customWidth="1"/>
    <col min="18" max="18" width="2.85546875" style="165" customWidth="1"/>
    <col min="19" max="20" width="11.42578125" style="165" customWidth="1"/>
    <col min="21" max="21" width="19.7109375" style="165" bestFit="1" customWidth="1"/>
    <col min="22" max="25" width="11.42578125" style="165" customWidth="1"/>
    <col min="26" max="16384" width="11.42578125" style="165"/>
  </cols>
  <sheetData>
    <row r="1" spans="2:21" ht="15" customHeight="1">
      <c r="B1" s="14">
        <v>2</v>
      </c>
      <c r="C1" s="1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4"/>
      <c r="Q1" s="14"/>
      <c r="R1" s="14"/>
    </row>
    <row r="2" spans="2:21" ht="15" customHeight="1">
      <c r="B2" s="56"/>
      <c r="C2" s="57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57"/>
      <c r="Q2" s="58"/>
      <c r="U2" s="29"/>
    </row>
    <row r="3" spans="2:21" ht="15" customHeight="1">
      <c r="B3" s="38"/>
      <c r="Q3" s="35"/>
    </row>
    <row r="4" spans="2:21" ht="15" customHeight="1">
      <c r="B4" s="38"/>
      <c r="Q4" s="35"/>
    </row>
    <row r="5" spans="2:21" ht="15" customHeight="1">
      <c r="B5" s="38"/>
      <c r="Q5" s="35"/>
    </row>
    <row r="6" spans="2:21" ht="15" customHeight="1">
      <c r="B6" s="38"/>
      <c r="Q6" s="35"/>
    </row>
    <row r="7" spans="2:21" ht="15" customHeight="1" thickBot="1">
      <c r="B7" s="38"/>
      <c r="Q7" s="35"/>
    </row>
    <row r="8" spans="2:21" ht="30.75" thickBot="1">
      <c r="B8" s="38"/>
      <c r="C8" s="101" t="str">
        <f>'Page de garde'!J13&amp;" : Liste des assurés DECEDES au "&amp;'Page de garde'!J23</f>
        <v>PREVOYANCE_ : Liste des assurés DECEDES au 31 décembre 2019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Q8" s="35"/>
    </row>
    <row r="9" spans="2:21" ht="15" customHeight="1">
      <c r="B9" s="38"/>
      <c r="Q9" s="35"/>
    </row>
    <row r="10" spans="2:21" ht="15" customHeight="1">
      <c r="B10" s="38"/>
      <c r="Q10" s="35"/>
    </row>
    <row r="11" spans="2:21" ht="15" customHeight="1">
      <c r="B11" s="38"/>
      <c r="Q11" s="35"/>
    </row>
    <row r="12" spans="2:21" ht="45">
      <c r="B12" s="188"/>
      <c r="C12" s="166" t="s">
        <v>62</v>
      </c>
      <c r="D12" s="166" t="s">
        <v>940</v>
      </c>
      <c r="E12" s="166" t="s">
        <v>945</v>
      </c>
      <c r="F12" s="166" t="s">
        <v>941</v>
      </c>
      <c r="G12" s="166" t="s">
        <v>942</v>
      </c>
      <c r="H12" s="166" t="s">
        <v>41</v>
      </c>
      <c r="I12" s="166" t="s">
        <v>939</v>
      </c>
      <c r="J12" s="166" t="s">
        <v>1689</v>
      </c>
      <c r="K12" s="166" t="s">
        <v>1690</v>
      </c>
      <c r="L12" s="166" t="s">
        <v>944</v>
      </c>
      <c r="M12" s="166" t="s">
        <v>951</v>
      </c>
      <c r="N12" s="166"/>
      <c r="O12" s="166" t="s">
        <v>1691</v>
      </c>
      <c r="Q12" s="35"/>
    </row>
    <row r="13" spans="2:21" ht="15" customHeight="1">
      <c r="B13" s="38"/>
      <c r="C13" s="30" t="s">
        <v>39</v>
      </c>
      <c r="D13" s="138" t="s">
        <v>205</v>
      </c>
      <c r="E13" s="185" t="s">
        <v>1692</v>
      </c>
      <c r="F13" s="139" t="s">
        <v>8</v>
      </c>
      <c r="G13" s="139">
        <v>24583</v>
      </c>
      <c r="H13" s="138" t="s">
        <v>199</v>
      </c>
      <c r="I13" s="139" t="s">
        <v>204</v>
      </c>
      <c r="J13" s="139">
        <v>43733</v>
      </c>
      <c r="K13" s="184">
        <v>52</v>
      </c>
      <c r="L13" s="139">
        <v>43733</v>
      </c>
      <c r="M13" s="139">
        <v>43733</v>
      </c>
      <c r="N13" s="189"/>
      <c r="O13" s="140">
        <v>56611.62</v>
      </c>
      <c r="Q13" s="35"/>
    </row>
    <row r="14" spans="2:21" ht="15" customHeight="1">
      <c r="B14" s="38"/>
      <c r="C14" s="30" t="s">
        <v>39</v>
      </c>
      <c r="D14" s="138" t="s">
        <v>206</v>
      </c>
      <c r="E14" s="185" t="s">
        <v>1693</v>
      </c>
      <c r="F14" s="139" t="s">
        <v>8</v>
      </c>
      <c r="G14" s="139">
        <v>24642</v>
      </c>
      <c r="H14" s="138" t="s">
        <v>199</v>
      </c>
      <c r="I14" s="139" t="s">
        <v>204</v>
      </c>
      <c r="J14" s="139">
        <v>43582</v>
      </c>
      <c r="K14" s="184">
        <v>52</v>
      </c>
      <c r="L14" s="139">
        <v>43582</v>
      </c>
      <c r="M14" s="139">
        <v>43582</v>
      </c>
      <c r="N14" s="189"/>
      <c r="O14" s="140">
        <v>33451</v>
      </c>
      <c r="Q14" s="35"/>
    </row>
    <row r="15" spans="2:21" ht="15" customHeight="1">
      <c r="B15" s="38"/>
      <c r="C15" s="30" t="s">
        <v>39</v>
      </c>
      <c r="D15" s="138" t="s">
        <v>207</v>
      </c>
      <c r="E15" s="185" t="s">
        <v>1694</v>
      </c>
      <c r="F15" s="139" t="s">
        <v>8</v>
      </c>
      <c r="G15" s="139">
        <v>24880</v>
      </c>
      <c r="H15" s="138" t="s">
        <v>199</v>
      </c>
      <c r="I15" s="139" t="s">
        <v>204</v>
      </c>
      <c r="J15" s="139">
        <v>43599</v>
      </c>
      <c r="K15" s="184">
        <v>51</v>
      </c>
      <c r="L15" s="139"/>
      <c r="M15" s="139">
        <v>43599</v>
      </c>
      <c r="N15" s="189"/>
      <c r="O15" s="140">
        <v>0</v>
      </c>
      <c r="Q15" s="35"/>
    </row>
    <row r="16" spans="2:21" ht="15" customHeight="1">
      <c r="B16" s="38"/>
      <c r="C16" s="30" t="s">
        <v>39</v>
      </c>
      <c r="D16" s="138" t="s">
        <v>211</v>
      </c>
      <c r="E16" s="185" t="s">
        <v>1695</v>
      </c>
      <c r="F16" s="139" t="s">
        <v>8</v>
      </c>
      <c r="G16" s="139">
        <v>21154</v>
      </c>
      <c r="H16" s="138" t="s">
        <v>199</v>
      </c>
      <c r="I16" s="139" t="s">
        <v>204</v>
      </c>
      <c r="J16" s="139">
        <v>43487</v>
      </c>
      <c r="K16" s="184">
        <v>62</v>
      </c>
      <c r="L16" s="139">
        <v>43487</v>
      </c>
      <c r="M16" s="139">
        <v>43487</v>
      </c>
      <c r="N16" s="189"/>
      <c r="O16" s="140">
        <v>15606.91</v>
      </c>
      <c r="Q16" s="35"/>
    </row>
    <row r="17" spans="2:17" ht="15" customHeight="1">
      <c r="B17" s="38"/>
      <c r="C17" s="30" t="s">
        <v>39</v>
      </c>
      <c r="D17" s="138" t="s">
        <v>212</v>
      </c>
      <c r="E17" s="185" t="s">
        <v>1696</v>
      </c>
      <c r="F17" s="139" t="s">
        <v>8</v>
      </c>
      <c r="G17" s="139">
        <v>21165</v>
      </c>
      <c r="H17" s="138" t="s">
        <v>199</v>
      </c>
      <c r="I17" s="139" t="s">
        <v>204</v>
      </c>
      <c r="J17" s="139">
        <v>43729</v>
      </c>
      <c r="K17" s="184">
        <v>62</v>
      </c>
      <c r="L17" s="139">
        <v>43729</v>
      </c>
      <c r="M17" s="139">
        <v>43729</v>
      </c>
      <c r="N17" s="189"/>
      <c r="O17" s="140">
        <v>51065</v>
      </c>
      <c r="Q17" s="35"/>
    </row>
    <row r="18" spans="2:17" ht="15" customHeight="1">
      <c r="B18" s="38"/>
      <c r="C18" s="30" t="s">
        <v>39</v>
      </c>
      <c r="D18" s="138" t="s">
        <v>214</v>
      </c>
      <c r="E18" s="185" t="s">
        <v>1697</v>
      </c>
      <c r="F18" s="139" t="s">
        <v>8</v>
      </c>
      <c r="G18" s="139">
        <v>21697</v>
      </c>
      <c r="H18" s="138" t="s">
        <v>199</v>
      </c>
      <c r="I18" s="139" t="s">
        <v>204</v>
      </c>
      <c r="J18" s="139">
        <v>43591</v>
      </c>
      <c r="K18" s="184">
        <v>60</v>
      </c>
      <c r="L18" s="139">
        <v>43591</v>
      </c>
      <c r="M18" s="139">
        <v>43591</v>
      </c>
      <c r="N18" s="189"/>
      <c r="O18" s="140">
        <v>1029</v>
      </c>
      <c r="Q18" s="35"/>
    </row>
    <row r="19" spans="2:17" ht="15" customHeight="1">
      <c r="B19" s="38"/>
      <c r="C19" s="30" t="s">
        <v>39</v>
      </c>
      <c r="D19" s="138" t="s">
        <v>215</v>
      </c>
      <c r="E19" s="185" t="s">
        <v>1698</v>
      </c>
      <c r="F19" s="139" t="s">
        <v>8</v>
      </c>
      <c r="G19" s="139">
        <v>21815</v>
      </c>
      <c r="H19" s="138" t="s">
        <v>199</v>
      </c>
      <c r="I19" s="139" t="s">
        <v>204</v>
      </c>
      <c r="J19" s="139">
        <v>43632</v>
      </c>
      <c r="K19" s="184">
        <v>60</v>
      </c>
      <c r="L19" s="139">
        <v>43632</v>
      </c>
      <c r="M19" s="139">
        <v>43632</v>
      </c>
      <c r="N19" s="189"/>
      <c r="O19" s="140">
        <v>13009</v>
      </c>
      <c r="Q19" s="35"/>
    </row>
    <row r="20" spans="2:17" ht="15" customHeight="1">
      <c r="B20" s="38"/>
      <c r="C20" s="30" t="s">
        <v>39</v>
      </c>
      <c r="D20" s="138" t="s">
        <v>216</v>
      </c>
      <c r="E20" s="185" t="s">
        <v>1699</v>
      </c>
      <c r="F20" s="139" t="s">
        <v>8</v>
      </c>
      <c r="G20" s="139">
        <v>21874</v>
      </c>
      <c r="H20" s="138" t="s">
        <v>200</v>
      </c>
      <c r="I20" s="139" t="s">
        <v>204</v>
      </c>
      <c r="J20" s="139">
        <v>43475</v>
      </c>
      <c r="K20" s="184">
        <v>60</v>
      </c>
      <c r="L20" s="139">
        <v>43475</v>
      </c>
      <c r="M20" s="139">
        <v>4658</v>
      </c>
      <c r="N20" s="189"/>
      <c r="O20" s="140">
        <v>19444</v>
      </c>
      <c r="Q20" s="35"/>
    </row>
    <row r="21" spans="2:17" ht="15" customHeight="1">
      <c r="B21" s="38"/>
      <c r="C21" s="30" t="s">
        <v>39</v>
      </c>
      <c r="D21" s="138" t="s">
        <v>216</v>
      </c>
      <c r="E21" s="185" t="s">
        <v>1699</v>
      </c>
      <c r="F21" s="139" t="s">
        <v>8</v>
      </c>
      <c r="G21" s="139">
        <v>21874</v>
      </c>
      <c r="H21" s="138" t="s">
        <v>200</v>
      </c>
      <c r="I21" s="139" t="s">
        <v>204</v>
      </c>
      <c r="J21" s="139">
        <v>43475</v>
      </c>
      <c r="K21" s="184">
        <v>60</v>
      </c>
      <c r="L21" s="139">
        <v>43475</v>
      </c>
      <c r="M21" s="139">
        <v>43475</v>
      </c>
      <c r="N21" s="189"/>
      <c r="O21" s="140">
        <v>19444</v>
      </c>
      <c r="Q21" s="35"/>
    </row>
    <row r="22" spans="2:17" ht="15" customHeight="1">
      <c r="B22" s="38"/>
      <c r="C22" s="30" t="s">
        <v>39</v>
      </c>
      <c r="D22" s="138" t="s">
        <v>217</v>
      </c>
      <c r="E22" s="185" t="s">
        <v>1700</v>
      </c>
      <c r="F22" s="139" t="s">
        <v>10</v>
      </c>
      <c r="G22" s="139">
        <v>23307</v>
      </c>
      <c r="H22" s="138" t="s">
        <v>200</v>
      </c>
      <c r="I22" s="139" t="s">
        <v>204</v>
      </c>
      <c r="J22" s="139">
        <v>43802</v>
      </c>
      <c r="K22" s="184">
        <v>56</v>
      </c>
      <c r="L22" s="139"/>
      <c r="M22" s="139">
        <v>43802</v>
      </c>
      <c r="N22" s="189"/>
      <c r="O22" s="140">
        <v>0</v>
      </c>
      <c r="Q22" s="35"/>
    </row>
    <row r="23" spans="2:17" ht="15" customHeight="1">
      <c r="B23" s="38"/>
      <c r="C23" s="30" t="s">
        <v>39</v>
      </c>
      <c r="D23" s="138" t="s">
        <v>218</v>
      </c>
      <c r="E23" s="185" t="s">
        <v>1104</v>
      </c>
      <c r="F23" s="139" t="s">
        <v>8</v>
      </c>
      <c r="G23" s="139">
        <v>22692</v>
      </c>
      <c r="H23" s="138" t="s">
        <v>200</v>
      </c>
      <c r="I23" s="139" t="s">
        <v>204</v>
      </c>
      <c r="J23" s="139">
        <v>43642</v>
      </c>
      <c r="K23" s="184">
        <v>57</v>
      </c>
      <c r="L23" s="139">
        <v>43642</v>
      </c>
      <c r="M23" s="139">
        <v>43642</v>
      </c>
      <c r="N23" s="189"/>
      <c r="O23" s="140">
        <v>122801.86</v>
      </c>
      <c r="Q23" s="35"/>
    </row>
    <row r="24" spans="2:17" ht="15" customHeight="1">
      <c r="B24" s="38"/>
      <c r="C24" s="30" t="s">
        <v>39</v>
      </c>
      <c r="D24" s="138" t="s">
        <v>220</v>
      </c>
      <c r="E24" s="185" t="s">
        <v>1701</v>
      </c>
      <c r="F24" s="139" t="s">
        <v>8</v>
      </c>
      <c r="G24" s="139">
        <v>23756</v>
      </c>
      <c r="H24" s="138" t="s">
        <v>199</v>
      </c>
      <c r="I24" s="139" t="s">
        <v>204</v>
      </c>
      <c r="J24" s="139">
        <v>43743</v>
      </c>
      <c r="K24" s="184">
        <v>54</v>
      </c>
      <c r="L24" s="139"/>
      <c r="M24" s="139">
        <v>43743</v>
      </c>
      <c r="N24" s="189"/>
      <c r="O24" s="140">
        <v>0</v>
      </c>
      <c r="Q24" s="35"/>
    </row>
    <row r="25" spans="2:17" ht="15" customHeight="1">
      <c r="B25" s="38"/>
      <c r="C25" s="30" t="s">
        <v>39</v>
      </c>
      <c r="D25" s="138" t="s">
        <v>223</v>
      </c>
      <c r="E25" s="185" t="s">
        <v>1702</v>
      </c>
      <c r="F25" s="139" t="s">
        <v>8</v>
      </c>
      <c r="G25" s="139">
        <v>27044</v>
      </c>
      <c r="H25" s="138" t="s">
        <v>199</v>
      </c>
      <c r="I25" s="139" t="s">
        <v>204</v>
      </c>
      <c r="J25" s="139">
        <v>43705</v>
      </c>
      <c r="K25" s="184">
        <v>45</v>
      </c>
      <c r="L25" s="139">
        <v>43705</v>
      </c>
      <c r="M25" s="139">
        <v>43705</v>
      </c>
      <c r="N25" s="189"/>
      <c r="O25" s="140">
        <v>59056.2</v>
      </c>
      <c r="Q25" s="35"/>
    </row>
    <row r="26" spans="2:17" ht="15" customHeight="1">
      <c r="B26" s="38"/>
      <c r="C26" s="30" t="s">
        <v>39</v>
      </c>
      <c r="D26" s="138" t="s">
        <v>146</v>
      </c>
      <c r="E26" s="185" t="s">
        <v>1201</v>
      </c>
      <c r="F26" s="139" t="s">
        <v>8</v>
      </c>
      <c r="G26" s="139">
        <v>23502</v>
      </c>
      <c r="H26" s="138" t="s">
        <v>200</v>
      </c>
      <c r="I26" s="139" t="s">
        <v>204</v>
      </c>
      <c r="J26" s="139">
        <v>43715</v>
      </c>
      <c r="K26" s="184">
        <v>55</v>
      </c>
      <c r="L26" s="139">
        <v>43715</v>
      </c>
      <c r="M26" s="139">
        <v>43715</v>
      </c>
      <c r="N26" s="189"/>
      <c r="O26" s="140">
        <v>195587.47</v>
      </c>
      <c r="Q26" s="35"/>
    </row>
    <row r="27" spans="2:17" ht="15" customHeight="1">
      <c r="B27" s="38"/>
      <c r="C27" s="30" t="s">
        <v>39</v>
      </c>
      <c r="D27" s="138" t="s">
        <v>225</v>
      </c>
      <c r="E27" s="185" t="s">
        <v>1703</v>
      </c>
      <c r="F27" s="139" t="s">
        <v>8</v>
      </c>
      <c r="G27" s="139">
        <v>22421</v>
      </c>
      <c r="H27" s="138" t="s">
        <v>199</v>
      </c>
      <c r="I27" s="139" t="s">
        <v>204</v>
      </c>
      <c r="J27" s="139">
        <v>43603</v>
      </c>
      <c r="K27" s="184">
        <v>58</v>
      </c>
      <c r="L27" s="139"/>
      <c r="M27" s="139">
        <v>43603</v>
      </c>
      <c r="N27" s="189"/>
      <c r="O27" s="140">
        <v>0</v>
      </c>
      <c r="Q27" s="35"/>
    </row>
    <row r="28" spans="2:17" ht="15" customHeight="1">
      <c r="B28" s="38"/>
      <c r="C28" s="30" t="s">
        <v>39</v>
      </c>
      <c r="D28" s="138" t="s">
        <v>227</v>
      </c>
      <c r="E28" s="185" t="s">
        <v>1704</v>
      </c>
      <c r="F28" s="139" t="s">
        <v>8</v>
      </c>
      <c r="G28" s="139">
        <v>26426</v>
      </c>
      <c r="H28" s="138" t="s">
        <v>200</v>
      </c>
      <c r="I28" s="139" t="s">
        <v>204</v>
      </c>
      <c r="J28" s="139">
        <v>43536</v>
      </c>
      <c r="K28" s="184">
        <v>47</v>
      </c>
      <c r="L28" s="139">
        <v>43536</v>
      </c>
      <c r="M28" s="139">
        <v>43536</v>
      </c>
      <c r="N28" s="189"/>
      <c r="O28" s="140">
        <v>138451</v>
      </c>
      <c r="Q28" s="35"/>
    </row>
    <row r="29" spans="2:17" ht="15" customHeight="1">
      <c r="B29" s="38"/>
      <c r="C29" s="30" t="s">
        <v>39</v>
      </c>
      <c r="D29" s="138" t="s">
        <v>228</v>
      </c>
      <c r="E29" s="185" t="s">
        <v>1679</v>
      </c>
      <c r="F29" s="139" t="s">
        <v>8</v>
      </c>
      <c r="G29" s="139">
        <v>28698</v>
      </c>
      <c r="H29" s="138" t="s">
        <v>199</v>
      </c>
      <c r="I29" s="139" t="s">
        <v>204</v>
      </c>
      <c r="J29" s="139">
        <v>43805</v>
      </c>
      <c r="K29" s="184">
        <v>41</v>
      </c>
      <c r="L29" s="139"/>
      <c r="M29" s="139"/>
      <c r="N29" s="189"/>
      <c r="O29" s="140">
        <v>0</v>
      </c>
      <c r="Q29" s="35"/>
    </row>
    <row r="30" spans="2:17" ht="15" customHeight="1">
      <c r="B30" s="38"/>
      <c r="C30" s="30" t="s">
        <v>39</v>
      </c>
      <c r="D30" s="138" t="s">
        <v>229</v>
      </c>
      <c r="E30" s="185" t="s">
        <v>1705</v>
      </c>
      <c r="F30" s="139" t="s">
        <v>8</v>
      </c>
      <c r="G30" s="139">
        <v>21257</v>
      </c>
      <c r="H30" s="138" t="s">
        <v>199</v>
      </c>
      <c r="I30" s="139" t="s">
        <v>204</v>
      </c>
      <c r="J30" s="139">
        <v>43696</v>
      </c>
      <c r="K30" s="184">
        <v>61</v>
      </c>
      <c r="L30" s="139">
        <v>43696</v>
      </c>
      <c r="M30" s="139"/>
      <c r="N30" s="189"/>
      <c r="O30" s="140">
        <v>10209.5</v>
      </c>
      <c r="Q30" s="35"/>
    </row>
    <row r="31" spans="2:17" ht="15" customHeight="1">
      <c r="B31" s="38"/>
      <c r="C31" s="30" t="s">
        <v>39</v>
      </c>
      <c r="D31" s="138" t="s">
        <v>230</v>
      </c>
      <c r="E31" s="185" t="s">
        <v>1706</v>
      </c>
      <c r="F31" s="139" t="s">
        <v>10</v>
      </c>
      <c r="G31" s="139">
        <v>21923</v>
      </c>
      <c r="H31" s="138" t="s">
        <v>199</v>
      </c>
      <c r="I31" s="139" t="s">
        <v>204</v>
      </c>
      <c r="J31" s="139">
        <v>43488</v>
      </c>
      <c r="K31" s="184">
        <v>59</v>
      </c>
      <c r="L31" s="139">
        <v>43488</v>
      </c>
      <c r="M31" s="139">
        <v>43488</v>
      </c>
      <c r="N31" s="189"/>
      <c r="O31" s="140">
        <v>14364</v>
      </c>
      <c r="Q31" s="35"/>
    </row>
    <row r="32" spans="2:17" ht="15" customHeight="1">
      <c r="B32" s="38"/>
      <c r="C32" s="30" t="s">
        <v>39</v>
      </c>
      <c r="D32" s="138" t="s">
        <v>94</v>
      </c>
      <c r="E32" s="185" t="s">
        <v>1344</v>
      </c>
      <c r="F32" s="139" t="s">
        <v>8</v>
      </c>
      <c r="G32" s="139">
        <v>21949</v>
      </c>
      <c r="H32" s="138" t="s">
        <v>199</v>
      </c>
      <c r="I32" s="139" t="s">
        <v>204</v>
      </c>
      <c r="J32" s="139">
        <v>43780</v>
      </c>
      <c r="K32" s="184">
        <v>59</v>
      </c>
      <c r="L32" s="139">
        <v>43770</v>
      </c>
      <c r="M32" s="139">
        <v>43780</v>
      </c>
      <c r="N32" s="189"/>
      <c r="O32" s="140">
        <v>461.1</v>
      </c>
      <c r="Q32" s="35"/>
    </row>
    <row r="33" spans="2:17" ht="15" customHeight="1">
      <c r="B33" s="38"/>
      <c r="C33" s="30" t="s">
        <v>39</v>
      </c>
      <c r="D33" s="138" t="s">
        <v>121</v>
      </c>
      <c r="E33" s="185" t="s">
        <v>1344</v>
      </c>
      <c r="F33" s="139" t="s">
        <v>8</v>
      </c>
      <c r="G33" s="139">
        <v>21949</v>
      </c>
      <c r="H33" s="138" t="s">
        <v>199</v>
      </c>
      <c r="I33" s="139" t="s">
        <v>204</v>
      </c>
      <c r="J33" s="139">
        <v>43780</v>
      </c>
      <c r="K33" s="184">
        <v>59</v>
      </c>
      <c r="L33" s="139">
        <v>43770</v>
      </c>
      <c r="M33" s="139">
        <v>43780</v>
      </c>
      <c r="N33" s="189"/>
      <c r="O33" s="140">
        <v>134.15</v>
      </c>
      <c r="Q33" s="35"/>
    </row>
    <row r="34" spans="2:17" ht="15" customHeight="1">
      <c r="B34" s="38"/>
      <c r="C34" s="30" t="s">
        <v>39</v>
      </c>
      <c r="D34" s="138" t="s">
        <v>232</v>
      </c>
      <c r="E34" s="185" t="s">
        <v>1707</v>
      </c>
      <c r="F34" s="139" t="s">
        <v>8</v>
      </c>
      <c r="G34" s="139">
        <v>29118</v>
      </c>
      <c r="H34" s="138" t="s">
        <v>200</v>
      </c>
      <c r="I34" s="139" t="s">
        <v>204</v>
      </c>
      <c r="J34" s="139">
        <v>43782</v>
      </c>
      <c r="K34" s="184">
        <v>40</v>
      </c>
      <c r="L34" s="139"/>
      <c r="M34" s="139"/>
      <c r="N34" s="189"/>
      <c r="O34" s="140">
        <v>0</v>
      </c>
      <c r="Q34" s="35"/>
    </row>
    <row r="35" spans="2:17" ht="15" customHeight="1">
      <c r="B35" s="38"/>
      <c r="C35" s="30" t="s">
        <v>39</v>
      </c>
      <c r="D35" s="138" t="s">
        <v>233</v>
      </c>
      <c r="E35" s="185" t="s">
        <v>1708</v>
      </c>
      <c r="F35" s="139" t="s">
        <v>8</v>
      </c>
      <c r="G35" s="139">
        <v>23787</v>
      </c>
      <c r="H35" s="138" t="s">
        <v>199</v>
      </c>
      <c r="I35" s="139" t="s">
        <v>204</v>
      </c>
      <c r="J35" s="139">
        <v>43580</v>
      </c>
      <c r="K35" s="184">
        <v>54</v>
      </c>
      <c r="L35" s="139"/>
      <c r="M35" s="139">
        <v>43580</v>
      </c>
      <c r="N35" s="189"/>
      <c r="O35" s="140">
        <v>0</v>
      </c>
      <c r="Q35" s="35"/>
    </row>
    <row r="36" spans="2:17" ht="15" customHeight="1">
      <c r="B36" s="38"/>
      <c r="C36" s="30" t="s">
        <v>39</v>
      </c>
      <c r="D36" s="138" t="s">
        <v>234</v>
      </c>
      <c r="E36" s="185" t="s">
        <v>1398</v>
      </c>
      <c r="F36" s="139" t="s">
        <v>8</v>
      </c>
      <c r="G36" s="139">
        <v>28467</v>
      </c>
      <c r="H36" s="138" t="s">
        <v>200</v>
      </c>
      <c r="I36" s="139" t="s">
        <v>204</v>
      </c>
      <c r="J36" s="139">
        <v>43797</v>
      </c>
      <c r="K36" s="184">
        <v>42</v>
      </c>
      <c r="L36" s="139"/>
      <c r="M36" s="139"/>
      <c r="N36" s="189"/>
      <c r="O36" s="140">
        <v>0</v>
      </c>
      <c r="Q36" s="35"/>
    </row>
    <row r="37" spans="2:17" ht="15" customHeight="1">
      <c r="B37" s="38"/>
      <c r="C37" s="30" t="s">
        <v>39</v>
      </c>
      <c r="D37" s="138" t="s">
        <v>235</v>
      </c>
      <c r="E37" s="185" t="s">
        <v>1709</v>
      </c>
      <c r="F37" s="139" t="s">
        <v>8</v>
      </c>
      <c r="G37" s="139">
        <v>27948</v>
      </c>
      <c r="H37" s="138" t="s">
        <v>200</v>
      </c>
      <c r="I37" s="139" t="s">
        <v>204</v>
      </c>
      <c r="J37" s="139">
        <v>43684</v>
      </c>
      <c r="K37" s="184">
        <v>43</v>
      </c>
      <c r="L37" s="139">
        <v>43684</v>
      </c>
      <c r="M37" s="139">
        <v>43684</v>
      </c>
      <c r="N37" s="189"/>
      <c r="O37" s="140">
        <v>106322</v>
      </c>
      <c r="Q37" s="35"/>
    </row>
    <row r="38" spans="2:17" ht="15" customHeight="1">
      <c r="B38" s="38"/>
      <c r="C38" s="30" t="s">
        <v>39</v>
      </c>
      <c r="D38" s="138" t="s">
        <v>236</v>
      </c>
      <c r="E38" s="185" t="s">
        <v>1710</v>
      </c>
      <c r="F38" s="139" t="s">
        <v>8</v>
      </c>
      <c r="G38" s="139">
        <v>23590</v>
      </c>
      <c r="H38" s="138" t="s">
        <v>199</v>
      </c>
      <c r="I38" s="139" t="s">
        <v>204</v>
      </c>
      <c r="J38" s="139">
        <v>43801</v>
      </c>
      <c r="K38" s="184">
        <v>55</v>
      </c>
      <c r="L38" s="139"/>
      <c r="M38" s="139">
        <v>43801</v>
      </c>
      <c r="N38" s="189"/>
      <c r="O38" s="140">
        <v>0</v>
      </c>
      <c r="Q38" s="35"/>
    </row>
    <row r="39" spans="2:17" ht="15" customHeight="1">
      <c r="B39" s="38"/>
      <c r="C39" s="30" t="s">
        <v>39</v>
      </c>
      <c r="D39" s="138" t="s">
        <v>241</v>
      </c>
      <c r="E39" s="185" t="s">
        <v>1711</v>
      </c>
      <c r="F39" s="139" t="s">
        <v>10</v>
      </c>
      <c r="G39" s="139">
        <v>20848</v>
      </c>
      <c r="H39" s="138" t="s">
        <v>200</v>
      </c>
      <c r="I39" s="139" t="s">
        <v>204</v>
      </c>
      <c r="J39" s="139">
        <v>43722</v>
      </c>
      <c r="K39" s="184">
        <v>62</v>
      </c>
      <c r="L39" s="139">
        <v>43722</v>
      </c>
      <c r="M39" s="139"/>
      <c r="N39" s="189"/>
      <c r="O39" s="140">
        <v>425625.03</v>
      </c>
      <c r="Q39" s="35"/>
    </row>
    <row r="40" spans="2:17" ht="15" customHeight="1">
      <c r="B40" s="38"/>
      <c r="C40" s="30" t="s">
        <v>39</v>
      </c>
      <c r="D40" s="138" t="s">
        <v>242</v>
      </c>
      <c r="E40" s="185" t="s">
        <v>1712</v>
      </c>
      <c r="F40" s="139" t="s">
        <v>10</v>
      </c>
      <c r="G40" s="139">
        <v>20597</v>
      </c>
      <c r="H40" s="138" t="s">
        <v>199</v>
      </c>
      <c r="I40" s="139" t="s">
        <v>204</v>
      </c>
      <c r="J40" s="139">
        <v>43612</v>
      </c>
      <c r="K40" s="184">
        <v>63</v>
      </c>
      <c r="L40" s="139"/>
      <c r="M40" s="139">
        <v>43612</v>
      </c>
      <c r="N40" s="189"/>
      <c r="O40" s="140">
        <v>0</v>
      </c>
      <c r="Q40" s="35"/>
    </row>
    <row r="41" spans="2:17" ht="15" customHeight="1">
      <c r="B41" s="38"/>
      <c r="C41" s="30" t="s">
        <v>39</v>
      </c>
      <c r="D41" s="138" t="s">
        <v>243</v>
      </c>
      <c r="E41" s="185" t="s">
        <v>1713</v>
      </c>
      <c r="F41" s="139" t="s">
        <v>8</v>
      </c>
      <c r="G41" s="139">
        <v>34878</v>
      </c>
      <c r="H41" s="138" t="s">
        <v>199</v>
      </c>
      <c r="I41" s="139" t="s">
        <v>204</v>
      </c>
      <c r="J41" s="139">
        <v>43577</v>
      </c>
      <c r="K41" s="184">
        <v>24</v>
      </c>
      <c r="L41" s="139"/>
      <c r="M41" s="139">
        <v>43577</v>
      </c>
      <c r="N41" s="189"/>
      <c r="O41" s="140">
        <v>0</v>
      </c>
      <c r="Q41" s="35"/>
    </row>
    <row r="42" spans="2:17" ht="15" customHeight="1">
      <c r="B42" s="38"/>
      <c r="C42" s="30" t="s">
        <v>39</v>
      </c>
      <c r="D42" s="138" t="s">
        <v>244</v>
      </c>
      <c r="E42" s="185" t="s">
        <v>1714</v>
      </c>
      <c r="F42" s="139" t="s">
        <v>8</v>
      </c>
      <c r="G42" s="139">
        <v>17037</v>
      </c>
      <c r="H42" s="138" t="s">
        <v>199</v>
      </c>
      <c r="I42" s="139" t="s">
        <v>204</v>
      </c>
      <c r="J42" s="139">
        <v>43648</v>
      </c>
      <c r="K42" s="184">
        <v>73</v>
      </c>
      <c r="L42" s="139">
        <v>43648</v>
      </c>
      <c r="M42" s="139"/>
      <c r="N42" s="189"/>
      <c r="O42" s="140">
        <v>6952</v>
      </c>
      <c r="Q42" s="35"/>
    </row>
    <row r="43" spans="2:17" ht="15" customHeight="1">
      <c r="B43" s="38"/>
      <c r="C43" s="30" t="s">
        <v>39</v>
      </c>
      <c r="D43" s="138" t="s">
        <v>202</v>
      </c>
      <c r="E43" s="185" t="s">
        <v>1715</v>
      </c>
      <c r="F43" s="139" t="s">
        <v>10</v>
      </c>
      <c r="G43" s="139">
        <v>23014</v>
      </c>
      <c r="H43" s="138" t="s">
        <v>200</v>
      </c>
      <c r="I43" s="139" t="s">
        <v>201</v>
      </c>
      <c r="J43" s="139">
        <v>43595</v>
      </c>
      <c r="K43" s="184">
        <v>56</v>
      </c>
      <c r="L43" s="139"/>
      <c r="M43" s="139">
        <v>43595</v>
      </c>
      <c r="N43" s="189"/>
      <c r="O43" s="140">
        <v>0</v>
      </c>
      <c r="Q43" s="35"/>
    </row>
    <row r="44" spans="2:17" ht="15" customHeight="1">
      <c r="B44" s="38"/>
      <c r="C44" s="30" t="s">
        <v>39</v>
      </c>
      <c r="D44" s="138" t="s">
        <v>203</v>
      </c>
      <c r="E44" s="185" t="s">
        <v>1716</v>
      </c>
      <c r="F44" s="139" t="s">
        <v>10</v>
      </c>
      <c r="G44" s="139">
        <v>21640</v>
      </c>
      <c r="H44" s="138" t="s">
        <v>199</v>
      </c>
      <c r="I44" s="139" t="s">
        <v>201</v>
      </c>
      <c r="J44" s="139">
        <v>43639</v>
      </c>
      <c r="K44" s="184">
        <v>60</v>
      </c>
      <c r="L44" s="139">
        <v>43639</v>
      </c>
      <c r="M44" s="139"/>
      <c r="N44" s="189"/>
      <c r="O44" s="140">
        <v>3377</v>
      </c>
      <c r="Q44" s="35"/>
    </row>
    <row r="45" spans="2:17" ht="15" customHeight="1">
      <c r="B45" s="38"/>
      <c r="C45" s="30" t="s">
        <v>39</v>
      </c>
      <c r="D45" s="138" t="s">
        <v>208</v>
      </c>
      <c r="E45" s="185" t="s">
        <v>1717</v>
      </c>
      <c r="F45" s="139" t="s">
        <v>10</v>
      </c>
      <c r="G45" s="139">
        <v>25112</v>
      </c>
      <c r="H45" s="138" t="s">
        <v>199</v>
      </c>
      <c r="I45" s="139" t="s">
        <v>201</v>
      </c>
      <c r="J45" s="139">
        <v>43657</v>
      </c>
      <c r="K45" s="184">
        <v>51</v>
      </c>
      <c r="L45" s="139">
        <v>43657</v>
      </c>
      <c r="M45" s="139">
        <v>43657</v>
      </c>
      <c r="N45" s="189"/>
      <c r="O45" s="140">
        <v>3377</v>
      </c>
      <c r="Q45" s="35"/>
    </row>
    <row r="46" spans="2:17" ht="15" customHeight="1">
      <c r="B46" s="38"/>
      <c r="C46" s="30" t="s">
        <v>39</v>
      </c>
      <c r="D46" s="138" t="s">
        <v>209</v>
      </c>
      <c r="E46" s="185" t="s">
        <v>1718</v>
      </c>
      <c r="F46" s="139" t="s">
        <v>10</v>
      </c>
      <c r="G46" s="139">
        <v>23571</v>
      </c>
      <c r="H46" s="138" t="s">
        <v>199</v>
      </c>
      <c r="I46" s="139" t="s">
        <v>201</v>
      </c>
      <c r="J46" s="139">
        <v>43600</v>
      </c>
      <c r="K46" s="184">
        <v>55</v>
      </c>
      <c r="L46" s="139">
        <v>43600</v>
      </c>
      <c r="M46" s="139">
        <v>43600</v>
      </c>
      <c r="N46" s="189"/>
      <c r="O46" s="140">
        <v>3377</v>
      </c>
      <c r="Q46" s="35"/>
    </row>
    <row r="47" spans="2:17" ht="15" customHeight="1">
      <c r="B47" s="38"/>
      <c r="C47" s="30" t="s">
        <v>39</v>
      </c>
      <c r="D47" s="138" t="s">
        <v>210</v>
      </c>
      <c r="E47" s="185" t="s">
        <v>1719</v>
      </c>
      <c r="F47" s="139" t="s">
        <v>10</v>
      </c>
      <c r="G47" s="139">
        <v>18349</v>
      </c>
      <c r="H47" s="138" t="s">
        <v>199</v>
      </c>
      <c r="I47" s="139" t="s">
        <v>201</v>
      </c>
      <c r="J47" s="139">
        <v>43647</v>
      </c>
      <c r="K47" s="184">
        <v>69</v>
      </c>
      <c r="L47" s="139">
        <v>43647</v>
      </c>
      <c r="M47" s="139">
        <v>43647</v>
      </c>
      <c r="N47" s="189"/>
      <c r="O47" s="140">
        <v>2985.5</v>
      </c>
      <c r="Q47" s="35"/>
    </row>
    <row r="48" spans="2:17" ht="15" customHeight="1">
      <c r="B48" s="38"/>
      <c r="C48" s="30" t="s">
        <v>39</v>
      </c>
      <c r="D48" s="138" t="s">
        <v>213</v>
      </c>
      <c r="E48" s="185" t="s">
        <v>1720</v>
      </c>
      <c r="F48" s="139" t="s">
        <v>10</v>
      </c>
      <c r="G48" s="139">
        <v>20603</v>
      </c>
      <c r="H48" s="138" t="s">
        <v>199</v>
      </c>
      <c r="I48" s="139" t="s">
        <v>201</v>
      </c>
      <c r="J48" s="139">
        <v>43801</v>
      </c>
      <c r="K48" s="184">
        <v>63</v>
      </c>
      <c r="L48" s="139"/>
      <c r="M48" s="139">
        <v>43801</v>
      </c>
      <c r="N48" s="189"/>
      <c r="O48" s="140">
        <v>0</v>
      </c>
      <c r="Q48" s="35"/>
    </row>
    <row r="49" spans="2:17" ht="15" customHeight="1">
      <c r="B49" s="38"/>
      <c r="C49" s="30" t="s">
        <v>39</v>
      </c>
      <c r="D49" s="138" t="s">
        <v>219</v>
      </c>
      <c r="E49" s="185" t="s">
        <v>1721</v>
      </c>
      <c r="F49" s="139" t="s">
        <v>10</v>
      </c>
      <c r="G49" s="139">
        <v>21186</v>
      </c>
      <c r="H49" s="138" t="s">
        <v>199</v>
      </c>
      <c r="I49" s="139" t="s">
        <v>201</v>
      </c>
      <c r="J49" s="139">
        <v>43732</v>
      </c>
      <c r="K49" s="184">
        <v>61</v>
      </c>
      <c r="L49" s="139"/>
      <c r="M49" s="139">
        <v>43732</v>
      </c>
      <c r="N49" s="189"/>
      <c r="O49" s="140">
        <v>0</v>
      </c>
      <c r="Q49" s="35"/>
    </row>
    <row r="50" spans="2:17" ht="15" customHeight="1">
      <c r="B50" s="38"/>
      <c r="C50" s="30" t="s">
        <v>39</v>
      </c>
      <c r="D50" s="138" t="s">
        <v>221</v>
      </c>
      <c r="E50" s="185" t="s">
        <v>1722</v>
      </c>
      <c r="F50" s="139" t="s">
        <v>10</v>
      </c>
      <c r="G50" s="139">
        <v>20720</v>
      </c>
      <c r="H50" s="138" t="s">
        <v>199</v>
      </c>
      <c r="I50" s="139" t="s">
        <v>201</v>
      </c>
      <c r="J50" s="139">
        <v>43741</v>
      </c>
      <c r="K50" s="184">
        <v>63</v>
      </c>
      <c r="L50" s="139">
        <v>43741</v>
      </c>
      <c r="M50" s="139">
        <v>43741</v>
      </c>
      <c r="N50" s="189"/>
      <c r="O50" s="140">
        <v>2547.13</v>
      </c>
      <c r="Q50" s="35"/>
    </row>
    <row r="51" spans="2:17" ht="15" customHeight="1">
      <c r="B51" s="38"/>
      <c r="C51" s="30" t="s">
        <v>39</v>
      </c>
      <c r="D51" s="138" t="s">
        <v>222</v>
      </c>
      <c r="E51" s="185" t="s">
        <v>1723</v>
      </c>
      <c r="F51" s="139" t="s">
        <v>10</v>
      </c>
      <c r="G51" s="139">
        <v>20863</v>
      </c>
      <c r="H51" s="138" t="s">
        <v>200</v>
      </c>
      <c r="I51" s="139" t="s">
        <v>201</v>
      </c>
      <c r="J51" s="139">
        <v>43652</v>
      </c>
      <c r="K51" s="184">
        <v>62</v>
      </c>
      <c r="L51" s="139">
        <v>43652</v>
      </c>
      <c r="M51" s="139">
        <v>43652</v>
      </c>
      <c r="N51" s="189"/>
      <c r="O51" s="140">
        <v>3377</v>
      </c>
      <c r="Q51" s="35"/>
    </row>
    <row r="52" spans="2:17" ht="15" customHeight="1">
      <c r="B52" s="38"/>
      <c r="C52" s="30" t="s">
        <v>39</v>
      </c>
      <c r="D52" s="138" t="s">
        <v>224</v>
      </c>
      <c r="E52" s="185" t="s">
        <v>1724</v>
      </c>
      <c r="F52" s="139" t="s">
        <v>10</v>
      </c>
      <c r="G52" s="139">
        <v>23249</v>
      </c>
      <c r="H52" s="138" t="s">
        <v>199</v>
      </c>
      <c r="I52" s="139" t="s">
        <v>201</v>
      </c>
      <c r="J52" s="139">
        <v>43499</v>
      </c>
      <c r="K52" s="184">
        <v>56</v>
      </c>
      <c r="L52" s="139">
        <v>43499</v>
      </c>
      <c r="M52" s="139">
        <v>43499</v>
      </c>
      <c r="N52" s="189"/>
      <c r="O52" s="140">
        <v>3377</v>
      </c>
      <c r="Q52" s="35"/>
    </row>
    <row r="53" spans="2:17" ht="15" customHeight="1">
      <c r="B53" s="38"/>
      <c r="C53" s="30" t="s">
        <v>39</v>
      </c>
      <c r="D53" s="138" t="s">
        <v>226</v>
      </c>
      <c r="E53" s="185" t="s">
        <v>1201</v>
      </c>
      <c r="F53" s="139" t="s">
        <v>8</v>
      </c>
      <c r="G53" s="139">
        <v>23502</v>
      </c>
      <c r="H53" s="138" t="s">
        <v>200</v>
      </c>
      <c r="I53" s="139" t="s">
        <v>201</v>
      </c>
      <c r="J53" s="139">
        <v>43715</v>
      </c>
      <c r="K53" s="184">
        <v>55</v>
      </c>
      <c r="L53" s="139"/>
      <c r="M53" s="139">
        <v>43715</v>
      </c>
      <c r="N53" s="189"/>
      <c r="O53" s="140">
        <v>0</v>
      </c>
      <c r="Q53" s="35"/>
    </row>
    <row r="54" spans="2:17" ht="15" customHeight="1">
      <c r="B54" s="38"/>
      <c r="C54" s="30" t="s">
        <v>39</v>
      </c>
      <c r="D54" s="138" t="s">
        <v>231</v>
      </c>
      <c r="E54" s="185" t="s">
        <v>1725</v>
      </c>
      <c r="F54" s="139" t="s">
        <v>10</v>
      </c>
      <c r="G54" s="139">
        <v>22742</v>
      </c>
      <c r="H54" s="138" t="s">
        <v>199</v>
      </c>
      <c r="I54" s="139" t="s">
        <v>201</v>
      </c>
      <c r="J54" s="139">
        <v>43813</v>
      </c>
      <c r="K54" s="184">
        <v>57</v>
      </c>
      <c r="L54" s="139"/>
      <c r="M54" s="139">
        <v>43813</v>
      </c>
      <c r="N54" s="189"/>
      <c r="O54" s="140">
        <v>0</v>
      </c>
      <c r="Q54" s="35"/>
    </row>
    <row r="55" spans="2:17" ht="15" customHeight="1">
      <c r="B55" s="38"/>
      <c r="C55" s="30" t="s">
        <v>39</v>
      </c>
      <c r="D55" s="138" t="s">
        <v>237</v>
      </c>
      <c r="E55" s="185" t="s">
        <v>1726</v>
      </c>
      <c r="F55" s="139" t="s">
        <v>10</v>
      </c>
      <c r="G55" s="139">
        <v>30931</v>
      </c>
      <c r="H55" s="138" t="s">
        <v>199</v>
      </c>
      <c r="I55" s="139" t="s">
        <v>201</v>
      </c>
      <c r="J55" s="139">
        <v>43699</v>
      </c>
      <c r="K55" s="184">
        <v>35</v>
      </c>
      <c r="L55" s="139"/>
      <c r="M55" s="139">
        <v>43699</v>
      </c>
      <c r="N55" s="189"/>
      <c r="O55" s="140">
        <v>0</v>
      </c>
      <c r="Q55" s="35"/>
    </row>
    <row r="56" spans="2:17" ht="15" customHeight="1">
      <c r="B56" s="38"/>
      <c r="C56" s="30" t="s">
        <v>39</v>
      </c>
      <c r="D56" s="138" t="s">
        <v>240</v>
      </c>
      <c r="E56" s="185" t="s">
        <v>1727</v>
      </c>
      <c r="F56" s="139" t="s">
        <v>10</v>
      </c>
      <c r="G56" s="139">
        <v>27345</v>
      </c>
      <c r="H56" s="138" t="s">
        <v>199</v>
      </c>
      <c r="I56" s="139" t="s">
        <v>201</v>
      </c>
      <c r="J56" s="139">
        <v>43770</v>
      </c>
      <c r="K56" s="184">
        <v>45</v>
      </c>
      <c r="L56" s="139"/>
      <c r="M56" s="139"/>
      <c r="N56" s="189"/>
      <c r="O56" s="140">
        <v>0</v>
      </c>
      <c r="Q56" s="35"/>
    </row>
    <row r="57" spans="2:17" ht="15" customHeight="1">
      <c r="B57" s="38"/>
      <c r="C57" s="30" t="s">
        <v>39</v>
      </c>
      <c r="D57" s="138" t="s">
        <v>245</v>
      </c>
      <c r="E57" s="185" t="s">
        <v>1728</v>
      </c>
      <c r="F57" s="139" t="s">
        <v>10</v>
      </c>
      <c r="G57" s="139">
        <v>23495</v>
      </c>
      <c r="H57" s="138" t="s">
        <v>200</v>
      </c>
      <c r="I57" s="139" t="s">
        <v>201</v>
      </c>
      <c r="J57" s="139">
        <v>43729</v>
      </c>
      <c r="K57" s="184">
        <v>55</v>
      </c>
      <c r="L57" s="139">
        <v>43729</v>
      </c>
      <c r="M57" s="139">
        <v>43729</v>
      </c>
      <c r="N57" s="189"/>
      <c r="O57" s="140">
        <v>3377</v>
      </c>
      <c r="Q57" s="35"/>
    </row>
    <row r="58" spans="2:17" ht="15" customHeight="1">
      <c r="B58" s="38"/>
      <c r="C58" s="30" t="s">
        <v>39</v>
      </c>
      <c r="D58" s="138" t="s">
        <v>246</v>
      </c>
      <c r="E58" s="185" t="s">
        <v>1729</v>
      </c>
      <c r="F58" s="139" t="s">
        <v>10</v>
      </c>
      <c r="G58" s="139">
        <v>23803</v>
      </c>
      <c r="H58" s="138" t="s">
        <v>199</v>
      </c>
      <c r="I58" s="139" t="s">
        <v>201</v>
      </c>
      <c r="J58" s="139">
        <v>43743</v>
      </c>
      <c r="K58" s="184">
        <v>54</v>
      </c>
      <c r="L58" s="139"/>
      <c r="M58" s="139"/>
      <c r="N58" s="189"/>
      <c r="O58" s="140">
        <v>0</v>
      </c>
      <c r="Q58" s="35"/>
    </row>
    <row r="59" spans="2:17" ht="15" customHeight="1">
      <c r="B59" s="38"/>
      <c r="C59" s="30" t="s">
        <v>39</v>
      </c>
      <c r="D59" s="138" t="s">
        <v>239</v>
      </c>
      <c r="E59" s="185" t="s">
        <v>1730</v>
      </c>
      <c r="F59" s="139" t="s">
        <v>8</v>
      </c>
      <c r="G59" s="139">
        <v>38116</v>
      </c>
      <c r="H59" s="138" t="s">
        <v>199</v>
      </c>
      <c r="I59" s="139" t="s">
        <v>238</v>
      </c>
      <c r="J59" s="139">
        <v>43486</v>
      </c>
      <c r="K59" s="184">
        <v>15</v>
      </c>
      <c r="L59" s="139">
        <v>43486</v>
      </c>
      <c r="M59" s="139">
        <v>43486</v>
      </c>
      <c r="N59" s="189"/>
      <c r="O59" s="140">
        <v>3377</v>
      </c>
      <c r="Q59" s="35"/>
    </row>
    <row r="60" spans="2:17" ht="15" customHeight="1">
      <c r="B60" s="38"/>
      <c r="E60" s="186"/>
      <c r="F60" s="182"/>
      <c r="G60" s="182"/>
      <c r="I60" s="182"/>
      <c r="J60" s="182"/>
      <c r="K60" s="187"/>
      <c r="L60" s="182"/>
      <c r="M60" s="182"/>
      <c r="N60" s="190"/>
      <c r="O60" s="183"/>
      <c r="Q60" s="35"/>
    </row>
    <row r="61" spans="2:17" ht="15" customHeight="1">
      <c r="B61" s="38"/>
      <c r="E61" s="186"/>
      <c r="F61" s="182"/>
      <c r="G61" s="182"/>
      <c r="I61" s="182"/>
      <c r="J61" s="182"/>
      <c r="K61" s="187"/>
      <c r="L61" s="182"/>
      <c r="M61" s="182"/>
      <c r="N61" s="190"/>
      <c r="O61" s="183"/>
      <c r="Q61" s="35"/>
    </row>
    <row r="62" spans="2:17" ht="15" customHeight="1">
      <c r="B62" s="38"/>
      <c r="E62" s="186"/>
      <c r="F62" s="182"/>
      <c r="G62" s="182"/>
      <c r="I62" s="182"/>
      <c r="J62" s="182"/>
      <c r="K62" s="187"/>
      <c r="L62" s="182"/>
      <c r="M62" s="182"/>
      <c r="N62" s="190"/>
      <c r="O62" s="183"/>
      <c r="Q62" s="35"/>
    </row>
    <row r="63" spans="2:17" ht="15" customHeight="1">
      <c r="B63" s="38"/>
      <c r="E63" s="186"/>
      <c r="F63" s="182"/>
      <c r="G63" s="182"/>
      <c r="I63" s="182"/>
      <c r="J63" s="182"/>
      <c r="K63" s="187"/>
      <c r="L63" s="182"/>
      <c r="M63" s="182"/>
      <c r="N63" s="190"/>
      <c r="O63" s="183"/>
      <c r="Q63" s="35"/>
    </row>
    <row r="64" spans="2:17">
      <c r="B64" s="38"/>
      <c r="Q64" s="35"/>
    </row>
    <row r="65" spans="1:21">
      <c r="A65" s="180"/>
      <c r="B65" s="181"/>
      <c r="D65" s="179"/>
      <c r="P65" s="46"/>
      <c r="Q65" s="60"/>
    </row>
    <row r="66" spans="1:21" ht="15" customHeight="1">
      <c r="C66" s="57"/>
      <c r="D66" s="135"/>
      <c r="E66" s="135"/>
      <c r="F66" s="135"/>
      <c r="G66" s="135"/>
      <c r="H66" s="135"/>
      <c r="I66" s="135"/>
      <c r="J66" s="135"/>
      <c r="K66" s="135"/>
      <c r="L66" s="135"/>
      <c r="M66" s="135"/>
      <c r="N66" s="135"/>
      <c r="O66" s="135"/>
      <c r="P66" s="57"/>
      <c r="Q66" s="57"/>
      <c r="U66" s="29"/>
    </row>
    <row r="67" spans="1:21"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</row>
  </sheetData>
  <pageMargins left="0.70866141732283472" right="0.70866141732283472" top="0.74803149606299213" bottom="0.74803149606299213" header="0.31496062992125984" footer="0.31496062992125984"/>
  <pageSetup paperSize="9" scale="40" fitToHeight="100" orientation="portrait" r:id="rId1"/>
  <headerFooter>
    <oddFooter>&amp;C&amp;F   &amp;A  &amp;P/&amp;N   &amp;D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H3"/>
  <sheetViews>
    <sheetView workbookViewId="0">
      <selection activeCell="F1" sqref="F1"/>
    </sheetView>
  </sheetViews>
  <sheetFormatPr defaultColWidth="11.42578125" defaultRowHeight="15"/>
  <cols>
    <col min="1" max="2" width="11.42578125" style="28"/>
    <col min="3" max="3" width="18.42578125" bestFit="1" customWidth="1"/>
    <col min="4" max="4" width="12.5703125" bestFit="1" customWidth="1"/>
    <col min="7" max="7" width="18.7109375" bestFit="1" customWidth="1"/>
    <col min="8" max="8" width="15.42578125" bestFit="1" customWidth="1"/>
  </cols>
  <sheetData>
    <row r="1" spans="1:8">
      <c r="A1" s="28" t="s">
        <v>309</v>
      </c>
      <c r="B1" s="28" t="s">
        <v>310</v>
      </c>
      <c r="C1" t="s">
        <v>46</v>
      </c>
      <c r="D1" t="s">
        <v>311</v>
      </c>
      <c r="E1" t="s">
        <v>312</v>
      </c>
      <c r="F1" t="s">
        <v>313</v>
      </c>
      <c r="G1" s="78" t="s">
        <v>314</v>
      </c>
      <c r="H1" s="165" t="s">
        <v>1732</v>
      </c>
    </row>
    <row r="3" spans="1:8">
      <c r="H3" s="16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 tint="0.79998168889431442"/>
  </sheetPr>
  <dimension ref="A1:AH893"/>
  <sheetViews>
    <sheetView topLeftCell="E1" workbookViewId="0">
      <selection activeCell="E2" sqref="E2"/>
    </sheetView>
  </sheetViews>
  <sheetFormatPr defaultColWidth="11.42578125" defaultRowHeight="15"/>
  <cols>
    <col min="1" max="1" width="12.85546875" bestFit="1" customWidth="1"/>
    <col min="4" max="4" width="11.42578125" style="28"/>
    <col min="6" max="6" width="22.85546875" bestFit="1" customWidth="1"/>
    <col min="7" max="7" width="11.42578125" style="28"/>
    <col min="11" max="11" width="11.42578125" style="28"/>
    <col min="12" max="12" width="37.5703125" bestFit="1" customWidth="1"/>
    <col min="16" max="16" width="18.28515625" style="174" customWidth="1"/>
    <col min="22" max="24" width="11.42578125" style="28"/>
    <col min="33" max="33" width="11.42578125" style="28"/>
  </cols>
  <sheetData>
    <row r="1" spans="1:34" ht="90">
      <c r="A1" s="75" t="s">
        <v>45</v>
      </c>
      <c r="B1" s="75" t="s">
        <v>46</v>
      </c>
      <c r="C1" s="75" t="s">
        <v>47</v>
      </c>
      <c r="D1" s="75" t="s">
        <v>48</v>
      </c>
      <c r="E1" s="75" t="s">
        <v>49</v>
      </c>
      <c r="F1" s="75" t="s">
        <v>315</v>
      </c>
      <c r="G1" s="75" t="s">
        <v>51</v>
      </c>
      <c r="H1" s="75" t="s">
        <v>52</v>
      </c>
      <c r="I1" s="75" t="s">
        <v>53</v>
      </c>
      <c r="J1" s="75" t="s">
        <v>54</v>
      </c>
      <c r="K1" s="75" t="s">
        <v>55</v>
      </c>
      <c r="L1" s="75" t="s">
        <v>316</v>
      </c>
      <c r="M1" s="75" t="s">
        <v>57</v>
      </c>
      <c r="N1" s="75" t="s">
        <v>58</v>
      </c>
      <c r="O1" s="75" t="s">
        <v>59</v>
      </c>
      <c r="P1" s="173" t="s">
        <v>60</v>
      </c>
      <c r="Q1" s="75" t="s">
        <v>61</v>
      </c>
      <c r="R1" s="76" t="s">
        <v>62</v>
      </c>
      <c r="S1" s="76" t="s">
        <v>63</v>
      </c>
      <c r="T1" s="76" t="s">
        <v>64</v>
      </c>
      <c r="U1" s="76" t="s">
        <v>65</v>
      </c>
      <c r="V1" s="167" t="s">
        <v>66</v>
      </c>
      <c r="W1" s="167" t="s">
        <v>67</v>
      </c>
      <c r="X1" s="167" t="s">
        <v>68</v>
      </c>
      <c r="Y1" s="167" t="s">
        <v>69</v>
      </c>
      <c r="Z1" s="167" t="s">
        <v>70</v>
      </c>
      <c r="AA1" s="167" t="s">
        <v>71</v>
      </c>
      <c r="AB1" s="167" t="s">
        <v>72</v>
      </c>
      <c r="AC1" s="76" t="s">
        <v>73</v>
      </c>
      <c r="AD1" s="167" t="s">
        <v>74</v>
      </c>
      <c r="AE1" s="167" t="s">
        <v>75</v>
      </c>
      <c r="AF1" s="167" t="s">
        <v>76</v>
      </c>
      <c r="AG1" s="167" t="s">
        <v>77</v>
      </c>
      <c r="AH1" s="167" t="s">
        <v>198</v>
      </c>
    </row>
    <row r="2" spans="1:34">
      <c r="AB2" s="28"/>
    </row>
    <row r="3" spans="1:34">
      <c r="AB3" s="28"/>
      <c r="AC3" s="175"/>
      <c r="AE3" s="175"/>
    </row>
    <row r="4" spans="1:34">
      <c r="AB4" s="28"/>
    </row>
    <row r="5" spans="1:34">
      <c r="AB5" s="28"/>
    </row>
    <row r="6" spans="1:34">
      <c r="AB6" s="28"/>
    </row>
    <row r="7" spans="1:34">
      <c r="AB7" s="28"/>
    </row>
    <row r="8" spans="1:34">
      <c r="AB8" s="28"/>
    </row>
    <row r="9" spans="1:34">
      <c r="AB9" s="28"/>
    </row>
    <row r="10" spans="1:34">
      <c r="AB10" s="28"/>
    </row>
    <row r="11" spans="1:34">
      <c r="AB11" s="28"/>
    </row>
    <row r="12" spans="1:34">
      <c r="AB12" s="28"/>
    </row>
    <row r="13" spans="1:34">
      <c r="AB13" s="28"/>
    </row>
    <row r="14" spans="1:34">
      <c r="AB14" s="28"/>
    </row>
    <row r="15" spans="1:34">
      <c r="AB15" s="28"/>
    </row>
    <row r="16" spans="1:34">
      <c r="AB16" s="28"/>
    </row>
    <row r="17" spans="28:28">
      <c r="AB17" s="28"/>
    </row>
    <row r="18" spans="28:28">
      <c r="AB18" s="28"/>
    </row>
    <row r="19" spans="28:28">
      <c r="AB19" s="28"/>
    </row>
    <row r="20" spans="28:28">
      <c r="AB20" s="28"/>
    </row>
    <row r="21" spans="28:28">
      <c r="AB21" s="28"/>
    </row>
    <row r="22" spans="28:28">
      <c r="AB22" s="28"/>
    </row>
    <row r="23" spans="28:28">
      <c r="AB23" s="28"/>
    </row>
    <row r="24" spans="28:28">
      <c r="AB24" s="28"/>
    </row>
    <row r="25" spans="28:28">
      <c r="AB25" s="28"/>
    </row>
    <row r="26" spans="28:28">
      <c r="AB26" s="28"/>
    </row>
    <row r="27" spans="28:28">
      <c r="AB27" s="28"/>
    </row>
    <row r="28" spans="28:28">
      <c r="AB28" s="28"/>
    </row>
    <row r="29" spans="28:28">
      <c r="AB29" s="28"/>
    </row>
    <row r="30" spans="28:28">
      <c r="AB30" s="28"/>
    </row>
    <row r="31" spans="28:28">
      <c r="AB31" s="28"/>
    </row>
    <row r="32" spans="28:28">
      <c r="AB32" s="28"/>
    </row>
    <row r="33" spans="28:28">
      <c r="AB33" s="28"/>
    </row>
    <row r="34" spans="28:28">
      <c r="AB34" s="28"/>
    </row>
    <row r="35" spans="28:28">
      <c r="AB35" s="28"/>
    </row>
    <row r="36" spans="28:28">
      <c r="AB36" s="28"/>
    </row>
    <row r="37" spans="28:28">
      <c r="AB37" s="28"/>
    </row>
    <row r="38" spans="28:28">
      <c r="AB38" s="28"/>
    </row>
    <row r="39" spans="28:28">
      <c r="AB39" s="28"/>
    </row>
    <row r="40" spans="28:28">
      <c r="AB40" s="28"/>
    </row>
    <row r="41" spans="28:28">
      <c r="AB41" s="28"/>
    </row>
    <row r="42" spans="28:28">
      <c r="AB42" s="28"/>
    </row>
    <row r="43" spans="28:28">
      <c r="AB43" s="28"/>
    </row>
    <row r="44" spans="28:28">
      <c r="AB44" s="28"/>
    </row>
    <row r="45" spans="28:28">
      <c r="AB45" s="28"/>
    </row>
    <row r="46" spans="28:28">
      <c r="AB46" s="28"/>
    </row>
    <row r="47" spans="28:28">
      <c r="AB47" s="28"/>
    </row>
    <row r="48" spans="28:28">
      <c r="AB48" s="28"/>
    </row>
    <row r="49" spans="28:28">
      <c r="AB49" s="28"/>
    </row>
    <row r="50" spans="28:28">
      <c r="AB50" s="28"/>
    </row>
    <row r="51" spans="28:28">
      <c r="AB51" s="28"/>
    </row>
    <row r="52" spans="28:28">
      <c r="AB52" s="28"/>
    </row>
    <row r="53" spans="28:28">
      <c r="AB53" s="28"/>
    </row>
    <row r="54" spans="28:28">
      <c r="AB54" s="28"/>
    </row>
    <row r="55" spans="28:28">
      <c r="AB55" s="28"/>
    </row>
    <row r="56" spans="28:28">
      <c r="AB56" s="28"/>
    </row>
    <row r="57" spans="28:28">
      <c r="AB57" s="28"/>
    </row>
    <row r="58" spans="28:28">
      <c r="AB58" s="28"/>
    </row>
    <row r="59" spans="28:28">
      <c r="AB59" s="28"/>
    </row>
    <row r="60" spans="28:28">
      <c r="AB60" s="28"/>
    </row>
    <row r="61" spans="28:28">
      <c r="AB61" s="28"/>
    </row>
    <row r="62" spans="28:28">
      <c r="AB62" s="28"/>
    </row>
    <row r="63" spans="28:28">
      <c r="AB63" s="28"/>
    </row>
    <row r="64" spans="28:28">
      <c r="AB64" s="28"/>
    </row>
    <row r="65" spans="28:28">
      <c r="AB65" s="28"/>
    </row>
    <row r="66" spans="28:28">
      <c r="AB66" s="28"/>
    </row>
    <row r="67" spans="28:28">
      <c r="AB67" s="28"/>
    </row>
    <row r="68" spans="28:28">
      <c r="AB68" s="28"/>
    </row>
    <row r="69" spans="28:28">
      <c r="AB69" s="28"/>
    </row>
    <row r="70" spans="28:28">
      <c r="AB70" s="28"/>
    </row>
    <row r="71" spans="28:28">
      <c r="AB71" s="28"/>
    </row>
    <row r="72" spans="28:28">
      <c r="AB72" s="28"/>
    </row>
    <row r="73" spans="28:28">
      <c r="AB73" s="28"/>
    </row>
    <row r="74" spans="28:28">
      <c r="AB74" s="28"/>
    </row>
    <row r="75" spans="28:28">
      <c r="AB75" s="28"/>
    </row>
    <row r="76" spans="28:28">
      <c r="AB76" s="28"/>
    </row>
    <row r="77" spans="28:28">
      <c r="AB77" s="28"/>
    </row>
    <row r="78" spans="28:28">
      <c r="AB78" s="28"/>
    </row>
    <row r="79" spans="28:28">
      <c r="AB79" s="28"/>
    </row>
    <row r="80" spans="28:28">
      <c r="AB80" s="28"/>
    </row>
    <row r="81" spans="28:28">
      <c r="AB81" s="28"/>
    </row>
    <row r="82" spans="28:28">
      <c r="AB82" s="28"/>
    </row>
    <row r="83" spans="28:28">
      <c r="AB83" s="28"/>
    </row>
    <row r="84" spans="28:28">
      <c r="AB84" s="28"/>
    </row>
    <row r="85" spans="28:28">
      <c r="AB85" s="28"/>
    </row>
    <row r="86" spans="28:28">
      <c r="AB86" s="28"/>
    </row>
    <row r="87" spans="28:28">
      <c r="AB87" s="28"/>
    </row>
    <row r="88" spans="28:28">
      <c r="AB88" s="28"/>
    </row>
    <row r="89" spans="28:28">
      <c r="AB89" s="28"/>
    </row>
    <row r="90" spans="28:28">
      <c r="AB90" s="28"/>
    </row>
    <row r="91" spans="28:28">
      <c r="AB91" s="28"/>
    </row>
    <row r="92" spans="28:28">
      <c r="AB92" s="28"/>
    </row>
    <row r="93" spans="28:28">
      <c r="AB93" s="28"/>
    </row>
    <row r="94" spans="28:28">
      <c r="AB94" s="28"/>
    </row>
    <row r="95" spans="28:28">
      <c r="AB95" s="28"/>
    </row>
    <row r="96" spans="28:28">
      <c r="AB96" s="28"/>
    </row>
    <row r="97" spans="28:28">
      <c r="AB97" s="28"/>
    </row>
    <row r="98" spans="28:28">
      <c r="AB98" s="28"/>
    </row>
    <row r="99" spans="28:28">
      <c r="AB99" s="28"/>
    </row>
    <row r="100" spans="28:28">
      <c r="AB100" s="28"/>
    </row>
    <row r="101" spans="28:28">
      <c r="AB101" s="28"/>
    </row>
    <row r="102" spans="28:28">
      <c r="AB102" s="28"/>
    </row>
    <row r="103" spans="28:28">
      <c r="AB103" s="28"/>
    </row>
    <row r="104" spans="28:28">
      <c r="AB104" s="28"/>
    </row>
    <row r="105" spans="28:28">
      <c r="AB105" s="28"/>
    </row>
    <row r="106" spans="28:28">
      <c r="AB106" s="28"/>
    </row>
    <row r="107" spans="28:28">
      <c r="AB107" s="28"/>
    </row>
    <row r="108" spans="28:28">
      <c r="AB108" s="28"/>
    </row>
    <row r="109" spans="28:28">
      <c r="AB109" s="28"/>
    </row>
    <row r="110" spans="28:28">
      <c r="AB110" s="28"/>
    </row>
    <row r="111" spans="28:28">
      <c r="AB111" s="28"/>
    </row>
    <row r="112" spans="28:28">
      <c r="AB112" s="28"/>
    </row>
    <row r="113" spans="28:28">
      <c r="AB113" s="28"/>
    </row>
    <row r="114" spans="28:28">
      <c r="AB114" s="28"/>
    </row>
    <row r="115" spans="28:28">
      <c r="AB115" s="28"/>
    </row>
    <row r="116" spans="28:28">
      <c r="AB116" s="28"/>
    </row>
    <row r="117" spans="28:28">
      <c r="AB117" s="28"/>
    </row>
    <row r="118" spans="28:28">
      <c r="AB118" s="28"/>
    </row>
    <row r="119" spans="28:28">
      <c r="AB119" s="28"/>
    </row>
    <row r="120" spans="28:28">
      <c r="AB120" s="28"/>
    </row>
    <row r="121" spans="28:28">
      <c r="AB121" s="28"/>
    </row>
    <row r="122" spans="28:28">
      <c r="AB122" s="28"/>
    </row>
    <row r="123" spans="28:28">
      <c r="AB123" s="28"/>
    </row>
    <row r="124" spans="28:28">
      <c r="AB124" s="28"/>
    </row>
    <row r="125" spans="28:28">
      <c r="AB125" s="28"/>
    </row>
    <row r="126" spans="28:28">
      <c r="AB126" s="28"/>
    </row>
    <row r="127" spans="28:28">
      <c r="AB127" s="28"/>
    </row>
    <row r="128" spans="28:28">
      <c r="AB128" s="28"/>
    </row>
    <row r="129" spans="28:28">
      <c r="AB129" s="28"/>
    </row>
    <row r="130" spans="28:28">
      <c r="AB130" s="28"/>
    </row>
    <row r="131" spans="28:28">
      <c r="AB131" s="28"/>
    </row>
    <row r="132" spans="28:28">
      <c r="AB132" s="28"/>
    </row>
    <row r="133" spans="28:28">
      <c r="AB133" s="28"/>
    </row>
    <row r="134" spans="28:28">
      <c r="AB134" s="28"/>
    </row>
    <row r="135" spans="28:28">
      <c r="AB135" s="28"/>
    </row>
    <row r="136" spans="28:28">
      <c r="AB136" s="28"/>
    </row>
    <row r="137" spans="28:28">
      <c r="AB137" s="28"/>
    </row>
    <row r="138" spans="28:28">
      <c r="AB138" s="28"/>
    </row>
    <row r="139" spans="28:28">
      <c r="AB139" s="28"/>
    </row>
    <row r="140" spans="28:28">
      <c r="AB140" s="28"/>
    </row>
    <row r="141" spans="28:28">
      <c r="AB141" s="28"/>
    </row>
    <row r="142" spans="28:28">
      <c r="AB142" s="28"/>
    </row>
    <row r="143" spans="28:28">
      <c r="AB143" s="28"/>
    </row>
    <row r="144" spans="28:28">
      <c r="AB144" s="28"/>
    </row>
    <row r="145" spans="28:28">
      <c r="AB145" s="28"/>
    </row>
    <row r="146" spans="28:28">
      <c r="AB146" s="28"/>
    </row>
    <row r="147" spans="28:28">
      <c r="AB147" s="28"/>
    </row>
    <row r="148" spans="28:28">
      <c r="AB148" s="28"/>
    </row>
    <row r="149" spans="28:28">
      <c r="AB149" s="28"/>
    </row>
    <row r="150" spans="28:28">
      <c r="AB150" s="28"/>
    </row>
    <row r="151" spans="28:28">
      <c r="AB151" s="28"/>
    </row>
    <row r="152" spans="28:28">
      <c r="AB152" s="28"/>
    </row>
    <row r="153" spans="28:28">
      <c r="AB153" s="28"/>
    </row>
    <row r="154" spans="28:28">
      <c r="AB154" s="28"/>
    </row>
    <row r="155" spans="28:28">
      <c r="AB155" s="28"/>
    </row>
    <row r="156" spans="28:28">
      <c r="AB156" s="28"/>
    </row>
    <row r="157" spans="28:28">
      <c r="AB157" s="28"/>
    </row>
    <row r="158" spans="28:28">
      <c r="AB158" s="28"/>
    </row>
    <row r="159" spans="28:28">
      <c r="AB159" s="28"/>
    </row>
    <row r="160" spans="28:28">
      <c r="AB160" s="28"/>
    </row>
    <row r="161" spans="28:28">
      <c r="AB161" s="28"/>
    </row>
    <row r="162" spans="28:28">
      <c r="AB162" s="28"/>
    </row>
    <row r="163" spans="28:28">
      <c r="AB163" s="28"/>
    </row>
    <row r="164" spans="28:28">
      <c r="AB164" s="28"/>
    </row>
    <row r="165" spans="28:28">
      <c r="AB165" s="28"/>
    </row>
    <row r="166" spans="28:28">
      <c r="AB166" s="28"/>
    </row>
    <row r="167" spans="28:28">
      <c r="AB167" s="28"/>
    </row>
    <row r="168" spans="28:28">
      <c r="AB168" s="28"/>
    </row>
    <row r="169" spans="28:28">
      <c r="AB169" s="28"/>
    </row>
    <row r="170" spans="28:28">
      <c r="AB170" s="28"/>
    </row>
    <row r="171" spans="28:28">
      <c r="AB171" s="28"/>
    </row>
    <row r="172" spans="28:28">
      <c r="AB172" s="28"/>
    </row>
    <row r="173" spans="28:28">
      <c r="AB173" s="28"/>
    </row>
    <row r="174" spans="28:28">
      <c r="AB174" s="28"/>
    </row>
    <row r="175" spans="28:28">
      <c r="AB175" s="28"/>
    </row>
    <row r="176" spans="28:28">
      <c r="AB176" s="28"/>
    </row>
    <row r="177" spans="28:28">
      <c r="AB177" s="28"/>
    </row>
    <row r="178" spans="28:28">
      <c r="AB178" s="28"/>
    </row>
    <row r="179" spans="28:28">
      <c r="AB179" s="28"/>
    </row>
    <row r="180" spans="28:28">
      <c r="AB180" s="28"/>
    </row>
    <row r="181" spans="28:28">
      <c r="AB181" s="28"/>
    </row>
    <row r="182" spans="28:28">
      <c r="AB182" s="28"/>
    </row>
    <row r="183" spans="28:28">
      <c r="AB183" s="28"/>
    </row>
    <row r="184" spans="28:28">
      <c r="AB184" s="28"/>
    </row>
    <row r="185" spans="28:28">
      <c r="AB185" s="28"/>
    </row>
    <row r="186" spans="28:28">
      <c r="AB186" s="28"/>
    </row>
    <row r="187" spans="28:28">
      <c r="AB187" s="28"/>
    </row>
    <row r="188" spans="28:28">
      <c r="AB188" s="28"/>
    </row>
    <row r="189" spans="28:28">
      <c r="AB189" s="28"/>
    </row>
    <row r="190" spans="28:28">
      <c r="AB190" s="28"/>
    </row>
    <row r="191" spans="28:28">
      <c r="AB191" s="28"/>
    </row>
    <row r="192" spans="28:28">
      <c r="AB192" s="28"/>
    </row>
    <row r="193" spans="28:28">
      <c r="AB193" s="28"/>
    </row>
    <row r="194" spans="28:28">
      <c r="AB194" s="28"/>
    </row>
    <row r="195" spans="28:28">
      <c r="AB195" s="28"/>
    </row>
    <row r="196" spans="28:28">
      <c r="AB196" s="28"/>
    </row>
    <row r="197" spans="28:28">
      <c r="AB197" s="28"/>
    </row>
    <row r="198" spans="28:28">
      <c r="AB198" s="28"/>
    </row>
    <row r="199" spans="28:28">
      <c r="AB199" s="28"/>
    </row>
    <row r="200" spans="28:28">
      <c r="AB200" s="28"/>
    </row>
    <row r="201" spans="28:28">
      <c r="AB201" s="28"/>
    </row>
    <row r="202" spans="28:28">
      <c r="AB202" s="28"/>
    </row>
    <row r="203" spans="28:28">
      <c r="AB203" s="28"/>
    </row>
    <row r="204" spans="28:28">
      <c r="AB204" s="28"/>
    </row>
    <row r="205" spans="28:28">
      <c r="AB205" s="28"/>
    </row>
    <row r="206" spans="28:28">
      <c r="AB206" s="28"/>
    </row>
    <row r="207" spans="28:28">
      <c r="AB207" s="28"/>
    </row>
    <row r="208" spans="28:28">
      <c r="AB208" s="28"/>
    </row>
    <row r="209" spans="28:28">
      <c r="AB209" s="28"/>
    </row>
    <row r="210" spans="28:28">
      <c r="AB210" s="28"/>
    </row>
    <row r="211" spans="28:28">
      <c r="AB211" s="28"/>
    </row>
    <row r="212" spans="28:28">
      <c r="AB212" s="28"/>
    </row>
    <row r="213" spans="28:28">
      <c r="AB213" s="28"/>
    </row>
    <row r="214" spans="28:28">
      <c r="AB214" s="28"/>
    </row>
    <row r="215" spans="28:28">
      <c r="AB215" s="28"/>
    </row>
    <row r="216" spans="28:28">
      <c r="AB216" s="28"/>
    </row>
    <row r="217" spans="28:28">
      <c r="AB217" s="28"/>
    </row>
    <row r="218" spans="28:28">
      <c r="AB218" s="28"/>
    </row>
    <row r="219" spans="28:28">
      <c r="AB219" s="28"/>
    </row>
    <row r="220" spans="28:28">
      <c r="AB220" s="28"/>
    </row>
    <row r="221" spans="28:28">
      <c r="AB221" s="28"/>
    </row>
    <row r="222" spans="28:28">
      <c r="AB222" s="28"/>
    </row>
    <row r="223" spans="28:28">
      <c r="AB223" s="28"/>
    </row>
    <row r="224" spans="28:28">
      <c r="AB224" s="28"/>
    </row>
    <row r="225" spans="28:28">
      <c r="AB225" s="28"/>
    </row>
    <row r="226" spans="28:28">
      <c r="AB226" s="28"/>
    </row>
    <row r="227" spans="28:28">
      <c r="AB227" s="28"/>
    </row>
    <row r="228" spans="28:28">
      <c r="AB228" s="28"/>
    </row>
    <row r="229" spans="28:28">
      <c r="AB229" s="28"/>
    </row>
    <row r="230" spans="28:28">
      <c r="AB230" s="28"/>
    </row>
    <row r="231" spans="28:28">
      <c r="AB231" s="28"/>
    </row>
    <row r="232" spans="28:28">
      <c r="AB232" s="28"/>
    </row>
    <row r="233" spans="28:28">
      <c r="AB233" s="28"/>
    </row>
    <row r="234" spans="28:28">
      <c r="AB234" s="28"/>
    </row>
    <row r="235" spans="28:28">
      <c r="AB235" s="28"/>
    </row>
    <row r="236" spans="28:28">
      <c r="AB236" s="28"/>
    </row>
    <row r="237" spans="28:28">
      <c r="AB237" s="28"/>
    </row>
    <row r="238" spans="28:28">
      <c r="AB238" s="28"/>
    </row>
    <row r="239" spans="28:28">
      <c r="AB239" s="28"/>
    </row>
    <row r="240" spans="28:28">
      <c r="AB240" s="28"/>
    </row>
    <row r="241" spans="28:28">
      <c r="AB241" s="28"/>
    </row>
    <row r="242" spans="28:28">
      <c r="AB242" s="28"/>
    </row>
    <row r="243" spans="28:28">
      <c r="AB243" s="28"/>
    </row>
    <row r="244" spans="28:28">
      <c r="AB244" s="28"/>
    </row>
    <row r="245" spans="28:28">
      <c r="AB245" s="28"/>
    </row>
    <row r="246" spans="28:28">
      <c r="AB246" s="28"/>
    </row>
    <row r="247" spans="28:28">
      <c r="AB247" s="28"/>
    </row>
    <row r="248" spans="28:28">
      <c r="AB248" s="28"/>
    </row>
    <row r="249" spans="28:28">
      <c r="AB249" s="28"/>
    </row>
    <row r="250" spans="28:28">
      <c r="AB250" s="28"/>
    </row>
    <row r="251" spans="28:28">
      <c r="AB251" s="28"/>
    </row>
    <row r="252" spans="28:28">
      <c r="AB252" s="28"/>
    </row>
    <row r="253" spans="28:28">
      <c r="AB253" s="28"/>
    </row>
    <row r="254" spans="28:28">
      <c r="AB254" s="28"/>
    </row>
    <row r="255" spans="28:28">
      <c r="AB255" s="28"/>
    </row>
    <row r="256" spans="28:28">
      <c r="AB256" s="28"/>
    </row>
    <row r="257" spans="28:28">
      <c r="AB257" s="28"/>
    </row>
    <row r="258" spans="28:28">
      <c r="AB258" s="28"/>
    </row>
    <row r="259" spans="28:28">
      <c r="AB259" s="28"/>
    </row>
    <row r="260" spans="28:28">
      <c r="AB260" s="28"/>
    </row>
    <row r="261" spans="28:28">
      <c r="AB261" s="28"/>
    </row>
    <row r="262" spans="28:28">
      <c r="AB262" s="28"/>
    </row>
    <row r="263" spans="28:28">
      <c r="AB263" s="28"/>
    </row>
    <row r="264" spans="28:28">
      <c r="AB264" s="28"/>
    </row>
    <row r="265" spans="28:28">
      <c r="AB265" s="28"/>
    </row>
    <row r="266" spans="28:28">
      <c r="AB266" s="28"/>
    </row>
    <row r="267" spans="28:28">
      <c r="AB267" s="28"/>
    </row>
    <row r="268" spans="28:28">
      <c r="AB268" s="28"/>
    </row>
    <row r="269" spans="28:28">
      <c r="AB269" s="28"/>
    </row>
    <row r="270" spans="28:28">
      <c r="AB270" s="28"/>
    </row>
    <row r="271" spans="28:28">
      <c r="AB271" s="28"/>
    </row>
    <row r="272" spans="28:28">
      <c r="AB272" s="28"/>
    </row>
    <row r="273" spans="28:28">
      <c r="AB273" s="28"/>
    </row>
    <row r="274" spans="28:28">
      <c r="AB274" s="28"/>
    </row>
    <row r="275" spans="28:28">
      <c r="AB275" s="28"/>
    </row>
    <row r="276" spans="28:28">
      <c r="AB276" s="28"/>
    </row>
    <row r="277" spans="28:28">
      <c r="AB277" s="28"/>
    </row>
    <row r="278" spans="28:28">
      <c r="AB278" s="28"/>
    </row>
    <row r="279" spans="28:28">
      <c r="AB279" s="28"/>
    </row>
    <row r="280" spans="28:28">
      <c r="AB280" s="28"/>
    </row>
    <row r="281" spans="28:28">
      <c r="AB281" s="28"/>
    </row>
    <row r="282" spans="28:28">
      <c r="AB282" s="28"/>
    </row>
    <row r="283" spans="28:28">
      <c r="AB283" s="28"/>
    </row>
    <row r="284" spans="28:28">
      <c r="AB284" s="28"/>
    </row>
    <row r="285" spans="28:28">
      <c r="AB285" s="28"/>
    </row>
    <row r="286" spans="28:28">
      <c r="AB286" s="28"/>
    </row>
    <row r="287" spans="28:28">
      <c r="AB287" s="28"/>
    </row>
    <row r="288" spans="28:28">
      <c r="AB288" s="28"/>
    </row>
    <row r="289" spans="28:28">
      <c r="AB289" s="28"/>
    </row>
    <row r="290" spans="28:28">
      <c r="AB290" s="28"/>
    </row>
    <row r="291" spans="28:28">
      <c r="AB291" s="28"/>
    </row>
    <row r="292" spans="28:28">
      <c r="AB292" s="28"/>
    </row>
    <row r="293" spans="28:28">
      <c r="AB293" s="28"/>
    </row>
    <row r="294" spans="28:28">
      <c r="AB294" s="28"/>
    </row>
    <row r="295" spans="28:28">
      <c r="AB295" s="28"/>
    </row>
    <row r="296" spans="28:28">
      <c r="AB296" s="28"/>
    </row>
    <row r="297" spans="28:28">
      <c r="AB297" s="28"/>
    </row>
    <row r="298" spans="28:28">
      <c r="AB298" s="28"/>
    </row>
    <row r="299" spans="28:28">
      <c r="AB299" s="28"/>
    </row>
    <row r="300" spans="28:28">
      <c r="AB300" s="28"/>
    </row>
    <row r="301" spans="28:28">
      <c r="AB301" s="28"/>
    </row>
    <row r="302" spans="28:28">
      <c r="AB302" s="28"/>
    </row>
    <row r="303" spans="28:28">
      <c r="AB303" s="28"/>
    </row>
    <row r="304" spans="28:28">
      <c r="AB304" s="28"/>
    </row>
    <row r="305" spans="28:28">
      <c r="AB305" s="28"/>
    </row>
    <row r="306" spans="28:28">
      <c r="AB306" s="28"/>
    </row>
    <row r="307" spans="28:28">
      <c r="AB307" s="28"/>
    </row>
    <row r="308" spans="28:28">
      <c r="AB308" s="28"/>
    </row>
    <row r="309" spans="28:28">
      <c r="AB309" s="28"/>
    </row>
    <row r="310" spans="28:28">
      <c r="AB310" s="28"/>
    </row>
    <row r="311" spans="28:28">
      <c r="AB311" s="28"/>
    </row>
    <row r="312" spans="28:28">
      <c r="AB312" s="28"/>
    </row>
    <row r="313" spans="28:28">
      <c r="AB313" s="28"/>
    </row>
    <row r="314" spans="28:28">
      <c r="AB314" s="28"/>
    </row>
    <row r="315" spans="28:28">
      <c r="AB315" s="28"/>
    </row>
    <row r="316" spans="28:28">
      <c r="AB316" s="28"/>
    </row>
    <row r="317" spans="28:28">
      <c r="AB317" s="28"/>
    </row>
    <row r="318" spans="28:28">
      <c r="AB318" s="28"/>
    </row>
    <row r="319" spans="28:28">
      <c r="AB319" s="28"/>
    </row>
    <row r="320" spans="28:28">
      <c r="AB320" s="28"/>
    </row>
    <row r="321" spans="28:28">
      <c r="AB321" s="28"/>
    </row>
    <row r="322" spans="28:28">
      <c r="AB322" s="28"/>
    </row>
    <row r="323" spans="28:28">
      <c r="AB323" s="28"/>
    </row>
    <row r="324" spans="28:28">
      <c r="AB324" s="28"/>
    </row>
    <row r="325" spans="28:28">
      <c r="AB325" s="28"/>
    </row>
    <row r="326" spans="28:28">
      <c r="AB326" s="28"/>
    </row>
    <row r="327" spans="28:28">
      <c r="AB327" s="28"/>
    </row>
    <row r="328" spans="28:28">
      <c r="AB328" s="28"/>
    </row>
    <row r="329" spans="28:28">
      <c r="AB329" s="28"/>
    </row>
    <row r="330" spans="28:28">
      <c r="AB330" s="28"/>
    </row>
    <row r="331" spans="28:28">
      <c r="AB331" s="28"/>
    </row>
    <row r="332" spans="28:28">
      <c r="AB332" s="28"/>
    </row>
    <row r="333" spans="28:28">
      <c r="AB333" s="28"/>
    </row>
    <row r="334" spans="28:28">
      <c r="AB334" s="28"/>
    </row>
    <row r="335" spans="28:28">
      <c r="AB335" s="28"/>
    </row>
    <row r="336" spans="28:28">
      <c r="AB336" s="28"/>
    </row>
    <row r="337" spans="28:28">
      <c r="AB337" s="28"/>
    </row>
    <row r="338" spans="28:28">
      <c r="AB338" s="28"/>
    </row>
    <row r="339" spans="28:28">
      <c r="AB339" s="28"/>
    </row>
    <row r="340" spans="28:28">
      <c r="AB340" s="28"/>
    </row>
    <row r="341" spans="28:28">
      <c r="AB341" s="28"/>
    </row>
    <row r="342" spans="28:28">
      <c r="AB342" s="28"/>
    </row>
    <row r="343" spans="28:28">
      <c r="AB343" s="28"/>
    </row>
    <row r="344" spans="28:28">
      <c r="AB344" s="28"/>
    </row>
    <row r="345" spans="28:28">
      <c r="AB345" s="28"/>
    </row>
    <row r="346" spans="28:28">
      <c r="AB346" s="28"/>
    </row>
    <row r="347" spans="28:28">
      <c r="AB347" s="28"/>
    </row>
    <row r="348" spans="28:28">
      <c r="AB348" s="28"/>
    </row>
    <row r="349" spans="28:28">
      <c r="AB349" s="28"/>
    </row>
    <row r="350" spans="28:28">
      <c r="AB350" s="28"/>
    </row>
    <row r="351" spans="28:28">
      <c r="AB351" s="28"/>
    </row>
    <row r="352" spans="28:28">
      <c r="AB352" s="28"/>
    </row>
    <row r="353" spans="28:28">
      <c r="AB353" s="28"/>
    </row>
    <row r="354" spans="28:28">
      <c r="AB354" s="28"/>
    </row>
    <row r="355" spans="28:28">
      <c r="AB355" s="28"/>
    </row>
    <row r="356" spans="28:28">
      <c r="AB356" s="28"/>
    </row>
    <row r="357" spans="28:28">
      <c r="AB357" s="28"/>
    </row>
    <row r="358" spans="28:28">
      <c r="AB358" s="28"/>
    </row>
    <row r="359" spans="28:28">
      <c r="AB359" s="28"/>
    </row>
    <row r="360" spans="28:28">
      <c r="AB360" s="28"/>
    </row>
    <row r="361" spans="28:28">
      <c r="AB361" s="28"/>
    </row>
    <row r="362" spans="28:28">
      <c r="AB362" s="28"/>
    </row>
    <row r="363" spans="28:28">
      <c r="AB363" s="28"/>
    </row>
    <row r="364" spans="28:28">
      <c r="AB364" s="28"/>
    </row>
    <row r="365" spans="28:28">
      <c r="AB365" s="28"/>
    </row>
    <row r="366" spans="28:28">
      <c r="AB366" s="28"/>
    </row>
    <row r="367" spans="28:28">
      <c r="AB367" s="28"/>
    </row>
    <row r="368" spans="28:28">
      <c r="AB368" s="28"/>
    </row>
    <row r="369" spans="28:28">
      <c r="AB369" s="28"/>
    </row>
    <row r="370" spans="28:28">
      <c r="AB370" s="28"/>
    </row>
    <row r="371" spans="28:28">
      <c r="AB371" s="28"/>
    </row>
    <row r="372" spans="28:28">
      <c r="AB372" s="28"/>
    </row>
    <row r="373" spans="28:28">
      <c r="AB373" s="28"/>
    </row>
    <row r="374" spans="28:28">
      <c r="AB374" s="28"/>
    </row>
    <row r="375" spans="28:28">
      <c r="AB375" s="28"/>
    </row>
    <row r="376" spans="28:28">
      <c r="AB376" s="28"/>
    </row>
    <row r="377" spans="28:28">
      <c r="AB377" s="28"/>
    </row>
    <row r="378" spans="28:28">
      <c r="AB378" s="28"/>
    </row>
    <row r="379" spans="28:28">
      <c r="AB379" s="28"/>
    </row>
    <row r="380" spans="28:28">
      <c r="AB380" s="28"/>
    </row>
    <row r="381" spans="28:28">
      <c r="AB381" s="28"/>
    </row>
    <row r="382" spans="28:28">
      <c r="AB382" s="28"/>
    </row>
    <row r="383" spans="28:28">
      <c r="AB383" s="28"/>
    </row>
    <row r="384" spans="28:28">
      <c r="AB384" s="28"/>
    </row>
    <row r="385" spans="28:28">
      <c r="AB385" s="28"/>
    </row>
    <row r="386" spans="28:28">
      <c r="AB386" s="28"/>
    </row>
    <row r="387" spans="28:28">
      <c r="AB387" s="28"/>
    </row>
    <row r="388" spans="28:28">
      <c r="AB388" s="28"/>
    </row>
    <row r="389" spans="28:28">
      <c r="AB389" s="28"/>
    </row>
    <row r="390" spans="28:28">
      <c r="AB390" s="28"/>
    </row>
    <row r="391" spans="28:28">
      <c r="AB391" s="28"/>
    </row>
    <row r="392" spans="28:28">
      <c r="AB392" s="28"/>
    </row>
    <row r="393" spans="28:28">
      <c r="AB393" s="28"/>
    </row>
    <row r="394" spans="28:28">
      <c r="AB394" s="28"/>
    </row>
    <row r="395" spans="28:28">
      <c r="AB395" s="28"/>
    </row>
    <row r="396" spans="28:28">
      <c r="AB396" s="28"/>
    </row>
    <row r="397" spans="28:28">
      <c r="AB397" s="28"/>
    </row>
    <row r="398" spans="28:28">
      <c r="AB398" s="28"/>
    </row>
    <row r="399" spans="28:28">
      <c r="AB399" s="28"/>
    </row>
    <row r="400" spans="28:28">
      <c r="AB400" s="28"/>
    </row>
    <row r="401" spans="28:28">
      <c r="AB401" s="28"/>
    </row>
    <row r="402" spans="28:28">
      <c r="AB402" s="28"/>
    </row>
    <row r="403" spans="28:28">
      <c r="AB403" s="28"/>
    </row>
    <row r="404" spans="28:28">
      <c r="AB404" s="28"/>
    </row>
    <row r="405" spans="28:28">
      <c r="AB405" s="28"/>
    </row>
    <row r="406" spans="28:28">
      <c r="AB406" s="28"/>
    </row>
    <row r="407" spans="28:28">
      <c r="AB407" s="28"/>
    </row>
    <row r="408" spans="28:28">
      <c r="AB408" s="28"/>
    </row>
    <row r="409" spans="28:28">
      <c r="AB409" s="28"/>
    </row>
    <row r="410" spans="28:28">
      <c r="AB410" s="28"/>
    </row>
    <row r="411" spans="28:28">
      <c r="AB411" s="28"/>
    </row>
    <row r="412" spans="28:28">
      <c r="AB412" s="28"/>
    </row>
    <row r="413" spans="28:28">
      <c r="AB413" s="28"/>
    </row>
    <row r="414" spans="28:28">
      <c r="AB414" s="28"/>
    </row>
    <row r="415" spans="28:28">
      <c r="AB415" s="28"/>
    </row>
    <row r="416" spans="28:28">
      <c r="AB416" s="28"/>
    </row>
    <row r="417" spans="28:28">
      <c r="AB417" s="28"/>
    </row>
    <row r="418" spans="28:28">
      <c r="AB418" s="28"/>
    </row>
    <row r="419" spans="28:28">
      <c r="AB419" s="28"/>
    </row>
    <row r="420" spans="28:28">
      <c r="AB420" s="28"/>
    </row>
    <row r="421" spans="28:28">
      <c r="AB421" s="28"/>
    </row>
    <row r="422" spans="28:28">
      <c r="AB422" s="28"/>
    </row>
    <row r="423" spans="28:28">
      <c r="AB423" s="28"/>
    </row>
    <row r="424" spans="28:28">
      <c r="AB424" s="28"/>
    </row>
    <row r="425" spans="28:28">
      <c r="AB425" s="28"/>
    </row>
    <row r="426" spans="28:28">
      <c r="AB426" s="28"/>
    </row>
    <row r="427" spans="28:28">
      <c r="AB427" s="28"/>
    </row>
    <row r="428" spans="28:28">
      <c r="AB428" s="28"/>
    </row>
    <row r="429" spans="28:28">
      <c r="AB429" s="28"/>
    </row>
    <row r="430" spans="28:28">
      <c r="AB430" s="28"/>
    </row>
    <row r="431" spans="28:28">
      <c r="AB431" s="28"/>
    </row>
    <row r="432" spans="28:28">
      <c r="AB432" s="28"/>
    </row>
    <row r="433" spans="28:28">
      <c r="AB433" s="28"/>
    </row>
    <row r="434" spans="28:28">
      <c r="AB434" s="28"/>
    </row>
    <row r="435" spans="28:28">
      <c r="AB435" s="28"/>
    </row>
    <row r="436" spans="28:28">
      <c r="AB436" s="28"/>
    </row>
    <row r="437" spans="28:28">
      <c r="AB437" s="28"/>
    </row>
    <row r="438" spans="28:28">
      <c r="AB438" s="28"/>
    </row>
    <row r="439" spans="28:28">
      <c r="AB439" s="28"/>
    </row>
    <row r="440" spans="28:28">
      <c r="AB440" s="28"/>
    </row>
    <row r="441" spans="28:28">
      <c r="AB441" s="28"/>
    </row>
    <row r="442" spans="28:28">
      <c r="AB442" s="28"/>
    </row>
    <row r="443" spans="28:28">
      <c r="AB443" s="28"/>
    </row>
    <row r="444" spans="28:28">
      <c r="AB444" s="28"/>
    </row>
    <row r="445" spans="28:28">
      <c r="AB445" s="28"/>
    </row>
    <row r="446" spans="28:28">
      <c r="AB446" s="28"/>
    </row>
    <row r="447" spans="28:28">
      <c r="AB447" s="28"/>
    </row>
    <row r="448" spans="28:28">
      <c r="AB448" s="28"/>
    </row>
    <row r="449" spans="28:28">
      <c r="AB449" s="28"/>
    </row>
    <row r="450" spans="28:28">
      <c r="AB450" s="28"/>
    </row>
    <row r="451" spans="28:28">
      <c r="AB451" s="28"/>
    </row>
    <row r="452" spans="28:28">
      <c r="AB452" s="28"/>
    </row>
    <row r="453" spans="28:28">
      <c r="AB453" s="28"/>
    </row>
    <row r="454" spans="28:28">
      <c r="AB454" s="28"/>
    </row>
    <row r="455" spans="28:28">
      <c r="AB455" s="28"/>
    </row>
    <row r="456" spans="28:28">
      <c r="AB456" s="28"/>
    </row>
    <row r="457" spans="28:28">
      <c r="AB457" s="28"/>
    </row>
    <row r="458" spans="28:28">
      <c r="AB458" s="28"/>
    </row>
    <row r="459" spans="28:28">
      <c r="AB459" s="28"/>
    </row>
    <row r="460" spans="28:28">
      <c r="AB460" s="28"/>
    </row>
    <row r="461" spans="28:28">
      <c r="AB461" s="28"/>
    </row>
    <row r="462" spans="28:28">
      <c r="AB462" s="28"/>
    </row>
    <row r="463" spans="28:28">
      <c r="AB463" s="28"/>
    </row>
    <row r="464" spans="28:28">
      <c r="AB464" s="28"/>
    </row>
    <row r="465" spans="28:28">
      <c r="AB465" s="28"/>
    </row>
    <row r="466" spans="28:28">
      <c r="AB466" s="28"/>
    </row>
    <row r="467" spans="28:28">
      <c r="AB467" s="28"/>
    </row>
    <row r="468" spans="28:28">
      <c r="AB468" s="28"/>
    </row>
    <row r="469" spans="28:28">
      <c r="AB469" s="28"/>
    </row>
    <row r="470" spans="28:28">
      <c r="AB470" s="28"/>
    </row>
    <row r="471" spans="28:28">
      <c r="AB471" s="28"/>
    </row>
    <row r="472" spans="28:28">
      <c r="AB472" s="28"/>
    </row>
    <row r="473" spans="28:28">
      <c r="AB473" s="28"/>
    </row>
    <row r="474" spans="28:28">
      <c r="AB474" s="28"/>
    </row>
    <row r="475" spans="28:28">
      <c r="AB475" s="28"/>
    </row>
    <row r="476" spans="28:28">
      <c r="AB476" s="28"/>
    </row>
    <row r="477" spans="28:28">
      <c r="AB477" s="28"/>
    </row>
    <row r="478" spans="28:28">
      <c r="AB478" s="28"/>
    </row>
    <row r="479" spans="28:28">
      <c r="AB479" s="28"/>
    </row>
    <row r="480" spans="28:28">
      <c r="AB480" s="28"/>
    </row>
    <row r="481" spans="28:28">
      <c r="AB481" s="28"/>
    </row>
    <row r="482" spans="28:28">
      <c r="AB482" s="28"/>
    </row>
    <row r="483" spans="28:28">
      <c r="AB483" s="28"/>
    </row>
    <row r="484" spans="28:28">
      <c r="AB484" s="28"/>
    </row>
    <row r="485" spans="28:28">
      <c r="AB485" s="28"/>
    </row>
    <row r="486" spans="28:28">
      <c r="AB486" s="28"/>
    </row>
    <row r="487" spans="28:28">
      <c r="AB487" s="28"/>
    </row>
    <row r="488" spans="28:28">
      <c r="AB488" s="28"/>
    </row>
    <row r="489" spans="28:28">
      <c r="AB489" s="28"/>
    </row>
    <row r="490" spans="28:28">
      <c r="AB490" s="28"/>
    </row>
    <row r="491" spans="28:28">
      <c r="AB491" s="28"/>
    </row>
    <row r="492" spans="28:28">
      <c r="AB492" s="28"/>
    </row>
    <row r="493" spans="28:28">
      <c r="AB493" s="28"/>
    </row>
    <row r="494" spans="28:28">
      <c r="AB494" s="28"/>
    </row>
    <row r="495" spans="28:28">
      <c r="AB495" s="28"/>
    </row>
    <row r="496" spans="28:28">
      <c r="AB496" s="28"/>
    </row>
    <row r="497" spans="28:28">
      <c r="AB497" s="28"/>
    </row>
    <row r="498" spans="28:28">
      <c r="AB498" s="28"/>
    </row>
    <row r="499" spans="28:28">
      <c r="AB499" s="28"/>
    </row>
    <row r="500" spans="28:28">
      <c r="AB500" s="28"/>
    </row>
    <row r="501" spans="28:28">
      <c r="AB501" s="28"/>
    </row>
    <row r="502" spans="28:28">
      <c r="AB502" s="28"/>
    </row>
    <row r="503" spans="28:28">
      <c r="AB503" s="28"/>
    </row>
    <row r="504" spans="28:28">
      <c r="AB504" s="28"/>
    </row>
    <row r="505" spans="28:28">
      <c r="AB505" s="28"/>
    </row>
    <row r="506" spans="28:28">
      <c r="AB506" s="28"/>
    </row>
    <row r="507" spans="28:28">
      <c r="AB507" s="28"/>
    </row>
    <row r="508" spans="28:28">
      <c r="AB508" s="28"/>
    </row>
    <row r="509" spans="28:28">
      <c r="AB509" s="28"/>
    </row>
    <row r="510" spans="28:28">
      <c r="AB510" s="28"/>
    </row>
    <row r="511" spans="28:28">
      <c r="AB511" s="28"/>
    </row>
    <row r="512" spans="28:28">
      <c r="AB512" s="28"/>
    </row>
    <row r="513" spans="28:28">
      <c r="AB513" s="28"/>
    </row>
    <row r="514" spans="28:28">
      <c r="AB514" s="28"/>
    </row>
    <row r="515" spans="28:28">
      <c r="AB515" s="28"/>
    </row>
    <row r="516" spans="28:28">
      <c r="AB516" s="28"/>
    </row>
    <row r="517" spans="28:28">
      <c r="AB517" s="28"/>
    </row>
    <row r="518" spans="28:28">
      <c r="AB518" s="28"/>
    </row>
    <row r="519" spans="28:28">
      <c r="AB519" s="28"/>
    </row>
    <row r="520" spans="28:28">
      <c r="AB520" s="28"/>
    </row>
    <row r="521" spans="28:28">
      <c r="AB521" s="28"/>
    </row>
    <row r="522" spans="28:28">
      <c r="AB522" s="28"/>
    </row>
    <row r="523" spans="28:28">
      <c r="AB523" s="28"/>
    </row>
    <row r="524" spans="28:28">
      <c r="AB524" s="28"/>
    </row>
    <row r="525" spans="28:28">
      <c r="AB525" s="28"/>
    </row>
    <row r="526" spans="28:28">
      <c r="AB526" s="28"/>
    </row>
    <row r="527" spans="28:28">
      <c r="AB527" s="28"/>
    </row>
    <row r="528" spans="28:28">
      <c r="AB528" s="28"/>
    </row>
    <row r="529" spans="28:28">
      <c r="AB529" s="28"/>
    </row>
    <row r="530" spans="28:28">
      <c r="AB530" s="28"/>
    </row>
    <row r="531" spans="28:28">
      <c r="AB531" s="28"/>
    </row>
    <row r="532" spans="28:28">
      <c r="AB532" s="28"/>
    </row>
    <row r="533" spans="28:28">
      <c r="AB533" s="28"/>
    </row>
    <row r="534" spans="28:28">
      <c r="AB534" s="28"/>
    </row>
    <row r="535" spans="28:28">
      <c r="AB535" s="28"/>
    </row>
    <row r="536" spans="28:28">
      <c r="AB536" s="28"/>
    </row>
    <row r="537" spans="28:28">
      <c r="AB537" s="28"/>
    </row>
    <row r="538" spans="28:28">
      <c r="AB538" s="28"/>
    </row>
    <row r="539" spans="28:28">
      <c r="AB539" s="28"/>
    </row>
    <row r="540" spans="28:28">
      <c r="AB540" s="28"/>
    </row>
    <row r="541" spans="28:28">
      <c r="AB541" s="28"/>
    </row>
    <row r="542" spans="28:28">
      <c r="AB542" s="28"/>
    </row>
    <row r="543" spans="28:28">
      <c r="AB543" s="28"/>
    </row>
    <row r="544" spans="28:28">
      <c r="AB544" s="28"/>
    </row>
    <row r="545" spans="28:28">
      <c r="AB545" s="28"/>
    </row>
    <row r="546" spans="28:28">
      <c r="AB546" s="28"/>
    </row>
    <row r="547" spans="28:28">
      <c r="AB547" s="28"/>
    </row>
    <row r="548" spans="28:28">
      <c r="AB548" s="28"/>
    </row>
    <row r="549" spans="28:28">
      <c r="AB549" s="28"/>
    </row>
    <row r="550" spans="28:28">
      <c r="AB550" s="28"/>
    </row>
    <row r="551" spans="28:28">
      <c r="AB551" s="28"/>
    </row>
    <row r="552" spans="28:28">
      <c r="AB552" s="28"/>
    </row>
    <row r="553" spans="28:28">
      <c r="AB553" s="28"/>
    </row>
    <row r="554" spans="28:28">
      <c r="AB554" s="28"/>
    </row>
    <row r="555" spans="28:28">
      <c r="AB555" s="28"/>
    </row>
    <row r="556" spans="28:28">
      <c r="AB556" s="28"/>
    </row>
    <row r="557" spans="28:28">
      <c r="AB557" s="28"/>
    </row>
    <row r="558" spans="28:28">
      <c r="AB558" s="28"/>
    </row>
    <row r="559" spans="28:28">
      <c r="AB559" s="28"/>
    </row>
    <row r="560" spans="28:28">
      <c r="AB560" s="28"/>
    </row>
    <row r="561" spans="28:28">
      <c r="AB561" s="28"/>
    </row>
    <row r="562" spans="28:28">
      <c r="AB562" s="28"/>
    </row>
    <row r="563" spans="28:28">
      <c r="AB563" s="28"/>
    </row>
    <row r="564" spans="28:28">
      <c r="AB564" s="28"/>
    </row>
    <row r="565" spans="28:28">
      <c r="AB565" s="28"/>
    </row>
    <row r="566" spans="28:28">
      <c r="AB566" s="28"/>
    </row>
    <row r="567" spans="28:28">
      <c r="AB567" s="28"/>
    </row>
    <row r="568" spans="28:28">
      <c r="AB568" s="28"/>
    </row>
    <row r="569" spans="28:28">
      <c r="AB569" s="28"/>
    </row>
    <row r="570" spans="28:28">
      <c r="AB570" s="28"/>
    </row>
    <row r="571" spans="28:28">
      <c r="AB571" s="28"/>
    </row>
    <row r="572" spans="28:28">
      <c r="AB572" s="28"/>
    </row>
    <row r="573" spans="28:28">
      <c r="AB573" s="28"/>
    </row>
    <row r="574" spans="28:28">
      <c r="AB574" s="28"/>
    </row>
    <row r="575" spans="28:28">
      <c r="AB575" s="28"/>
    </row>
    <row r="576" spans="28:28">
      <c r="AB576" s="28"/>
    </row>
    <row r="577" spans="28:28">
      <c r="AB577" s="28"/>
    </row>
    <row r="578" spans="28:28">
      <c r="AB578" s="28"/>
    </row>
    <row r="579" spans="28:28">
      <c r="AB579" s="28"/>
    </row>
    <row r="580" spans="28:28">
      <c r="AB580" s="28"/>
    </row>
    <row r="581" spans="28:28">
      <c r="AB581" s="28"/>
    </row>
    <row r="582" spans="28:28">
      <c r="AB582" s="28"/>
    </row>
    <row r="583" spans="28:28">
      <c r="AB583" s="28"/>
    </row>
    <row r="584" spans="28:28">
      <c r="AB584" s="28"/>
    </row>
    <row r="585" spans="28:28">
      <c r="AB585" s="28"/>
    </row>
    <row r="586" spans="28:28">
      <c r="AB586" s="28"/>
    </row>
    <row r="587" spans="28:28">
      <c r="AB587" s="28"/>
    </row>
    <row r="588" spans="28:28">
      <c r="AB588" s="28"/>
    </row>
    <row r="589" spans="28:28">
      <c r="AB589" s="28"/>
    </row>
    <row r="590" spans="28:28">
      <c r="AB590" s="28"/>
    </row>
    <row r="591" spans="28:28">
      <c r="AB591" s="28"/>
    </row>
    <row r="592" spans="28:28">
      <c r="AB592" s="28"/>
    </row>
    <row r="593" spans="28:28">
      <c r="AB593" s="28"/>
    </row>
    <row r="594" spans="28:28">
      <c r="AB594" s="28"/>
    </row>
    <row r="595" spans="28:28">
      <c r="AB595" s="28"/>
    </row>
    <row r="596" spans="28:28">
      <c r="AB596" s="28"/>
    </row>
    <row r="597" spans="28:28">
      <c r="AB597" s="28"/>
    </row>
    <row r="598" spans="28:28">
      <c r="AB598" s="28"/>
    </row>
    <row r="599" spans="28:28">
      <c r="AB599" s="28"/>
    </row>
    <row r="600" spans="28:28">
      <c r="AB600" s="28"/>
    </row>
    <row r="601" spans="28:28">
      <c r="AB601" s="28"/>
    </row>
    <row r="602" spans="28:28">
      <c r="AB602" s="28"/>
    </row>
    <row r="603" spans="28:28">
      <c r="AB603" s="28"/>
    </row>
    <row r="604" spans="28:28">
      <c r="AB604" s="28"/>
    </row>
    <row r="605" spans="28:28">
      <c r="AB605" s="28"/>
    </row>
    <row r="606" spans="28:28">
      <c r="AB606" s="28"/>
    </row>
    <row r="607" spans="28:28">
      <c r="AB607" s="28"/>
    </row>
    <row r="608" spans="28:28">
      <c r="AB608" s="28"/>
    </row>
    <row r="609" spans="28:28">
      <c r="AB609" s="28"/>
    </row>
    <row r="610" spans="28:28">
      <c r="AB610" s="28"/>
    </row>
    <row r="611" spans="28:28">
      <c r="AB611" s="28"/>
    </row>
    <row r="612" spans="28:28">
      <c r="AB612" s="28"/>
    </row>
    <row r="613" spans="28:28">
      <c r="AB613" s="28"/>
    </row>
    <row r="614" spans="28:28">
      <c r="AB614" s="28"/>
    </row>
    <row r="615" spans="28:28">
      <c r="AB615" s="28"/>
    </row>
    <row r="616" spans="28:28">
      <c r="AB616" s="28"/>
    </row>
    <row r="617" spans="28:28">
      <c r="AB617" s="28"/>
    </row>
    <row r="618" spans="28:28">
      <c r="AB618" s="28"/>
    </row>
    <row r="619" spans="28:28">
      <c r="AB619" s="28"/>
    </row>
    <row r="620" spans="28:28">
      <c r="AB620" s="28"/>
    </row>
    <row r="621" spans="28:28">
      <c r="AB621" s="28"/>
    </row>
    <row r="622" spans="28:28">
      <c r="AB622" s="28"/>
    </row>
    <row r="623" spans="28:28">
      <c r="AB623" s="28"/>
    </row>
    <row r="624" spans="28:28">
      <c r="AB624" s="28"/>
    </row>
    <row r="625" spans="28:28">
      <c r="AB625" s="28"/>
    </row>
    <row r="626" spans="28:28">
      <c r="AB626" s="28"/>
    </row>
    <row r="627" spans="28:28">
      <c r="AB627" s="28"/>
    </row>
    <row r="628" spans="28:28">
      <c r="AB628" s="28"/>
    </row>
    <row r="629" spans="28:28">
      <c r="AB629" s="28"/>
    </row>
    <row r="630" spans="28:28">
      <c r="AB630" s="28"/>
    </row>
    <row r="631" spans="28:28">
      <c r="AB631" s="28"/>
    </row>
    <row r="632" spans="28:28">
      <c r="AB632" s="28"/>
    </row>
    <row r="633" spans="28:28">
      <c r="AB633" s="28"/>
    </row>
    <row r="634" spans="28:28">
      <c r="AB634" s="28"/>
    </row>
    <row r="635" spans="28:28">
      <c r="AB635" s="28"/>
    </row>
    <row r="636" spans="28:28">
      <c r="AB636" s="28"/>
    </row>
    <row r="637" spans="28:28">
      <c r="AB637" s="28"/>
    </row>
    <row r="638" spans="28:28">
      <c r="AB638" s="28"/>
    </row>
    <row r="639" spans="28:28">
      <c r="AB639" s="28"/>
    </row>
    <row r="640" spans="28:28">
      <c r="AB640" s="28"/>
    </row>
    <row r="641" spans="28:28">
      <c r="AB641" s="28"/>
    </row>
    <row r="642" spans="28:28">
      <c r="AB642" s="28"/>
    </row>
    <row r="643" spans="28:28">
      <c r="AB643" s="28"/>
    </row>
    <row r="644" spans="28:28">
      <c r="AB644" s="28"/>
    </row>
    <row r="645" spans="28:28">
      <c r="AB645" s="28"/>
    </row>
    <row r="646" spans="28:28">
      <c r="AB646" s="28"/>
    </row>
    <row r="647" spans="28:28">
      <c r="AB647" s="28"/>
    </row>
    <row r="648" spans="28:28">
      <c r="AB648" s="28"/>
    </row>
    <row r="649" spans="28:28">
      <c r="AB649" s="28"/>
    </row>
    <row r="650" spans="28:28">
      <c r="AB650" s="28"/>
    </row>
    <row r="651" spans="28:28">
      <c r="AB651" s="28"/>
    </row>
    <row r="652" spans="28:28">
      <c r="AB652" s="28"/>
    </row>
    <row r="653" spans="28:28">
      <c r="AB653" s="28"/>
    </row>
    <row r="654" spans="28:28">
      <c r="AB654" s="28"/>
    </row>
    <row r="655" spans="28:28">
      <c r="AB655" s="28"/>
    </row>
    <row r="656" spans="28:28">
      <c r="AB656" s="28"/>
    </row>
    <row r="657" spans="28:28">
      <c r="AB657" s="28"/>
    </row>
    <row r="658" spans="28:28">
      <c r="AB658" s="28"/>
    </row>
    <row r="659" spans="28:28">
      <c r="AB659" s="28"/>
    </row>
    <row r="660" spans="28:28">
      <c r="AB660" s="28"/>
    </row>
    <row r="661" spans="28:28">
      <c r="AB661" s="28"/>
    </row>
    <row r="662" spans="28:28">
      <c r="AB662" s="28"/>
    </row>
    <row r="663" spans="28:28">
      <c r="AB663" s="28"/>
    </row>
    <row r="664" spans="28:28">
      <c r="AB664" s="28"/>
    </row>
    <row r="665" spans="28:28">
      <c r="AB665" s="28"/>
    </row>
    <row r="666" spans="28:28">
      <c r="AB666" s="28"/>
    </row>
    <row r="667" spans="28:28">
      <c r="AB667" s="28"/>
    </row>
    <row r="668" spans="28:28">
      <c r="AB668" s="28"/>
    </row>
    <row r="669" spans="28:28">
      <c r="AB669" s="28"/>
    </row>
    <row r="670" spans="28:28">
      <c r="AB670" s="28"/>
    </row>
    <row r="671" spans="28:28">
      <c r="AB671" s="28"/>
    </row>
    <row r="672" spans="28:28">
      <c r="AB672" s="28"/>
    </row>
    <row r="673" spans="28:28">
      <c r="AB673" s="28"/>
    </row>
    <row r="674" spans="28:28">
      <c r="AB674" s="28"/>
    </row>
    <row r="675" spans="28:28">
      <c r="AB675" s="28"/>
    </row>
    <row r="676" spans="28:28">
      <c r="AB676" s="28"/>
    </row>
    <row r="677" spans="28:28">
      <c r="AB677" s="28"/>
    </row>
    <row r="678" spans="28:28">
      <c r="AB678" s="28"/>
    </row>
    <row r="679" spans="28:28">
      <c r="AB679" s="28"/>
    </row>
    <row r="680" spans="28:28">
      <c r="AB680" s="28"/>
    </row>
    <row r="681" spans="28:28">
      <c r="AB681" s="28"/>
    </row>
    <row r="682" spans="28:28">
      <c r="AB682" s="28"/>
    </row>
    <row r="683" spans="28:28">
      <c r="AB683" s="28"/>
    </row>
    <row r="684" spans="28:28">
      <c r="AB684" s="28"/>
    </row>
    <row r="685" spans="28:28">
      <c r="AB685" s="28"/>
    </row>
    <row r="686" spans="28:28">
      <c r="AB686" s="28"/>
    </row>
    <row r="687" spans="28:28">
      <c r="AB687" s="28"/>
    </row>
    <row r="688" spans="28:28">
      <c r="AB688" s="28"/>
    </row>
    <row r="689" spans="28:28">
      <c r="AB689" s="28"/>
    </row>
    <row r="690" spans="28:28">
      <c r="AB690" s="28"/>
    </row>
    <row r="691" spans="28:28">
      <c r="AB691" s="28"/>
    </row>
    <row r="692" spans="28:28">
      <c r="AB692" s="28"/>
    </row>
    <row r="693" spans="28:28">
      <c r="AB693" s="28"/>
    </row>
    <row r="694" spans="28:28">
      <c r="AB694" s="28"/>
    </row>
    <row r="695" spans="28:28">
      <c r="AB695" s="28"/>
    </row>
    <row r="696" spans="28:28">
      <c r="AB696" s="28"/>
    </row>
    <row r="697" spans="28:28">
      <c r="AB697" s="28"/>
    </row>
    <row r="698" spans="28:28">
      <c r="AB698" s="28"/>
    </row>
    <row r="699" spans="28:28">
      <c r="AB699" s="28"/>
    </row>
    <row r="700" spans="28:28">
      <c r="AB700" s="28"/>
    </row>
    <row r="701" spans="28:28">
      <c r="AB701" s="28"/>
    </row>
    <row r="702" spans="28:28">
      <c r="AB702" s="28"/>
    </row>
    <row r="703" spans="28:28">
      <c r="AB703" s="28"/>
    </row>
    <row r="704" spans="28:28">
      <c r="AB704" s="28"/>
    </row>
    <row r="705" spans="28:28">
      <c r="AB705" s="28"/>
    </row>
    <row r="706" spans="28:28">
      <c r="AB706" s="28"/>
    </row>
    <row r="707" spans="28:28">
      <c r="AB707" s="28"/>
    </row>
    <row r="708" spans="28:28">
      <c r="AB708" s="28"/>
    </row>
    <row r="709" spans="28:28">
      <c r="AB709" s="28"/>
    </row>
    <row r="710" spans="28:28">
      <c r="AB710" s="28"/>
    </row>
    <row r="711" spans="28:28">
      <c r="AB711" s="28"/>
    </row>
    <row r="712" spans="28:28">
      <c r="AB712" s="28"/>
    </row>
    <row r="713" spans="28:28">
      <c r="AB713" s="28"/>
    </row>
    <row r="714" spans="28:28">
      <c r="AB714" s="28"/>
    </row>
    <row r="715" spans="28:28">
      <c r="AB715" s="28"/>
    </row>
    <row r="716" spans="28:28">
      <c r="AB716" s="28"/>
    </row>
    <row r="717" spans="28:28">
      <c r="AB717" s="28"/>
    </row>
    <row r="718" spans="28:28">
      <c r="AB718" s="28"/>
    </row>
    <row r="719" spans="28:28">
      <c r="AB719" s="28"/>
    </row>
    <row r="720" spans="28:28">
      <c r="AB720" s="28"/>
    </row>
    <row r="721" spans="28:28">
      <c r="AB721" s="28"/>
    </row>
    <row r="722" spans="28:28">
      <c r="AB722" s="28"/>
    </row>
    <row r="723" spans="28:28">
      <c r="AB723" s="28"/>
    </row>
    <row r="724" spans="28:28">
      <c r="AB724" s="28"/>
    </row>
    <row r="725" spans="28:28">
      <c r="AB725" s="28"/>
    </row>
    <row r="726" spans="28:28">
      <c r="AB726" s="28"/>
    </row>
    <row r="727" spans="28:28">
      <c r="AB727" s="28"/>
    </row>
    <row r="728" spans="28:28">
      <c r="AB728" s="28"/>
    </row>
    <row r="729" spans="28:28">
      <c r="AB729" s="28"/>
    </row>
    <row r="730" spans="28:28">
      <c r="AB730" s="28"/>
    </row>
    <row r="731" spans="28:28">
      <c r="AB731" s="28"/>
    </row>
    <row r="732" spans="28:28">
      <c r="AB732" s="28"/>
    </row>
    <row r="733" spans="28:28">
      <c r="AB733" s="28"/>
    </row>
    <row r="734" spans="28:28">
      <c r="AB734" s="28"/>
    </row>
    <row r="735" spans="28:28">
      <c r="AB735" s="28"/>
    </row>
    <row r="736" spans="28:28">
      <c r="AB736" s="28"/>
    </row>
    <row r="737" spans="28:28">
      <c r="AB737" s="28"/>
    </row>
    <row r="738" spans="28:28">
      <c r="AB738" s="28"/>
    </row>
    <row r="739" spans="28:28">
      <c r="AB739" s="28"/>
    </row>
    <row r="740" spans="28:28">
      <c r="AB740" s="28"/>
    </row>
    <row r="741" spans="28:28">
      <c r="AB741" s="28"/>
    </row>
    <row r="742" spans="28:28">
      <c r="AB742" s="28"/>
    </row>
    <row r="743" spans="28:28">
      <c r="AB743" s="28"/>
    </row>
    <row r="744" spans="28:28">
      <c r="AB744" s="28"/>
    </row>
    <row r="745" spans="28:28">
      <c r="AB745" s="28"/>
    </row>
    <row r="746" spans="28:28">
      <c r="AB746" s="28"/>
    </row>
    <row r="747" spans="28:28">
      <c r="AB747" s="28"/>
    </row>
    <row r="748" spans="28:28">
      <c r="AB748" s="28"/>
    </row>
    <row r="749" spans="28:28">
      <c r="AB749" s="28"/>
    </row>
    <row r="750" spans="28:28">
      <c r="AB750" s="28"/>
    </row>
    <row r="751" spans="28:28">
      <c r="AB751" s="28"/>
    </row>
    <row r="752" spans="28:28">
      <c r="AB752" s="28"/>
    </row>
    <row r="753" spans="28:28">
      <c r="AB753" s="28"/>
    </row>
    <row r="754" spans="28:28">
      <c r="AB754" s="28"/>
    </row>
    <row r="755" spans="28:28">
      <c r="AB755" s="28"/>
    </row>
    <row r="756" spans="28:28">
      <c r="AB756" s="28"/>
    </row>
    <row r="757" spans="28:28">
      <c r="AB757" s="28"/>
    </row>
    <row r="758" spans="28:28">
      <c r="AB758" s="28"/>
    </row>
    <row r="759" spans="28:28">
      <c r="AB759" s="28"/>
    </row>
    <row r="760" spans="28:28">
      <c r="AB760" s="28"/>
    </row>
    <row r="761" spans="28:28">
      <c r="AB761" s="28"/>
    </row>
    <row r="762" spans="28:28">
      <c r="AB762" s="28"/>
    </row>
    <row r="763" spans="28:28">
      <c r="AB763" s="28"/>
    </row>
    <row r="764" spans="28:28">
      <c r="AB764" s="28"/>
    </row>
    <row r="765" spans="28:28">
      <c r="AB765" s="28"/>
    </row>
    <row r="766" spans="28:28">
      <c r="AB766" s="28"/>
    </row>
    <row r="767" spans="28:28">
      <c r="AB767" s="28"/>
    </row>
    <row r="768" spans="28:28">
      <c r="AB768" s="28"/>
    </row>
    <row r="769" spans="28:28">
      <c r="AB769" s="28"/>
    </row>
    <row r="770" spans="28:28">
      <c r="AB770" s="28"/>
    </row>
    <row r="771" spans="28:28">
      <c r="AB771" s="28"/>
    </row>
    <row r="772" spans="28:28">
      <c r="AB772" s="28"/>
    </row>
    <row r="773" spans="28:28">
      <c r="AB773" s="28"/>
    </row>
    <row r="774" spans="28:28">
      <c r="AB774" s="28"/>
    </row>
    <row r="775" spans="28:28">
      <c r="AB775" s="28"/>
    </row>
    <row r="776" spans="28:28">
      <c r="AB776" s="28"/>
    </row>
    <row r="777" spans="28:28">
      <c r="AB777" s="28"/>
    </row>
    <row r="778" spans="28:28">
      <c r="AB778" s="28"/>
    </row>
    <row r="779" spans="28:28">
      <c r="AB779" s="28"/>
    </row>
    <row r="780" spans="28:28">
      <c r="AB780" s="28"/>
    </row>
    <row r="781" spans="28:28">
      <c r="AB781" s="28"/>
    </row>
    <row r="782" spans="28:28">
      <c r="AB782" s="28"/>
    </row>
    <row r="783" spans="28:28">
      <c r="AB783" s="28"/>
    </row>
    <row r="784" spans="28:28">
      <c r="AB784" s="28"/>
    </row>
    <row r="785" spans="28:28">
      <c r="AB785" s="28"/>
    </row>
    <row r="786" spans="28:28">
      <c r="AB786" s="28"/>
    </row>
    <row r="787" spans="28:28">
      <c r="AB787" s="28"/>
    </row>
    <row r="788" spans="28:28">
      <c r="AB788" s="28"/>
    </row>
    <row r="789" spans="28:28">
      <c r="AB789" s="28"/>
    </row>
    <row r="790" spans="28:28">
      <c r="AB790" s="28"/>
    </row>
    <row r="791" spans="28:28">
      <c r="AB791" s="28"/>
    </row>
    <row r="792" spans="28:28">
      <c r="AB792" s="28"/>
    </row>
    <row r="793" spans="28:28">
      <c r="AB793" s="28"/>
    </row>
    <row r="794" spans="28:28">
      <c r="AB794" s="28"/>
    </row>
    <row r="795" spans="28:28">
      <c r="AB795" s="28"/>
    </row>
    <row r="796" spans="28:28">
      <c r="AB796" s="28"/>
    </row>
    <row r="797" spans="28:28">
      <c r="AB797" s="28"/>
    </row>
    <row r="798" spans="28:28">
      <c r="AB798" s="28"/>
    </row>
    <row r="799" spans="28:28">
      <c r="AB799" s="28"/>
    </row>
    <row r="800" spans="28:28">
      <c r="AB800" s="28"/>
    </row>
    <row r="801" spans="28:28">
      <c r="AB801" s="28"/>
    </row>
    <row r="802" spans="28:28">
      <c r="AB802" s="28"/>
    </row>
    <row r="803" spans="28:28">
      <c r="AB803" s="28"/>
    </row>
    <row r="804" spans="28:28">
      <c r="AB804" s="28"/>
    </row>
    <row r="805" spans="28:28">
      <c r="AB805" s="28"/>
    </row>
    <row r="806" spans="28:28">
      <c r="AB806" s="28"/>
    </row>
    <row r="807" spans="28:28">
      <c r="AB807" s="28"/>
    </row>
    <row r="808" spans="28:28">
      <c r="AB808" s="28"/>
    </row>
    <row r="809" spans="28:28">
      <c r="AB809" s="28"/>
    </row>
    <row r="810" spans="28:28">
      <c r="AB810" s="28"/>
    </row>
    <row r="811" spans="28:28">
      <c r="AB811" s="28"/>
    </row>
    <row r="812" spans="28:28">
      <c r="AB812" s="28"/>
    </row>
    <row r="813" spans="28:28">
      <c r="AB813" s="28"/>
    </row>
    <row r="814" spans="28:28">
      <c r="AB814" s="28"/>
    </row>
    <row r="815" spans="28:28">
      <c r="AB815" s="28"/>
    </row>
    <row r="816" spans="28:28">
      <c r="AB816" s="28"/>
    </row>
    <row r="817" spans="28:28">
      <c r="AB817" s="28"/>
    </row>
    <row r="818" spans="28:28">
      <c r="AB818" s="28"/>
    </row>
    <row r="819" spans="28:28">
      <c r="AB819" s="28"/>
    </row>
    <row r="820" spans="28:28">
      <c r="AB820" s="28"/>
    </row>
    <row r="821" spans="28:28">
      <c r="AB821" s="28"/>
    </row>
    <row r="822" spans="28:28">
      <c r="AB822" s="28"/>
    </row>
    <row r="823" spans="28:28">
      <c r="AB823" s="28"/>
    </row>
    <row r="824" spans="28:28">
      <c r="AB824" s="28"/>
    </row>
    <row r="825" spans="28:28">
      <c r="AB825" s="28"/>
    </row>
    <row r="826" spans="28:28">
      <c r="AB826" s="28"/>
    </row>
    <row r="827" spans="28:28">
      <c r="AB827" s="28"/>
    </row>
    <row r="828" spans="28:28">
      <c r="AB828" s="28"/>
    </row>
    <row r="829" spans="28:28">
      <c r="AB829" s="28"/>
    </row>
    <row r="830" spans="28:28">
      <c r="AB830" s="28"/>
    </row>
    <row r="831" spans="28:28">
      <c r="AB831" s="28"/>
    </row>
    <row r="832" spans="28:28">
      <c r="AB832" s="28"/>
    </row>
    <row r="833" spans="28:28">
      <c r="AB833" s="28"/>
    </row>
    <row r="834" spans="28:28">
      <c r="AB834" s="28"/>
    </row>
    <row r="835" spans="28:28">
      <c r="AB835" s="28"/>
    </row>
    <row r="836" spans="28:28">
      <c r="AB836" s="28"/>
    </row>
    <row r="837" spans="28:28">
      <c r="AB837" s="28"/>
    </row>
    <row r="838" spans="28:28">
      <c r="AB838" s="28"/>
    </row>
    <row r="839" spans="28:28">
      <c r="AB839" s="28"/>
    </row>
    <row r="840" spans="28:28">
      <c r="AB840" s="28"/>
    </row>
    <row r="841" spans="28:28">
      <c r="AB841" s="28"/>
    </row>
    <row r="842" spans="28:28">
      <c r="AB842" s="28"/>
    </row>
    <row r="843" spans="28:28">
      <c r="AB843" s="28"/>
    </row>
    <row r="844" spans="28:28">
      <c r="AB844" s="28"/>
    </row>
    <row r="845" spans="28:28">
      <c r="AB845" s="28"/>
    </row>
    <row r="846" spans="28:28">
      <c r="AB846" s="28"/>
    </row>
    <row r="847" spans="28:28">
      <c r="AB847" s="28"/>
    </row>
    <row r="848" spans="28:28">
      <c r="AB848" s="28"/>
    </row>
    <row r="849" spans="28:28">
      <c r="AB849" s="28"/>
    </row>
    <row r="850" spans="28:28">
      <c r="AB850" s="28"/>
    </row>
    <row r="851" spans="28:28">
      <c r="AB851" s="28"/>
    </row>
    <row r="852" spans="28:28">
      <c r="AB852" s="28"/>
    </row>
    <row r="853" spans="28:28">
      <c r="AB853" s="28"/>
    </row>
    <row r="854" spans="28:28">
      <c r="AB854" s="28"/>
    </row>
    <row r="855" spans="28:28">
      <c r="AB855" s="28"/>
    </row>
    <row r="856" spans="28:28">
      <c r="AB856" s="28"/>
    </row>
    <row r="857" spans="28:28">
      <c r="AB857" s="28"/>
    </row>
    <row r="858" spans="28:28">
      <c r="AB858" s="28"/>
    </row>
    <row r="859" spans="28:28">
      <c r="AB859" s="28"/>
    </row>
    <row r="860" spans="28:28">
      <c r="AB860" s="28"/>
    </row>
    <row r="861" spans="28:28">
      <c r="AB861" s="28"/>
    </row>
    <row r="862" spans="28:28">
      <c r="AB862" s="28"/>
    </row>
    <row r="863" spans="28:28">
      <c r="AB863" s="28"/>
    </row>
    <row r="864" spans="28:28">
      <c r="AB864" s="28"/>
    </row>
    <row r="865" spans="28:28">
      <c r="AB865" s="28"/>
    </row>
    <row r="866" spans="28:28">
      <c r="AB866" s="28"/>
    </row>
    <row r="867" spans="28:28">
      <c r="AB867" s="28"/>
    </row>
    <row r="868" spans="28:28">
      <c r="AB868" s="28"/>
    </row>
    <row r="869" spans="28:28">
      <c r="AB869" s="28"/>
    </row>
    <row r="870" spans="28:28">
      <c r="AB870" s="28"/>
    </row>
    <row r="871" spans="28:28">
      <c r="AB871" s="28"/>
    </row>
    <row r="872" spans="28:28">
      <c r="AB872" s="28"/>
    </row>
    <row r="873" spans="28:28">
      <c r="AB873" s="28"/>
    </row>
    <row r="874" spans="28:28">
      <c r="AB874" s="28"/>
    </row>
    <row r="875" spans="28:28">
      <c r="AB875" s="28"/>
    </row>
    <row r="876" spans="28:28">
      <c r="AB876" s="28"/>
    </row>
    <row r="877" spans="28:28">
      <c r="AB877" s="28"/>
    </row>
    <row r="878" spans="28:28">
      <c r="AB878" s="28"/>
    </row>
    <row r="879" spans="28:28">
      <c r="AB879" s="28"/>
    </row>
    <row r="880" spans="28:28">
      <c r="AB880" s="28"/>
    </row>
    <row r="881" spans="28:28">
      <c r="AB881" s="28"/>
    </row>
    <row r="882" spans="28:28">
      <c r="AB882" s="28"/>
    </row>
    <row r="883" spans="28:28">
      <c r="AB883" s="28"/>
    </row>
    <row r="884" spans="28:28">
      <c r="AB884" s="28"/>
    </row>
    <row r="885" spans="28:28">
      <c r="AB885" s="28"/>
    </row>
    <row r="886" spans="28:28">
      <c r="AB886" s="28"/>
    </row>
    <row r="887" spans="28:28">
      <c r="AB887" s="28"/>
    </row>
    <row r="888" spans="28:28">
      <c r="AB888" s="28"/>
    </row>
    <row r="889" spans="28:28">
      <c r="AB889" s="28"/>
    </row>
    <row r="890" spans="28:28">
      <c r="AB890" s="28"/>
    </row>
    <row r="891" spans="28:28">
      <c r="AB891" s="28"/>
    </row>
    <row r="892" spans="28:28">
      <c r="AB892" s="28"/>
    </row>
    <row r="893" spans="28:28">
      <c r="AB893" s="28"/>
    </row>
  </sheetData>
  <sortState ref="A2:AH895">
    <sortCondition ref="C1:C104857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 tint="0.79998168889431442"/>
  </sheetPr>
  <dimension ref="A1:AH893"/>
  <sheetViews>
    <sheetView topLeftCell="P1" workbookViewId="0">
      <selection activeCell="P2" sqref="P2"/>
    </sheetView>
  </sheetViews>
  <sheetFormatPr defaultColWidth="11.42578125" defaultRowHeight="15"/>
  <cols>
    <col min="1" max="1" width="13.85546875" style="165" bestFit="1" customWidth="1"/>
    <col min="2" max="3" width="11.42578125" style="165"/>
    <col min="4" max="4" width="11.42578125" style="28"/>
    <col min="5" max="5" width="11.42578125" style="165"/>
    <col min="6" max="6" width="22.85546875" style="165" bestFit="1" customWidth="1"/>
    <col min="7" max="7" width="11.42578125" style="28"/>
    <col min="8" max="10" width="11.42578125" style="165"/>
    <col min="11" max="11" width="11.42578125" style="28"/>
    <col min="12" max="12" width="37.5703125" style="165" bestFit="1" customWidth="1"/>
    <col min="13" max="15" width="11.42578125" style="165"/>
    <col min="16" max="16" width="18.28515625" style="176" customWidth="1"/>
    <col min="17" max="21" width="11.42578125" style="165"/>
    <col min="22" max="24" width="11.42578125" style="28"/>
    <col min="25" max="28" width="11.42578125" style="165"/>
    <col min="29" max="29" width="12.85546875" style="176" bestFit="1" customWidth="1"/>
    <col min="30" max="32" width="11.42578125" style="165"/>
    <col min="33" max="33" width="11.42578125" style="28"/>
    <col min="34" max="16384" width="11.42578125" style="165"/>
  </cols>
  <sheetData>
    <row r="1" spans="1:34" ht="90">
      <c r="A1" s="75" t="s">
        <v>45</v>
      </c>
      <c r="B1" s="75" t="s">
        <v>46</v>
      </c>
      <c r="C1" s="75" t="s">
        <v>47</v>
      </c>
      <c r="D1" s="75" t="s">
        <v>48</v>
      </c>
      <c r="E1" s="75" t="s">
        <v>49</v>
      </c>
      <c r="F1" s="75" t="s">
        <v>50</v>
      </c>
      <c r="G1" s="75" t="s">
        <v>51</v>
      </c>
      <c r="H1" s="75" t="s">
        <v>52</v>
      </c>
      <c r="I1" s="75" t="s">
        <v>53</v>
      </c>
      <c r="J1" s="75" t="s">
        <v>54</v>
      </c>
      <c r="K1" s="75" t="s">
        <v>55</v>
      </c>
      <c r="L1" s="75" t="s">
        <v>56</v>
      </c>
      <c r="M1" s="75" t="s">
        <v>57</v>
      </c>
      <c r="N1" s="75" t="s">
        <v>58</v>
      </c>
      <c r="O1" s="75" t="s">
        <v>59</v>
      </c>
      <c r="P1" s="75" t="s">
        <v>60</v>
      </c>
      <c r="Q1" s="75" t="s">
        <v>61</v>
      </c>
      <c r="R1" s="167" t="s">
        <v>938</v>
      </c>
      <c r="S1" s="167" t="s">
        <v>63</v>
      </c>
      <c r="T1" s="167" t="s">
        <v>64</v>
      </c>
      <c r="U1" s="167" t="s">
        <v>65</v>
      </c>
      <c r="V1" s="167" t="s">
        <v>66</v>
      </c>
      <c r="W1" s="167" t="s">
        <v>67</v>
      </c>
      <c r="X1" s="167" t="s">
        <v>68</v>
      </c>
      <c r="Y1" s="167" t="s">
        <v>69</v>
      </c>
      <c r="Z1" s="167" t="s">
        <v>70</v>
      </c>
      <c r="AA1" s="167" t="s">
        <v>71</v>
      </c>
      <c r="AB1" s="167" t="s">
        <v>72</v>
      </c>
      <c r="AC1" s="167" t="s">
        <v>73</v>
      </c>
      <c r="AD1" s="167" t="s">
        <v>74</v>
      </c>
      <c r="AE1" s="167" t="s">
        <v>75</v>
      </c>
      <c r="AF1" s="167" t="s">
        <v>76</v>
      </c>
      <c r="AG1" s="167" t="s">
        <v>77</v>
      </c>
      <c r="AH1" s="167" t="s">
        <v>198</v>
      </c>
    </row>
    <row r="2" spans="1:34">
      <c r="AB2" s="28"/>
    </row>
    <row r="3" spans="1:34">
      <c r="AB3" s="28"/>
    </row>
    <row r="4" spans="1:34">
      <c r="AB4" s="28"/>
    </row>
    <row r="5" spans="1:34">
      <c r="AB5" s="28"/>
    </row>
    <row r="6" spans="1:34">
      <c r="AB6" s="28"/>
    </row>
    <row r="7" spans="1:34">
      <c r="AB7" s="28"/>
    </row>
    <row r="8" spans="1:34">
      <c r="AB8" s="28"/>
    </row>
    <row r="9" spans="1:34">
      <c r="AB9" s="28"/>
    </row>
    <row r="10" spans="1:34">
      <c r="AB10" s="28"/>
    </row>
    <row r="11" spans="1:34">
      <c r="AB11" s="28"/>
    </row>
    <row r="12" spans="1:34">
      <c r="AB12" s="28"/>
    </row>
    <row r="13" spans="1:34">
      <c r="AB13" s="28"/>
    </row>
    <row r="14" spans="1:34">
      <c r="AB14" s="28"/>
    </row>
    <row r="15" spans="1:34">
      <c r="AB15" s="28"/>
    </row>
    <row r="16" spans="1:34">
      <c r="AB16" s="28"/>
    </row>
    <row r="17" spans="28:28">
      <c r="AB17" s="28"/>
    </row>
    <row r="18" spans="28:28">
      <c r="AB18" s="28"/>
    </row>
    <row r="19" spans="28:28">
      <c r="AB19" s="28"/>
    </row>
    <row r="20" spans="28:28">
      <c r="AB20" s="28"/>
    </row>
    <row r="21" spans="28:28">
      <c r="AB21" s="28"/>
    </row>
    <row r="22" spans="28:28">
      <c r="AB22" s="28"/>
    </row>
    <row r="23" spans="28:28">
      <c r="AB23" s="28"/>
    </row>
    <row r="24" spans="28:28">
      <c r="AB24" s="28"/>
    </row>
    <row r="25" spans="28:28">
      <c r="AB25" s="28"/>
    </row>
    <row r="26" spans="28:28">
      <c r="AB26" s="28"/>
    </row>
    <row r="27" spans="28:28">
      <c r="AB27" s="28"/>
    </row>
    <row r="28" spans="28:28">
      <c r="AB28" s="28"/>
    </row>
    <row r="29" spans="28:28">
      <c r="AB29" s="28"/>
    </row>
    <row r="30" spans="28:28">
      <c r="AB30" s="28"/>
    </row>
    <row r="31" spans="28:28">
      <c r="AB31" s="28"/>
    </row>
    <row r="32" spans="28:28">
      <c r="AB32" s="28"/>
    </row>
    <row r="33" spans="28:28">
      <c r="AB33" s="28"/>
    </row>
    <row r="34" spans="28:28">
      <c r="AB34" s="28"/>
    </row>
    <row r="35" spans="28:28">
      <c r="AB35" s="28"/>
    </row>
    <row r="36" spans="28:28">
      <c r="AB36" s="28"/>
    </row>
    <row r="37" spans="28:28">
      <c r="AB37" s="28"/>
    </row>
    <row r="38" spans="28:28">
      <c r="AB38" s="28"/>
    </row>
    <row r="39" spans="28:28">
      <c r="AB39" s="28"/>
    </row>
    <row r="40" spans="28:28">
      <c r="AB40" s="28"/>
    </row>
    <row r="41" spans="28:28">
      <c r="AB41" s="28"/>
    </row>
    <row r="42" spans="28:28">
      <c r="AB42" s="28"/>
    </row>
    <row r="43" spans="28:28">
      <c r="AB43" s="28"/>
    </row>
    <row r="44" spans="28:28">
      <c r="AB44" s="28"/>
    </row>
    <row r="45" spans="28:28">
      <c r="AB45" s="28"/>
    </row>
    <row r="46" spans="28:28">
      <c r="AB46" s="28"/>
    </row>
    <row r="47" spans="28:28">
      <c r="AB47" s="28"/>
    </row>
    <row r="48" spans="28:28">
      <c r="AB48" s="28"/>
    </row>
    <row r="49" spans="28:28">
      <c r="AB49" s="28"/>
    </row>
    <row r="50" spans="28:28">
      <c r="AB50" s="28"/>
    </row>
    <row r="51" spans="28:28">
      <c r="AB51" s="28"/>
    </row>
    <row r="52" spans="28:28">
      <c r="AB52" s="28"/>
    </row>
    <row r="53" spans="28:28">
      <c r="AB53" s="28"/>
    </row>
    <row r="54" spans="28:28">
      <c r="AB54" s="28"/>
    </row>
    <row r="55" spans="28:28">
      <c r="AB55" s="28"/>
    </row>
    <row r="56" spans="28:28">
      <c r="AB56" s="28"/>
    </row>
    <row r="57" spans="28:28">
      <c r="AB57" s="28"/>
    </row>
    <row r="58" spans="28:28">
      <c r="AB58" s="28"/>
    </row>
    <row r="59" spans="28:28">
      <c r="AB59" s="28"/>
    </row>
    <row r="60" spans="28:28">
      <c r="AB60" s="28"/>
    </row>
    <row r="61" spans="28:28">
      <c r="AB61" s="28"/>
    </row>
    <row r="62" spans="28:28">
      <c r="AB62" s="28"/>
    </row>
    <row r="63" spans="28:28">
      <c r="AB63" s="28"/>
    </row>
    <row r="64" spans="28:28">
      <c r="AB64" s="28"/>
    </row>
    <row r="65" spans="28:28">
      <c r="AB65" s="28"/>
    </row>
    <row r="66" spans="28:28">
      <c r="AB66" s="28"/>
    </row>
    <row r="67" spans="28:28">
      <c r="AB67" s="28"/>
    </row>
    <row r="68" spans="28:28">
      <c r="AB68" s="28"/>
    </row>
    <row r="69" spans="28:28">
      <c r="AB69" s="28"/>
    </row>
    <row r="70" spans="28:28">
      <c r="AB70" s="28"/>
    </row>
    <row r="71" spans="28:28">
      <c r="AB71" s="28"/>
    </row>
    <row r="72" spans="28:28">
      <c r="AB72" s="28"/>
    </row>
    <row r="73" spans="28:28">
      <c r="AB73" s="28"/>
    </row>
    <row r="74" spans="28:28">
      <c r="AB74" s="28"/>
    </row>
    <row r="75" spans="28:28">
      <c r="AB75" s="28"/>
    </row>
    <row r="76" spans="28:28">
      <c r="AB76" s="28"/>
    </row>
    <row r="77" spans="28:28">
      <c r="AB77" s="28"/>
    </row>
    <row r="78" spans="28:28">
      <c r="AB78" s="28"/>
    </row>
    <row r="79" spans="28:28">
      <c r="AB79" s="28"/>
    </row>
    <row r="80" spans="28:28">
      <c r="AB80" s="28"/>
    </row>
    <row r="81" spans="28:28">
      <c r="AB81" s="28"/>
    </row>
    <row r="82" spans="28:28">
      <c r="AB82" s="28"/>
    </row>
    <row r="83" spans="28:28">
      <c r="AB83" s="28"/>
    </row>
    <row r="84" spans="28:28">
      <c r="AB84" s="28"/>
    </row>
    <row r="85" spans="28:28">
      <c r="AB85" s="28"/>
    </row>
    <row r="86" spans="28:28">
      <c r="AB86" s="28"/>
    </row>
    <row r="87" spans="28:28">
      <c r="AB87" s="28"/>
    </row>
    <row r="88" spans="28:28">
      <c r="AB88" s="28"/>
    </row>
    <row r="89" spans="28:28">
      <c r="AB89" s="28"/>
    </row>
    <row r="90" spans="28:28">
      <c r="AB90" s="28"/>
    </row>
    <row r="91" spans="28:28">
      <c r="AB91" s="28"/>
    </row>
    <row r="92" spans="28:28">
      <c r="AB92" s="28"/>
    </row>
    <row r="93" spans="28:28">
      <c r="AB93" s="28"/>
    </row>
    <row r="94" spans="28:28">
      <c r="AB94" s="28"/>
    </row>
    <row r="95" spans="28:28">
      <c r="AB95" s="28"/>
    </row>
    <row r="96" spans="28:28">
      <c r="AB96" s="28"/>
    </row>
    <row r="97" spans="28:28">
      <c r="AB97" s="28"/>
    </row>
    <row r="98" spans="28:28">
      <c r="AB98" s="28"/>
    </row>
    <row r="99" spans="28:28">
      <c r="AB99" s="28"/>
    </row>
    <row r="100" spans="28:28">
      <c r="AB100" s="28"/>
    </row>
    <row r="101" spans="28:28">
      <c r="AB101" s="28"/>
    </row>
    <row r="102" spans="28:28">
      <c r="AB102" s="28"/>
    </row>
    <row r="103" spans="28:28">
      <c r="AB103" s="28"/>
    </row>
    <row r="104" spans="28:28">
      <c r="AB104" s="28"/>
    </row>
    <row r="105" spans="28:28">
      <c r="AB105" s="28"/>
    </row>
    <row r="106" spans="28:28">
      <c r="AB106" s="28"/>
    </row>
    <row r="107" spans="28:28">
      <c r="AB107" s="28"/>
    </row>
    <row r="108" spans="28:28">
      <c r="AB108" s="28"/>
    </row>
    <row r="109" spans="28:28">
      <c r="AB109" s="28"/>
    </row>
    <row r="110" spans="28:28">
      <c r="AB110" s="28"/>
    </row>
    <row r="111" spans="28:28">
      <c r="AB111" s="28"/>
    </row>
    <row r="112" spans="28:28">
      <c r="AB112" s="28"/>
    </row>
    <row r="113" spans="28:28">
      <c r="AB113" s="28"/>
    </row>
    <row r="114" spans="28:28">
      <c r="AB114" s="28"/>
    </row>
    <row r="115" spans="28:28">
      <c r="AB115" s="28"/>
    </row>
    <row r="116" spans="28:28">
      <c r="AB116" s="28"/>
    </row>
    <row r="117" spans="28:28">
      <c r="AB117" s="28"/>
    </row>
    <row r="118" spans="28:28">
      <c r="AB118" s="28"/>
    </row>
    <row r="119" spans="28:28">
      <c r="AB119" s="28"/>
    </row>
    <row r="120" spans="28:28">
      <c r="AB120" s="28"/>
    </row>
    <row r="121" spans="28:28">
      <c r="AB121" s="28"/>
    </row>
    <row r="122" spans="28:28">
      <c r="AB122" s="28"/>
    </row>
    <row r="123" spans="28:28">
      <c r="AB123" s="28"/>
    </row>
    <row r="124" spans="28:28">
      <c r="AB124" s="28"/>
    </row>
    <row r="125" spans="28:28">
      <c r="AB125" s="28"/>
    </row>
    <row r="126" spans="28:28">
      <c r="AB126" s="28"/>
    </row>
    <row r="127" spans="28:28">
      <c r="AB127" s="28"/>
    </row>
    <row r="128" spans="28:28">
      <c r="AB128" s="28"/>
    </row>
    <row r="129" spans="28:28">
      <c r="AB129" s="28"/>
    </row>
    <row r="130" spans="28:28">
      <c r="AB130" s="28"/>
    </row>
    <row r="131" spans="28:28">
      <c r="AB131" s="28"/>
    </row>
    <row r="132" spans="28:28">
      <c r="AB132" s="28"/>
    </row>
    <row r="133" spans="28:28">
      <c r="AB133" s="28"/>
    </row>
    <row r="134" spans="28:28">
      <c r="AB134" s="28"/>
    </row>
    <row r="135" spans="28:28">
      <c r="AB135" s="28"/>
    </row>
    <row r="136" spans="28:28">
      <c r="AB136" s="28"/>
    </row>
    <row r="137" spans="28:28">
      <c r="AB137" s="28"/>
    </row>
    <row r="138" spans="28:28">
      <c r="AB138" s="28"/>
    </row>
    <row r="139" spans="28:28">
      <c r="AB139" s="28"/>
    </row>
    <row r="140" spans="28:28">
      <c r="AB140" s="28"/>
    </row>
    <row r="141" spans="28:28">
      <c r="AB141" s="28"/>
    </row>
    <row r="142" spans="28:28">
      <c r="AB142" s="28"/>
    </row>
    <row r="143" spans="28:28">
      <c r="AB143" s="28"/>
    </row>
    <row r="144" spans="28:28">
      <c r="AB144" s="28"/>
    </row>
    <row r="145" spans="28:28">
      <c r="AB145" s="28"/>
    </row>
    <row r="146" spans="28:28">
      <c r="AB146" s="28"/>
    </row>
    <row r="147" spans="28:28">
      <c r="AB147" s="28"/>
    </row>
    <row r="148" spans="28:28">
      <c r="AB148" s="28"/>
    </row>
    <row r="149" spans="28:28">
      <c r="AB149" s="28"/>
    </row>
    <row r="150" spans="28:28">
      <c r="AB150" s="28"/>
    </row>
    <row r="151" spans="28:28">
      <c r="AB151" s="28"/>
    </row>
    <row r="152" spans="28:28">
      <c r="AB152" s="28"/>
    </row>
    <row r="153" spans="28:28">
      <c r="AB153" s="28"/>
    </row>
    <row r="154" spans="28:28">
      <c r="AB154" s="28"/>
    </row>
    <row r="155" spans="28:28">
      <c r="AB155" s="28"/>
    </row>
    <row r="156" spans="28:28">
      <c r="AB156" s="28"/>
    </row>
    <row r="157" spans="28:28">
      <c r="AB157" s="28"/>
    </row>
    <row r="158" spans="28:28">
      <c r="AB158" s="28"/>
    </row>
    <row r="159" spans="28:28">
      <c r="AB159" s="28"/>
    </row>
    <row r="160" spans="28:28">
      <c r="AB160" s="28"/>
    </row>
    <row r="161" spans="28:28">
      <c r="AB161" s="28"/>
    </row>
    <row r="162" spans="28:28">
      <c r="AB162" s="28"/>
    </row>
    <row r="163" spans="28:28">
      <c r="AB163" s="28"/>
    </row>
    <row r="164" spans="28:28">
      <c r="AB164" s="28"/>
    </row>
    <row r="165" spans="28:28">
      <c r="AB165" s="28"/>
    </row>
    <row r="166" spans="28:28">
      <c r="AB166" s="28"/>
    </row>
    <row r="167" spans="28:28">
      <c r="AB167" s="28"/>
    </row>
    <row r="168" spans="28:28">
      <c r="AB168" s="28"/>
    </row>
    <row r="169" spans="28:28">
      <c r="AB169" s="28"/>
    </row>
    <row r="170" spans="28:28">
      <c r="AB170" s="28"/>
    </row>
    <row r="171" spans="28:28">
      <c r="AB171" s="28"/>
    </row>
    <row r="172" spans="28:28">
      <c r="AB172" s="28"/>
    </row>
    <row r="173" spans="28:28">
      <c r="AB173" s="28"/>
    </row>
    <row r="174" spans="28:28">
      <c r="AB174" s="28"/>
    </row>
    <row r="175" spans="28:28">
      <c r="AB175" s="28"/>
    </row>
    <row r="176" spans="28:28">
      <c r="AB176" s="28"/>
    </row>
    <row r="177" spans="28:28">
      <c r="AB177" s="28"/>
    </row>
    <row r="178" spans="28:28">
      <c r="AB178" s="28"/>
    </row>
    <row r="179" spans="28:28">
      <c r="AB179" s="28"/>
    </row>
    <row r="180" spans="28:28">
      <c r="AB180" s="28"/>
    </row>
    <row r="181" spans="28:28">
      <c r="AB181" s="28"/>
    </row>
    <row r="182" spans="28:28">
      <c r="AB182" s="28"/>
    </row>
    <row r="183" spans="28:28">
      <c r="AB183" s="28"/>
    </row>
    <row r="184" spans="28:28">
      <c r="AB184" s="28"/>
    </row>
    <row r="185" spans="28:28">
      <c r="AB185" s="28"/>
    </row>
    <row r="186" spans="28:28">
      <c r="AB186" s="28"/>
    </row>
    <row r="187" spans="28:28">
      <c r="AB187" s="28"/>
    </row>
    <row r="188" spans="28:28">
      <c r="AB188" s="28"/>
    </row>
    <row r="189" spans="28:28">
      <c r="AB189" s="28"/>
    </row>
    <row r="190" spans="28:28">
      <c r="AB190" s="28"/>
    </row>
    <row r="191" spans="28:28">
      <c r="AB191" s="28"/>
    </row>
    <row r="192" spans="28:28">
      <c r="AB192" s="28"/>
    </row>
    <row r="193" spans="28:28">
      <c r="AB193" s="28"/>
    </row>
    <row r="194" spans="28:28">
      <c r="AB194" s="28"/>
    </row>
    <row r="195" spans="28:28">
      <c r="AB195" s="28"/>
    </row>
    <row r="196" spans="28:28">
      <c r="AB196" s="28"/>
    </row>
    <row r="197" spans="28:28">
      <c r="AB197" s="28"/>
    </row>
    <row r="198" spans="28:28">
      <c r="AB198" s="28"/>
    </row>
    <row r="199" spans="28:28">
      <c r="AB199" s="28"/>
    </row>
    <row r="200" spans="28:28">
      <c r="AB200" s="28"/>
    </row>
    <row r="201" spans="28:28">
      <c r="AB201" s="28"/>
    </row>
    <row r="202" spans="28:28">
      <c r="AB202" s="28"/>
    </row>
    <row r="203" spans="28:28">
      <c r="AB203" s="28"/>
    </row>
    <row r="204" spans="28:28">
      <c r="AB204" s="28"/>
    </row>
    <row r="205" spans="28:28">
      <c r="AB205" s="28"/>
    </row>
    <row r="206" spans="28:28">
      <c r="AB206" s="28"/>
    </row>
    <row r="207" spans="28:28">
      <c r="AB207" s="28"/>
    </row>
    <row r="208" spans="28:28">
      <c r="AB208" s="28"/>
    </row>
    <row r="209" spans="28:28">
      <c r="AB209" s="28"/>
    </row>
    <row r="210" spans="28:28">
      <c r="AB210" s="28"/>
    </row>
    <row r="211" spans="28:28">
      <c r="AB211" s="28"/>
    </row>
    <row r="212" spans="28:28">
      <c r="AB212" s="28"/>
    </row>
    <row r="213" spans="28:28">
      <c r="AB213" s="28"/>
    </row>
    <row r="214" spans="28:28">
      <c r="AB214" s="28"/>
    </row>
    <row r="215" spans="28:28">
      <c r="AB215" s="28"/>
    </row>
    <row r="216" spans="28:28">
      <c r="AB216" s="28"/>
    </row>
    <row r="217" spans="28:28">
      <c r="AB217" s="28"/>
    </row>
    <row r="218" spans="28:28">
      <c r="AB218" s="28"/>
    </row>
    <row r="219" spans="28:28">
      <c r="AB219" s="28"/>
    </row>
    <row r="220" spans="28:28">
      <c r="AB220" s="28"/>
    </row>
    <row r="221" spans="28:28">
      <c r="AB221" s="28"/>
    </row>
    <row r="222" spans="28:28">
      <c r="AB222" s="28"/>
    </row>
    <row r="223" spans="28:28">
      <c r="AB223" s="28"/>
    </row>
    <row r="224" spans="28:28">
      <c r="AB224" s="28"/>
    </row>
    <row r="225" spans="28:28">
      <c r="AB225" s="28"/>
    </row>
    <row r="226" spans="28:28">
      <c r="AB226" s="28"/>
    </row>
    <row r="227" spans="28:28">
      <c r="AB227" s="28"/>
    </row>
    <row r="228" spans="28:28">
      <c r="AB228" s="28"/>
    </row>
    <row r="229" spans="28:28">
      <c r="AB229" s="28"/>
    </row>
    <row r="230" spans="28:28">
      <c r="AB230" s="28"/>
    </row>
    <row r="231" spans="28:28">
      <c r="AB231" s="28"/>
    </row>
    <row r="232" spans="28:28">
      <c r="AB232" s="28"/>
    </row>
    <row r="233" spans="28:28">
      <c r="AB233" s="28"/>
    </row>
    <row r="234" spans="28:28">
      <c r="AB234" s="28"/>
    </row>
    <row r="235" spans="28:28">
      <c r="AB235" s="28"/>
    </row>
    <row r="236" spans="28:28">
      <c r="AB236" s="28"/>
    </row>
    <row r="237" spans="28:28">
      <c r="AB237" s="28"/>
    </row>
    <row r="238" spans="28:28">
      <c r="AB238" s="28"/>
    </row>
    <row r="239" spans="28:28">
      <c r="AB239" s="28"/>
    </row>
    <row r="240" spans="28:28">
      <c r="AB240" s="28"/>
    </row>
    <row r="241" spans="28:28">
      <c r="AB241" s="28"/>
    </row>
    <row r="242" spans="28:28">
      <c r="AB242" s="28"/>
    </row>
    <row r="243" spans="28:28">
      <c r="AB243" s="28"/>
    </row>
    <row r="244" spans="28:28">
      <c r="AB244" s="28"/>
    </row>
    <row r="245" spans="28:28">
      <c r="AB245" s="28"/>
    </row>
    <row r="246" spans="28:28">
      <c r="AB246" s="28"/>
    </row>
    <row r="247" spans="28:28">
      <c r="AB247" s="28"/>
    </row>
    <row r="248" spans="28:28">
      <c r="AB248" s="28"/>
    </row>
    <row r="249" spans="28:28">
      <c r="AB249" s="28"/>
    </row>
    <row r="250" spans="28:28">
      <c r="AB250" s="28"/>
    </row>
    <row r="251" spans="28:28">
      <c r="AB251" s="28"/>
    </row>
    <row r="252" spans="28:28">
      <c r="AB252" s="28"/>
    </row>
    <row r="253" spans="28:28">
      <c r="AB253" s="28"/>
    </row>
    <row r="254" spans="28:28">
      <c r="AB254" s="28"/>
    </row>
    <row r="255" spans="28:28">
      <c r="AB255" s="28"/>
    </row>
    <row r="256" spans="28:28">
      <c r="AB256" s="28"/>
    </row>
    <row r="257" spans="28:28">
      <c r="AB257" s="28"/>
    </row>
    <row r="258" spans="28:28">
      <c r="AB258" s="28"/>
    </row>
    <row r="259" spans="28:28">
      <c r="AB259" s="28"/>
    </row>
    <row r="260" spans="28:28">
      <c r="AB260" s="28"/>
    </row>
    <row r="261" spans="28:28">
      <c r="AB261" s="28"/>
    </row>
    <row r="262" spans="28:28">
      <c r="AB262" s="28"/>
    </row>
    <row r="263" spans="28:28">
      <c r="AB263" s="28"/>
    </row>
    <row r="264" spans="28:28">
      <c r="AB264" s="28"/>
    </row>
    <row r="265" spans="28:28">
      <c r="AB265" s="28"/>
    </row>
    <row r="266" spans="28:28">
      <c r="AB266" s="28"/>
    </row>
    <row r="267" spans="28:28">
      <c r="AB267" s="28"/>
    </row>
    <row r="268" spans="28:28">
      <c r="AB268" s="28"/>
    </row>
    <row r="269" spans="28:28">
      <c r="AB269" s="28"/>
    </row>
    <row r="270" spans="28:28">
      <c r="AB270" s="28"/>
    </row>
    <row r="271" spans="28:28">
      <c r="AB271" s="28"/>
    </row>
    <row r="272" spans="28:28">
      <c r="AB272" s="28"/>
    </row>
    <row r="273" spans="28:28">
      <c r="AB273" s="28"/>
    </row>
    <row r="274" spans="28:28">
      <c r="AB274" s="28"/>
    </row>
    <row r="275" spans="28:28">
      <c r="AB275" s="28"/>
    </row>
    <row r="276" spans="28:28">
      <c r="AB276" s="28"/>
    </row>
    <row r="277" spans="28:28">
      <c r="AB277" s="28"/>
    </row>
    <row r="278" spans="28:28">
      <c r="AB278" s="28"/>
    </row>
    <row r="279" spans="28:28">
      <c r="AB279" s="28"/>
    </row>
    <row r="280" spans="28:28">
      <c r="AB280" s="28"/>
    </row>
    <row r="281" spans="28:28">
      <c r="AB281" s="28"/>
    </row>
    <row r="282" spans="28:28">
      <c r="AB282" s="28"/>
    </row>
    <row r="283" spans="28:28">
      <c r="AB283" s="28"/>
    </row>
    <row r="284" spans="28:28">
      <c r="AB284" s="28"/>
    </row>
    <row r="285" spans="28:28">
      <c r="AB285" s="28"/>
    </row>
    <row r="286" spans="28:28">
      <c r="AB286" s="28"/>
    </row>
    <row r="287" spans="28:28">
      <c r="AB287" s="28"/>
    </row>
    <row r="288" spans="28:28">
      <c r="AB288" s="28"/>
    </row>
    <row r="289" spans="28:28">
      <c r="AB289" s="28"/>
    </row>
    <row r="290" spans="28:28">
      <c r="AB290" s="28"/>
    </row>
    <row r="291" spans="28:28">
      <c r="AB291" s="28"/>
    </row>
    <row r="292" spans="28:28">
      <c r="AB292" s="28"/>
    </row>
    <row r="293" spans="28:28">
      <c r="AB293" s="28"/>
    </row>
    <row r="294" spans="28:28">
      <c r="AB294" s="28"/>
    </row>
    <row r="295" spans="28:28">
      <c r="AB295" s="28"/>
    </row>
    <row r="296" spans="28:28">
      <c r="AB296" s="28"/>
    </row>
    <row r="297" spans="28:28">
      <c r="AB297" s="28"/>
    </row>
    <row r="298" spans="28:28">
      <c r="AB298" s="28"/>
    </row>
    <row r="299" spans="28:28">
      <c r="AB299" s="28"/>
    </row>
    <row r="300" spans="28:28">
      <c r="AB300" s="28"/>
    </row>
    <row r="301" spans="28:28">
      <c r="AB301" s="28"/>
    </row>
    <row r="302" spans="28:28">
      <c r="AB302" s="28"/>
    </row>
    <row r="303" spans="28:28">
      <c r="AB303" s="28"/>
    </row>
    <row r="304" spans="28:28">
      <c r="AB304" s="28"/>
    </row>
    <row r="305" spans="28:28">
      <c r="AB305" s="28"/>
    </row>
    <row r="306" spans="28:28">
      <c r="AB306" s="28"/>
    </row>
    <row r="307" spans="28:28">
      <c r="AB307" s="28"/>
    </row>
    <row r="308" spans="28:28">
      <c r="AB308" s="28"/>
    </row>
    <row r="309" spans="28:28">
      <c r="AB309" s="28"/>
    </row>
    <row r="310" spans="28:28">
      <c r="AB310" s="28"/>
    </row>
    <row r="311" spans="28:28">
      <c r="AB311" s="28"/>
    </row>
    <row r="312" spans="28:28">
      <c r="AB312" s="28"/>
    </row>
    <row r="313" spans="28:28">
      <c r="AB313" s="28"/>
    </row>
    <row r="314" spans="28:28">
      <c r="AB314" s="28"/>
    </row>
    <row r="315" spans="28:28">
      <c r="AB315" s="28"/>
    </row>
    <row r="316" spans="28:28">
      <c r="AB316" s="28"/>
    </row>
    <row r="317" spans="28:28">
      <c r="AB317" s="28"/>
    </row>
    <row r="318" spans="28:28">
      <c r="AB318" s="28"/>
    </row>
    <row r="319" spans="28:28">
      <c r="AB319" s="28"/>
    </row>
    <row r="320" spans="28:28">
      <c r="AB320" s="28"/>
    </row>
    <row r="321" spans="28:28">
      <c r="AB321" s="28"/>
    </row>
    <row r="322" spans="28:28">
      <c r="AB322" s="28"/>
    </row>
    <row r="323" spans="28:28">
      <c r="AB323" s="28"/>
    </row>
    <row r="324" spans="28:28">
      <c r="AB324" s="28"/>
    </row>
    <row r="325" spans="28:28">
      <c r="AB325" s="28"/>
    </row>
    <row r="326" spans="28:28">
      <c r="AB326" s="28"/>
    </row>
    <row r="327" spans="28:28">
      <c r="AB327" s="28"/>
    </row>
    <row r="328" spans="28:28">
      <c r="AB328" s="28"/>
    </row>
    <row r="329" spans="28:28">
      <c r="AB329" s="28"/>
    </row>
    <row r="330" spans="28:28">
      <c r="AB330" s="28"/>
    </row>
    <row r="331" spans="28:28">
      <c r="AB331" s="28"/>
    </row>
    <row r="332" spans="28:28">
      <c r="AB332" s="28"/>
    </row>
    <row r="333" spans="28:28">
      <c r="AB333" s="28"/>
    </row>
    <row r="334" spans="28:28">
      <c r="AB334" s="28"/>
    </row>
    <row r="335" spans="28:28">
      <c r="AB335" s="28"/>
    </row>
    <row r="336" spans="28:28">
      <c r="AB336" s="28"/>
    </row>
    <row r="337" spans="28:28">
      <c r="AB337" s="28"/>
    </row>
    <row r="338" spans="28:28">
      <c r="AB338" s="28"/>
    </row>
    <row r="339" spans="28:28">
      <c r="AB339" s="28"/>
    </row>
    <row r="340" spans="28:28">
      <c r="AB340" s="28"/>
    </row>
    <row r="341" spans="28:28">
      <c r="AB341" s="28"/>
    </row>
    <row r="342" spans="28:28">
      <c r="AB342" s="28"/>
    </row>
    <row r="343" spans="28:28">
      <c r="AB343" s="28"/>
    </row>
    <row r="344" spans="28:28">
      <c r="AB344" s="28"/>
    </row>
    <row r="345" spans="28:28">
      <c r="AB345" s="28"/>
    </row>
    <row r="346" spans="28:28">
      <c r="AB346" s="28"/>
    </row>
    <row r="347" spans="28:28">
      <c r="AB347" s="28"/>
    </row>
    <row r="348" spans="28:28">
      <c r="AB348" s="28"/>
    </row>
    <row r="349" spans="28:28">
      <c r="AB349" s="28"/>
    </row>
    <row r="350" spans="28:28">
      <c r="AB350" s="28"/>
    </row>
    <row r="351" spans="28:28">
      <c r="AB351" s="28"/>
    </row>
    <row r="352" spans="28:28">
      <c r="AB352" s="28"/>
    </row>
    <row r="353" spans="28:28">
      <c r="AB353" s="28"/>
    </row>
    <row r="354" spans="28:28">
      <c r="AB354" s="28"/>
    </row>
    <row r="355" spans="28:28">
      <c r="AB355" s="28"/>
    </row>
    <row r="356" spans="28:28">
      <c r="AB356" s="28"/>
    </row>
    <row r="357" spans="28:28">
      <c r="AB357" s="28"/>
    </row>
    <row r="358" spans="28:28">
      <c r="AB358" s="28"/>
    </row>
    <row r="359" spans="28:28">
      <c r="AB359" s="28"/>
    </row>
    <row r="360" spans="28:28">
      <c r="AB360" s="28"/>
    </row>
    <row r="361" spans="28:28">
      <c r="AB361" s="28"/>
    </row>
    <row r="362" spans="28:28">
      <c r="AB362" s="28"/>
    </row>
    <row r="363" spans="28:28">
      <c r="AB363" s="28"/>
    </row>
    <row r="364" spans="28:28">
      <c r="AB364" s="28"/>
    </row>
    <row r="365" spans="28:28">
      <c r="AB365" s="28"/>
    </row>
    <row r="366" spans="28:28">
      <c r="AB366" s="28"/>
    </row>
    <row r="367" spans="28:28">
      <c r="AB367" s="28"/>
    </row>
    <row r="368" spans="28:28">
      <c r="AB368" s="28"/>
    </row>
    <row r="369" spans="28:28">
      <c r="AB369" s="28"/>
    </row>
    <row r="370" spans="28:28">
      <c r="AB370" s="28"/>
    </row>
    <row r="371" spans="28:28">
      <c r="AB371" s="28"/>
    </row>
    <row r="372" spans="28:28">
      <c r="AB372" s="28"/>
    </row>
    <row r="373" spans="28:28">
      <c r="AB373" s="28"/>
    </row>
    <row r="374" spans="28:28">
      <c r="AB374" s="28"/>
    </row>
    <row r="375" spans="28:28">
      <c r="AB375" s="28"/>
    </row>
    <row r="376" spans="28:28">
      <c r="AB376" s="28"/>
    </row>
    <row r="377" spans="28:28">
      <c r="AB377" s="28"/>
    </row>
    <row r="378" spans="28:28">
      <c r="AB378" s="28"/>
    </row>
    <row r="379" spans="28:28">
      <c r="AB379" s="28"/>
    </row>
    <row r="380" spans="28:28">
      <c r="AB380" s="28"/>
    </row>
    <row r="381" spans="28:28">
      <c r="AB381" s="28"/>
    </row>
    <row r="382" spans="28:28">
      <c r="AB382" s="28"/>
    </row>
    <row r="383" spans="28:28">
      <c r="AB383" s="28"/>
    </row>
    <row r="384" spans="28:28">
      <c r="AB384" s="28"/>
    </row>
    <row r="385" spans="28:28">
      <c r="AB385" s="28"/>
    </row>
    <row r="386" spans="28:28">
      <c r="AB386" s="28"/>
    </row>
    <row r="387" spans="28:28">
      <c r="AB387" s="28"/>
    </row>
    <row r="388" spans="28:28">
      <c r="AB388" s="28"/>
    </row>
    <row r="389" spans="28:28">
      <c r="AB389" s="28"/>
    </row>
    <row r="390" spans="28:28">
      <c r="AB390" s="28"/>
    </row>
    <row r="391" spans="28:28">
      <c r="AB391" s="28"/>
    </row>
    <row r="392" spans="28:28">
      <c r="AB392" s="28"/>
    </row>
    <row r="393" spans="28:28">
      <c r="AB393" s="28"/>
    </row>
    <row r="394" spans="28:28">
      <c r="AB394" s="28"/>
    </row>
    <row r="395" spans="28:28">
      <c r="AB395" s="28"/>
    </row>
    <row r="396" spans="28:28">
      <c r="AB396" s="28"/>
    </row>
    <row r="397" spans="28:28">
      <c r="AB397" s="28"/>
    </row>
    <row r="398" spans="28:28">
      <c r="AB398" s="28"/>
    </row>
    <row r="399" spans="28:28">
      <c r="AB399" s="28"/>
    </row>
    <row r="400" spans="28:28">
      <c r="AB400" s="28"/>
    </row>
    <row r="401" spans="28:28">
      <c r="AB401" s="28"/>
    </row>
    <row r="402" spans="28:28">
      <c r="AB402" s="28"/>
    </row>
    <row r="403" spans="28:28">
      <c r="AB403" s="28"/>
    </row>
    <row r="404" spans="28:28">
      <c r="AB404" s="28"/>
    </row>
    <row r="405" spans="28:28">
      <c r="AB405" s="28"/>
    </row>
    <row r="406" spans="28:28">
      <c r="AB406" s="28"/>
    </row>
    <row r="407" spans="28:28">
      <c r="AB407" s="28"/>
    </row>
    <row r="408" spans="28:28">
      <c r="AB408" s="28"/>
    </row>
    <row r="409" spans="28:28">
      <c r="AB409" s="28"/>
    </row>
    <row r="410" spans="28:28">
      <c r="AB410" s="28"/>
    </row>
    <row r="411" spans="28:28">
      <c r="AB411" s="28"/>
    </row>
    <row r="412" spans="28:28">
      <c r="AB412" s="28"/>
    </row>
    <row r="413" spans="28:28">
      <c r="AB413" s="28"/>
    </row>
    <row r="414" spans="28:28">
      <c r="AB414" s="28"/>
    </row>
    <row r="415" spans="28:28">
      <c r="AB415" s="28"/>
    </row>
    <row r="416" spans="28:28">
      <c r="AB416" s="28"/>
    </row>
    <row r="417" spans="28:28">
      <c r="AB417" s="28"/>
    </row>
    <row r="418" spans="28:28">
      <c r="AB418" s="28"/>
    </row>
    <row r="419" spans="28:28">
      <c r="AB419" s="28"/>
    </row>
    <row r="420" spans="28:28">
      <c r="AB420" s="28"/>
    </row>
    <row r="421" spans="28:28">
      <c r="AB421" s="28"/>
    </row>
    <row r="422" spans="28:28">
      <c r="AB422" s="28"/>
    </row>
    <row r="423" spans="28:28">
      <c r="AB423" s="28"/>
    </row>
    <row r="424" spans="28:28">
      <c r="AB424" s="28"/>
    </row>
    <row r="425" spans="28:28">
      <c r="AB425" s="28"/>
    </row>
    <row r="426" spans="28:28">
      <c r="AB426" s="28"/>
    </row>
    <row r="427" spans="28:28">
      <c r="AB427" s="28"/>
    </row>
    <row r="428" spans="28:28">
      <c r="AB428" s="28"/>
    </row>
    <row r="429" spans="28:28">
      <c r="AB429" s="28"/>
    </row>
    <row r="430" spans="28:28">
      <c r="AB430" s="28"/>
    </row>
    <row r="431" spans="28:28">
      <c r="AB431" s="28"/>
    </row>
    <row r="432" spans="28:28">
      <c r="AB432" s="28"/>
    </row>
    <row r="433" spans="28:28">
      <c r="AB433" s="28"/>
    </row>
    <row r="434" spans="28:28">
      <c r="AB434" s="28"/>
    </row>
    <row r="435" spans="28:28">
      <c r="AB435" s="28"/>
    </row>
    <row r="436" spans="28:28">
      <c r="AB436" s="28"/>
    </row>
    <row r="437" spans="28:28">
      <c r="AB437" s="28"/>
    </row>
    <row r="438" spans="28:28">
      <c r="AB438" s="28"/>
    </row>
    <row r="439" spans="28:28">
      <c r="AB439" s="28"/>
    </row>
    <row r="440" spans="28:28">
      <c r="AB440" s="28"/>
    </row>
    <row r="441" spans="28:28">
      <c r="AB441" s="28"/>
    </row>
    <row r="442" spans="28:28">
      <c r="AB442" s="28"/>
    </row>
    <row r="443" spans="28:28">
      <c r="AB443" s="28"/>
    </row>
    <row r="444" spans="28:28">
      <c r="AB444" s="28"/>
    </row>
    <row r="445" spans="28:28">
      <c r="AB445" s="28"/>
    </row>
    <row r="446" spans="28:28">
      <c r="AB446" s="28"/>
    </row>
    <row r="447" spans="28:28">
      <c r="AB447" s="28"/>
    </row>
    <row r="448" spans="28:28">
      <c r="AB448" s="28"/>
    </row>
    <row r="449" spans="28:28">
      <c r="AB449" s="28"/>
    </row>
    <row r="450" spans="28:28">
      <c r="AB450" s="28"/>
    </row>
    <row r="451" spans="28:28">
      <c r="AB451" s="28"/>
    </row>
    <row r="452" spans="28:28">
      <c r="AB452" s="28"/>
    </row>
    <row r="453" spans="28:28">
      <c r="AB453" s="28"/>
    </row>
    <row r="454" spans="28:28">
      <c r="AB454" s="28"/>
    </row>
    <row r="455" spans="28:28">
      <c r="AB455" s="28"/>
    </row>
    <row r="456" spans="28:28">
      <c r="AB456" s="28"/>
    </row>
    <row r="457" spans="28:28">
      <c r="AB457" s="28"/>
    </row>
    <row r="458" spans="28:28">
      <c r="AB458" s="28"/>
    </row>
    <row r="459" spans="28:28">
      <c r="AB459" s="28"/>
    </row>
    <row r="460" spans="28:28">
      <c r="AB460" s="28"/>
    </row>
    <row r="461" spans="28:28">
      <c r="AB461" s="28"/>
    </row>
    <row r="462" spans="28:28">
      <c r="AB462" s="28"/>
    </row>
    <row r="463" spans="28:28">
      <c r="AB463" s="28"/>
    </row>
    <row r="464" spans="28:28">
      <c r="AB464" s="28"/>
    </row>
    <row r="465" spans="28:28">
      <c r="AB465" s="28"/>
    </row>
    <row r="466" spans="28:28">
      <c r="AB466" s="28"/>
    </row>
    <row r="467" spans="28:28">
      <c r="AB467" s="28"/>
    </row>
    <row r="468" spans="28:28">
      <c r="AB468" s="28"/>
    </row>
    <row r="469" spans="28:28">
      <c r="AB469" s="28"/>
    </row>
    <row r="470" spans="28:28">
      <c r="AB470" s="28"/>
    </row>
    <row r="471" spans="28:28">
      <c r="AB471" s="28"/>
    </row>
    <row r="472" spans="28:28">
      <c r="AB472" s="28"/>
    </row>
    <row r="473" spans="28:28">
      <c r="AB473" s="28"/>
    </row>
    <row r="474" spans="28:28">
      <c r="AB474" s="28"/>
    </row>
    <row r="475" spans="28:28">
      <c r="AB475" s="28"/>
    </row>
    <row r="476" spans="28:28">
      <c r="AB476" s="28"/>
    </row>
    <row r="477" spans="28:28">
      <c r="AB477" s="28"/>
    </row>
    <row r="478" spans="28:28">
      <c r="AB478" s="28"/>
    </row>
    <row r="479" spans="28:28">
      <c r="AB479" s="28"/>
    </row>
    <row r="480" spans="28:28">
      <c r="AB480" s="28"/>
    </row>
    <row r="481" spans="28:28">
      <c r="AB481" s="28"/>
    </row>
    <row r="482" spans="28:28">
      <c r="AB482" s="28"/>
    </row>
    <row r="483" spans="28:28">
      <c r="AB483" s="28"/>
    </row>
    <row r="484" spans="28:28">
      <c r="AB484" s="28"/>
    </row>
    <row r="485" spans="28:28">
      <c r="AB485" s="28"/>
    </row>
    <row r="486" spans="28:28">
      <c r="AB486" s="28"/>
    </row>
    <row r="487" spans="28:28">
      <c r="AB487" s="28"/>
    </row>
    <row r="488" spans="28:28">
      <c r="AB488" s="28"/>
    </row>
    <row r="489" spans="28:28">
      <c r="AB489" s="28"/>
    </row>
    <row r="490" spans="28:28">
      <c r="AB490" s="28"/>
    </row>
    <row r="491" spans="28:28">
      <c r="AB491" s="28"/>
    </row>
    <row r="492" spans="28:28">
      <c r="AB492" s="28"/>
    </row>
    <row r="493" spans="28:28">
      <c r="AB493" s="28"/>
    </row>
    <row r="494" spans="28:28">
      <c r="AB494" s="28"/>
    </row>
    <row r="495" spans="28:28">
      <c r="AB495" s="28"/>
    </row>
    <row r="496" spans="28:28">
      <c r="AB496" s="28"/>
    </row>
    <row r="497" spans="28:28">
      <c r="AB497" s="28"/>
    </row>
    <row r="498" spans="28:28">
      <c r="AB498" s="28"/>
    </row>
    <row r="499" spans="28:28">
      <c r="AB499" s="28"/>
    </row>
    <row r="500" spans="28:28">
      <c r="AB500" s="28"/>
    </row>
    <row r="501" spans="28:28">
      <c r="AB501" s="28"/>
    </row>
    <row r="502" spans="28:28">
      <c r="AB502" s="28"/>
    </row>
    <row r="503" spans="28:28">
      <c r="AB503" s="28"/>
    </row>
    <row r="504" spans="28:28">
      <c r="AB504" s="28"/>
    </row>
    <row r="505" spans="28:28">
      <c r="AB505" s="28"/>
    </row>
    <row r="506" spans="28:28">
      <c r="AB506" s="28"/>
    </row>
    <row r="507" spans="28:28">
      <c r="AB507" s="28"/>
    </row>
    <row r="508" spans="28:28">
      <c r="AB508" s="28"/>
    </row>
    <row r="509" spans="28:28">
      <c r="AB509" s="28"/>
    </row>
    <row r="510" spans="28:28">
      <c r="AB510" s="28"/>
    </row>
    <row r="511" spans="28:28">
      <c r="AB511" s="28"/>
    </row>
    <row r="512" spans="28:28">
      <c r="AB512" s="28"/>
    </row>
    <row r="513" spans="28:28">
      <c r="AB513" s="28"/>
    </row>
    <row r="514" spans="28:28">
      <c r="AB514" s="28"/>
    </row>
    <row r="515" spans="28:28">
      <c r="AB515" s="28"/>
    </row>
    <row r="516" spans="28:28">
      <c r="AB516" s="28"/>
    </row>
    <row r="517" spans="28:28">
      <c r="AB517" s="28"/>
    </row>
    <row r="518" spans="28:28">
      <c r="AB518" s="28"/>
    </row>
    <row r="519" spans="28:28">
      <c r="AB519" s="28"/>
    </row>
    <row r="520" spans="28:28">
      <c r="AB520" s="28"/>
    </row>
    <row r="521" spans="28:28">
      <c r="AB521" s="28"/>
    </row>
    <row r="522" spans="28:28">
      <c r="AB522" s="28"/>
    </row>
    <row r="523" spans="28:28">
      <c r="AB523" s="28"/>
    </row>
    <row r="524" spans="28:28">
      <c r="AB524" s="28"/>
    </row>
    <row r="525" spans="28:28">
      <c r="AB525" s="28"/>
    </row>
    <row r="526" spans="28:28">
      <c r="AB526" s="28"/>
    </row>
    <row r="527" spans="28:28">
      <c r="AB527" s="28"/>
    </row>
    <row r="528" spans="28:28">
      <c r="AB528" s="28"/>
    </row>
    <row r="529" spans="28:28">
      <c r="AB529" s="28"/>
    </row>
    <row r="530" spans="28:28">
      <c r="AB530" s="28"/>
    </row>
    <row r="531" spans="28:28">
      <c r="AB531" s="28"/>
    </row>
    <row r="532" spans="28:28">
      <c r="AB532" s="28"/>
    </row>
    <row r="533" spans="28:28">
      <c r="AB533" s="28"/>
    </row>
    <row r="534" spans="28:28">
      <c r="AB534" s="28"/>
    </row>
    <row r="535" spans="28:28">
      <c r="AB535" s="28"/>
    </row>
    <row r="536" spans="28:28">
      <c r="AB536" s="28"/>
    </row>
    <row r="537" spans="28:28">
      <c r="AB537" s="28"/>
    </row>
    <row r="538" spans="28:28">
      <c r="AB538" s="28"/>
    </row>
    <row r="539" spans="28:28">
      <c r="AB539" s="28"/>
    </row>
    <row r="540" spans="28:28">
      <c r="AB540" s="28"/>
    </row>
    <row r="541" spans="28:28">
      <c r="AB541" s="28"/>
    </row>
    <row r="542" spans="28:28">
      <c r="AB542" s="28"/>
    </row>
    <row r="543" spans="28:28">
      <c r="AB543" s="28"/>
    </row>
    <row r="544" spans="28:28">
      <c r="AB544" s="28"/>
    </row>
    <row r="545" spans="28:28">
      <c r="AB545" s="28"/>
    </row>
    <row r="546" spans="28:28">
      <c r="AB546" s="28"/>
    </row>
    <row r="547" spans="28:28">
      <c r="AB547" s="28"/>
    </row>
    <row r="548" spans="28:28">
      <c r="AB548" s="28"/>
    </row>
    <row r="549" spans="28:28">
      <c r="AB549" s="28"/>
    </row>
    <row r="550" spans="28:28">
      <c r="AB550" s="28"/>
    </row>
    <row r="551" spans="28:28">
      <c r="AB551" s="28"/>
    </row>
    <row r="552" spans="28:28">
      <c r="AB552" s="28"/>
    </row>
    <row r="553" spans="28:28">
      <c r="AB553" s="28"/>
    </row>
    <row r="554" spans="28:28">
      <c r="AB554" s="28"/>
    </row>
    <row r="555" spans="28:28">
      <c r="AB555" s="28"/>
    </row>
    <row r="556" spans="28:28">
      <c r="AB556" s="28"/>
    </row>
    <row r="557" spans="28:28">
      <c r="AB557" s="28"/>
    </row>
    <row r="558" spans="28:28">
      <c r="AB558" s="28"/>
    </row>
    <row r="559" spans="28:28">
      <c r="AB559" s="28"/>
    </row>
    <row r="560" spans="28:28">
      <c r="AB560" s="28"/>
    </row>
    <row r="561" spans="28:28">
      <c r="AB561" s="28"/>
    </row>
    <row r="562" spans="28:28">
      <c r="AB562" s="28"/>
    </row>
    <row r="563" spans="28:28">
      <c r="AB563" s="28"/>
    </row>
    <row r="564" spans="28:28">
      <c r="AB564" s="28"/>
    </row>
    <row r="565" spans="28:28">
      <c r="AB565" s="28"/>
    </row>
    <row r="566" spans="28:28">
      <c r="AB566" s="28"/>
    </row>
    <row r="567" spans="28:28">
      <c r="AB567" s="28"/>
    </row>
    <row r="568" spans="28:28">
      <c r="AB568" s="28"/>
    </row>
    <row r="569" spans="28:28">
      <c r="AB569" s="28"/>
    </row>
    <row r="570" spans="28:28">
      <c r="AB570" s="28"/>
    </row>
    <row r="571" spans="28:28">
      <c r="AB571" s="28"/>
    </row>
    <row r="572" spans="28:28">
      <c r="AB572" s="28"/>
    </row>
    <row r="573" spans="28:28">
      <c r="AB573" s="28"/>
    </row>
    <row r="574" spans="28:28">
      <c r="AB574" s="28"/>
    </row>
    <row r="575" spans="28:28">
      <c r="AB575" s="28"/>
    </row>
    <row r="576" spans="28:28">
      <c r="AB576" s="28"/>
    </row>
    <row r="577" spans="28:28">
      <c r="AB577" s="28"/>
    </row>
    <row r="578" spans="28:28">
      <c r="AB578" s="28"/>
    </row>
    <row r="579" spans="28:28">
      <c r="AB579" s="28"/>
    </row>
    <row r="580" spans="28:28">
      <c r="AB580" s="28"/>
    </row>
    <row r="581" spans="28:28">
      <c r="AB581" s="28"/>
    </row>
    <row r="582" spans="28:28">
      <c r="AB582" s="28"/>
    </row>
    <row r="583" spans="28:28">
      <c r="AB583" s="28"/>
    </row>
    <row r="584" spans="28:28">
      <c r="AB584" s="28"/>
    </row>
    <row r="585" spans="28:28">
      <c r="AB585" s="28"/>
    </row>
    <row r="586" spans="28:28">
      <c r="AB586" s="28"/>
    </row>
    <row r="587" spans="28:28">
      <c r="AB587" s="28"/>
    </row>
    <row r="588" spans="28:28">
      <c r="AB588" s="28"/>
    </row>
    <row r="589" spans="28:28">
      <c r="AB589" s="28"/>
    </row>
    <row r="590" spans="28:28">
      <c r="AB590" s="28"/>
    </row>
    <row r="591" spans="28:28">
      <c r="AB591" s="28"/>
    </row>
    <row r="592" spans="28:28">
      <c r="AB592" s="28"/>
    </row>
    <row r="593" spans="28:28">
      <c r="AB593" s="28"/>
    </row>
    <row r="594" spans="28:28">
      <c r="AB594" s="28"/>
    </row>
    <row r="595" spans="28:28">
      <c r="AB595" s="28"/>
    </row>
    <row r="596" spans="28:28">
      <c r="AB596" s="28"/>
    </row>
    <row r="597" spans="28:28">
      <c r="AB597" s="28"/>
    </row>
    <row r="598" spans="28:28">
      <c r="AB598" s="28"/>
    </row>
    <row r="599" spans="28:28">
      <c r="AB599" s="28"/>
    </row>
    <row r="600" spans="28:28">
      <c r="AB600" s="28"/>
    </row>
    <row r="601" spans="28:28">
      <c r="AB601" s="28"/>
    </row>
    <row r="602" spans="28:28">
      <c r="AB602" s="28"/>
    </row>
    <row r="603" spans="28:28">
      <c r="AB603" s="28"/>
    </row>
    <row r="604" spans="28:28">
      <c r="AB604" s="28"/>
    </row>
    <row r="605" spans="28:28">
      <c r="AB605" s="28"/>
    </row>
    <row r="606" spans="28:28">
      <c r="AB606" s="28"/>
    </row>
    <row r="607" spans="28:28">
      <c r="AB607" s="28"/>
    </row>
    <row r="608" spans="28:28">
      <c r="AB608" s="28"/>
    </row>
    <row r="609" spans="28:28">
      <c r="AB609" s="28"/>
    </row>
    <row r="610" spans="28:28">
      <c r="AB610" s="28"/>
    </row>
    <row r="611" spans="28:28">
      <c r="AB611" s="28"/>
    </row>
    <row r="612" spans="28:28">
      <c r="AB612" s="28"/>
    </row>
    <row r="613" spans="28:28">
      <c r="AB613" s="28"/>
    </row>
    <row r="614" spans="28:28">
      <c r="AB614" s="28"/>
    </row>
    <row r="615" spans="28:28">
      <c r="AB615" s="28"/>
    </row>
    <row r="616" spans="28:28">
      <c r="AB616" s="28"/>
    </row>
    <row r="617" spans="28:28">
      <c r="AB617" s="28"/>
    </row>
    <row r="618" spans="28:28">
      <c r="AB618" s="28"/>
    </row>
    <row r="619" spans="28:28">
      <c r="AB619" s="28"/>
    </row>
    <row r="620" spans="28:28">
      <c r="AB620" s="28"/>
    </row>
    <row r="621" spans="28:28">
      <c r="AB621" s="28"/>
    </row>
    <row r="622" spans="28:28">
      <c r="AB622" s="28"/>
    </row>
    <row r="623" spans="28:28">
      <c r="AB623" s="28"/>
    </row>
    <row r="624" spans="28:28">
      <c r="AB624" s="28"/>
    </row>
    <row r="625" spans="28:28">
      <c r="AB625" s="28"/>
    </row>
    <row r="626" spans="28:28">
      <c r="AB626" s="28"/>
    </row>
    <row r="627" spans="28:28">
      <c r="AB627" s="28"/>
    </row>
    <row r="628" spans="28:28">
      <c r="AB628" s="28"/>
    </row>
    <row r="629" spans="28:28">
      <c r="AB629" s="28"/>
    </row>
    <row r="630" spans="28:28">
      <c r="AB630" s="28"/>
    </row>
    <row r="631" spans="28:28">
      <c r="AB631" s="28"/>
    </row>
    <row r="632" spans="28:28">
      <c r="AB632" s="28"/>
    </row>
    <row r="633" spans="28:28">
      <c r="AB633" s="28"/>
    </row>
    <row r="634" spans="28:28">
      <c r="AB634" s="28"/>
    </row>
    <row r="635" spans="28:28">
      <c r="AB635" s="28"/>
    </row>
    <row r="636" spans="28:28">
      <c r="AB636" s="28"/>
    </row>
    <row r="637" spans="28:28">
      <c r="AB637" s="28"/>
    </row>
    <row r="638" spans="28:28">
      <c r="AB638" s="28"/>
    </row>
    <row r="639" spans="28:28">
      <c r="AB639" s="28"/>
    </row>
    <row r="640" spans="28:28">
      <c r="AB640" s="28"/>
    </row>
    <row r="641" spans="28:28">
      <c r="AB641" s="28"/>
    </row>
    <row r="642" spans="28:28">
      <c r="AB642" s="28"/>
    </row>
    <row r="643" spans="28:28">
      <c r="AB643" s="28"/>
    </row>
    <row r="644" spans="28:28">
      <c r="AB644" s="28"/>
    </row>
    <row r="645" spans="28:28">
      <c r="AB645" s="28"/>
    </row>
    <row r="646" spans="28:28">
      <c r="AB646" s="28"/>
    </row>
    <row r="647" spans="28:28">
      <c r="AB647" s="28"/>
    </row>
    <row r="648" spans="28:28">
      <c r="AB648" s="28"/>
    </row>
    <row r="649" spans="28:28">
      <c r="AB649" s="28"/>
    </row>
    <row r="650" spans="28:28">
      <c r="AB650" s="28"/>
    </row>
    <row r="651" spans="28:28">
      <c r="AB651" s="28"/>
    </row>
    <row r="652" spans="28:28">
      <c r="AB652" s="28"/>
    </row>
    <row r="653" spans="28:28">
      <c r="AB653" s="28"/>
    </row>
    <row r="654" spans="28:28">
      <c r="AB654" s="28"/>
    </row>
    <row r="655" spans="28:28">
      <c r="AB655" s="28"/>
    </row>
    <row r="656" spans="28:28">
      <c r="AB656" s="28"/>
    </row>
    <row r="657" spans="28:28">
      <c r="AB657" s="28"/>
    </row>
    <row r="658" spans="28:28">
      <c r="AB658" s="28"/>
    </row>
    <row r="659" spans="28:28">
      <c r="AB659" s="28"/>
    </row>
    <row r="660" spans="28:28">
      <c r="AB660" s="28"/>
    </row>
    <row r="661" spans="28:28">
      <c r="AB661" s="28"/>
    </row>
    <row r="662" spans="28:28">
      <c r="AB662" s="28"/>
    </row>
    <row r="663" spans="28:28">
      <c r="AB663" s="28"/>
    </row>
    <row r="664" spans="28:28">
      <c r="AB664" s="28"/>
    </row>
    <row r="665" spans="28:28">
      <c r="AB665" s="28"/>
    </row>
    <row r="666" spans="28:28">
      <c r="AB666" s="28"/>
    </row>
    <row r="667" spans="28:28">
      <c r="AB667" s="28"/>
    </row>
    <row r="668" spans="28:28">
      <c r="AB668" s="28"/>
    </row>
    <row r="669" spans="28:28">
      <c r="AB669" s="28"/>
    </row>
    <row r="670" spans="28:28">
      <c r="AB670" s="28"/>
    </row>
    <row r="671" spans="28:28">
      <c r="AB671" s="28"/>
    </row>
    <row r="672" spans="28:28">
      <c r="AB672" s="28"/>
    </row>
    <row r="673" spans="28:28">
      <c r="AB673" s="28"/>
    </row>
    <row r="674" spans="28:28">
      <c r="AB674" s="28"/>
    </row>
    <row r="675" spans="28:28">
      <c r="AB675" s="28"/>
    </row>
    <row r="676" spans="28:28">
      <c r="AB676" s="28"/>
    </row>
    <row r="677" spans="28:28">
      <c r="AB677" s="28"/>
    </row>
    <row r="678" spans="28:28">
      <c r="AB678" s="28"/>
    </row>
    <row r="679" spans="28:28">
      <c r="AB679" s="28"/>
    </row>
    <row r="680" spans="28:28">
      <c r="AB680" s="28"/>
    </row>
    <row r="681" spans="28:28">
      <c r="AB681" s="28"/>
    </row>
    <row r="682" spans="28:28">
      <c r="AB682" s="28"/>
    </row>
    <row r="683" spans="28:28">
      <c r="AB683" s="28"/>
    </row>
    <row r="684" spans="28:28">
      <c r="AB684" s="28"/>
    </row>
    <row r="685" spans="28:28">
      <c r="AB685" s="28"/>
    </row>
    <row r="686" spans="28:28">
      <c r="AB686" s="28"/>
    </row>
    <row r="687" spans="28:28">
      <c r="AB687" s="28"/>
    </row>
    <row r="688" spans="28:28">
      <c r="AB688" s="28"/>
    </row>
    <row r="689" spans="28:28">
      <c r="AB689" s="28"/>
    </row>
    <row r="690" spans="28:28">
      <c r="AB690" s="28"/>
    </row>
    <row r="691" spans="28:28">
      <c r="AB691" s="28"/>
    </row>
    <row r="692" spans="28:28">
      <c r="AB692" s="28"/>
    </row>
    <row r="693" spans="28:28">
      <c r="AB693" s="28"/>
    </row>
    <row r="694" spans="28:28">
      <c r="AB694" s="28"/>
    </row>
    <row r="695" spans="28:28">
      <c r="AB695" s="28"/>
    </row>
    <row r="696" spans="28:28">
      <c r="AB696" s="28"/>
    </row>
    <row r="697" spans="28:28">
      <c r="AB697" s="28"/>
    </row>
    <row r="698" spans="28:28">
      <c r="AB698" s="28"/>
    </row>
    <row r="699" spans="28:28">
      <c r="AB699" s="28"/>
    </row>
    <row r="700" spans="28:28">
      <c r="AB700" s="28"/>
    </row>
    <row r="701" spans="28:28">
      <c r="AB701" s="28"/>
    </row>
    <row r="702" spans="28:28">
      <c r="AB702" s="28"/>
    </row>
    <row r="703" spans="28:28">
      <c r="AB703" s="28"/>
    </row>
    <row r="704" spans="28:28">
      <c r="AB704" s="28"/>
    </row>
    <row r="705" spans="28:28">
      <c r="AB705" s="28"/>
    </row>
    <row r="706" spans="28:28">
      <c r="AB706" s="28"/>
    </row>
    <row r="707" spans="28:28">
      <c r="AB707" s="28"/>
    </row>
    <row r="708" spans="28:28">
      <c r="AB708" s="28"/>
    </row>
    <row r="709" spans="28:28">
      <c r="AB709" s="28"/>
    </row>
    <row r="710" spans="28:28">
      <c r="AB710" s="28"/>
    </row>
    <row r="711" spans="28:28">
      <c r="AB711" s="28"/>
    </row>
    <row r="712" spans="28:28">
      <c r="AB712" s="28"/>
    </row>
    <row r="713" spans="28:28">
      <c r="AB713" s="28"/>
    </row>
    <row r="714" spans="28:28">
      <c r="AB714" s="28"/>
    </row>
    <row r="715" spans="28:28">
      <c r="AB715" s="28"/>
    </row>
    <row r="716" spans="28:28">
      <c r="AB716" s="28"/>
    </row>
    <row r="717" spans="28:28">
      <c r="AB717" s="28"/>
    </row>
    <row r="718" spans="28:28">
      <c r="AB718" s="28"/>
    </row>
    <row r="719" spans="28:28">
      <c r="AB719" s="28"/>
    </row>
    <row r="720" spans="28:28">
      <c r="AB720" s="28"/>
    </row>
    <row r="721" spans="28:28">
      <c r="AB721" s="28"/>
    </row>
    <row r="722" spans="28:28">
      <c r="AB722" s="28"/>
    </row>
    <row r="723" spans="28:28">
      <c r="AB723" s="28"/>
    </row>
    <row r="724" spans="28:28">
      <c r="AB724" s="28"/>
    </row>
    <row r="725" spans="28:28">
      <c r="AB725" s="28"/>
    </row>
    <row r="726" spans="28:28">
      <c r="AB726" s="28"/>
    </row>
    <row r="727" spans="28:28">
      <c r="AB727" s="28"/>
    </row>
    <row r="728" spans="28:28">
      <c r="AB728" s="28"/>
    </row>
    <row r="729" spans="28:28">
      <c r="AB729" s="28"/>
    </row>
    <row r="730" spans="28:28">
      <c r="AB730" s="28"/>
    </row>
    <row r="731" spans="28:28">
      <c r="AB731" s="28"/>
    </row>
    <row r="732" spans="28:28">
      <c r="AB732" s="28"/>
    </row>
    <row r="733" spans="28:28">
      <c r="AB733" s="28"/>
    </row>
    <row r="734" spans="28:28">
      <c r="AB734" s="28"/>
    </row>
    <row r="735" spans="28:28">
      <c r="AB735" s="28"/>
    </row>
    <row r="736" spans="28:28">
      <c r="AB736" s="28"/>
    </row>
    <row r="737" spans="28:28">
      <c r="AB737" s="28"/>
    </row>
    <row r="738" spans="28:28">
      <c r="AB738" s="28"/>
    </row>
    <row r="739" spans="28:28">
      <c r="AB739" s="28"/>
    </row>
    <row r="740" spans="28:28">
      <c r="AB740" s="28"/>
    </row>
    <row r="741" spans="28:28">
      <c r="AB741" s="28"/>
    </row>
    <row r="742" spans="28:28">
      <c r="AB742" s="28"/>
    </row>
    <row r="743" spans="28:28">
      <c r="AB743" s="28"/>
    </row>
    <row r="744" spans="28:28">
      <c r="AB744" s="28"/>
    </row>
    <row r="745" spans="28:28">
      <c r="AB745" s="28"/>
    </row>
    <row r="746" spans="28:28">
      <c r="AB746" s="28"/>
    </row>
    <row r="747" spans="28:28">
      <c r="AB747" s="28"/>
    </row>
    <row r="748" spans="28:28">
      <c r="AB748" s="28"/>
    </row>
    <row r="749" spans="28:28">
      <c r="AB749" s="28"/>
    </row>
    <row r="750" spans="28:28">
      <c r="AB750" s="28"/>
    </row>
    <row r="751" spans="28:28">
      <c r="AB751" s="28"/>
    </row>
    <row r="752" spans="28:28">
      <c r="AB752" s="28"/>
    </row>
    <row r="753" spans="28:28">
      <c r="AB753" s="28"/>
    </row>
    <row r="754" spans="28:28">
      <c r="AB754" s="28"/>
    </row>
    <row r="755" spans="28:28">
      <c r="AB755" s="28"/>
    </row>
    <row r="756" spans="28:28">
      <c r="AB756" s="28"/>
    </row>
    <row r="757" spans="28:28">
      <c r="AB757" s="28"/>
    </row>
    <row r="758" spans="28:28">
      <c r="AB758" s="28"/>
    </row>
    <row r="759" spans="28:28">
      <c r="AB759" s="28"/>
    </row>
    <row r="760" spans="28:28">
      <c r="AB760" s="28"/>
    </row>
    <row r="761" spans="28:28">
      <c r="AB761" s="28"/>
    </row>
    <row r="762" spans="28:28">
      <c r="AB762" s="28"/>
    </row>
    <row r="763" spans="28:28">
      <c r="AB763" s="28"/>
    </row>
    <row r="764" spans="28:28">
      <c r="AB764" s="28"/>
    </row>
    <row r="765" spans="28:28">
      <c r="AB765" s="28"/>
    </row>
    <row r="766" spans="28:28">
      <c r="AB766" s="28"/>
    </row>
    <row r="767" spans="28:28">
      <c r="AB767" s="28"/>
    </row>
    <row r="768" spans="28:28">
      <c r="AB768" s="28"/>
    </row>
    <row r="769" spans="28:28">
      <c r="AB769" s="28"/>
    </row>
    <row r="770" spans="28:28">
      <c r="AB770" s="28"/>
    </row>
    <row r="771" spans="28:28">
      <c r="AB771" s="28"/>
    </row>
    <row r="772" spans="28:28">
      <c r="AB772" s="28"/>
    </row>
    <row r="773" spans="28:28">
      <c r="AB773" s="28"/>
    </row>
    <row r="774" spans="28:28">
      <c r="AB774" s="28"/>
    </row>
    <row r="775" spans="28:28">
      <c r="AB775" s="28"/>
    </row>
    <row r="776" spans="28:28">
      <c r="AB776" s="28"/>
    </row>
    <row r="777" spans="28:28">
      <c r="AB777" s="28"/>
    </row>
    <row r="778" spans="28:28">
      <c r="AB778" s="28"/>
    </row>
    <row r="779" spans="28:28">
      <c r="AB779" s="28"/>
    </row>
    <row r="780" spans="28:28">
      <c r="AB780" s="28"/>
    </row>
    <row r="781" spans="28:28">
      <c r="AB781" s="28"/>
    </row>
    <row r="782" spans="28:28">
      <c r="AB782" s="28"/>
    </row>
    <row r="783" spans="28:28">
      <c r="AB783" s="28"/>
    </row>
    <row r="784" spans="28:28">
      <c r="AB784" s="28"/>
    </row>
    <row r="785" spans="28:28">
      <c r="AB785" s="28"/>
    </row>
    <row r="786" spans="28:28">
      <c r="AB786" s="28"/>
    </row>
    <row r="787" spans="28:28">
      <c r="AB787" s="28"/>
    </row>
    <row r="788" spans="28:28">
      <c r="AB788" s="28"/>
    </row>
    <row r="789" spans="28:28">
      <c r="AB789" s="28"/>
    </row>
    <row r="790" spans="28:28">
      <c r="AB790" s="28"/>
    </row>
    <row r="791" spans="28:28">
      <c r="AB791" s="28"/>
    </row>
    <row r="792" spans="28:28">
      <c r="AB792" s="28"/>
    </row>
    <row r="793" spans="28:28">
      <c r="AB793" s="28"/>
    </row>
    <row r="794" spans="28:28">
      <c r="AB794" s="28"/>
    </row>
    <row r="795" spans="28:28">
      <c r="AB795" s="28"/>
    </row>
    <row r="796" spans="28:28">
      <c r="AB796" s="28"/>
    </row>
    <row r="797" spans="28:28">
      <c r="AB797" s="28"/>
    </row>
    <row r="798" spans="28:28">
      <c r="AB798" s="28"/>
    </row>
    <row r="799" spans="28:28">
      <c r="AB799" s="28"/>
    </row>
    <row r="800" spans="28:28">
      <c r="AB800" s="28"/>
    </row>
    <row r="801" spans="28:28">
      <c r="AB801" s="28"/>
    </row>
    <row r="802" spans="28:28">
      <c r="AB802" s="28"/>
    </row>
    <row r="803" spans="28:28">
      <c r="AB803" s="28"/>
    </row>
    <row r="804" spans="28:28">
      <c r="AB804" s="28"/>
    </row>
    <row r="805" spans="28:28">
      <c r="AB805" s="28"/>
    </row>
    <row r="806" spans="28:28">
      <c r="AB806" s="28"/>
    </row>
    <row r="807" spans="28:28">
      <c r="AB807" s="28"/>
    </row>
    <row r="808" spans="28:28">
      <c r="AB808" s="28"/>
    </row>
    <row r="809" spans="28:28">
      <c r="AB809" s="28"/>
    </row>
    <row r="810" spans="28:28">
      <c r="AB810" s="28"/>
    </row>
    <row r="811" spans="28:28">
      <c r="AB811" s="28"/>
    </row>
    <row r="812" spans="28:28">
      <c r="AB812" s="28"/>
    </row>
    <row r="813" spans="28:28">
      <c r="AB813" s="28"/>
    </row>
    <row r="814" spans="28:28">
      <c r="AB814" s="28"/>
    </row>
    <row r="815" spans="28:28">
      <c r="AB815" s="28"/>
    </row>
    <row r="816" spans="28:28">
      <c r="AB816" s="28"/>
    </row>
    <row r="817" spans="28:28">
      <c r="AB817" s="28"/>
    </row>
    <row r="818" spans="28:28">
      <c r="AB818" s="28"/>
    </row>
    <row r="819" spans="28:28">
      <c r="AB819" s="28"/>
    </row>
    <row r="820" spans="28:28">
      <c r="AB820" s="28"/>
    </row>
    <row r="821" spans="28:28">
      <c r="AB821" s="28"/>
    </row>
    <row r="822" spans="28:28">
      <c r="AB822" s="28"/>
    </row>
    <row r="823" spans="28:28">
      <c r="AB823" s="28"/>
    </row>
    <row r="824" spans="28:28">
      <c r="AB824" s="28"/>
    </row>
    <row r="825" spans="28:28">
      <c r="AB825" s="28"/>
    </row>
    <row r="826" spans="28:28">
      <c r="AB826" s="28"/>
    </row>
    <row r="827" spans="28:28">
      <c r="AB827" s="28"/>
    </row>
    <row r="828" spans="28:28">
      <c r="AB828" s="28"/>
    </row>
    <row r="829" spans="28:28">
      <c r="AB829" s="28"/>
    </row>
    <row r="830" spans="28:28">
      <c r="AB830" s="28"/>
    </row>
    <row r="831" spans="28:28">
      <c r="AB831" s="28"/>
    </row>
    <row r="832" spans="28:28">
      <c r="AB832" s="28"/>
    </row>
    <row r="833" spans="28:28">
      <c r="AB833" s="28"/>
    </row>
    <row r="834" spans="28:28">
      <c r="AB834" s="28"/>
    </row>
    <row r="835" spans="28:28">
      <c r="AB835" s="28"/>
    </row>
    <row r="836" spans="28:28">
      <c r="AB836" s="28"/>
    </row>
    <row r="837" spans="28:28">
      <c r="AB837" s="28"/>
    </row>
    <row r="838" spans="28:28">
      <c r="AB838" s="28"/>
    </row>
    <row r="839" spans="28:28">
      <c r="AB839" s="28"/>
    </row>
    <row r="840" spans="28:28">
      <c r="AB840" s="28"/>
    </row>
    <row r="841" spans="28:28">
      <c r="AB841" s="28"/>
    </row>
    <row r="842" spans="28:28">
      <c r="AB842" s="28"/>
    </row>
    <row r="843" spans="28:28">
      <c r="AB843" s="28"/>
    </row>
    <row r="844" spans="28:28">
      <c r="AB844" s="28"/>
    </row>
    <row r="845" spans="28:28">
      <c r="AB845" s="28"/>
    </row>
    <row r="846" spans="28:28">
      <c r="AB846" s="28"/>
    </row>
    <row r="847" spans="28:28">
      <c r="AB847" s="28"/>
    </row>
    <row r="848" spans="28:28">
      <c r="AB848" s="28"/>
    </row>
    <row r="849" spans="28:28">
      <c r="AB849" s="28"/>
    </row>
    <row r="850" spans="28:28">
      <c r="AB850" s="28"/>
    </row>
    <row r="851" spans="28:28">
      <c r="AB851" s="28"/>
    </row>
    <row r="852" spans="28:28">
      <c r="AB852" s="28"/>
    </row>
    <row r="853" spans="28:28">
      <c r="AB853" s="28"/>
    </row>
    <row r="854" spans="28:28">
      <c r="AB854" s="28"/>
    </row>
    <row r="855" spans="28:28">
      <c r="AB855" s="28"/>
    </row>
    <row r="856" spans="28:28">
      <c r="AB856" s="28"/>
    </row>
    <row r="857" spans="28:28">
      <c r="AB857" s="28"/>
    </row>
    <row r="858" spans="28:28">
      <c r="AB858" s="28"/>
    </row>
    <row r="859" spans="28:28">
      <c r="AB859" s="28"/>
    </row>
    <row r="860" spans="28:28">
      <c r="AB860" s="28"/>
    </row>
    <row r="861" spans="28:28">
      <c r="AB861" s="28"/>
    </row>
    <row r="862" spans="28:28">
      <c r="AB862" s="28"/>
    </row>
    <row r="863" spans="28:28">
      <c r="AB863" s="28"/>
    </row>
    <row r="864" spans="28:28">
      <c r="AB864" s="28"/>
    </row>
    <row r="865" spans="28:28">
      <c r="AB865" s="28"/>
    </row>
    <row r="866" spans="28:28">
      <c r="AB866" s="28"/>
    </row>
    <row r="867" spans="28:28">
      <c r="AB867" s="28"/>
    </row>
    <row r="868" spans="28:28">
      <c r="AB868" s="28"/>
    </row>
    <row r="869" spans="28:28">
      <c r="AB869" s="28"/>
    </row>
    <row r="870" spans="28:28">
      <c r="AB870" s="28"/>
    </row>
    <row r="871" spans="28:28">
      <c r="AB871" s="28"/>
    </row>
    <row r="872" spans="28:28">
      <c r="AB872" s="28"/>
    </row>
    <row r="873" spans="28:28">
      <c r="AB873" s="28"/>
    </row>
    <row r="874" spans="28:28">
      <c r="AB874" s="28"/>
    </row>
    <row r="875" spans="28:28">
      <c r="AB875" s="28"/>
    </row>
    <row r="876" spans="28:28">
      <c r="AB876" s="28"/>
    </row>
    <row r="877" spans="28:28">
      <c r="AB877" s="28"/>
    </row>
    <row r="878" spans="28:28">
      <c r="AB878" s="28"/>
    </row>
    <row r="879" spans="28:28">
      <c r="AB879" s="28"/>
    </row>
    <row r="880" spans="28:28">
      <c r="AB880" s="28"/>
    </row>
    <row r="881" spans="28:28">
      <c r="AB881" s="28"/>
    </row>
    <row r="882" spans="28:28">
      <c r="AB882" s="28"/>
    </row>
    <row r="883" spans="28:28">
      <c r="AB883" s="28"/>
    </row>
    <row r="884" spans="28:28">
      <c r="AB884" s="28"/>
    </row>
    <row r="885" spans="28:28">
      <c r="AB885" s="28"/>
    </row>
    <row r="886" spans="28:28">
      <c r="AB886" s="28"/>
    </row>
    <row r="887" spans="28:28">
      <c r="AB887" s="28"/>
    </row>
    <row r="888" spans="28:28">
      <c r="AB888" s="28"/>
    </row>
    <row r="889" spans="28:28">
      <c r="AB889" s="28"/>
    </row>
    <row r="890" spans="28:28">
      <c r="AB890" s="28"/>
    </row>
    <row r="891" spans="28:28">
      <c r="AB891" s="28"/>
    </row>
    <row r="892" spans="28:28">
      <c r="AB892" s="28"/>
    </row>
    <row r="893" spans="28:28">
      <c r="AB893" s="28"/>
    </row>
  </sheetData>
  <sortState ref="A2:AC894">
    <sortCondition ref="F1:F1048576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</sheetPr>
  <dimension ref="A1:AI13"/>
  <sheetViews>
    <sheetView topLeftCell="P1" workbookViewId="0">
      <selection activeCell="P2" sqref="P2"/>
    </sheetView>
  </sheetViews>
  <sheetFormatPr defaultColWidth="11.42578125" defaultRowHeight="15"/>
  <cols>
    <col min="1" max="3" width="11.42578125" style="78" customWidth="1"/>
    <col min="4" max="4" width="11.42578125" style="28" customWidth="1"/>
    <col min="5" max="6" width="11.42578125" style="78" customWidth="1"/>
    <col min="7" max="7" width="11.42578125" style="28" customWidth="1"/>
    <col min="8" max="10" width="11.42578125" style="78" customWidth="1"/>
    <col min="11" max="11" width="11.42578125" style="28" customWidth="1"/>
    <col min="12" max="12" width="9.42578125" style="78" bestFit="1" customWidth="1"/>
    <col min="13" max="15" width="11.42578125" style="78" customWidth="1"/>
    <col min="16" max="16" width="18.28515625" style="176" customWidth="1"/>
    <col min="17" max="18" width="11.42578125" style="78" customWidth="1"/>
    <col min="19" max="21" width="11.42578125" style="78"/>
    <col min="22" max="24" width="11.42578125" style="28"/>
    <col min="25" max="27" width="11.42578125" style="78"/>
    <col min="28" max="28" width="11.42578125" style="28"/>
    <col min="29" max="29" width="12.85546875" style="176" bestFit="1" customWidth="1"/>
    <col min="30" max="32" width="11.42578125" style="78"/>
    <col min="33" max="33" width="11.42578125" style="28"/>
    <col min="34" max="16384" width="11.42578125" style="78"/>
  </cols>
  <sheetData>
    <row r="1" spans="1:35" s="77" customFormat="1" ht="90">
      <c r="A1" s="75" t="s">
        <v>45</v>
      </c>
      <c r="B1" s="75" t="s">
        <v>46</v>
      </c>
      <c r="C1" s="75" t="s">
        <v>47</v>
      </c>
      <c r="D1" s="178" t="s">
        <v>48</v>
      </c>
      <c r="E1" s="75" t="s">
        <v>49</v>
      </c>
      <c r="F1" s="75" t="s">
        <v>50</v>
      </c>
      <c r="G1" s="178" t="s">
        <v>51</v>
      </c>
      <c r="H1" s="75" t="s">
        <v>52</v>
      </c>
      <c r="I1" s="75" t="s">
        <v>53</v>
      </c>
      <c r="J1" s="75" t="s">
        <v>54</v>
      </c>
      <c r="K1" s="178" t="s">
        <v>55</v>
      </c>
      <c r="L1" s="75" t="s">
        <v>56</v>
      </c>
      <c r="M1" s="75" t="s">
        <v>57</v>
      </c>
      <c r="N1" s="75" t="s">
        <v>58</v>
      </c>
      <c r="O1" s="75" t="s">
        <v>59</v>
      </c>
      <c r="P1" s="75" t="s">
        <v>60</v>
      </c>
      <c r="Q1" s="75" t="s">
        <v>61</v>
      </c>
      <c r="R1" s="76" t="s">
        <v>62</v>
      </c>
      <c r="S1" s="76" t="s">
        <v>63</v>
      </c>
      <c r="T1" s="76" t="s">
        <v>64</v>
      </c>
      <c r="U1" s="76" t="s">
        <v>65</v>
      </c>
      <c r="V1" s="177" t="s">
        <v>66</v>
      </c>
      <c r="W1" s="177" t="s">
        <v>67</v>
      </c>
      <c r="X1" s="177" t="s">
        <v>68</v>
      </c>
      <c r="Y1" s="76" t="s">
        <v>69</v>
      </c>
      <c r="Z1" s="76" t="s">
        <v>70</v>
      </c>
      <c r="AA1" s="76" t="s">
        <v>71</v>
      </c>
      <c r="AB1" s="177" t="s">
        <v>72</v>
      </c>
      <c r="AC1" s="167" t="s">
        <v>73</v>
      </c>
      <c r="AD1" s="76" t="s">
        <v>74</v>
      </c>
      <c r="AE1" s="76" t="s">
        <v>75</v>
      </c>
      <c r="AF1" s="76" t="s">
        <v>76</v>
      </c>
      <c r="AG1" s="177" t="s">
        <v>77</v>
      </c>
      <c r="AH1" s="76" t="s">
        <v>198</v>
      </c>
    </row>
    <row r="2" spans="1:35">
      <c r="AI2" s="165"/>
    </row>
    <row r="3" spans="1:35" s="165" customFormat="1">
      <c r="D3" s="28"/>
      <c r="G3" s="28"/>
      <c r="K3" s="28"/>
      <c r="P3" s="176"/>
      <c r="V3" s="28"/>
      <c r="W3" s="28"/>
      <c r="X3" s="28"/>
      <c r="AB3" s="28"/>
      <c r="AC3" s="176"/>
      <c r="AG3" s="28"/>
    </row>
    <row r="4" spans="1:35" s="165" customFormat="1">
      <c r="D4" s="28"/>
      <c r="G4" s="28"/>
      <c r="K4" s="28"/>
      <c r="P4" s="176"/>
      <c r="V4" s="28"/>
      <c r="W4" s="28"/>
      <c r="X4" s="28"/>
      <c r="AB4" s="28"/>
      <c r="AC4" s="176"/>
      <c r="AG4" s="28"/>
    </row>
    <row r="5" spans="1:35" s="165" customFormat="1">
      <c r="D5" s="28"/>
      <c r="G5" s="28"/>
      <c r="K5" s="28"/>
      <c r="P5" s="176"/>
      <c r="V5" s="28"/>
      <c r="W5" s="28"/>
      <c r="X5" s="28"/>
      <c r="AB5" s="28"/>
      <c r="AC5" s="176"/>
      <c r="AG5" s="28"/>
    </row>
    <row r="6" spans="1:35" s="165" customFormat="1">
      <c r="D6" s="28"/>
      <c r="G6" s="28"/>
      <c r="K6" s="28"/>
      <c r="P6" s="176"/>
      <c r="V6" s="28"/>
      <c r="W6" s="28"/>
      <c r="X6" s="28"/>
      <c r="AB6" s="28"/>
      <c r="AC6" s="176"/>
      <c r="AG6" s="28"/>
    </row>
    <row r="7" spans="1:35" s="165" customFormat="1">
      <c r="D7" s="28"/>
      <c r="G7" s="28"/>
      <c r="K7" s="28"/>
      <c r="P7" s="176"/>
      <c r="V7" s="28"/>
      <c r="W7" s="28"/>
      <c r="X7" s="28"/>
      <c r="AB7" s="28"/>
      <c r="AC7" s="176"/>
      <c r="AG7" s="28"/>
    </row>
    <row r="8" spans="1:35" s="165" customFormat="1">
      <c r="D8" s="28"/>
      <c r="G8" s="28"/>
      <c r="K8" s="28"/>
      <c r="P8" s="176"/>
      <c r="V8" s="28"/>
      <c r="W8" s="28"/>
      <c r="X8" s="28"/>
      <c r="AB8" s="28"/>
      <c r="AC8" s="176"/>
      <c r="AG8" s="28"/>
    </row>
    <row r="9" spans="1:35" s="165" customFormat="1">
      <c r="D9" s="28"/>
      <c r="G9" s="28"/>
      <c r="K9" s="28"/>
      <c r="P9" s="176"/>
      <c r="V9" s="28"/>
      <c r="W9" s="28"/>
      <c r="X9" s="28"/>
      <c r="AB9" s="28"/>
      <c r="AC9" s="176"/>
      <c r="AG9" s="28"/>
    </row>
    <row r="10" spans="1:35" s="165" customFormat="1">
      <c r="D10" s="28"/>
      <c r="G10" s="28"/>
      <c r="K10" s="28"/>
      <c r="P10" s="176"/>
      <c r="V10" s="28"/>
      <c r="W10" s="28"/>
      <c r="X10" s="28"/>
      <c r="AB10" s="28"/>
      <c r="AC10" s="176"/>
      <c r="AG10" s="28"/>
    </row>
    <row r="11" spans="1:35" s="165" customFormat="1">
      <c r="D11" s="28"/>
      <c r="G11" s="28"/>
      <c r="K11" s="28"/>
      <c r="P11" s="176"/>
      <c r="V11" s="28"/>
      <c r="W11" s="28"/>
      <c r="X11" s="28"/>
      <c r="AB11" s="28"/>
      <c r="AC11" s="176"/>
      <c r="AG11" s="28"/>
    </row>
    <row r="12" spans="1:35" s="165" customFormat="1">
      <c r="D12" s="28"/>
      <c r="G12" s="28"/>
      <c r="K12" s="28"/>
      <c r="P12" s="176"/>
      <c r="V12" s="28"/>
      <c r="W12" s="28"/>
      <c r="X12" s="28"/>
      <c r="AB12" s="28"/>
      <c r="AC12" s="176"/>
      <c r="AG12" s="28"/>
    </row>
    <row r="13" spans="1:35" s="165" customFormat="1">
      <c r="D13" s="28"/>
      <c r="G13" s="28"/>
      <c r="K13" s="28"/>
      <c r="P13" s="176"/>
      <c r="V13" s="28"/>
      <c r="W13" s="28"/>
      <c r="X13" s="28"/>
      <c r="AB13" s="28"/>
      <c r="AC13" s="176"/>
      <c r="AG13" s="28"/>
    </row>
  </sheetData>
  <sortState ref="A2:AG46">
    <sortCondition ref="F1:F1048576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</sheetPr>
  <dimension ref="A1:AH1"/>
  <sheetViews>
    <sheetView workbookViewId="0">
      <selection activeCell="A2" sqref="A2"/>
    </sheetView>
  </sheetViews>
  <sheetFormatPr defaultColWidth="11.42578125" defaultRowHeight="15"/>
  <cols>
    <col min="1" max="3" width="11.42578125" style="78" customWidth="1"/>
    <col min="4" max="4" width="11.42578125" style="28" customWidth="1"/>
    <col min="5" max="5" width="11.42578125" style="78" customWidth="1"/>
    <col min="6" max="6" width="14" style="78" bestFit="1" customWidth="1"/>
    <col min="7" max="7" width="11.42578125" style="28" customWidth="1"/>
    <col min="8" max="8" width="8.7109375" style="78" bestFit="1" customWidth="1"/>
    <col min="9" max="9" width="24.140625" style="78" bestFit="1" customWidth="1"/>
    <col min="10" max="10" width="11.42578125" style="78" customWidth="1"/>
    <col min="11" max="11" width="11.42578125" style="28" customWidth="1"/>
    <col min="12" max="12" width="14.140625" style="78" bestFit="1" customWidth="1"/>
    <col min="13" max="15" width="11.42578125" style="78" customWidth="1"/>
    <col min="16" max="16" width="18.28515625" style="176" customWidth="1"/>
    <col min="17" max="18" width="11.42578125" style="78" customWidth="1"/>
    <col min="19" max="21" width="11.42578125" style="78"/>
    <col min="22" max="24" width="11.42578125" style="28"/>
    <col min="25" max="28" width="11.42578125" style="78"/>
    <col min="29" max="29" width="13.85546875" style="176" bestFit="1" customWidth="1"/>
    <col min="30" max="30" width="11.42578125" style="78"/>
    <col min="31" max="31" width="13.85546875" style="176" bestFit="1" customWidth="1"/>
    <col min="32" max="32" width="11.42578125" style="78"/>
    <col min="33" max="33" width="11.42578125" style="28"/>
    <col min="34" max="16384" width="11.42578125" style="78"/>
  </cols>
  <sheetData>
    <row r="1" spans="1:34" s="77" customFormat="1" ht="90">
      <c r="A1" s="75" t="s">
        <v>45</v>
      </c>
      <c r="B1" s="75" t="s">
        <v>46</v>
      </c>
      <c r="C1" s="75" t="s">
        <v>47</v>
      </c>
      <c r="D1" s="178" t="s">
        <v>48</v>
      </c>
      <c r="E1" s="75" t="s">
        <v>49</v>
      </c>
      <c r="F1" s="75" t="s">
        <v>50</v>
      </c>
      <c r="G1" s="178" t="s">
        <v>51</v>
      </c>
      <c r="H1" s="75" t="s">
        <v>52</v>
      </c>
      <c r="I1" s="75" t="s">
        <v>53</v>
      </c>
      <c r="J1" s="75" t="s">
        <v>54</v>
      </c>
      <c r="K1" s="178" t="s">
        <v>55</v>
      </c>
      <c r="L1" s="75" t="s">
        <v>56</v>
      </c>
      <c r="M1" s="75" t="s">
        <v>57</v>
      </c>
      <c r="N1" s="75" t="s">
        <v>58</v>
      </c>
      <c r="O1" s="75" t="s">
        <v>59</v>
      </c>
      <c r="P1" s="75" t="s">
        <v>60</v>
      </c>
      <c r="Q1" s="75" t="s">
        <v>61</v>
      </c>
      <c r="R1" s="76" t="s">
        <v>62</v>
      </c>
      <c r="S1" s="76" t="s">
        <v>63</v>
      </c>
      <c r="T1" s="76" t="s">
        <v>64</v>
      </c>
      <c r="U1" s="76" t="s">
        <v>65</v>
      </c>
      <c r="V1" s="177" t="s">
        <v>66</v>
      </c>
      <c r="W1" s="177" t="s">
        <v>67</v>
      </c>
      <c r="X1" s="177" t="s">
        <v>68</v>
      </c>
      <c r="Y1" s="76" t="s">
        <v>69</v>
      </c>
      <c r="Z1" s="76" t="s">
        <v>70</v>
      </c>
      <c r="AA1" s="76" t="s">
        <v>71</v>
      </c>
      <c r="AB1" s="76" t="s">
        <v>72</v>
      </c>
      <c r="AC1" s="167" t="s">
        <v>73</v>
      </c>
      <c r="AD1" s="76" t="s">
        <v>74</v>
      </c>
      <c r="AE1" s="167" t="s">
        <v>75</v>
      </c>
      <c r="AF1" s="76" t="s">
        <v>76</v>
      </c>
      <c r="AG1" s="177" t="s">
        <v>77</v>
      </c>
      <c r="AH1" s="76" t="s">
        <v>198</v>
      </c>
    </row>
  </sheetData>
  <sortState ref="A2:AG48">
    <sortCondition ref="F1:F1048576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</sheetPr>
  <dimension ref="A1:AH2"/>
  <sheetViews>
    <sheetView workbookViewId="0">
      <selection activeCell="A2" sqref="A2"/>
    </sheetView>
  </sheetViews>
  <sheetFormatPr defaultColWidth="11.42578125" defaultRowHeight="15"/>
  <cols>
    <col min="1" max="3" width="11.42578125" style="78" customWidth="1"/>
    <col min="4" max="4" width="11.42578125" style="28" customWidth="1"/>
    <col min="5" max="6" width="11.42578125" style="78" customWidth="1"/>
    <col min="7" max="7" width="11.42578125" style="28" customWidth="1"/>
    <col min="8" max="11" width="11.42578125" style="78" customWidth="1"/>
    <col min="12" max="12" width="37.5703125" style="78" bestFit="1" customWidth="1"/>
    <col min="13" max="15" width="11.42578125" style="78" customWidth="1"/>
    <col min="16" max="16" width="15.28515625" style="78" customWidth="1"/>
    <col min="17" max="18" width="11.42578125" style="78"/>
    <col min="19" max="19" width="16.85546875" style="78" bestFit="1" customWidth="1"/>
    <col min="20" max="20" width="8" style="78" bestFit="1" customWidth="1"/>
    <col min="21" max="21" width="11.42578125" style="78"/>
    <col min="22" max="24" width="11.42578125" style="28"/>
    <col min="25" max="28" width="11.42578125" style="78"/>
    <col min="29" max="29" width="13.85546875" style="78" bestFit="1" customWidth="1"/>
    <col min="30" max="31" width="11.42578125" style="78"/>
    <col min="32" max="32" width="14.85546875" style="78" customWidth="1"/>
    <col min="33" max="33" width="11.42578125" style="28"/>
    <col min="34" max="16384" width="11.42578125" style="78"/>
  </cols>
  <sheetData>
    <row r="1" spans="1:34" s="77" customFormat="1" ht="90">
      <c r="A1" s="75" t="s">
        <v>45</v>
      </c>
      <c r="B1" s="75" t="s">
        <v>46</v>
      </c>
      <c r="C1" s="75" t="s">
        <v>47</v>
      </c>
      <c r="D1" s="178" t="s">
        <v>48</v>
      </c>
      <c r="E1" s="75" t="s">
        <v>49</v>
      </c>
      <c r="F1" s="75" t="s">
        <v>50</v>
      </c>
      <c r="G1" s="178" t="s">
        <v>51</v>
      </c>
      <c r="H1" s="75" t="s">
        <v>52</v>
      </c>
      <c r="I1" s="75" t="s">
        <v>53</v>
      </c>
      <c r="J1" s="75" t="s">
        <v>54</v>
      </c>
      <c r="K1" s="75" t="s">
        <v>55</v>
      </c>
      <c r="L1" s="75" t="s">
        <v>56</v>
      </c>
      <c r="M1" s="75" t="s">
        <v>57</v>
      </c>
      <c r="N1" s="75" t="s">
        <v>58</v>
      </c>
      <c r="O1" s="75" t="s">
        <v>59</v>
      </c>
      <c r="P1" s="75" t="s">
        <v>60</v>
      </c>
      <c r="Q1" s="75" t="s">
        <v>61</v>
      </c>
      <c r="R1" s="76" t="s">
        <v>62</v>
      </c>
      <c r="S1" s="76" t="s">
        <v>63</v>
      </c>
      <c r="T1" s="76" t="s">
        <v>64</v>
      </c>
      <c r="U1" s="76" t="s">
        <v>65</v>
      </c>
      <c r="V1" s="167" t="s">
        <v>66</v>
      </c>
      <c r="W1" s="167" t="s">
        <v>67</v>
      </c>
      <c r="X1" s="167" t="s">
        <v>68</v>
      </c>
      <c r="Y1" s="76" t="s">
        <v>69</v>
      </c>
      <c r="Z1" s="76" t="s">
        <v>70</v>
      </c>
      <c r="AA1" s="76" t="s">
        <v>71</v>
      </c>
      <c r="AB1" s="76" t="s">
        <v>72</v>
      </c>
      <c r="AC1" s="76" t="s">
        <v>73</v>
      </c>
      <c r="AD1" s="76" t="s">
        <v>74</v>
      </c>
      <c r="AE1" s="76" t="s">
        <v>75</v>
      </c>
      <c r="AF1" s="76" t="s">
        <v>76</v>
      </c>
      <c r="AG1" s="167" t="s">
        <v>77</v>
      </c>
      <c r="AH1" s="76" t="s">
        <v>198</v>
      </c>
    </row>
    <row r="2" spans="1:34">
      <c r="P2" s="176"/>
      <c r="AC2" s="176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</sheetPr>
  <dimension ref="A1:AO1"/>
  <sheetViews>
    <sheetView workbookViewId="0">
      <selection activeCell="A2" sqref="A2"/>
    </sheetView>
  </sheetViews>
  <sheetFormatPr defaultColWidth="11.42578125" defaultRowHeight="15"/>
  <cols>
    <col min="1" max="1" width="12.85546875" style="78" bestFit="1" customWidth="1"/>
    <col min="2" max="15" width="11.42578125" style="78" customWidth="1"/>
    <col min="16" max="16" width="13.7109375" style="78" customWidth="1"/>
    <col min="17" max="33" width="11.42578125" style="78" customWidth="1"/>
    <col min="34" max="34" width="13.7109375" style="78" customWidth="1"/>
    <col min="35" max="35" width="15" style="78" customWidth="1"/>
    <col min="36" max="37" width="11.42578125" style="78" customWidth="1"/>
    <col min="38" max="16384" width="11.42578125" style="78"/>
  </cols>
  <sheetData>
    <row r="1" spans="1:41" s="77" customFormat="1" ht="90">
      <c r="A1" s="75" t="s">
        <v>45</v>
      </c>
      <c r="B1" s="75" t="s">
        <v>46</v>
      </c>
      <c r="C1" s="75" t="s">
        <v>47</v>
      </c>
      <c r="D1" s="75" t="s">
        <v>48</v>
      </c>
      <c r="E1" s="75" t="s">
        <v>49</v>
      </c>
      <c r="F1" s="75" t="s">
        <v>50</v>
      </c>
      <c r="G1" s="75" t="s">
        <v>51</v>
      </c>
      <c r="H1" s="75" t="s">
        <v>52</v>
      </c>
      <c r="I1" s="75" t="s">
        <v>53</v>
      </c>
      <c r="J1" s="75" t="s">
        <v>54</v>
      </c>
      <c r="K1" s="75" t="s">
        <v>55</v>
      </c>
      <c r="L1" s="75" t="s">
        <v>56</v>
      </c>
      <c r="M1" s="75" t="s">
        <v>57</v>
      </c>
      <c r="N1" s="75" t="s">
        <v>58</v>
      </c>
      <c r="O1" s="75" t="s">
        <v>59</v>
      </c>
      <c r="P1" s="75" t="s">
        <v>60</v>
      </c>
      <c r="Q1" s="75" t="s">
        <v>61</v>
      </c>
      <c r="R1" s="76" t="s">
        <v>62</v>
      </c>
      <c r="S1" s="76" t="s">
        <v>63</v>
      </c>
      <c r="T1" s="76" t="s">
        <v>64</v>
      </c>
      <c r="U1" s="76" t="s">
        <v>65</v>
      </c>
      <c r="V1" s="76" t="s">
        <v>66</v>
      </c>
      <c r="W1" s="76" t="s">
        <v>67</v>
      </c>
      <c r="X1" s="76" t="s">
        <v>68</v>
      </c>
      <c r="Y1" s="76" t="s">
        <v>69</v>
      </c>
      <c r="Z1" s="76" t="s">
        <v>70</v>
      </c>
      <c r="AA1" s="76" t="s">
        <v>71</v>
      </c>
      <c r="AB1" s="76" t="s">
        <v>72</v>
      </c>
      <c r="AC1" s="76" t="s">
        <v>73</v>
      </c>
      <c r="AD1" s="76" t="s">
        <v>74</v>
      </c>
      <c r="AE1" s="76" t="s">
        <v>75</v>
      </c>
      <c r="AF1" s="76" t="s">
        <v>76</v>
      </c>
      <c r="AG1" s="76" t="s">
        <v>77</v>
      </c>
      <c r="AH1" s="167" t="s">
        <v>78</v>
      </c>
      <c r="AI1" s="168" t="s">
        <v>79</v>
      </c>
      <c r="AJ1" s="168" t="s">
        <v>80</v>
      </c>
      <c r="AK1" s="168" t="s">
        <v>81</v>
      </c>
      <c r="AL1" s="168" t="s">
        <v>82</v>
      </c>
      <c r="AM1" s="168" t="s">
        <v>83</v>
      </c>
      <c r="AN1" s="168" t="s">
        <v>84</v>
      </c>
      <c r="AO1" s="168" t="s">
        <v>85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</sheetPr>
  <dimension ref="A1:AO1"/>
  <sheetViews>
    <sheetView workbookViewId="0">
      <selection activeCell="A2" sqref="A2"/>
    </sheetView>
  </sheetViews>
  <sheetFormatPr defaultColWidth="11.42578125" defaultRowHeight="15"/>
  <cols>
    <col min="1" max="1" width="12.85546875" style="78" bestFit="1" customWidth="1"/>
    <col min="2" max="15" width="11.42578125" style="78" customWidth="1"/>
    <col min="16" max="16" width="13.7109375" style="78" customWidth="1"/>
    <col min="17" max="33" width="11.42578125" style="78" customWidth="1"/>
    <col min="34" max="34" width="13.7109375" style="78" customWidth="1"/>
    <col min="35" max="35" width="15" style="78" customWidth="1"/>
    <col min="36" max="37" width="11.42578125" style="78" customWidth="1"/>
    <col min="38" max="16384" width="11.42578125" style="78"/>
  </cols>
  <sheetData>
    <row r="1" spans="1:41" s="77" customFormat="1" ht="90">
      <c r="A1" s="75" t="s">
        <v>45</v>
      </c>
      <c r="B1" s="75" t="s">
        <v>46</v>
      </c>
      <c r="C1" s="75" t="s">
        <v>47</v>
      </c>
      <c r="D1" s="75" t="s">
        <v>48</v>
      </c>
      <c r="E1" s="75" t="s">
        <v>49</v>
      </c>
      <c r="F1" s="75" t="s">
        <v>50</v>
      </c>
      <c r="G1" s="75" t="s">
        <v>51</v>
      </c>
      <c r="H1" s="75" t="s">
        <v>52</v>
      </c>
      <c r="I1" s="75" t="s">
        <v>53</v>
      </c>
      <c r="J1" s="75" t="s">
        <v>54</v>
      </c>
      <c r="K1" s="75" t="s">
        <v>55</v>
      </c>
      <c r="L1" s="75" t="s">
        <v>56</v>
      </c>
      <c r="M1" s="75" t="s">
        <v>57</v>
      </c>
      <c r="N1" s="75" t="s">
        <v>58</v>
      </c>
      <c r="O1" s="75" t="s">
        <v>59</v>
      </c>
      <c r="P1" s="75" t="s">
        <v>60</v>
      </c>
      <c r="Q1" s="75" t="s">
        <v>61</v>
      </c>
      <c r="R1" s="76" t="s">
        <v>62</v>
      </c>
      <c r="S1" s="76" t="s">
        <v>63</v>
      </c>
      <c r="T1" s="76" t="s">
        <v>64</v>
      </c>
      <c r="U1" s="76" t="s">
        <v>65</v>
      </c>
      <c r="V1" s="76" t="s">
        <v>66</v>
      </c>
      <c r="W1" s="76" t="s">
        <v>67</v>
      </c>
      <c r="X1" s="76" t="s">
        <v>68</v>
      </c>
      <c r="Y1" s="76" t="s">
        <v>69</v>
      </c>
      <c r="Z1" s="76" t="s">
        <v>70</v>
      </c>
      <c r="AA1" s="76" t="s">
        <v>71</v>
      </c>
      <c r="AB1" s="76" t="s">
        <v>72</v>
      </c>
      <c r="AC1" s="76" t="s">
        <v>73</v>
      </c>
      <c r="AD1" s="76" t="s">
        <v>74</v>
      </c>
      <c r="AE1" s="76" t="s">
        <v>75</v>
      </c>
      <c r="AF1" s="76" t="s">
        <v>76</v>
      </c>
      <c r="AG1" s="76" t="s">
        <v>77</v>
      </c>
      <c r="AH1" s="167" t="s">
        <v>78</v>
      </c>
      <c r="AI1" s="168" t="s">
        <v>79</v>
      </c>
      <c r="AJ1" s="168" t="s">
        <v>80</v>
      </c>
      <c r="AK1" s="168" t="s">
        <v>81</v>
      </c>
      <c r="AL1" s="168" t="s">
        <v>82</v>
      </c>
      <c r="AM1" s="168" t="s">
        <v>83</v>
      </c>
      <c r="AN1" s="168" t="s">
        <v>84</v>
      </c>
      <c r="AO1" s="168" t="s">
        <v>85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</sheetPr>
  <dimension ref="A1:AO1"/>
  <sheetViews>
    <sheetView workbookViewId="0">
      <selection activeCell="A2" sqref="A2"/>
    </sheetView>
  </sheetViews>
  <sheetFormatPr defaultColWidth="11.42578125" defaultRowHeight="15"/>
  <cols>
    <col min="1" max="1" width="12.85546875" style="78" bestFit="1" customWidth="1"/>
    <col min="2" max="15" width="11.42578125" style="78" customWidth="1"/>
    <col min="16" max="16" width="13.7109375" style="78" customWidth="1"/>
    <col min="17" max="33" width="11.42578125" style="78" customWidth="1"/>
    <col min="34" max="34" width="13.7109375" style="78" customWidth="1"/>
    <col min="35" max="35" width="15" style="78" customWidth="1"/>
    <col min="36" max="37" width="11.42578125" style="78" customWidth="1"/>
    <col min="38" max="16384" width="11.42578125" style="78"/>
  </cols>
  <sheetData>
    <row r="1" spans="1:41" s="77" customFormat="1" ht="90">
      <c r="A1" s="75" t="s">
        <v>45</v>
      </c>
      <c r="B1" s="75" t="s">
        <v>46</v>
      </c>
      <c r="C1" s="75" t="s">
        <v>47</v>
      </c>
      <c r="D1" s="75" t="s">
        <v>48</v>
      </c>
      <c r="E1" s="75" t="s">
        <v>49</v>
      </c>
      <c r="F1" s="75" t="s">
        <v>50</v>
      </c>
      <c r="G1" s="75" t="s">
        <v>51</v>
      </c>
      <c r="H1" s="75" t="s">
        <v>52</v>
      </c>
      <c r="I1" s="75" t="s">
        <v>53</v>
      </c>
      <c r="J1" s="75" t="s">
        <v>54</v>
      </c>
      <c r="K1" s="75" t="s">
        <v>55</v>
      </c>
      <c r="L1" s="75" t="s">
        <v>56</v>
      </c>
      <c r="M1" s="75" t="s">
        <v>57</v>
      </c>
      <c r="N1" s="75" t="s">
        <v>58</v>
      </c>
      <c r="O1" s="75" t="s">
        <v>59</v>
      </c>
      <c r="P1" s="75" t="s">
        <v>60</v>
      </c>
      <c r="Q1" s="75" t="s">
        <v>61</v>
      </c>
      <c r="R1" s="76" t="s">
        <v>62</v>
      </c>
      <c r="S1" s="76" t="s">
        <v>63</v>
      </c>
      <c r="T1" s="76" t="s">
        <v>64</v>
      </c>
      <c r="U1" s="76" t="s">
        <v>65</v>
      </c>
      <c r="V1" s="76" t="s">
        <v>66</v>
      </c>
      <c r="W1" s="76" t="s">
        <v>67</v>
      </c>
      <c r="X1" s="76" t="s">
        <v>68</v>
      </c>
      <c r="Y1" s="76" t="s">
        <v>69</v>
      </c>
      <c r="Z1" s="76" t="s">
        <v>70</v>
      </c>
      <c r="AA1" s="76" t="s">
        <v>71</v>
      </c>
      <c r="AB1" s="76" t="s">
        <v>72</v>
      </c>
      <c r="AC1" s="76" t="s">
        <v>73</v>
      </c>
      <c r="AD1" s="76" t="s">
        <v>74</v>
      </c>
      <c r="AE1" s="76" t="s">
        <v>75</v>
      </c>
      <c r="AF1" s="76" t="s">
        <v>76</v>
      </c>
      <c r="AG1" s="76" t="s">
        <v>77</v>
      </c>
      <c r="AH1" s="167" t="s">
        <v>78</v>
      </c>
      <c r="AI1" s="168" t="s">
        <v>79</v>
      </c>
      <c r="AJ1" s="168" t="s">
        <v>80</v>
      </c>
      <c r="AK1" s="168" t="s">
        <v>81</v>
      </c>
      <c r="AL1" s="168" t="s">
        <v>82</v>
      </c>
      <c r="AM1" s="168" t="s">
        <v>83</v>
      </c>
      <c r="AN1" s="168" t="s">
        <v>84</v>
      </c>
      <c r="AO1" s="168" t="s">
        <v>85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9" tint="0.79998168889431442"/>
  </sheetPr>
  <dimension ref="A1:AO1"/>
  <sheetViews>
    <sheetView workbookViewId="0">
      <selection activeCell="A2" sqref="A2"/>
    </sheetView>
  </sheetViews>
  <sheetFormatPr defaultColWidth="11.42578125" defaultRowHeight="15"/>
  <cols>
    <col min="1" max="1" width="12.85546875" style="78" bestFit="1" customWidth="1"/>
    <col min="2" max="15" width="11.42578125" style="78" customWidth="1"/>
    <col min="16" max="16" width="13.7109375" style="78" customWidth="1"/>
    <col min="17" max="33" width="11.42578125" style="78" customWidth="1"/>
    <col min="34" max="34" width="13.7109375" style="78" customWidth="1"/>
    <col min="35" max="35" width="15" style="78" customWidth="1"/>
    <col min="36" max="37" width="11.42578125" style="78" customWidth="1"/>
    <col min="38" max="16384" width="11.42578125" style="78"/>
  </cols>
  <sheetData>
    <row r="1" spans="1:41" s="77" customFormat="1" ht="90">
      <c r="A1" s="75" t="s">
        <v>45</v>
      </c>
      <c r="B1" s="75" t="s">
        <v>46</v>
      </c>
      <c r="C1" s="75" t="s">
        <v>47</v>
      </c>
      <c r="D1" s="75" t="s">
        <v>48</v>
      </c>
      <c r="E1" s="75" t="s">
        <v>49</v>
      </c>
      <c r="F1" s="75" t="s">
        <v>50</v>
      </c>
      <c r="G1" s="75" t="s">
        <v>51</v>
      </c>
      <c r="H1" s="75" t="s">
        <v>52</v>
      </c>
      <c r="I1" s="75" t="s">
        <v>53</v>
      </c>
      <c r="J1" s="75" t="s">
        <v>54</v>
      </c>
      <c r="K1" s="75" t="s">
        <v>55</v>
      </c>
      <c r="L1" s="75" t="s">
        <v>56</v>
      </c>
      <c r="M1" s="75" t="s">
        <v>57</v>
      </c>
      <c r="N1" s="75" t="s">
        <v>58</v>
      </c>
      <c r="O1" s="75" t="s">
        <v>59</v>
      </c>
      <c r="P1" s="75" t="s">
        <v>60</v>
      </c>
      <c r="Q1" s="75" t="s">
        <v>61</v>
      </c>
      <c r="R1" s="76" t="s">
        <v>62</v>
      </c>
      <c r="S1" s="76" t="s">
        <v>63</v>
      </c>
      <c r="T1" s="76" t="s">
        <v>64</v>
      </c>
      <c r="U1" s="76" t="s">
        <v>65</v>
      </c>
      <c r="V1" s="76" t="s">
        <v>66</v>
      </c>
      <c r="W1" s="76" t="s">
        <v>67</v>
      </c>
      <c r="X1" s="76" t="s">
        <v>68</v>
      </c>
      <c r="Y1" s="76" t="s">
        <v>69</v>
      </c>
      <c r="Z1" s="76" t="s">
        <v>70</v>
      </c>
      <c r="AA1" s="76" t="s">
        <v>71</v>
      </c>
      <c r="AB1" s="76" t="s">
        <v>72</v>
      </c>
      <c r="AC1" s="76" t="s">
        <v>73</v>
      </c>
      <c r="AD1" s="76" t="s">
        <v>74</v>
      </c>
      <c r="AE1" s="76" t="s">
        <v>75</v>
      </c>
      <c r="AF1" s="76" t="s">
        <v>76</v>
      </c>
      <c r="AG1" s="76" t="s">
        <v>77</v>
      </c>
      <c r="AH1" s="167" t="s">
        <v>78</v>
      </c>
      <c r="AI1" s="168" t="s">
        <v>79</v>
      </c>
      <c r="AJ1" s="168" t="s">
        <v>80</v>
      </c>
      <c r="AK1" s="168" t="s">
        <v>81</v>
      </c>
      <c r="AL1" s="168" t="s">
        <v>82</v>
      </c>
      <c r="AM1" s="168" t="s">
        <v>83</v>
      </c>
      <c r="AN1" s="168" t="s">
        <v>84</v>
      </c>
      <c r="AO1" s="168" t="s">
        <v>85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9" tint="0.79998168889431442"/>
  </sheetPr>
  <dimension ref="A1:AO1"/>
  <sheetViews>
    <sheetView workbookViewId="0">
      <selection activeCell="AP1" sqref="AP1:AP1048576"/>
    </sheetView>
  </sheetViews>
  <sheetFormatPr defaultColWidth="11.42578125" defaultRowHeight="15"/>
  <cols>
    <col min="1" max="1" width="12.85546875" style="78" bestFit="1" customWidth="1"/>
    <col min="2" max="15" width="11.42578125" style="78" customWidth="1"/>
    <col min="16" max="16" width="13.7109375" style="78" customWidth="1"/>
    <col min="17" max="33" width="11.42578125" style="78" customWidth="1"/>
    <col min="34" max="34" width="13.7109375" style="78" customWidth="1"/>
    <col min="35" max="35" width="15" style="78" customWidth="1"/>
    <col min="36" max="37" width="11.42578125" style="78" customWidth="1"/>
    <col min="38" max="16384" width="11.42578125" style="78"/>
  </cols>
  <sheetData>
    <row r="1" spans="1:41" s="77" customFormat="1" ht="90">
      <c r="A1" s="75" t="s">
        <v>45</v>
      </c>
      <c r="B1" s="75" t="s">
        <v>46</v>
      </c>
      <c r="C1" s="75" t="s">
        <v>47</v>
      </c>
      <c r="D1" s="75" t="s">
        <v>48</v>
      </c>
      <c r="E1" s="75" t="s">
        <v>49</v>
      </c>
      <c r="F1" s="75" t="s">
        <v>50</v>
      </c>
      <c r="G1" s="75" t="s">
        <v>51</v>
      </c>
      <c r="H1" s="75" t="s">
        <v>52</v>
      </c>
      <c r="I1" s="75" t="s">
        <v>53</v>
      </c>
      <c r="J1" s="75" t="s">
        <v>54</v>
      </c>
      <c r="K1" s="75" t="s">
        <v>55</v>
      </c>
      <c r="L1" s="75" t="s">
        <v>56</v>
      </c>
      <c r="M1" s="75" t="s">
        <v>57</v>
      </c>
      <c r="N1" s="75" t="s">
        <v>58</v>
      </c>
      <c r="O1" s="75" t="s">
        <v>59</v>
      </c>
      <c r="P1" s="75" t="s">
        <v>60</v>
      </c>
      <c r="Q1" s="75" t="s">
        <v>61</v>
      </c>
      <c r="R1" s="76" t="s">
        <v>62</v>
      </c>
      <c r="S1" s="76" t="s">
        <v>63</v>
      </c>
      <c r="T1" s="76" t="s">
        <v>64</v>
      </c>
      <c r="U1" s="76" t="s">
        <v>65</v>
      </c>
      <c r="V1" s="76" t="s">
        <v>66</v>
      </c>
      <c r="W1" s="76" t="s">
        <v>67</v>
      </c>
      <c r="X1" s="76" t="s">
        <v>68</v>
      </c>
      <c r="Y1" s="76" t="s">
        <v>69</v>
      </c>
      <c r="Z1" s="76" t="s">
        <v>70</v>
      </c>
      <c r="AA1" s="76" t="s">
        <v>71</v>
      </c>
      <c r="AB1" s="76" t="s">
        <v>72</v>
      </c>
      <c r="AC1" s="76" t="s">
        <v>73</v>
      </c>
      <c r="AD1" s="76" t="s">
        <v>74</v>
      </c>
      <c r="AE1" s="76" t="s">
        <v>75</v>
      </c>
      <c r="AF1" s="76" t="s">
        <v>76</v>
      </c>
      <c r="AG1" s="76" t="s">
        <v>77</v>
      </c>
      <c r="AH1" s="167" t="s">
        <v>78</v>
      </c>
      <c r="AI1" s="168" t="s">
        <v>79</v>
      </c>
      <c r="AJ1" s="168" t="s">
        <v>80</v>
      </c>
      <c r="AK1" s="168" t="s">
        <v>81</v>
      </c>
      <c r="AL1" s="168" t="s">
        <v>82</v>
      </c>
      <c r="AM1" s="168" t="s">
        <v>83</v>
      </c>
      <c r="AN1" s="168" t="s">
        <v>84</v>
      </c>
      <c r="AO1" s="168" t="s">
        <v>85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9" tint="0.79998168889431442"/>
  </sheetPr>
  <dimension ref="H1:O2"/>
  <sheetViews>
    <sheetView tabSelected="1" workbookViewId="0">
      <selection activeCell="A2" sqref="A2"/>
    </sheetView>
  </sheetViews>
  <sheetFormatPr defaultColWidth="11.42578125" defaultRowHeight="15"/>
  <cols>
    <col min="1" max="1" width="23" bestFit="1" customWidth="1"/>
    <col min="10" max="10" width="14.28515625" bestFit="1" customWidth="1"/>
  </cols>
  <sheetData>
    <row r="1" spans="8:15">
      <c r="M1" s="78" t="s">
        <v>193</v>
      </c>
      <c r="N1" s="78" t="s">
        <v>194</v>
      </c>
      <c r="O1" s="78" t="s">
        <v>195</v>
      </c>
    </row>
    <row r="2" spans="8:15">
      <c r="H2" s="28"/>
      <c r="I2" s="28"/>
      <c r="J2" s="28"/>
      <c r="M2" s="79" t="s">
        <v>196</v>
      </c>
      <c r="N2" s="79" t="s">
        <v>197</v>
      </c>
      <c r="O2" s="79" t="s">
        <v>197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</vt:i4>
      </vt:variant>
    </vt:vector>
  </HeadingPairs>
  <TitlesOfParts>
    <vt:vector size="24" baseType="lpstr">
      <vt:lpstr>Page de garde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ANNEE</vt:lpstr>
      <vt:lpstr>ANNEE_1</vt:lpstr>
      <vt:lpstr>'Page de garde'!Print_Area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Moeglin</cp:lastModifiedBy>
  <cp:lastPrinted>2021-08-03T13:06:53Z</cp:lastPrinted>
  <dcterms:created xsi:type="dcterms:W3CDTF">2017-05-24T08:26:58Z</dcterms:created>
  <dcterms:modified xsi:type="dcterms:W3CDTF">2021-08-27T14:57:37Z</dcterms:modified>
</cp:coreProperties>
</file>