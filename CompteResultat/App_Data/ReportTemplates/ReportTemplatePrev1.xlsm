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0B88626-679C-487D-B9B6-D745AF602A2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_xlnm._FilterDatabase" localSheetId="15" hidden="1">'DATA AUTRES'!$A$1:$AG$1</definedName>
    <definedName name="_xlnm._FilterDatabase" localSheetId="14" hidden="1">'DATA DECES'!$A$1:$AG$1</definedName>
    <definedName name="_xlnm._FilterDatabase" localSheetId="12" hidden="1">'DATA INCAP'!$A$1:$AH$1</definedName>
    <definedName name="_xlnm._FilterDatabase" localSheetId="13" hidden="1">'DATA INVAL'!$A$1:$AG$1</definedName>
    <definedName name="_xlnm._FilterDatabase" localSheetId="11" hidden="1">'DATA PREV'!#REF!</definedName>
    <definedName name="ANNEE">Résultats!$C$17</definedName>
    <definedName name="ANNEE_1">Résultats!$C$17</definedName>
    <definedName name="ANNEE_2" localSheetId="15">Résultats!#REF!</definedName>
    <definedName name="ANNEE_2" localSheetId="14">Résultats!#REF!</definedName>
    <definedName name="ANNEE_2" localSheetId="12">Résultats!#REF!</definedName>
    <definedName name="ANNEE_2" localSheetId="13">Résultats!#REF!</definedName>
    <definedName name="ANNEE_2" localSheetId="8">Résultats!#REF!</definedName>
    <definedName name="ANNEE_2" localSheetId="4">Résultats!#REF!</definedName>
    <definedName name="ANNEE_2" localSheetId="6">Résultats!#REF!</definedName>
    <definedName name="ANNEE_2" localSheetId="9">Résultats!#REF!</definedName>
    <definedName name="ANNEE_2" localSheetId="5">Résultats!#REF!</definedName>
    <definedName name="ANNEE_2" localSheetId="7">Résultats!#REF!</definedName>
    <definedName name="ANNEE_2">Résultats!#REF!</definedName>
    <definedName name="_xlnm.Print_Area" localSheetId="0">'Page de garde'!$A$1:$U$38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4" l="1"/>
  <c r="C8" i="49"/>
  <c r="C8" i="39"/>
  <c r="C8" i="48"/>
  <c r="C8" i="38"/>
  <c r="C8" i="28"/>
  <c r="C8" i="18"/>
  <c r="C8" i="31"/>
  <c r="AI1" i="37"/>
  <c r="AI1" i="36"/>
  <c r="AI1" i="35"/>
</calcChain>
</file>

<file path=xl/sharedStrings.xml><?xml version="1.0" encoding="utf-8"?>
<sst xmlns="http://schemas.openxmlformats.org/spreadsheetml/2006/main" count="1054" uniqueCount="256">
  <si>
    <t>MAJ EXCEL</t>
  </si>
  <si>
    <t>MAJ POWERPOINT</t>
  </si>
  <si>
    <t>NON</t>
  </si>
  <si>
    <t>PREVOYANCE</t>
  </si>
  <si>
    <t>Contrat(s)</t>
  </si>
  <si>
    <t>Collège</t>
  </si>
  <si>
    <t>Cadre</t>
  </si>
  <si>
    <t xml:space="preserve">Période analysée : 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</si>
  <si>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</si>
  <si>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</si>
  <si>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</si>
  <si>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</si>
  <si>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</si>
  <si>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</si>
  <si>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</si>
  <si>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</si>
  <si>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</si>
  <si>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 xml:space="preserve">Date d'arrêté : </t>
  </si>
  <si>
    <t>Invalidité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</si>
  <si>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</si>
  <si>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</si>
  <si>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</si>
  <si>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</si>
  <si>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</si>
  <si>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</si>
  <si>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</si>
  <si>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</si>
  <si>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</si>
  <si>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</si>
  <si>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</si>
  <si>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</si>
  <si>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</si>
  <si>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</si>
  <si>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</si>
  <si>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</si>
  <si>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</si>
  <si>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</si>
  <si>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</si>
  <si>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</si>
  <si>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</si>
  <si>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</si>
  <si>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</si>
  <si>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</si>
  <si>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</si>
  <si>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</si>
  <si>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</si>
  <si>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</si>
  <si>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</si>
  <si>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</si>
  <si>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</si>
  <si>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</si>
  <si>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</si>
  <si>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</si>
  <si>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</si>
  <si>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</si>
  <si>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</si>
  <si>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</si>
  <si>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</si>
  <si>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>âge 
au Sinistre</t>
  </si>
  <si>
    <t>Dernière date indemnisée</t>
  </si>
  <si>
    <t>date de clôture</t>
  </si>
  <si>
    <t>Nb jours Indemnisés à la clôture</t>
  </si>
  <si>
    <t>Prestations Payées</t>
  </si>
  <si>
    <t>Non Cadre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</si>
  <si>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</si>
  <si>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</si>
  <si>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</si>
  <si>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</si>
  <si>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</si>
  <si>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</si>
  <si>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</si>
  <si>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</si>
  <si>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</si>
  <si>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Décès assuré</t>
  </si>
  <si>
    <t>Décès conjoint</t>
  </si>
  <si>
    <t>Décès enfant</t>
  </si>
  <si>
    <t>Date du Décès</t>
  </si>
  <si>
    <t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</si>
  <si>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</si>
  <si>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</si>
  <si>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</si>
  <si>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</si>
  <si>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</si>
  <si>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</si>
  <si>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</si>
  <si>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</si>
  <si>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</si>
  <si>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DECES</t>
  </si>
  <si>
    <t>INCAPACITE</t>
  </si>
  <si>
    <t>INVALIDITE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</si>
  <si>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</si>
  <si>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</si>
  <si>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</si>
  <si>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</si>
  <si>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</si>
  <si>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</si>
  <si>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</si>
  <si>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</si>
  <si>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</si>
  <si>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</si>
  <si>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</si>
  <si>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</si>
  <si>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</si>
  <si>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</si>
  <si>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</si>
  <si>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</si>
  <si>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</si>
  <si>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</si>
  <si>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</si>
  <si>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</si>
  <si>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</si>
  <si>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</si>
  <si>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</si>
  <si>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</si>
  <si>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</si>
  <si>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</si>
  <si>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</si>
  <si>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</si>
  <si>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</si>
  <si>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</si>
  <si>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</si>
  <si>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</si>
  <si>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FIN SS</t>
  </si>
  <si>
    <t>F</t>
  </si>
  <si>
    <t>O</t>
  </si>
  <si>
    <t>PAS DE SORTIE</t>
  </si>
  <si>
    <t>H</t>
  </si>
  <si>
    <t>FLORENCE</t>
  </si>
  <si>
    <t>NADEGE</t>
  </si>
  <si>
    <t>MIREILLE</t>
  </si>
  <si>
    <t>CHEVALLIER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</si>
  <si>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</si>
  <si>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</si>
  <si>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</si>
  <si>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</si>
  <si>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</si>
  <si>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</si>
  <si>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</si>
  <si>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</si>
  <si>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</si>
  <si>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</si>
  <si>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</si>
  <si>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cadre</t>
  </si>
  <si>
    <t>INCAPACITE_PM_MGDC</t>
  </si>
  <si>
    <t>INCAPACITE_PM_PASSAGE</t>
  </si>
  <si>
    <t>INVALIDITE_PM_MGDC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</si>
  <si>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</si>
  <si>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</si>
  <si>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</si>
  <si>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</si>
  <si>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</si>
  <si>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</si>
  <si>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</si>
  <si>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</si>
  <si>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</si>
  <si>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15</t>
  </si>
  <si>
    <t>Survenance</t>
  </si>
  <si>
    <t>FICHIERS D'IMPORT</t>
  </si>
  <si>
    <t>D:\Applications\Kerialis-CR3\App_Data\Imports\test prev  02 03 2023-2023-03-02T17-35-09\DecomptePrev2021.xlsx</t>
  </si>
  <si>
    <t>D:\Applications\Kerialis-CR3\App_Data\Imports\test prev  02 03 2023-2023-03-02T17-35-09\DetailCotis2021.xlsx</t>
  </si>
  <si>
    <t>D:\Applications\Kerialis-CR3\App_Data\Imports\test prev  02 03 2023-2023-03-02T17-35-09\Import_ProvisionsPrev_2020.xlsx</t>
  </si>
  <si>
    <t>D:\Applications\Kerialis-CR3\App_Data\Imports\test prev  02 03 2023-2023-03-02T17-35-09\Import_ProvisionsPrev_2021.xlsx</t>
  </si>
  <si>
    <t>D:\Applications\Kerialis-CR3\App_Data\Imports\test prev  02 03 2023-2023-03-02T17-35-09\SinistrePrev2021.xlsx</t>
  </si>
  <si>
    <t>D:\Applications\Kerialis-CR3\App_Data\Imports\test prev  02 03 2023-2023-03-02T17-35-09\TF_DecomptePrev2021.csv</t>
  </si>
  <si>
    <t>D:\Applications\Kerialis-CR3\App_Data\Imports\test prev  02 03 2023-2023-03-02T17-35-09\TF_DetailCotis2021.csv</t>
  </si>
  <si>
    <t>D:\Applications\Kerialis-CR3\App_Data\Imports\test prev  02 03 2023-2023-03-02T17-35-09\TF_Import_ProvisionsPrev_2020.csv</t>
  </si>
  <si>
    <t>D:\Applications\Kerialis-CR3\App_Data\Imports\test prev  02 03 2023-2023-03-02T17-35-09\TF_Import_ProvisionsPrev_2021.csv</t>
  </si>
  <si>
    <t>D:\Applications\Kerialis-CR3\App_Data\Imports\test prev  02 03 2023-2023-03-02T17-35-09\TF_SinistrePrev2021.csv</t>
  </si>
  <si>
    <t>Numéro chronologique</t>
  </si>
  <si>
    <t>Traitement concerné</t>
  </si>
  <si>
    <t>Libellé Famille</t>
  </si>
  <si>
    <t>Libellé Acte</t>
  </si>
  <si>
    <t>Libellé de l'erreur</t>
  </si>
  <si>
    <t>Source -&gt; Onglet Résultats</t>
  </si>
  <si>
    <t>ECART ( = Résultats - CONTROLE)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</si>
  <si>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</si>
  <si>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</si>
  <si>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</si>
  <si>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</si>
  <si>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</si>
  <si>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</si>
  <si>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</si>
  <si>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</si>
  <si>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</si>
  <si>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31 décembre 2022</t>
  </si>
  <si>
    <t>Frais de gestion</t>
  </si>
  <si>
    <t>Taxes</t>
  </si>
  <si>
    <t>Taux de chargements</t>
  </si>
  <si>
    <t>Ratio</t>
  </si>
  <si>
    <t>OUI</t>
  </si>
  <si>
    <t>BARREAU DE PARIS</t>
  </si>
  <si>
    <t>47500207</t>
  </si>
  <si>
    <t>Entreprise 22</t>
  </si>
  <si>
    <t>Uniforme</t>
  </si>
  <si>
    <t>2015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</si>
  <si>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</si>
  <si>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</si>
  <si>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</si>
  <si>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</si>
  <si>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</si>
  <si>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</si>
  <si>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</si>
  <si>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</si>
  <si>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</si>
  <si>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</si>
  <si>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</si>
  <si>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</si>
  <si>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</si>
  <si>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</si>
  <si>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</si>
  <si>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</si>
  <si>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</si>
  <si>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</si>
  <si>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0,102</t>
  </si>
  <si>
    <t>0,175</t>
  </si>
  <si>
    <t>2022</t>
  </si>
  <si>
    <t>0,0911391082134843</t>
  </si>
  <si>
    <t>0,155824831994649</t>
  </si>
  <si>
    <t>0,0999813658930318</t>
  </si>
  <si>
    <t/>
  </si>
  <si>
    <t>KIETUDE ITT EXCKUSIF</t>
  </si>
  <si>
    <t>Cadre, Non Cadre</t>
  </si>
  <si>
    <t>1 janvier 2022 au 31 décembre 2022</t>
  </si>
  <si>
    <t>Date d'arrêté des comptes :</t>
  </si>
  <si>
    <t>Type de Compte - Survenance</t>
  </si>
  <si>
    <t>14319</t>
  </si>
  <si>
    <t>ARNAL</t>
  </si>
  <si>
    <t>MURIELLE MARTINE LAURENCE</t>
  </si>
  <si>
    <t>14326</t>
  </si>
  <si>
    <t>NATAF</t>
  </si>
  <si>
    <t>LESLY</t>
  </si>
  <si>
    <t>14589</t>
  </si>
  <si>
    <t>MAZEL</t>
  </si>
  <si>
    <t>13865</t>
  </si>
  <si>
    <t>BILLAY</t>
  </si>
  <si>
    <t>PASCAL</t>
  </si>
  <si>
    <t>13982</t>
  </si>
  <si>
    <t>FOURMAUD</t>
  </si>
  <si>
    <t>14089</t>
  </si>
  <si>
    <t>SIHAM</t>
  </si>
  <si>
    <t>LE LAY</t>
  </si>
  <si>
    <t>26461</t>
  </si>
  <si>
    <t>ARNAL MURIELLE MARTINE LAURENCE</t>
  </si>
  <si>
    <t>FOURMAUD MIREILLE</t>
  </si>
  <si>
    <t>BILLAY PASCAL</t>
  </si>
  <si>
    <t>NATAF LESLY</t>
  </si>
  <si>
    <t>MAZEL NADEGE</t>
  </si>
  <si>
    <t>CHEVALLIER SIHAM</t>
  </si>
  <si>
    <t>01/01/2022</t>
  </si>
  <si>
    <t>31/12/2022</t>
  </si>
  <si>
    <t>STATISTIQUES - Survenance</t>
  </si>
  <si>
    <t>A U C U N    E C A R T</t>
  </si>
  <si>
    <t>Comptable</t>
  </si>
  <si>
    <t>COMPTABLE</t>
  </si>
  <si>
    <t>47500207 - 47502122</t>
  </si>
  <si>
    <t>Entreprise 22 - Entreprise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</si>
</sst>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6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0" borderId="0" xfId="3" applyFont="1"/>
    <xf numFmtId="1" fontId="0" fillId="0" borderId="0" xfId="0" applyNumberFormat="1"/>
    <xf numFmtId="14" fontId="0" fillId="0" borderId="0" xfId="0" applyNumberFormat="1"/>
    <xf numFmtId="0" fontId="0" fillId="0" borderId="10" xfId="0" applyBorder="1"/>
    <xf numFmtId="0" fontId="7" fillId="0" borderId="0" xfId="0" applyFont="1" applyAlignment="1">
      <alignment horizontal="left" vertical="center"/>
    </xf>
    <xf numFmtId="0" fontId="6" fillId="2" borderId="0" xfId="4" applyFont="1" applyFill="1"/>
    <xf numFmtId="3" fontId="6" fillId="2" borderId="0" xfId="4" applyNumberFormat="1" applyFont="1" applyFill="1" applyAlignment="1">
      <alignment horizontal="center"/>
    </xf>
    <xf numFmtId="0" fontId="8" fillId="2" borderId="0" xfId="4" applyFont="1" applyFill="1" applyAlignment="1">
      <alignment vertical="center"/>
    </xf>
    <xf numFmtId="9" fontId="8" fillId="2" borderId="0" xfId="6" applyFont="1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12" fillId="0" borderId="0" xfId="0" applyFont="1"/>
    <xf numFmtId="0" fontId="9" fillId="0" borderId="0" xfId="3" applyFont="1" applyAlignment="1">
      <alignment horizontal="center" vertical="center"/>
    </xf>
    <xf numFmtId="0" fontId="11" fillId="2" borderId="0" xfId="4" applyFont="1" applyFill="1"/>
    <xf numFmtId="0" fontId="10" fillId="2" borderId="0" xfId="4" applyFont="1" applyFill="1"/>
    <xf numFmtId="1" fontId="0" fillId="4" borderId="0" xfId="0" applyNumberFormat="1" applyFill="1" applyAlignment="1">
      <alignment horizontal="center" vertical="center" wrapText="1"/>
    </xf>
    <xf numFmtId="1" fontId="0" fillId="5" borderId="0" xfId="0" applyNumberFormat="1" applyFill="1" applyAlignment="1">
      <alignment horizontal="center" vertical="center" wrapText="1"/>
    </xf>
    <xf numFmtId="0" fontId="14" fillId="0" borderId="0" xfId="5" applyFont="1" applyAlignment="1">
      <alignment horizontal="left" vertical="center"/>
    </xf>
    <xf numFmtId="0" fontId="16" fillId="0" borderId="0" xfId="0" applyFont="1"/>
    <xf numFmtId="0" fontId="17" fillId="0" borderId="5" xfId="0" applyFont="1" applyBorder="1"/>
    <xf numFmtId="0" fontId="17" fillId="0" borderId="0" xfId="0" applyFont="1" applyAlignment="1">
      <alignment horizontal="left" vertical="center"/>
    </xf>
    <xf numFmtId="0" fontId="17" fillId="0" borderId="0" xfId="0" applyFont="1"/>
    <xf numFmtId="0" fontId="17" fillId="0" borderId="6" xfId="0" applyFont="1" applyBorder="1"/>
    <xf numFmtId="0" fontId="15" fillId="0" borderId="0" xfId="5" applyFont="1" applyAlignment="1">
      <alignment horizontal="left" vertical="center"/>
    </xf>
    <xf numFmtId="0" fontId="16" fillId="0" borderId="5" xfId="0" applyFont="1" applyBorder="1"/>
    <xf numFmtId="0" fontId="16" fillId="0" borderId="0" xfId="0" applyFont="1" applyAlignment="1">
      <alignment horizontal="left" vertical="center"/>
    </xf>
    <xf numFmtId="0" fontId="19" fillId="0" borderId="0" xfId="5" applyFont="1" applyAlignment="1">
      <alignment horizontal="left" vertical="center"/>
    </xf>
    <xf numFmtId="0" fontId="16" fillId="0" borderId="6" xfId="0" applyFont="1" applyBorder="1"/>
    <xf numFmtId="0" fontId="20" fillId="0" borderId="0" xfId="5" applyFont="1" applyAlignment="1">
      <alignment horizontal="left" vertical="center"/>
    </xf>
    <xf numFmtId="0" fontId="18" fillId="0" borderId="0" xfId="5" applyFont="1" applyAlignment="1">
      <alignment horizontal="left" vertical="center"/>
    </xf>
    <xf numFmtId="0" fontId="21" fillId="0" borderId="0" xfId="5" applyFont="1" applyAlignment="1">
      <alignment horizontal="center"/>
    </xf>
    <xf numFmtId="0" fontId="22" fillId="0" borderId="0" xfId="4" applyFont="1"/>
    <xf numFmtId="14" fontId="22" fillId="0" borderId="0" xfId="4" applyNumberFormat="1" applyFont="1" applyAlignment="1">
      <alignment horizontal="left"/>
    </xf>
    <xf numFmtId="0" fontId="24" fillId="0" borderId="0" xfId="0" applyFont="1"/>
    <xf numFmtId="0" fontId="24" fillId="0" borderId="5" xfId="0" applyFont="1" applyBorder="1"/>
    <xf numFmtId="0" fontId="25" fillId="2" borderId="0" xfId="4" applyFont="1" applyFill="1"/>
    <xf numFmtId="0" fontId="24" fillId="0" borderId="6" xfId="0" applyFont="1" applyBorder="1"/>
    <xf numFmtId="168" fontId="13" fillId="7" borderId="1" xfId="3" applyNumberFormat="1" applyFont="1" applyFill="1" applyBorder="1" applyAlignment="1">
      <alignment horizontal="center" vertical="center" wrapText="1"/>
    </xf>
    <xf numFmtId="0" fontId="26" fillId="2" borderId="0" xfId="4" applyFont="1" applyFill="1"/>
    <xf numFmtId="0" fontId="27" fillId="0" borderId="0" xfId="3" applyFont="1"/>
    <xf numFmtId="0" fontId="25" fillId="0" borderId="0" xfId="3" applyFont="1"/>
    <xf numFmtId="0" fontId="28" fillId="0" borderId="0" xfId="3" applyFont="1"/>
    <xf numFmtId="0" fontId="5" fillId="7" borderId="10" xfId="3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9" fontId="0" fillId="0" borderId="10" xfId="2" applyNumberFormat="1" applyFont="1" applyBorder="1" applyAlignment="1">
      <alignment horizontal="center"/>
    </xf>
    <xf numFmtId="0" fontId="25" fillId="0" borderId="10" xfId="3" applyFont="1" applyBorder="1" applyAlignment="1">
      <alignment horizontal="center" vertical="center"/>
    </xf>
    <xf numFmtId="1" fontId="25" fillId="0" borderId="10" xfId="3" applyNumberFormat="1" applyFont="1" applyBorder="1" applyAlignment="1">
      <alignment horizontal="center" vertical="center"/>
    </xf>
    <xf numFmtId="167" fontId="25" fillId="0" borderId="10" xfId="3" applyNumberFormat="1" applyFont="1" applyBorder="1" applyAlignment="1">
      <alignment horizontal="center" vertical="center"/>
    </xf>
    <xf numFmtId="167" fontId="5" fillId="7" borderId="10" xfId="3" applyNumberFormat="1" applyFont="1" applyFill="1" applyBorder="1" applyAlignment="1">
      <alignment horizontal="center" vertical="center" wrapText="1"/>
    </xf>
    <xf numFmtId="9" fontId="25" fillId="3" borderId="10" xfId="6" applyFont="1" applyFill="1" applyBorder="1" applyAlignment="1">
      <alignment horizontal="center" vertical="center"/>
    </xf>
    <xf numFmtId="9" fontId="5" fillId="7" borderId="10" xfId="3" applyNumberFormat="1" applyFont="1" applyFill="1" applyBorder="1" applyAlignment="1">
      <alignment horizontal="center" vertical="center" wrapText="1"/>
    </xf>
    <xf numFmtId="0" fontId="25" fillId="0" borderId="10" xfId="3" applyFont="1" applyBorder="1"/>
    <xf numFmtId="0" fontId="25" fillId="0" borderId="10" xfId="3" applyFont="1" applyBorder="1" applyAlignment="1">
      <alignment horizontal="center"/>
    </xf>
    <xf numFmtId="1" fontId="25" fillId="0" borderId="10" xfId="3" applyNumberFormat="1" applyFont="1" applyBorder="1" applyAlignment="1">
      <alignment horizontal="center"/>
    </xf>
    <xf numFmtId="0" fontId="29" fillId="7" borderId="10" xfId="3" applyFont="1" applyFill="1" applyBorder="1" applyAlignment="1">
      <alignment horizontal="center" vertical="center" wrapText="1"/>
    </xf>
    <xf numFmtId="167" fontId="29" fillId="3" borderId="10" xfId="1" applyNumberFormat="1" applyFont="1" applyFill="1" applyBorder="1" applyAlignment="1">
      <alignment horizontal="center" vertical="center"/>
    </xf>
    <xf numFmtId="167" fontId="29" fillId="7" borderId="10" xfId="3" applyNumberFormat="1" applyFont="1" applyFill="1" applyBorder="1" applyAlignment="1">
      <alignment horizontal="center" vertical="center" wrapText="1"/>
    </xf>
    <xf numFmtId="167" fontId="25" fillId="3" borderId="10" xfId="1" applyNumberFormat="1" applyFont="1" applyFill="1" applyBorder="1" applyAlignment="1">
      <alignment horizontal="center" vertical="center"/>
    </xf>
    <xf numFmtId="3" fontId="5" fillId="7" borderId="10" xfId="3" applyNumberFormat="1" applyFont="1" applyFill="1" applyBorder="1" applyAlignment="1">
      <alignment horizontal="center" vertical="center" wrapText="1"/>
    </xf>
    <xf numFmtId="0" fontId="25" fillId="2" borderId="10" xfId="3" applyFont="1" applyFill="1" applyBorder="1" applyAlignment="1">
      <alignment horizontal="center" vertical="center"/>
    </xf>
    <xf numFmtId="3" fontId="25" fillId="2" borderId="10" xfId="3" applyNumberFormat="1" applyFont="1" applyFill="1" applyBorder="1" applyAlignment="1">
      <alignment horizontal="center" vertical="center"/>
    </xf>
    <xf numFmtId="170" fontId="25" fillId="2" borderId="10" xfId="3" applyNumberFormat="1" applyFont="1" applyFill="1" applyBorder="1" applyAlignment="1">
      <alignment horizontal="center" vertical="center"/>
    </xf>
    <xf numFmtId="170" fontId="5" fillId="7" borderId="10" xfId="3" applyNumberFormat="1" applyFont="1" applyFill="1" applyBorder="1" applyAlignment="1">
      <alignment horizontal="center" vertical="center" wrapText="1"/>
    </xf>
    <xf numFmtId="0" fontId="25" fillId="0" borderId="0" xfId="3" applyFont="1" applyAlignment="1">
      <alignment horizontal="center"/>
    </xf>
    <xf numFmtId="1" fontId="25" fillId="0" borderId="0" xfId="3" applyNumberFormat="1" applyFont="1" applyAlignment="1">
      <alignment horizontal="center"/>
    </xf>
    <xf numFmtId="4" fontId="0" fillId="4" borderId="0" xfId="0" applyNumberFormat="1" applyFill="1" applyAlignment="1">
      <alignment horizontal="center" vertical="center" wrapText="1"/>
    </xf>
    <xf numFmtId="4" fontId="0" fillId="0" borderId="0" xfId="0" applyNumberFormat="1"/>
    <xf numFmtId="0" fontId="0" fillId="0" borderId="8" xfId="0" applyBorder="1" applyAlignment="1">
      <alignment horizontal="center"/>
    </xf>
    <xf numFmtId="0" fontId="2" fillId="0" borderId="14" xfId="0" applyFont="1" applyBorder="1"/>
    <xf numFmtId="0" fontId="0" fillId="0" borderId="15" xfId="0" applyBorder="1"/>
    <xf numFmtId="14" fontId="0" fillId="0" borderId="0" xfId="0" applyNumberFormat="1" applyAlignment="1">
      <alignment horizontal="center"/>
    </xf>
    <xf numFmtId="169" fontId="0" fillId="0" borderId="0" xfId="2" applyNumberFormat="1" applyFont="1" applyAlignment="1">
      <alignment horizontal="center"/>
    </xf>
    <xf numFmtId="171" fontId="0" fillId="0" borderId="10" xfId="2" applyNumberFormat="1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171" fontId="0" fillId="0" borderId="0" xfId="2" applyNumberFormat="1" applyFont="1" applyAlignment="1">
      <alignment horizontal="center"/>
    </xf>
    <xf numFmtId="172" fontId="0" fillId="0" borderId="10" xfId="2" applyNumberFormat="1" applyFont="1" applyBorder="1" applyAlignment="1">
      <alignment horizontal="center"/>
    </xf>
    <xf numFmtId="172" fontId="0" fillId="0" borderId="0" xfId="2" applyNumberFormat="1" applyFont="1" applyAlignment="1">
      <alignment horizontal="center"/>
    </xf>
    <xf numFmtId="0" fontId="30" fillId="0" borderId="0" xfId="0" applyFont="1" applyAlignment="1">
      <alignment horizontal="center" vertical="center" wrapText="1"/>
    </xf>
    <xf numFmtId="14" fontId="0" fillId="6" borderId="0" xfId="0" applyNumberFormat="1" applyFill="1"/>
    <xf numFmtId="0" fontId="5" fillId="7" borderId="16" xfId="3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9" xfId="0" applyBorder="1"/>
    <xf numFmtId="0" fontId="0" fillId="0" borderId="18" xfId="0" applyBorder="1"/>
    <xf numFmtId="0" fontId="30" fillId="0" borderId="0" xfId="0" applyFont="1"/>
    <xf numFmtId="1" fontId="0" fillId="6" borderId="0" xfId="0" applyNumberFormat="1" applyFill="1" applyAlignment="1">
      <alignment horizontal="center" vertical="center" wrapText="1"/>
    </xf>
    <xf numFmtId="14" fontId="0" fillId="6" borderId="0" xfId="0" applyNumberFormat="1" applyFill="1" applyAlignment="1">
      <alignment horizontal="center" vertical="center" wrapText="1"/>
    </xf>
    <xf numFmtId="170" fontId="6" fillId="0" borderId="0" xfId="3" applyNumberFormat="1" applyFont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2" fillId="5" borderId="0" xfId="0" applyFont="1" applyFill="1"/>
    <xf numFmtId="17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8" fillId="5" borderId="0" xfId="0" applyFont="1" applyFill="1"/>
    <xf numFmtId="0" fontId="32" fillId="5" borderId="0" xfId="0" applyFont="1" applyFill="1" applyAlignment="1">
      <alignment horizontal="left"/>
    </xf>
    <xf numFmtId="0" fontId="32" fillId="5" borderId="0" xfId="0" applyFont="1" applyFill="1" applyAlignment="1">
      <alignment horizontal="center"/>
    </xf>
    <xf numFmtId="168" fontId="2" fillId="0" borderId="0" xfId="0" applyNumberFormat="1" applyFont="1"/>
    <xf numFmtId="168" fontId="0" fillId="0" borderId="3" xfId="0" applyNumberFormat="1" applyBorder="1"/>
    <xf numFmtId="168" fontId="0" fillId="0" borderId="0" xfId="0" applyNumberFormat="1"/>
    <xf numFmtId="0" fontId="22" fillId="0" borderId="0" xfId="4" quotePrefix="1" applyFont="1"/>
    <xf numFmtId="168" fontId="11" fillId="0" borderId="0" xfId="4" applyNumberFormat="1" applyFont="1" applyAlignment="1">
      <alignment horizontal="left"/>
    </xf>
    <xf numFmtId="168" fontId="9" fillId="0" borderId="0" xfId="0" applyNumberFormat="1" applyFont="1" applyAlignment="1">
      <alignment horizontal="left" vertical="center"/>
    </xf>
    <xf numFmtId="168" fontId="9" fillId="0" borderId="0" xfId="3" applyNumberFormat="1" applyFont="1" applyAlignment="1">
      <alignment horizontal="center" vertical="center"/>
    </xf>
    <xf numFmtId="0" fontId="13" fillId="7" borderId="1" xfId="3" applyFont="1" applyFill="1" applyBorder="1" applyAlignment="1">
      <alignment horizontal="center" vertical="center" wrapText="1"/>
    </xf>
    <xf numFmtId="0" fontId="13" fillId="7" borderId="23" xfId="3" applyFont="1" applyFill="1" applyBorder="1" applyAlignment="1">
      <alignment horizontal="center" vertical="center"/>
    </xf>
    <xf numFmtId="168" fontId="9" fillId="0" borderId="1" xfId="3" applyNumberFormat="1" applyFont="1" applyBorder="1" applyAlignment="1">
      <alignment horizontal="center" vertical="center"/>
    </xf>
    <xf numFmtId="10" fontId="9" fillId="0" borderId="1" xfId="6" applyNumberFormat="1" applyFont="1" applyBorder="1" applyAlignment="1">
      <alignment horizontal="center" vertical="center"/>
    </xf>
    <xf numFmtId="9" fontId="9" fillId="0" borderId="1" xfId="6" applyFont="1" applyBorder="1" applyAlignment="1">
      <alignment horizontal="center" vertical="center"/>
    </xf>
    <xf numFmtId="164" fontId="9" fillId="0" borderId="1" xfId="3" applyNumberFormat="1" applyFont="1" applyBorder="1" applyAlignment="1">
      <alignment horizontal="center" vertical="center"/>
    </xf>
    <xf numFmtId="9" fontId="11" fillId="2" borderId="0" xfId="4" applyNumberFormat="1" applyFont="1" applyFill="1"/>
    <xf numFmtId="168" fontId="11" fillId="2" borderId="0" xfId="4" applyNumberFormat="1" applyFont="1" applyFill="1"/>
    <xf numFmtId="168" fontId="11" fillId="2" borderId="0" xfId="4" applyNumberFormat="1" applyFont="1" applyFill="1" applyAlignment="1">
      <alignment horizontal="center"/>
    </xf>
    <xf numFmtId="0" fontId="13" fillId="2" borderId="0" xfId="4" applyFont="1" applyFill="1" applyAlignment="1">
      <alignment vertical="center"/>
    </xf>
    <xf numFmtId="9" fontId="13" fillId="2" borderId="0" xfId="6" applyFont="1" applyFill="1" applyAlignment="1">
      <alignment horizontal="center" vertical="center" wrapText="1"/>
    </xf>
    <xf numFmtId="9" fontId="9" fillId="0" borderId="0" xfId="6" applyFont="1" applyAlignment="1">
      <alignment horizontal="center" vertical="center"/>
    </xf>
    <xf numFmtId="0" fontId="4" fillId="2" borderId="0" xfId="4" applyFont="1" applyFill="1" applyAlignment="1">
      <alignment horizontal="left" wrapText="1"/>
    </xf>
    <xf numFmtId="168" fontId="0" fillId="0" borderId="8" xfId="0" applyNumberFormat="1" applyBorder="1"/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16" fillId="0" borderId="2" xfId="0" applyFont="1" applyBorder="1"/>
    <xf numFmtId="0" fontId="16" fillId="0" borderId="3" xfId="0" applyFont="1" applyBorder="1"/>
    <xf numFmtId="0" fontId="16" fillId="0" borderId="4" xfId="0" applyFont="1" applyBorder="1"/>
    <xf numFmtId="0" fontId="16" fillId="0" borderId="5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17" fillId="0" borderId="0" xfId="0" applyFont="1" applyAlignment="1">
      <alignment vertical="center" wrapText="1"/>
    </xf>
    <xf numFmtId="0" fontId="46" fillId="0" borderId="0" xfId="5" applyFont="1" applyAlignment="1">
      <alignment horizontal="left" vertical="center"/>
    </xf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8" fontId="0" fillId="0" borderId="0" xfId="0" applyNumberFormat="1" applyAlignment="1">
      <alignment horizont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 wrapText="1"/>
    </xf>
    <xf numFmtId="0" fontId="23" fillId="0" borderId="0" xfId="5" applyFont="1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33" fillId="7" borderId="16" xfId="0" applyFont="1" applyFill="1" applyBorder="1" applyAlignment="1">
      <alignment horizontal="center"/>
    </xf>
    <xf numFmtId="0" fontId="30" fillId="8" borderId="0" xfId="0" applyFont="1" applyFill="1" applyAlignment="1">
      <alignment horizontal="center"/>
    </xf>
    <xf numFmtId="1" fontId="23" fillId="0" borderId="11" xfId="4" applyNumberFormat="1" applyFont="1" applyBorder="1" applyAlignment="1">
      <alignment horizontal="left" vertical="center" wrapText="1"/>
    </xf>
    <xf numFmtId="1" fontId="23" fillId="0" borderId="12" xfId="4" applyNumberFormat="1" applyFont="1" applyBorder="1" applyAlignment="1">
      <alignment horizontal="left" vertical="center" wrapText="1"/>
    </xf>
    <xf numFmtId="1" fontId="23" fillId="0" borderId="13" xfId="4" applyNumberFormat="1" applyFont="1" applyBorder="1" applyAlignment="1">
      <alignment horizontal="left" vertical="center" wrapText="1"/>
    </xf>
    <xf numFmtId="0" fontId="4" fillId="2" borderId="0" xfId="4" applyFont="1" applyFill="1" applyAlignment="1">
      <alignment horizontal="left" wrapText="1"/>
    </xf>
    <xf numFmtId="0" fontId="31" fillId="0" borderId="11" xfId="5" applyFont="1" applyBorder="1" applyAlignment="1">
      <alignment horizontal="left" vertical="center" wrapText="1"/>
    </xf>
    <xf numFmtId="0" fontId="31" fillId="0" borderId="12" xfId="5" applyFont="1" applyBorder="1" applyAlignment="1">
      <alignment horizontal="left" vertical="center" wrapText="1"/>
    </xf>
    <xf numFmtId="0" fontId="31" fillId="0" borderId="13" xfId="5" applyFont="1" applyBorder="1" applyAlignment="1">
      <alignment horizontal="left" vertical="center" wrapText="1"/>
    </xf>
    <xf numFmtId="0" fontId="31" fillId="0" borderId="20" xfId="5" applyFont="1" applyBorder="1" applyAlignment="1">
      <alignment horizontal="left" vertical="center" wrapText="1"/>
    </xf>
    <xf numFmtId="0" fontId="31" fillId="0" borderId="21" xfId="5" applyFont="1" applyBorder="1" applyAlignment="1">
      <alignment horizontal="left" vertical="center" wrapText="1"/>
    </xf>
    <xf numFmtId="0" fontId="31" fillId="0" borderId="22" xfId="5" applyFont="1" applyBorder="1" applyAlignment="1">
      <alignment horizontal="left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172" fontId="0" fillId="0" borderId="0" xfId="2" applyNumberFormat="1" applyFont="1" applyBorder="1" applyAlignment="1">
      <alignment horizontal="center"/>
    </xf>
    <xf numFmtId="169" fontId="0" fillId="0" borderId="0" xfId="2" applyNumberFormat="1" applyFont="1" applyBorder="1" applyAlignment="1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 xr:uid="{00000000-0005-0000-0000-000003000000}"/>
    <cellStyle name="Normal 4" xfId="4" xr:uid="{00000000-0005-0000-0000-000004000000}"/>
    <cellStyle name="Normal_Book 2004 feuille sommaire 2" xfId="5" xr:uid="{00000000-0005-0000-0000-000005000000}"/>
    <cellStyle name="Pourcentage" xfId="6" builtinId="5"/>
    <cellStyle name="Pourcentage 2" xfId="7" xr:uid="{00000000-0005-0000-0000-000007000000}"/>
    <cellStyle name="Pourcentage 2 2" xfId="8" xr:uid="{00000000-0005-0000-0000-000008000000}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INCAP!$C$14:$C$15</c:f>
              <c:numCache>
                <c:formatCode>General</c:formatCode>
                <c:ptCount val="2"/>
              </c:numCache>
            </c:numRef>
          </c:cat>
          <c:val>
            <c:numRef>
              <c:f>INCAP!$D$14:$D$15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INVAL!$C$14:$C$15</c:f>
              <c:numCache>
                <c:formatCode>General</c:formatCode>
                <c:ptCount val="2"/>
              </c:numCache>
            </c:numRef>
          </c:cat>
          <c:val>
            <c:numRef>
              <c:f>INVAL!$D$14:$D$15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DECES!$C$14:$C$15</c:f>
              <c:numCache>
                <c:formatCode>General</c:formatCode>
                <c:ptCount val="2"/>
              </c:numCache>
            </c:numRef>
          </c:cat>
          <c:val>
            <c:numRef>
              <c:f>DECES!$D$14:$D$15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92529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772886</xdr:colOff>
      <xdr:row>7</xdr:row>
      <xdr:rowOff>296636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Y4" sqref="Y4"/>
    </sheetView>
  </sheetViews>
  <sheetFormatPr baseColWidth="10" defaultColWidth="11.42578125" defaultRowHeight="15"/>
  <cols>
    <col min="1" max="1" width="2.85546875" style="27" customWidth="1"/>
    <col min="2" max="2" width="4.28515625" style="27" customWidth="1"/>
    <col min="3" max="3" width="11.42578125" style="27" customWidth="1"/>
    <col min="4" max="4" width="13.7109375" style="27" customWidth="1"/>
    <col min="5" max="9" width="11.42578125" style="27" customWidth="1"/>
    <col min="10" max="11" width="22.85546875" style="27" customWidth="1"/>
    <col min="12" max="18" width="11.42578125" style="27" customWidth="1"/>
    <col min="19" max="19" width="4.28515625" style="27" customWidth="1"/>
    <col min="20" max="20" width="2.85546875" style="27" customWidth="1"/>
    <col min="21" max="34" width="11.42578125" style="27" customWidth="1"/>
    <col min="35" max="16384" width="11.42578125" style="27"/>
  </cols>
  <sheetData>
    <row r="1" spans="2:36">
      <c r="AD1" s="27" t="s">
        <v>0</v>
      </c>
      <c r="AE1" s="27" t="s">
        <v>1</v>
      </c>
    </row>
    <row r="2" spans="2:36">
      <c r="B2" s="133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5"/>
      <c r="AD2" s="27" t="s">
        <v>189</v>
      </c>
      <c r="AE2" s="27" t="s">
        <v>2</v>
      </c>
    </row>
    <row r="3" spans="2:36">
      <c r="B3" s="33"/>
      <c r="S3" s="36"/>
    </row>
    <row r="4" spans="2:36">
      <c r="B4" s="33"/>
      <c r="S4" s="36"/>
    </row>
    <row r="5" spans="2:36">
      <c r="B5" s="33"/>
      <c r="S5" s="36"/>
    </row>
    <row r="6" spans="2:36">
      <c r="B6" s="33"/>
      <c r="S6" s="36"/>
    </row>
    <row r="7" spans="2:36">
      <c r="B7" s="33"/>
      <c r="S7" s="36"/>
    </row>
    <row r="8" spans="2:36">
      <c r="B8" s="33"/>
      <c r="S8" s="36"/>
    </row>
    <row r="9" spans="2:36" ht="45">
      <c r="B9" s="33"/>
      <c r="C9" s="26" t="s">
        <v>250</v>
      </c>
      <c r="D9" s="34"/>
      <c r="E9" s="34"/>
      <c r="F9" s="34"/>
      <c r="G9" s="34"/>
      <c r="H9" s="34"/>
      <c r="I9" s="34"/>
      <c r="S9" s="36"/>
    </row>
    <row r="10" spans="2:36" ht="45">
      <c r="B10" s="33"/>
      <c r="C10" s="26" t="s">
        <v>3</v>
      </c>
      <c r="D10" s="34"/>
      <c r="E10" s="34"/>
      <c r="F10" s="34"/>
      <c r="G10" s="34"/>
      <c r="H10" s="34"/>
      <c r="I10" s="34"/>
      <c r="S10" s="36"/>
    </row>
    <row r="11" spans="2:36">
      <c r="B11" s="33"/>
      <c r="C11" s="34"/>
      <c r="D11" s="34"/>
      <c r="E11" s="34"/>
      <c r="F11" s="34"/>
      <c r="G11" s="34"/>
      <c r="H11" s="34"/>
      <c r="I11" s="34"/>
      <c r="S11" s="36"/>
    </row>
    <row r="12" spans="2:36" ht="15" customHeight="1">
      <c r="B12" s="33"/>
      <c r="C12" s="34"/>
      <c r="D12" s="34"/>
      <c r="E12" s="34"/>
      <c r="F12" s="34"/>
      <c r="G12" s="34"/>
      <c r="H12" s="34"/>
      <c r="I12" s="34"/>
      <c r="J12" s="30"/>
      <c r="S12" s="36"/>
    </row>
    <row r="13" spans="2:36" ht="90" customHeight="1">
      <c r="B13" s="136"/>
      <c r="C13" s="149" t="s">
        <v>190</v>
      </c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37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</row>
    <row r="14" spans="2:36" s="42" customFormat="1" ht="23.25">
      <c r="B14" s="43"/>
      <c r="C14" s="144" t="s">
        <v>254</v>
      </c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45"/>
      <c r="U14" s="146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</row>
    <row r="15" spans="2:36" s="42" customFormat="1" ht="23.25">
      <c r="B15" s="43"/>
      <c r="C15" s="144" t="s">
        <v>255</v>
      </c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45"/>
      <c r="U15" s="146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</row>
    <row r="16" spans="2:36" s="42" customFormat="1" ht="23.25">
      <c r="B16" s="43"/>
      <c r="C16" s="144" t="s">
        <v>193</v>
      </c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45"/>
      <c r="U16" s="146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</row>
    <row r="17" spans="1:19">
      <c r="B17" s="33"/>
      <c r="C17" s="34"/>
      <c r="D17" s="34"/>
      <c r="E17" s="34"/>
      <c r="S17" s="36"/>
    </row>
    <row r="18" spans="1:19">
      <c r="B18" s="33"/>
      <c r="S18" s="36"/>
    </row>
    <row r="19" spans="1:19" s="30" customFormat="1" ht="67.5" customHeight="1">
      <c r="A19" s="27"/>
      <c r="B19" s="28"/>
      <c r="C19" s="29"/>
      <c r="D19" s="32" t="s">
        <v>4</v>
      </c>
      <c r="F19" s="29" t="s">
        <v>219</v>
      </c>
      <c r="G19" s="148" t="s">
        <v>220</v>
      </c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31"/>
    </row>
    <row r="20" spans="1:19" s="30" customFormat="1" ht="67.5" customHeight="1">
      <c r="A20" s="27"/>
      <c r="B20" s="28"/>
      <c r="C20" s="29"/>
      <c r="D20" s="32" t="s">
        <v>5</v>
      </c>
      <c r="F20" s="138"/>
      <c r="G20" s="32" t="s">
        <v>221</v>
      </c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1"/>
    </row>
    <row r="21" spans="1:19">
      <c r="B21" s="33"/>
      <c r="C21" s="34"/>
      <c r="D21" s="35"/>
      <c r="E21" s="34"/>
      <c r="F21" s="34"/>
      <c r="G21" s="34"/>
      <c r="H21" s="34"/>
      <c r="I21" s="34"/>
      <c r="S21" s="36"/>
    </row>
    <row r="22" spans="1:19" s="30" customFormat="1" ht="33.75">
      <c r="A22" s="27"/>
      <c r="B22" s="28"/>
      <c r="C22" s="29"/>
      <c r="D22" s="37" t="s">
        <v>7</v>
      </c>
      <c r="E22" s="29"/>
      <c r="G22" s="29"/>
      <c r="H22" s="38" t="s">
        <v>222</v>
      </c>
      <c r="I22" s="39"/>
      <c r="S22" s="31"/>
    </row>
    <row r="23" spans="1:19" s="30" customFormat="1" ht="33.75">
      <c r="A23" s="27"/>
      <c r="B23" s="28"/>
      <c r="C23" s="29"/>
      <c r="D23" s="37" t="s">
        <v>223</v>
      </c>
      <c r="E23" s="29"/>
      <c r="F23" s="29"/>
      <c r="H23" s="29"/>
      <c r="J23" s="38" t="s">
        <v>184</v>
      </c>
      <c r="S23" s="31"/>
    </row>
    <row r="24" spans="1:19" ht="25.5">
      <c r="B24" s="33"/>
      <c r="D24" s="139" t="s">
        <v>253</v>
      </c>
      <c r="S24" s="36"/>
    </row>
    <row r="25" spans="1:19">
      <c r="B25" s="33"/>
      <c r="S25" s="36"/>
    </row>
    <row r="26" spans="1:19" ht="15" hidden="1" customHeight="1">
      <c r="B26" s="33"/>
      <c r="S26" s="36"/>
    </row>
    <row r="27" spans="1:19" ht="15" hidden="1" customHeight="1">
      <c r="B27" s="33"/>
      <c r="S27" s="36"/>
    </row>
    <row r="28" spans="1:19">
      <c r="B28" s="33"/>
      <c r="S28" s="36"/>
    </row>
    <row r="29" spans="1:19">
      <c r="B29" s="33"/>
      <c r="S29" s="36"/>
    </row>
    <row r="30" spans="1:19" hidden="1">
      <c r="B30" s="33"/>
      <c r="S30" s="36"/>
    </row>
    <row r="31" spans="1:19" hidden="1">
      <c r="B31" s="33"/>
      <c r="S31" s="36"/>
    </row>
    <row r="32" spans="1:19" hidden="1">
      <c r="B32" s="33"/>
      <c r="S32" s="36"/>
    </row>
    <row r="33" spans="2:19">
      <c r="B33" s="33"/>
      <c r="S33" s="36"/>
    </row>
    <row r="34" spans="2:19" hidden="1">
      <c r="B34" s="33"/>
      <c r="S34" s="36"/>
    </row>
    <row r="35" spans="2:19" hidden="1">
      <c r="B35" s="33"/>
      <c r="S35" s="36"/>
    </row>
    <row r="36" spans="2:19" hidden="1">
      <c r="B36" s="33"/>
      <c r="S36" s="36"/>
    </row>
    <row r="37" spans="2:19" hidden="1">
      <c r="B37" s="33"/>
      <c r="S37" s="36"/>
    </row>
    <row r="38" spans="2:19">
      <c r="B38" s="33"/>
      <c r="S38" s="36"/>
    </row>
    <row r="39" spans="2:19">
      <c r="B39" s="33"/>
      <c r="S39" s="36"/>
    </row>
    <row r="40" spans="2:19" ht="7.5" customHeight="1">
      <c r="B40" s="33"/>
      <c r="S40" s="36"/>
    </row>
    <row r="41" spans="2:19">
      <c r="B41" s="140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2"/>
    </row>
  </sheetData>
  <mergeCells count="9"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19"/>
  <sheetViews>
    <sheetView zoomScale="115" zoomScaleNormal="115" workbookViewId="0">
      <selection activeCell="A19" sqref="A19:H19"/>
    </sheetView>
  </sheetViews>
  <sheetFormatPr baseColWidth="10" defaultColWidth="11.28515625" defaultRowHeight="15"/>
  <cols>
    <col min="1" max="1" width="10.7109375" style="54" bestFit="1" customWidth="1"/>
    <col min="2" max="2" width="14.85546875" style="54" bestFit="1" customWidth="1"/>
    <col min="3" max="3" width="15.42578125" style="54" bestFit="1" customWidth="1"/>
    <col min="4" max="4" width="21.5703125" style="54" bestFit="1" customWidth="1"/>
    <col min="5" max="5" width="16" style="54" bestFit="1" customWidth="1"/>
    <col min="6" max="6" width="21.140625" style="54" bestFit="1" customWidth="1"/>
    <col min="7" max="7" width="17.140625" style="54" bestFit="1" customWidth="1"/>
    <col min="8" max="8" width="15.5703125" style="54" bestFit="1" customWidth="1"/>
    <col min="9" max="9" width="6.5703125" style="54" bestFit="1" customWidth="1"/>
    <col min="10" max="10" width="11" style="54" bestFit="1" customWidth="1"/>
    <col min="11" max="11" width="10.140625" style="54" bestFit="1" customWidth="1"/>
    <col min="12" max="12" width="17.140625" style="54" bestFit="1" customWidth="1"/>
    <col min="13" max="13" width="12.7109375" style="54" bestFit="1" customWidth="1"/>
    <col min="14" max="14" width="17.5703125" style="54" bestFit="1" customWidth="1"/>
    <col min="15" max="15" width="13.7109375" style="54" bestFit="1" customWidth="1"/>
    <col min="16" max="16" width="12.42578125" style="54" bestFit="1" customWidth="1"/>
    <col min="17" max="17" width="11.28515625" style="54" customWidth="1"/>
    <col min="18" max="16384" width="11.28515625" style="54"/>
  </cols>
  <sheetData>
    <row r="1" spans="1:8">
      <c r="A1" s="150" t="s">
        <v>8</v>
      </c>
      <c r="B1" s="150"/>
      <c r="C1" s="150"/>
      <c r="D1" s="150"/>
      <c r="E1" s="150"/>
      <c r="F1" s="150"/>
      <c r="G1" s="150"/>
      <c r="H1" s="150"/>
    </row>
    <row r="2" spans="1:8" s="101" customFormat="1">
      <c r="A2" s="100" t="s">
        <v>9</v>
      </c>
      <c r="B2" s="100" t="s">
        <v>10</v>
      </c>
      <c r="C2" s="100" t="s">
        <v>11</v>
      </c>
      <c r="D2" s="100" t="s">
        <v>12</v>
      </c>
      <c r="E2" s="100" t="s">
        <v>13</v>
      </c>
      <c r="F2" s="100" t="s">
        <v>14</v>
      </c>
      <c r="G2" s="100" t="s">
        <v>15</v>
      </c>
      <c r="H2" s="100" t="s">
        <v>16</v>
      </c>
    </row>
    <row r="3" spans="1:8">
      <c r="A3" s="104">
        <v>2022</v>
      </c>
      <c r="B3" s="143">
        <v>16455.16</v>
      </c>
      <c r="C3" s="143">
        <v>0</v>
      </c>
      <c r="D3" s="143">
        <v>266365.93</v>
      </c>
      <c r="E3" s="105">
        <v>0.10829999999999999</v>
      </c>
      <c r="F3" s="143">
        <v>237528.08</v>
      </c>
      <c r="G3" s="105">
        <v>6.93E-2</v>
      </c>
      <c r="H3" s="143">
        <v>221072.92</v>
      </c>
    </row>
    <row r="7" spans="1:8">
      <c r="A7" s="150" t="s">
        <v>173</v>
      </c>
      <c r="B7" s="150"/>
      <c r="C7" s="150"/>
      <c r="D7" s="150"/>
      <c r="E7" s="150"/>
      <c r="F7" s="150"/>
      <c r="G7" s="150"/>
      <c r="H7" s="150"/>
    </row>
    <row r="8" spans="1:8" s="101" customFormat="1">
      <c r="A8" s="100" t="s">
        <v>9</v>
      </c>
      <c r="B8" s="100" t="s">
        <v>10</v>
      </c>
      <c r="C8" s="100" t="s">
        <v>11</v>
      </c>
      <c r="D8" s="100" t="s">
        <v>12</v>
      </c>
      <c r="E8" s="100" t="s">
        <v>13</v>
      </c>
      <c r="F8" s="100" t="s">
        <v>14</v>
      </c>
      <c r="G8" s="100" t="s">
        <v>15</v>
      </c>
      <c r="H8" s="100" t="s">
        <v>16</v>
      </c>
    </row>
    <row r="9" spans="1:8">
      <c r="A9" s="104">
        <v>2022</v>
      </c>
      <c r="B9" s="143">
        <v>16455.16</v>
      </c>
      <c r="C9" s="143">
        <v>0</v>
      </c>
      <c r="D9" s="143">
        <v>266365.93</v>
      </c>
      <c r="E9" s="105">
        <v>0.10829999999999999</v>
      </c>
      <c r="F9" s="143">
        <v>237528.08</v>
      </c>
      <c r="G9" s="105">
        <v>6.93E-2</v>
      </c>
      <c r="H9" s="143">
        <v>221072.92</v>
      </c>
    </row>
    <row r="13" spans="1:8">
      <c r="A13" s="150" t="s">
        <v>174</v>
      </c>
      <c r="B13" s="150"/>
      <c r="C13" s="150"/>
      <c r="D13" s="150"/>
      <c r="E13" s="150"/>
      <c r="F13" s="150"/>
      <c r="G13" s="150"/>
      <c r="H13" s="150"/>
    </row>
    <row r="14" spans="1:8" s="101" customFormat="1">
      <c r="A14" s="100" t="s">
        <v>9</v>
      </c>
      <c r="B14" s="100" t="s">
        <v>10</v>
      </c>
      <c r="C14" s="100" t="s">
        <v>11</v>
      </c>
      <c r="D14" s="100" t="s">
        <v>12</v>
      </c>
      <c r="E14" s="100" t="s">
        <v>13</v>
      </c>
      <c r="F14" s="100" t="s">
        <v>14</v>
      </c>
      <c r="G14" s="100" t="s">
        <v>15</v>
      </c>
      <c r="H14" s="100" t="s">
        <v>16</v>
      </c>
    </row>
    <row r="15" spans="1:8">
      <c r="A15" s="104"/>
      <c r="B15" s="143"/>
      <c r="C15" s="143"/>
      <c r="D15" s="143"/>
      <c r="E15" s="105"/>
      <c r="F15" s="143"/>
      <c r="G15" s="105"/>
      <c r="H15" s="143"/>
    </row>
    <row r="19" spans="1:8">
      <c r="A19" s="151" t="s">
        <v>251</v>
      </c>
      <c r="B19" s="151"/>
      <c r="C19" s="151"/>
      <c r="D19" s="151"/>
      <c r="E19" s="151"/>
      <c r="F19" s="151"/>
      <c r="G19" s="151"/>
      <c r="H19" s="151"/>
    </row>
  </sheetData>
  <mergeCells count="4">
    <mergeCell ref="A1:H1"/>
    <mergeCell ref="A7:H7"/>
    <mergeCell ref="A13:H13"/>
    <mergeCell ref="A19:H19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111" customWidth="1"/>
    <col min="8" max="8" width="2.85546875" style="111" customWidth="1"/>
    <col min="9" max="9" width="22.85546875" style="111" customWidth="1"/>
    <col min="10" max="10" width="2.85546875" style="111" customWidth="1"/>
    <col min="11" max="11" width="22.85546875" style="111" customWidth="1"/>
    <col min="12" max="12" width="2.85546875" style="111" customWidth="1"/>
    <col min="13" max="15" width="22.85546875" style="111" customWidth="1"/>
    <col min="16" max="16" width="2.85546875" style="111" customWidth="1"/>
    <col min="17" max="17" width="22.85546875" style="111" customWidth="1"/>
    <col min="18" max="18" width="2.85546875" customWidth="1"/>
    <col min="19" max="19" width="22.85546875" customWidth="1"/>
    <col min="20" max="20" width="2.85546875" customWidth="1"/>
    <col min="21" max="21" width="22.85546875" style="111" customWidth="1"/>
    <col min="22" max="22" width="4.28515625" customWidth="1"/>
    <col min="23" max="23" width="2.85546875" customWidth="1"/>
  </cols>
  <sheetData>
    <row r="1" spans="2:23" ht="15" customHeight="1">
      <c r="B1" s="9"/>
      <c r="C1" s="9"/>
      <c r="D1" s="9"/>
      <c r="E1" s="9"/>
      <c r="F1" s="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9"/>
      <c r="S1" s="9"/>
      <c r="T1" s="9"/>
      <c r="U1" s="109"/>
      <c r="V1" s="9"/>
      <c r="W1" s="9"/>
    </row>
    <row r="2" spans="2:23" ht="15" customHeight="1">
      <c r="B2" s="1"/>
      <c r="C2" s="2"/>
      <c r="D2" s="2"/>
      <c r="E2" s="2"/>
      <c r="F2" s="2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2"/>
      <c r="S2" s="2"/>
      <c r="T2" s="2"/>
      <c r="U2" s="110"/>
      <c r="V2" s="3"/>
    </row>
    <row r="3" spans="2:23" ht="15" customHeight="1">
      <c r="B3" s="4"/>
      <c r="V3" s="5"/>
    </row>
    <row r="4" spans="2:23" ht="15" customHeight="1">
      <c r="B4" s="4"/>
      <c r="V4" s="5"/>
    </row>
    <row r="5" spans="2:23" ht="15" customHeight="1" thickBot="1">
      <c r="B5" s="4"/>
      <c r="V5" s="5"/>
    </row>
    <row r="6" spans="2:23" ht="15" hidden="1" customHeight="1">
      <c r="B6" s="4"/>
      <c r="V6" s="5"/>
    </row>
    <row r="7" spans="2:23" ht="15" hidden="1" customHeight="1" thickBot="1">
      <c r="B7" s="4"/>
      <c r="V7" s="5"/>
    </row>
    <row r="8" spans="2:23" ht="56.25" customHeight="1" thickBot="1">
      <c r="B8" s="4"/>
      <c r="C8" s="152" t="str">
        <f>'Page de garde'!J13&amp;" : RESULTATS au "&amp;'Page de garde'!J23&amp; " - " &amp;AFFICHAGE!$S$2</f>
        <v xml:space="preserve"> : RESULTATS au 31 décembre 2022 - Comptable</v>
      </c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4"/>
      <c r="V8" s="5"/>
    </row>
    <row r="9" spans="2:23" ht="14.25" customHeight="1">
      <c r="B9" s="4"/>
      <c r="V9" s="5"/>
    </row>
    <row r="10" spans="2:23" ht="15" customHeight="1">
      <c r="B10" s="4"/>
      <c r="C10" s="111"/>
      <c r="V10" s="5"/>
    </row>
    <row r="11" spans="2:23" ht="15" customHeight="1">
      <c r="B11" s="4"/>
      <c r="V11" s="5"/>
    </row>
    <row r="12" spans="2:23" ht="15" customHeight="1">
      <c r="B12" s="4"/>
      <c r="V12" s="5"/>
    </row>
    <row r="13" spans="2:23" ht="18.75">
      <c r="B13" s="4"/>
      <c r="C13" s="112" t="s">
        <v>17</v>
      </c>
      <c r="D13" s="40"/>
      <c r="E13" s="41" t="s">
        <v>184</v>
      </c>
      <c r="F13" s="19"/>
      <c r="G13" s="113"/>
      <c r="H13" s="113"/>
      <c r="I13" s="114"/>
      <c r="J13" s="114"/>
      <c r="K13" s="114"/>
      <c r="L13" s="114"/>
      <c r="M13" s="114"/>
      <c r="N13" s="114"/>
      <c r="O13" s="114"/>
      <c r="P13" s="114"/>
      <c r="Q13" s="114"/>
      <c r="R13" s="19"/>
      <c r="S13" s="19"/>
      <c r="T13" s="20"/>
      <c r="U13" s="114"/>
      <c r="V13" s="5"/>
    </row>
    <row r="14" spans="2:23" ht="15" customHeight="1" thickBot="1">
      <c r="B14" s="4"/>
      <c r="C14" s="19"/>
      <c r="D14" s="19"/>
      <c r="E14" s="19"/>
      <c r="F14" s="19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9"/>
      <c r="S14" s="19"/>
      <c r="T14" s="20"/>
      <c r="U14" s="114"/>
      <c r="V14" s="5"/>
    </row>
    <row r="15" spans="2:23" ht="45" customHeight="1" thickBot="1">
      <c r="B15" s="4"/>
      <c r="C15" s="19"/>
      <c r="D15" s="19"/>
      <c r="E15" s="19"/>
      <c r="F15" s="21"/>
      <c r="G15" s="46" t="s">
        <v>10</v>
      </c>
      <c r="H15" s="115"/>
      <c r="I15" s="46" t="s">
        <v>11</v>
      </c>
      <c r="J15" s="115"/>
      <c r="K15" s="46" t="s">
        <v>12</v>
      </c>
      <c r="L15" s="115"/>
      <c r="M15" s="46" t="s">
        <v>185</v>
      </c>
      <c r="N15" s="46" t="s">
        <v>186</v>
      </c>
      <c r="O15" s="46" t="s">
        <v>187</v>
      </c>
      <c r="P15" s="115"/>
      <c r="Q15" s="46" t="s">
        <v>14</v>
      </c>
      <c r="R15" s="21"/>
      <c r="S15" s="116" t="s">
        <v>188</v>
      </c>
      <c r="T15" s="20"/>
      <c r="U15" s="46" t="s">
        <v>16</v>
      </c>
      <c r="V15" s="5"/>
    </row>
    <row r="16" spans="2:23" ht="22.5" customHeight="1" thickBot="1">
      <c r="B16" s="4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20"/>
      <c r="U16" s="19"/>
      <c r="V16" s="5"/>
    </row>
    <row r="17" spans="2:25" ht="45" customHeight="1" thickBot="1">
      <c r="B17" s="4"/>
      <c r="C17" s="117">
        <v>2022</v>
      </c>
      <c r="D17" s="19"/>
      <c r="E17" s="46" t="s">
        <v>88</v>
      </c>
      <c r="F17" s="19"/>
      <c r="G17" s="118">
        <v>16455.16</v>
      </c>
      <c r="H17" s="115"/>
      <c r="I17" s="118">
        <v>0</v>
      </c>
      <c r="J17" s="115"/>
      <c r="K17" s="118">
        <v>122117.99</v>
      </c>
      <c r="L17" s="115"/>
      <c r="M17" s="119">
        <v>9.1139108213484296E-2</v>
      </c>
      <c r="N17" s="119">
        <v>0</v>
      </c>
      <c r="O17" s="119">
        <v>9.11E-2</v>
      </c>
      <c r="P17" s="115"/>
      <c r="Q17" s="118">
        <v>110988.27</v>
      </c>
      <c r="R17" s="21"/>
      <c r="S17" s="120">
        <v>0.14829999999999999</v>
      </c>
      <c r="T17" s="20"/>
      <c r="U17" s="121">
        <v>94533.11</v>
      </c>
      <c r="V17" s="5"/>
      <c r="X17" s="130"/>
    </row>
    <row r="18" spans="2:25" ht="15" customHeight="1" thickBot="1">
      <c r="B18" s="4"/>
      <c r="C18" s="22"/>
      <c r="D18" s="19"/>
      <c r="E18" s="23"/>
      <c r="F18" s="19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122"/>
      <c r="T18" s="20"/>
      <c r="U18" s="22"/>
      <c r="V18" s="5"/>
      <c r="X18" s="131"/>
    </row>
    <row r="19" spans="2:25" ht="45" customHeight="1" thickBot="1">
      <c r="B19" s="4"/>
      <c r="C19" s="117">
        <v>2022</v>
      </c>
      <c r="D19" s="19"/>
      <c r="E19" s="46" t="s">
        <v>89</v>
      </c>
      <c r="F19" s="19"/>
      <c r="G19" s="118">
        <v>0</v>
      </c>
      <c r="H19" s="115"/>
      <c r="I19" s="118">
        <v>0</v>
      </c>
      <c r="J19" s="115"/>
      <c r="K19" s="118">
        <v>58843.39</v>
      </c>
      <c r="L19" s="115"/>
      <c r="M19" s="119">
        <v>0.155824831994649</v>
      </c>
      <c r="N19" s="119">
        <v>0</v>
      </c>
      <c r="O19" s="119">
        <v>0.15579999999999999</v>
      </c>
      <c r="P19" s="115"/>
      <c r="Q19" s="118">
        <v>49674.12</v>
      </c>
      <c r="R19" s="21"/>
      <c r="S19" s="120">
        <v>0</v>
      </c>
      <c r="T19" s="20"/>
      <c r="U19" s="121">
        <v>49674.12</v>
      </c>
      <c r="V19" s="5"/>
      <c r="X19" s="130"/>
    </row>
    <row r="20" spans="2:25" ht="15" customHeight="1" thickBot="1">
      <c r="B20" s="4"/>
      <c r="C20" s="22"/>
      <c r="D20" s="19"/>
      <c r="E20" s="22"/>
      <c r="F20" s="19"/>
      <c r="G20" s="123"/>
      <c r="H20" s="123"/>
      <c r="I20" s="123"/>
      <c r="J20" s="123"/>
      <c r="K20" s="124"/>
      <c r="L20" s="123"/>
      <c r="M20" s="123"/>
      <c r="N20" s="123"/>
      <c r="O20" s="123"/>
      <c r="P20" s="123"/>
      <c r="Q20" s="124"/>
      <c r="R20" s="125"/>
      <c r="S20" s="126"/>
      <c r="T20" s="20"/>
      <c r="U20" s="124"/>
      <c r="V20" s="5"/>
      <c r="X20" s="54"/>
      <c r="Y20" s="54"/>
    </row>
    <row r="21" spans="2:25" ht="45" customHeight="1" thickBot="1">
      <c r="B21" s="4"/>
      <c r="C21" s="117">
        <v>2022</v>
      </c>
      <c r="D21" s="19"/>
      <c r="E21" s="46" t="s">
        <v>87</v>
      </c>
      <c r="F21" s="19"/>
      <c r="G21" s="118">
        <v>0</v>
      </c>
      <c r="H21" s="115"/>
      <c r="I21" s="118">
        <v>0</v>
      </c>
      <c r="J21" s="115"/>
      <c r="K21" s="118">
        <v>85404.55</v>
      </c>
      <c r="L21" s="115"/>
      <c r="M21" s="119">
        <v>9.9981365893031804E-2</v>
      </c>
      <c r="N21" s="119">
        <v>0</v>
      </c>
      <c r="O21" s="119">
        <v>0.1</v>
      </c>
      <c r="P21" s="115"/>
      <c r="Q21" s="118">
        <v>76865.69</v>
      </c>
      <c r="R21" s="21"/>
      <c r="S21" s="120">
        <v>0</v>
      </c>
      <c r="T21" s="20"/>
      <c r="U21" s="121">
        <v>76865.69</v>
      </c>
      <c r="V21" s="5"/>
      <c r="X21" s="130"/>
    </row>
    <row r="22" spans="2:25" ht="15" customHeight="1" thickBot="1">
      <c r="B22" s="4"/>
      <c r="C22" s="22"/>
      <c r="D22" s="19"/>
      <c r="E22" s="23"/>
      <c r="F22" s="19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122"/>
      <c r="T22" s="20"/>
      <c r="U22" s="22"/>
      <c r="V22" s="5"/>
      <c r="X22" s="131"/>
    </row>
    <row r="23" spans="2:25" ht="45" customHeight="1" thickBot="1">
      <c r="B23" s="4"/>
      <c r="C23" s="117">
        <v>2022</v>
      </c>
      <c r="D23" s="19"/>
      <c r="E23" s="46" t="s">
        <v>48</v>
      </c>
      <c r="F23" s="19"/>
      <c r="G23" s="118">
        <v>16455.16</v>
      </c>
      <c r="H23" s="115"/>
      <c r="I23" s="118">
        <v>0</v>
      </c>
      <c r="J23" s="115"/>
      <c r="K23" s="118">
        <v>266365.93</v>
      </c>
      <c r="L23" s="115"/>
      <c r="M23" s="119">
        <v>0</v>
      </c>
      <c r="N23" s="119">
        <v>0</v>
      </c>
      <c r="O23" s="119">
        <v>0.10829999999999999</v>
      </c>
      <c r="P23" s="115"/>
      <c r="Q23" s="118">
        <v>237528.08</v>
      </c>
      <c r="R23" s="21"/>
      <c r="S23" s="120">
        <v>6.93E-2</v>
      </c>
      <c r="T23" s="20"/>
      <c r="U23" s="121">
        <v>221072.91999999998</v>
      </c>
      <c r="V23" s="5"/>
      <c r="X23" s="130"/>
    </row>
    <row r="24" spans="2:25" ht="15" customHeight="1">
      <c r="B24" s="4"/>
      <c r="C24" s="22"/>
      <c r="D24" s="19"/>
      <c r="E24" s="44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0"/>
      <c r="U24" s="22"/>
      <c r="V24" s="5"/>
    </row>
    <row r="25" spans="2:25" ht="45" customHeight="1">
      <c r="B25" s="4"/>
      <c r="C25" s="22"/>
      <c r="D25" s="19"/>
      <c r="E25" s="44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0"/>
      <c r="U25" s="22"/>
      <c r="V25" s="5"/>
    </row>
    <row r="26" spans="2:25" ht="15" customHeight="1">
      <c r="B26" s="4"/>
      <c r="C26" s="22"/>
      <c r="D26" s="19"/>
      <c r="E26" s="44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0"/>
      <c r="U26" s="22"/>
      <c r="V26" s="5"/>
    </row>
    <row r="27" spans="2:25" ht="15" customHeight="1">
      <c r="B27" s="4"/>
      <c r="C27" s="22"/>
      <c r="D27" s="19"/>
      <c r="E27" s="44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0"/>
      <c r="U27" s="22"/>
      <c r="V27" s="5"/>
    </row>
    <row r="28" spans="2:25" ht="15" customHeight="1">
      <c r="B28" s="4"/>
      <c r="C28" s="22"/>
      <c r="D28" s="19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0"/>
      <c r="U28" s="22"/>
      <c r="V28" s="5"/>
    </row>
    <row r="29" spans="2:25" ht="15" customHeight="1">
      <c r="B29" s="4"/>
      <c r="C29" s="22"/>
      <c r="D29" s="19"/>
      <c r="E29" s="22"/>
      <c r="F29" s="19"/>
      <c r="G29" s="115"/>
      <c r="H29" s="115"/>
      <c r="I29" s="127"/>
      <c r="J29" s="115"/>
      <c r="K29" s="115"/>
      <c r="L29" s="115"/>
      <c r="M29" s="115"/>
      <c r="N29" s="115"/>
      <c r="O29" s="115"/>
      <c r="P29" s="22"/>
      <c r="Q29" s="22"/>
      <c r="R29" s="21"/>
      <c r="S29" s="127"/>
      <c r="T29" s="20"/>
      <c r="U29" s="115"/>
      <c r="V29" s="5"/>
    </row>
    <row r="30" spans="2:25" ht="15" customHeight="1">
      <c r="B30" s="4"/>
      <c r="C30" s="22"/>
      <c r="D30" s="19"/>
      <c r="E30" s="22"/>
      <c r="F30" s="19"/>
      <c r="G30" s="115"/>
      <c r="H30" s="115"/>
      <c r="I30" s="127"/>
      <c r="J30" s="115"/>
      <c r="K30" s="115"/>
      <c r="L30" s="115"/>
      <c r="M30" s="115"/>
      <c r="N30" s="115"/>
      <c r="O30" s="115"/>
      <c r="P30" s="22"/>
      <c r="Q30" s="22"/>
      <c r="R30" s="21"/>
      <c r="S30" s="127"/>
      <c r="T30" s="20"/>
      <c r="U30" s="115"/>
      <c r="V30" s="5"/>
    </row>
    <row r="31" spans="2:25" ht="15" customHeight="1">
      <c r="B31" s="4"/>
      <c r="C31" s="47" t="s">
        <v>19</v>
      </c>
      <c r="D31" s="14"/>
      <c r="E31" s="15"/>
      <c r="F31" s="14"/>
      <c r="G31" s="15"/>
      <c r="H31" s="15"/>
      <c r="I31" s="15"/>
      <c r="J31" s="15"/>
      <c r="K31" s="16"/>
      <c r="L31" s="17"/>
      <c r="M31" s="18"/>
      <c r="N31" s="17"/>
      <c r="O31" s="18"/>
      <c r="P31" s="22"/>
      <c r="Q31" s="22"/>
      <c r="V31" s="5"/>
    </row>
    <row r="32" spans="2:25" ht="15" customHeight="1">
      <c r="B32" s="4"/>
      <c r="C32" s="44"/>
      <c r="D32" s="14"/>
      <c r="E32" s="15"/>
      <c r="F32" s="14"/>
      <c r="G32" s="15"/>
      <c r="H32" s="15"/>
      <c r="I32" s="15"/>
      <c r="J32" s="15"/>
      <c r="K32" s="16"/>
      <c r="L32" s="17"/>
      <c r="M32" s="18"/>
      <c r="N32" s="17"/>
      <c r="O32" s="18"/>
      <c r="P32" s="22"/>
      <c r="Q32" s="22"/>
      <c r="V32" s="5"/>
    </row>
    <row r="33" spans="2:22" ht="15" customHeight="1">
      <c r="B33" s="4"/>
      <c r="C33" s="47" t="s">
        <v>20</v>
      </c>
      <c r="D33" s="14"/>
      <c r="E33" s="15"/>
      <c r="F33" s="14"/>
      <c r="G33" s="15"/>
      <c r="H33" s="15"/>
      <c r="I33" s="15"/>
      <c r="J33" s="15"/>
      <c r="K33" s="16"/>
      <c r="L33" s="17"/>
      <c r="M33" s="18"/>
      <c r="N33" s="17"/>
      <c r="O33" s="18"/>
      <c r="P33" s="22"/>
      <c r="Q33" s="22"/>
      <c r="V33" s="5"/>
    </row>
    <row r="34" spans="2:22" ht="15" customHeight="1">
      <c r="B34" s="4"/>
      <c r="C34" s="47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22"/>
      <c r="Q34" s="22"/>
      <c r="V34" s="5"/>
    </row>
    <row r="35" spans="2:22" ht="15" customHeight="1">
      <c r="B35" s="4"/>
      <c r="C35" s="47" t="s">
        <v>21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22"/>
      <c r="Q35" s="22"/>
      <c r="V35" s="5"/>
    </row>
    <row r="36" spans="2:22" ht="15" customHeight="1">
      <c r="B36" s="4"/>
      <c r="C36" s="22"/>
      <c r="D36" s="19"/>
      <c r="E36" s="19"/>
      <c r="F36" s="19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9"/>
      <c r="S36" s="19"/>
      <c r="T36" s="20"/>
      <c r="U36" s="114"/>
      <c r="V36" s="5"/>
    </row>
    <row r="37" spans="2:22" ht="15" customHeight="1">
      <c r="B37" s="4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28"/>
      <c r="P37" s="114"/>
      <c r="Q37" s="114"/>
      <c r="R37" s="19"/>
      <c r="S37" s="19"/>
      <c r="T37" s="20"/>
      <c r="U37" s="114"/>
      <c r="V37" s="5"/>
    </row>
    <row r="38" spans="2:22" ht="15" customHeight="1">
      <c r="B38" s="6"/>
      <c r="C38" s="7"/>
      <c r="D38" s="7"/>
      <c r="E38" s="7"/>
      <c r="F38" s="7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7"/>
      <c r="S38" s="7"/>
      <c r="T38" s="7"/>
      <c r="U38" s="129"/>
      <c r="V38" s="8"/>
    </row>
    <row r="40" spans="2:22">
      <c r="E40" s="132"/>
    </row>
    <row r="41" spans="2:22">
      <c r="E41" s="132"/>
    </row>
    <row r="42" spans="2:22">
      <c r="E42" s="132"/>
    </row>
    <row r="43" spans="2:22">
      <c r="E43" s="132"/>
    </row>
    <row r="44" spans="2:22">
      <c r="E44" s="132"/>
    </row>
    <row r="45" spans="2:22">
      <c r="E45" s="132"/>
    </row>
    <row r="46" spans="2:22">
      <c r="E46" s="132"/>
    </row>
    <row r="47" spans="2:22">
      <c r="E47" s="132"/>
    </row>
    <row r="48" spans="2:22">
      <c r="E48" s="132"/>
    </row>
  </sheetData>
  <mergeCells count="2"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C5" zoomScale="85" zoomScaleNormal="85" workbookViewId="0">
      <selection activeCell="M16" sqref="M16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Statistiques INCAPACITE au "&amp;'Page de garde'!J23&amp; " - " &amp;AFFICHAGE!$S$2</f>
        <v xml:space="preserve"> : Statistiques INCAPACITE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22</v>
      </c>
      <c r="K11" s="49" t="s">
        <v>23</v>
      </c>
      <c r="Q11" s="5"/>
    </row>
    <row r="12" spans="2:21" ht="13.5" customHeight="1">
      <c r="B12" s="4"/>
      <c r="Q12" s="5"/>
    </row>
    <row r="13" spans="2:21" ht="45">
      <c r="B13" s="4"/>
      <c r="C13" s="51"/>
      <c r="D13" s="51" t="s">
        <v>24</v>
      </c>
      <c r="E13" s="51" t="s">
        <v>25</v>
      </c>
      <c r="F13" s="51" t="s">
        <v>26</v>
      </c>
      <c r="K13" s="51" t="s">
        <v>27</v>
      </c>
      <c r="L13" s="51" t="s">
        <v>24</v>
      </c>
      <c r="M13" s="51" t="s">
        <v>28</v>
      </c>
      <c r="Q13" s="5"/>
    </row>
    <row r="14" spans="2:21" ht="15" customHeight="1">
      <c r="B14" s="4"/>
      <c r="C14" s="58"/>
      <c r="D14" s="59"/>
      <c r="E14" s="60"/>
      <c r="F14" s="70"/>
      <c r="K14" s="58" t="s">
        <v>30</v>
      </c>
      <c r="L14" s="58">
        <v>0</v>
      </c>
      <c r="M14" s="62">
        <v>0</v>
      </c>
      <c r="Q14" s="5"/>
    </row>
    <row r="15" spans="2:21" ht="15" customHeight="1">
      <c r="B15" s="4"/>
      <c r="C15" s="58"/>
      <c r="D15" s="59"/>
      <c r="E15" s="60"/>
      <c r="F15" s="70"/>
      <c r="K15" s="58" t="s">
        <v>32</v>
      </c>
      <c r="L15" s="58">
        <v>0</v>
      </c>
      <c r="M15" s="62">
        <v>0</v>
      </c>
      <c r="Q15" s="5"/>
    </row>
    <row r="16" spans="2:21" ht="15" customHeight="1">
      <c r="B16" s="4"/>
      <c r="C16" s="51" t="s">
        <v>33</v>
      </c>
      <c r="D16" s="51">
        <v>6</v>
      </c>
      <c r="E16" s="61">
        <v>46.83</v>
      </c>
      <c r="F16" s="61">
        <v>62</v>
      </c>
      <c r="K16" s="58" t="s">
        <v>34</v>
      </c>
      <c r="L16" s="58">
        <v>1</v>
      </c>
      <c r="M16" s="62">
        <v>0.16669999999999999</v>
      </c>
      <c r="Q16" s="5"/>
    </row>
    <row r="17" spans="2:17" ht="15" customHeight="1">
      <c r="B17" s="4"/>
      <c r="K17" s="58" t="s">
        <v>35</v>
      </c>
      <c r="L17" s="58">
        <v>1</v>
      </c>
      <c r="M17" s="62">
        <v>0.16669999999999999</v>
      </c>
      <c r="Q17" s="5"/>
    </row>
    <row r="18" spans="2:17" ht="15" customHeight="1">
      <c r="B18" s="4"/>
      <c r="K18" s="58" t="s">
        <v>36</v>
      </c>
      <c r="L18" s="58">
        <v>1</v>
      </c>
      <c r="M18" s="62">
        <v>0.16669999999999999</v>
      </c>
      <c r="Q18" s="5"/>
    </row>
    <row r="19" spans="2:17" ht="15" customHeight="1">
      <c r="B19" s="4"/>
      <c r="K19" s="58" t="s">
        <v>37</v>
      </c>
      <c r="L19" s="58">
        <v>0</v>
      </c>
      <c r="M19" s="62">
        <v>0</v>
      </c>
      <c r="Q19" s="5"/>
    </row>
    <row r="20" spans="2:17" ht="15" customHeight="1">
      <c r="B20" s="4"/>
      <c r="K20" s="58" t="s">
        <v>38</v>
      </c>
      <c r="L20" s="58">
        <v>0</v>
      </c>
      <c r="M20" s="62">
        <v>0</v>
      </c>
      <c r="Q20" s="5"/>
    </row>
    <row r="21" spans="2:17" ht="15" customHeight="1">
      <c r="B21" s="4"/>
      <c r="K21" s="58" t="s">
        <v>39</v>
      </c>
      <c r="L21" s="58">
        <v>3</v>
      </c>
      <c r="M21" s="62">
        <v>0.5</v>
      </c>
      <c r="Q21" s="5"/>
    </row>
    <row r="22" spans="2:17" ht="15" customHeight="1">
      <c r="B22" s="4"/>
      <c r="K22" s="58" t="s">
        <v>40</v>
      </c>
      <c r="L22" s="58">
        <v>0</v>
      </c>
      <c r="M22" s="62">
        <v>0</v>
      </c>
      <c r="Q22" s="5"/>
    </row>
    <row r="23" spans="2:17" ht="15" customHeight="1">
      <c r="B23" s="4"/>
      <c r="K23" s="51" t="s">
        <v>33</v>
      </c>
      <c r="L23" s="51">
        <v>6</v>
      </c>
      <c r="M23" s="63">
        <v>1</v>
      </c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41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24</v>
      </c>
      <c r="E36" s="51" t="s">
        <v>25</v>
      </c>
      <c r="Q36" s="5"/>
    </row>
    <row r="37" spans="2:17" ht="15" customHeight="1">
      <c r="B37" s="4"/>
      <c r="C37" s="64" t="s">
        <v>42</v>
      </c>
      <c r="D37" s="65">
        <v>6</v>
      </c>
      <c r="E37" s="66">
        <v>46.833333333333336</v>
      </c>
      <c r="Q37" s="5"/>
    </row>
    <row r="38" spans="2:17" ht="15" customHeight="1">
      <c r="B38" s="4"/>
      <c r="C38" s="64" t="s">
        <v>33</v>
      </c>
      <c r="D38" s="65">
        <v>6</v>
      </c>
      <c r="E38" s="66">
        <v>46.833333333333336</v>
      </c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C40" s="49"/>
      <c r="D40" s="76"/>
      <c r="E40" s="77"/>
      <c r="Q40" s="5"/>
    </row>
    <row r="41" spans="2:17" ht="15" customHeight="1">
      <c r="B41" s="4"/>
      <c r="C41" s="49"/>
      <c r="D41" s="76"/>
      <c r="E41" s="77"/>
      <c r="Q41" s="5"/>
    </row>
    <row r="42" spans="2:17" ht="15" customHeight="1">
      <c r="B42" s="4"/>
      <c r="C42" s="49"/>
      <c r="D42" s="76"/>
      <c r="E42" s="77"/>
      <c r="Q42" s="5"/>
    </row>
    <row r="43" spans="2:17" ht="15" customHeight="1">
      <c r="B43" s="4"/>
      <c r="C43" s="49"/>
      <c r="D43" s="76"/>
      <c r="E43" s="77"/>
      <c r="Q43" s="5"/>
    </row>
    <row r="44" spans="2:17" ht="15" customHeight="1">
      <c r="B44" s="4"/>
      <c r="C44" s="49"/>
      <c r="D44" s="76"/>
      <c r="E44" s="77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7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7" width="21" customWidth="1"/>
    <col min="8" max="8" width="29.85546875" customWidth="1"/>
    <col min="9" max="9" width="11.7109375" customWidth="1"/>
    <col min="10" max="13" width="2.85546875" customWidth="1"/>
    <col min="14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spans="2:18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</row>
    <row r="3" spans="2:18" ht="15" customHeight="1">
      <c r="B3" s="4"/>
      <c r="Q3" s="5"/>
    </row>
    <row r="4" spans="2:18" ht="15" customHeight="1">
      <c r="B4" s="4"/>
      <c r="Q4" s="5"/>
    </row>
    <row r="5" spans="2:18" ht="15" customHeight="1">
      <c r="B5" s="4"/>
      <c r="Q5" s="5"/>
    </row>
    <row r="6" spans="2:18" ht="15" customHeight="1">
      <c r="B6" s="4"/>
      <c r="Q6" s="5"/>
    </row>
    <row r="7" spans="2:18" ht="15" customHeight="1">
      <c r="B7" s="4"/>
      <c r="Q7" s="5"/>
    </row>
    <row r="8" spans="2:18" ht="67.5" customHeight="1">
      <c r="B8" s="4"/>
      <c r="C8" s="159" t="str">
        <f>'Page de garde'!J13&amp;" : EVOLUTION INCAPACITE au "&amp;'Page de garde'!J23&amp; " - " &amp;AFFICHAGE!$S$2</f>
        <v xml:space="preserve"> : EVOLUTION INCAPACITE au 31 décembre 2022 - Comptable</v>
      </c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1"/>
      <c r="Q8" s="5"/>
    </row>
    <row r="9" spans="2:18" ht="15" customHeight="1">
      <c r="B9" s="4"/>
      <c r="Q9" s="5"/>
    </row>
    <row r="10" spans="2:18" ht="15" customHeight="1">
      <c r="B10" s="4"/>
      <c r="Q10" s="5"/>
    </row>
    <row r="11" spans="2:18" s="27" customFormat="1" ht="15" customHeight="1">
      <c r="B11" s="33"/>
      <c r="C11" s="50" t="s">
        <v>43</v>
      </c>
      <c r="D11" s="50"/>
      <c r="Q11" s="5"/>
    </row>
    <row r="12" spans="2:18" ht="15" customHeight="1">
      <c r="B12" s="4"/>
      <c r="Q12" s="5"/>
    </row>
    <row r="13" spans="2:18" ht="30">
      <c r="B13" s="4"/>
      <c r="C13" s="51" t="s">
        <v>44</v>
      </c>
      <c r="D13" s="71" t="s">
        <v>45</v>
      </c>
      <c r="E13" s="71" t="s">
        <v>46</v>
      </c>
      <c r="F13" s="71" t="s">
        <v>47</v>
      </c>
      <c r="Q13" s="5"/>
    </row>
    <row r="14" spans="2:18" ht="15" customHeight="1">
      <c r="B14" s="4"/>
      <c r="C14" s="72">
        <v>2022</v>
      </c>
      <c r="D14" s="73">
        <v>6</v>
      </c>
      <c r="E14" s="73">
        <v>46.833333333333336</v>
      </c>
      <c r="F14" s="73">
        <v>62</v>
      </c>
      <c r="Q14" s="5"/>
    </row>
    <row r="15" spans="2:18" ht="15" customHeight="1">
      <c r="B15" s="4"/>
      <c r="C15" s="51" t="s">
        <v>48</v>
      </c>
      <c r="D15" s="71">
        <v>6</v>
      </c>
      <c r="E15" s="71">
        <v>46.833333333333336</v>
      </c>
      <c r="F15" s="71">
        <v>62</v>
      </c>
      <c r="Q15" s="5"/>
    </row>
    <row r="16" spans="2:18" ht="15" customHeight="1">
      <c r="B16" s="4"/>
      <c r="Q16" s="5"/>
    </row>
    <row r="17" spans="2:17" ht="15" customHeight="1">
      <c r="B17" s="4"/>
      <c r="Q17" s="5"/>
    </row>
    <row r="18" spans="2:17" s="27" customFormat="1" ht="15" customHeight="1">
      <c r="B18" s="33"/>
      <c r="C18" s="50" t="s">
        <v>49</v>
      </c>
      <c r="D18" s="50"/>
      <c r="Q18" s="5"/>
    </row>
    <row r="19" spans="2:17" ht="15" customHeight="1">
      <c r="B19" s="4"/>
      <c r="Q19" s="5"/>
    </row>
    <row r="20" spans="2:17">
      <c r="B20" s="4"/>
      <c r="C20" s="51" t="s">
        <v>44</v>
      </c>
      <c r="D20" s="51" t="s">
        <v>42</v>
      </c>
      <c r="E20" s="51" t="s">
        <v>48</v>
      </c>
      <c r="Q20" s="5"/>
    </row>
    <row r="21" spans="2:17" ht="15" customHeight="1">
      <c r="B21" s="4"/>
      <c r="C21" s="72">
        <v>2022</v>
      </c>
      <c r="D21" s="73">
        <v>6</v>
      </c>
      <c r="E21" s="73">
        <v>6</v>
      </c>
      <c r="Q21" s="5"/>
    </row>
    <row r="22" spans="2:17" ht="15" customHeight="1">
      <c r="B22" s="4"/>
      <c r="C22" s="51" t="s">
        <v>48</v>
      </c>
      <c r="D22" s="51">
        <v>6</v>
      </c>
      <c r="E22" s="51">
        <v>6</v>
      </c>
      <c r="Q22" s="5"/>
    </row>
    <row r="23" spans="2:17" ht="15" customHeight="1">
      <c r="B23" s="4"/>
      <c r="Q23" s="5"/>
    </row>
    <row r="24" spans="2:17" ht="15" customHeight="1">
      <c r="B24" s="4"/>
      <c r="Q24" s="5"/>
    </row>
    <row r="25" spans="2:17" s="27" customFormat="1" ht="15" customHeight="1">
      <c r="B25" s="33"/>
      <c r="C25" s="50" t="s">
        <v>50</v>
      </c>
      <c r="D25" s="50"/>
      <c r="Q25" s="5"/>
    </row>
    <row r="26" spans="2:17">
      <c r="B26" s="4"/>
      <c r="Q26" s="5"/>
    </row>
    <row r="27" spans="2:17">
      <c r="B27" s="4"/>
      <c r="C27" s="51" t="s">
        <v>44</v>
      </c>
      <c r="D27" s="51" t="s">
        <v>42</v>
      </c>
      <c r="E27" s="51" t="s">
        <v>48</v>
      </c>
      <c r="Q27" s="5"/>
    </row>
    <row r="28" spans="2:17" ht="15" customHeight="1">
      <c r="B28" s="4"/>
      <c r="C28" s="72">
        <v>2022</v>
      </c>
      <c r="D28" s="74">
        <v>16455.16</v>
      </c>
      <c r="E28" s="74">
        <v>16455.16</v>
      </c>
      <c r="Q28" s="5"/>
    </row>
    <row r="29" spans="2:17">
      <c r="B29" s="4"/>
      <c r="C29" s="51" t="s">
        <v>48</v>
      </c>
      <c r="D29" s="75">
        <v>16455.16</v>
      </c>
      <c r="E29" s="75">
        <v>16455.16</v>
      </c>
      <c r="Q29" s="5"/>
    </row>
    <row r="30" spans="2:17">
      <c r="B30" s="4"/>
      <c r="Q30" s="5"/>
    </row>
    <row r="31" spans="2:17">
      <c r="B31" s="4"/>
      <c r="Q31" s="5"/>
    </row>
    <row r="32" spans="2:17">
      <c r="B32" s="4"/>
      <c r="Q32" s="5"/>
    </row>
    <row r="33" spans="2:17">
      <c r="B33" s="4"/>
      <c r="Q33" s="5"/>
    </row>
    <row r="34" spans="2:17">
      <c r="B34" s="4"/>
      <c r="Q34" s="5"/>
    </row>
    <row r="35" spans="2:17">
      <c r="B35" s="4"/>
      <c r="Q35" s="5"/>
    </row>
    <row r="36" spans="2:17">
      <c r="B36" s="4"/>
      <c r="Q36" s="5"/>
    </row>
    <row r="37" spans="2:17">
      <c r="B37" s="4"/>
      <c r="Q37" s="5"/>
    </row>
    <row r="38" spans="2:17">
      <c r="B38" s="4"/>
      <c r="Q38" s="5"/>
    </row>
    <row r="39" spans="2:17">
      <c r="B39" s="4"/>
      <c r="Q39" s="5"/>
    </row>
    <row r="40" spans="2:17">
      <c r="B40" s="4"/>
      <c r="Q40" s="5"/>
    </row>
    <row r="41" spans="2:17">
      <c r="B41" s="4"/>
      <c r="Q41" s="5"/>
    </row>
    <row r="42" spans="2:17">
      <c r="B42" s="4"/>
      <c r="Q42" s="5"/>
    </row>
    <row r="43" spans="2:17">
      <c r="B43" s="4"/>
      <c r="Q43" s="5"/>
    </row>
    <row r="44" spans="2:17" ht="15" customHeight="1">
      <c r="B44" s="4"/>
      <c r="Q44" s="95"/>
    </row>
    <row r="45" spans="2:17" ht="9" customHeight="1">
      <c r="B45" s="4"/>
      <c r="Q45" s="9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94"/>
      <c r="Q46" s="96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1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Liste INCAPACITE au "&amp;'Page de garde'!J23&amp; " - " &amp;AFFICHAGE!$S$2</f>
        <v xml:space="preserve"> : Liste INCAPACITE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45">
      <c r="B12" s="4"/>
      <c r="C12" s="93" t="s">
        <v>51</v>
      </c>
      <c r="D12" s="93" t="s">
        <v>52</v>
      </c>
      <c r="E12" s="93" t="s">
        <v>53</v>
      </c>
      <c r="F12" s="93" t="s">
        <v>54</v>
      </c>
      <c r="G12" s="93" t="s">
        <v>55</v>
      </c>
      <c r="H12" s="93" t="s">
        <v>5</v>
      </c>
      <c r="I12" s="93" t="s">
        <v>56</v>
      </c>
      <c r="J12" s="93" t="s">
        <v>57</v>
      </c>
      <c r="K12" s="93" t="s">
        <v>58</v>
      </c>
      <c r="L12" s="93" t="s">
        <v>59</v>
      </c>
      <c r="M12" s="93" t="s">
        <v>60</v>
      </c>
      <c r="N12" s="93" t="s">
        <v>61</v>
      </c>
      <c r="O12" s="93" t="s">
        <v>62</v>
      </c>
      <c r="Q12" s="5"/>
    </row>
    <row r="13" spans="2:21" ht="15" customHeight="1">
      <c r="B13" s="4"/>
      <c r="C13" s="13" t="s">
        <v>220</v>
      </c>
      <c r="D13" s="55" t="s">
        <v>225</v>
      </c>
      <c r="E13" s="86" t="s">
        <v>242</v>
      </c>
      <c r="F13" s="56" t="s">
        <v>29</v>
      </c>
      <c r="G13" s="56">
        <v>23910</v>
      </c>
      <c r="H13" s="55" t="s">
        <v>6</v>
      </c>
      <c r="I13" s="56" t="s">
        <v>42</v>
      </c>
      <c r="J13" s="56">
        <v>44753</v>
      </c>
      <c r="K13" s="85">
        <v>57</v>
      </c>
      <c r="L13" s="56">
        <v>44867</v>
      </c>
      <c r="M13" s="56"/>
      <c r="N13" s="89">
        <v>0</v>
      </c>
      <c r="O13" s="57">
        <v>7644.9000000000005</v>
      </c>
      <c r="Q13" s="5"/>
    </row>
    <row r="14" spans="2:21" ht="15" customHeight="1">
      <c r="B14" s="4"/>
      <c r="C14" s="13" t="s">
        <v>220</v>
      </c>
      <c r="D14" s="55" t="s">
        <v>236</v>
      </c>
      <c r="E14" s="86" t="s">
        <v>243</v>
      </c>
      <c r="F14" s="56" t="s">
        <v>29</v>
      </c>
      <c r="G14" s="56">
        <v>23953</v>
      </c>
      <c r="H14" s="55" t="s">
        <v>6</v>
      </c>
      <c r="I14" s="56" t="s">
        <v>42</v>
      </c>
      <c r="J14" s="56">
        <v>44673</v>
      </c>
      <c r="K14" s="85">
        <v>57</v>
      </c>
      <c r="L14" s="56">
        <v>44761</v>
      </c>
      <c r="M14" s="56">
        <v>44761</v>
      </c>
      <c r="N14" s="89">
        <v>88</v>
      </c>
      <c r="O14" s="57">
        <v>4663.3600000000006</v>
      </c>
      <c r="Q14" s="5"/>
    </row>
    <row r="15" spans="2:21" ht="15" customHeight="1">
      <c r="B15" s="4"/>
      <c r="C15" s="13" t="s">
        <v>220</v>
      </c>
      <c r="D15" s="55" t="s">
        <v>233</v>
      </c>
      <c r="E15" s="86" t="s">
        <v>244</v>
      </c>
      <c r="F15" s="56" t="s">
        <v>31</v>
      </c>
      <c r="G15" s="56">
        <v>24336</v>
      </c>
      <c r="H15" s="55" t="s">
        <v>63</v>
      </c>
      <c r="I15" s="56" t="s">
        <v>42</v>
      </c>
      <c r="J15" s="56">
        <v>44646</v>
      </c>
      <c r="K15" s="85">
        <v>56</v>
      </c>
      <c r="L15" s="56">
        <v>44849</v>
      </c>
      <c r="M15" s="56">
        <v>44849</v>
      </c>
      <c r="N15" s="89">
        <v>203</v>
      </c>
      <c r="O15" s="57">
        <v>1873.9800000000002</v>
      </c>
      <c r="Q15" s="5"/>
    </row>
    <row r="16" spans="2:21" ht="15" customHeight="1">
      <c r="B16" s="4"/>
      <c r="C16" s="13" t="s">
        <v>220</v>
      </c>
      <c r="D16" s="55" t="s">
        <v>228</v>
      </c>
      <c r="E16" s="86" t="s">
        <v>245</v>
      </c>
      <c r="F16" s="56" t="s">
        <v>29</v>
      </c>
      <c r="G16" s="56">
        <v>33088</v>
      </c>
      <c r="H16" s="55" t="s">
        <v>6</v>
      </c>
      <c r="I16" s="56" t="s">
        <v>42</v>
      </c>
      <c r="J16" s="56">
        <v>44711</v>
      </c>
      <c r="K16" s="85">
        <v>32</v>
      </c>
      <c r="L16" s="56">
        <v>44742</v>
      </c>
      <c r="M16" s="56">
        <v>44742</v>
      </c>
      <c r="N16" s="89">
        <v>31</v>
      </c>
      <c r="O16" s="57">
        <v>124.92</v>
      </c>
      <c r="Q16" s="5"/>
    </row>
    <row r="17" spans="2:17" ht="15" customHeight="1">
      <c r="B17" s="4"/>
      <c r="C17" s="13" t="s">
        <v>220</v>
      </c>
      <c r="D17" s="55" t="s">
        <v>231</v>
      </c>
      <c r="E17" s="86" t="s">
        <v>246</v>
      </c>
      <c r="F17" s="56" t="s">
        <v>29</v>
      </c>
      <c r="G17" s="56">
        <v>31707</v>
      </c>
      <c r="H17" s="55" t="s">
        <v>6</v>
      </c>
      <c r="I17" s="56" t="s">
        <v>42</v>
      </c>
      <c r="J17" s="56">
        <v>44804</v>
      </c>
      <c r="K17" s="85">
        <v>36</v>
      </c>
      <c r="L17" s="56">
        <v>44860</v>
      </c>
      <c r="M17" s="56"/>
      <c r="N17" s="89">
        <v>0</v>
      </c>
      <c r="O17" s="57">
        <v>1238.49</v>
      </c>
      <c r="Q17" s="5"/>
    </row>
    <row r="18" spans="2:17" ht="15" customHeight="1">
      <c r="B18" s="4"/>
      <c r="C18" s="13" t="s">
        <v>220</v>
      </c>
      <c r="D18" s="55" t="s">
        <v>238</v>
      </c>
      <c r="E18" s="86" t="s">
        <v>247</v>
      </c>
      <c r="F18" s="56" t="s">
        <v>29</v>
      </c>
      <c r="G18" s="56">
        <v>29075</v>
      </c>
      <c r="H18" s="55" t="s">
        <v>6</v>
      </c>
      <c r="I18" s="56" t="s">
        <v>42</v>
      </c>
      <c r="J18" s="56">
        <v>44697</v>
      </c>
      <c r="K18" s="85">
        <v>43</v>
      </c>
      <c r="L18" s="56">
        <v>44747</v>
      </c>
      <c r="M18" s="56">
        <v>44747</v>
      </c>
      <c r="N18" s="89">
        <v>50</v>
      </c>
      <c r="O18" s="57">
        <v>909.51</v>
      </c>
      <c r="Q18" s="5"/>
    </row>
    <row r="19" spans="2:17" ht="15" customHeight="1">
      <c r="B19" s="4"/>
      <c r="C19" s="162"/>
      <c r="D19" s="163"/>
      <c r="E19" s="164"/>
      <c r="F19" s="165"/>
      <c r="G19" s="165"/>
      <c r="H19" s="163"/>
      <c r="I19" s="165"/>
      <c r="J19" s="165"/>
      <c r="K19" s="166"/>
      <c r="L19" s="165"/>
      <c r="M19" s="165"/>
      <c r="N19" s="167"/>
      <c r="O19" s="168"/>
      <c r="Q19" s="5"/>
    </row>
    <row r="20" spans="2:17" ht="15" customHeight="1">
      <c r="B20" s="4"/>
      <c r="C20" s="162"/>
      <c r="D20" s="163"/>
      <c r="E20" s="164"/>
      <c r="F20" s="165"/>
      <c r="G20" s="165"/>
      <c r="H20" s="163"/>
      <c r="I20" s="165"/>
      <c r="J20" s="165"/>
      <c r="K20" s="166"/>
      <c r="L20" s="165"/>
      <c r="M20" s="165"/>
      <c r="N20" s="167"/>
      <c r="O20" s="168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2:17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2:17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2:17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2:17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2:17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2:17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2:17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2:17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2:17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2:17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2:17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2:17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2:17" ht="15" customHeight="1">
      <c r="B77" s="4"/>
      <c r="E77" s="87"/>
      <c r="F77" s="83"/>
      <c r="G77" s="83"/>
      <c r="I77" s="83"/>
      <c r="J77" s="83"/>
      <c r="K77" s="88"/>
      <c r="L77" s="83"/>
      <c r="M77" s="83"/>
      <c r="N77" s="90"/>
      <c r="O77" s="84"/>
      <c r="Q77" s="5"/>
    </row>
    <row r="78" spans="2:17" ht="15" customHeight="1">
      <c r="B78" s="4"/>
      <c r="E78" s="87"/>
      <c r="F78" s="83"/>
      <c r="G78" s="83"/>
      <c r="I78" s="83"/>
      <c r="J78" s="83"/>
      <c r="K78" s="88"/>
      <c r="L78" s="83"/>
      <c r="M78" s="83"/>
      <c r="N78" s="90"/>
      <c r="O78" s="84"/>
      <c r="Q78" s="5"/>
    </row>
    <row r="79" spans="2:17" ht="15" customHeight="1">
      <c r="B79" s="4"/>
      <c r="E79" s="87"/>
      <c r="F79" s="83"/>
      <c r="G79" s="83"/>
      <c r="I79" s="83"/>
      <c r="J79" s="83"/>
      <c r="K79" s="88"/>
      <c r="L79" s="83"/>
      <c r="M79" s="83"/>
      <c r="N79" s="90"/>
      <c r="O79" s="84"/>
      <c r="Q79" s="5"/>
    </row>
    <row r="80" spans="2:17" ht="15" customHeight="1">
      <c r="B80" s="4"/>
      <c r="E80" s="87"/>
      <c r="F80" s="83"/>
      <c r="G80" s="83"/>
      <c r="I80" s="83"/>
      <c r="J80" s="83"/>
      <c r="K80" s="88"/>
      <c r="L80" s="83"/>
      <c r="M80" s="83"/>
      <c r="N80" s="90"/>
      <c r="O80" s="84"/>
      <c r="Q80" s="5"/>
    </row>
    <row r="81" spans="2:17" ht="15" customHeight="1">
      <c r="B81" s="4"/>
      <c r="E81" s="87"/>
      <c r="F81" s="83"/>
      <c r="G81" s="83"/>
      <c r="I81" s="83"/>
      <c r="J81" s="83"/>
      <c r="K81" s="88"/>
      <c r="L81" s="83"/>
      <c r="M81" s="83"/>
      <c r="N81" s="90"/>
      <c r="O81" s="84"/>
      <c r="Q81" s="5"/>
    </row>
    <row r="82" spans="2:17" ht="15" customHeight="1">
      <c r="B82" s="4"/>
      <c r="E82" s="87"/>
      <c r="F82" s="83"/>
      <c r="G82" s="83"/>
      <c r="I82" s="83"/>
      <c r="J82" s="83"/>
      <c r="K82" s="88"/>
      <c r="L82" s="83"/>
      <c r="M82" s="83"/>
      <c r="N82" s="90"/>
      <c r="O82" s="84"/>
      <c r="Q82" s="5"/>
    </row>
    <row r="83" spans="2:17" ht="15" customHeight="1">
      <c r="B83" s="4"/>
      <c r="E83" s="87"/>
      <c r="F83" s="83"/>
      <c r="G83" s="83"/>
      <c r="I83" s="83"/>
      <c r="J83" s="83"/>
      <c r="K83" s="88"/>
      <c r="L83" s="83"/>
      <c r="M83" s="83"/>
      <c r="N83" s="90"/>
      <c r="O83" s="84"/>
      <c r="Q83" s="5"/>
    </row>
    <row r="84" spans="2:17" ht="15" customHeight="1">
      <c r="B84" s="4"/>
      <c r="E84" s="87"/>
      <c r="F84" s="83"/>
      <c r="G84" s="83"/>
      <c r="I84" s="83"/>
      <c r="J84" s="83"/>
      <c r="K84" s="88"/>
      <c r="L84" s="83"/>
      <c r="M84" s="83"/>
      <c r="N84" s="90"/>
      <c r="O84" s="84"/>
      <c r="Q84" s="5"/>
    </row>
    <row r="85" spans="2:17" ht="15" customHeight="1">
      <c r="B85" s="4"/>
      <c r="E85" s="87"/>
      <c r="F85" s="83"/>
      <c r="G85" s="83"/>
      <c r="I85" s="83"/>
      <c r="J85" s="83"/>
      <c r="K85" s="88"/>
      <c r="L85" s="83"/>
      <c r="M85" s="83"/>
      <c r="N85" s="90"/>
      <c r="O85" s="84"/>
      <c r="Q85" s="5"/>
    </row>
    <row r="86" spans="2:17" ht="15" customHeight="1">
      <c r="B86" s="4"/>
      <c r="E86" s="87"/>
      <c r="F86" s="83"/>
      <c r="G86" s="83"/>
      <c r="I86" s="83"/>
      <c r="J86" s="83"/>
      <c r="K86" s="88"/>
      <c r="L86" s="83"/>
      <c r="M86" s="83"/>
      <c r="N86" s="90"/>
      <c r="O86" s="84"/>
      <c r="Q86" s="5"/>
    </row>
    <row r="87" spans="2:17" ht="15" customHeight="1">
      <c r="B87" s="4"/>
      <c r="E87" s="87"/>
      <c r="F87" s="83"/>
      <c r="G87" s="83"/>
      <c r="I87" s="83"/>
      <c r="J87" s="83"/>
      <c r="K87" s="88"/>
      <c r="L87" s="83"/>
      <c r="M87" s="83"/>
      <c r="N87" s="90"/>
      <c r="O87" s="84"/>
      <c r="Q87" s="5"/>
    </row>
    <row r="88" spans="2:17" ht="15" customHeight="1">
      <c r="B88" s="4"/>
      <c r="E88" s="87"/>
      <c r="F88" s="83"/>
      <c r="G88" s="83"/>
      <c r="I88" s="83"/>
      <c r="J88" s="83"/>
      <c r="K88" s="88"/>
      <c r="L88" s="83"/>
      <c r="M88" s="83"/>
      <c r="N88" s="90"/>
      <c r="O88" s="84"/>
      <c r="Q88" s="5"/>
    </row>
    <row r="89" spans="2:17" ht="15" customHeight="1">
      <c r="B89" s="4"/>
      <c r="E89" s="87"/>
      <c r="F89" s="83"/>
      <c r="G89" s="83"/>
      <c r="I89" s="83"/>
      <c r="J89" s="83"/>
      <c r="K89" s="88"/>
      <c r="L89" s="83"/>
      <c r="M89" s="83"/>
      <c r="N89" s="90"/>
      <c r="O89" s="84"/>
      <c r="Q89" s="5"/>
    </row>
    <row r="90" spans="2:17" ht="15" customHeight="1">
      <c r="B90" s="4"/>
      <c r="E90" s="87"/>
      <c r="F90" s="83"/>
      <c r="G90" s="83"/>
      <c r="I90" s="83"/>
      <c r="J90" s="83"/>
      <c r="K90" s="88"/>
      <c r="L90" s="83"/>
      <c r="M90" s="83"/>
      <c r="N90" s="90"/>
      <c r="O90" s="84"/>
      <c r="Q90" s="5"/>
    </row>
    <row r="91" spans="2:17" ht="15" customHeight="1">
      <c r="B91" s="4"/>
      <c r="E91" s="87"/>
      <c r="F91" s="83"/>
      <c r="G91" s="83"/>
      <c r="I91" s="83"/>
      <c r="J91" s="83"/>
      <c r="K91" s="88"/>
      <c r="L91" s="83"/>
      <c r="M91" s="83"/>
      <c r="N91" s="90"/>
      <c r="O91" s="84"/>
      <c r="Q91" s="5"/>
    </row>
    <row r="92" spans="2:17" ht="15" customHeight="1">
      <c r="B92" s="4"/>
      <c r="E92" s="87"/>
      <c r="F92" s="83"/>
      <c r="G92" s="83"/>
      <c r="I92" s="83"/>
      <c r="J92" s="83"/>
      <c r="K92" s="88"/>
      <c r="L92" s="83"/>
      <c r="M92" s="83"/>
      <c r="N92" s="90"/>
      <c r="O92" s="84"/>
      <c r="Q92" s="5"/>
    </row>
    <row r="93" spans="2:17" ht="15" customHeight="1">
      <c r="B93" s="4"/>
      <c r="E93" s="87"/>
      <c r="F93" s="83"/>
      <c r="G93" s="83"/>
      <c r="I93" s="83"/>
      <c r="J93" s="83"/>
      <c r="K93" s="88"/>
      <c r="L93" s="83"/>
      <c r="M93" s="83"/>
      <c r="N93" s="90"/>
      <c r="O93" s="84"/>
      <c r="Q93" s="5"/>
    </row>
    <row r="94" spans="2:17" ht="15" customHeight="1">
      <c r="B94" s="4"/>
      <c r="E94" s="87"/>
      <c r="F94" s="83"/>
      <c r="G94" s="83"/>
      <c r="I94" s="83"/>
      <c r="J94" s="83"/>
      <c r="K94" s="88"/>
      <c r="L94" s="83"/>
      <c r="M94" s="83"/>
      <c r="N94" s="90"/>
      <c r="O94" s="84"/>
      <c r="Q94" s="5"/>
    </row>
    <row r="95" spans="2:17" ht="15" customHeight="1">
      <c r="B95" s="4"/>
      <c r="E95" s="87"/>
      <c r="F95" s="83"/>
      <c r="G95" s="83"/>
      <c r="I95" s="83"/>
      <c r="J95" s="83"/>
      <c r="K95" s="88"/>
      <c r="L95" s="83"/>
      <c r="M95" s="83"/>
      <c r="N95" s="90"/>
      <c r="O95" s="84"/>
      <c r="Q95" s="5"/>
    </row>
    <row r="96" spans="2:17" ht="15" customHeight="1">
      <c r="B96" s="4"/>
      <c r="E96" s="87"/>
      <c r="F96" s="83"/>
      <c r="G96" s="83"/>
      <c r="I96" s="83"/>
      <c r="J96" s="83"/>
      <c r="K96" s="88"/>
      <c r="L96" s="83"/>
      <c r="M96" s="83"/>
      <c r="N96" s="90"/>
      <c r="O96" s="84"/>
      <c r="Q96" s="5"/>
    </row>
    <row r="97" spans="2:17" ht="15" customHeight="1">
      <c r="B97" s="4"/>
      <c r="E97" s="87"/>
      <c r="F97" s="83"/>
      <c r="G97" s="83"/>
      <c r="I97" s="83"/>
      <c r="J97" s="83"/>
      <c r="K97" s="88"/>
      <c r="L97" s="83"/>
      <c r="M97" s="83"/>
      <c r="N97" s="90"/>
      <c r="O97" s="84"/>
      <c r="Q97" s="5"/>
    </row>
    <row r="98" spans="2:17" ht="15" customHeight="1">
      <c r="B98" s="4"/>
      <c r="E98" s="87"/>
      <c r="F98" s="83"/>
      <c r="G98" s="83"/>
      <c r="I98" s="83"/>
      <c r="J98" s="83"/>
      <c r="K98" s="88"/>
      <c r="L98" s="83"/>
      <c r="M98" s="83"/>
      <c r="N98" s="90"/>
      <c r="O98" s="84"/>
      <c r="Q98" s="5"/>
    </row>
    <row r="99" spans="2:17" ht="15" customHeight="1">
      <c r="B99" s="4"/>
      <c r="E99" s="87"/>
      <c r="F99" s="83"/>
      <c r="G99" s="83"/>
      <c r="I99" s="83"/>
      <c r="J99" s="83"/>
      <c r="K99" s="88"/>
      <c r="L99" s="83"/>
      <c r="M99" s="83"/>
      <c r="N99" s="90"/>
      <c r="O99" s="84"/>
      <c r="Q99" s="5"/>
    </row>
    <row r="100" spans="2:17" ht="15" customHeight="1">
      <c r="B100" s="4"/>
      <c r="E100" s="87"/>
      <c r="F100" s="83"/>
      <c r="G100" s="83"/>
      <c r="I100" s="83"/>
      <c r="J100" s="83"/>
      <c r="K100" s="88"/>
      <c r="L100" s="83"/>
      <c r="M100" s="83"/>
      <c r="N100" s="90"/>
      <c r="O100" s="84"/>
      <c r="Q100" s="5"/>
    </row>
    <row r="101" spans="2:17" ht="15" customHeight="1">
      <c r="B101" s="4"/>
      <c r="E101" s="87"/>
      <c r="F101" s="83"/>
      <c r="G101" s="83"/>
      <c r="I101" s="83"/>
      <c r="J101" s="83"/>
      <c r="K101" s="88"/>
      <c r="L101" s="83"/>
      <c r="M101" s="83"/>
      <c r="N101" s="90"/>
      <c r="O101" s="84"/>
      <c r="Q101" s="5"/>
    </row>
    <row r="102" spans="2:17" ht="15" customHeight="1">
      <c r="B102" s="4"/>
      <c r="E102" s="87"/>
      <c r="F102" s="83"/>
      <c r="G102" s="83"/>
      <c r="I102" s="83"/>
      <c r="J102" s="83"/>
      <c r="K102" s="88"/>
      <c r="L102" s="83"/>
      <c r="M102" s="83"/>
      <c r="N102" s="90"/>
      <c r="O102" s="84"/>
      <c r="Q102" s="5"/>
    </row>
    <row r="103" spans="2:17" ht="15" customHeight="1">
      <c r="B103" s="4"/>
      <c r="E103" s="87"/>
      <c r="F103" s="83"/>
      <c r="G103" s="83"/>
      <c r="I103" s="83"/>
      <c r="J103" s="83"/>
      <c r="K103" s="88"/>
      <c r="L103" s="83"/>
      <c r="M103" s="83"/>
      <c r="N103" s="90"/>
      <c r="O103" s="84"/>
      <c r="Q103" s="5"/>
    </row>
    <row r="104" spans="2:17" ht="15" customHeight="1">
      <c r="B104" s="4"/>
      <c r="E104" s="87"/>
      <c r="F104" s="83"/>
      <c r="G104" s="83"/>
      <c r="I104" s="83"/>
      <c r="J104" s="83"/>
      <c r="K104" s="88"/>
      <c r="L104" s="83"/>
      <c r="M104" s="83"/>
      <c r="N104" s="90"/>
      <c r="O104" s="84"/>
      <c r="Q104" s="5"/>
    </row>
    <row r="105" spans="2:17" ht="15" customHeight="1">
      <c r="B105" s="4"/>
      <c r="E105" s="87"/>
      <c r="F105" s="83"/>
      <c r="G105" s="83"/>
      <c r="I105" s="83"/>
      <c r="J105" s="83"/>
      <c r="K105" s="88"/>
      <c r="L105" s="83"/>
      <c r="M105" s="83"/>
      <c r="N105" s="90"/>
      <c r="O105" s="84"/>
      <c r="Q105" s="5"/>
    </row>
    <row r="106" spans="2:17" ht="15" customHeight="1">
      <c r="B106" s="4"/>
      <c r="E106" s="87"/>
      <c r="F106" s="83"/>
      <c r="G106" s="83"/>
      <c r="I106" s="83"/>
      <c r="J106" s="83"/>
      <c r="K106" s="88"/>
      <c r="L106" s="83"/>
      <c r="M106" s="83"/>
      <c r="N106" s="90"/>
      <c r="O106" s="84"/>
      <c r="Q106" s="5"/>
    </row>
    <row r="107" spans="2:17" ht="15" customHeight="1">
      <c r="B107" s="4"/>
      <c r="E107" s="87"/>
      <c r="F107" s="83"/>
      <c r="G107" s="83"/>
      <c r="I107" s="83"/>
      <c r="J107" s="83"/>
      <c r="K107" s="88"/>
      <c r="L107" s="83"/>
      <c r="M107" s="83"/>
      <c r="N107" s="90"/>
      <c r="O107" s="84"/>
      <c r="Q107" s="5"/>
    </row>
    <row r="108" spans="2:17" ht="15" customHeight="1">
      <c r="B108" s="4"/>
      <c r="E108" s="87"/>
      <c r="F108" s="83"/>
      <c r="G108" s="83"/>
      <c r="I108" s="83"/>
      <c r="J108" s="83"/>
      <c r="K108" s="88"/>
      <c r="L108" s="83"/>
      <c r="M108" s="83"/>
      <c r="N108" s="90"/>
      <c r="O108" s="84"/>
      <c r="Q108" s="5"/>
    </row>
    <row r="109" spans="2:17" ht="15" customHeight="1">
      <c r="B109" s="4"/>
      <c r="E109" s="87"/>
      <c r="F109" s="83"/>
      <c r="G109" s="83"/>
      <c r="I109" s="83"/>
      <c r="J109" s="83"/>
      <c r="K109" s="88"/>
      <c r="L109" s="83"/>
      <c r="M109" s="83"/>
      <c r="N109" s="90"/>
      <c r="O109" s="84"/>
      <c r="Q109" s="5"/>
    </row>
    <row r="110" spans="2:17" ht="15" customHeight="1">
      <c r="B110" s="4"/>
      <c r="E110" s="87"/>
      <c r="F110" s="83"/>
      <c r="G110" s="83"/>
      <c r="I110" s="83"/>
      <c r="J110" s="83"/>
      <c r="K110" s="88"/>
      <c r="L110" s="83"/>
      <c r="M110" s="83"/>
      <c r="N110" s="90"/>
      <c r="O110" s="84"/>
      <c r="Q110" s="5"/>
    </row>
    <row r="111" spans="2:17" ht="15" customHeight="1">
      <c r="B111" s="4"/>
      <c r="E111" s="87"/>
      <c r="F111" s="83"/>
      <c r="G111" s="83"/>
      <c r="I111" s="83"/>
      <c r="J111" s="83"/>
      <c r="K111" s="88"/>
      <c r="L111" s="83"/>
      <c r="M111" s="83"/>
      <c r="N111" s="90"/>
      <c r="O111" s="84"/>
      <c r="Q111" s="5"/>
    </row>
    <row r="112" spans="2:17" ht="15" customHeight="1">
      <c r="B112" s="4"/>
      <c r="E112" s="87"/>
      <c r="F112" s="83"/>
      <c r="G112" s="83"/>
      <c r="I112" s="83"/>
      <c r="J112" s="83"/>
      <c r="K112" s="88"/>
      <c r="L112" s="83"/>
      <c r="M112" s="83"/>
      <c r="N112" s="90"/>
      <c r="O112" s="84"/>
      <c r="Q112" s="5"/>
    </row>
    <row r="113" spans="1:21" ht="15" customHeight="1">
      <c r="B113" s="4"/>
      <c r="E113" s="87"/>
      <c r="F113" s="83"/>
      <c r="G113" s="83"/>
      <c r="I113" s="83"/>
      <c r="J113" s="83"/>
      <c r="K113" s="88"/>
      <c r="L113" s="83"/>
      <c r="M113" s="83"/>
      <c r="N113" s="90"/>
      <c r="O113" s="84"/>
      <c r="Q113" s="5"/>
    </row>
    <row r="114" spans="1:21">
      <c r="B114" s="4"/>
      <c r="Q114" s="5"/>
    </row>
    <row r="115" spans="1:21">
      <c r="A115" s="81"/>
      <c r="B115" s="82"/>
      <c r="D115" s="80"/>
      <c r="P115" s="7"/>
      <c r="Q115" s="8"/>
    </row>
    <row r="116" spans="1:21" ht="15" customHeight="1">
      <c r="C116" s="2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2"/>
      <c r="Q116" s="2"/>
      <c r="U116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7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4" width="13.140625" customWidth="1"/>
    <col min="5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Statistiques INVALIDITE au "&amp;'Page de garde'!J23&amp; " - " &amp;AFFICHAGE!$S$2</f>
        <v xml:space="preserve"> : Statistiques INVALIDITE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22</v>
      </c>
      <c r="K11" s="49" t="s">
        <v>64</v>
      </c>
      <c r="Q11" s="5"/>
    </row>
    <row r="12" spans="2:21" ht="13.5" customHeight="1">
      <c r="B12" s="4"/>
      <c r="Q12" s="5"/>
    </row>
    <row r="13" spans="2:21" ht="45">
      <c r="B13" s="4"/>
      <c r="C13" s="51"/>
      <c r="D13" s="51" t="s">
        <v>65</v>
      </c>
      <c r="E13" s="51" t="s">
        <v>66</v>
      </c>
      <c r="F13" s="51" t="s">
        <v>67</v>
      </c>
      <c r="K13" s="51" t="s">
        <v>27</v>
      </c>
      <c r="L13" s="51" t="s">
        <v>24</v>
      </c>
      <c r="M13" s="51" t="s">
        <v>28</v>
      </c>
      <c r="Q13" s="5"/>
    </row>
    <row r="14" spans="2:21" ht="15" customHeight="1">
      <c r="B14" s="4"/>
      <c r="C14" s="58"/>
      <c r="D14" s="59"/>
      <c r="E14" s="60"/>
      <c r="F14" s="60"/>
      <c r="K14" s="58" t="s">
        <v>30</v>
      </c>
      <c r="L14" s="58">
        <v>0</v>
      </c>
      <c r="M14" s="62"/>
      <c r="Q14" s="5"/>
    </row>
    <row r="15" spans="2:21" ht="15" customHeight="1">
      <c r="B15" s="4"/>
      <c r="C15" s="58"/>
      <c r="D15" s="59"/>
      <c r="E15" s="60"/>
      <c r="F15" s="60"/>
      <c r="K15" s="58" t="s">
        <v>32</v>
      </c>
      <c r="L15" s="58">
        <v>0</v>
      </c>
      <c r="M15" s="62"/>
      <c r="Q15" s="5"/>
    </row>
    <row r="16" spans="2:21" ht="15" customHeight="1">
      <c r="B16" s="4"/>
      <c r="C16" s="51" t="s">
        <v>33</v>
      </c>
      <c r="D16" s="51">
        <v>0</v>
      </c>
      <c r="E16" s="61"/>
      <c r="F16" s="61"/>
      <c r="K16" s="58" t="s">
        <v>34</v>
      </c>
      <c r="L16" s="58">
        <v>0</v>
      </c>
      <c r="M16" s="62"/>
      <c r="Q16" s="5"/>
    </row>
    <row r="17" spans="2:17" ht="15" customHeight="1">
      <c r="B17" s="4"/>
      <c r="K17" s="58" t="s">
        <v>35</v>
      </c>
      <c r="L17" s="58">
        <v>0</v>
      </c>
      <c r="M17" s="62"/>
      <c r="Q17" s="5"/>
    </row>
    <row r="18" spans="2:17" ht="15" customHeight="1">
      <c r="B18" s="4"/>
      <c r="K18" s="58" t="s">
        <v>36</v>
      </c>
      <c r="L18" s="58">
        <v>0</v>
      </c>
      <c r="M18" s="62"/>
      <c r="Q18" s="5"/>
    </row>
    <row r="19" spans="2:17" ht="15" customHeight="1">
      <c r="B19" s="4"/>
      <c r="K19" s="58" t="s">
        <v>37</v>
      </c>
      <c r="L19" s="58">
        <v>0</v>
      </c>
      <c r="M19" s="62"/>
      <c r="Q19" s="5"/>
    </row>
    <row r="20" spans="2:17" ht="15" customHeight="1">
      <c r="B20" s="4"/>
      <c r="K20" s="58" t="s">
        <v>38</v>
      </c>
      <c r="L20" s="58">
        <v>0</v>
      </c>
      <c r="M20" s="62"/>
      <c r="Q20" s="5"/>
    </row>
    <row r="21" spans="2:17" ht="15" customHeight="1">
      <c r="B21" s="4"/>
      <c r="K21" s="58" t="s">
        <v>39</v>
      </c>
      <c r="L21" s="58">
        <v>0</v>
      </c>
      <c r="M21" s="62"/>
      <c r="Q21" s="5"/>
    </row>
    <row r="22" spans="2:17" ht="15" customHeight="1">
      <c r="B22" s="4"/>
      <c r="K22" s="58" t="s">
        <v>40</v>
      </c>
      <c r="L22" s="58">
        <v>0</v>
      </c>
      <c r="M22" s="62"/>
      <c r="Q22" s="5"/>
    </row>
    <row r="23" spans="2:17" ht="15" customHeight="1">
      <c r="B23" s="4"/>
      <c r="K23" s="51" t="s">
        <v>33</v>
      </c>
      <c r="L23" s="51">
        <v>0</v>
      </c>
      <c r="M23" s="63"/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41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24</v>
      </c>
      <c r="E36" s="51" t="s">
        <v>25</v>
      </c>
      <c r="Q36" s="5"/>
    </row>
    <row r="37" spans="2:17" ht="15" customHeight="1">
      <c r="B37" s="4"/>
      <c r="C37" s="64"/>
      <c r="D37" s="65">
        <v>0</v>
      </c>
      <c r="E37" s="66"/>
      <c r="Q37" s="5"/>
    </row>
    <row r="38" spans="2:17" ht="15" customHeight="1">
      <c r="B38" s="4"/>
      <c r="C38" s="64" t="s">
        <v>33</v>
      </c>
      <c r="D38" s="65">
        <v>0</v>
      </c>
      <c r="E38" s="66"/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Q40" s="5"/>
    </row>
    <row r="41" spans="2:17" ht="15" customHeight="1">
      <c r="B41" s="4"/>
      <c r="Q41" s="5"/>
    </row>
    <row r="42" spans="2:17" ht="15" customHeight="1">
      <c r="B42" s="4"/>
      <c r="Q42" s="5"/>
    </row>
    <row r="43" spans="2:17" ht="15" customHeight="1">
      <c r="B43" s="4"/>
      <c r="Q43" s="5"/>
    </row>
    <row r="44" spans="2:17" ht="15" customHeight="1">
      <c r="B44" s="4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LISTE INVALIDITE au "&amp;'Page de garde'!J23&amp; " - " &amp;AFFICHAGE!$S$2</f>
        <v xml:space="preserve"> : LISTE INVALIDITE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45">
      <c r="B12" s="4"/>
      <c r="C12" s="51" t="s">
        <v>51</v>
      </c>
      <c r="D12" s="51" t="s">
        <v>52</v>
      </c>
      <c r="E12" s="51" t="s">
        <v>53</v>
      </c>
      <c r="F12" s="51" t="s">
        <v>54</v>
      </c>
      <c r="G12" s="51" t="s">
        <v>55</v>
      </c>
      <c r="H12" s="51" t="s">
        <v>5</v>
      </c>
      <c r="I12" s="51" t="s">
        <v>56</v>
      </c>
      <c r="J12" s="51" t="s">
        <v>57</v>
      </c>
      <c r="K12" s="51" t="s">
        <v>58</v>
      </c>
      <c r="L12" s="51" t="s">
        <v>59</v>
      </c>
      <c r="M12" s="51" t="s">
        <v>60</v>
      </c>
      <c r="N12" s="51" t="s">
        <v>61</v>
      </c>
      <c r="O12" s="51" t="s">
        <v>62</v>
      </c>
      <c r="Q12" s="5"/>
    </row>
    <row r="13" spans="2:21" ht="15" customHeight="1">
      <c r="B13" s="4"/>
      <c r="C13" s="13"/>
      <c r="D13" s="55"/>
      <c r="E13" s="86"/>
      <c r="F13" s="56"/>
      <c r="G13" s="56"/>
      <c r="H13" s="55"/>
      <c r="I13" s="56"/>
      <c r="J13" s="56"/>
      <c r="K13" s="85"/>
      <c r="L13" s="56"/>
      <c r="M13" s="56"/>
      <c r="N13" s="89"/>
      <c r="O13" s="57"/>
      <c r="Q13" s="5"/>
    </row>
    <row r="14" spans="2:21" ht="15" customHeight="1">
      <c r="B14" s="4"/>
      <c r="E14" s="87"/>
      <c r="F14" s="83"/>
      <c r="G14" s="83"/>
      <c r="I14" s="83"/>
      <c r="J14" s="83"/>
      <c r="K14" s="88"/>
      <c r="L14" s="83"/>
      <c r="M14" s="83"/>
      <c r="N14" s="90"/>
      <c r="O14" s="84"/>
      <c r="Q14" s="5"/>
    </row>
    <row r="15" spans="2:21" ht="15" customHeight="1">
      <c r="B15" s="4"/>
      <c r="E15" s="87"/>
      <c r="F15" s="83"/>
      <c r="G15" s="83"/>
      <c r="I15" s="83"/>
      <c r="J15" s="83"/>
      <c r="K15" s="88"/>
      <c r="L15" s="83"/>
      <c r="M15" s="83"/>
      <c r="N15" s="90"/>
      <c r="O15" s="84"/>
      <c r="Q15" s="5"/>
    </row>
    <row r="16" spans="2:21" ht="15" customHeight="1">
      <c r="B16" s="4"/>
      <c r="E16" s="87"/>
      <c r="F16" s="83"/>
      <c r="G16" s="83"/>
      <c r="I16" s="83"/>
      <c r="J16" s="83"/>
      <c r="K16" s="88"/>
      <c r="L16" s="83"/>
      <c r="M16" s="83"/>
      <c r="N16" s="90"/>
      <c r="O16" s="84"/>
      <c r="Q16" s="5"/>
    </row>
    <row r="17" spans="2:17" ht="15" customHeight="1">
      <c r="B17" s="4"/>
      <c r="E17" s="87"/>
      <c r="F17" s="83"/>
      <c r="G17" s="83"/>
      <c r="I17" s="83"/>
      <c r="J17" s="83"/>
      <c r="K17" s="88"/>
      <c r="L17" s="83"/>
      <c r="M17" s="83"/>
      <c r="N17" s="90"/>
      <c r="O17" s="84"/>
      <c r="Q17" s="5"/>
    </row>
    <row r="18" spans="2:17" ht="15" customHeight="1">
      <c r="B18" s="4"/>
      <c r="E18" s="87"/>
      <c r="F18" s="83"/>
      <c r="G18" s="83"/>
      <c r="I18" s="83"/>
      <c r="J18" s="83"/>
      <c r="K18" s="88"/>
      <c r="L18" s="83"/>
      <c r="M18" s="83"/>
      <c r="N18" s="90"/>
      <c r="O18" s="84"/>
      <c r="Q18" s="5"/>
    </row>
    <row r="19" spans="2:17" ht="15" customHeight="1">
      <c r="B19" s="4"/>
      <c r="E19" s="87"/>
      <c r="F19" s="83"/>
      <c r="G19" s="83"/>
      <c r="I19" s="83"/>
      <c r="J19" s="83"/>
      <c r="K19" s="88"/>
      <c r="L19" s="83"/>
      <c r="M19" s="83"/>
      <c r="N19" s="90"/>
      <c r="O19" s="84"/>
      <c r="Q19" s="5"/>
    </row>
    <row r="20" spans="2:17" ht="15" customHeight="1">
      <c r="B20" s="4"/>
      <c r="E20" s="87"/>
      <c r="F20" s="83"/>
      <c r="G20" s="83"/>
      <c r="I20" s="83"/>
      <c r="J20" s="83"/>
      <c r="K20" s="88"/>
      <c r="L20" s="83"/>
      <c r="M20" s="83"/>
      <c r="N20" s="90"/>
      <c r="O20" s="84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1:21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1:21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1:21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1:21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1:21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1:21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1:21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1:21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1:21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1:21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1:21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1:21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1:21" ht="15" customHeight="1">
      <c r="B77" s="4"/>
      <c r="E77" s="87"/>
      <c r="F77" s="83"/>
      <c r="G77" s="83"/>
      <c r="I77" s="83"/>
      <c r="J77" s="83"/>
      <c r="K77" s="88"/>
      <c r="L77" s="83"/>
      <c r="M77" s="83"/>
      <c r="N77" s="90"/>
      <c r="O77" s="84"/>
      <c r="Q77" s="5"/>
    </row>
    <row r="78" spans="1:21">
      <c r="A78" s="81"/>
      <c r="B78" s="82"/>
      <c r="D78" s="80"/>
      <c r="P78" s="7"/>
      <c r="Q78" s="8"/>
    </row>
    <row r="79" spans="1:21" ht="15" customHeight="1">
      <c r="C79" s="2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2"/>
      <c r="Q79" s="2"/>
      <c r="U79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7"/>
  <sheetViews>
    <sheetView showGridLines="0" zoomScale="85" zoomScaleNormal="85" workbookViewId="0">
      <selection activeCell="J40" sqref="J40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8.7109375" customWidth="1"/>
    <col min="4" max="9" width="11.42578125" customWidth="1"/>
    <col min="10" max="10" width="20" customWidth="1"/>
    <col min="11" max="11" width="34.28515625" customWidth="1"/>
    <col min="12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21" ht="15" customHeight="1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Statistiques DECES au "&amp;'Page de garde'!J23&amp; " - " &amp;AFFICHAGE!$S$2</f>
        <v xml:space="preserve"> : Statistiques DECES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4.2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C11" s="48" t="s">
        <v>22</v>
      </c>
      <c r="K11" s="49" t="s">
        <v>68</v>
      </c>
      <c r="Q11" s="5"/>
    </row>
    <row r="12" spans="2:21" ht="13.5" customHeight="1">
      <c r="B12" s="4"/>
      <c r="Q12" s="5"/>
    </row>
    <row r="13" spans="2:21" ht="45">
      <c r="B13" s="4"/>
      <c r="C13" s="51"/>
      <c r="D13" s="51" t="s">
        <v>69</v>
      </c>
      <c r="E13" s="51" t="s">
        <v>66</v>
      </c>
      <c r="F13" s="67"/>
      <c r="K13" s="51" t="s">
        <v>27</v>
      </c>
      <c r="L13" s="51" t="s">
        <v>70</v>
      </c>
      <c r="M13" s="51" t="s">
        <v>71</v>
      </c>
      <c r="Q13" s="5"/>
    </row>
    <row r="14" spans="2:21" ht="15" customHeight="1">
      <c r="B14" s="4"/>
      <c r="C14" s="58"/>
      <c r="D14" s="59"/>
      <c r="E14" s="60"/>
      <c r="F14" s="68"/>
      <c r="K14" s="58" t="s">
        <v>30</v>
      </c>
      <c r="L14" s="58">
        <v>0</v>
      </c>
      <c r="M14" s="62"/>
      <c r="Q14" s="5"/>
    </row>
    <row r="15" spans="2:21" ht="15" customHeight="1">
      <c r="B15" s="4"/>
      <c r="C15" s="58"/>
      <c r="D15" s="59"/>
      <c r="E15" s="60"/>
      <c r="F15" s="68"/>
      <c r="K15" s="58" t="s">
        <v>32</v>
      </c>
      <c r="L15" s="58">
        <v>0</v>
      </c>
      <c r="M15" s="62"/>
      <c r="Q15" s="5"/>
    </row>
    <row r="16" spans="2:21" ht="15" customHeight="1">
      <c r="B16" s="4"/>
      <c r="C16" s="51" t="s">
        <v>33</v>
      </c>
      <c r="D16" s="51">
        <v>0</v>
      </c>
      <c r="E16" s="61"/>
      <c r="F16" s="69"/>
      <c r="K16" s="58" t="s">
        <v>34</v>
      </c>
      <c r="L16" s="58">
        <v>0</v>
      </c>
      <c r="M16" s="62"/>
      <c r="Q16" s="5"/>
    </row>
    <row r="17" spans="2:17" ht="15" customHeight="1">
      <c r="B17" s="4"/>
      <c r="K17" s="58" t="s">
        <v>35</v>
      </c>
      <c r="L17" s="58">
        <v>0</v>
      </c>
      <c r="M17" s="62"/>
      <c r="Q17" s="5"/>
    </row>
    <row r="18" spans="2:17" ht="15" customHeight="1">
      <c r="B18" s="4"/>
      <c r="K18" s="58" t="s">
        <v>36</v>
      </c>
      <c r="L18" s="58">
        <v>0</v>
      </c>
      <c r="M18" s="62"/>
      <c r="Q18" s="5"/>
    </row>
    <row r="19" spans="2:17" ht="15" customHeight="1">
      <c r="B19" s="4"/>
      <c r="K19" s="58" t="s">
        <v>37</v>
      </c>
      <c r="L19" s="58">
        <v>0</v>
      </c>
      <c r="M19" s="62"/>
      <c r="Q19" s="5"/>
    </row>
    <row r="20" spans="2:17" ht="15" customHeight="1">
      <c r="B20" s="4"/>
      <c r="K20" s="58" t="s">
        <v>38</v>
      </c>
      <c r="L20" s="58">
        <v>0</v>
      </c>
      <c r="M20" s="62"/>
      <c r="Q20" s="5"/>
    </row>
    <row r="21" spans="2:17" ht="15" customHeight="1">
      <c r="B21" s="4"/>
      <c r="K21" s="58" t="s">
        <v>39</v>
      </c>
      <c r="L21" s="58">
        <v>0</v>
      </c>
      <c r="M21" s="62"/>
      <c r="Q21" s="5"/>
    </row>
    <row r="22" spans="2:17" ht="15" customHeight="1">
      <c r="B22" s="4"/>
      <c r="K22" s="58" t="s">
        <v>40</v>
      </c>
      <c r="L22" s="58">
        <v>0</v>
      </c>
      <c r="M22" s="62"/>
      <c r="Q22" s="5"/>
    </row>
    <row r="23" spans="2:17" ht="15" customHeight="1">
      <c r="B23" s="4"/>
      <c r="K23" s="51" t="s">
        <v>33</v>
      </c>
      <c r="L23" s="51">
        <v>0</v>
      </c>
      <c r="M23" s="63"/>
      <c r="Q23" s="5"/>
    </row>
    <row r="24" spans="2:17" ht="15" customHeight="1">
      <c r="B24" s="4"/>
      <c r="Q24" s="5"/>
    </row>
    <row r="25" spans="2:17" ht="15" customHeight="1">
      <c r="B25" s="4"/>
      <c r="Q25" s="5"/>
    </row>
    <row r="26" spans="2:17" ht="15" customHeight="1">
      <c r="B26" s="4"/>
      <c r="Q26" s="5"/>
    </row>
    <row r="27" spans="2:17" ht="15" customHeight="1">
      <c r="B27" s="4"/>
      <c r="Q27" s="5"/>
    </row>
    <row r="28" spans="2:17" ht="15" customHeight="1">
      <c r="B28" s="4"/>
      <c r="Q28" s="5"/>
    </row>
    <row r="29" spans="2:17" ht="15" customHeight="1">
      <c r="B29" s="4"/>
      <c r="Q29" s="5"/>
    </row>
    <row r="30" spans="2:17">
      <c r="B30" s="4"/>
      <c r="Q30" s="5"/>
    </row>
    <row r="31" spans="2:17" ht="12" customHeight="1">
      <c r="B31" s="4"/>
      <c r="Q31" s="5"/>
    </row>
    <row r="32" spans="2:17" ht="15" customHeight="1">
      <c r="B32" s="4"/>
      <c r="Q32" s="5"/>
    </row>
    <row r="33" spans="2:17" ht="15" customHeight="1">
      <c r="B33" s="4"/>
      <c r="Q33" s="5"/>
    </row>
    <row r="34" spans="2:17" ht="15" customHeight="1">
      <c r="B34" s="4"/>
      <c r="C34" s="10" t="s">
        <v>72</v>
      </c>
      <c r="Q34" s="5"/>
    </row>
    <row r="35" spans="2:17" ht="15" customHeight="1">
      <c r="B35" s="4"/>
      <c r="Q35" s="5"/>
    </row>
    <row r="36" spans="2:17" ht="15" customHeight="1">
      <c r="B36" s="4"/>
      <c r="C36" s="10"/>
      <c r="D36" s="51" t="s">
        <v>24</v>
      </c>
      <c r="E36" s="51" t="s">
        <v>25</v>
      </c>
      <c r="Q36" s="5"/>
    </row>
    <row r="37" spans="2:17" ht="15" customHeight="1">
      <c r="B37" s="4"/>
      <c r="C37" s="64"/>
      <c r="D37" s="65">
        <v>0</v>
      </c>
      <c r="E37" s="66"/>
      <c r="Q37" s="5"/>
    </row>
    <row r="38" spans="2:17" ht="15" customHeight="1">
      <c r="B38" s="4"/>
      <c r="C38" s="64" t="s">
        <v>33</v>
      </c>
      <c r="D38" s="65">
        <v>0</v>
      </c>
      <c r="E38" s="66"/>
      <c r="Q38" s="5"/>
    </row>
    <row r="39" spans="2:17" ht="15" customHeight="1">
      <c r="B39" s="4"/>
      <c r="C39" s="49"/>
      <c r="D39" s="76"/>
      <c r="E39" s="77"/>
      <c r="Q39" s="5"/>
    </row>
    <row r="40" spans="2:17" ht="15" customHeight="1">
      <c r="B40" s="4"/>
      <c r="C40" s="49"/>
      <c r="D40" s="76"/>
      <c r="E40" s="77"/>
      <c r="Q40" s="5"/>
    </row>
    <row r="41" spans="2:17" ht="15" customHeight="1">
      <c r="B41" s="4"/>
      <c r="C41" s="49"/>
      <c r="D41" s="76"/>
      <c r="E41" s="77"/>
      <c r="Q41" s="5"/>
    </row>
    <row r="42" spans="2:17" ht="15" customHeight="1">
      <c r="B42" s="4"/>
      <c r="Q42" s="5"/>
    </row>
    <row r="43" spans="2:17" ht="15" customHeight="1">
      <c r="B43" s="4"/>
      <c r="Q43" s="5"/>
    </row>
    <row r="44" spans="2:17" ht="15" customHeight="1">
      <c r="B44" s="4"/>
      <c r="Q44" s="5"/>
    </row>
    <row r="45" spans="2:17" ht="15" customHeight="1">
      <c r="B45" s="4"/>
      <c r="Q45" s="5"/>
    </row>
    <row r="46" spans="2:17" ht="15" customHeight="1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8"/>
    </row>
    <row r="47" spans="2:17" ht="15" customHeight="1"/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style="9" customWidth="1"/>
    <col min="2" max="2" width="4.28515625" customWidth="1"/>
    <col min="3" max="3" width="21.42578125" customWidth="1"/>
    <col min="4" max="4" width="12" style="54" customWidth="1"/>
    <col min="5" max="5" width="24.85546875" style="54" bestFit="1" customWidth="1"/>
    <col min="6" max="6" width="8.28515625" style="54" bestFit="1" customWidth="1"/>
    <col min="7" max="7" width="13.5703125" style="54" customWidth="1"/>
    <col min="8" max="8" width="10.28515625" style="54" bestFit="1" customWidth="1"/>
    <col min="9" max="9" width="19.7109375" style="54" customWidth="1"/>
    <col min="10" max="10" width="10.7109375" style="54" bestFit="1" customWidth="1"/>
    <col min="11" max="11" width="11.85546875" style="54" bestFit="1" customWidth="1"/>
    <col min="12" max="13" width="15" style="54" customWidth="1"/>
    <col min="14" max="14" width="12.5703125" style="54" bestFit="1" customWidth="1"/>
    <col min="15" max="15" width="15" style="54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7" width="11.42578125" customWidth="1"/>
  </cols>
  <sheetData>
    <row r="1" spans="2:21" ht="15" customHeight="1">
      <c r="B1" s="9">
        <v>2</v>
      </c>
      <c r="C1" s="9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9"/>
      <c r="Q1" s="9"/>
      <c r="R1" s="9"/>
    </row>
    <row r="2" spans="2:21" ht="15" customHeight="1">
      <c r="B2" s="1"/>
      <c r="C2" s="2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2"/>
      <c r="Q2" s="3"/>
      <c r="U2" s="11"/>
    </row>
    <row r="3" spans="2:21" ht="15" customHeight="1">
      <c r="B3" s="4"/>
      <c r="Q3" s="5"/>
    </row>
    <row r="4" spans="2:21" ht="15" customHeight="1">
      <c r="B4" s="4"/>
      <c r="Q4" s="5"/>
    </row>
    <row r="5" spans="2:21" ht="15" customHeight="1">
      <c r="B5" s="4"/>
      <c r="Q5" s="5"/>
    </row>
    <row r="6" spans="2:21" ht="15" customHeight="1">
      <c r="B6" s="4"/>
      <c r="Q6" s="5"/>
    </row>
    <row r="7" spans="2:21" ht="15" customHeight="1">
      <c r="B7" s="4"/>
      <c r="Q7" s="5"/>
    </row>
    <row r="8" spans="2:21" ht="67.5" customHeight="1">
      <c r="B8" s="4"/>
      <c r="C8" s="156" t="str">
        <f>'Page de garde'!J13&amp;" : LISTE DECES au "&amp;'Page de garde'!J23&amp; " - " &amp;AFFICHAGE!$S$2</f>
        <v xml:space="preserve"> : LISTE DECES au 31 décembre 2022 - Comptable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8"/>
      <c r="Q8" s="5"/>
    </row>
    <row r="9" spans="2:21" ht="15" customHeight="1">
      <c r="B9" s="4"/>
      <c r="Q9" s="5"/>
    </row>
    <row r="10" spans="2:21" ht="15" customHeight="1">
      <c r="B10" s="4"/>
      <c r="Q10" s="5"/>
    </row>
    <row r="11" spans="2:21" ht="15" customHeight="1">
      <c r="B11" s="4"/>
      <c r="Q11" s="5"/>
    </row>
    <row r="12" spans="2:21" ht="30">
      <c r="B12" s="4"/>
      <c r="C12" s="51" t="s">
        <v>51</v>
      </c>
      <c r="D12" s="51" t="s">
        <v>52</v>
      </c>
      <c r="E12" s="51" t="s">
        <v>53</v>
      </c>
      <c r="F12" s="51" t="s">
        <v>54</v>
      </c>
      <c r="G12" s="51" t="s">
        <v>55</v>
      </c>
      <c r="H12" s="51" t="s">
        <v>5</v>
      </c>
      <c r="I12" s="51" t="s">
        <v>56</v>
      </c>
      <c r="J12" s="51" t="s">
        <v>76</v>
      </c>
      <c r="K12" s="51" t="s">
        <v>77</v>
      </c>
      <c r="L12" s="51" t="s">
        <v>59</v>
      </c>
      <c r="M12" s="51" t="s">
        <v>60</v>
      </c>
      <c r="N12" s="51"/>
      <c r="O12" s="51" t="s">
        <v>78</v>
      </c>
      <c r="Q12" s="5"/>
    </row>
    <row r="13" spans="2:21" ht="15" customHeight="1">
      <c r="B13" s="4"/>
      <c r="C13" s="13"/>
      <c r="D13" s="55"/>
      <c r="E13" s="86"/>
      <c r="F13" s="56"/>
      <c r="G13" s="56"/>
      <c r="H13" s="55"/>
      <c r="I13" s="56"/>
      <c r="J13" s="56"/>
      <c r="K13" s="85"/>
      <c r="L13" s="56"/>
      <c r="M13" s="56"/>
      <c r="N13" s="89"/>
      <c r="O13" s="57"/>
      <c r="Q13" s="5"/>
    </row>
    <row r="14" spans="2:21" ht="15" customHeight="1">
      <c r="B14" s="4"/>
      <c r="E14" s="87"/>
      <c r="F14" s="83"/>
      <c r="G14" s="83"/>
      <c r="I14" s="83"/>
      <c r="J14" s="83"/>
      <c r="K14" s="88"/>
      <c r="L14" s="83"/>
      <c r="M14" s="83"/>
      <c r="N14" s="90"/>
      <c r="O14" s="84"/>
      <c r="Q14" s="5"/>
    </row>
    <row r="15" spans="2:21" ht="15" customHeight="1">
      <c r="B15" s="4"/>
      <c r="E15" s="87"/>
      <c r="F15" s="83"/>
      <c r="G15" s="83"/>
      <c r="I15" s="83"/>
      <c r="J15" s="83"/>
      <c r="K15" s="88"/>
      <c r="L15" s="83"/>
      <c r="M15" s="83"/>
      <c r="N15" s="90"/>
      <c r="O15" s="84"/>
      <c r="Q15" s="5"/>
    </row>
    <row r="16" spans="2:21" ht="15" customHeight="1">
      <c r="B16" s="4"/>
      <c r="E16" s="87"/>
      <c r="F16" s="83"/>
      <c r="G16" s="83"/>
      <c r="I16" s="83"/>
      <c r="J16" s="83"/>
      <c r="K16" s="88"/>
      <c r="L16" s="83"/>
      <c r="M16" s="83"/>
      <c r="N16" s="90"/>
      <c r="O16" s="84"/>
      <c r="Q16" s="5"/>
    </row>
    <row r="17" spans="2:17" ht="15" customHeight="1">
      <c r="B17" s="4"/>
      <c r="E17" s="87"/>
      <c r="F17" s="83"/>
      <c r="G17" s="83"/>
      <c r="I17" s="83"/>
      <c r="J17" s="83"/>
      <c r="K17" s="88"/>
      <c r="L17" s="83"/>
      <c r="M17" s="83"/>
      <c r="N17" s="90"/>
      <c r="O17" s="84"/>
      <c r="Q17" s="5"/>
    </row>
    <row r="18" spans="2:17" ht="15" customHeight="1">
      <c r="B18" s="4"/>
      <c r="E18" s="87"/>
      <c r="F18" s="83"/>
      <c r="G18" s="83"/>
      <c r="I18" s="83"/>
      <c r="J18" s="83"/>
      <c r="K18" s="88"/>
      <c r="L18" s="83"/>
      <c r="M18" s="83"/>
      <c r="N18" s="90"/>
      <c r="O18" s="84"/>
      <c r="Q18" s="5"/>
    </row>
    <row r="19" spans="2:17" ht="15" customHeight="1">
      <c r="B19" s="4"/>
      <c r="E19" s="87"/>
      <c r="F19" s="83"/>
      <c r="G19" s="83"/>
      <c r="I19" s="83"/>
      <c r="J19" s="83"/>
      <c r="K19" s="88"/>
      <c r="L19" s="83"/>
      <c r="M19" s="83"/>
      <c r="N19" s="90"/>
      <c r="O19" s="84"/>
      <c r="Q19" s="5"/>
    </row>
    <row r="20" spans="2:17" ht="15" customHeight="1">
      <c r="B20" s="4"/>
      <c r="E20" s="87"/>
      <c r="F20" s="83"/>
      <c r="G20" s="83"/>
      <c r="I20" s="83"/>
      <c r="J20" s="83"/>
      <c r="K20" s="88"/>
      <c r="L20" s="83"/>
      <c r="M20" s="83"/>
      <c r="N20" s="90"/>
      <c r="O20" s="84"/>
      <c r="Q20" s="5"/>
    </row>
    <row r="21" spans="2:17" ht="15" customHeight="1">
      <c r="B21" s="4"/>
      <c r="E21" s="87"/>
      <c r="F21" s="83"/>
      <c r="G21" s="83"/>
      <c r="I21" s="83"/>
      <c r="J21" s="83"/>
      <c r="K21" s="88"/>
      <c r="L21" s="83"/>
      <c r="M21" s="83"/>
      <c r="N21" s="90"/>
      <c r="O21" s="84"/>
      <c r="Q21" s="5"/>
    </row>
    <row r="22" spans="2:17" ht="15" customHeight="1">
      <c r="B22" s="4"/>
      <c r="E22" s="87"/>
      <c r="F22" s="83"/>
      <c r="G22" s="83"/>
      <c r="I22" s="83"/>
      <c r="J22" s="83"/>
      <c r="K22" s="88"/>
      <c r="L22" s="83"/>
      <c r="M22" s="83"/>
      <c r="N22" s="90"/>
      <c r="O22" s="84"/>
      <c r="Q22" s="5"/>
    </row>
    <row r="23" spans="2:17" ht="15" customHeight="1">
      <c r="B23" s="4"/>
      <c r="E23" s="87"/>
      <c r="F23" s="83"/>
      <c r="G23" s="83"/>
      <c r="I23" s="83"/>
      <c r="J23" s="83"/>
      <c r="K23" s="88"/>
      <c r="L23" s="83"/>
      <c r="M23" s="83"/>
      <c r="N23" s="90"/>
      <c r="O23" s="84"/>
      <c r="Q23" s="5"/>
    </row>
    <row r="24" spans="2:17" ht="15" customHeight="1">
      <c r="B24" s="4"/>
      <c r="E24" s="87"/>
      <c r="F24" s="83"/>
      <c r="G24" s="83"/>
      <c r="I24" s="83"/>
      <c r="J24" s="83"/>
      <c r="K24" s="88"/>
      <c r="L24" s="83"/>
      <c r="M24" s="83"/>
      <c r="N24" s="90"/>
      <c r="O24" s="84"/>
      <c r="Q24" s="5"/>
    </row>
    <row r="25" spans="2:17" ht="15" customHeight="1">
      <c r="B25" s="4"/>
      <c r="E25" s="87"/>
      <c r="F25" s="83"/>
      <c r="G25" s="83"/>
      <c r="I25" s="83"/>
      <c r="J25" s="83"/>
      <c r="K25" s="88"/>
      <c r="L25" s="83"/>
      <c r="M25" s="83"/>
      <c r="N25" s="90"/>
      <c r="O25" s="84"/>
      <c r="Q25" s="5"/>
    </row>
    <row r="26" spans="2:17" ht="15" customHeight="1">
      <c r="B26" s="4"/>
      <c r="E26" s="87"/>
      <c r="F26" s="83"/>
      <c r="G26" s="83"/>
      <c r="I26" s="83"/>
      <c r="J26" s="83"/>
      <c r="K26" s="88"/>
      <c r="L26" s="83"/>
      <c r="M26" s="83"/>
      <c r="N26" s="90"/>
      <c r="O26" s="84"/>
      <c r="Q26" s="5"/>
    </row>
    <row r="27" spans="2:17" ht="15" customHeight="1">
      <c r="B27" s="4"/>
      <c r="E27" s="87"/>
      <c r="F27" s="83"/>
      <c r="G27" s="83"/>
      <c r="I27" s="83"/>
      <c r="J27" s="83"/>
      <c r="K27" s="88"/>
      <c r="L27" s="83"/>
      <c r="M27" s="83"/>
      <c r="N27" s="90"/>
      <c r="O27" s="84"/>
      <c r="Q27" s="5"/>
    </row>
    <row r="28" spans="2:17" ht="15" customHeight="1">
      <c r="B28" s="4"/>
      <c r="E28" s="87"/>
      <c r="F28" s="83"/>
      <c r="G28" s="83"/>
      <c r="I28" s="83"/>
      <c r="J28" s="83"/>
      <c r="K28" s="88"/>
      <c r="L28" s="83"/>
      <c r="M28" s="83"/>
      <c r="N28" s="90"/>
      <c r="O28" s="84"/>
      <c r="Q28" s="5"/>
    </row>
    <row r="29" spans="2:17" ht="15" customHeight="1">
      <c r="B29" s="4"/>
      <c r="E29" s="87"/>
      <c r="F29" s="83"/>
      <c r="G29" s="83"/>
      <c r="I29" s="83"/>
      <c r="J29" s="83"/>
      <c r="K29" s="88"/>
      <c r="L29" s="83"/>
      <c r="M29" s="83"/>
      <c r="N29" s="90"/>
      <c r="O29" s="84"/>
      <c r="Q29" s="5"/>
    </row>
    <row r="30" spans="2:17" ht="15" customHeight="1">
      <c r="B30" s="4"/>
      <c r="E30" s="87"/>
      <c r="F30" s="83"/>
      <c r="G30" s="83"/>
      <c r="I30" s="83"/>
      <c r="J30" s="83"/>
      <c r="K30" s="88"/>
      <c r="L30" s="83"/>
      <c r="M30" s="83"/>
      <c r="N30" s="90"/>
      <c r="O30" s="84"/>
      <c r="Q30" s="5"/>
    </row>
    <row r="31" spans="2:17" ht="15" customHeight="1">
      <c r="B31" s="4"/>
      <c r="E31" s="87"/>
      <c r="F31" s="83"/>
      <c r="G31" s="83"/>
      <c r="I31" s="83"/>
      <c r="J31" s="83"/>
      <c r="K31" s="88"/>
      <c r="L31" s="83"/>
      <c r="M31" s="83"/>
      <c r="N31" s="90"/>
      <c r="O31" s="84"/>
      <c r="Q31" s="5"/>
    </row>
    <row r="32" spans="2:17" ht="15" customHeight="1">
      <c r="B32" s="4"/>
      <c r="E32" s="87"/>
      <c r="F32" s="83"/>
      <c r="G32" s="83"/>
      <c r="I32" s="83"/>
      <c r="J32" s="83"/>
      <c r="K32" s="88"/>
      <c r="L32" s="83"/>
      <c r="M32" s="83"/>
      <c r="N32" s="90"/>
      <c r="O32" s="84"/>
      <c r="Q32" s="5"/>
    </row>
    <row r="33" spans="2:17" ht="15" customHeight="1">
      <c r="B33" s="4"/>
      <c r="E33" s="87"/>
      <c r="F33" s="83"/>
      <c r="G33" s="83"/>
      <c r="I33" s="83"/>
      <c r="J33" s="83"/>
      <c r="K33" s="88"/>
      <c r="L33" s="83"/>
      <c r="M33" s="83"/>
      <c r="N33" s="90"/>
      <c r="O33" s="84"/>
      <c r="Q33" s="5"/>
    </row>
    <row r="34" spans="2:17" ht="15" customHeight="1">
      <c r="B34" s="4"/>
      <c r="E34" s="87"/>
      <c r="F34" s="83"/>
      <c r="G34" s="83"/>
      <c r="I34" s="83"/>
      <c r="J34" s="83"/>
      <c r="K34" s="88"/>
      <c r="L34" s="83"/>
      <c r="M34" s="83"/>
      <c r="N34" s="90"/>
      <c r="O34" s="84"/>
      <c r="Q34" s="5"/>
    </row>
    <row r="35" spans="2:17" ht="15" customHeight="1">
      <c r="B35" s="4"/>
      <c r="E35" s="87"/>
      <c r="F35" s="83"/>
      <c r="G35" s="83"/>
      <c r="I35" s="83"/>
      <c r="J35" s="83"/>
      <c r="K35" s="88"/>
      <c r="L35" s="83"/>
      <c r="M35" s="83"/>
      <c r="N35" s="90"/>
      <c r="O35" s="84"/>
      <c r="Q35" s="5"/>
    </row>
    <row r="36" spans="2:17" ht="15" customHeight="1">
      <c r="B36" s="4"/>
      <c r="E36" s="87"/>
      <c r="F36" s="83"/>
      <c r="G36" s="83"/>
      <c r="I36" s="83"/>
      <c r="J36" s="83"/>
      <c r="K36" s="88"/>
      <c r="L36" s="83"/>
      <c r="M36" s="83"/>
      <c r="N36" s="90"/>
      <c r="O36" s="84"/>
      <c r="Q36" s="5"/>
    </row>
    <row r="37" spans="2:17" ht="15" customHeight="1">
      <c r="B37" s="4"/>
      <c r="E37" s="87"/>
      <c r="F37" s="83"/>
      <c r="G37" s="83"/>
      <c r="I37" s="83"/>
      <c r="J37" s="83"/>
      <c r="K37" s="88"/>
      <c r="L37" s="83"/>
      <c r="M37" s="83"/>
      <c r="N37" s="90"/>
      <c r="O37" s="84"/>
      <c r="Q37" s="5"/>
    </row>
    <row r="38" spans="2:17" ht="15" customHeight="1">
      <c r="B38" s="4"/>
      <c r="E38" s="87"/>
      <c r="F38" s="83"/>
      <c r="G38" s="83"/>
      <c r="I38" s="83"/>
      <c r="J38" s="83"/>
      <c r="K38" s="88"/>
      <c r="L38" s="83"/>
      <c r="M38" s="83"/>
      <c r="N38" s="90"/>
      <c r="O38" s="84"/>
      <c r="Q38" s="5"/>
    </row>
    <row r="39" spans="2:17" ht="15" customHeight="1">
      <c r="B39" s="4"/>
      <c r="E39" s="87"/>
      <c r="F39" s="83"/>
      <c r="G39" s="83"/>
      <c r="I39" s="83"/>
      <c r="J39" s="83"/>
      <c r="K39" s="88"/>
      <c r="L39" s="83"/>
      <c r="M39" s="83"/>
      <c r="N39" s="90"/>
      <c r="O39" s="84"/>
      <c r="Q39" s="5"/>
    </row>
    <row r="40" spans="2:17" ht="15" customHeight="1">
      <c r="B40" s="4"/>
      <c r="E40" s="87"/>
      <c r="F40" s="83"/>
      <c r="G40" s="83"/>
      <c r="I40" s="83"/>
      <c r="J40" s="83"/>
      <c r="K40" s="88"/>
      <c r="L40" s="83"/>
      <c r="M40" s="83"/>
      <c r="N40" s="90"/>
      <c r="O40" s="84"/>
      <c r="Q40" s="5"/>
    </row>
    <row r="41" spans="2:17" ht="15" customHeight="1">
      <c r="B41" s="4"/>
      <c r="E41" s="87"/>
      <c r="F41" s="83"/>
      <c r="G41" s="83"/>
      <c r="I41" s="83"/>
      <c r="J41" s="83"/>
      <c r="K41" s="88"/>
      <c r="L41" s="83"/>
      <c r="M41" s="83"/>
      <c r="N41" s="90"/>
      <c r="O41" s="84"/>
      <c r="Q41" s="5"/>
    </row>
    <row r="42" spans="2:17" ht="15" customHeight="1">
      <c r="B42" s="4"/>
      <c r="E42" s="87"/>
      <c r="F42" s="83"/>
      <c r="G42" s="83"/>
      <c r="I42" s="83"/>
      <c r="J42" s="83"/>
      <c r="K42" s="88"/>
      <c r="L42" s="83"/>
      <c r="M42" s="83"/>
      <c r="N42" s="90"/>
      <c r="O42" s="84"/>
      <c r="Q42" s="5"/>
    </row>
    <row r="43" spans="2:17" ht="15" customHeight="1">
      <c r="B43" s="4"/>
      <c r="E43" s="87"/>
      <c r="F43" s="83"/>
      <c r="G43" s="83"/>
      <c r="I43" s="83"/>
      <c r="J43" s="83"/>
      <c r="K43" s="88"/>
      <c r="L43" s="83"/>
      <c r="M43" s="83"/>
      <c r="N43" s="90"/>
      <c r="O43" s="84"/>
      <c r="Q43" s="5"/>
    </row>
    <row r="44" spans="2:17" ht="15" customHeight="1">
      <c r="B44" s="4"/>
      <c r="E44" s="87"/>
      <c r="F44" s="83"/>
      <c r="G44" s="83"/>
      <c r="I44" s="83"/>
      <c r="J44" s="83"/>
      <c r="K44" s="88"/>
      <c r="L44" s="83"/>
      <c r="M44" s="83"/>
      <c r="N44" s="90"/>
      <c r="O44" s="84"/>
      <c r="Q44" s="5"/>
    </row>
    <row r="45" spans="2:17" ht="15" customHeight="1">
      <c r="B45" s="4"/>
      <c r="E45" s="87"/>
      <c r="F45" s="83"/>
      <c r="G45" s="83"/>
      <c r="I45" s="83"/>
      <c r="J45" s="83"/>
      <c r="K45" s="88"/>
      <c r="L45" s="83"/>
      <c r="M45" s="83"/>
      <c r="N45" s="90"/>
      <c r="O45" s="84"/>
      <c r="Q45" s="5"/>
    </row>
    <row r="46" spans="2:17" ht="15" customHeight="1">
      <c r="B46" s="4"/>
      <c r="E46" s="87"/>
      <c r="F46" s="83"/>
      <c r="G46" s="83"/>
      <c r="I46" s="83"/>
      <c r="J46" s="83"/>
      <c r="K46" s="88"/>
      <c r="L46" s="83"/>
      <c r="M46" s="83"/>
      <c r="N46" s="90"/>
      <c r="O46" s="84"/>
      <c r="Q46" s="5"/>
    </row>
    <row r="47" spans="2:17" ht="15" customHeight="1">
      <c r="B47" s="4"/>
      <c r="E47" s="87"/>
      <c r="F47" s="83"/>
      <c r="G47" s="83"/>
      <c r="I47" s="83"/>
      <c r="J47" s="83"/>
      <c r="K47" s="88"/>
      <c r="L47" s="83"/>
      <c r="M47" s="83"/>
      <c r="N47" s="90"/>
      <c r="O47" s="84"/>
      <c r="Q47" s="5"/>
    </row>
    <row r="48" spans="2:17" ht="15" customHeight="1">
      <c r="B48" s="4"/>
      <c r="E48" s="87"/>
      <c r="F48" s="83"/>
      <c r="G48" s="83"/>
      <c r="I48" s="83"/>
      <c r="J48" s="83"/>
      <c r="K48" s="88"/>
      <c r="L48" s="83"/>
      <c r="M48" s="83"/>
      <c r="N48" s="90"/>
      <c r="O48" s="84"/>
      <c r="Q48" s="5"/>
    </row>
    <row r="49" spans="2:17" ht="15" customHeight="1">
      <c r="B49" s="4"/>
      <c r="E49" s="87"/>
      <c r="F49" s="83"/>
      <c r="G49" s="83"/>
      <c r="I49" s="83"/>
      <c r="J49" s="83"/>
      <c r="K49" s="88"/>
      <c r="L49" s="83"/>
      <c r="M49" s="83"/>
      <c r="N49" s="90"/>
      <c r="O49" s="84"/>
      <c r="Q49" s="5"/>
    </row>
    <row r="50" spans="2:17" ht="15" customHeight="1">
      <c r="B50" s="4"/>
      <c r="E50" s="87"/>
      <c r="F50" s="83"/>
      <c r="G50" s="83"/>
      <c r="I50" s="83"/>
      <c r="J50" s="83"/>
      <c r="K50" s="88"/>
      <c r="L50" s="83"/>
      <c r="M50" s="83"/>
      <c r="N50" s="90"/>
      <c r="O50" s="84"/>
      <c r="Q50" s="5"/>
    </row>
    <row r="51" spans="2:17" ht="15" customHeight="1">
      <c r="B51" s="4"/>
      <c r="E51" s="87"/>
      <c r="F51" s="83"/>
      <c r="G51" s="83"/>
      <c r="I51" s="83"/>
      <c r="J51" s="83"/>
      <c r="K51" s="88"/>
      <c r="L51" s="83"/>
      <c r="M51" s="83"/>
      <c r="N51" s="90"/>
      <c r="O51" s="84"/>
      <c r="Q51" s="5"/>
    </row>
    <row r="52" spans="2:17" ht="15" customHeight="1">
      <c r="B52" s="4"/>
      <c r="E52" s="87"/>
      <c r="F52" s="83"/>
      <c r="G52" s="83"/>
      <c r="I52" s="83"/>
      <c r="J52" s="83"/>
      <c r="K52" s="88"/>
      <c r="L52" s="83"/>
      <c r="M52" s="83"/>
      <c r="N52" s="90"/>
      <c r="O52" s="84"/>
      <c r="Q52" s="5"/>
    </row>
    <row r="53" spans="2:17" ht="15" customHeight="1">
      <c r="B53" s="4"/>
      <c r="E53" s="87"/>
      <c r="F53" s="83"/>
      <c r="G53" s="83"/>
      <c r="I53" s="83"/>
      <c r="J53" s="83"/>
      <c r="K53" s="88"/>
      <c r="L53" s="83"/>
      <c r="M53" s="83"/>
      <c r="N53" s="90"/>
      <c r="O53" s="84"/>
      <c r="Q53" s="5"/>
    </row>
    <row r="54" spans="2:17" ht="15" customHeight="1">
      <c r="B54" s="4"/>
      <c r="E54" s="87"/>
      <c r="F54" s="83"/>
      <c r="G54" s="83"/>
      <c r="I54" s="83"/>
      <c r="J54" s="83"/>
      <c r="K54" s="88"/>
      <c r="L54" s="83"/>
      <c r="M54" s="83"/>
      <c r="N54" s="90"/>
      <c r="O54" s="84"/>
      <c r="Q54" s="5"/>
    </row>
    <row r="55" spans="2:17" ht="15" customHeight="1">
      <c r="B55" s="4"/>
      <c r="E55" s="87"/>
      <c r="F55" s="83"/>
      <c r="G55" s="83"/>
      <c r="I55" s="83"/>
      <c r="J55" s="83"/>
      <c r="K55" s="88"/>
      <c r="L55" s="83"/>
      <c r="M55" s="83"/>
      <c r="N55" s="90"/>
      <c r="O55" s="84"/>
      <c r="Q55" s="5"/>
    </row>
    <row r="56" spans="2:17" ht="15" customHeight="1">
      <c r="B56" s="4"/>
      <c r="E56" s="87"/>
      <c r="F56" s="83"/>
      <c r="G56" s="83"/>
      <c r="I56" s="83"/>
      <c r="J56" s="83"/>
      <c r="K56" s="88"/>
      <c r="L56" s="83"/>
      <c r="M56" s="83"/>
      <c r="N56" s="90"/>
      <c r="O56" s="84"/>
      <c r="Q56" s="5"/>
    </row>
    <row r="57" spans="2:17" ht="15" customHeight="1">
      <c r="B57" s="4"/>
      <c r="E57" s="87"/>
      <c r="F57" s="83"/>
      <c r="G57" s="83"/>
      <c r="I57" s="83"/>
      <c r="J57" s="83"/>
      <c r="K57" s="88"/>
      <c r="L57" s="83"/>
      <c r="M57" s="83"/>
      <c r="N57" s="90"/>
      <c r="O57" s="84"/>
      <c r="Q57" s="5"/>
    </row>
    <row r="58" spans="2:17" ht="15" customHeight="1">
      <c r="B58" s="4"/>
      <c r="E58" s="87"/>
      <c r="F58" s="83"/>
      <c r="G58" s="83"/>
      <c r="I58" s="83"/>
      <c r="J58" s="83"/>
      <c r="K58" s="88"/>
      <c r="L58" s="83"/>
      <c r="M58" s="83"/>
      <c r="N58" s="90"/>
      <c r="O58" s="84"/>
      <c r="Q58" s="5"/>
    </row>
    <row r="59" spans="2:17" ht="15" customHeight="1">
      <c r="B59" s="4"/>
      <c r="E59" s="87"/>
      <c r="F59" s="83"/>
      <c r="G59" s="83"/>
      <c r="I59" s="83"/>
      <c r="J59" s="83"/>
      <c r="K59" s="88"/>
      <c r="L59" s="83"/>
      <c r="M59" s="83"/>
      <c r="N59" s="90"/>
      <c r="O59" s="84"/>
      <c r="Q59" s="5"/>
    </row>
    <row r="60" spans="2:17" ht="15" customHeight="1">
      <c r="B60" s="4"/>
      <c r="E60" s="87"/>
      <c r="F60" s="83"/>
      <c r="G60" s="83"/>
      <c r="I60" s="83"/>
      <c r="J60" s="83"/>
      <c r="K60" s="88"/>
      <c r="L60" s="83"/>
      <c r="M60" s="83"/>
      <c r="N60" s="90"/>
      <c r="O60" s="84"/>
      <c r="Q60" s="5"/>
    </row>
    <row r="61" spans="2:17" ht="15" customHeight="1">
      <c r="B61" s="4"/>
      <c r="E61" s="87"/>
      <c r="F61" s="83"/>
      <c r="G61" s="83"/>
      <c r="I61" s="83"/>
      <c r="J61" s="83"/>
      <c r="K61" s="88"/>
      <c r="L61" s="83"/>
      <c r="M61" s="83"/>
      <c r="N61" s="90"/>
      <c r="O61" s="84"/>
      <c r="Q61" s="5"/>
    </row>
    <row r="62" spans="2:17" ht="15" customHeight="1">
      <c r="B62" s="4"/>
      <c r="E62" s="87"/>
      <c r="F62" s="83"/>
      <c r="G62" s="83"/>
      <c r="I62" s="83"/>
      <c r="J62" s="83"/>
      <c r="K62" s="88"/>
      <c r="L62" s="83"/>
      <c r="M62" s="83"/>
      <c r="N62" s="90"/>
      <c r="O62" s="84"/>
      <c r="Q62" s="5"/>
    </row>
    <row r="63" spans="2:17" ht="15" customHeight="1">
      <c r="B63" s="4"/>
      <c r="E63" s="87"/>
      <c r="F63" s="83"/>
      <c r="G63" s="83"/>
      <c r="I63" s="83"/>
      <c r="J63" s="83"/>
      <c r="K63" s="88"/>
      <c r="L63" s="83"/>
      <c r="M63" s="83"/>
      <c r="N63" s="90"/>
      <c r="O63" s="84"/>
      <c r="Q63" s="5"/>
    </row>
    <row r="64" spans="2:17" ht="15" customHeight="1">
      <c r="B64" s="4"/>
      <c r="E64" s="87"/>
      <c r="F64" s="83"/>
      <c r="G64" s="83"/>
      <c r="I64" s="83"/>
      <c r="J64" s="83"/>
      <c r="K64" s="88"/>
      <c r="L64" s="83"/>
      <c r="M64" s="83"/>
      <c r="N64" s="90"/>
      <c r="O64" s="84"/>
      <c r="Q64" s="5"/>
    </row>
    <row r="65" spans="1:21" ht="15" customHeight="1">
      <c r="B65" s="4"/>
      <c r="E65" s="87"/>
      <c r="F65" s="83"/>
      <c r="G65" s="83"/>
      <c r="I65" s="83"/>
      <c r="J65" s="83"/>
      <c r="K65" s="88"/>
      <c r="L65" s="83"/>
      <c r="M65" s="83"/>
      <c r="N65" s="90"/>
      <c r="O65" s="84"/>
      <c r="Q65" s="5"/>
    </row>
    <row r="66" spans="1:21" ht="15" customHeight="1">
      <c r="B66" s="4"/>
      <c r="E66" s="87"/>
      <c r="F66" s="83"/>
      <c r="G66" s="83"/>
      <c r="I66" s="83"/>
      <c r="J66" s="83"/>
      <c r="K66" s="88"/>
      <c r="L66" s="83"/>
      <c r="M66" s="83"/>
      <c r="N66" s="90"/>
      <c r="O66" s="84"/>
      <c r="Q66" s="5"/>
    </row>
    <row r="67" spans="1:21" ht="15" customHeight="1">
      <c r="B67" s="4"/>
      <c r="E67" s="87"/>
      <c r="F67" s="83"/>
      <c r="G67" s="83"/>
      <c r="I67" s="83"/>
      <c r="J67" s="83"/>
      <c r="K67" s="88"/>
      <c r="L67" s="83"/>
      <c r="M67" s="83"/>
      <c r="N67" s="90"/>
      <c r="O67" s="84"/>
      <c r="Q67" s="5"/>
    </row>
    <row r="68" spans="1:21" ht="15" customHeight="1">
      <c r="B68" s="4"/>
      <c r="E68" s="87"/>
      <c r="F68" s="83"/>
      <c r="G68" s="83"/>
      <c r="I68" s="83"/>
      <c r="J68" s="83"/>
      <c r="K68" s="88"/>
      <c r="L68" s="83"/>
      <c r="M68" s="83"/>
      <c r="N68" s="90"/>
      <c r="O68" s="84"/>
      <c r="Q68" s="5"/>
    </row>
    <row r="69" spans="1:21" ht="15" customHeight="1">
      <c r="B69" s="4"/>
      <c r="E69" s="87"/>
      <c r="F69" s="83"/>
      <c r="G69" s="83"/>
      <c r="I69" s="83"/>
      <c r="J69" s="83"/>
      <c r="K69" s="88"/>
      <c r="L69" s="83"/>
      <c r="M69" s="83"/>
      <c r="N69" s="90"/>
      <c r="O69" s="84"/>
      <c r="Q69" s="5"/>
    </row>
    <row r="70" spans="1:21" ht="15" customHeight="1">
      <c r="B70" s="4"/>
      <c r="E70" s="87"/>
      <c r="F70" s="83"/>
      <c r="G70" s="83"/>
      <c r="I70" s="83"/>
      <c r="J70" s="83"/>
      <c r="K70" s="88"/>
      <c r="L70" s="83"/>
      <c r="M70" s="83"/>
      <c r="N70" s="90"/>
      <c r="O70" s="84"/>
      <c r="Q70" s="5"/>
    </row>
    <row r="71" spans="1:21" ht="15" customHeight="1">
      <c r="B71" s="4"/>
      <c r="E71" s="87"/>
      <c r="F71" s="83"/>
      <c r="G71" s="83"/>
      <c r="I71" s="83"/>
      <c r="J71" s="83"/>
      <c r="K71" s="88"/>
      <c r="L71" s="83"/>
      <c r="M71" s="83"/>
      <c r="N71" s="90"/>
      <c r="O71" s="84"/>
      <c r="Q71" s="5"/>
    </row>
    <row r="72" spans="1:21" ht="15" customHeight="1">
      <c r="B72" s="4"/>
      <c r="E72" s="87"/>
      <c r="F72" s="83"/>
      <c r="G72" s="83"/>
      <c r="I72" s="83"/>
      <c r="J72" s="83"/>
      <c r="K72" s="88"/>
      <c r="L72" s="83"/>
      <c r="M72" s="83"/>
      <c r="N72" s="90"/>
      <c r="O72" s="84"/>
      <c r="Q72" s="5"/>
    </row>
    <row r="73" spans="1:21" ht="15" customHeight="1">
      <c r="B73" s="4"/>
      <c r="E73" s="87"/>
      <c r="F73" s="83"/>
      <c r="G73" s="83"/>
      <c r="I73" s="83"/>
      <c r="J73" s="83"/>
      <c r="K73" s="88"/>
      <c r="L73" s="83"/>
      <c r="M73" s="83"/>
      <c r="N73" s="90"/>
      <c r="O73" s="84"/>
      <c r="Q73" s="5"/>
    </row>
    <row r="74" spans="1:21" ht="15" customHeight="1">
      <c r="B74" s="4"/>
      <c r="E74" s="87"/>
      <c r="F74" s="83"/>
      <c r="G74" s="83"/>
      <c r="I74" s="83"/>
      <c r="J74" s="83"/>
      <c r="K74" s="88"/>
      <c r="L74" s="83"/>
      <c r="M74" s="83"/>
      <c r="N74" s="90"/>
      <c r="O74" s="84"/>
      <c r="Q74" s="5"/>
    </row>
    <row r="75" spans="1:21" ht="15" customHeight="1">
      <c r="B75" s="4"/>
      <c r="E75" s="87"/>
      <c r="F75" s="83"/>
      <c r="G75" s="83"/>
      <c r="I75" s="83"/>
      <c r="J75" s="83"/>
      <c r="K75" s="88"/>
      <c r="L75" s="83"/>
      <c r="M75" s="83"/>
      <c r="N75" s="90"/>
      <c r="O75" s="84"/>
      <c r="Q75" s="5"/>
    </row>
    <row r="76" spans="1:21" ht="15" customHeight="1">
      <c r="B76" s="4"/>
      <c r="E76" s="87"/>
      <c r="F76" s="83"/>
      <c r="G76" s="83"/>
      <c r="I76" s="83"/>
      <c r="J76" s="83"/>
      <c r="K76" s="88"/>
      <c r="L76" s="83"/>
      <c r="M76" s="83"/>
      <c r="N76" s="90"/>
      <c r="O76" s="84"/>
      <c r="Q76" s="5"/>
    </row>
    <row r="77" spans="1:21">
      <c r="B77" s="4"/>
      <c r="Q77" s="5"/>
    </row>
    <row r="78" spans="1:21">
      <c r="A78" s="81"/>
      <c r="B78" s="82"/>
      <c r="D78" s="80"/>
      <c r="P78" s="7"/>
      <c r="Q78" s="8"/>
    </row>
    <row r="79" spans="1:21" ht="15" customHeight="1">
      <c r="C79" s="2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2"/>
      <c r="Q79" s="2"/>
      <c r="U79" s="11"/>
    </row>
  </sheetData>
  <mergeCells count="1"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25"/>
  <sheetViews>
    <sheetView workbookViewId="0">
      <selection sqref="A1:XFD1048576"/>
    </sheetView>
  </sheetViews>
  <sheetFormatPr baseColWidth="10" defaultColWidth="11.42578125" defaultRowHeight="15"/>
  <cols>
    <col min="1" max="2" width="11.42578125" style="12" customWidth="1"/>
    <col min="3" max="3" width="18.42578125" bestFit="1" customWidth="1"/>
    <col min="4" max="4" width="12.5703125" bestFit="1" customWidth="1"/>
    <col min="7" max="7" width="18.7109375" bestFit="1" customWidth="1"/>
    <col min="8" max="8" width="15.42578125" bestFit="1" customWidth="1"/>
    <col min="9" max="9" width="27.7109375" bestFit="1" customWidth="1"/>
  </cols>
  <sheetData>
    <row r="1" spans="1:9">
      <c r="A1" s="12" t="s">
        <v>79</v>
      </c>
      <c r="B1" s="12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s="97" t="s">
        <v>224</v>
      </c>
    </row>
    <row r="2" spans="1:9">
      <c r="A2" s="12">
        <v>44562</v>
      </c>
      <c r="B2" s="12">
        <v>44926</v>
      </c>
      <c r="C2" t="s">
        <v>220</v>
      </c>
      <c r="D2" t="s">
        <v>6</v>
      </c>
      <c r="E2">
        <v>2022</v>
      </c>
      <c r="F2">
        <v>45903.25</v>
      </c>
      <c r="G2">
        <v>51002.55</v>
      </c>
      <c r="H2" t="s">
        <v>87</v>
      </c>
    </row>
    <row r="3" spans="1:9">
      <c r="A3" s="12">
        <v>44562</v>
      </c>
      <c r="B3" s="12">
        <v>44926</v>
      </c>
      <c r="C3" t="s">
        <v>220</v>
      </c>
      <c r="D3" t="s">
        <v>6</v>
      </c>
      <c r="E3">
        <v>2022</v>
      </c>
      <c r="F3">
        <v>68385.119999999995</v>
      </c>
      <c r="G3">
        <v>75242.67</v>
      </c>
      <c r="H3" t="s">
        <v>88</v>
      </c>
    </row>
    <row r="4" spans="1:9">
      <c r="A4" s="12">
        <v>44562</v>
      </c>
      <c r="B4" s="12">
        <v>44926</v>
      </c>
      <c r="C4" t="s">
        <v>220</v>
      </c>
      <c r="D4" t="s">
        <v>6</v>
      </c>
      <c r="E4">
        <v>2022</v>
      </c>
      <c r="F4">
        <v>31072.33</v>
      </c>
      <c r="G4">
        <v>36807.919999999998</v>
      </c>
      <c r="H4" t="s">
        <v>89</v>
      </c>
    </row>
    <row r="5" spans="1:9">
      <c r="A5" s="12">
        <v>44562</v>
      </c>
      <c r="B5" s="12">
        <v>44926</v>
      </c>
      <c r="C5" t="s">
        <v>220</v>
      </c>
      <c r="D5" t="s">
        <v>63</v>
      </c>
      <c r="E5">
        <v>2022</v>
      </c>
      <c r="F5">
        <v>11604.82</v>
      </c>
      <c r="G5">
        <v>12893.98</v>
      </c>
      <c r="H5" t="s">
        <v>87</v>
      </c>
    </row>
    <row r="6" spans="1:9">
      <c r="A6" s="12">
        <v>44562</v>
      </c>
      <c r="B6" s="12">
        <v>44926</v>
      </c>
      <c r="C6" t="s">
        <v>220</v>
      </c>
      <c r="D6" t="s">
        <v>63</v>
      </c>
      <c r="E6">
        <v>2022</v>
      </c>
      <c r="F6">
        <v>14498.26</v>
      </c>
      <c r="G6">
        <v>15952.12</v>
      </c>
      <c r="H6" t="s">
        <v>88</v>
      </c>
    </row>
    <row r="7" spans="1:9">
      <c r="A7" s="12">
        <v>44562</v>
      </c>
      <c r="B7" s="12">
        <v>44926</v>
      </c>
      <c r="C7" t="s">
        <v>220</v>
      </c>
      <c r="D7" t="s">
        <v>63</v>
      </c>
      <c r="E7">
        <v>2022</v>
      </c>
      <c r="F7">
        <v>5989.12</v>
      </c>
      <c r="G7">
        <v>7094.64</v>
      </c>
      <c r="H7" t="s">
        <v>89</v>
      </c>
    </row>
    <row r="8" spans="1:9">
      <c r="A8" s="12">
        <v>44562</v>
      </c>
      <c r="B8" s="12">
        <v>44926</v>
      </c>
      <c r="C8" t="s">
        <v>220</v>
      </c>
      <c r="D8" t="s">
        <v>6</v>
      </c>
      <c r="E8">
        <v>2022</v>
      </c>
      <c r="F8">
        <v>12072.24</v>
      </c>
      <c r="G8">
        <v>13413.32</v>
      </c>
      <c r="H8" t="s">
        <v>87</v>
      </c>
    </row>
    <row r="9" spans="1:9">
      <c r="A9" s="12">
        <v>44562</v>
      </c>
      <c r="B9" s="12">
        <v>44926</v>
      </c>
      <c r="C9" t="s">
        <v>220</v>
      </c>
      <c r="D9" t="s">
        <v>6</v>
      </c>
      <c r="E9">
        <v>2022</v>
      </c>
      <c r="F9">
        <v>18362.580000000002</v>
      </c>
      <c r="G9">
        <v>20203.95</v>
      </c>
      <c r="H9" t="s">
        <v>88</v>
      </c>
    </row>
    <row r="10" spans="1:9">
      <c r="A10" s="12">
        <v>44562</v>
      </c>
      <c r="B10" s="12">
        <v>44926</v>
      </c>
      <c r="C10" t="s">
        <v>220</v>
      </c>
      <c r="D10" t="s">
        <v>6</v>
      </c>
      <c r="E10">
        <v>2022</v>
      </c>
      <c r="F10">
        <v>8424.5400000000009</v>
      </c>
      <c r="G10">
        <v>9979.61</v>
      </c>
      <c r="H10" t="s">
        <v>89</v>
      </c>
    </row>
    <row r="11" spans="1:9">
      <c r="A11" s="12">
        <v>44562</v>
      </c>
      <c r="B11" s="12">
        <v>44926</v>
      </c>
      <c r="C11" t="s">
        <v>220</v>
      </c>
      <c r="D11" t="s">
        <v>63</v>
      </c>
      <c r="E11">
        <v>2022</v>
      </c>
      <c r="F11">
        <v>5982.09</v>
      </c>
      <c r="G11">
        <v>6646.63</v>
      </c>
      <c r="H11" t="s">
        <v>87</v>
      </c>
    </row>
    <row r="12" spans="1:9">
      <c r="A12" s="12">
        <v>44562</v>
      </c>
      <c r="B12" s="12">
        <v>44926</v>
      </c>
      <c r="C12" t="s">
        <v>220</v>
      </c>
      <c r="D12" t="s">
        <v>63</v>
      </c>
      <c r="E12">
        <v>2022</v>
      </c>
      <c r="F12">
        <v>7841.64</v>
      </c>
      <c r="G12">
        <v>8627.99</v>
      </c>
      <c r="H12" t="s">
        <v>88</v>
      </c>
    </row>
    <row r="13" spans="1:9">
      <c r="A13" s="12">
        <v>44562</v>
      </c>
      <c r="B13" s="12">
        <v>44926</v>
      </c>
      <c r="C13" t="s">
        <v>220</v>
      </c>
      <c r="D13" t="s">
        <v>63</v>
      </c>
      <c r="E13">
        <v>2022</v>
      </c>
      <c r="F13">
        <v>3333.29</v>
      </c>
      <c r="G13">
        <v>3948.58</v>
      </c>
      <c r="H13" t="s">
        <v>89</v>
      </c>
    </row>
    <row r="14" spans="1:9">
      <c r="A14" s="12">
        <v>44562</v>
      </c>
      <c r="B14" s="12">
        <v>44926</v>
      </c>
      <c r="C14" t="s">
        <v>220</v>
      </c>
      <c r="D14" t="s">
        <v>63</v>
      </c>
      <c r="E14">
        <v>2022</v>
      </c>
      <c r="F14">
        <v>229.04</v>
      </c>
      <c r="G14">
        <v>254.48</v>
      </c>
      <c r="H14" t="s">
        <v>87</v>
      </c>
    </row>
    <row r="15" spans="1:9">
      <c r="A15" s="12">
        <v>44562</v>
      </c>
      <c r="B15" s="12">
        <v>44926</v>
      </c>
      <c r="C15" t="s">
        <v>220</v>
      </c>
      <c r="D15" t="s">
        <v>63</v>
      </c>
      <c r="E15">
        <v>2022</v>
      </c>
      <c r="F15">
        <v>274.7</v>
      </c>
      <c r="G15">
        <v>302.25</v>
      </c>
      <c r="H15" t="s">
        <v>88</v>
      </c>
    </row>
    <row r="16" spans="1:9">
      <c r="A16" s="12">
        <v>44562</v>
      </c>
      <c r="B16" s="12">
        <v>44926</v>
      </c>
      <c r="C16" t="s">
        <v>220</v>
      </c>
      <c r="D16" t="s">
        <v>63</v>
      </c>
      <c r="E16">
        <v>2022</v>
      </c>
      <c r="F16">
        <v>110.54</v>
      </c>
      <c r="G16">
        <v>130.94999999999999</v>
      </c>
      <c r="H16" t="s">
        <v>89</v>
      </c>
    </row>
    <row r="17" spans="1:8">
      <c r="A17" s="12">
        <v>44562</v>
      </c>
      <c r="B17" s="12">
        <v>44926</v>
      </c>
      <c r="C17" t="s">
        <v>220</v>
      </c>
      <c r="D17" t="s">
        <v>6</v>
      </c>
      <c r="E17">
        <v>2022</v>
      </c>
      <c r="F17">
        <v>440.95</v>
      </c>
      <c r="G17">
        <v>489.93</v>
      </c>
      <c r="H17" t="s">
        <v>87</v>
      </c>
    </row>
    <row r="18" spans="1:8">
      <c r="A18" s="12">
        <v>44562</v>
      </c>
      <c r="B18" s="12">
        <v>44926</v>
      </c>
      <c r="C18" t="s">
        <v>220</v>
      </c>
      <c r="D18" t="s">
        <v>6</v>
      </c>
      <c r="E18">
        <v>2022</v>
      </c>
      <c r="F18">
        <v>564.33000000000004</v>
      </c>
      <c r="G18">
        <v>620.91999999999996</v>
      </c>
      <c r="H18" t="s">
        <v>88</v>
      </c>
    </row>
    <row r="19" spans="1:8">
      <c r="A19" s="12">
        <v>44562</v>
      </c>
      <c r="B19" s="12">
        <v>44926</v>
      </c>
      <c r="C19" t="s">
        <v>220</v>
      </c>
      <c r="D19" t="s">
        <v>6</v>
      </c>
      <c r="E19">
        <v>2022</v>
      </c>
      <c r="F19">
        <v>236.55</v>
      </c>
      <c r="G19">
        <v>280.20999999999998</v>
      </c>
      <c r="H19" t="s">
        <v>89</v>
      </c>
    </row>
    <row r="20" spans="1:8">
      <c r="A20" s="12">
        <v>44562</v>
      </c>
      <c r="B20" s="12">
        <v>44926</v>
      </c>
      <c r="C20" t="s">
        <v>220</v>
      </c>
      <c r="D20" t="s">
        <v>63</v>
      </c>
      <c r="E20">
        <v>2022</v>
      </c>
      <c r="F20">
        <v>54.42</v>
      </c>
      <c r="G20">
        <v>60.47</v>
      </c>
      <c r="H20" t="s">
        <v>87</v>
      </c>
    </row>
    <row r="21" spans="1:8">
      <c r="A21" s="12">
        <v>44562</v>
      </c>
      <c r="B21" s="12">
        <v>44926</v>
      </c>
      <c r="C21" t="s">
        <v>220</v>
      </c>
      <c r="D21" t="s">
        <v>63</v>
      </c>
      <c r="E21">
        <v>2022</v>
      </c>
      <c r="F21">
        <v>65.27</v>
      </c>
      <c r="G21">
        <v>71.81</v>
      </c>
      <c r="H21" t="s">
        <v>88</v>
      </c>
    </row>
    <row r="22" spans="1:8">
      <c r="A22" s="12">
        <v>44562</v>
      </c>
      <c r="B22" s="12">
        <v>44926</v>
      </c>
      <c r="C22" t="s">
        <v>220</v>
      </c>
      <c r="D22" t="s">
        <v>63</v>
      </c>
      <c r="E22">
        <v>2022</v>
      </c>
      <c r="F22">
        <v>26.26</v>
      </c>
      <c r="G22">
        <v>31.11</v>
      </c>
      <c r="H22" t="s">
        <v>89</v>
      </c>
    </row>
    <row r="23" spans="1:8">
      <c r="A23" s="12">
        <v>44562</v>
      </c>
      <c r="B23" s="12">
        <v>44926</v>
      </c>
      <c r="C23" t="s">
        <v>220</v>
      </c>
      <c r="D23" t="s">
        <v>6</v>
      </c>
      <c r="E23">
        <v>2022</v>
      </c>
      <c r="F23">
        <v>578.88</v>
      </c>
      <c r="G23">
        <v>643.19000000000005</v>
      </c>
      <c r="H23" t="s">
        <v>87</v>
      </c>
    </row>
    <row r="24" spans="1:8">
      <c r="A24" s="12">
        <v>44562</v>
      </c>
      <c r="B24" s="12">
        <v>44926</v>
      </c>
      <c r="C24" t="s">
        <v>220</v>
      </c>
      <c r="D24" t="s">
        <v>6</v>
      </c>
      <c r="E24">
        <v>2022</v>
      </c>
      <c r="F24">
        <v>996.37</v>
      </c>
      <c r="G24">
        <v>1096.28</v>
      </c>
      <c r="H24" t="s">
        <v>88</v>
      </c>
    </row>
    <row r="25" spans="1:8">
      <c r="A25" s="12">
        <v>44562</v>
      </c>
      <c r="B25" s="12">
        <v>44926</v>
      </c>
      <c r="C25" t="s">
        <v>220</v>
      </c>
      <c r="D25" t="s">
        <v>6</v>
      </c>
      <c r="E25">
        <v>2022</v>
      </c>
      <c r="F25">
        <v>481.49</v>
      </c>
      <c r="G25">
        <v>570.37</v>
      </c>
      <c r="H25" t="s">
        <v>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"/>
  <sheetViews>
    <sheetView workbookViewId="0">
      <selection activeCell="F4" sqref="F4"/>
    </sheetView>
  </sheetViews>
  <sheetFormatPr baseColWidth="10" defaultColWidth="11.42578125" defaultRowHeight="15"/>
  <cols>
    <col min="1" max="1" width="12.85546875" bestFit="1" customWidth="1"/>
    <col min="4" max="4" width="11.42578125" style="12" customWidth="1"/>
    <col min="6" max="6" width="22.85546875" bestFit="1" customWidth="1"/>
    <col min="7" max="7" width="11.42578125" style="12" customWidth="1"/>
    <col min="11" max="11" width="11.42578125" style="12" customWidth="1"/>
    <col min="12" max="12" width="37.5703125" bestFit="1" customWidth="1"/>
    <col min="16" max="16" width="18.28515625" style="79" customWidth="1"/>
    <col min="22" max="24" width="11.42578125" style="12" customWidth="1"/>
    <col min="33" max="33" width="11.42578125" style="12" customWidth="1"/>
    <col min="35" max="35" width="16.7109375" customWidth="1"/>
  </cols>
  <sheetData>
    <row r="1" spans="1:35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94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100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121</v>
      </c>
      <c r="AI1" s="91" t="s">
        <v>224</v>
      </c>
    </row>
    <row r="2" spans="1:35">
      <c r="A2" t="s">
        <v>191</v>
      </c>
      <c r="B2" t="s">
        <v>220</v>
      </c>
      <c r="C2" t="s">
        <v>6</v>
      </c>
      <c r="D2" s="12">
        <v>44753</v>
      </c>
      <c r="E2">
        <v>2022</v>
      </c>
      <c r="F2" t="s">
        <v>42</v>
      </c>
      <c r="G2" s="12">
        <v>23910</v>
      </c>
      <c r="H2">
        <v>57</v>
      </c>
      <c r="I2" t="s">
        <v>39</v>
      </c>
      <c r="J2" t="s">
        <v>29</v>
      </c>
      <c r="L2" t="s">
        <v>125</v>
      </c>
      <c r="M2">
        <v>0</v>
      </c>
      <c r="P2" s="79">
        <v>7644.9000000000005</v>
      </c>
      <c r="R2" t="s">
        <v>225</v>
      </c>
      <c r="S2" t="s">
        <v>226</v>
      </c>
      <c r="T2" t="s">
        <v>227</v>
      </c>
      <c r="U2" t="s">
        <v>123</v>
      </c>
      <c r="V2" s="12">
        <v>44926</v>
      </c>
      <c r="W2" s="12">
        <v>23910</v>
      </c>
      <c r="X2" s="12">
        <v>44753</v>
      </c>
      <c r="Y2">
        <v>0</v>
      </c>
      <c r="Z2">
        <v>36</v>
      </c>
      <c r="AA2" t="s">
        <v>124</v>
      </c>
      <c r="AC2">
        <v>32828.1</v>
      </c>
      <c r="AD2">
        <v>0</v>
      </c>
      <c r="AE2">
        <v>0</v>
      </c>
      <c r="AF2">
        <v>1</v>
      </c>
      <c r="AG2" s="12">
        <v>44867</v>
      </c>
      <c r="AH2" t="s">
        <v>88</v>
      </c>
    </row>
    <row r="3" spans="1:35">
      <c r="A3" t="s">
        <v>191</v>
      </c>
      <c r="B3" t="s">
        <v>220</v>
      </c>
      <c r="C3" t="s">
        <v>6</v>
      </c>
      <c r="D3" s="12">
        <v>44711</v>
      </c>
      <c r="E3">
        <v>2022</v>
      </c>
      <c r="F3" t="s">
        <v>42</v>
      </c>
      <c r="G3" s="12">
        <v>33088</v>
      </c>
      <c r="H3">
        <v>32</v>
      </c>
      <c r="I3" t="s">
        <v>34</v>
      </c>
      <c r="J3" t="s">
        <v>29</v>
      </c>
      <c r="K3" s="12">
        <v>44742</v>
      </c>
      <c r="L3" t="s">
        <v>122</v>
      </c>
      <c r="M3">
        <v>31</v>
      </c>
      <c r="P3" s="79">
        <v>124.92</v>
      </c>
      <c r="R3" t="s">
        <v>228</v>
      </c>
      <c r="S3" t="s">
        <v>229</v>
      </c>
      <c r="T3" t="s">
        <v>230</v>
      </c>
      <c r="U3" t="s">
        <v>123</v>
      </c>
      <c r="V3" s="12">
        <v>44926</v>
      </c>
      <c r="W3" s="12">
        <v>33088</v>
      </c>
      <c r="X3" s="12">
        <v>44711</v>
      </c>
      <c r="Y3">
        <v>0</v>
      </c>
      <c r="Z3">
        <v>36</v>
      </c>
      <c r="AA3" t="s">
        <v>124</v>
      </c>
      <c r="AC3">
        <v>22797.9</v>
      </c>
      <c r="AD3">
        <v>0</v>
      </c>
      <c r="AE3">
        <v>0</v>
      </c>
      <c r="AF3">
        <v>1</v>
      </c>
      <c r="AG3" s="12">
        <v>44742</v>
      </c>
      <c r="AH3" t="s">
        <v>88</v>
      </c>
    </row>
    <row r="4" spans="1:35">
      <c r="A4" t="s">
        <v>191</v>
      </c>
      <c r="B4" t="s">
        <v>220</v>
      </c>
      <c r="C4" t="s">
        <v>6</v>
      </c>
      <c r="D4" s="12">
        <v>44804</v>
      </c>
      <c r="E4">
        <v>2022</v>
      </c>
      <c r="F4" t="s">
        <v>42</v>
      </c>
      <c r="G4" s="12">
        <v>31707</v>
      </c>
      <c r="H4">
        <v>36</v>
      </c>
      <c r="I4" t="s">
        <v>35</v>
      </c>
      <c r="J4" t="s">
        <v>29</v>
      </c>
      <c r="L4" t="s">
        <v>125</v>
      </c>
      <c r="M4">
        <v>0</v>
      </c>
      <c r="P4" s="79">
        <v>1238.49</v>
      </c>
      <c r="R4" t="s">
        <v>231</v>
      </c>
      <c r="S4" t="s">
        <v>232</v>
      </c>
      <c r="T4" t="s">
        <v>128</v>
      </c>
      <c r="U4" t="s">
        <v>123</v>
      </c>
      <c r="V4" s="12">
        <v>44926</v>
      </c>
      <c r="W4" s="12">
        <v>31707</v>
      </c>
      <c r="X4" s="12">
        <v>44804</v>
      </c>
      <c r="Y4">
        <v>0</v>
      </c>
      <c r="Z4">
        <v>36</v>
      </c>
      <c r="AA4" t="s">
        <v>124</v>
      </c>
      <c r="AC4">
        <v>16742.55</v>
      </c>
      <c r="AD4">
        <v>0</v>
      </c>
      <c r="AE4">
        <v>0</v>
      </c>
      <c r="AF4">
        <v>1</v>
      </c>
      <c r="AG4" s="12">
        <v>44860</v>
      </c>
      <c r="AH4" t="s">
        <v>88</v>
      </c>
    </row>
    <row r="5" spans="1:35">
      <c r="A5" t="s">
        <v>191</v>
      </c>
      <c r="B5" t="s">
        <v>220</v>
      </c>
      <c r="C5" t="s">
        <v>63</v>
      </c>
      <c r="D5" s="12">
        <v>44646</v>
      </c>
      <c r="E5">
        <v>2022</v>
      </c>
      <c r="F5" t="s">
        <v>42</v>
      </c>
      <c r="G5" s="12">
        <v>24336</v>
      </c>
      <c r="H5">
        <v>56</v>
      </c>
      <c r="I5" t="s">
        <v>39</v>
      </c>
      <c r="J5" t="s">
        <v>31</v>
      </c>
      <c r="K5" s="12">
        <v>44849</v>
      </c>
      <c r="L5" t="s">
        <v>122</v>
      </c>
      <c r="M5">
        <v>203</v>
      </c>
      <c r="P5" s="79">
        <v>1873.9800000000002</v>
      </c>
      <c r="R5" t="s">
        <v>233</v>
      </c>
      <c r="S5" t="s">
        <v>234</v>
      </c>
      <c r="T5" t="s">
        <v>235</v>
      </c>
      <c r="U5" t="s">
        <v>126</v>
      </c>
      <c r="V5" s="12">
        <v>44926</v>
      </c>
      <c r="W5" s="12">
        <v>24336</v>
      </c>
      <c r="X5" s="12">
        <v>44646</v>
      </c>
      <c r="Y5">
        <v>0</v>
      </c>
      <c r="Z5">
        <v>36</v>
      </c>
      <c r="AA5" t="s">
        <v>124</v>
      </c>
      <c r="AC5">
        <v>3931.05</v>
      </c>
      <c r="AD5">
        <v>0</v>
      </c>
      <c r="AE5">
        <v>0</v>
      </c>
      <c r="AF5">
        <v>1</v>
      </c>
      <c r="AG5" s="12">
        <v>44849</v>
      </c>
      <c r="AH5" t="s">
        <v>88</v>
      </c>
    </row>
    <row r="6" spans="1:35">
      <c r="A6" t="s">
        <v>196</v>
      </c>
      <c r="B6" t="s">
        <v>220</v>
      </c>
      <c r="C6" t="s">
        <v>6</v>
      </c>
      <c r="D6" s="12">
        <v>44673</v>
      </c>
      <c r="E6">
        <v>2022</v>
      </c>
      <c r="F6" t="s">
        <v>42</v>
      </c>
      <c r="G6" s="12">
        <v>23953</v>
      </c>
      <c r="H6">
        <v>57</v>
      </c>
      <c r="I6" t="s">
        <v>39</v>
      </c>
      <c r="J6" t="s">
        <v>29</v>
      </c>
      <c r="K6" s="12">
        <v>44761</v>
      </c>
      <c r="L6" t="s">
        <v>122</v>
      </c>
      <c r="M6">
        <v>88</v>
      </c>
      <c r="P6" s="79">
        <v>4663.3600000000006</v>
      </c>
      <c r="R6" t="s">
        <v>236</v>
      </c>
      <c r="S6" t="s">
        <v>237</v>
      </c>
      <c r="T6" t="s">
        <v>129</v>
      </c>
      <c r="U6" t="s">
        <v>123</v>
      </c>
      <c r="V6" s="12">
        <v>44926</v>
      </c>
      <c r="W6" s="12">
        <v>23953</v>
      </c>
      <c r="X6" s="12">
        <v>44673</v>
      </c>
      <c r="Y6">
        <v>0</v>
      </c>
      <c r="Z6">
        <v>36</v>
      </c>
      <c r="AA6" t="s">
        <v>124</v>
      </c>
      <c r="AC6">
        <v>28849.599999999999</v>
      </c>
      <c r="AD6">
        <v>0</v>
      </c>
      <c r="AE6">
        <v>0</v>
      </c>
      <c r="AF6">
        <v>1</v>
      </c>
      <c r="AG6" s="12">
        <v>44761</v>
      </c>
      <c r="AH6" t="s">
        <v>88</v>
      </c>
    </row>
    <row r="7" spans="1:35">
      <c r="A7" t="s">
        <v>196</v>
      </c>
      <c r="B7" t="s">
        <v>220</v>
      </c>
      <c r="C7" t="s">
        <v>6</v>
      </c>
      <c r="D7" s="12">
        <v>44697</v>
      </c>
      <c r="E7">
        <v>2022</v>
      </c>
      <c r="F7" t="s">
        <v>42</v>
      </c>
      <c r="G7" s="12">
        <v>29075</v>
      </c>
      <c r="H7">
        <v>43</v>
      </c>
      <c r="I7" t="s">
        <v>36</v>
      </c>
      <c r="J7" t="s">
        <v>29</v>
      </c>
      <c r="K7" s="12">
        <v>44747</v>
      </c>
      <c r="L7" t="s">
        <v>122</v>
      </c>
      <c r="M7">
        <v>50</v>
      </c>
      <c r="P7" s="79">
        <v>909.51</v>
      </c>
      <c r="R7" t="s">
        <v>238</v>
      </c>
      <c r="S7" t="s">
        <v>130</v>
      </c>
      <c r="T7" t="s">
        <v>239</v>
      </c>
      <c r="U7" t="s">
        <v>123</v>
      </c>
      <c r="V7" s="12">
        <v>44926</v>
      </c>
      <c r="W7" s="12">
        <v>29075</v>
      </c>
      <c r="X7" s="12">
        <v>44697</v>
      </c>
      <c r="Y7">
        <v>0</v>
      </c>
      <c r="Z7">
        <v>36</v>
      </c>
      <c r="AA7" t="s">
        <v>124</v>
      </c>
      <c r="AC7">
        <v>15808.15</v>
      </c>
      <c r="AD7">
        <v>0</v>
      </c>
      <c r="AE7">
        <v>0</v>
      </c>
      <c r="AF7">
        <v>1</v>
      </c>
      <c r="AG7" s="12">
        <v>44747</v>
      </c>
      <c r="AH7" t="s">
        <v>88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"/>
  <sheetViews>
    <sheetView workbookViewId="0">
      <selection activeCell="A2" sqref="A2:AC8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121</v>
      </c>
      <c r="AI1" s="91" t="s">
        <v>224</v>
      </c>
    </row>
    <row r="2" spans="1:35">
      <c r="A2" t="s">
        <v>191</v>
      </c>
      <c r="B2" t="s">
        <v>220</v>
      </c>
      <c r="C2" t="s">
        <v>6</v>
      </c>
      <c r="D2" s="12">
        <v>44753</v>
      </c>
      <c r="E2">
        <v>2022</v>
      </c>
      <c r="F2" t="s">
        <v>42</v>
      </c>
      <c r="G2" s="12">
        <v>23910</v>
      </c>
      <c r="H2">
        <v>57</v>
      </c>
      <c r="I2" t="s">
        <v>39</v>
      </c>
      <c r="J2" t="s">
        <v>29</v>
      </c>
      <c r="L2" t="s">
        <v>125</v>
      </c>
      <c r="M2">
        <v>0</v>
      </c>
      <c r="P2" s="79">
        <v>7644.9000000000005</v>
      </c>
      <c r="R2" t="s">
        <v>225</v>
      </c>
      <c r="S2" t="s">
        <v>226</v>
      </c>
      <c r="T2" t="s">
        <v>227</v>
      </c>
      <c r="U2" t="s">
        <v>123</v>
      </c>
      <c r="V2" s="12">
        <v>44926</v>
      </c>
      <c r="W2" s="12">
        <v>23910</v>
      </c>
      <c r="X2" s="12">
        <v>44753</v>
      </c>
      <c r="Y2">
        <v>0</v>
      </c>
      <c r="Z2">
        <v>36</v>
      </c>
      <c r="AA2" t="s">
        <v>124</v>
      </c>
      <c r="AC2">
        <v>32828.1</v>
      </c>
      <c r="AD2">
        <v>0</v>
      </c>
      <c r="AE2">
        <v>0</v>
      </c>
      <c r="AF2">
        <v>1</v>
      </c>
      <c r="AG2" s="12">
        <v>44867</v>
      </c>
      <c r="AH2" t="s">
        <v>88</v>
      </c>
    </row>
    <row r="3" spans="1:35">
      <c r="A3" t="s">
        <v>196</v>
      </c>
      <c r="B3" t="s">
        <v>220</v>
      </c>
      <c r="C3" t="s">
        <v>6</v>
      </c>
      <c r="D3" s="12">
        <v>44673</v>
      </c>
      <c r="E3">
        <v>2022</v>
      </c>
      <c r="F3" t="s">
        <v>42</v>
      </c>
      <c r="G3" s="12">
        <v>23953</v>
      </c>
      <c r="H3">
        <v>57</v>
      </c>
      <c r="I3" t="s">
        <v>39</v>
      </c>
      <c r="J3" t="s">
        <v>29</v>
      </c>
      <c r="K3" s="12">
        <v>44761</v>
      </c>
      <c r="L3" t="s">
        <v>122</v>
      </c>
      <c r="M3">
        <v>88</v>
      </c>
      <c r="P3" s="79">
        <v>4663.3600000000006</v>
      </c>
      <c r="R3" t="s">
        <v>236</v>
      </c>
      <c r="S3" t="s">
        <v>237</v>
      </c>
      <c r="T3" t="s">
        <v>129</v>
      </c>
      <c r="U3" t="s">
        <v>123</v>
      </c>
      <c r="V3" s="12">
        <v>44926</v>
      </c>
      <c r="W3" s="12">
        <v>23953</v>
      </c>
      <c r="X3" s="12">
        <v>44673</v>
      </c>
      <c r="Y3">
        <v>0</v>
      </c>
      <c r="Z3">
        <v>36</v>
      </c>
      <c r="AA3" t="s">
        <v>124</v>
      </c>
      <c r="AC3">
        <v>28849.599999999999</v>
      </c>
      <c r="AD3">
        <v>0</v>
      </c>
      <c r="AE3">
        <v>0</v>
      </c>
      <c r="AF3">
        <v>1</v>
      </c>
      <c r="AG3" s="12">
        <v>44761</v>
      </c>
      <c r="AH3" t="s">
        <v>88</v>
      </c>
    </row>
    <row r="4" spans="1:35">
      <c r="A4" t="s">
        <v>191</v>
      </c>
      <c r="B4" t="s">
        <v>220</v>
      </c>
      <c r="C4" t="s">
        <v>63</v>
      </c>
      <c r="D4" s="12">
        <v>44646</v>
      </c>
      <c r="E4">
        <v>2022</v>
      </c>
      <c r="F4" t="s">
        <v>42</v>
      </c>
      <c r="G4" s="12">
        <v>24336</v>
      </c>
      <c r="H4">
        <v>56</v>
      </c>
      <c r="I4" t="s">
        <v>39</v>
      </c>
      <c r="J4" t="s">
        <v>31</v>
      </c>
      <c r="K4" s="12">
        <v>44849</v>
      </c>
      <c r="L4" t="s">
        <v>122</v>
      </c>
      <c r="M4">
        <v>203</v>
      </c>
      <c r="P4" s="79">
        <v>1873.9800000000002</v>
      </c>
      <c r="R4" t="s">
        <v>233</v>
      </c>
      <c r="S4" t="s">
        <v>234</v>
      </c>
      <c r="T4" t="s">
        <v>235</v>
      </c>
      <c r="U4" t="s">
        <v>126</v>
      </c>
      <c r="V4" s="12">
        <v>44926</v>
      </c>
      <c r="W4" s="12">
        <v>24336</v>
      </c>
      <c r="X4" s="12">
        <v>44646</v>
      </c>
      <c r="Y4">
        <v>0</v>
      </c>
      <c r="Z4">
        <v>36</v>
      </c>
      <c r="AA4" t="s">
        <v>124</v>
      </c>
      <c r="AC4">
        <v>3931.05</v>
      </c>
      <c r="AD4">
        <v>0</v>
      </c>
      <c r="AE4">
        <v>0</v>
      </c>
      <c r="AF4">
        <v>1</v>
      </c>
      <c r="AG4" s="12">
        <v>44849</v>
      </c>
      <c r="AH4" t="s">
        <v>88</v>
      </c>
    </row>
    <row r="5" spans="1:35">
      <c r="A5" t="s">
        <v>191</v>
      </c>
      <c r="B5" t="s">
        <v>220</v>
      </c>
      <c r="C5" t="s">
        <v>6</v>
      </c>
      <c r="D5" s="12">
        <v>44711</v>
      </c>
      <c r="E5">
        <v>2022</v>
      </c>
      <c r="F5" t="s">
        <v>42</v>
      </c>
      <c r="G5" s="12">
        <v>33088</v>
      </c>
      <c r="H5">
        <v>32</v>
      </c>
      <c r="I5" t="s">
        <v>34</v>
      </c>
      <c r="J5" t="s">
        <v>29</v>
      </c>
      <c r="K5" s="12">
        <v>44742</v>
      </c>
      <c r="L5" t="s">
        <v>122</v>
      </c>
      <c r="M5">
        <v>31</v>
      </c>
      <c r="P5" s="79">
        <v>124.92</v>
      </c>
      <c r="R5" t="s">
        <v>228</v>
      </c>
      <c r="S5" t="s">
        <v>229</v>
      </c>
      <c r="T5" t="s">
        <v>230</v>
      </c>
      <c r="U5" t="s">
        <v>123</v>
      </c>
      <c r="V5" s="12">
        <v>44926</v>
      </c>
      <c r="W5" s="12">
        <v>33088</v>
      </c>
      <c r="X5" s="12">
        <v>44711</v>
      </c>
      <c r="Y5">
        <v>0</v>
      </c>
      <c r="Z5">
        <v>36</v>
      </c>
      <c r="AA5" t="s">
        <v>124</v>
      </c>
      <c r="AC5">
        <v>22797.9</v>
      </c>
      <c r="AD5">
        <v>0</v>
      </c>
      <c r="AE5">
        <v>0</v>
      </c>
      <c r="AF5">
        <v>1</v>
      </c>
      <c r="AG5" s="12">
        <v>44742</v>
      </c>
      <c r="AH5" t="s">
        <v>88</v>
      </c>
    </row>
    <row r="6" spans="1:35">
      <c r="A6" t="s">
        <v>191</v>
      </c>
      <c r="B6" t="s">
        <v>220</v>
      </c>
      <c r="C6" t="s">
        <v>6</v>
      </c>
      <c r="D6" s="12">
        <v>44804</v>
      </c>
      <c r="E6">
        <v>2022</v>
      </c>
      <c r="F6" t="s">
        <v>42</v>
      </c>
      <c r="G6" s="12">
        <v>31707</v>
      </c>
      <c r="H6">
        <v>36</v>
      </c>
      <c r="I6" t="s">
        <v>35</v>
      </c>
      <c r="J6" t="s">
        <v>29</v>
      </c>
      <c r="L6" t="s">
        <v>125</v>
      </c>
      <c r="M6">
        <v>0</v>
      </c>
      <c r="P6" s="79">
        <v>1238.49</v>
      </c>
      <c r="R6" t="s">
        <v>231</v>
      </c>
      <c r="S6" t="s">
        <v>232</v>
      </c>
      <c r="T6" t="s">
        <v>128</v>
      </c>
      <c r="U6" t="s">
        <v>123</v>
      </c>
      <c r="V6" s="12">
        <v>44926</v>
      </c>
      <c r="W6" s="12">
        <v>31707</v>
      </c>
      <c r="X6" s="12">
        <v>44804</v>
      </c>
      <c r="Y6">
        <v>0</v>
      </c>
      <c r="Z6">
        <v>36</v>
      </c>
      <c r="AA6" t="s">
        <v>124</v>
      </c>
      <c r="AC6">
        <v>16742.55</v>
      </c>
      <c r="AD6">
        <v>0</v>
      </c>
      <c r="AE6">
        <v>0</v>
      </c>
      <c r="AF6">
        <v>1</v>
      </c>
      <c r="AG6" s="12">
        <v>44860</v>
      </c>
      <c r="AH6" t="s">
        <v>88</v>
      </c>
    </row>
    <row r="7" spans="1:35">
      <c r="A7" t="s">
        <v>196</v>
      </c>
      <c r="B7" t="s">
        <v>220</v>
      </c>
      <c r="C7" t="s">
        <v>6</v>
      </c>
      <c r="D7" s="12">
        <v>44697</v>
      </c>
      <c r="E7">
        <v>2022</v>
      </c>
      <c r="F7" t="s">
        <v>42</v>
      </c>
      <c r="G7" s="12">
        <v>29075</v>
      </c>
      <c r="H7">
        <v>43</v>
      </c>
      <c r="I7" t="s">
        <v>36</v>
      </c>
      <c r="J7" t="s">
        <v>29</v>
      </c>
      <c r="K7" s="12">
        <v>44747</v>
      </c>
      <c r="L7" t="s">
        <v>122</v>
      </c>
      <c r="M7">
        <v>50</v>
      </c>
      <c r="P7" s="79">
        <v>909.51</v>
      </c>
      <c r="R7" t="s">
        <v>238</v>
      </c>
      <c r="S7" t="s">
        <v>130</v>
      </c>
      <c r="T7" t="s">
        <v>239</v>
      </c>
      <c r="U7" t="s">
        <v>123</v>
      </c>
      <c r="V7" s="12">
        <v>44926</v>
      </c>
      <c r="W7" s="12">
        <v>29075</v>
      </c>
      <c r="X7" s="12">
        <v>44697</v>
      </c>
      <c r="Y7">
        <v>0</v>
      </c>
      <c r="Z7">
        <v>36</v>
      </c>
      <c r="AA7" t="s">
        <v>124</v>
      </c>
      <c r="AC7">
        <v>15808.15</v>
      </c>
      <c r="AD7">
        <v>0</v>
      </c>
      <c r="AE7">
        <v>0</v>
      </c>
      <c r="AF7">
        <v>1</v>
      </c>
      <c r="AG7" s="12">
        <v>44747</v>
      </c>
      <c r="AH7" t="s">
        <v>88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121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121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customWidth="1"/>
    <col min="36" max="37" width="11.42578125" customWidth="1"/>
  </cols>
  <sheetData>
    <row r="1" spans="1:35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121</v>
      </c>
      <c r="AI1" s="91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workbookViewId="0">
      <selection activeCell="D2" sqref="D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133</v>
      </c>
      <c r="AI1" s="99" t="s">
        <v>134</v>
      </c>
      <c r="AJ1" s="98" t="s">
        <v>135</v>
      </c>
      <c r="AK1" s="98" t="s">
        <v>136</v>
      </c>
      <c r="AL1" s="98" t="s">
        <v>137</v>
      </c>
      <c r="AM1" s="98" t="s">
        <v>138</v>
      </c>
      <c r="AN1" s="98" t="s">
        <v>139</v>
      </c>
      <c r="AO1" s="98" t="s">
        <v>140</v>
      </c>
      <c r="AP1" s="98" t="s">
        <v>141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1406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133</v>
      </c>
      <c r="AI1" s="99" t="s">
        <v>134</v>
      </c>
      <c r="AJ1" s="98" t="s">
        <v>135</v>
      </c>
      <c r="AK1" s="98" t="s">
        <v>136</v>
      </c>
      <c r="AL1" s="98" t="s">
        <v>137</v>
      </c>
      <c r="AM1" s="98" t="s">
        <v>138</v>
      </c>
      <c r="AN1" s="98" t="s">
        <v>139</v>
      </c>
      <c r="AO1" s="98" t="s">
        <v>140</v>
      </c>
      <c r="AP1" s="98" t="s">
        <v>141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workbookViewId="0">
      <selection activeCell="A2" sqref="A2:XFD25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133</v>
      </c>
      <c r="AI1" s="99" t="s">
        <v>134</v>
      </c>
      <c r="AJ1" s="98" t="s">
        <v>135</v>
      </c>
      <c r="AK1" s="98" t="s">
        <v>136</v>
      </c>
      <c r="AL1" s="98" t="s">
        <v>137</v>
      </c>
      <c r="AM1" s="98" t="s">
        <v>138</v>
      </c>
      <c r="AN1" s="98" t="s">
        <v>139</v>
      </c>
      <c r="AO1" s="98" t="s">
        <v>140</v>
      </c>
      <c r="AP1" s="98" t="s">
        <v>141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2"/>
  <sheetViews>
    <sheetView topLeftCell="W1" workbookViewId="0">
      <selection activeCell="AH2" sqref="AH2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2.285156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133</v>
      </c>
      <c r="AI1" s="99" t="s">
        <v>134</v>
      </c>
      <c r="AJ1" s="98" t="s">
        <v>135</v>
      </c>
      <c r="AK1" s="98" t="s">
        <v>136</v>
      </c>
      <c r="AL1" s="98" t="s">
        <v>137</v>
      </c>
      <c r="AM1" s="98" t="s">
        <v>138</v>
      </c>
      <c r="AN1" s="98" t="s">
        <v>139</v>
      </c>
      <c r="AO1" s="98" t="s">
        <v>140</v>
      </c>
      <c r="AP1" s="98" t="s">
        <v>141</v>
      </c>
    </row>
    <row r="2" spans="1:42">
      <c r="A2" t="s">
        <v>196</v>
      </c>
      <c r="B2" t="s">
        <v>3</v>
      </c>
      <c r="C2" t="s">
        <v>142</v>
      </c>
      <c r="D2" s="12">
        <v>44848</v>
      </c>
      <c r="E2">
        <v>2022</v>
      </c>
      <c r="F2" t="s">
        <v>87</v>
      </c>
      <c r="G2" s="12">
        <v>25278</v>
      </c>
      <c r="H2">
        <v>53</v>
      </c>
      <c r="I2" t="s">
        <v>38</v>
      </c>
      <c r="J2" t="s">
        <v>29</v>
      </c>
      <c r="M2">
        <v>0</v>
      </c>
      <c r="P2" s="79">
        <v>0</v>
      </c>
      <c r="Q2">
        <v>169091.58</v>
      </c>
      <c r="S2" t="s">
        <v>240</v>
      </c>
      <c r="T2" t="s">
        <v>127</v>
      </c>
      <c r="U2" t="s">
        <v>123</v>
      </c>
      <c r="V2" s="12">
        <v>44926</v>
      </c>
      <c r="W2" s="12">
        <v>25278</v>
      </c>
      <c r="X2" s="12">
        <v>44848</v>
      </c>
      <c r="Y2">
        <v>0</v>
      </c>
      <c r="Z2">
        <v>36</v>
      </c>
      <c r="AA2" t="s">
        <v>124</v>
      </c>
      <c r="AC2">
        <v>0</v>
      </c>
      <c r="AD2">
        <v>0</v>
      </c>
      <c r="AE2">
        <v>0</v>
      </c>
      <c r="AF2">
        <v>1</v>
      </c>
      <c r="AH2" t="s">
        <v>87</v>
      </c>
      <c r="AI2" s="12">
        <v>44926</v>
      </c>
      <c r="AJ2" t="s">
        <v>241</v>
      </c>
      <c r="AK2">
        <v>0</v>
      </c>
      <c r="AL2">
        <v>0</v>
      </c>
      <c r="AM2">
        <v>167183.14000000001</v>
      </c>
      <c r="AN2">
        <v>0</v>
      </c>
      <c r="AO2">
        <v>0</v>
      </c>
      <c r="AP2">
        <v>1908.44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width="12.85546875" bestFit="1" customWidth="1"/>
    <col min="2" max="3" width="11.42578125" customWidth="1"/>
    <col min="4" max="4" width="11.42578125" style="12" customWidth="1"/>
    <col min="5" max="5" width="11.42578125" customWidth="1"/>
    <col min="6" max="6" width="22.85546875" bestFit="1" customWidth="1"/>
    <col min="7" max="7" width="11.42578125" style="12" customWidth="1"/>
    <col min="8" max="10" width="11.42578125" customWidth="1"/>
    <col min="11" max="11" width="11.42578125" style="12" customWidth="1"/>
    <col min="12" max="12" width="37.5703125" bestFit="1" customWidth="1"/>
    <col min="13" max="15" width="11.42578125" customWidth="1"/>
    <col min="16" max="16" width="18.28515625" style="79" customWidth="1"/>
    <col min="17" max="21" width="11.42578125" customWidth="1"/>
    <col min="22" max="24" width="11.42578125" style="12" customWidth="1"/>
    <col min="25" max="32" width="11.42578125" customWidth="1"/>
    <col min="33" max="33" width="11.42578125" style="12" customWidth="1"/>
    <col min="34" max="34" width="11.42578125" customWidth="1"/>
    <col min="35" max="35" width="16.7109375" style="12" customWidth="1"/>
    <col min="36" max="37" width="11.42578125" customWidth="1"/>
    <col min="42" max="42" width="13" customWidth="1"/>
  </cols>
  <sheetData>
    <row r="1" spans="1:42" ht="90">
      <c r="A1" s="24" t="s">
        <v>90</v>
      </c>
      <c r="B1" s="24" t="s">
        <v>81</v>
      </c>
      <c r="C1" s="24" t="s">
        <v>91</v>
      </c>
      <c r="D1" s="24" t="s">
        <v>92</v>
      </c>
      <c r="E1" s="24" t="s">
        <v>93</v>
      </c>
      <c r="F1" s="24" t="s">
        <v>131</v>
      </c>
      <c r="G1" s="24" t="s">
        <v>95</v>
      </c>
      <c r="H1" s="24" t="s">
        <v>96</v>
      </c>
      <c r="I1" s="24" t="s">
        <v>97</v>
      </c>
      <c r="J1" s="24" t="s">
        <v>98</v>
      </c>
      <c r="K1" s="24" t="s">
        <v>99</v>
      </c>
      <c r="L1" s="24" t="s">
        <v>132</v>
      </c>
      <c r="M1" s="24" t="s">
        <v>101</v>
      </c>
      <c r="N1" s="24" t="s">
        <v>102</v>
      </c>
      <c r="O1" s="24" t="s">
        <v>103</v>
      </c>
      <c r="P1" s="78" t="s">
        <v>104</v>
      </c>
      <c r="Q1" s="24" t="s">
        <v>105</v>
      </c>
      <c r="R1" s="25" t="s">
        <v>52</v>
      </c>
      <c r="S1" s="25" t="s">
        <v>106</v>
      </c>
      <c r="T1" s="25" t="s">
        <v>107</v>
      </c>
      <c r="U1" s="25" t="s">
        <v>108</v>
      </c>
      <c r="V1" s="25" t="s">
        <v>109</v>
      </c>
      <c r="W1" s="25" t="s">
        <v>110</v>
      </c>
      <c r="X1" s="25" t="s">
        <v>111</v>
      </c>
      <c r="Y1" s="25" t="s">
        <v>112</v>
      </c>
      <c r="Z1" s="25" t="s">
        <v>113</v>
      </c>
      <c r="AA1" s="25" t="s">
        <v>114</v>
      </c>
      <c r="AB1" s="25" t="s">
        <v>115</v>
      </c>
      <c r="AC1" s="25" t="s">
        <v>116</v>
      </c>
      <c r="AD1" s="25" t="s">
        <v>117</v>
      </c>
      <c r="AE1" s="25" t="s">
        <v>118</v>
      </c>
      <c r="AF1" s="25" t="s">
        <v>119</v>
      </c>
      <c r="AG1" s="25" t="s">
        <v>120</v>
      </c>
      <c r="AH1" s="25" t="s">
        <v>133</v>
      </c>
      <c r="AI1" s="99" t="s">
        <v>134</v>
      </c>
      <c r="AJ1" s="98" t="s">
        <v>135</v>
      </c>
      <c r="AK1" s="98" t="s">
        <v>136</v>
      </c>
      <c r="AL1" s="98" t="s">
        <v>137</v>
      </c>
      <c r="AM1" s="98" t="s">
        <v>138</v>
      </c>
      <c r="AN1" s="98" t="s">
        <v>139</v>
      </c>
      <c r="AO1" s="98" t="s">
        <v>140</v>
      </c>
      <c r="AP1" s="98" t="s">
        <v>141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width="23" bestFit="1" customWidth="1"/>
    <col min="2" max="2" width="37.5703125" bestFit="1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width="22.140625" bestFit="1" customWidth="1"/>
    <col min="20" max="21" width="11.42578125" customWidth="1"/>
  </cols>
  <sheetData>
    <row r="1" spans="1:20" s="102" customFormat="1">
      <c r="A1" s="103" t="s">
        <v>146</v>
      </c>
      <c r="B1" s="103" t="s">
        <v>147</v>
      </c>
      <c r="M1" s="102" t="s">
        <v>148</v>
      </c>
      <c r="N1" s="102" t="s">
        <v>149</v>
      </c>
      <c r="O1" s="102" t="s">
        <v>150</v>
      </c>
      <c r="S1" s="103" t="s">
        <v>151</v>
      </c>
      <c r="T1" s="103" t="s">
        <v>152</v>
      </c>
    </row>
    <row r="2" spans="1:20">
      <c r="A2" t="s">
        <v>153</v>
      </c>
      <c r="B2" t="s">
        <v>154</v>
      </c>
      <c r="M2" s="92" t="s">
        <v>248</v>
      </c>
      <c r="N2" s="92" t="s">
        <v>249</v>
      </c>
      <c r="O2" s="92" t="s">
        <v>249</v>
      </c>
      <c r="Q2" t="s">
        <v>155</v>
      </c>
      <c r="S2" t="s">
        <v>252</v>
      </c>
    </row>
    <row r="3" spans="1:20">
      <c r="A3" t="s">
        <v>87</v>
      </c>
      <c r="B3" t="s">
        <v>73</v>
      </c>
      <c r="S3" t="s">
        <v>156</v>
      </c>
    </row>
    <row r="4" spans="1:20">
      <c r="A4" t="s">
        <v>87</v>
      </c>
      <c r="B4" t="s">
        <v>74</v>
      </c>
    </row>
    <row r="5" spans="1:20">
      <c r="A5" t="s">
        <v>87</v>
      </c>
      <c r="B5" t="s">
        <v>75</v>
      </c>
    </row>
    <row r="6" spans="1:20">
      <c r="A6" t="s">
        <v>87</v>
      </c>
      <c r="B6" t="s">
        <v>87</v>
      </c>
    </row>
    <row r="7" spans="1:20">
      <c r="A7" t="s">
        <v>87</v>
      </c>
      <c r="B7" t="s">
        <v>143</v>
      </c>
    </row>
    <row r="8" spans="1:20">
      <c r="A8" t="s">
        <v>87</v>
      </c>
      <c r="B8" t="s">
        <v>145</v>
      </c>
    </row>
    <row r="9" spans="1:20">
      <c r="A9" t="s">
        <v>88</v>
      </c>
      <c r="B9" t="s">
        <v>42</v>
      </c>
    </row>
    <row r="10" spans="1:20">
      <c r="A10" t="s">
        <v>88</v>
      </c>
      <c r="B10" t="s">
        <v>88</v>
      </c>
    </row>
    <row r="11" spans="1:20">
      <c r="A11" t="s">
        <v>89</v>
      </c>
      <c r="B11" t="s">
        <v>18</v>
      </c>
    </row>
    <row r="12" spans="1:20">
      <c r="A12" t="s">
        <v>89</v>
      </c>
      <c r="B12" t="s">
        <v>89</v>
      </c>
    </row>
    <row r="13" spans="1:20">
      <c r="A13" t="s">
        <v>89</v>
      </c>
      <c r="B13" t="s">
        <v>144</v>
      </c>
    </row>
    <row r="14" spans="1:20">
      <c r="A14" t="s">
        <v>153</v>
      </c>
      <c r="B14" t="s">
        <v>145</v>
      </c>
    </row>
    <row r="15" spans="1:20">
      <c r="A15" t="s">
        <v>87</v>
      </c>
      <c r="B15" t="s">
        <v>73</v>
      </c>
    </row>
    <row r="16" spans="1:20">
      <c r="A16" t="s">
        <v>87</v>
      </c>
      <c r="B16" t="s">
        <v>74</v>
      </c>
    </row>
    <row r="17" spans="1:2">
      <c r="A17" t="s">
        <v>87</v>
      </c>
      <c r="B17" t="s">
        <v>75</v>
      </c>
    </row>
    <row r="18" spans="1:2">
      <c r="A18" t="s">
        <v>87</v>
      </c>
      <c r="B18" t="s">
        <v>87</v>
      </c>
    </row>
    <row r="19" spans="1:2">
      <c r="A19" t="s">
        <v>88</v>
      </c>
      <c r="B19" t="s">
        <v>42</v>
      </c>
    </row>
    <row r="20" spans="1:2">
      <c r="A20" t="s">
        <v>88</v>
      </c>
      <c r="B20" t="s">
        <v>88</v>
      </c>
    </row>
    <row r="21" spans="1:2">
      <c r="A21" t="s">
        <v>89</v>
      </c>
      <c r="B21" t="s">
        <v>89</v>
      </c>
    </row>
    <row r="22" spans="1:2">
      <c r="A22" t="s">
        <v>89</v>
      </c>
      <c r="B22" t="s">
        <v>18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C19" sqref="C19"/>
    </sheetView>
  </sheetViews>
  <sheetFormatPr baseColWidth="10" defaultColWidth="9.140625" defaultRowHeight="15"/>
  <cols>
    <col min="1" max="1" width="10.42578125" customWidth="1"/>
    <col min="3" max="3" width="17.7109375" bestFit="1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width="17.42578125" bestFit="1" customWidth="1"/>
  </cols>
  <sheetData>
    <row r="1" spans="1:13">
      <c r="A1" s="103" t="s">
        <v>175</v>
      </c>
      <c r="B1" s="103"/>
      <c r="C1" s="106" t="s">
        <v>176</v>
      </c>
      <c r="D1" s="106" t="s">
        <v>177</v>
      </c>
      <c r="E1" s="106" t="s">
        <v>178</v>
      </c>
      <c r="F1" s="106" t="s">
        <v>179</v>
      </c>
      <c r="G1" s="103"/>
      <c r="H1" s="103" t="s">
        <v>180</v>
      </c>
      <c r="I1" s="103" t="s">
        <v>181</v>
      </c>
      <c r="J1" s="103" t="s">
        <v>182</v>
      </c>
      <c r="L1" s="107" t="s">
        <v>183</v>
      </c>
      <c r="M1" s="108" t="s">
        <v>2</v>
      </c>
    </row>
    <row r="2" spans="1:13">
      <c r="A2" t="s">
        <v>189</v>
      </c>
      <c r="C2" t="s">
        <v>190</v>
      </c>
      <c r="D2" t="s">
        <v>191</v>
      </c>
      <c r="E2" t="s">
        <v>192</v>
      </c>
      <c r="F2" t="s">
        <v>193</v>
      </c>
      <c r="H2" t="s">
        <v>194</v>
      </c>
      <c r="I2" t="s">
        <v>88</v>
      </c>
      <c r="J2" t="s">
        <v>195</v>
      </c>
    </row>
    <row r="3" spans="1:13">
      <c r="C3" t="s">
        <v>190</v>
      </c>
      <c r="D3" t="s">
        <v>196</v>
      </c>
      <c r="E3" t="s">
        <v>197</v>
      </c>
      <c r="F3" t="s">
        <v>193</v>
      </c>
      <c r="H3" t="s">
        <v>194</v>
      </c>
      <c r="I3" t="s">
        <v>89</v>
      </c>
      <c r="J3" t="s">
        <v>195</v>
      </c>
    </row>
    <row r="4" spans="1:13">
      <c r="C4" t="s">
        <v>190</v>
      </c>
      <c r="D4" t="s">
        <v>198</v>
      </c>
      <c r="E4" t="s">
        <v>199</v>
      </c>
      <c r="F4" t="s">
        <v>193</v>
      </c>
      <c r="H4" t="s">
        <v>194</v>
      </c>
      <c r="I4" t="s">
        <v>87</v>
      </c>
      <c r="J4" t="s">
        <v>195</v>
      </c>
    </row>
    <row r="5" spans="1:13">
      <c r="C5" t="s">
        <v>190</v>
      </c>
      <c r="D5" t="s">
        <v>200</v>
      </c>
      <c r="E5" t="s">
        <v>201</v>
      </c>
      <c r="F5" t="s">
        <v>193</v>
      </c>
      <c r="H5" t="s">
        <v>194</v>
      </c>
      <c r="I5" t="s">
        <v>153</v>
      </c>
      <c r="J5" t="s">
        <v>195</v>
      </c>
    </row>
    <row r="6" spans="1:13">
      <c r="C6" t="s">
        <v>190</v>
      </c>
      <c r="D6" t="s">
        <v>202</v>
      </c>
      <c r="E6" t="s">
        <v>203</v>
      </c>
      <c r="F6" t="s">
        <v>193</v>
      </c>
      <c r="H6" t="s">
        <v>204</v>
      </c>
      <c r="I6" t="s">
        <v>88</v>
      </c>
      <c r="J6" t="s">
        <v>195</v>
      </c>
    </row>
    <row r="7" spans="1:13">
      <c r="H7" t="s">
        <v>204</v>
      </c>
      <c r="I7" t="s">
        <v>89</v>
      </c>
      <c r="J7" t="s">
        <v>195</v>
      </c>
    </row>
    <row r="8" spans="1:13">
      <c r="H8" t="s">
        <v>204</v>
      </c>
      <c r="I8" t="s">
        <v>87</v>
      </c>
      <c r="J8" t="s">
        <v>195</v>
      </c>
    </row>
    <row r="9" spans="1:13">
      <c r="H9" t="s">
        <v>204</v>
      </c>
      <c r="I9" t="s">
        <v>153</v>
      </c>
      <c r="J9" t="s">
        <v>195</v>
      </c>
    </row>
    <row r="10" spans="1:13">
      <c r="H10" t="s">
        <v>205</v>
      </c>
      <c r="I10" t="s">
        <v>88</v>
      </c>
      <c r="J10" t="s">
        <v>195</v>
      </c>
    </row>
    <row r="11" spans="1:13">
      <c r="H11" t="s">
        <v>205</v>
      </c>
      <c r="I11" t="s">
        <v>89</v>
      </c>
      <c r="J11" t="s">
        <v>195</v>
      </c>
    </row>
    <row r="12" spans="1:13">
      <c r="H12" t="s">
        <v>205</v>
      </c>
      <c r="I12" t="s">
        <v>87</v>
      </c>
      <c r="J12" t="s">
        <v>195</v>
      </c>
    </row>
    <row r="13" spans="1:13">
      <c r="H13" t="s">
        <v>205</v>
      </c>
      <c r="I13" t="s">
        <v>153</v>
      </c>
      <c r="J13" t="s">
        <v>195</v>
      </c>
    </row>
    <row r="14" spans="1:13">
      <c r="H14" t="s">
        <v>206</v>
      </c>
      <c r="I14" t="s">
        <v>88</v>
      </c>
      <c r="J14" t="s">
        <v>207</v>
      </c>
    </row>
    <row r="15" spans="1:13">
      <c r="H15" t="s">
        <v>206</v>
      </c>
      <c r="I15" t="s">
        <v>89</v>
      </c>
      <c r="J15" t="s">
        <v>207</v>
      </c>
    </row>
    <row r="16" spans="1:13">
      <c r="H16" t="s">
        <v>206</v>
      </c>
      <c r="I16" t="s">
        <v>87</v>
      </c>
      <c r="J16" t="s">
        <v>207</v>
      </c>
    </row>
    <row r="17" spans="8:10">
      <c r="H17" t="s">
        <v>206</v>
      </c>
      <c r="I17" t="s">
        <v>153</v>
      </c>
      <c r="J17" t="s">
        <v>207</v>
      </c>
    </row>
    <row r="18" spans="8:10">
      <c r="H18" t="s">
        <v>208</v>
      </c>
      <c r="I18" t="s">
        <v>88</v>
      </c>
      <c r="J18" t="s">
        <v>209</v>
      </c>
    </row>
    <row r="19" spans="8:10">
      <c r="H19" t="s">
        <v>208</v>
      </c>
      <c r="I19" t="s">
        <v>89</v>
      </c>
      <c r="J19" t="s">
        <v>209</v>
      </c>
    </row>
    <row r="20" spans="8:10">
      <c r="H20" t="s">
        <v>208</v>
      </c>
      <c r="I20" t="s">
        <v>87</v>
      </c>
      <c r="J20" t="s">
        <v>209</v>
      </c>
    </row>
    <row r="21" spans="8:10">
      <c r="H21" t="s">
        <v>208</v>
      </c>
      <c r="I21" t="s">
        <v>153</v>
      </c>
      <c r="J21" t="s">
        <v>209</v>
      </c>
    </row>
    <row r="22" spans="8:10">
      <c r="H22" t="s">
        <v>210</v>
      </c>
      <c r="I22" t="s">
        <v>88</v>
      </c>
      <c r="J22" t="s">
        <v>211</v>
      </c>
    </row>
    <row r="23" spans="8:10">
      <c r="H23" t="s">
        <v>210</v>
      </c>
      <c r="I23" t="s">
        <v>89</v>
      </c>
      <c r="J23" t="s">
        <v>211</v>
      </c>
    </row>
    <row r="24" spans="8:10">
      <c r="H24" t="s">
        <v>210</v>
      </c>
      <c r="I24" t="s">
        <v>87</v>
      </c>
      <c r="J24" t="s">
        <v>211</v>
      </c>
    </row>
    <row r="25" spans="8:10">
      <c r="H25" t="s">
        <v>210</v>
      </c>
      <c r="I25" t="s">
        <v>153</v>
      </c>
      <c r="J25" t="s">
        <v>211</v>
      </c>
    </row>
    <row r="26" spans="8:10">
      <c r="H26" t="s">
        <v>212</v>
      </c>
      <c r="I26" t="s">
        <v>88</v>
      </c>
      <c r="J26" t="s">
        <v>213</v>
      </c>
    </row>
    <row r="27" spans="8:10">
      <c r="H27" t="s">
        <v>212</v>
      </c>
      <c r="I27" t="s">
        <v>89</v>
      </c>
      <c r="J27" t="s">
        <v>214</v>
      </c>
    </row>
    <row r="28" spans="8:10">
      <c r="H28" t="s">
        <v>212</v>
      </c>
      <c r="I28" t="s">
        <v>87</v>
      </c>
      <c r="J28" t="s">
        <v>213</v>
      </c>
    </row>
    <row r="29" spans="8:10">
      <c r="H29" t="s">
        <v>212</v>
      </c>
      <c r="I29" t="s">
        <v>153</v>
      </c>
      <c r="J29" t="s">
        <v>213</v>
      </c>
    </row>
    <row r="30" spans="8:10">
      <c r="H30" t="s">
        <v>215</v>
      </c>
      <c r="I30" t="s">
        <v>88</v>
      </c>
      <c r="J30" t="s">
        <v>216</v>
      </c>
    </row>
    <row r="31" spans="8:10">
      <c r="H31" t="s">
        <v>215</v>
      </c>
      <c r="I31" t="s">
        <v>89</v>
      </c>
      <c r="J31" t="s">
        <v>217</v>
      </c>
    </row>
    <row r="32" spans="8:10">
      <c r="H32" t="s">
        <v>215</v>
      </c>
      <c r="I32" t="s">
        <v>87</v>
      </c>
      <c r="J32" t="s">
        <v>218</v>
      </c>
    </row>
    <row r="33" spans="8:10">
      <c r="H33" t="s">
        <v>215</v>
      </c>
      <c r="I33" t="s">
        <v>153</v>
      </c>
      <c r="J33" t="s">
        <v>216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157</v>
      </c>
    </row>
    <row r="2" spans="1:1">
      <c r="A2" t="s">
        <v>158</v>
      </c>
    </row>
    <row r="3" spans="1:1">
      <c r="A3" t="s">
        <v>159</v>
      </c>
    </row>
    <row r="4" spans="1:1">
      <c r="A4" t="s">
        <v>160</v>
      </c>
    </row>
    <row r="5" spans="1:1">
      <c r="A5" t="s">
        <v>161</v>
      </c>
    </row>
    <row r="6" spans="1:1">
      <c r="A6" t="s">
        <v>162</v>
      </c>
    </row>
    <row r="7" spans="1:1">
      <c r="A7" t="s">
        <v>163</v>
      </c>
    </row>
    <row r="8" spans="1:1">
      <c r="A8" t="s">
        <v>164</v>
      </c>
    </row>
    <row r="9" spans="1:1">
      <c r="A9" t="s">
        <v>165</v>
      </c>
    </row>
    <row r="10" spans="1:1">
      <c r="A10" t="s">
        <v>166</v>
      </c>
    </row>
    <row r="11" spans="1:1">
      <c r="A11" t="s">
        <v>167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54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54" t="s">
        <v>168</v>
      </c>
      <c r="B1" t="s">
        <v>169</v>
      </c>
      <c r="C1" t="s">
        <v>170</v>
      </c>
      <c r="D1" t="s">
        <v>171</v>
      </c>
      <c r="E1" t="s">
        <v>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2023-09-14T14:55:45Z</dcterms:modified>
</cp:coreProperties>
</file>