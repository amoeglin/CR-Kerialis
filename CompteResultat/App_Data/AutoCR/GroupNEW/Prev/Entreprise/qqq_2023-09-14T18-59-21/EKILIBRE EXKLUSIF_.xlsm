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image/jpeg" Extension="jpg"/>
  <Default ContentType="image/png" Extension="png"/>
  <Default ContentType="application/vnd.openxmlformats-package.relationships+xml" Extension="rels"/>
  <Default ContentType="application/vnd.openxmlformats-officedocument.vmlDrawing" Extension="vml"/>
  <Default ContentType="image/x-wmf" Extension="wmf"/>
  <Default ContentType="application/xml" Extension="xml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5.xml"/>
  <Override ContentType="application/vnd.openxmlformats-officedocument.spreadsheetml.worksheet+xml" PartName="/xl/worksheets/sheet6.xml"/>
  <Override ContentType="application/vnd.openxmlformats-officedocument.spreadsheetml.worksheet+xml" PartName="/xl/worksheets/sheet7.xml"/>
  <Override ContentType="application/vnd.openxmlformats-officedocument.spreadsheetml.worksheet+xml" PartName="/xl/worksheets/sheet8.xml"/>
  <Override ContentType="application/vnd.openxmlformats-officedocument.spreadsheetml.worksheet+xml" PartName="/xl/worksheets/sheet9.xml"/>
  <Override ContentType="application/vnd.openxmlformats-officedocument.spreadsheetml.worksheet+xml" PartName="/xl/worksheets/sheet10.xml"/>
  <Override ContentType="application/vnd.openxmlformats-officedocument.spreadsheetml.worksheet+xml" PartName="/xl/worksheets/sheet11.xml"/>
  <Override ContentType="application/vnd.openxmlformats-officedocument.spreadsheetml.worksheet+xml" PartName="/xl/worksheets/sheet12.xml"/>
  <Override ContentType="application/vnd.openxmlformats-officedocument.spreadsheetml.worksheet+xml" PartName="/xl/worksheets/sheet13.xml"/>
  <Override ContentType="application/vnd.openxmlformats-officedocument.spreadsheetml.worksheet+xml" PartName="/xl/worksheets/sheet14.xml"/>
  <Override ContentType="application/vnd.openxmlformats-officedocument.spreadsheetml.worksheet+xml" PartName="/xl/worksheets/sheet15.xml"/>
  <Override ContentType="application/vnd.openxmlformats-officedocument.spreadsheetml.worksheet+xml" PartName="/xl/worksheets/sheet16.xml"/>
  <Override ContentType="application/vnd.openxmlformats-officedocument.spreadsheetml.worksheet+xml" PartName="/xl/worksheets/sheet17.xml"/>
  <Override ContentType="application/vnd.openxmlformats-officedocument.spreadsheetml.worksheet+xml" PartName="/xl/worksheets/sheet18.xml"/>
  <Override ContentType="application/vnd.openxmlformats-officedocument.spreadsheetml.worksheet+xml" PartName="/xl/worksheets/sheet19.xml"/>
  <Override ContentType="application/vnd.openxmlformats-officedocument.spreadsheetml.worksheet+xml" PartName="/xl/worksheets/sheet20.xml"/>
  <Override ContentType="application/vnd.openxmlformats-officedocument.spreadsheetml.worksheet+xml" PartName="/xl/worksheets/sheet21.xml"/>
  <Override ContentType="application/vnd.openxmlformats-officedocument.spreadsheetml.worksheet+xml" PartName="/xl/worksheets/sheet22.xml"/>
  <Override ContentType="application/vnd.openxmlformats-officedocument.spreadsheetml.worksheet+xml" PartName="/xl/worksheets/sheet23.xml"/>
  <Override ContentType="application/vnd.openxmlformats-officedocument.spreadsheetml.worksheet+xml" PartName="/xl/worksheets/sheet24.xml"/>
  <Override ContentType="application/vnd.openxmlformats-officedocument.spreadsheetml.worksheet+xml" PartName="/xl/worksheets/sheet25.xml"/>
  <Override ContentType="application/vnd.openxmlformats-officedocument.theme+xml" PartName="/xl/theme/theme1.xml"/>
  <Override ContentType="application/vnd.openxmlformats-officedocument.spreadsheetml.styles+xml" PartName="/xl/styles.xml"/>
  <Override ContentType="application/vnd.openxmlformats-officedocument.drawing+xml" PartName="/xl/drawings/drawing1.xml"/>
  <Override ContentType="application/vnd.ms-excel.controlproperties+xml" PartName="/xl/ctrlProps/ctrlProp1.xml"/>
  <Override ContentType="application/vnd.ms-excel.controlproperties+xml" PartName="/xl/ctrlProps/ctrlProp2.xml"/>
  <Override ContentType="application/vnd.openxmlformats-officedocument.drawing+xml" PartName="/xl/drawings/drawing2.xml"/>
  <Override ContentType="application/vnd.openxmlformats-officedocument.drawing+xml" PartName="/xl/drawings/drawing3.xml"/>
  <Override ContentType="application/vnd.openxmlformats-officedocument.drawingml.chart+xml" PartName="/xl/charts/chart1.xml"/>
  <Override ContentType="application/vnd.ms-office.chartstyle+xml" PartName="/xl/charts/style1.xml"/>
  <Override ContentType="application/vnd.ms-office.chartcolorstyle+xml" PartName="/xl/charts/colors1.xml"/>
  <Override ContentType="application/vnd.openxmlformats-officedocument.drawingml.chart+xml" PartName="/xl/charts/chart2.xml"/>
  <Override ContentType="application/vnd.ms-office.chartstyle+xml" PartName="/xl/charts/style2.xml"/>
  <Override ContentType="application/vnd.ms-office.chartcolorstyle+xml" PartName="/xl/charts/colors2.xml"/>
  <Override ContentType="application/vnd.openxmlformats-officedocument.drawing+xml" PartName="/xl/drawings/drawing4.xml"/>
  <Override ContentType="application/vnd.openxmlformats-officedocument.drawing+xml" PartName="/xl/drawings/drawing5.xml"/>
  <Override ContentType="application/vnd.openxmlformats-officedocument.drawing+xml" PartName="/xl/drawings/drawing6.xml"/>
  <Override ContentType="application/vnd.openxmlformats-officedocument.drawingml.chart+xml" PartName="/xl/charts/chart3.xml"/>
  <Override ContentType="application/vnd.ms-office.chartstyle+xml" PartName="/xl/charts/style3.xml"/>
  <Override ContentType="application/vnd.ms-office.chartcolorstyle+xml" PartName="/xl/charts/colors3.xml"/>
  <Override ContentType="application/vnd.openxmlformats-officedocument.drawingml.chart+xml" PartName="/xl/charts/chart4.xml"/>
  <Override ContentType="application/vnd.ms-office.chartstyle+xml" PartName="/xl/charts/style4.xml"/>
  <Override ContentType="application/vnd.ms-office.chartcolorstyle+xml" PartName="/xl/charts/colors4.xml"/>
  <Override ContentType="application/vnd.openxmlformats-officedocument.drawing+xml" PartName="/xl/drawings/drawing7.xml"/>
  <Override ContentType="application/vnd.openxmlformats-officedocument.drawing+xml" PartName="/xl/drawings/drawing8.xml"/>
  <Override ContentType="application/vnd.openxmlformats-officedocument.drawingml.chart+xml" PartName="/xl/charts/chart5.xml"/>
  <Override ContentType="application/vnd.ms-office.chartstyle+xml" PartName="/xl/charts/style5.xml"/>
  <Override ContentType="application/vnd.ms-office.chartcolorstyle+xml" PartName="/xl/charts/colors5.xml"/>
  <Override ContentType="application/vnd.openxmlformats-officedocument.drawingml.chart+xml" PartName="/xl/charts/chart6.xml"/>
  <Override ContentType="application/vnd.ms-office.chartstyle+xml" PartName="/xl/charts/style6.xml"/>
  <Override ContentType="application/vnd.ms-office.chartcolorstyle+xml" PartName="/xl/charts/colors6.xml"/>
  <Override ContentType="application/vnd.openxmlformats-officedocument.drawing+xml" PartName="/xl/drawings/drawing9.xml"/>
  <Override ContentType="application/vnd.openxmlformats-officedocument.spreadsheetml.sharedStrings+xml" PartName="/xl/sharedStrings.xml"/>
  <Override ContentType="application/vnd.ms-office.vbaProject" PartName="/xl/vbaProject.bin"/>
  <Override ContentType="application/vnd.openxmlformats-package.core-properties+xml" PartName="/docProps/core.xml"/>
  <Override ContentType="application/vnd.openxmlformats-officedocument.extended-properties+xml" PartName="/docProps/app.xml"/>
</Types>
</file>

<file path=_rels/.rels><?xml version="1.0" encoding="UTF-8" standalone="yes"?>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731" codeName="{C026B480-071E-DA80-A48C-D3F380F32C35}"/>
  <workbookPr codeName="ThisWorkbook"/>
  <mc:AlternateContent xmlns:mc="http://schemas.openxmlformats.org/markup-compatibility/2006">
    <mc:Choice Requires="x15">
      <x15ac:absPath xmlns:x15ac="http://schemas.microsoft.com/office/spreadsheetml/2010/11/ac" url="D:\Applications\Kerialis-CR3\App_Data\ReportTemplates\"/>
    </mc:Choice>
  </mc:AlternateContent>
  <xr:revisionPtr revIDLastSave="0" documentId="13_ncr:1_{20B88626-679C-487D-B9B6-D745AF602A20}" xr6:coauthVersionLast="47" xr6:coauthVersionMax="47" xr10:uidLastSave="{00000000-0000-0000-0000-000000000000}"/>
  <bookViews>
    <workbookView xWindow="-120" yWindow="-120" windowWidth="25440" windowHeight="15390" xr2:uid="{00000000-000D-0000-FFFF-FFFF00000000}"/>
  </bookViews>
  <sheets>
    <sheet name="Page de garde" sheetId="13" r:id="rId1"/>
    <sheet name="CONTROLE" sheetId="51" r:id="rId2"/>
    <sheet name="Résultats" sheetId="14" r:id="rId3"/>
    <sheet name="INCAP" sheetId="18" r:id="rId4"/>
    <sheet name="Evolution INCAP" sheetId="28" r:id="rId5"/>
    <sheet name="liste INCAPACITE" sheetId="31" r:id="rId6"/>
    <sheet name="INVAL" sheetId="38" r:id="rId7"/>
    <sheet name="liste INVALIDITE" sheetId="48" r:id="rId8"/>
    <sheet name="DECES" sheetId="39" r:id="rId9"/>
    <sheet name="liste DECES" sheetId="49" r:id="rId10"/>
    <sheet name="DATA COT" sheetId="5" r:id="rId11"/>
    <sheet name="DATA PREV" sheetId="33" r:id="rId12"/>
    <sheet name="DATA INCAP" sheetId="34" r:id="rId13"/>
    <sheet name="DATA INVAL" sheetId="35" r:id="rId14"/>
    <sheet name="DATA DECES" sheetId="36" r:id="rId15"/>
    <sheet name="DATA AUTRES" sheetId="37" r:id="rId16"/>
    <sheet name="DATA PROV" sheetId="40" r:id="rId17"/>
    <sheet name="DATA PROV INCAP" sheetId="43" r:id="rId18"/>
    <sheet name="DATA PROV INVAL" sheetId="44" r:id="rId19"/>
    <sheet name="DATA PROV DECES" sheetId="45" r:id="rId20"/>
    <sheet name="DATA PROV AUTRES" sheetId="46" r:id="rId21"/>
    <sheet name="AFFICHAGE" sheetId="27" r:id="rId22"/>
    <sheet name="AFFICHAGE-2" sheetId="54" r:id="rId23"/>
    <sheet name="IMPORT" sheetId="50" r:id="rId24"/>
    <sheet name="Erreurs" sheetId="52" r:id="rId25"/>
  </sheets>
  <functionGroups builtInGroupCount="19"/>
  <definedNames>
    <definedName name="ANNEE">'Résultats'!$C$17</definedName>
    <definedName name="ANNEE_1">'Résultats'!$C$17</definedName>
    <definedName name="ANNEE_2">'Résultats'!#REF!</definedName>
    <definedName name="_xlnm.Print_Area" localSheetId="0">'Page de garde'!$A$1:$U$38</definedName>
    <definedName name="ANNEE_2" localSheetId="4">'Résultats'!#REF!</definedName>
    <definedName name="ANNEE_2" localSheetId="5">'Résultats'!#REF!</definedName>
    <definedName name="ANNEE_2" localSheetId="6">'Résultats'!#REF!</definedName>
    <definedName name="ANNEE_2" localSheetId="7">'Résultats'!#REF!</definedName>
    <definedName name="ANNEE_2" localSheetId="8">'Résultats'!#REF!</definedName>
    <definedName name="ANNEE_2" localSheetId="9">'Résultats'!#REF!</definedName>
    <definedName name="_xlnm._FilterDatabase" localSheetId="11" hidden="1">'DATA PREV'!#REF!</definedName>
    <definedName name="_xlnm._FilterDatabase" localSheetId="12" hidden="1">'DATA INCAP'!$A$1:$AH$1</definedName>
    <definedName name="ANNEE_2" localSheetId="12">'Résultats'!#REF!</definedName>
    <definedName name="_xlnm._FilterDatabase" localSheetId="13" hidden="1">'DATA INVAL'!$A$1:$AG$1</definedName>
    <definedName name="ANNEE_2" localSheetId="13">'Résultats'!#REF!</definedName>
    <definedName name="_xlnm._FilterDatabase" localSheetId="14" hidden="1">'DATA DECES'!$A$1:$AG$1</definedName>
    <definedName name="ANNEE_2" localSheetId="14">'Résultats'!#REF!</definedName>
    <definedName name="_xlnm._FilterDatabase" localSheetId="15" hidden="1">'DATA AUTRES'!$A$1:$AG$1</definedName>
    <definedName name="ANNEE_2" localSheetId="15">'Résultats'!#REF!</definedName>
  </definedNames>
  <calcPr calcId="191029" fullCalcOnLoad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<sst xmlns="http://schemas.openxmlformats.org/spreadsheetml/2006/main" count="239" uniqueCount="239">
  <si>
    <t>MAJ EXCEL</t>
  </si>
  <si>
    <t>MAJ POWERPOINT</t>
  </si>
  <si>
    <t>OUI</t>
  </si>
  <si>
    <t>NON</t>
  </si>
  <si>
    <t>STATISTIQUES - Survenance</t>
  </si>
  <si>
    <t>PREVOYANCE</t>
  </si>
  <si>
    <t>BARREAU DE PARIS</t>
  </si>
  <si>
    <t>47500207 - 47502122</t>
  </si>
  <si>
    <t>Entreprise 22 - Entreprise 25</t>
  </si>
  <si>
    <t>Uniforme</t>
  </si>
  <si>
    <t>Contrat(s)</t>
  </si>
  <si>
    <t/>
  </si>
  <si>
    <t>KIETUDE ITT EXCKUSIF</t>
  </si>
  <si>
    <t>Collège</t>
  </si>
  <si>
    <t>Cadre, Non Cadre</t>
  </si>
  <si>
    <t xml:space="preserve">Période analysée : </t>
  </si>
  <si>
    <t>1 janvier 2022 au 31 décembre 2022</t>
  </si>
  <si>
    <t>Date d'arrêté des comptes :</t>
  </si>
  <si>
    <t>31 décembre 2022</t>
  </si>
  <si>
    <t>COMPTABLE</t>
  </si>
  <si>
    <t>Source -&gt; BASE DE DONNEES CRPS</t>
  </si>
  <si>
    <t>année</t>
  </si>
  <si>
    <t>Prestations</t>
  </si>
  <si>
    <t>Provisions</t>
  </si>
  <si>
    <t>Cotisations brutes</t>
  </si>
  <si>
    <t>Chargements</t>
  </si>
  <si>
    <t xml:space="preserve">Cotisations nettes </t>
  </si>
  <si>
    <t>Ratio combiné</t>
  </si>
  <si>
    <t>Gains/Pertes</t>
  </si>
  <si>
    <t>Source -&gt; Onglet Résultats</t>
  </si>
  <si>
    <t>ECART ( = Résultats - CONTROLE)</t>
  </si>
  <si>
    <t xml:space="preserve">A U C U N    E C A R T</t>
  </si>
  <si>
    <t xml:space="preserve">Date d'arrêté : </t>
  </si>
  <si>
    <t>Frais de gestion</t>
  </si>
  <si>
    <t>Taxes</t>
  </si>
  <si>
    <t>Taux de chargements</t>
  </si>
  <si>
    <t>Ratio</t>
  </si>
  <si>
    <t>INCAPACITE</t>
  </si>
  <si>
    <t>INVALIDITE</t>
  </si>
  <si>
    <t>DECES</t>
  </si>
  <si>
    <t>TOTAL</t>
  </si>
  <si>
    <t>Les prestations correspondent aux actes engagés dans l'exercice étudié, payées jusqu'à la date d'arrêté des comptes.</t>
  </si>
  <si>
    <t>Les provisions correspondent aux prestations non réglées à la date d'arrêté des comptes.</t>
  </si>
  <si>
    <t>Les cotisations sont exprimées hors taxe sur les conventions d'assurance, et dotations de services de gestion, commercialisation et assurances.</t>
  </si>
  <si>
    <r xmlns="http://schemas.openxmlformats.org/spreadsheetml/2006/main">
      <t>§</t>
    </r>
    <r xmlns="http://schemas.openxmlformats.org/spreadsheetml/2006/main">
      <rPr>
        <sz val="12"/>
        <color rgb="FF4FACBE"/>
        <rFont val="Arial"/>
        <family val="2"/>
      </rPr>
      <t xml:space="preserve"> </t>
    </r>
    <r xmlns="http://schemas.openxmlformats.org/spreadsheetml/2006/main">
      <rPr>
        <sz val="12"/>
        <color rgb="FF4FACBE"/>
        <rFont val="DINBek"/>
      </rPr>
      <t>Nombre d'assurés</t>
    </r>
  </si>
  <si>
    <r xmlns="http://schemas.openxmlformats.org/spreadsheetml/2006/main">
      <rPr>
        <sz val="12"/>
        <color rgb="FF4FACBE"/>
        <rFont val="Wingdings"/>
        <charset val="2"/>
      </rPr>
      <t>§</t>
    </r>
    <r xmlns="http://schemas.openxmlformats.org/spreadsheetml/2006/main">
      <rPr>
        <sz val="12"/>
        <color rgb="FF4FACBE"/>
        <rFont val="DINBek"/>
      </rPr>
      <t xml:space="preserve"> Pyramide des âges des assurés</t>
    </r>
  </si>
  <si>
    <t>Nombre d'arrêts</t>
  </si>
  <si>
    <t>Age Moyen à l'arrêt</t>
  </si>
  <si>
    <t>Durée moyenne d'arrêts</t>
  </si>
  <si>
    <t>Tranche</t>
  </si>
  <si>
    <t>Nombre d'arrêts (en%)</t>
  </si>
  <si>
    <t>Inférieur à 25 ans</t>
  </si>
  <si>
    <t>Tranche 25 à 29 ans</t>
  </si>
  <si>
    <t>Total général</t>
  </si>
  <si>
    <t>Tranche 30 à 34 ans</t>
  </si>
  <si>
    <t>Tranche 35 à 39 ans</t>
  </si>
  <si>
    <t>Tranche 40 à 44 ans</t>
  </si>
  <si>
    <t>Tranche 45 à 49 ans</t>
  </si>
  <si>
    <t>Tranche 50 à 54 ans</t>
  </si>
  <si>
    <t>Tranche 55 à 59 ans</t>
  </si>
  <si>
    <t>Supérieur ou égal à 60 ans</t>
  </si>
  <si>
    <r xmlns="http://schemas.openxmlformats.org/spreadsheetml/2006/main">
      <rPr>
        <sz val="12"/>
        <rFont val="Wingdings"/>
        <charset val="2"/>
      </rPr>
      <t>§</t>
    </r>
    <r xmlns="http://schemas.openxmlformats.org/spreadsheetml/2006/main">
      <rPr>
        <sz val="12"/>
        <rFont val="DINBek"/>
      </rPr>
      <t xml:space="preserve"> Nombre d'ayant droits</t>
    </r>
  </si>
  <si>
    <t>Arrêt de travail</t>
  </si>
  <si>
    <t xml:space="preserve">I. Nombre et durée d'arrêts </t>
  </si>
  <si>
    <t>Année</t>
  </si>
  <si>
    <t>Nombre d 'arrêts</t>
  </si>
  <si>
    <t>Age moyen à l'arrêt</t>
  </si>
  <si>
    <t>Durée moyenne d'arrêts en jours</t>
  </si>
  <si>
    <t>II. Nombre d'arrêts par nature du risque</t>
  </si>
  <si>
    <t>III. Valeur en Euros des arrêts par nature du risque</t>
  </si>
  <si>
    <t>Contrat</t>
  </si>
  <si>
    <t>Dossier</t>
  </si>
  <si>
    <t>Nom et Prénom</t>
  </si>
  <si>
    <t>sexe</t>
  </si>
  <si>
    <t>Naissance</t>
  </si>
  <si>
    <t>Type de Sinistre</t>
  </si>
  <si>
    <t>Date du Sinistre</t>
  </si>
  <si>
    <t xml:space="preserve">âge 
au Sinistre</t>
  </si>
  <si>
    <t>Dernière date indemnisée</t>
  </si>
  <si>
    <t>date de clôture</t>
  </si>
  <si>
    <t>Nb jours Indemnisés à la clôture</t>
  </si>
  <si>
    <t>Prestations Payées</t>
  </si>
  <si>
    <t>14319</t>
  </si>
  <si>
    <t>ARNAL MURIELLE MARTINE LAURENCE</t>
  </si>
  <si>
    <t>Féminin</t>
  </si>
  <si>
    <t>Cadre</t>
  </si>
  <si>
    <t>13982</t>
  </si>
  <si>
    <t>FOURMAUD MIREILLE</t>
  </si>
  <si>
    <t>13865</t>
  </si>
  <si>
    <t>BILLAY PASCAL</t>
  </si>
  <si>
    <t>Masculin</t>
  </si>
  <si>
    <t>Non Cadre</t>
  </si>
  <si>
    <t>14326</t>
  </si>
  <si>
    <t>NATAF LESLY</t>
  </si>
  <si>
    <t>14589</t>
  </si>
  <si>
    <t>MAZEL NADEGE</t>
  </si>
  <si>
    <t>14089</t>
  </si>
  <si>
    <t>CHEVALLIER SIHAM</t>
  </si>
  <si>
    <r xmlns="http://schemas.openxmlformats.org/spreadsheetml/2006/main">
      <rPr>
        <sz val="12"/>
        <color rgb="FF4FACBE"/>
        <rFont val="Wingdings"/>
        <charset val="2"/>
      </rPr>
      <t>§</t>
    </r>
    <r xmlns="http://schemas.openxmlformats.org/spreadsheetml/2006/main">
      <rPr>
        <sz val="12"/>
        <color rgb="FF4FACBE"/>
        <rFont val="DINBek"/>
      </rPr>
      <t xml:space="preserve"> Pyramide des âges des invalides</t>
    </r>
  </si>
  <si>
    <t>Nombre d'invalides</t>
  </si>
  <si>
    <t>Age Moyen</t>
  </si>
  <si>
    <t>Durée moyenne</t>
  </si>
  <si>
    <r xmlns="http://schemas.openxmlformats.org/spreadsheetml/2006/main">
      <rPr>
        <sz val="12"/>
        <color rgb="FF4FACBE"/>
        <rFont val="Wingdings"/>
        <charset val="2"/>
      </rPr>
      <t>§</t>
    </r>
    <r xmlns="http://schemas.openxmlformats.org/spreadsheetml/2006/main">
      <rPr>
        <sz val="12"/>
        <color rgb="FF4FACBE"/>
        <rFont val="DINBek"/>
      </rPr>
      <t xml:space="preserve"> Pyramide des âges des décès</t>
    </r>
  </si>
  <si>
    <t>Nombre de décès</t>
  </si>
  <si>
    <t>Nombre de dèces</t>
  </si>
  <si>
    <t>Nombre décès (en%)</t>
  </si>
  <si>
    <r xmlns="http://schemas.openxmlformats.org/spreadsheetml/2006/main">
      <rPr>
        <sz val="12"/>
        <rFont val="Wingdings"/>
        <charset val="2"/>
      </rPr>
      <t>§</t>
    </r>
    <r xmlns="http://schemas.openxmlformats.org/spreadsheetml/2006/main">
      <rPr>
        <sz val="12"/>
        <rFont val="DINBek"/>
      </rPr>
      <t xml:space="preserve"> Nombre de décès</t>
    </r>
  </si>
  <si>
    <t>Date du Décès</t>
  </si>
  <si>
    <t xml:space="preserve">âge 
au Décès</t>
  </si>
  <si>
    <t>Capitaux Payés</t>
  </si>
  <si>
    <t>DEBPRIME</t>
  </si>
  <si>
    <t>FINPRIME</t>
  </si>
  <si>
    <t>CONTRAT</t>
  </si>
  <si>
    <t>CODCOL</t>
  </si>
  <si>
    <t>ANNEE</t>
  </si>
  <si>
    <t>COTISATION</t>
  </si>
  <si>
    <t>COTISATION_BRUTE</t>
  </si>
  <si>
    <t>CODE GARANTIE</t>
  </si>
  <si>
    <t>Type de Compte - Survenance</t>
  </si>
  <si>
    <t>CLIENT</t>
  </si>
  <si>
    <t>COLLEGE</t>
  </si>
  <si>
    <t>DATE SINISTRE</t>
  </si>
  <si>
    <t>ANNEE SINISTRE</t>
  </si>
  <si>
    <t>CAUSE SINISTRE</t>
  </si>
  <si>
    <t>DATE NAISSANCE</t>
  </si>
  <si>
    <t>AGE AU SINISTRE</t>
  </si>
  <si>
    <t>TRANCHE AGE AU SINISTRE</t>
  </si>
  <si>
    <t>SEXE</t>
  </si>
  <si>
    <t>DATE CLOTURE</t>
  </si>
  <si>
    <t>NATURE SINISTRE</t>
  </si>
  <si>
    <t>NBJ INCAP</t>
  </si>
  <si>
    <t>AGE ENTREE INVAL</t>
  </si>
  <si>
    <t>NBJ INVAL</t>
  </si>
  <si>
    <t>PRESTATION</t>
  </si>
  <si>
    <t>PROVISION</t>
  </si>
  <si>
    <t>Nom</t>
  </si>
  <si>
    <t>Prénom</t>
  </si>
  <si>
    <t>Sexe (H/F)</t>
  </si>
  <si>
    <t>Date de Résiliation</t>
  </si>
  <si>
    <t>Date de Naissance</t>
  </si>
  <si>
    <t>Date d'entrée en Incapacité</t>
  </si>
  <si>
    <t>Franchise en Mois pour l'incapacité</t>
  </si>
  <si>
    <t>Durée de la prestation d'incapacité en mois</t>
  </si>
  <si>
    <t>incapacité avec Passage en invalidité Oui/Non (O/N)</t>
  </si>
  <si>
    <t>Date d'entrée en Invalidité</t>
  </si>
  <si>
    <t>Prestation annualisée pour l'incapacité ou l'invalidité</t>
  </si>
  <si>
    <t>Franchise en années pour l'invalidité</t>
  </si>
  <si>
    <t>Montant du Capital Décès</t>
  </si>
  <si>
    <t>Catégorie d'invalidité(1 , 2 ou 3)</t>
  </si>
  <si>
    <t>Date Max</t>
  </si>
  <si>
    <t>Code Sinistre</t>
  </si>
  <si>
    <t>TYPE SINISTRE</t>
  </si>
  <si>
    <t>MOTIF CLOTURE</t>
  </si>
  <si>
    <t>CodeSinistre</t>
  </si>
  <si>
    <t>DateProvision</t>
  </si>
  <si>
    <t>Matricule</t>
  </si>
  <si>
    <t>Pm</t>
  </si>
  <si>
    <t>PmPassage</t>
  </si>
  <si>
    <t>Psap</t>
  </si>
  <si>
    <t>PmMgdc</t>
  </si>
  <si>
    <t>Psi</t>
  </si>
  <si>
    <t>PmPortabilite</t>
  </si>
  <si>
    <t>CODE SINISTRE</t>
  </si>
  <si>
    <t>LIBELLE SINISTRE</t>
  </si>
  <si>
    <t>DATE DEBUT</t>
  </si>
  <si>
    <t>DATE FIN</t>
  </si>
  <si>
    <t>DATE D'ARRETE</t>
  </si>
  <si>
    <t>Comptable/Survenance</t>
  </si>
  <si>
    <t>PREV_1AN</t>
  </si>
  <si>
    <t>AUTRES</t>
  </si>
  <si>
    <t>Perte d'autonomie</t>
  </si>
  <si>
    <t>01/01/2010</t>
  </si>
  <si>
    <t>31/12/2023</t>
  </si>
  <si>
    <t>15</t>
  </si>
  <si>
    <t>Survenance</t>
  </si>
  <si>
    <t>Décès assuré</t>
  </si>
  <si>
    <t>Décès conjoint</t>
  </si>
  <si>
    <t>Décès enfant</t>
  </si>
  <si>
    <t>INCAPACITE_PM_MGDC</t>
  </si>
  <si>
    <t>INVALIDITE_PM_MGDC</t>
  </si>
  <si>
    <t>Invalidité</t>
  </si>
  <si>
    <t>INCAPACITE_PM_PASSAGE</t>
  </si>
  <si>
    <t>IsGroup</t>
  </si>
  <si>
    <t>GROUPE</t>
  </si>
  <si>
    <t>N°ENTREPRISE</t>
  </si>
  <si>
    <t>RAISON SOCIALE DE L'ENTREPRISE</t>
  </si>
  <si>
    <t>Structure Cotisation</t>
  </si>
  <si>
    <t>AnneeSurvenance</t>
  </si>
  <si>
    <t>TypeSinistre</t>
  </si>
  <si>
    <t>Frais</t>
  </si>
  <si>
    <t>EFFECTIF PAR SEXE</t>
  </si>
  <si>
    <t>Group1</t>
  </si>
  <si>
    <t>EKILIBRE EXKLUSIF_</t>
  </si>
  <si>
    <t>R1</t>
  </si>
  <si>
    <t>S1</t>
  </si>
  <si>
    <t>2015</t>
  </si>
  <si>
    <t>INCAPACITEaaa</t>
  </si>
  <si>
    <t>0,09</t>
  </si>
  <si>
    <t>47502122</t>
  </si>
  <si>
    <t>Entreprise 25</t>
  </si>
  <si>
    <t>47524287</t>
  </si>
  <si>
    <t>Entreprise 26</t>
  </si>
  <si>
    <t>47525653</t>
  </si>
  <si>
    <t>Entreprise 24</t>
  </si>
  <si>
    <t>47530591</t>
  </si>
  <si>
    <t>Entreprise 23</t>
  </si>
  <si>
    <t>2016</t>
  </si>
  <si>
    <t>2017</t>
  </si>
  <si>
    <t>2018</t>
  </si>
  <si>
    <t>0,1</t>
  </si>
  <si>
    <t>2019</t>
  </si>
  <si>
    <t>0,135</t>
  </si>
  <si>
    <t>2020</t>
  </si>
  <si>
    <t>0,158</t>
  </si>
  <si>
    <t>2021</t>
  </si>
  <si>
    <t>2022</t>
  </si>
  <si>
    <t>0,0911391082134843</t>
  </si>
  <si>
    <t>0,155824831994649</t>
  </si>
  <si>
    <t>0,0999813658930318</t>
  </si>
  <si>
    <t>FICHIERS D'IMPORT</t>
  </si>
  <si>
    <t>D:\_ROBERT\_IT\Projects\zzzCM\CR-Kerialis\CompteResultat\App_Data\Imports\PROVPREV-2023-07-12T16-44-29\CRPS_Prev_DetailCotis2022.xlsx</t>
  </si>
  <si>
    <t>D:\_ROBERT\_IT\Projects\zzzCM\CR-Kerialis\CompteResultat\App_Data\Imports\PROVPREV-2023-07-12T16-44-29\DecomptePrev2022.xlsx</t>
  </si>
  <si>
    <t>D:\_ROBERT\_IT\Projects\zzzCM\CR-Kerialis\CompteResultat\App_Data\Imports\PROVPREV-2023-07-12T16-44-29\Import_ProvisionsPrev_2022.xlsx</t>
  </si>
  <si>
    <t>D:\_ROBERT\_IT\Projects\zzzCM\CR-Kerialis\CompteResultat\App_Data\Imports\PROVPREV-2023-07-12T16-44-29\SinistrePrev2022.xlsx</t>
  </si>
  <si>
    <t>D:\_ROBERT\_IT\Projects\zzzCM\CR-Kerialis\CompteResultat\App_Data\Imports\PROVPREV-2023-07-12T16-44-29\TF_CRPS_Prev_DetailCotis2022.csv</t>
  </si>
  <si>
    <t>D:\_ROBERT\_IT\Projects\zzzCM\CR-Kerialis\CompteResultat\App_Data\Imports\PROVPREV-2023-07-12T16-44-29\TF_DecomptePrev2022.csv</t>
  </si>
  <si>
    <t>D:\_ROBERT\_IT\Projects\zzzCM\CR-Kerialis\CompteResultat\App_Data\Imports\PROVPREV-2023-07-12T16-44-29\TF_Import_ProvisionsPrev_2022.csv</t>
  </si>
  <si>
    <t>D:\_ROBERT\_IT\Projects\zzzCM\CR-Kerialis\CompteResultat\App_Data\Imports\PROVPREV-2023-07-12T16-44-29\TF_SinistrePrev2022.csv</t>
  </si>
  <si>
    <t>D:\_ROBERT\_IT\Projects\zzzCM\CR-Kerialis\CompteResultat\App_Data\Imports\a2-2023-07-10T00-24-11\Cot.csv</t>
  </si>
  <si>
    <t>D:\_ROBERT\_IT\Projects\zzzCM\CR-Kerialis\CompteResultat\App_Data\Imports\a2-2023-07-10T00-24-11\Demo.csv</t>
  </si>
  <si>
    <t>D:\_ROBERT\_IT\Projects\zzzCM\CR-Kerialis\CompteResultat\App_Data\Imports\a2-2023-07-10T00-24-11\Prest-Small.csv</t>
  </si>
  <si>
    <t>D:\_ROBERT\_IT\Projects\zzzCM\CR-Kerialis\CompteResultat\App_Data\Imports\a2-2023-07-10T00-24-11\TF_Cot.csv</t>
  </si>
  <si>
    <t>D:\_ROBERT\_IT\Projects\zzzCM\CR-Kerialis\CompteResultat\App_Data\Imports\a2-2023-07-10T00-24-11\TF_Demo.csv</t>
  </si>
  <si>
    <t>D:\_ROBERT\_IT\Projects\zzzCM\CR-Kerialis\CompteResultat\App_Data\Imports\a2-2023-07-10T00-24-11\TF_Prest-Small.csv</t>
  </si>
  <si>
    <t>Numéro chronologique</t>
  </si>
  <si>
    <t>Traitement concerné</t>
  </si>
  <si>
    <t>Libellé Famille</t>
  </si>
  <si>
    <t>Libellé Acte</t>
  </si>
  <si>
    <t>Libellé de l'erreur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</si>
</sst>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8" formatCode="#,##0.00\ &quot;€&quot;;[Red]\-#,##0.00\ &quot;€&quot;"/>
    <numFmt numFmtId="164" formatCode="&quot;€&quot;#,##0_);[Red]\(&quot;€&quot;#,##0\)"/>
    <numFmt numFmtId="165" formatCode="_(* #,##0.00_);_(* \(#,##0.00\);_(* &quot;-&quot;??_);_(@_)"/>
    <numFmt numFmtId="166" formatCode="_(&quot;€&quot;* #,##0.00_);_(&quot;€&quot;* \(#,##0.00\);_(&quot;€&quot;* &quot;-&quot;??_);_(@_)"/>
    <numFmt numFmtId="167" formatCode="0.0"/>
    <numFmt numFmtId="168" formatCode="#,##0\ &quot;€&quot;"/>
    <numFmt numFmtId="169" formatCode="_-* #,##0\ &quot;€&quot;_-;\-* #,##0\ &quot;€&quot;_-;_-* &quot;-&quot;??\ &quot;€&quot;_-;_-@_-"/>
    <numFmt numFmtId="170" formatCode="#,##0.00\ &quot;€&quot;"/>
    <numFmt numFmtId="171" formatCode="#,##0_ ;\-#,##0\ "/>
    <numFmt numFmtId="172" formatCode="#"/>
    <numFmt numFmtId="173" formatCode="0_ ;[Red]\-0\ "/>
  </numFmts>
  <fonts count="44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sz val="12"/>
      <name val="DINBek"/>
    </font>
    <font>
      <sz val="12"/>
      <color theme="0"/>
      <name val="DINBek"/>
    </font>
    <font>
      <sz val="11"/>
      <name val="DINBek"/>
    </font>
    <font>
      <sz val="11"/>
      <color theme="1"/>
      <name val="DINBek"/>
    </font>
    <font>
      <b/>
      <sz val="11"/>
      <color theme="0"/>
      <name val="DINBek"/>
    </font>
    <font>
      <sz val="14"/>
      <color theme="1"/>
      <name val="DINBek"/>
    </font>
    <font>
      <b/>
      <sz val="14"/>
      <name val="DINBek"/>
    </font>
    <font>
      <sz val="14"/>
      <name val="DINBek"/>
    </font>
    <font>
      <sz val="14"/>
      <color theme="1"/>
      <name val="Calibri"/>
      <family val="2"/>
      <scheme val="minor"/>
    </font>
    <font>
      <b/>
      <sz val="14"/>
      <color theme="0"/>
      <name val="DINBek"/>
    </font>
    <font>
      <b/>
      <sz val="36"/>
      <color rgb="FF4FACBE"/>
      <name val="DINbek Medium"/>
    </font>
    <font>
      <b/>
      <sz val="26"/>
      <color rgb="FF4FACBE"/>
      <name val="DINBek"/>
    </font>
    <font>
      <sz val="11"/>
      <color rgb="FF4FACBE"/>
      <name val="Calibri"/>
      <family val="2"/>
      <scheme val="minor"/>
    </font>
    <font>
      <sz val="26"/>
      <color rgb="FF4FACBE"/>
      <name val="Calibri"/>
      <family val="2"/>
      <scheme val="minor"/>
    </font>
    <font>
      <b/>
      <sz val="26"/>
      <color rgb="FF4FACBE"/>
      <name val="Arial"/>
      <family val="2"/>
    </font>
    <font>
      <sz val="10"/>
      <color rgb="FF4FACBE"/>
      <name val="Arial"/>
      <family val="2"/>
    </font>
    <font>
      <sz val="26"/>
      <color rgb="FF4FACBE"/>
      <name val="DINBek"/>
    </font>
    <font>
      <sz val="26"/>
      <color rgb="FF4FACBE"/>
      <name val="Arial"/>
      <family val="2"/>
    </font>
    <font>
      <sz val="14"/>
      <color rgb="FF4FACBE"/>
      <name val="DINBek"/>
    </font>
    <font>
      <b/>
      <sz val="14"/>
      <color rgb="FF4FACBE"/>
      <name val="DINBek"/>
    </font>
    <font>
      <sz val="12"/>
      <color rgb="FF4FACBE"/>
      <name val="Calibri"/>
      <family val="2"/>
      <scheme val="minor"/>
    </font>
    <font>
      <sz val="12"/>
      <color rgb="FF4FACBE"/>
      <name val="DINBek"/>
    </font>
    <font>
      <b/>
      <sz val="12"/>
      <color rgb="FF4FACBE"/>
      <name val="DINBek"/>
    </font>
    <font>
      <sz val="12"/>
      <color rgb="FF4FACBE"/>
      <name val="Wingdings"/>
    </font>
    <font>
      <b/>
      <sz val="11"/>
      <color rgb="FF4FACBE"/>
      <name val="Georgia"/>
      <family val="1"/>
    </font>
    <font>
      <sz val="12"/>
      <color rgb="FFFF0000"/>
      <name val="DINBek"/>
    </font>
    <font>
      <b/>
      <sz val="11"/>
      <color rgb="FFFF0000"/>
      <name val="Calibri"/>
      <family val="2"/>
      <scheme val="minor"/>
    </font>
    <font>
      <b/>
      <sz val="12"/>
      <color rgb="FF4FACBE"/>
      <name val="DINbek Medium"/>
    </font>
    <font>
      <b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</font>
    <font>
      <b/>
      <sz val="10"/>
      <color theme="1"/>
      <name val="Arial"/>
      <family val="2"/>
    </font>
    <font>
      <sz val="10"/>
      <color rgb="FF1F497D"/>
      <name val="Arial"/>
      <family val="2"/>
    </font>
    <font>
      <b/>
      <sz val="24"/>
      <color rgb="FF4FACBE"/>
      <name val="Calibri"/>
      <family val="2"/>
      <scheme val="minor"/>
    </font>
    <font>
      <b/>
      <sz val="18"/>
      <color rgb="FF4FACBE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12"/>
      <color rgb="FF4FACBE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20"/>
      <color rgb="FFFF0000"/>
      <name val="DINBek"/>
    </font>
  </fonts>
  <fills count="9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4FACBE"/>
        <bgColor indexed="64"/>
      </patternFill>
    </fill>
    <fill>
      <patternFill patternType="solid">
        <fgColor rgb="FF92D050"/>
        <bgColor indexed="64"/>
      </patternFill>
    </fill>
  </fills>
  <borders count="24">
    <border>
      <left/>
      <right/>
      <top/>
      <bottom/>
      <diagonal/>
    </border>
    <border>
      <left style="medium">
        <color theme="3"/>
      </left>
      <right style="medium">
        <color theme="3"/>
      </right>
      <top style="medium">
        <color theme="3"/>
      </top>
      <bottom style="medium">
        <color theme="3"/>
      </bottom>
      <diagonal/>
    </border>
    <border>
      <left style="thin">
        <color theme="8" tint="-0.24994659260841701"/>
      </left>
      <right/>
      <top style="thin">
        <color theme="8" tint="-0.24994659260841701"/>
      </top>
      <bottom/>
      <diagonal/>
    </border>
    <border>
      <left/>
      <right/>
      <top style="thin">
        <color theme="8" tint="-0.24994659260841701"/>
      </top>
      <bottom/>
      <diagonal/>
    </border>
    <border>
      <left/>
      <right style="thin">
        <color theme="8" tint="-0.24994659260841701"/>
      </right>
      <top style="thin">
        <color theme="8" tint="-0.24994659260841701"/>
      </top>
      <bottom/>
      <diagonal/>
    </border>
    <border>
      <left style="thin">
        <color theme="8" tint="-0.24994659260841701"/>
      </left>
      <right/>
      <top/>
      <bottom/>
      <diagonal/>
    </border>
    <border>
      <left/>
      <right style="thin">
        <color theme="8" tint="-0.24994659260841701"/>
      </right>
      <top/>
      <bottom/>
      <diagonal/>
    </border>
    <border>
      <left style="thin">
        <color theme="8" tint="-0.24994659260841701"/>
      </left>
      <right/>
      <top/>
      <bottom style="thin">
        <color theme="8" tint="-0.24994659260841701"/>
      </bottom>
      <diagonal/>
    </border>
    <border>
      <left/>
      <right/>
      <top/>
      <bottom style="thin">
        <color theme="8" tint="-0.24994659260841701"/>
      </bottom>
      <diagonal/>
    </border>
    <border>
      <left/>
      <right style="thin">
        <color theme="8" tint="-0.24994659260841701"/>
      </right>
      <top/>
      <bottom style="thin">
        <color theme="8" tint="-0.2499465926084170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rgb="FF0070C0"/>
      </right>
      <top/>
      <bottom/>
      <diagonal/>
    </border>
    <border>
      <left style="thin">
        <color rgb="FF0070C0"/>
      </left>
      <right/>
      <top/>
      <bottom style="thin">
        <color rgb="FF0070C0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medium">
        <color theme="8" tint="-0.499984740745262"/>
      </left>
      <right/>
      <top style="medium">
        <color theme="8" tint="-0.499984740745262"/>
      </top>
      <bottom style="medium">
        <color theme="8" tint="-0.499984740745262"/>
      </bottom>
      <diagonal/>
    </border>
    <border>
      <left/>
      <right/>
      <top style="medium">
        <color theme="8" tint="-0.499984740745262"/>
      </top>
      <bottom style="medium">
        <color theme="8" tint="-0.499984740745262"/>
      </bottom>
      <diagonal/>
    </border>
    <border>
      <left/>
      <right style="medium">
        <color theme="8" tint="-0.499984740745262"/>
      </right>
      <top style="medium">
        <color theme="8" tint="-0.499984740745262"/>
      </top>
      <bottom style="medium">
        <color theme="8" tint="-0.499984740745262"/>
      </bottom>
      <diagonal/>
    </border>
    <border>
      <left style="thin">
        <color theme="8" tint="-0.499984740745262"/>
      </left>
      <right style="medium">
        <color theme="3"/>
      </right>
      <top style="medium">
        <color theme="3"/>
      </top>
      <bottom style="medium">
        <color theme="3"/>
      </bottom>
      <diagonal/>
    </border>
  </borders>
  <cellStyleXfs count="9">
    <xf numFmtId="0" fontId="0" fillId="0" borderId="0"/>
    <xf numFmtId="165" fontId="1" fillId="0" borderId="0"/>
    <xf numFmtId="166" fontId="1" fillId="0" borderId="0"/>
    <xf numFmtId="0" fontId="3" fillId="0" borderId="0"/>
    <xf numFmtId="0" fontId="3" fillId="0" borderId="0"/>
    <xf numFmtId="0" fontId="3" fillId="0" borderId="0"/>
    <xf numFmtId="9" fontId="1" fillId="0" borderId="0"/>
    <xf numFmtId="9" fontId="3" fillId="0" borderId="0"/>
    <xf numFmtId="9" fontId="1" fillId="0" borderId="0"/>
  </cellStyleXfs>
  <cellXfs count="177">
    <xf numFmtId="0" applyNumberFormat="1" fontId="0" applyFont="1" fillId="0" applyFill="1" borderId="0" applyBorder="1" xfId="0"/>
    <xf numFmtId="165" applyNumberFormat="1" fontId="1" applyFont="1" fillId="0" applyFill="1" borderId="0" applyBorder="1" xfId="1"/>
    <xf numFmtId="166" applyNumberFormat="1" fontId="1" applyFont="1" fillId="0" applyFill="1" borderId="0" applyBorder="1" xfId="2"/>
    <xf numFmtId="0" applyNumberFormat="1" fontId="3" applyFont="1" fillId="0" applyFill="1" borderId="0" applyBorder="1" xfId="3"/>
    <xf numFmtId="0" applyNumberFormat="1" fontId="3" applyFont="1" fillId="0" applyFill="1" borderId="0" applyBorder="1" xfId="4"/>
    <xf numFmtId="0" applyNumberFormat="1" fontId="3" applyFont="1" fillId="0" applyFill="1" borderId="0" applyBorder="1" xfId="5"/>
    <xf numFmtId="9" applyNumberFormat="1" fontId="1" applyFont="1" fillId="0" applyFill="1" borderId="0" applyBorder="1" xfId="6"/>
    <xf numFmtId="9" applyNumberFormat="1" fontId="3" applyFont="1" fillId="0" applyFill="1" borderId="0" applyBorder="1" xfId="7"/>
    <xf numFmtId="9" applyNumberFormat="1" fontId="1" applyFont="1" fillId="0" applyFill="1" borderId="0" applyBorder="1" xfId="8"/>
    <xf numFmtId="0" applyNumberFormat="1" fontId="0" applyFont="1" fillId="0" applyFill="1" borderId="2" applyBorder="1" xfId="0"/>
    <xf numFmtId="0" applyNumberFormat="1" fontId="0" applyFont="1" fillId="0" applyFill="1" borderId="3" applyBorder="1" xfId="0"/>
    <xf numFmtId="0" applyNumberFormat="1" fontId="0" applyFont="1" fillId="0" applyFill="1" borderId="4" applyBorder="1" xfId="0"/>
    <xf numFmtId="0" applyNumberFormat="1" fontId="0" applyFont="1" fillId="0" applyFill="1" borderId="5" applyBorder="1" xfId="0"/>
    <xf numFmtId="0" applyNumberFormat="1" fontId="0" applyFont="1" fillId="0" applyFill="1" borderId="6" applyBorder="1" xfId="0"/>
    <xf numFmtId="0" applyNumberFormat="1" fontId="0" applyFont="1" fillId="0" applyFill="1" borderId="7" applyBorder="1" xfId="0"/>
    <xf numFmtId="0" applyNumberFormat="1" fontId="0" applyFont="1" fillId="0" applyFill="1" borderId="8" applyBorder="1" xfId="0"/>
    <xf numFmtId="0" applyNumberFormat="1" fontId="0" applyFont="1" fillId="0" applyFill="1" borderId="9" applyBorder="1" xfId="0"/>
    <xf numFmtId="0" applyNumberFormat="1" fontId="2" applyFont="1" fillId="0" applyFill="1" borderId="0" applyBorder="1" xfId="0"/>
    <xf numFmtId="0" applyNumberFormat="1" fontId="4" applyFont="1" fillId="0" applyFill="1" borderId="0" applyBorder="1" xfId="3"/>
    <xf numFmtId="1" applyNumberFormat="1" fontId="0" applyFont="1" fillId="0" applyFill="1" borderId="0" applyBorder="1" xfId="0"/>
    <xf numFmtId="14" applyNumberFormat="1" fontId="0" applyFont="1" fillId="0" applyFill="1" borderId="0" applyBorder="1" xfId="0"/>
    <xf numFmtId="0" applyNumberFormat="1" fontId="0" applyFont="1" fillId="0" applyFill="1" borderId="10" applyBorder="1" xfId="0"/>
    <xf numFmtId="0" applyNumberFormat="1" fontId="7" applyFont="1" fillId="0" applyFill="1" borderId="0" applyBorder="1" xfId="0">
      <alignment horizontal="left" vertical="center"/>
    </xf>
    <xf numFmtId="0" applyNumberFormat="1" fontId="6" applyFont="1" fillId="2" applyFill="1" borderId="0" applyBorder="1" xfId="4"/>
    <xf numFmtId="3" applyNumberFormat="1" fontId="6" applyFont="1" fillId="2" applyFill="1" borderId="0" applyBorder="1" xfId="4">
      <alignment horizontal="center"/>
    </xf>
    <xf numFmtId="0" applyNumberFormat="1" fontId="8" applyFont="1" fillId="2" applyFill="1" borderId="0" applyBorder="1" xfId="4">
      <alignment vertical="center"/>
    </xf>
    <xf numFmtId="9" applyNumberFormat="1" fontId="8" applyFont="1" fillId="2" applyFill="1" borderId="0" applyBorder="1" xfId="6">
      <alignment horizontal="center" vertical="center" wrapText="1"/>
    </xf>
    <xf numFmtId="0" applyNumberFormat="1" fontId="9" applyFont="1" fillId="0" applyFill="1" borderId="0" applyBorder="1" xfId="0">
      <alignment horizontal="left" vertical="center"/>
    </xf>
    <xf numFmtId="0" applyNumberFormat="1" fontId="12" applyFont="1" fillId="0" applyFill="1" borderId="0" applyBorder="1" xfId="0"/>
    <xf numFmtId="0" applyNumberFormat="1" fontId="9" applyFont="1" fillId="0" applyFill="1" borderId="0" applyBorder="1" xfId="3">
      <alignment horizontal="center" vertical="center"/>
    </xf>
    <xf numFmtId="0" applyNumberFormat="1" fontId="11" applyFont="1" fillId="2" applyFill="1" borderId="0" applyBorder="1" xfId="4"/>
    <xf numFmtId="0" applyNumberFormat="1" fontId="10" applyFont="1" fillId="2" applyFill="1" borderId="0" applyBorder="1" xfId="4"/>
    <xf numFmtId="1" applyNumberFormat="1" fontId="0" applyFont="1" fillId="4" applyFill="1" borderId="0" applyBorder="1" xfId="0">
      <alignment horizontal="center" vertical="center" wrapText="1"/>
    </xf>
    <xf numFmtId="1" applyNumberFormat="1" fontId="0" applyFont="1" fillId="5" applyFill="1" borderId="0" applyBorder="1" xfId="0">
      <alignment horizontal="center" vertical="center" wrapText="1"/>
    </xf>
    <xf numFmtId="0" applyNumberFormat="1" fontId="14" applyFont="1" fillId="0" applyFill="1" borderId="0" applyBorder="1" xfId="5">
      <alignment horizontal="left" vertical="center"/>
    </xf>
    <xf numFmtId="0" applyNumberFormat="1" fontId="16" applyFont="1" fillId="0" applyFill="1" borderId="0" applyBorder="1" xfId="0"/>
    <xf numFmtId="0" applyNumberFormat="1" fontId="17" applyFont="1" fillId="0" applyFill="1" borderId="5" applyBorder="1" xfId="0"/>
    <xf numFmtId="0" applyNumberFormat="1" fontId="17" applyFont="1" fillId="0" applyFill="1" borderId="0" applyBorder="1" xfId="0">
      <alignment horizontal="left" vertical="center"/>
    </xf>
    <xf numFmtId="0" applyNumberFormat="1" fontId="17" applyFont="1" fillId="0" applyFill="1" borderId="0" applyBorder="1" xfId="0"/>
    <xf numFmtId="0" applyNumberFormat="1" fontId="17" applyFont="1" fillId="0" applyFill="1" borderId="6" applyBorder="1" xfId="0"/>
    <xf numFmtId="0" applyNumberFormat="1" fontId="15" applyFont="1" fillId="0" applyFill="1" borderId="0" applyBorder="1" xfId="5">
      <alignment horizontal="left" vertical="center"/>
    </xf>
    <xf numFmtId="0" applyNumberFormat="1" fontId="16" applyFont="1" fillId="0" applyFill="1" borderId="5" applyBorder="1" xfId="0"/>
    <xf numFmtId="0" applyNumberFormat="1" fontId="16" applyFont="1" fillId="0" applyFill="1" borderId="0" applyBorder="1" xfId="0">
      <alignment horizontal="left" vertical="center"/>
    </xf>
    <xf numFmtId="0" applyNumberFormat="1" fontId="19" applyFont="1" fillId="0" applyFill="1" borderId="0" applyBorder="1" xfId="5">
      <alignment horizontal="left" vertical="center"/>
    </xf>
    <xf numFmtId="0" applyNumberFormat="1" fontId="16" applyFont="1" fillId="0" applyFill="1" borderId="6" applyBorder="1" xfId="0"/>
    <xf numFmtId="0" applyNumberFormat="1" fontId="20" applyFont="1" fillId="0" applyFill="1" borderId="0" applyBorder="1" xfId="5">
      <alignment horizontal="left" vertical="center"/>
    </xf>
    <xf numFmtId="0" applyNumberFormat="1" fontId="18" applyFont="1" fillId="0" applyFill="1" borderId="0" applyBorder="1" xfId="5">
      <alignment horizontal="left" vertical="center"/>
    </xf>
    <xf numFmtId="0" applyNumberFormat="1" fontId="21" applyFont="1" fillId="0" applyFill="1" borderId="0" applyBorder="1" xfId="5">
      <alignment horizontal="center"/>
    </xf>
    <xf numFmtId="0" applyNumberFormat="1" fontId="22" applyFont="1" fillId="0" applyFill="1" borderId="0" applyBorder="1" xfId="4"/>
    <xf numFmtId="14" applyNumberFormat="1" fontId="22" applyFont="1" fillId="0" applyFill="1" borderId="0" applyBorder="1" xfId="4">
      <alignment horizontal="left"/>
    </xf>
    <xf numFmtId="0" applyNumberFormat="1" fontId="24" applyFont="1" fillId="0" applyFill="1" borderId="0" applyBorder="1" xfId="0"/>
    <xf numFmtId="0" applyNumberFormat="1" fontId="24" applyFont="1" fillId="0" applyFill="1" borderId="5" applyBorder="1" xfId="0"/>
    <xf numFmtId="0" applyNumberFormat="1" fontId="25" applyFont="1" fillId="2" applyFill="1" borderId="0" applyBorder="1" xfId="4"/>
    <xf numFmtId="0" applyNumberFormat="1" fontId="24" applyFont="1" fillId="0" applyFill="1" borderId="6" applyBorder="1" xfId="0"/>
    <xf numFmtId="168" applyNumberFormat="1" fontId="13" applyFont="1" fillId="7" applyFill="1" borderId="1" applyBorder="1" xfId="3">
      <alignment horizontal="center" vertical="center" wrapText="1"/>
    </xf>
    <xf numFmtId="0" applyNumberFormat="1" fontId="26" applyFont="1" fillId="2" applyFill="1" borderId="0" applyBorder="1" xfId="4"/>
    <xf numFmtId="0" applyNumberFormat="1" fontId="27" applyFont="1" fillId="0" applyFill="1" borderId="0" applyBorder="1" xfId="3"/>
    <xf numFmtId="0" applyNumberFormat="1" fontId="25" applyFont="1" fillId="0" applyFill="1" borderId="0" applyBorder="1" xfId="3"/>
    <xf numFmtId="0" applyNumberFormat="1" fontId="28" applyFont="1" fillId="0" applyFill="1" borderId="0" applyBorder="1" xfId="3"/>
    <xf numFmtId="0" applyNumberFormat="1" fontId="5" applyFont="1" fillId="7" applyFill="1" borderId="10" applyBorder="1" xfId="3">
      <alignment horizontal="center" vertical="center" wrapText="1"/>
    </xf>
    <xf numFmtId="0" applyNumberFormat="1" fontId="2" applyFont="1" fillId="0" applyFill="1" borderId="0" applyBorder="1" xfId="0">
      <alignment horizontal="center"/>
    </xf>
    <xf numFmtId="0" applyNumberFormat="1" fontId="0" applyFont="1" fillId="0" applyFill="1" borderId="3" applyBorder="1" xfId="0">
      <alignment horizontal="center"/>
    </xf>
    <xf numFmtId="0" applyNumberFormat="1" fontId="0" applyFont="1" fillId="0" applyFill="1" borderId="0" applyBorder="1" xfId="0">
      <alignment horizontal="center"/>
    </xf>
    <xf numFmtId="0" applyNumberFormat="1" fontId="0" applyFont="1" fillId="0" applyFill="1" borderId="10" applyBorder="1" xfId="0">
      <alignment horizontal="center"/>
    </xf>
    <xf numFmtId="14" applyNumberFormat="1" fontId="0" applyFont="1" fillId="0" applyFill="1" borderId="10" applyBorder="1" xfId="0">
      <alignment horizontal="center"/>
    </xf>
    <xf numFmtId="169" applyNumberFormat="1" fontId="0" applyFont="1" fillId="0" applyFill="1" borderId="10" applyBorder="1" xfId="2">
      <alignment horizontal="center"/>
    </xf>
    <xf numFmtId="0" applyNumberFormat="1" fontId="25" applyFont="1" fillId="0" applyFill="1" borderId="10" applyBorder="1" xfId="3">
      <alignment horizontal="center" vertical="center"/>
    </xf>
    <xf numFmtId="1" applyNumberFormat="1" fontId="25" applyFont="1" fillId="0" applyFill="1" borderId="10" applyBorder="1" xfId="3">
      <alignment horizontal="center" vertical="center"/>
    </xf>
    <xf numFmtId="167" applyNumberFormat="1" fontId="25" applyFont="1" fillId="0" applyFill="1" borderId="10" applyBorder="1" xfId="3">
      <alignment horizontal="center" vertical="center"/>
    </xf>
    <xf numFmtId="167" applyNumberFormat="1" fontId="5" applyFont="1" fillId="7" applyFill="1" borderId="10" applyBorder="1" xfId="3">
      <alignment horizontal="center" vertical="center" wrapText="1"/>
    </xf>
    <xf numFmtId="9" applyNumberFormat="1" fontId="25" applyFont="1" fillId="3" applyFill="1" borderId="10" applyBorder="1" xfId="6">
      <alignment horizontal="center" vertical="center"/>
    </xf>
    <xf numFmtId="9" applyNumberFormat="1" fontId="5" applyFont="1" fillId="7" applyFill="1" borderId="10" applyBorder="1" xfId="3">
      <alignment horizontal="center" vertical="center" wrapText="1"/>
    </xf>
    <xf numFmtId="0" applyNumberFormat="1" fontId="25" applyFont="1" fillId="0" applyFill="1" borderId="10" applyBorder="1" xfId="3"/>
    <xf numFmtId="0" applyNumberFormat="1" fontId="25" applyFont="1" fillId="0" applyFill="1" borderId="10" applyBorder="1" xfId="3">
      <alignment horizontal="center"/>
    </xf>
    <xf numFmtId="1" applyNumberFormat="1" fontId="25" applyFont="1" fillId="0" applyFill="1" borderId="10" applyBorder="1" xfId="3">
      <alignment horizontal="center"/>
    </xf>
    <xf numFmtId="0" applyNumberFormat="1" fontId="29" applyFont="1" fillId="7" applyFill="1" borderId="10" applyBorder="1" xfId="3">
      <alignment horizontal="center" vertical="center" wrapText="1"/>
    </xf>
    <xf numFmtId="167" applyNumberFormat="1" fontId="29" applyFont="1" fillId="3" applyFill="1" borderId="10" applyBorder="1" xfId="1">
      <alignment horizontal="center" vertical="center"/>
    </xf>
    <xf numFmtId="167" applyNumberFormat="1" fontId="29" applyFont="1" fillId="7" applyFill="1" borderId="10" applyBorder="1" xfId="3">
      <alignment horizontal="center" vertical="center" wrapText="1"/>
    </xf>
    <xf numFmtId="167" applyNumberFormat="1" fontId="25" applyFont="1" fillId="3" applyFill="1" borderId="10" applyBorder="1" xfId="1">
      <alignment horizontal="center" vertical="center"/>
    </xf>
    <xf numFmtId="3" applyNumberFormat="1" fontId="5" applyFont="1" fillId="7" applyFill="1" borderId="10" applyBorder="1" xfId="3">
      <alignment horizontal="center" vertical="center" wrapText="1"/>
    </xf>
    <xf numFmtId="0" applyNumberFormat="1" fontId="25" applyFont="1" fillId="2" applyFill="1" borderId="10" applyBorder="1" xfId="3">
      <alignment horizontal="center" vertical="center"/>
    </xf>
    <xf numFmtId="3" applyNumberFormat="1" fontId="25" applyFont="1" fillId="2" applyFill="1" borderId="10" applyBorder="1" xfId="3">
      <alignment horizontal="center" vertical="center"/>
    </xf>
    <xf numFmtId="170" applyNumberFormat="1" fontId="25" applyFont="1" fillId="2" applyFill="1" borderId="10" applyBorder="1" xfId="3">
      <alignment horizontal="center" vertical="center"/>
    </xf>
    <xf numFmtId="170" applyNumberFormat="1" fontId="5" applyFont="1" fillId="7" applyFill="1" borderId="10" applyBorder="1" xfId="3">
      <alignment horizontal="center" vertical="center" wrapText="1"/>
    </xf>
    <xf numFmtId="0" applyNumberFormat="1" fontId="25" applyFont="1" fillId="0" applyFill="1" borderId="0" applyBorder="1" xfId="3">
      <alignment horizontal="center"/>
    </xf>
    <xf numFmtId="1" applyNumberFormat="1" fontId="25" applyFont="1" fillId="0" applyFill="1" borderId="0" applyBorder="1" xfId="3">
      <alignment horizontal="center"/>
    </xf>
    <xf numFmtId="4" applyNumberFormat="1" fontId="0" applyFont="1" fillId="4" applyFill="1" borderId="0" applyBorder="1" xfId="0">
      <alignment horizontal="center" vertical="center" wrapText="1"/>
    </xf>
    <xf numFmtId="4" applyNumberFormat="1" fontId="0" applyFont="1" fillId="0" applyFill="1" borderId="0" applyBorder="1" xfId="0"/>
    <xf numFmtId="0" applyNumberFormat="1" fontId="0" applyFont="1" fillId="0" applyFill="1" borderId="8" applyBorder="1" xfId="0">
      <alignment horizontal="center"/>
    </xf>
    <xf numFmtId="0" applyNumberFormat="1" fontId="2" applyFont="1" fillId="0" applyFill="1" borderId="14" applyBorder="1" xfId="0"/>
    <xf numFmtId="0" applyNumberFormat="1" fontId="0" applyFont="1" fillId="0" applyFill="1" borderId="15" applyBorder="1" xfId="0"/>
    <xf numFmtId="14" applyNumberFormat="1" fontId="0" applyFont="1" fillId="0" applyFill="1" borderId="0" applyBorder="1" xfId="0">
      <alignment horizontal="center"/>
    </xf>
    <xf numFmtId="169" applyNumberFormat="1" fontId="0" applyFont="1" fillId="0" applyFill="1" borderId="0" applyBorder="1" xfId="2">
      <alignment horizontal="center"/>
    </xf>
    <xf numFmtId="171" applyNumberFormat="1" fontId="0" applyFont="1" fillId="0" applyFill="1" borderId="10" applyBorder="1" xfId="2">
      <alignment horizontal="center"/>
    </xf>
    <xf numFmtId="0" applyNumberFormat="1" fontId="0" applyFont="1" fillId="0" applyFill="1" borderId="10" applyBorder="1" xfId="0">
      <alignment horizontal="left"/>
    </xf>
    <xf numFmtId="0" applyNumberFormat="1" fontId="0" applyFont="1" fillId="0" applyFill="1" borderId="0" applyBorder="1" xfId="0">
      <alignment horizontal="left"/>
    </xf>
    <xf numFmtId="171" applyNumberFormat="1" fontId="0" applyFont="1" fillId="0" applyFill="1" borderId="0" applyBorder="1" xfId="2">
      <alignment horizontal="center"/>
    </xf>
    <xf numFmtId="172" applyNumberFormat="1" fontId="0" applyFont="1" fillId="0" applyFill="1" borderId="10" applyBorder="1" xfId="2">
      <alignment horizontal="center"/>
    </xf>
    <xf numFmtId="172" applyNumberFormat="1" fontId="0" applyFont="1" fillId="0" applyFill="1" borderId="0" applyBorder="1" xfId="2">
      <alignment horizontal="center"/>
    </xf>
    <xf numFmtId="0" applyNumberFormat="1" fontId="30" applyFont="1" fillId="0" applyFill="1" borderId="0" applyBorder="1" xfId="0">
      <alignment horizontal="center" vertical="center" wrapText="1"/>
    </xf>
    <xf numFmtId="14" applyNumberFormat="1" fontId="0" applyFont="1" fillId="6" applyFill="1" borderId="0" applyBorder="1" xfId="0"/>
    <xf numFmtId="0" applyNumberFormat="1" fontId="5" applyFont="1" fillId="7" applyFill="1" borderId="16" applyBorder="1" xfId="3">
      <alignment horizontal="center" vertical="center" wrapText="1"/>
    </xf>
    <xf numFmtId="0" applyNumberFormat="1" fontId="0" applyFont="1" fillId="0" applyFill="1" borderId="17" applyBorder="1" xfId="0"/>
    <xf numFmtId="0" applyNumberFormat="1" fontId="0" applyFont="1" fillId="0" applyFill="1" borderId="19" applyBorder="1" xfId="0"/>
    <xf numFmtId="0" applyNumberFormat="1" fontId="0" applyFont="1" fillId="0" applyFill="1" borderId="18" applyBorder="1" xfId="0"/>
    <xf numFmtId="0" applyNumberFormat="1" fontId="30" applyFont="1" fillId="0" applyFill="1" borderId="0" applyBorder="1" xfId="0"/>
    <xf numFmtId="1" applyNumberFormat="1" fontId="0" applyFont="1" fillId="6" applyFill="1" borderId="0" applyBorder="1" xfId="0">
      <alignment horizontal="center" vertical="center" wrapText="1"/>
    </xf>
    <xf numFmtId="14" applyNumberFormat="1" fontId="0" applyFont="1" fillId="6" applyFill="1" borderId="0" applyBorder="1" xfId="0">
      <alignment horizontal="center" vertical="center" wrapText="1"/>
    </xf>
    <xf numFmtId="170" applyNumberFormat="1" fontId="6" applyFont="1" fillId="0" applyFill="1" borderId="0" applyBorder="1" xfId="3">
      <alignment horizontal="center" vertical="center" wrapText="1"/>
    </xf>
    <xf numFmtId="0" applyNumberFormat="1" fontId="34" applyFont="1" fillId="0" applyFill="1" borderId="0" applyBorder="1" xfId="0">
      <alignment horizontal="center"/>
    </xf>
    <xf numFmtId="0" applyNumberFormat="1" fontId="32" applyFont="1" fillId="0" applyFill="1" borderId="0" applyBorder="1" xfId="0"/>
    <xf numFmtId="0" applyNumberFormat="1" fontId="32" applyFont="1" fillId="5" applyFill="1" borderId="0" applyBorder="1" xfId="0"/>
    <xf numFmtId="173" applyNumberFormat="1" fontId="0" applyFont="1" fillId="0" applyFill="1" borderId="0" applyBorder="1" xfId="0">
      <alignment horizontal="center"/>
    </xf>
    <xf numFmtId="10" applyNumberFormat="1" fontId="0" applyFont="1" fillId="0" applyFill="1" borderId="0" applyBorder="1" xfId="0">
      <alignment horizontal="center"/>
    </xf>
    <xf numFmtId="0" applyNumberFormat="1" fontId="35" applyFont="1" fillId="5" applyFill="1" borderId="0" applyBorder="1" xfId="0"/>
    <xf numFmtId="0" applyNumberFormat="1" fontId="32" applyFont="1" fillId="5" applyFill="1" borderId="0" applyBorder="1" xfId="0">
      <alignment horizontal="left"/>
    </xf>
    <xf numFmtId="0" applyNumberFormat="1" fontId="32" applyFont="1" fillId="5" applyFill="1" borderId="0" applyBorder="1" xfId="0">
      <alignment horizontal="center"/>
    </xf>
    <xf numFmtId="168" applyNumberFormat="1" fontId="2" applyFont="1" fillId="0" applyFill="1" borderId="0" applyBorder="1" xfId="0"/>
    <xf numFmtId="168" applyNumberFormat="1" fontId="0" applyFont="1" fillId="0" applyFill="1" borderId="3" applyBorder="1" xfId="0"/>
    <xf numFmtId="168" applyNumberFormat="1" fontId="0" applyFont="1" fillId="0" applyFill="1" borderId="0" applyBorder="1" xfId="0"/>
    <xf numFmtId="0" applyNumberFormat="1" fontId="22" applyFont="1" fillId="0" applyFill="1" borderId="0" applyBorder="1" xfId="4" quotePrefix="1"/>
    <xf numFmtId="168" applyNumberFormat="1" fontId="11" applyFont="1" fillId="0" applyFill="1" borderId="0" applyBorder="1" xfId="4">
      <alignment horizontal="left"/>
    </xf>
    <xf numFmtId="168" applyNumberFormat="1" fontId="9" applyFont="1" fillId="0" applyFill="1" borderId="0" applyBorder="1" xfId="0">
      <alignment horizontal="left" vertical="center"/>
    </xf>
    <xf numFmtId="168" applyNumberFormat="1" fontId="9" applyFont="1" fillId="0" applyFill="1" borderId="0" applyBorder="1" xfId="3">
      <alignment horizontal="center" vertical="center"/>
    </xf>
    <xf numFmtId="0" applyNumberFormat="1" fontId="13" applyFont="1" fillId="7" applyFill="1" borderId="1" applyBorder="1" xfId="3">
      <alignment horizontal="center" vertical="center" wrapText="1"/>
    </xf>
    <xf numFmtId="0" applyNumberFormat="1" fontId="13" applyFont="1" fillId="7" applyFill="1" borderId="23" applyBorder="1" xfId="3">
      <alignment horizontal="center" vertical="center"/>
    </xf>
    <xf numFmtId="168" applyNumberFormat="1" fontId="9" applyFont="1" fillId="0" applyFill="1" borderId="1" applyBorder="1" xfId="3">
      <alignment horizontal="center" vertical="center"/>
    </xf>
    <xf numFmtId="10" applyNumberFormat="1" fontId="9" applyFont="1" fillId="0" applyFill="1" borderId="1" applyBorder="1" xfId="6">
      <alignment horizontal="center" vertical="center"/>
    </xf>
    <xf numFmtId="9" applyNumberFormat="1" fontId="9" applyFont="1" fillId="0" applyFill="1" borderId="1" applyBorder="1" xfId="6">
      <alignment horizontal="center" vertical="center"/>
    </xf>
    <xf numFmtId="164" applyNumberFormat="1" fontId="9" applyFont="1" fillId="0" applyFill="1" borderId="1" applyBorder="1" xfId="3">
      <alignment horizontal="center" vertical="center"/>
    </xf>
    <xf numFmtId="9" applyNumberFormat="1" fontId="11" applyFont="1" fillId="2" applyFill="1" borderId="0" applyBorder="1" xfId="4"/>
    <xf numFmtId="168" applyNumberFormat="1" fontId="11" applyFont="1" fillId="2" applyFill="1" borderId="0" applyBorder="1" xfId="4"/>
    <xf numFmtId="168" applyNumberFormat="1" fontId="11" applyFont="1" fillId="2" applyFill="1" borderId="0" applyBorder="1" xfId="4">
      <alignment horizontal="center"/>
    </xf>
    <xf numFmtId="0" applyNumberFormat="1" fontId="13" applyFont="1" fillId="2" applyFill="1" borderId="0" applyBorder="1" xfId="4">
      <alignment vertical="center"/>
    </xf>
    <xf numFmtId="9" applyNumberFormat="1" fontId="13" applyFont="1" fillId="2" applyFill="1" borderId="0" applyBorder="1" xfId="6">
      <alignment horizontal="center" vertical="center" wrapText="1"/>
    </xf>
    <xf numFmtId="9" applyNumberFormat="1" fontId="9" applyFont="1" fillId="0" applyFill="1" borderId="0" applyBorder="1" xfId="6">
      <alignment horizontal="center" vertical="center"/>
    </xf>
    <xf numFmtId="0" applyNumberFormat="1" fontId="4" applyFont="1" fillId="2" applyFill="1" borderId="0" applyBorder="1" xfId="4">
      <alignment horizontal="left" wrapText="1"/>
    </xf>
    <xf numFmtId="168" applyNumberFormat="1" fontId="0" applyFont="1" fillId="0" applyFill="1" borderId="8" applyBorder="1" xfId="0"/>
    <xf numFmtId="0" applyNumberFormat="1" fontId="36" applyFont="1" fillId="0" applyFill="1" borderId="0" applyBorder="1" xfId="0">
      <alignment vertical="center"/>
    </xf>
    <xf numFmtId="0" applyNumberFormat="1" fontId="37" applyFont="1" fillId="0" applyFill="1" borderId="0" applyBorder="1" xfId="0">
      <alignment vertical="center"/>
    </xf>
    <xf numFmtId="0" applyNumberFormat="1" fontId="0" applyFont="1" fillId="0" applyFill="1" borderId="0" applyBorder="1" xfId="0">
      <alignment horizontal="left" vertical="top"/>
    </xf>
    <xf numFmtId="0" applyNumberFormat="1" fontId="16" applyFont="1" fillId="0" applyFill="1" borderId="2" applyBorder="1" xfId="0"/>
    <xf numFmtId="0" applyNumberFormat="1" fontId="16" applyFont="1" fillId="0" applyFill="1" borderId="3" applyBorder="1" xfId="0"/>
    <xf numFmtId="0" applyNumberFormat="1" fontId="16" applyFont="1" fillId="0" applyFill="1" borderId="4" applyBorder="1" xfId="0"/>
    <xf numFmtId="0" applyNumberFormat="1" fontId="16" applyFont="1" fillId="0" applyFill="1" borderId="5" applyBorder="1" xfId="0">
      <alignment wrapText="1"/>
    </xf>
    <xf numFmtId="0" applyNumberFormat="1" fontId="16" applyFont="1" fillId="0" applyFill="1" borderId="6" applyBorder="1" xfId="0">
      <alignment wrapText="1"/>
    </xf>
    <xf numFmtId="0" applyNumberFormat="1" fontId="17" applyFont="1" fillId="0" applyFill="1" borderId="0" applyBorder="1" xfId="0">
      <alignment vertical="center" wrapText="1"/>
    </xf>
    <xf numFmtId="0" applyNumberFormat="1" fontId="43" applyFont="1" fillId="0" applyFill="1" borderId="0" applyBorder="1" xfId="5">
      <alignment horizontal="left" vertical="center"/>
    </xf>
    <xf numFmtId="0" applyNumberFormat="1" fontId="16" applyFont="1" fillId="0" applyFill="1" borderId="7" applyBorder="1" xfId="0"/>
    <xf numFmtId="0" applyNumberFormat="1" fontId="16" applyFont="1" fillId="0" applyFill="1" borderId="8" applyBorder="1" xfId="0"/>
    <xf numFmtId="0" applyNumberFormat="1" fontId="16" applyFont="1" fillId="0" applyFill="1" borderId="9" applyBorder="1" xfId="0"/>
    <xf numFmtId="8" applyNumberFormat="1" fontId="0" applyFont="1" fillId="0" applyFill="1" borderId="0" applyBorder="1" xfId="0">
      <alignment horizontal="center"/>
    </xf>
    <xf numFmtId="0" applyNumberFormat="1" fontId="39" applyFont="1" fillId="0" applyFill="1" borderId="0" applyBorder="1" xfId="0">
      <alignment horizontal="left" vertical="center" wrapText="1"/>
    </xf>
    <xf numFmtId="0" applyNumberFormat="1" fontId="40" applyFont="1" fillId="0" applyFill="1" borderId="0" applyBorder="1" xfId="0">
      <alignment horizontal="left" vertical="center" wrapText="1"/>
    </xf>
    <xf numFmtId="0" applyNumberFormat="1" fontId="41" applyFont="1" fillId="0" applyFill="1" borderId="0" applyBorder="1" xfId="0">
      <alignment horizontal="left" vertical="center" wrapText="1"/>
    </xf>
    <xf numFmtId="0" applyNumberFormat="1" fontId="42" applyFont="1" fillId="0" applyFill="1" borderId="0" applyBorder="1" xfId="0">
      <alignment horizontal="left" vertical="center" wrapText="1"/>
    </xf>
    <xf numFmtId="0" applyNumberFormat="1" fontId="23" applyFont="1" fillId="0" applyFill="1" borderId="0" applyBorder="1" xfId="5">
      <alignment horizontal="left" vertical="center" wrapText="1"/>
    </xf>
    <xf numFmtId="0" applyNumberFormat="1" fontId="38" applyFont="1" fillId="0" applyFill="1" borderId="0" applyBorder="1" xfId="0">
      <alignment horizontal="left" vertical="center" wrapText="1"/>
    </xf>
    <xf numFmtId="0" applyNumberFormat="1" fontId="33" applyFont="1" fillId="7" applyFill="1" borderId="16" applyBorder="1" xfId="0">
      <alignment horizontal="center"/>
    </xf>
    <xf numFmtId="0" applyNumberFormat="1" fontId="30" applyFont="1" fillId="8" applyFill="1" borderId="0" applyBorder="1" xfId="0">
      <alignment horizontal="center"/>
    </xf>
    <xf numFmtId="1" applyNumberFormat="1" fontId="23" applyFont="1" fillId="0" applyFill="1" borderId="11" applyBorder="1" xfId="4">
      <alignment horizontal="left" vertical="center" wrapText="1"/>
    </xf>
    <xf numFmtId="1" applyNumberFormat="1" fontId="23" applyFont="1" fillId="0" applyFill="1" borderId="12" applyBorder="1" xfId="4">
      <alignment horizontal="left" vertical="center" wrapText="1"/>
    </xf>
    <xf numFmtId="1" applyNumberFormat="1" fontId="23" applyFont="1" fillId="0" applyFill="1" borderId="13" applyBorder="1" xfId="4">
      <alignment horizontal="left" vertical="center" wrapText="1"/>
    </xf>
    <xf numFmtId="0" applyNumberFormat="1" fontId="4" applyFont="1" fillId="2" applyFill="1" borderId="0" applyBorder="1" xfId="4">
      <alignment horizontal="left" wrapText="1"/>
    </xf>
    <xf numFmtId="0" applyNumberFormat="1" fontId="31" applyFont="1" fillId="0" applyFill="1" borderId="11" applyBorder="1" xfId="5">
      <alignment horizontal="left" vertical="center" wrapText="1"/>
    </xf>
    <xf numFmtId="0" applyNumberFormat="1" fontId="31" applyFont="1" fillId="0" applyFill="1" borderId="12" applyBorder="1" xfId="5">
      <alignment horizontal="left" vertical="center" wrapText="1"/>
    </xf>
    <xf numFmtId="0" applyNumberFormat="1" fontId="31" applyFont="1" fillId="0" applyFill="1" borderId="13" applyBorder="1" xfId="5">
      <alignment horizontal="left" vertical="center" wrapText="1"/>
    </xf>
    <xf numFmtId="0" applyNumberFormat="1" fontId="31" applyFont="1" fillId="0" applyFill="1" borderId="20" applyBorder="1" xfId="5">
      <alignment horizontal="left" vertical="center" wrapText="1"/>
    </xf>
    <xf numFmtId="0" applyNumberFormat="1" fontId="31" applyFont="1" fillId="0" applyFill="1" borderId="21" applyBorder="1" xfId="5">
      <alignment horizontal="left" vertical="center" wrapText="1"/>
    </xf>
    <xf numFmtId="0" applyNumberFormat="1" fontId="31" applyFont="1" fillId="0" applyFill="1" borderId="22" applyBorder="1" xfId="5">
      <alignment horizontal="left" vertical="center" wrapText="1"/>
    </xf>
    <xf numFmtId="0" applyNumberFormat="1" fontId="0" applyFont="1" fillId="0" applyFill="1" borderId="0" applyBorder="1" xfId="0"/>
    <xf numFmtId="0" applyNumberFormat="1" fontId="0" applyFont="1" fillId="0" applyFill="1" borderId="0" applyBorder="1" xfId="0">
      <alignment horizontal="center"/>
    </xf>
    <xf numFmtId="0" applyNumberFormat="1" fontId="0" applyFont="1" fillId="0" applyFill="1" borderId="0" applyBorder="1" xfId="0">
      <alignment horizontal="left"/>
    </xf>
    <xf numFmtId="14" applyNumberFormat="1" fontId="0" applyFont="1" fillId="0" applyFill="1" borderId="0" applyBorder="1" xfId="0">
      <alignment horizontal="center"/>
    </xf>
    <xf numFmtId="171" applyNumberFormat="1" fontId="0" applyFont="1" fillId="0" applyFill="1" borderId="0" applyBorder="1" xfId="2">
      <alignment horizontal="center"/>
    </xf>
    <xf numFmtId="172" applyNumberFormat="1" fontId="0" applyFont="1" fillId="0" applyFill="1" borderId="0" applyBorder="1" xfId="2">
      <alignment horizontal="center"/>
    </xf>
    <xf numFmtId="169" applyNumberFormat="1" fontId="0" applyFont="1" fillId="0" applyFill="1" borderId="0" applyBorder="1" xfId="2">
      <alignment horizontal="center"/>
    </xf>
  </cellXfs>
  <cellStyles count="9">
    <cellStyle name="Milliers" xfId="1" builtinId="3"/>
    <cellStyle name="Monétaire" xfId="2" builtinId="4"/>
    <cellStyle name="Normal" xfId="0" builtinId="0"/>
    <cellStyle name="Normal 2" xfId="3"/>
    <cellStyle name="Normal 4" xfId="4"/>
    <cellStyle name="Normal_Book 2004 feuille sommaire 2" xfId="5"/>
    <cellStyle name="Pourcentage" xfId="6" builtinId="5"/>
    <cellStyle name="Pourcentage 2" xfId="7"/>
    <cellStyle name="Pourcentage 2 2" xfId="8"/>
  </cellStyles>
  <dxfs count="0"/>
  <tableStyles count="0" defaultTableStyle="TableStyleMedium2" defaultPivotStyle="PivotStyleLight16"/>
  <colors>
    <mruColors>
      <color rgb="FF4FACB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31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styles" Target="styles.xml"/><Relationship Id="rId30" Type="http://schemas.microsoft.com/office/2006/relationships/vbaProject" Target="vbaProject.bin"/></Relationships>
</file>

<file path=xl/charts/_rels/chart1.xml.rels><?xml version="1.0" encoding="UTF-8" standalone="yes"?>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rgbClr val="4FACBE"/>
                </a:solidFill>
                <a:latin typeface="+mn-lt"/>
                <a:ea typeface="+mn-ea"/>
                <a:cs typeface="+mn-cs"/>
              </a:defRPr>
            </a:pPr>
            <a:r>
              <a:rPr lang="en-US">
                <a:solidFill>
                  <a:srgbClr val="4FACBE"/>
                </a:solidFill>
              </a:rPr>
              <a:t>Nombre d'arrêts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rgbClr val="4FACBE"/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col"/>
        <c:grouping val="stacked"/>
        <c:varyColors val="0"/>
        <c:ser>
          <c:idx val="0"/>
          <c:order val="0"/>
          <c:tx>
            <c:strRef>
              <c:f>INCAP!$D$13</c:f>
              <c:strCache>
                <c:ptCount val="1"/>
                <c:pt idx="0">
                  <c:v>Nombre d'arrêts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cat>
            <c:numRef>
              <c:f>INCAP!$C$14:$C$15</c:f>
              <c:numCache>
                <c:formatCode>General</c:formatCode>
                <c:ptCount val="2"/>
              </c:numCache>
            </c:numRef>
          </c:cat>
          <c:val>
            <c:numRef>
              <c:f>INCAP!$D$14:$D$15</c:f>
              <c:numCache>
                <c:formatCode>0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0-A41A-416D-925C-C9ECD83842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-1529257200"/>
        <c:axId val="-1529260464"/>
        <c:axId val="0"/>
      </c:bar3DChart>
      <c:catAx>
        <c:axId val="-15292572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-1529260464"/>
        <c:crosses val="autoZero"/>
        <c:auto val="1"/>
        <c:lblAlgn val="ctr"/>
        <c:lblOffset val="100"/>
        <c:noMultiLvlLbl val="0"/>
      </c:catAx>
      <c:valAx>
        <c:axId val="-1529260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-15292572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rgbClr val="4FACBE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Nombre d'Assurés en Incapacité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rgbClr val="4FACBE"/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INCAP!$L$13</c:f>
              <c:strCache>
                <c:ptCount val="1"/>
                <c:pt idx="0">
                  <c:v>Nombre d'arrêts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INCAP!$K$14:$K$22</c:f>
              <c:strCache>
                <c:ptCount val="9"/>
                <c:pt idx="0">
                  <c:v>Inférieur à 25 ans</c:v>
                </c:pt>
                <c:pt idx="1">
                  <c:v>Tranche 25 à 29 ans</c:v>
                </c:pt>
                <c:pt idx="2">
                  <c:v>Tranche 30 à 34 ans</c:v>
                </c:pt>
                <c:pt idx="3">
                  <c:v>Tranche 35 à 39 ans</c:v>
                </c:pt>
                <c:pt idx="4">
                  <c:v>Tranche 40 à 44 ans</c:v>
                </c:pt>
                <c:pt idx="5">
                  <c:v>Tranche 45 à 49 ans</c:v>
                </c:pt>
                <c:pt idx="6">
                  <c:v>Tranche 50 à 54 ans</c:v>
                </c:pt>
                <c:pt idx="7">
                  <c:v>Tranche 55 à 59 ans</c:v>
                </c:pt>
                <c:pt idx="8">
                  <c:v>Supérieur ou égal à 60 ans</c:v>
                </c:pt>
              </c:strCache>
            </c:strRef>
          </c:cat>
          <c:val>
            <c:numRef>
              <c:f>INCAP!$L$14:$L$22</c:f>
              <c:numCache>
                <c:formatCode>General</c:formatCode>
                <c:ptCount val="9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0</c:v>
                </c:pt>
                <c:pt idx="6">
                  <c:v>0</c:v>
                </c:pt>
                <c:pt idx="7">
                  <c:v>3</c:v>
                </c:pt>
                <c:pt idx="8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DA9-437B-9A6B-6266A9F22C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-1529252848"/>
        <c:axId val="-1529255568"/>
      </c:lineChart>
      <c:catAx>
        <c:axId val="-15292528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-1529255568"/>
        <c:crosses val="autoZero"/>
        <c:auto val="1"/>
        <c:lblAlgn val="ctr"/>
        <c:lblOffset val="100"/>
        <c:noMultiLvlLbl val="0"/>
      </c:catAx>
      <c:valAx>
        <c:axId val="-15292555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-15292528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rgbClr val="4FACBE"/>
                </a:solidFill>
                <a:latin typeface="+mn-lt"/>
                <a:ea typeface="+mn-ea"/>
                <a:cs typeface="+mn-cs"/>
              </a:defRPr>
            </a:pPr>
            <a:r>
              <a:rPr lang="en-US">
                <a:solidFill>
                  <a:srgbClr val="4FACBE"/>
                </a:solidFill>
              </a:rPr>
              <a:t>Nombre d'invalides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rgbClr val="4FACBE"/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col"/>
        <c:grouping val="stacked"/>
        <c:varyColors val="0"/>
        <c:ser>
          <c:idx val="0"/>
          <c:order val="0"/>
          <c:tx>
            <c:strRef>
              <c:f>INVAL!$D$13</c:f>
              <c:strCache>
                <c:ptCount val="1"/>
                <c:pt idx="0">
                  <c:v>Nombre d'invalides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cat>
            <c:numRef>
              <c:f>INVAL!$C$14:$C$15</c:f>
              <c:numCache>
                <c:formatCode>General</c:formatCode>
                <c:ptCount val="2"/>
              </c:numCache>
            </c:numRef>
          </c:cat>
          <c:val>
            <c:numRef>
              <c:f>INVAL!$D$14:$D$15</c:f>
              <c:numCache>
                <c:formatCode>0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0-A4FE-483D-A3C6-AF9FEFE1BF6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-1529252304"/>
        <c:axId val="-1529256656"/>
        <c:axId val="0"/>
      </c:bar3DChart>
      <c:catAx>
        <c:axId val="-1529252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-1529256656"/>
        <c:crosses val="autoZero"/>
        <c:auto val="1"/>
        <c:lblAlgn val="ctr"/>
        <c:lblOffset val="100"/>
        <c:noMultiLvlLbl val="0"/>
      </c:catAx>
      <c:valAx>
        <c:axId val="-15292566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-15292523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rgbClr val="4FACBE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Nombre d'Invalides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rgbClr val="4FACBE"/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INVAL!$L$13</c:f>
              <c:strCache>
                <c:ptCount val="1"/>
                <c:pt idx="0">
                  <c:v>Nombre d'arrêts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INVAL!$K$14:$K$22</c:f>
              <c:strCache>
                <c:ptCount val="9"/>
                <c:pt idx="0">
                  <c:v>Inférieur à 25 ans</c:v>
                </c:pt>
                <c:pt idx="1">
                  <c:v>Tranche 25 à 29 ans</c:v>
                </c:pt>
                <c:pt idx="2">
                  <c:v>Tranche 30 à 34 ans</c:v>
                </c:pt>
                <c:pt idx="3">
                  <c:v>Tranche 35 à 39 ans</c:v>
                </c:pt>
                <c:pt idx="4">
                  <c:v>Tranche 40 à 44 ans</c:v>
                </c:pt>
                <c:pt idx="5">
                  <c:v>Tranche 45 à 49 ans</c:v>
                </c:pt>
                <c:pt idx="6">
                  <c:v>Tranche 50 à 54 ans</c:v>
                </c:pt>
                <c:pt idx="7">
                  <c:v>Tranche 55 à 59 ans</c:v>
                </c:pt>
                <c:pt idx="8">
                  <c:v>Supérieur ou égal à 60 ans</c:v>
                </c:pt>
              </c:strCache>
            </c:strRef>
          </c:cat>
          <c:val>
            <c:numRef>
              <c:f>INVAL!$L$14:$L$22</c:f>
              <c:numCache>
                <c:formatCode>General</c:formatCode>
                <c:ptCount val="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2E6-4AB3-A594-7A383D7512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-1529251216"/>
        <c:axId val="-1529250128"/>
      </c:lineChart>
      <c:catAx>
        <c:axId val="-152925121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-1529250128"/>
        <c:crosses val="autoZero"/>
        <c:auto val="1"/>
        <c:lblAlgn val="ctr"/>
        <c:lblOffset val="100"/>
        <c:noMultiLvlLbl val="0"/>
      </c:catAx>
      <c:valAx>
        <c:axId val="-15292501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-15292512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rgbClr val="4FACBE"/>
                </a:solidFill>
                <a:latin typeface="+mn-lt"/>
                <a:ea typeface="+mn-ea"/>
                <a:cs typeface="+mn-cs"/>
              </a:defRPr>
            </a:pPr>
            <a:r>
              <a:rPr lang="en-US">
                <a:solidFill>
                  <a:srgbClr val="4FACBE"/>
                </a:solidFill>
              </a:rPr>
              <a:t>Nombre de</a:t>
            </a:r>
            <a:r>
              <a:rPr lang="en-US" baseline="0">
                <a:solidFill>
                  <a:srgbClr val="4FACBE"/>
                </a:solidFill>
              </a:rPr>
              <a:t> décès</a:t>
            </a:r>
            <a:r>
              <a:rPr lang="en-US">
                <a:solidFill>
                  <a:srgbClr val="4FACBE"/>
                </a:solidFill>
              </a:rPr>
              <a:t>
              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rgbClr val="4FACBE"/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col"/>
        <c:grouping val="stacked"/>
        <c:varyColors val="0"/>
        <c:ser>
          <c:idx val="0"/>
          <c:order val="0"/>
          <c:tx>
            <c:strRef>
              <c:f>DECES!$D$13</c:f>
              <c:strCache>
                <c:ptCount val="1"/>
                <c:pt idx="0">
                  <c:v>Nombre de décès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cat>
            <c:numRef>
              <c:f>DECES!$C$14:$C$15</c:f>
              <c:numCache>
                <c:formatCode>General</c:formatCode>
                <c:ptCount val="2"/>
              </c:numCache>
            </c:numRef>
          </c:cat>
          <c:val>
            <c:numRef>
              <c:f>DECES!$D$14:$D$15</c:f>
              <c:numCache>
                <c:formatCode>0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0-BC0D-4A69-95DA-5F02992125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-1529259920"/>
        <c:axId val="-1529256112"/>
        <c:axId val="0"/>
      </c:bar3DChart>
      <c:catAx>
        <c:axId val="-15292599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-1529256112"/>
        <c:crosses val="autoZero"/>
        <c:auto val="1"/>
        <c:lblAlgn val="ctr"/>
        <c:lblOffset val="100"/>
        <c:noMultiLvlLbl val="0"/>
      </c:catAx>
      <c:valAx>
        <c:axId val="-15292561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-15292599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rgbClr val="4FACBE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Nombre de Décès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rgbClr val="4FACBE"/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DECES!$L$13</c:f>
              <c:strCache>
                <c:ptCount val="1"/>
                <c:pt idx="0">
                  <c:v>Nombre de dèces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DECES!$K$14:$K$22</c:f>
              <c:strCache>
                <c:ptCount val="9"/>
                <c:pt idx="0">
                  <c:v>Inférieur à 25 ans</c:v>
                </c:pt>
                <c:pt idx="1">
                  <c:v>Tranche 25 à 29 ans</c:v>
                </c:pt>
                <c:pt idx="2">
                  <c:v>Tranche 30 à 34 ans</c:v>
                </c:pt>
                <c:pt idx="3">
                  <c:v>Tranche 35 à 39 ans</c:v>
                </c:pt>
                <c:pt idx="4">
                  <c:v>Tranche 40 à 44 ans</c:v>
                </c:pt>
                <c:pt idx="5">
                  <c:v>Tranche 45 à 49 ans</c:v>
                </c:pt>
                <c:pt idx="6">
                  <c:v>Tranche 50 à 54 ans</c:v>
                </c:pt>
                <c:pt idx="7">
                  <c:v>Tranche 55 à 59 ans</c:v>
                </c:pt>
                <c:pt idx="8">
                  <c:v>Supérieur ou égal à 60 ans</c:v>
                </c:pt>
              </c:strCache>
            </c:strRef>
          </c:cat>
          <c:val>
            <c:numRef>
              <c:f>DECES!$L$14:$L$22</c:f>
              <c:numCache>
                <c:formatCode>General</c:formatCode>
                <c:ptCount val="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87A-457D-94AA-5A8B9B5766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-1529259376"/>
        <c:axId val="-1529255024"/>
      </c:lineChart>
      <c:catAx>
        <c:axId val="-15292593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-1529255024"/>
        <c:crosses val="autoZero"/>
        <c:auto val="1"/>
        <c:lblAlgn val="ctr"/>
        <c:lblOffset val="100"/>
        <c:noMultiLvlLbl val="0"/>
      </c:catAx>
      <c:valAx>
        <c:axId val="-1529255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-15292593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<Relationships xmlns="http://schemas.openxmlformats.org/package/2006/relationships"><Relationship Id="rId2" Type="http://schemas.openxmlformats.org/officeDocument/2006/relationships/image" Target="../media/image2.jpg"/><Relationship Id="rId1" Type="http://schemas.openxmlformats.org/officeDocument/2006/relationships/image" Target="../media/image1.png"/></Relationships>
</file>

<file path=xl/drawings/_rels/drawing2.xml.rels><?xml version="1.0" encoding="UTF-8" standalone="yes"?>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4.xml.rels><?xml version="1.0" encoding="UTF-8" standalone="yes"?>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5.xml.rels><?xml version="1.0" encoding="UTF-8" standalone="yes"?>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6.xml.rels><?xml version="1.0" encoding="UTF-8" standalone="yes"?>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_rels/drawing7.xml.rels><?xml version="1.0" encoding="UTF-8" standalone="yes"?>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8.xml.rels><?xml version="1.0" encoding="UTF-8" standalone="yes"?>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chart" Target="../charts/chart6.xml"/><Relationship Id="rId1" Type="http://schemas.openxmlformats.org/officeDocument/2006/relationships/chart" Target="../charts/chart5.xml"/></Relationships>
</file>

<file path=xl/drawings/_rels/drawing9.xml.rels><?xml version="1.0" encoding="UTF-8" standalone="yes"?>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716017</xdr:colOff>
      <xdr:row>18</xdr:row>
      <xdr:rowOff>85724</xdr:rowOff>
    </xdr:from>
    <xdr:to>
      <xdr:col>2</xdr:col>
      <xdr:colOff>723899</xdr:colOff>
      <xdr:row>24</xdr:row>
      <xdr:rowOff>13138</xdr:rowOff>
    </xdr:to>
    <xdr:sp macro="" textlink="">
      <xdr:nvSpPr>
        <xdr:cNvPr id="3" name="Line 4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>
          <a:spLocks noChangeShapeType="1"/>
        </xdr:cNvSpPr>
      </xdr:nvSpPr>
      <xdr:spPr bwMode="auto">
        <a:xfrm flipH="1">
          <a:off x="1195551" y="4657724"/>
          <a:ext cx="7882" cy="2252828"/>
        </a:xfrm>
        <a:prstGeom prst="line">
          <a:avLst/>
        </a:prstGeom>
        <a:noFill/>
        <a:ln w="9525">
          <a:solidFill>
            <a:srgbClr val="004A99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361950</xdr:colOff>
      <xdr:row>20</xdr:row>
      <xdr:rowOff>114300</xdr:rowOff>
    </xdr:from>
    <xdr:to>
      <xdr:col>18</xdr:col>
      <xdr:colOff>561975</xdr:colOff>
      <xdr:row>20</xdr:row>
      <xdr:rowOff>114300</xdr:rowOff>
    </xdr:to>
    <xdr:sp macro="" textlink="">
      <xdr:nvSpPr>
        <xdr:cNvPr id="4" name="Line 5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>
          <a:spLocks noChangeShapeType="1"/>
        </xdr:cNvSpPr>
      </xdr:nvSpPr>
      <xdr:spPr bwMode="auto">
        <a:xfrm>
          <a:off x="552450" y="5543550"/>
          <a:ext cx="12392025" cy="0"/>
        </a:xfrm>
        <a:prstGeom prst="line">
          <a:avLst/>
        </a:prstGeom>
        <a:noFill/>
        <a:ln w="9525">
          <a:solidFill>
            <a:srgbClr val="004A99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95250</xdr:colOff>
          <xdr:row>1</xdr:row>
          <xdr:rowOff>133350</xdr:rowOff>
        </xdr:from>
        <xdr:to>
          <xdr:col>24</xdr:col>
          <xdr:colOff>9525</xdr:colOff>
          <xdr:row>4</xdr:row>
          <xdr:rowOff>104775</xdr:rowOff>
        </xdr:to>
        <xdr:sp macro="" textlink="">
          <xdr:nvSpPr>
            <xdr:cNvPr id="11267" name="Button 3" hidden="1">
              <a:extLst>
                <a:ext uri="{63B3BB69-23CF-44E3-9099-C40C66FF867C}">
                  <a14:compatExt spid="_x0000_s11267"/>
                </a:ext>
                <a:ext uri="{FF2B5EF4-FFF2-40B4-BE49-F238E27FC236}">
                  <a16:creationId xmlns:a16="http://schemas.microsoft.com/office/drawing/2014/main" id="{00000000-0008-0000-0000-000003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Mise à jour de tous les onglets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123825</xdr:colOff>
          <xdr:row>6</xdr:row>
          <xdr:rowOff>95250</xdr:rowOff>
        </xdr:from>
        <xdr:to>
          <xdr:col>23</xdr:col>
          <xdr:colOff>752475</xdr:colOff>
          <xdr:row>8</xdr:row>
          <xdr:rowOff>257175</xdr:rowOff>
        </xdr:to>
        <xdr:sp macro="" textlink="">
          <xdr:nvSpPr>
            <xdr:cNvPr id="11268" name="Button 4" hidden="1">
              <a:extLst>
                <a:ext uri="{63B3BB69-23CF-44E3-9099-C40C66FF867C}">
                  <a14:compatExt spid="_x0000_s11268"/>
                </a:ext>
                <a:ext uri="{FF2B5EF4-FFF2-40B4-BE49-F238E27FC236}">
                  <a16:creationId xmlns:a16="http://schemas.microsoft.com/office/drawing/2014/main" id="{00000000-0008-0000-0000-000004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Mise à jour du document PowerPoint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17</xdr:col>
      <xdr:colOff>95249</xdr:colOff>
      <xdr:row>1</xdr:row>
      <xdr:rowOff>149678</xdr:rowOff>
    </xdr:from>
    <xdr:to>
      <xdr:col>18</xdr:col>
      <xdr:colOff>38100</xdr:colOff>
      <xdr:row>5</xdr:row>
      <xdr:rowOff>95250</xdr:rowOff>
    </xdr:to>
    <xdr:pic>
      <xdr:nvPicPr>
        <xdr:cNvPr id="5" name="Image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675178" y="340178"/>
          <a:ext cx="704851" cy="704851"/>
        </a:xfrm>
        <a:prstGeom prst="rect">
          <a:avLst/>
        </a:prstGeom>
      </xdr:spPr>
    </xdr:pic>
    <xdr:clientData/>
  </xdr:twoCellAnchor>
  <xdr:twoCellAnchor>
    <xdr:from>
      <xdr:col>2</xdr:col>
      <xdr:colOff>704850</xdr:colOff>
      <xdr:row>18</xdr:row>
      <xdr:rowOff>85725</xdr:rowOff>
    </xdr:from>
    <xdr:to>
      <xdr:col>2</xdr:col>
      <xdr:colOff>723900</xdr:colOff>
      <xdr:row>22</xdr:row>
      <xdr:rowOff>342900</xdr:rowOff>
    </xdr:to>
    <xdr:sp macro="" textlink="">
      <xdr:nvSpPr>
        <xdr:cNvPr id="2" name="Line 4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>
          <a:spLocks noChangeShapeType="1"/>
        </xdr:cNvSpPr>
      </xdr:nvSpPr>
      <xdr:spPr bwMode="auto">
        <a:xfrm flipH="1">
          <a:off x="1181100" y="5543550"/>
          <a:ext cx="19050" cy="2590800"/>
        </a:xfrm>
        <a:prstGeom prst="line">
          <a:avLst/>
        </a:prstGeom>
        <a:noFill/>
        <a:ln w="9525">
          <a:solidFill>
            <a:srgbClr val="004A99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361950</xdr:colOff>
      <xdr:row>20</xdr:row>
      <xdr:rowOff>114300</xdr:rowOff>
    </xdr:from>
    <xdr:to>
      <xdr:col>17</xdr:col>
      <xdr:colOff>561975</xdr:colOff>
      <xdr:row>20</xdr:row>
      <xdr:rowOff>114300</xdr:rowOff>
    </xdr:to>
    <xdr:sp macro="" textlink="">
      <xdr:nvSpPr>
        <xdr:cNvPr id="6" name="Lin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>
          <a:spLocks noChangeShapeType="1"/>
        </xdr:cNvSpPr>
      </xdr:nvSpPr>
      <xdr:spPr bwMode="auto">
        <a:xfrm>
          <a:off x="476250" y="7286625"/>
          <a:ext cx="13668375" cy="0"/>
        </a:xfrm>
        <a:prstGeom prst="line">
          <a:avLst/>
        </a:prstGeom>
        <a:noFill/>
        <a:ln w="9525">
          <a:solidFill>
            <a:srgbClr val="004A99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 editAs="oneCell">
    <xdr:from>
      <xdr:col>17</xdr:col>
      <xdr:colOff>299358</xdr:colOff>
      <xdr:row>2</xdr:row>
      <xdr:rowOff>40822</xdr:rowOff>
    </xdr:from>
    <xdr:to>
      <xdr:col>18</xdr:col>
      <xdr:colOff>66675</xdr:colOff>
      <xdr:row>5</xdr:row>
      <xdr:rowOff>0</xdr:rowOff>
    </xdr:to>
    <xdr:pic>
      <xdr:nvPicPr>
        <xdr:cNvPr id="7" name="Picture 4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882008" y="421822"/>
          <a:ext cx="529317" cy="530678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20</xdr:col>
      <xdr:colOff>68036</xdr:colOff>
      <xdr:row>2</xdr:row>
      <xdr:rowOff>163286</xdr:rowOff>
    </xdr:from>
    <xdr:to>
      <xdr:col>20</xdr:col>
      <xdr:colOff>771525</xdr:colOff>
      <xdr:row>7</xdr:row>
      <xdr:rowOff>295275</xdr:rowOff>
    </xdr:to>
    <xdr:pic>
      <xdr:nvPicPr>
        <xdr:cNvPr id="3" name="Image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451036" y="544286"/>
          <a:ext cx="704850" cy="70485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271740</xdr:colOff>
      <xdr:row>17</xdr:row>
      <xdr:rowOff>22971</xdr:rowOff>
    </xdr:from>
    <xdr:to>
      <xdr:col>6</xdr:col>
      <xdr:colOff>280146</xdr:colOff>
      <xdr:row>30</xdr:row>
      <xdr:rowOff>44823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1315010</xdr:colOff>
      <xdr:row>24</xdr:row>
      <xdr:rowOff>38100</xdr:rowOff>
    </xdr:from>
    <xdr:to>
      <xdr:col>14</xdr:col>
      <xdr:colOff>369794</xdr:colOff>
      <xdr:row>38</xdr:row>
      <xdr:rowOff>0</xdr:rowOff>
    </xdr:to>
    <xdr:graphicFrame macro="">
      <xdr:nvGraphicFramePr>
        <xdr:cNvPr id="4" name="Graphique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14</xdr:col>
      <xdr:colOff>0</xdr:colOff>
      <xdr:row>3</xdr:row>
      <xdr:rowOff>0</xdr:rowOff>
    </xdr:from>
    <xdr:to>
      <xdr:col>14</xdr:col>
      <xdr:colOff>704850</xdr:colOff>
      <xdr:row>6</xdr:row>
      <xdr:rowOff>133350</xdr:rowOff>
    </xdr:to>
    <xdr:pic>
      <xdr:nvPicPr>
        <xdr:cNvPr id="5" name="Image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868275" y="571500"/>
          <a:ext cx="705972" cy="705972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15</xdr:col>
      <xdr:colOff>0</xdr:colOff>
      <xdr:row>3</xdr:row>
      <xdr:rowOff>0</xdr:rowOff>
    </xdr:from>
    <xdr:to>
      <xdr:col>15</xdr:col>
      <xdr:colOff>704850</xdr:colOff>
      <xdr:row>6</xdr:row>
      <xdr:rowOff>133350</xdr:rowOff>
    </xdr:to>
    <xdr:pic>
      <xdr:nvPicPr>
        <xdr:cNvPr id="3" name="Image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163550" y="571500"/>
          <a:ext cx="704850" cy="704850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15</xdr:col>
      <xdr:colOff>0</xdr:colOff>
      <xdr:row>3</xdr:row>
      <xdr:rowOff>0</xdr:rowOff>
    </xdr:from>
    <xdr:to>
      <xdr:col>15</xdr:col>
      <xdr:colOff>704850</xdr:colOff>
      <xdr:row>6</xdr:row>
      <xdr:rowOff>133350</xdr:rowOff>
    </xdr:to>
    <xdr:pic>
      <xdr:nvPicPr>
        <xdr:cNvPr id="3" name="Image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049250" y="571500"/>
          <a:ext cx="705972" cy="705972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271740</xdr:colOff>
      <xdr:row>17</xdr:row>
      <xdr:rowOff>22971</xdr:rowOff>
    </xdr:from>
    <xdr:to>
      <xdr:col>6</xdr:col>
      <xdr:colOff>280146</xdr:colOff>
      <xdr:row>30</xdr:row>
      <xdr:rowOff>44823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1315010</xdr:colOff>
      <xdr:row>24</xdr:row>
      <xdr:rowOff>38100</xdr:rowOff>
    </xdr:from>
    <xdr:to>
      <xdr:col>14</xdr:col>
      <xdr:colOff>369794</xdr:colOff>
      <xdr:row>41</xdr:row>
      <xdr:rowOff>168088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14</xdr:col>
      <xdr:colOff>0</xdr:colOff>
      <xdr:row>3</xdr:row>
      <xdr:rowOff>0</xdr:rowOff>
    </xdr:from>
    <xdr:to>
      <xdr:col>14</xdr:col>
      <xdr:colOff>704850</xdr:colOff>
      <xdr:row>6</xdr:row>
      <xdr:rowOff>133350</xdr:rowOff>
    </xdr:to>
    <xdr:pic>
      <xdr:nvPicPr>
        <xdr:cNvPr id="4" name="Image 3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868275" y="571500"/>
          <a:ext cx="704850" cy="704850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15</xdr:col>
      <xdr:colOff>0</xdr:colOff>
      <xdr:row>3</xdr:row>
      <xdr:rowOff>0</xdr:rowOff>
    </xdr:from>
    <xdr:to>
      <xdr:col>15</xdr:col>
      <xdr:colOff>704850</xdr:colOff>
      <xdr:row>6</xdr:row>
      <xdr:rowOff>133350</xdr:rowOff>
    </xdr:to>
    <xdr:pic>
      <xdr:nvPicPr>
        <xdr:cNvPr id="2" name="Image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163550" y="571500"/>
          <a:ext cx="704850" cy="704850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271740</xdr:colOff>
      <xdr:row>17</xdr:row>
      <xdr:rowOff>22971</xdr:rowOff>
    </xdr:from>
    <xdr:to>
      <xdr:col>6</xdr:col>
      <xdr:colOff>280146</xdr:colOff>
      <xdr:row>30</xdr:row>
      <xdr:rowOff>44823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1315010</xdr:colOff>
      <xdr:row>24</xdr:row>
      <xdr:rowOff>38100</xdr:rowOff>
    </xdr:from>
    <xdr:to>
      <xdr:col>14</xdr:col>
      <xdr:colOff>369794</xdr:colOff>
      <xdr:row>41</xdr:row>
      <xdr:rowOff>168088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14</xdr:col>
      <xdr:colOff>0</xdr:colOff>
      <xdr:row>3</xdr:row>
      <xdr:rowOff>0</xdr:rowOff>
    </xdr:from>
    <xdr:to>
      <xdr:col>14</xdr:col>
      <xdr:colOff>704850</xdr:colOff>
      <xdr:row>6</xdr:row>
      <xdr:rowOff>133350</xdr:rowOff>
    </xdr:to>
    <xdr:pic>
      <xdr:nvPicPr>
        <xdr:cNvPr id="4" name="Image 3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868275" y="571500"/>
          <a:ext cx="704850" cy="704850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15</xdr:col>
      <xdr:colOff>0</xdr:colOff>
      <xdr:row>3</xdr:row>
      <xdr:rowOff>0</xdr:rowOff>
    </xdr:from>
    <xdr:to>
      <xdr:col>15</xdr:col>
      <xdr:colOff>704850</xdr:colOff>
      <xdr:row>6</xdr:row>
      <xdr:rowOff>133350</xdr:rowOff>
    </xdr:to>
    <xdr:pic>
      <xdr:nvPicPr>
        <xdr:cNvPr id="2" name="Image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163550" y="571500"/>
          <a:ext cx="704850" cy="70485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5.xml.rels><?xml version="1.0" encoding="UTF-8" standalone="yes"?>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6.xml.rels><?xml version="1.0" encoding="UTF-8" standalone="yes"?>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7.xml.rels><?xml version="1.0" encoding="UTF-8" standalone="yes"?>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8.xml.rels><?xml version="1.0" encoding="UTF-8" standalone="yes"?>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9.xml.rels><?xml version="1.0" encoding="UTF-8" standalone="yes"?>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10.xml.rels><?xml version="1.0" encoding="UTF-8" standalone="yes"?><Relationships xmlns="http://schemas.openxmlformats.org/package/2006/relationships"><Relationship Id="rId1" Type="http://schemas.openxmlformats.org/officeDocument/2006/relationships/drawing" Target="../drawings/drawing9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2">
    <tabColor theme="4" tint="0.79998168889431442"/>
    <pageSetUpPr fitToPage="1"/>
  </sheetPr>
  <dimension ref="A1:AJ41"/>
  <sheetViews>
    <sheetView showGridLines="0" tabSelected="1" topLeftCell="F1" zoomScale="70" zoomScaleNormal="70" workbookViewId="0">
      <selection activeCell="Y4" sqref="Y4"/>
    </sheetView>
  </sheetViews>
  <sheetFormatPr baseColWidth="10" defaultColWidth="11.42578125" defaultRowHeight="15"/>
  <cols>
    <col min="1" max="1" width="2.85546875" customWidth="1" style="35"/>
    <col min="2" max="2" width="4.28515625" customWidth="1" style="35"/>
    <col min="3" max="3" width="11.42578125" customWidth="1" style="35"/>
    <col min="4" max="4" width="13.7109375" customWidth="1" style="35"/>
    <col min="5" max="5" width="11.42578125" customWidth="1" style="35"/>
    <col min="6" max="6" width="11.42578125" customWidth="1" style="35"/>
    <col min="7" max="7" width="11.42578125" customWidth="1" style="35"/>
    <col min="8" max="8" width="11.42578125" customWidth="1" style="35"/>
    <col min="9" max="9" width="11.42578125" customWidth="1" style="35"/>
    <col min="10" max="10" width="22.85546875" customWidth="1" style="35"/>
    <col min="11" max="11" width="22.85546875" customWidth="1" style="35"/>
    <col min="12" max="12" width="11.42578125" customWidth="1" style="35"/>
    <col min="13" max="13" width="11.42578125" customWidth="1" style="35"/>
    <col min="14" max="14" width="11.42578125" customWidth="1" style="35"/>
    <col min="15" max="15" width="11.42578125" customWidth="1" style="35"/>
    <col min="16" max="16" width="11.42578125" customWidth="1" style="35"/>
    <col min="17" max="17" width="11.42578125" customWidth="1" style="35"/>
    <col min="18" max="18" width="11.42578125" customWidth="1" style="35"/>
    <col min="19" max="19" width="4.28515625" customWidth="1" style="35"/>
    <col min="20" max="20" width="2.85546875" customWidth="1" style="35"/>
    <col min="21" max="21" width="11.42578125" customWidth="1" style="35"/>
    <col min="22" max="22" width="11.42578125" customWidth="1" style="35"/>
    <col min="23" max="23" width="11.42578125" customWidth="1" style="35"/>
    <col min="24" max="24" width="11.42578125" customWidth="1" style="35"/>
    <col min="25" max="34" width="11.42578125" customWidth="1" style="35"/>
    <col min="35" max="16384" width="11.42578125" customWidth="1" style="35"/>
  </cols>
  <sheetData>
    <row r="1">
      <c r="AD1" s="35" t="s">
        <v>0</v>
      </c>
      <c r="AE1" s="35" t="s">
        <v>1</v>
      </c>
    </row>
    <row r="2">
      <c r="B2" s="141"/>
      <c r="C2" s="142"/>
      <c r="D2" s="142"/>
      <c r="E2" s="142"/>
      <c r="F2" s="142"/>
      <c r="G2" s="142"/>
      <c r="H2" s="142"/>
      <c r="I2" s="142"/>
      <c r="J2" s="142"/>
      <c r="K2" s="142"/>
      <c r="L2" s="142"/>
      <c r="M2" s="142"/>
      <c r="N2" s="142"/>
      <c r="O2" s="142"/>
      <c r="P2" s="142"/>
      <c r="Q2" s="142"/>
      <c r="R2" s="142"/>
      <c r="S2" s="143"/>
      <c r="AD2" s="35" t="s">
        <v>2</v>
      </c>
      <c r="AE2" s="35" t="s">
        <v>3</v>
      </c>
    </row>
    <row r="3">
      <c r="B3" s="41"/>
      <c r="S3" s="44"/>
    </row>
    <row r="4">
      <c r="B4" s="41"/>
      <c r="S4" s="44"/>
    </row>
    <row r="5">
      <c r="B5" s="41"/>
      <c r="S5" s="44"/>
    </row>
    <row r="6">
      <c r="B6" s="41"/>
      <c r="S6" s="44"/>
    </row>
    <row r="7">
      <c r="B7" s="41"/>
      <c r="S7" s="44"/>
    </row>
    <row r="8">
      <c r="B8" s="41"/>
      <c r="S8" s="44"/>
    </row>
    <row r="9" ht="45">
      <c r="B9" s="41"/>
      <c r="C9" s="34" t="s">
        <v>4</v>
      </c>
      <c r="D9" s="42"/>
      <c r="E9" s="42"/>
      <c r="F9" s="42"/>
      <c r="G9" s="42"/>
      <c r="H9" s="42"/>
      <c r="I9" s="42"/>
      <c r="S9" s="44"/>
    </row>
    <row r="10" ht="45">
      <c r="B10" s="41"/>
      <c r="C10" s="34" t="s">
        <v>5</v>
      </c>
      <c r="D10" s="42"/>
      <c r="E10" s="42"/>
      <c r="F10" s="42"/>
      <c r="G10" s="42"/>
      <c r="H10" s="42"/>
      <c r="I10" s="42"/>
      <c r="S10" s="44"/>
    </row>
    <row r="11">
      <c r="B11" s="41"/>
      <c r="C11" s="42"/>
      <c r="D11" s="42"/>
      <c r="E11" s="42"/>
      <c r="F11" s="42"/>
      <c r="G11" s="42"/>
      <c r="H11" s="42"/>
      <c r="I11" s="42"/>
      <c r="S11" s="44"/>
    </row>
    <row r="12" ht="15" customHeight="1">
      <c r="B12" s="41"/>
      <c r="C12" s="42"/>
      <c r="D12" s="42"/>
      <c r="E12" s="42"/>
      <c r="F12" s="42"/>
      <c r="G12" s="42"/>
      <c r="H12" s="42"/>
      <c r="I12" s="42"/>
      <c r="J12" s="38"/>
      <c r="S12" s="44"/>
    </row>
    <row r="13" ht="90" customHeight="1">
      <c r="B13" s="144"/>
      <c r="C13" s="157" t="s">
        <v>6</v>
      </c>
      <c r="D13" s="157"/>
      <c r="E13" s="157"/>
      <c r="F13" s="157"/>
      <c r="G13" s="157"/>
      <c r="H13" s="157"/>
      <c r="I13" s="157"/>
      <c r="J13" s="157"/>
      <c r="K13" s="157"/>
      <c r="L13" s="157"/>
      <c r="M13" s="157"/>
      <c r="N13" s="157"/>
      <c r="O13" s="157"/>
      <c r="P13" s="157"/>
      <c r="Q13" s="157"/>
      <c r="R13" s="157"/>
      <c r="S13" s="145"/>
      <c r="U13" s="157"/>
      <c r="V13" s="157"/>
      <c r="W13" s="157"/>
      <c r="X13" s="157"/>
      <c r="Y13" s="157"/>
      <c r="Z13" s="157"/>
      <c r="AA13" s="157"/>
      <c r="AB13" s="157"/>
      <c r="AC13" s="157"/>
      <c r="AD13" s="157"/>
      <c r="AE13" s="157"/>
      <c r="AF13" s="157"/>
      <c r="AG13" s="157"/>
      <c r="AH13" s="157"/>
      <c r="AI13" s="157"/>
      <c r="AJ13" s="157"/>
    </row>
    <row r="14" ht="23.25" s="50" customFormat="1">
      <c r="B14" s="51"/>
      <c r="C14" s="152" t="s">
        <v>7</v>
      </c>
      <c r="D14" s="153"/>
      <c r="E14" s="153"/>
      <c r="F14" s="153"/>
      <c r="G14" s="153"/>
      <c r="H14" s="153"/>
      <c r="I14" s="153"/>
      <c r="J14" s="153"/>
      <c r="K14" s="153"/>
      <c r="L14" s="153"/>
      <c r="M14" s="153"/>
      <c r="N14" s="153"/>
      <c r="O14" s="153"/>
      <c r="P14" s="153"/>
      <c r="Q14" s="153"/>
      <c r="R14" s="153"/>
      <c r="S14" s="53"/>
      <c r="U14" s="154"/>
      <c r="V14" s="155"/>
      <c r="W14" s="155"/>
      <c r="X14" s="155"/>
      <c r="Y14" s="155"/>
      <c r="Z14" s="155"/>
      <c r="AA14" s="155"/>
      <c r="AB14" s="155"/>
      <c r="AC14" s="155"/>
      <c r="AD14" s="155"/>
      <c r="AE14" s="155"/>
      <c r="AF14" s="155"/>
      <c r="AG14" s="155"/>
      <c r="AH14" s="155"/>
      <c r="AI14" s="155"/>
      <c r="AJ14" s="155"/>
    </row>
    <row r="15" ht="23.25" s="50" customFormat="1">
      <c r="B15" s="51"/>
      <c r="C15" s="152" t="s">
        <v>8</v>
      </c>
      <c r="D15" s="153"/>
      <c r="E15" s="153"/>
      <c r="F15" s="153"/>
      <c r="G15" s="153"/>
      <c r="H15" s="153"/>
      <c r="I15" s="153"/>
      <c r="J15" s="153"/>
      <c r="K15" s="153"/>
      <c r="L15" s="153"/>
      <c r="M15" s="153"/>
      <c r="N15" s="153"/>
      <c r="O15" s="153"/>
      <c r="P15" s="153"/>
      <c r="Q15" s="153"/>
      <c r="R15" s="153"/>
      <c r="S15" s="53"/>
      <c r="U15" s="154"/>
      <c r="V15" s="155"/>
      <c r="W15" s="155"/>
      <c r="X15" s="155"/>
      <c r="Y15" s="155"/>
      <c r="Z15" s="155"/>
      <c r="AA15" s="155"/>
      <c r="AB15" s="155"/>
      <c r="AC15" s="155"/>
      <c r="AD15" s="155"/>
      <c r="AE15" s="155"/>
      <c r="AF15" s="155"/>
      <c r="AG15" s="155"/>
      <c r="AH15" s="155"/>
      <c r="AI15" s="155"/>
      <c r="AJ15" s="155"/>
    </row>
    <row r="16" ht="23.25" s="50" customFormat="1">
      <c r="B16" s="51"/>
      <c r="C16" s="152" t="s">
        <v>9</v>
      </c>
      <c r="D16" s="153"/>
      <c r="E16" s="153"/>
      <c r="F16" s="153"/>
      <c r="G16" s="153"/>
      <c r="H16" s="153"/>
      <c r="I16" s="153"/>
      <c r="J16" s="153"/>
      <c r="K16" s="153"/>
      <c r="L16" s="153"/>
      <c r="M16" s="153"/>
      <c r="N16" s="153"/>
      <c r="O16" s="153"/>
      <c r="P16" s="153"/>
      <c r="Q16" s="153"/>
      <c r="R16" s="153"/>
      <c r="S16" s="53"/>
      <c r="U16" s="154"/>
      <c r="V16" s="155"/>
      <c r="W16" s="155"/>
      <c r="X16" s="155"/>
      <c r="Y16" s="155"/>
      <c r="Z16" s="155"/>
      <c r="AA16" s="155"/>
      <c r="AB16" s="155"/>
      <c r="AC16" s="155"/>
      <c r="AD16" s="155"/>
      <c r="AE16" s="155"/>
      <c r="AF16" s="155"/>
      <c r="AG16" s="155"/>
      <c r="AH16" s="155"/>
      <c r="AI16" s="155"/>
      <c r="AJ16" s="155"/>
    </row>
    <row r="17">
      <c r="B17" s="41"/>
      <c r="C17" s="42"/>
      <c r="D17" s="42"/>
      <c r="E17" s="42"/>
      <c r="S17" s="44"/>
    </row>
    <row r="18">
      <c r="B18" s="41"/>
      <c r="S18" s="44"/>
    </row>
    <row r="19" ht="67.5" customHeight="1" s="38" customFormat="1">
      <c r="A19" s="35"/>
      <c r="B19" s="36"/>
      <c r="C19" s="37"/>
      <c r="D19" s="40" t="s">
        <v>10</v>
      </c>
      <c r="F19" s="37" t="s">
        <v>11</v>
      </c>
      <c r="G19" s="156" t="s">
        <v>12</v>
      </c>
      <c r="H19" s="156"/>
      <c r="I19" s="156"/>
      <c r="J19" s="156"/>
      <c r="K19" s="156"/>
      <c r="L19" s="156"/>
      <c r="M19" s="156"/>
      <c r="N19" s="156"/>
      <c r="O19" s="156"/>
      <c r="P19" s="156"/>
      <c r="Q19" s="156"/>
      <c r="R19" s="156"/>
      <c r="S19" s="39"/>
    </row>
    <row r="20" ht="67.5" customHeight="1" s="38" customFormat="1">
      <c r="A20" s="35"/>
      <c r="B20" s="36"/>
      <c r="C20" s="37"/>
      <c r="D20" s="40" t="s">
        <v>13</v>
      </c>
      <c r="F20" s="146"/>
      <c r="G20" s="40" t="s">
        <v>14</v>
      </c>
      <c r="H20" s="40"/>
      <c r="I20" s="40"/>
      <c r="J20" s="40"/>
      <c r="K20" s="40"/>
      <c r="L20" s="40"/>
      <c r="M20" s="40"/>
      <c r="N20" s="40"/>
      <c r="O20" s="40"/>
      <c r="P20" s="40"/>
      <c r="Q20" s="40"/>
      <c r="R20" s="40"/>
      <c r="S20" s="39"/>
    </row>
    <row r="21">
      <c r="B21" s="41"/>
      <c r="C21" s="42"/>
      <c r="D21" s="43"/>
      <c r="E21" s="42"/>
      <c r="F21" s="42"/>
      <c r="G21" s="42"/>
      <c r="H21" s="42"/>
      <c r="I21" s="42"/>
      <c r="S21" s="44"/>
    </row>
    <row r="22" ht="33.75" s="38" customFormat="1">
      <c r="A22" s="35"/>
      <c r="B22" s="36"/>
      <c r="C22" s="37"/>
      <c r="D22" s="45" t="s">
        <v>15</v>
      </c>
      <c r="E22" s="37"/>
      <c r="G22" s="37"/>
      <c r="H22" s="46" t="s">
        <v>16</v>
      </c>
      <c r="I22" s="47"/>
      <c r="S22" s="39"/>
    </row>
    <row r="23" ht="33.75" s="38" customFormat="1">
      <c r="A23" s="35"/>
      <c r="B23" s="36"/>
      <c r="C23" s="37"/>
      <c r="D23" s="45" t="s">
        <v>17</v>
      </c>
      <c r="E23" s="37"/>
      <c r="F23" s="37"/>
      <c r="H23" s="37"/>
      <c r="J23" s="46" t="s">
        <v>18</v>
      </c>
      <c r="S23" s="39"/>
    </row>
    <row r="24" ht="25.5">
      <c r="B24" s="41"/>
      <c r="D24" s="147" t="s">
        <v>19</v>
      </c>
      <c r="S24" s="44"/>
    </row>
    <row r="25">
      <c r="B25" s="41"/>
      <c r="S25" s="44"/>
    </row>
    <row r="26" hidden="1" ht="15" customHeight="1">
      <c r="B26" s="41"/>
      <c r="S26" s="44"/>
    </row>
    <row r="27" hidden="1" ht="15" customHeight="1">
      <c r="B27" s="41"/>
      <c r="S27" s="44"/>
    </row>
    <row r="28">
      <c r="B28" s="41"/>
      <c r="S28" s="44"/>
    </row>
    <row r="29">
      <c r="B29" s="41"/>
      <c r="S29" s="44"/>
    </row>
    <row r="30" hidden="1">
      <c r="B30" s="41"/>
      <c r="S30" s="44"/>
    </row>
    <row r="31" hidden="1">
      <c r="B31" s="41"/>
      <c r="S31" s="44"/>
    </row>
    <row r="32" hidden="1">
      <c r="B32" s="41"/>
      <c r="S32" s="44"/>
    </row>
    <row r="33">
      <c r="B33" s="41"/>
      <c r="S33" s="44"/>
    </row>
    <row r="34" hidden="1">
      <c r="B34" s="41"/>
      <c r="S34" s="44"/>
    </row>
    <row r="35" hidden="1">
      <c r="B35" s="41"/>
      <c r="S35" s="44"/>
    </row>
    <row r="36" hidden="1">
      <c r="B36" s="41"/>
      <c r="S36" s="44"/>
    </row>
    <row r="37" hidden="1">
      <c r="B37" s="41"/>
      <c r="S37" s="44"/>
    </row>
    <row r="38">
      <c r="B38" s="41"/>
      <c r="S38" s="44"/>
    </row>
    <row r="39">
      <c r="B39" s="41"/>
      <c r="S39" s="44"/>
    </row>
    <row r="40" ht="7.5" customHeight="1">
      <c r="B40" s="41"/>
      <c r="S40" s="44"/>
    </row>
    <row r="41">
      <c r="B41" s="148"/>
      <c r="C41" s="149"/>
      <c r="D41" s="149"/>
      <c r="E41" s="149"/>
      <c r="F41" s="149"/>
      <c r="G41" s="149"/>
      <c r="H41" s="149"/>
      <c r="I41" s="149"/>
      <c r="J41" s="149"/>
      <c r="K41" s="149"/>
      <c r="L41" s="149"/>
      <c r="M41" s="149"/>
      <c r="N41" s="149"/>
      <c r="O41" s="149"/>
      <c r="P41" s="149"/>
      <c r="Q41" s="149"/>
      <c r="R41" s="149"/>
      <c r="S41" s="150"/>
    </row>
  </sheetData>
  <mergeCells>
    <mergeCell ref="C16:R16"/>
    <mergeCell ref="U16:AJ16"/>
    <mergeCell ref="G19:R19"/>
    <mergeCell ref="C13:R13"/>
    <mergeCell ref="U13:AJ13"/>
    <mergeCell ref="C14:R14"/>
    <mergeCell ref="U14:AJ14"/>
    <mergeCell ref="C15:R15"/>
    <mergeCell ref="U15:AJ15"/>
  </mergeCells>
  <pageMargins left="0.70866141732283472" right="0.70866141732283472" top="0.74803149606299213" bottom="0.74803149606299213" header="0.31496062992125984" footer="0.31496062992125984"/>
  <pageSetup paperSize="9" scale="61" orientation="landscape"/>
  <headerFooter>
    <oddHeader>&amp;C&amp;A</oddHeader>
    <oddFooter>&amp;C&amp;F   &amp;A  &amp;P/&amp;N   &amp;D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7" r:id="rId4" name="Button 3">
              <controlPr defaultSize="0" print="0" autoFill="0" autoPict="0" macro="[0]!FULL_PREV.FULL_PREV">
                <anchor moveWithCells="1" sizeWithCells="1">
                  <from>
                    <xdr:col>22</xdr:col>
                    <xdr:colOff>95250</xdr:colOff>
                    <xdr:row>1</xdr:row>
                    <xdr:rowOff>133350</xdr:rowOff>
                  </from>
                  <to>
                    <xdr:col>24</xdr:col>
                    <xdr:colOff>9525</xdr:colOff>
                    <xdr:row>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8" r:id="rId5" name="Button 4">
              <controlPr defaultSize="0" print="0" autoFill="0" autoPict="0" macro="[0]!exportFile">
                <anchor moveWithCells="1" sizeWithCells="1">
                  <from>
                    <xdr:col>22</xdr:col>
                    <xdr:colOff>123825</xdr:colOff>
                    <xdr:row>6</xdr:row>
                    <xdr:rowOff>95250</xdr:rowOff>
                  </from>
                  <to>
                    <xdr:col>23</xdr:col>
                    <xdr:colOff>752475</xdr:colOff>
                    <xdr:row>8</xdr:row>
                    <xdr:rowOff>257175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15">
    <tabColor rgb="FF92D050"/>
    <pageSetUpPr fitToPage="1"/>
  </sheetPr>
  <dimension ref="A1:H19"/>
  <sheetViews>
    <sheetView zoomScale="115" zoomScaleNormal="115" workbookViewId="0">
      <selection activeCell="A19" sqref="A19:H19"/>
    </sheetView>
  </sheetViews>
  <sheetFormatPr baseColWidth="10" defaultColWidth="11.28515625" defaultRowHeight="15"/>
  <cols>
    <col min="1" max="1" bestFit="1" width="10.7109375" customWidth="1" style="62"/>
    <col min="2" max="2" bestFit="1" width="14.85546875" customWidth="1" style="62"/>
    <col min="3" max="3" bestFit="1" width="15.42578125" customWidth="1" style="62"/>
    <col min="4" max="4" bestFit="1" width="21.5703125" customWidth="1" style="62"/>
    <col min="5" max="5" bestFit="1" width="16" customWidth="1" style="62"/>
    <col min="6" max="6" bestFit="1" width="21.140625" customWidth="1" style="62"/>
    <col min="7" max="7" bestFit="1" width="17.140625" customWidth="1" style="62"/>
    <col min="8" max="8" bestFit="1" width="15.5703125" customWidth="1" style="62"/>
    <col min="9" max="9" bestFit="1" width="6.5703125" customWidth="1" style="62"/>
    <col min="10" max="10" bestFit="1" width="11" customWidth="1" style="62"/>
    <col min="11" max="11" bestFit="1" width="10.140625" customWidth="1" style="62"/>
    <col min="12" max="12" bestFit="1" width="17.140625" customWidth="1" style="62"/>
    <col min="13" max="13" bestFit="1" width="12.7109375" customWidth="1" style="62"/>
    <col min="14" max="14" bestFit="1" width="17.5703125" customWidth="1" style="62"/>
    <col min="15" max="15" bestFit="1" width="13.7109375" customWidth="1" style="62"/>
    <col min="16" max="16" bestFit="1" width="12.42578125" customWidth="1" style="62"/>
    <col min="17" max="17" width="11.28515625" customWidth="1" style="62"/>
    <col min="18" max="16384" width="11.28515625" customWidth="1" style="62"/>
  </cols>
  <sheetData>
    <row r="1">
      <c r="A1" s="158" t="s">
        <v>20</v>
      </c>
      <c r="B1" s="158"/>
      <c r="C1" s="158"/>
      <c r="D1" s="158"/>
      <c r="E1" s="158"/>
      <c r="F1" s="158"/>
      <c r="G1" s="158"/>
      <c r="H1" s="158"/>
    </row>
    <row r="2" s="109" customFormat="1">
      <c r="A2" s="108" t="s">
        <v>21</v>
      </c>
      <c r="B2" s="108" t="s">
        <v>22</v>
      </c>
      <c r="C2" s="108" t="s">
        <v>23</v>
      </c>
      <c r="D2" s="108" t="s">
        <v>24</v>
      </c>
      <c r="E2" s="108" t="s">
        <v>25</v>
      </c>
      <c r="F2" s="108" t="s">
        <v>26</v>
      </c>
      <c r="G2" s="108" t="s">
        <v>27</v>
      </c>
      <c r="H2" s="108" t="s">
        <v>28</v>
      </c>
    </row>
    <row r="3">
      <c r="A3" s="112">
        <v>2022</v>
      </c>
      <c r="B3" s="151">
        <v>16455.16</v>
      </c>
      <c r="C3" s="151">
        <v>0</v>
      </c>
      <c r="D3" s="151">
        <v>266365.93</v>
      </c>
      <c r="E3" s="113">
        <v>0.1083</v>
      </c>
      <c r="F3" s="151">
        <v>237528.08</v>
      </c>
      <c r="G3" s="113">
        <v>0.0693</v>
      </c>
      <c r="H3" s="151">
        <v>221072.92</v>
      </c>
    </row>
    <row r="7">
      <c r="A7" s="158" t="s">
        <v>29</v>
      </c>
      <c r="B7" s="158"/>
      <c r="C7" s="158"/>
      <c r="D7" s="158"/>
      <c r="E7" s="158"/>
      <c r="F7" s="158"/>
      <c r="G7" s="158"/>
      <c r="H7" s="158"/>
    </row>
    <row r="8" s="109" customFormat="1">
      <c r="A8" s="108" t="s">
        <v>21</v>
      </c>
      <c r="B8" s="108" t="s">
        <v>22</v>
      </c>
      <c r="C8" s="108" t="s">
        <v>23</v>
      </c>
      <c r="D8" s="108" t="s">
        <v>24</v>
      </c>
      <c r="E8" s="108" t="s">
        <v>25</v>
      </c>
      <c r="F8" s="108" t="s">
        <v>26</v>
      </c>
      <c r="G8" s="108" t="s">
        <v>27</v>
      </c>
      <c r="H8" s="108" t="s">
        <v>28</v>
      </c>
    </row>
    <row r="9">
      <c r="A9" s="112">
        <v>2022</v>
      </c>
      <c r="B9" s="151">
        <v>16455.16</v>
      </c>
      <c r="C9" s="151">
        <v>0</v>
      </c>
      <c r="D9" s="151">
        <v>266365.93</v>
      </c>
      <c r="E9" s="113">
        <v>0.1083</v>
      </c>
      <c r="F9" s="151">
        <v>237528.08</v>
      </c>
      <c r="G9" s="113">
        <v>0.0693</v>
      </c>
      <c r="H9" s="151">
        <v>221072.92</v>
      </c>
    </row>
    <row r="13">
      <c r="A13" s="158" t="s">
        <v>30</v>
      </c>
      <c r="B13" s="158"/>
      <c r="C13" s="158"/>
      <c r="D13" s="158"/>
      <c r="E13" s="158"/>
      <c r="F13" s="158"/>
      <c r="G13" s="158"/>
      <c r="H13" s="158"/>
    </row>
    <row r="14" s="109" customFormat="1">
      <c r="A14" s="108" t="s">
        <v>21</v>
      </c>
      <c r="B14" s="108" t="s">
        <v>22</v>
      </c>
      <c r="C14" s="108" t="s">
        <v>23</v>
      </c>
      <c r="D14" s="108" t="s">
        <v>24</v>
      </c>
      <c r="E14" s="108" t="s">
        <v>25</v>
      </c>
      <c r="F14" s="108" t="s">
        <v>26</v>
      </c>
      <c r="G14" s="108" t="s">
        <v>27</v>
      </c>
      <c r="H14" s="108" t="s">
        <v>28</v>
      </c>
    </row>
    <row r="15">
      <c r="A15" s="112"/>
      <c r="B15" s="151"/>
      <c r="C15" s="151"/>
      <c r="D15" s="151"/>
      <c r="E15" s="113"/>
      <c r="F15" s="151"/>
      <c r="G15" s="113"/>
      <c r="H15" s="151"/>
    </row>
    <row r="19">
      <c r="A19" s="159" t="s">
        <v>31</v>
      </c>
      <c r="B19" s="159"/>
      <c r="C19" s="159"/>
      <c r="D19" s="159"/>
      <c r="E19" s="159"/>
      <c r="F19" s="159"/>
      <c r="G19" s="159"/>
      <c r="H19" s="159"/>
    </row>
  </sheetData>
  <mergeCells>
    <mergeCell ref="A1:H1"/>
    <mergeCell ref="A7:H7"/>
    <mergeCell ref="A13:H13"/>
    <mergeCell ref="A19:H19"/>
  </mergeCells>
  <pageMargins left="0.70866141732283472" right="0.70866141732283472" top="0.74803149606299213" bottom="0.74803149606299213" header="0.31496062992125984" footer="0.31496062992125984"/>
  <pageSetup paperSize="9" orientation="landscape"/>
  <headerFooter>
    <oddHeader>&amp;C&amp;A</oddHeader>
    <oddFooter>&amp;C&amp;F   &amp;A  &amp;P/&amp;N   &amp;D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13">
    <tabColor theme="4" tint="0.79998168889431442"/>
    <pageSetUpPr fitToPage="1"/>
  </sheetPr>
  <dimension ref="A1:Y48"/>
  <sheetViews>
    <sheetView showGridLines="0" topLeftCell="A12" zoomScale="70" zoomScaleNormal="70" workbookViewId="0">
      <selection activeCell="O28" sqref="O28"/>
    </sheetView>
  </sheetViews>
  <sheetFormatPr baseColWidth="10" defaultColWidth="11.42578125" defaultRowHeight="15"/>
  <cols>
    <col min="1" max="1" width="2.85546875" customWidth="1" style="17"/>
    <col min="2" max="2" width="4.28515625" customWidth="1"/>
    <col min="3" max="3" width="11.42578125" customWidth="1"/>
    <col min="4" max="4" width="2.85546875" customWidth="1"/>
    <col min="5" max="5" width="22.85546875" customWidth="1"/>
    <col min="6" max="6" width="2.85546875" customWidth="1"/>
    <col min="7" max="7" width="22.85546875" customWidth="1" style="119"/>
    <col min="8" max="8" width="2.85546875" customWidth="1" style="119"/>
    <col min="9" max="9" width="22.85546875" customWidth="1" style="119"/>
    <col min="10" max="10" width="2.85546875" customWidth="1" style="119"/>
    <col min="11" max="11" width="22.85546875" customWidth="1" style="119"/>
    <col min="12" max="12" width="2.85546875" customWidth="1" style="119"/>
    <col min="13" max="13" width="22.85546875" customWidth="1" style="119"/>
    <col min="14" max="14" width="22.85546875" customWidth="1" style="119"/>
    <col min="15" max="15" width="22.85546875" customWidth="1" style="119"/>
    <col min="16" max="16" width="2.85546875" customWidth="1" style="119"/>
    <col min="17" max="17" width="22.85546875" customWidth="1" style="119"/>
    <col min="18" max="18" width="2.85546875" customWidth="1"/>
    <col min="19" max="19" width="22.85546875" customWidth="1"/>
    <col min="20" max="20" width="2.85546875" customWidth="1"/>
    <col min="21" max="21" width="22.85546875" customWidth="1" style="119"/>
    <col min="22" max="22" width="4.28515625" customWidth="1"/>
    <col min="23" max="23" width="2.85546875" customWidth="1"/>
  </cols>
  <sheetData>
    <row r="1" ht="15" customHeight="1">
      <c r="B1" s="17"/>
      <c r="C1" s="17"/>
      <c r="D1" s="17"/>
      <c r="E1" s="17"/>
      <c r="F1" s="17"/>
      <c r="G1" s="117"/>
      <c r="H1" s="117"/>
      <c r="I1" s="117"/>
      <c r="J1" s="117"/>
      <c r="K1" s="117"/>
      <c r="L1" s="117"/>
      <c r="M1" s="117"/>
      <c r="N1" s="117"/>
      <c r="O1" s="117"/>
      <c r="P1" s="117"/>
      <c r="Q1" s="117"/>
      <c r="R1" s="17"/>
      <c r="S1" s="17"/>
      <c r="T1" s="17"/>
      <c r="U1" s="117"/>
      <c r="V1" s="17"/>
      <c r="W1" s="17"/>
    </row>
    <row r="2" ht="15" customHeight="1">
      <c r="B2" s="9"/>
      <c r="C2" s="10"/>
      <c r="D2" s="10"/>
      <c r="E2" s="10"/>
      <c r="F2" s="10"/>
      <c r="G2" s="118"/>
      <c r="H2" s="118"/>
      <c r="I2" s="118"/>
      <c r="J2" s="118"/>
      <c r="K2" s="118"/>
      <c r="L2" s="118"/>
      <c r="M2" s="118"/>
      <c r="N2" s="118"/>
      <c r="O2" s="118"/>
      <c r="P2" s="118"/>
      <c r="Q2" s="118"/>
      <c r="R2" s="10"/>
      <c r="S2" s="10"/>
      <c r="T2" s="10"/>
      <c r="U2" s="118"/>
      <c r="V2" s="11"/>
    </row>
    <row r="3" ht="15" customHeight="1">
      <c r="B3" s="12"/>
      <c r="V3" s="13"/>
    </row>
    <row r="4" ht="15" customHeight="1">
      <c r="B4" s="12"/>
      <c r="V4" s="13"/>
    </row>
    <row r="5" ht="15" customHeight="1">
      <c r="B5" s="12"/>
      <c r="V5" s="13"/>
    </row>
    <row r="6" hidden="1" ht="15" customHeight="1">
      <c r="B6" s="12"/>
      <c r="V6" s="13"/>
    </row>
    <row r="7" hidden="1" ht="15" customHeight="1">
      <c r="B7" s="12"/>
      <c r="V7" s="13"/>
    </row>
    <row r="8" ht="56.25" customHeight="1">
      <c r="B8" s="12"/>
      <c r="C8" s="160" t="str">
        <f>'Page de garde'!J13&amp;" : RESULTATS au "&amp;'Page de garde'!J23&amp; " - " &amp;AFFICHAGE!$S$2</f>
        <v> : RESULTATS au 31 décembre 2022 - Comptable</v>
      </c>
      <c r="D8" s="161"/>
      <c r="E8" s="161"/>
      <c r="F8" s="161"/>
      <c r="G8" s="161"/>
      <c r="H8" s="161"/>
      <c r="I8" s="161"/>
      <c r="J8" s="161"/>
      <c r="K8" s="161"/>
      <c r="L8" s="161"/>
      <c r="M8" s="161"/>
      <c r="N8" s="161"/>
      <c r="O8" s="161"/>
      <c r="P8" s="161"/>
      <c r="Q8" s="161"/>
      <c r="R8" s="161"/>
      <c r="S8" s="161"/>
      <c r="T8" s="161"/>
      <c r="U8" s="162"/>
      <c r="V8" s="13"/>
    </row>
    <row r="9" ht="14.25" customHeight="1">
      <c r="B9" s="12"/>
      <c r="V9" s="13"/>
    </row>
    <row r="10" ht="15" customHeight="1">
      <c r="B10" s="12"/>
      <c r="C10" s="119"/>
      <c r="V10" s="13"/>
    </row>
    <row r="11" ht="15" customHeight="1">
      <c r="B11" s="12"/>
      <c r="V11" s="13"/>
    </row>
    <row r="12" ht="15" customHeight="1">
      <c r="B12" s="12"/>
      <c r="V12" s="13"/>
    </row>
    <row r="13" ht="18.75">
      <c r="B13" s="12"/>
      <c r="C13" s="120" t="s">
        <v>32</v>
      </c>
      <c r="D13" s="48"/>
      <c r="E13" s="49" t="s">
        <v>18</v>
      </c>
      <c r="F13" s="27"/>
      <c r="G13" s="121"/>
      <c r="H13" s="121"/>
      <c r="I13" s="122"/>
      <c r="J13" s="122"/>
      <c r="K13" s="122"/>
      <c r="L13" s="122"/>
      <c r="M13" s="122"/>
      <c r="N13" s="122"/>
      <c r="O13" s="122"/>
      <c r="P13" s="122"/>
      <c r="Q13" s="122"/>
      <c r="R13" s="27"/>
      <c r="S13" s="27"/>
      <c r="T13" s="28"/>
      <c r="U13" s="122"/>
      <c r="V13" s="13"/>
    </row>
    <row r="14" ht="15" customHeight="1">
      <c r="B14" s="12"/>
      <c r="C14" s="27"/>
      <c r="D14" s="27"/>
      <c r="E14" s="27"/>
      <c r="F14" s="27"/>
      <c r="G14" s="122"/>
      <c r="H14" s="122"/>
      <c r="I14" s="122"/>
      <c r="J14" s="122"/>
      <c r="K14" s="122"/>
      <c r="L14" s="122"/>
      <c r="M14" s="122"/>
      <c r="N14" s="122"/>
      <c r="O14" s="122"/>
      <c r="P14" s="122"/>
      <c r="Q14" s="122"/>
      <c r="R14" s="27"/>
      <c r="S14" s="27"/>
      <c r="T14" s="28"/>
      <c r="U14" s="122"/>
      <c r="V14" s="13"/>
    </row>
    <row r="15" ht="45" customHeight="1">
      <c r="B15" s="12"/>
      <c r="C15" s="27"/>
      <c r="D15" s="27"/>
      <c r="E15" s="27"/>
      <c r="F15" s="29"/>
      <c r="G15" s="54" t="s">
        <v>22</v>
      </c>
      <c r="H15" s="123"/>
      <c r="I15" s="54" t="s">
        <v>23</v>
      </c>
      <c r="J15" s="123"/>
      <c r="K15" s="54" t="s">
        <v>24</v>
      </c>
      <c r="L15" s="123"/>
      <c r="M15" s="54" t="s">
        <v>33</v>
      </c>
      <c r="N15" s="54" t="s">
        <v>34</v>
      </c>
      <c r="O15" s="54" t="s">
        <v>35</v>
      </c>
      <c r="P15" s="123"/>
      <c r="Q15" s="54" t="s">
        <v>26</v>
      </c>
      <c r="R15" s="29"/>
      <c r="S15" s="124" t="s">
        <v>36</v>
      </c>
      <c r="T15" s="28"/>
      <c r="U15" s="54" t="s">
        <v>28</v>
      </c>
      <c r="V15" s="13"/>
    </row>
    <row r="16" ht="22.5" customHeight="1">
      <c r="B16" s="12"/>
      <c r="C16" s="27"/>
      <c r="D16" s="27"/>
      <c r="E16" s="27"/>
      <c r="F16" s="27"/>
      <c r="G16" s="27"/>
      <c r="H16" s="27"/>
      <c r="I16" s="27"/>
      <c r="J16" s="27"/>
      <c r="K16" s="27"/>
      <c r="L16" s="27"/>
      <c r="M16" s="27"/>
      <c r="N16" s="27"/>
      <c r="O16" s="27"/>
      <c r="P16" s="27"/>
      <c r="Q16" s="27"/>
      <c r="R16" s="27"/>
      <c r="S16" s="27"/>
      <c r="T16" s="28"/>
      <c r="U16" s="27"/>
      <c r="V16" s="13"/>
    </row>
    <row r="17" ht="45" customHeight="1">
      <c r="B17" s="12"/>
      <c r="C17" s="125">
        <v>2022</v>
      </c>
      <c r="D17" s="27"/>
      <c r="E17" s="54" t="s">
        <v>37</v>
      </c>
      <c r="F17" s="27"/>
      <c r="G17" s="126">
        <v>16455.16</v>
      </c>
      <c r="H17" s="123"/>
      <c r="I17" s="126">
        <v>0</v>
      </c>
      <c r="J17" s="123"/>
      <c r="K17" s="126">
        <v>122117.99</v>
      </c>
      <c r="L17" s="123"/>
      <c r="M17" s="127">
        <v>0.0911391082134843</v>
      </c>
      <c r="N17" s="127">
        <v>0</v>
      </c>
      <c r="O17" s="127">
        <v>0.0911</v>
      </c>
      <c r="P17" s="123"/>
      <c r="Q17" s="126">
        <v>110988.27</v>
      </c>
      <c r="R17" s="29"/>
      <c r="S17" s="128">
        <v>0.1483</v>
      </c>
      <c r="T17" s="28"/>
      <c r="U17" s="129">
        <v>94533.11</v>
      </c>
      <c r="V17" s="13"/>
      <c r="X17" s="138"/>
    </row>
    <row r="18" ht="15" customHeight="1">
      <c r="B18" s="12"/>
      <c r="C18" s="30"/>
      <c r="D18" s="27"/>
      <c r="E18" s="31"/>
      <c r="F18" s="27"/>
      <c r="G18" s="30"/>
      <c r="H18" s="30"/>
      <c r="I18" s="30"/>
      <c r="J18" s="30"/>
      <c r="K18" s="30"/>
      <c r="L18" s="30"/>
      <c r="M18" s="30"/>
      <c r="N18" s="30"/>
      <c r="O18" s="30"/>
      <c r="P18" s="30"/>
      <c r="Q18" s="30"/>
      <c r="R18" s="30"/>
      <c r="S18" s="130"/>
      <c r="T18" s="28"/>
      <c r="U18" s="30"/>
      <c r="V18" s="13"/>
      <c r="X18" s="139"/>
    </row>
    <row r="19" ht="45" customHeight="1">
      <c r="B19" s="12"/>
      <c r="C19" s="125">
        <v>2022</v>
      </c>
      <c r="D19" s="27"/>
      <c r="E19" s="54" t="s">
        <v>38</v>
      </c>
      <c r="F19" s="27"/>
      <c r="G19" s="126">
        <v>0</v>
      </c>
      <c r="H19" s="123"/>
      <c r="I19" s="126">
        <v>0</v>
      </c>
      <c r="J19" s="123"/>
      <c r="K19" s="126">
        <v>58843.39</v>
      </c>
      <c r="L19" s="123"/>
      <c r="M19" s="127">
        <v>0.155824831994649</v>
      </c>
      <c r="N19" s="127">
        <v>0</v>
      </c>
      <c r="O19" s="127">
        <v>0.1558</v>
      </c>
      <c r="P19" s="123"/>
      <c r="Q19" s="126">
        <v>49674.12</v>
      </c>
      <c r="R19" s="29"/>
      <c r="S19" s="128">
        <v>0</v>
      </c>
      <c r="T19" s="28"/>
      <c r="U19" s="129">
        <v>49674.12</v>
      </c>
      <c r="V19" s="13"/>
      <c r="X19" s="138"/>
    </row>
    <row r="20" ht="15" customHeight="1">
      <c r="B20" s="12"/>
      <c r="C20" s="30"/>
      <c r="D20" s="27"/>
      <c r="E20" s="30"/>
      <c r="F20" s="27"/>
      <c r="G20" s="131"/>
      <c r="H20" s="131"/>
      <c r="I20" s="131"/>
      <c r="J20" s="131"/>
      <c r="K20" s="132"/>
      <c r="L20" s="131"/>
      <c r="M20" s="131"/>
      <c r="N20" s="131"/>
      <c r="O20" s="131"/>
      <c r="P20" s="131"/>
      <c r="Q20" s="132"/>
      <c r="R20" s="133"/>
      <c r="S20" s="134"/>
      <c r="T20" s="28"/>
      <c r="U20" s="132"/>
      <c r="V20" s="13"/>
      <c r="X20" s="62"/>
      <c r="Y20" s="62"/>
    </row>
    <row r="21" ht="45" customHeight="1">
      <c r="B21" s="12"/>
      <c r="C21" s="125">
        <v>2022</v>
      </c>
      <c r="D21" s="27"/>
      <c r="E21" s="54" t="s">
        <v>39</v>
      </c>
      <c r="F21" s="27"/>
      <c r="G21" s="126">
        <v>0</v>
      </c>
      <c r="H21" s="123"/>
      <c r="I21" s="126">
        <v>0</v>
      </c>
      <c r="J21" s="123"/>
      <c r="K21" s="126">
        <v>85404.55</v>
      </c>
      <c r="L21" s="123"/>
      <c r="M21" s="127">
        <v>0.0999813658930318</v>
      </c>
      <c r="N21" s="127">
        <v>0</v>
      </c>
      <c r="O21" s="127">
        <v>0.1</v>
      </c>
      <c r="P21" s="123"/>
      <c r="Q21" s="126">
        <v>76865.69</v>
      </c>
      <c r="R21" s="29"/>
      <c r="S21" s="128">
        <v>0</v>
      </c>
      <c r="T21" s="28"/>
      <c r="U21" s="129">
        <v>76865.69</v>
      </c>
      <c r="V21" s="13"/>
      <c r="X21" s="138"/>
    </row>
    <row r="22" ht="15" customHeight="1">
      <c r="B22" s="12"/>
      <c r="C22" s="30"/>
      <c r="D22" s="27"/>
      <c r="E22" s="31"/>
      <c r="F22" s="27"/>
      <c r="G22" s="30"/>
      <c r="H22" s="30"/>
      <c r="I22" s="30"/>
      <c r="J22" s="30"/>
      <c r="K22" s="30"/>
      <c r="L22" s="30"/>
      <c r="M22" s="30"/>
      <c r="N22" s="30"/>
      <c r="O22" s="30"/>
      <c r="P22" s="30"/>
      <c r="Q22" s="30"/>
      <c r="R22" s="30"/>
      <c r="S22" s="130"/>
      <c r="T22" s="28"/>
      <c r="U22" s="30"/>
      <c r="V22" s="13"/>
      <c r="X22" s="139"/>
    </row>
    <row r="23" ht="45" customHeight="1">
      <c r="B23" s="12"/>
      <c r="C23" s="125">
        <v>2022</v>
      </c>
      <c r="D23" s="27"/>
      <c r="E23" s="54" t="s">
        <v>40</v>
      </c>
      <c r="F23" s="27"/>
      <c r="G23" s="126">
        <v>16455.16</v>
      </c>
      <c r="H23" s="123"/>
      <c r="I23" s="126">
        <v>0</v>
      </c>
      <c r="J23" s="123"/>
      <c r="K23" s="126">
        <v>266365.93</v>
      </c>
      <c r="L23" s="123"/>
      <c r="M23" s="127">
        <v>0</v>
      </c>
      <c r="N23" s="127">
        <v>0</v>
      </c>
      <c r="O23" s="127">
        <v>0.1083</v>
      </c>
      <c r="P23" s="123"/>
      <c r="Q23" s="126">
        <v>237528.08</v>
      </c>
      <c r="R23" s="29"/>
      <c r="S23" s="128">
        <v>0.0693</v>
      </c>
      <c r="T23" s="28"/>
      <c r="U23" s="129">
        <v>221072.91999999998</v>
      </c>
      <c r="V23" s="13"/>
      <c r="X23" s="138"/>
    </row>
    <row r="24" ht="15" customHeight="1">
      <c r="B24" s="12"/>
      <c r="C24" s="30"/>
      <c r="D24" s="27"/>
      <c r="E24" s="52"/>
      <c r="F24" s="30"/>
      <c r="G24" s="30"/>
      <c r="H24" s="30"/>
      <c r="I24" s="30"/>
      <c r="J24" s="30"/>
      <c r="K24" s="30"/>
      <c r="L24" s="30"/>
      <c r="M24" s="30"/>
      <c r="N24" s="30"/>
      <c r="O24" s="30"/>
      <c r="P24" s="30"/>
      <c r="Q24" s="30"/>
      <c r="R24" s="30"/>
      <c r="S24" s="30"/>
      <c r="T24" s="28"/>
      <c r="U24" s="30"/>
      <c r="V24" s="13"/>
    </row>
    <row r="25" ht="45" customHeight="1">
      <c r="B25" s="12"/>
      <c r="C25" s="30"/>
      <c r="D25" s="27"/>
      <c r="E25" s="52"/>
      <c r="F25" s="30"/>
      <c r="G25" s="30"/>
      <c r="H25" s="30"/>
      <c r="I25" s="30"/>
      <c r="J25" s="30"/>
      <c r="K25" s="30"/>
      <c r="L25" s="30"/>
      <c r="M25" s="30"/>
      <c r="N25" s="30"/>
      <c r="O25" s="30"/>
      <c r="P25" s="30"/>
      <c r="Q25" s="30"/>
      <c r="R25" s="30"/>
      <c r="S25" s="30"/>
      <c r="T25" s="28"/>
      <c r="U25" s="30"/>
      <c r="V25" s="13"/>
    </row>
    <row r="26" ht="15" customHeight="1">
      <c r="B26" s="12"/>
      <c r="C26" s="30"/>
      <c r="D26" s="27"/>
      <c r="E26" s="52"/>
      <c r="F26" s="30"/>
      <c r="G26" s="30"/>
      <c r="H26" s="30"/>
      <c r="I26" s="30"/>
      <c r="J26" s="30"/>
      <c r="K26" s="30"/>
      <c r="L26" s="30"/>
      <c r="M26" s="30"/>
      <c r="N26" s="30"/>
      <c r="O26" s="30"/>
      <c r="P26" s="30"/>
      <c r="Q26" s="30"/>
      <c r="R26" s="30"/>
      <c r="S26" s="30"/>
      <c r="T26" s="28"/>
      <c r="U26" s="30"/>
      <c r="V26" s="13"/>
    </row>
    <row r="27" ht="15" customHeight="1">
      <c r="B27" s="12"/>
      <c r="C27" s="30"/>
      <c r="D27" s="27"/>
      <c r="E27" s="52"/>
      <c r="F27" s="30"/>
      <c r="G27" s="30"/>
      <c r="H27" s="30"/>
      <c r="I27" s="30"/>
      <c r="J27" s="30"/>
      <c r="K27" s="30"/>
      <c r="L27" s="30"/>
      <c r="M27" s="30"/>
      <c r="N27" s="30"/>
      <c r="O27" s="30"/>
      <c r="P27" s="30"/>
      <c r="Q27" s="30"/>
      <c r="R27" s="30"/>
      <c r="S27" s="30"/>
      <c r="T27" s="28"/>
      <c r="U27" s="30"/>
      <c r="V27" s="13"/>
    </row>
    <row r="28" ht="15" customHeight="1">
      <c r="B28" s="12"/>
      <c r="C28" s="30"/>
      <c r="D28" s="27"/>
      <c r="E28" s="30"/>
      <c r="F28" s="30"/>
      <c r="G28" s="30"/>
      <c r="H28" s="30"/>
      <c r="I28" s="30"/>
      <c r="J28" s="30"/>
      <c r="K28" s="30"/>
      <c r="L28" s="30"/>
      <c r="M28" s="30"/>
      <c r="N28" s="30"/>
      <c r="O28" s="30"/>
      <c r="P28" s="30"/>
      <c r="Q28" s="30"/>
      <c r="R28" s="30"/>
      <c r="S28" s="30"/>
      <c r="T28" s="28"/>
      <c r="U28" s="30"/>
      <c r="V28" s="13"/>
    </row>
    <row r="29" ht="15" customHeight="1">
      <c r="B29" s="12"/>
      <c r="C29" s="30"/>
      <c r="D29" s="27"/>
      <c r="E29" s="30"/>
      <c r="F29" s="27"/>
      <c r="G29" s="123"/>
      <c r="H29" s="123"/>
      <c r="I29" s="135"/>
      <c r="J29" s="123"/>
      <c r="K29" s="123"/>
      <c r="L29" s="123"/>
      <c r="M29" s="123"/>
      <c r="N29" s="123"/>
      <c r="O29" s="123"/>
      <c r="P29" s="30"/>
      <c r="Q29" s="30"/>
      <c r="R29" s="29"/>
      <c r="S29" s="135"/>
      <c r="T29" s="28"/>
      <c r="U29" s="123"/>
      <c r="V29" s="13"/>
    </row>
    <row r="30" ht="15" customHeight="1">
      <c r="B30" s="12"/>
      <c r="C30" s="30"/>
      <c r="D30" s="27"/>
      <c r="E30" s="30"/>
      <c r="F30" s="27"/>
      <c r="G30" s="123"/>
      <c r="H30" s="123"/>
      <c r="I30" s="135"/>
      <c r="J30" s="123"/>
      <c r="K30" s="123"/>
      <c r="L30" s="123"/>
      <c r="M30" s="123"/>
      <c r="N30" s="123"/>
      <c r="O30" s="123"/>
      <c r="P30" s="30"/>
      <c r="Q30" s="30"/>
      <c r="R30" s="29"/>
      <c r="S30" s="135"/>
      <c r="T30" s="28"/>
      <c r="U30" s="123"/>
      <c r="V30" s="13"/>
    </row>
    <row r="31" ht="15" customHeight="1">
      <c r="B31" s="12"/>
      <c r="C31" s="55" t="s">
        <v>41</v>
      </c>
      <c r="D31" s="22"/>
      <c r="E31" s="23"/>
      <c r="F31" s="22"/>
      <c r="G31" s="23"/>
      <c r="H31" s="23"/>
      <c r="I31" s="23"/>
      <c r="J31" s="23"/>
      <c r="K31" s="24"/>
      <c r="L31" s="25"/>
      <c r="M31" s="26"/>
      <c r="N31" s="25"/>
      <c r="O31" s="26"/>
      <c r="P31" s="30"/>
      <c r="Q31" s="30"/>
      <c r="V31" s="13"/>
    </row>
    <row r="32" ht="15" customHeight="1">
      <c r="B32" s="12"/>
      <c r="C32" s="52"/>
      <c r="D32" s="22"/>
      <c r="E32" s="23"/>
      <c r="F32" s="22"/>
      <c r="G32" s="23"/>
      <c r="H32" s="23"/>
      <c r="I32" s="23"/>
      <c r="J32" s="23"/>
      <c r="K32" s="24"/>
      <c r="L32" s="25"/>
      <c r="M32" s="26"/>
      <c r="N32" s="25"/>
      <c r="O32" s="26"/>
      <c r="P32" s="30"/>
      <c r="Q32" s="30"/>
      <c r="V32" s="13"/>
    </row>
    <row r="33" ht="15" customHeight="1">
      <c r="B33" s="12"/>
      <c r="C33" s="55" t="s">
        <v>42</v>
      </c>
      <c r="D33" s="22"/>
      <c r="E33" s="23"/>
      <c r="F33" s="22"/>
      <c r="G33" s="23"/>
      <c r="H33" s="23"/>
      <c r="I33" s="23"/>
      <c r="J33" s="23"/>
      <c r="K33" s="24"/>
      <c r="L33" s="25"/>
      <c r="M33" s="26"/>
      <c r="N33" s="25"/>
      <c r="O33" s="26"/>
      <c r="P33" s="30"/>
      <c r="Q33" s="30"/>
      <c r="V33" s="13"/>
    </row>
    <row r="34" ht="15" customHeight="1">
      <c r="B34" s="12"/>
      <c r="C34" s="55"/>
      <c r="D34" s="22"/>
      <c r="E34" s="22"/>
      <c r="F34" s="22"/>
      <c r="G34" s="22"/>
      <c r="H34" s="22"/>
      <c r="I34" s="22"/>
      <c r="J34" s="22"/>
      <c r="K34" s="22"/>
      <c r="L34" s="22"/>
      <c r="M34" s="22"/>
      <c r="N34" s="22"/>
      <c r="O34" s="22"/>
      <c r="P34" s="30"/>
      <c r="Q34" s="30"/>
      <c r="V34" s="13"/>
    </row>
    <row r="35" ht="15" customHeight="1">
      <c r="B35" s="12"/>
      <c r="C35" s="55" t="s">
        <v>43</v>
      </c>
      <c r="D35" s="22"/>
      <c r="E35" s="22"/>
      <c r="F35" s="22"/>
      <c r="G35" s="22"/>
      <c r="H35" s="22"/>
      <c r="I35" s="22"/>
      <c r="J35" s="22"/>
      <c r="K35" s="22"/>
      <c r="L35" s="22"/>
      <c r="M35" s="22"/>
      <c r="N35" s="22"/>
      <c r="O35" s="22"/>
      <c r="P35" s="30"/>
      <c r="Q35" s="30"/>
      <c r="V35" s="13"/>
    </row>
    <row r="36" ht="15" customHeight="1">
      <c r="B36" s="12"/>
      <c r="C36" s="30"/>
      <c r="D36" s="27"/>
      <c r="E36" s="27"/>
      <c r="F36" s="27"/>
      <c r="G36" s="122"/>
      <c r="H36" s="122"/>
      <c r="I36" s="122"/>
      <c r="J36" s="122"/>
      <c r="K36" s="122"/>
      <c r="L36" s="122"/>
      <c r="M36" s="122"/>
      <c r="N36" s="122"/>
      <c r="O36" s="122"/>
      <c r="P36" s="122"/>
      <c r="Q36" s="122"/>
      <c r="R36" s="27"/>
      <c r="S36" s="27"/>
      <c r="T36" s="28"/>
      <c r="U36" s="122"/>
      <c r="V36" s="13"/>
    </row>
    <row r="37" ht="15" customHeight="1">
      <c r="B37" s="12"/>
      <c r="C37" s="163"/>
      <c r="D37" s="163"/>
      <c r="E37" s="163"/>
      <c r="F37" s="163"/>
      <c r="G37" s="163"/>
      <c r="H37" s="163"/>
      <c r="I37" s="163"/>
      <c r="J37" s="163"/>
      <c r="K37" s="163"/>
      <c r="L37" s="163"/>
      <c r="M37" s="163"/>
      <c r="N37" s="163"/>
      <c r="O37" s="136"/>
      <c r="P37" s="122"/>
      <c r="Q37" s="122"/>
      <c r="R37" s="27"/>
      <c r="S37" s="27"/>
      <c r="T37" s="28"/>
      <c r="U37" s="122"/>
      <c r="V37" s="13"/>
    </row>
    <row r="38" ht="15" customHeight="1">
      <c r="B38" s="14"/>
      <c r="C38" s="15"/>
      <c r="D38" s="15"/>
      <c r="E38" s="15"/>
      <c r="F38" s="15"/>
      <c r="G38" s="137"/>
      <c r="H38" s="137"/>
      <c r="I38" s="137"/>
      <c r="J38" s="137"/>
      <c r="K38" s="137"/>
      <c r="L38" s="137"/>
      <c r="M38" s="137"/>
      <c r="N38" s="137"/>
      <c r="O38" s="137"/>
      <c r="P38" s="137"/>
      <c r="Q38" s="137"/>
      <c r="R38" s="15"/>
      <c r="S38" s="15"/>
      <c r="T38" s="15"/>
      <c r="U38" s="137"/>
      <c r="V38" s="16"/>
    </row>
    <row r="40">
      <c r="E40" s="140"/>
    </row>
    <row r="41">
      <c r="E41" s="140"/>
    </row>
    <row r="42">
      <c r="E42" s="140"/>
    </row>
    <row r="43">
      <c r="E43" s="140"/>
    </row>
    <row r="44">
      <c r="E44" s="140"/>
    </row>
    <row r="45">
      <c r="E45" s="140"/>
    </row>
    <row r="46">
      <c r="E46" s="140"/>
    </row>
    <row r="47">
      <c r="E47" s="140"/>
    </row>
    <row r="48">
      <c r="E48" s="140"/>
    </row>
  </sheetData>
  <mergeCells>
    <mergeCell ref="C8:U8"/>
    <mergeCell ref="C37:N37"/>
  </mergeCells>
  <pageMargins left="0.70866141732283472" right="0.70866141732283472" top="0.74803149606299213" bottom="0.74803149606299213" header="0.31496062992125984" footer="0.31496062992125984"/>
  <pageSetup paperSize="9" scale="55" orientation="landscape"/>
  <headerFooter>
    <oddHeader>&amp;C&amp;A</oddHeader>
    <oddFooter>&amp;C&amp;F   &amp;A  &amp;P/&amp;N   &amp;D</oddFooter>
  </headerFooter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16">
    <tabColor theme="4" tint="0.79998168889431442"/>
    <pageSetUpPr fitToPage="1"/>
  </sheetPr>
  <dimension ref="A1:U46"/>
  <sheetViews>
    <sheetView showGridLines="0" topLeftCell="C5" zoomScale="85" zoomScaleNormal="85" workbookViewId="0">
      <selection activeCell="M16" sqref="M16"/>
    </sheetView>
  </sheetViews>
  <sheetFormatPr baseColWidth="10" defaultColWidth="11.42578125" defaultRowHeight="15"/>
  <cols>
    <col min="1" max="1" width="2.85546875" customWidth="1" style="17"/>
    <col min="2" max="2" width="4.28515625" customWidth="1"/>
    <col min="3" max="3" width="28.7109375" customWidth="1"/>
    <col min="4" max="4" width="11.42578125" customWidth="1"/>
    <col min="5" max="5" width="11.42578125" customWidth="1"/>
    <col min="6" max="6" width="11.42578125" customWidth="1"/>
    <col min="7" max="7" width="11.42578125" customWidth="1"/>
    <col min="8" max="8" width="11.42578125" customWidth="1"/>
    <col min="9" max="9" width="11.42578125" customWidth="1"/>
    <col min="10" max="10" width="20" customWidth="1"/>
    <col min="11" max="11" width="34.28515625" customWidth="1"/>
    <col min="12" max="12" width="11.42578125" customWidth="1"/>
    <col min="13" max="13" width="11.42578125" customWidth="1"/>
    <col min="14" max="14" width="11.42578125" customWidth="1"/>
    <col min="15" max="15" width="11.42578125" customWidth="1"/>
    <col min="16" max="16" width="2.5703125" customWidth="1"/>
    <col min="17" max="17" width="4.140625" customWidth="1"/>
    <col min="18" max="18" width="2.85546875" customWidth="1"/>
    <col min="19" max="20" width="11.42578125" customWidth="1"/>
    <col min="21" max="21" bestFit="1" width="19.7109375" customWidth="1"/>
    <col min="22" max="27" width="11.42578125" customWidth="1"/>
  </cols>
  <sheetData>
    <row r="1" ht="15" customHeight="1">
      <c r="B1" s="17"/>
      <c r="C1" s="17"/>
      <c r="D1" s="17"/>
      <c r="E1" s="17"/>
      <c r="F1" s="17"/>
      <c r="G1" s="17"/>
      <c r="H1" s="17"/>
      <c r="I1" s="17"/>
      <c r="J1" s="17"/>
      <c r="K1" s="17"/>
      <c r="L1" s="17"/>
      <c r="M1" s="17"/>
      <c r="N1" s="17"/>
      <c r="O1" s="17"/>
      <c r="P1" s="17"/>
      <c r="Q1" s="17"/>
      <c r="R1" s="17"/>
    </row>
    <row r="2" ht="15" customHeight="1">
      <c r="B2" s="9"/>
      <c r="C2" s="10"/>
      <c r="D2" s="10"/>
      <c r="E2" s="10"/>
      <c r="F2" s="10"/>
      <c r="G2" s="10"/>
      <c r="H2" s="10"/>
      <c r="I2" s="10"/>
      <c r="J2" s="10"/>
      <c r="K2" s="10"/>
      <c r="L2" s="10"/>
      <c r="M2" s="10"/>
      <c r="N2" s="10"/>
      <c r="O2" s="10"/>
      <c r="P2" s="10"/>
      <c r="Q2" s="11"/>
      <c r="U2" s="19"/>
    </row>
    <row r="3" ht="15" customHeight="1">
      <c r="B3" s="12"/>
      <c r="Q3" s="13"/>
    </row>
    <row r="4" ht="15" customHeight="1">
      <c r="B4" s="12"/>
      <c r="Q4" s="13"/>
    </row>
    <row r="5" ht="15" customHeight="1">
      <c r="B5" s="12"/>
      <c r="Q5" s="13"/>
    </row>
    <row r="6" ht="15" customHeight="1">
      <c r="B6" s="12"/>
      <c r="Q6" s="13"/>
    </row>
    <row r="7" ht="15" customHeight="1">
      <c r="B7" s="12"/>
      <c r="Q7" s="13"/>
    </row>
    <row r="8" ht="67.5" customHeight="1">
      <c r="B8" s="12"/>
      <c r="C8" s="164" t="str">
        <f>'Page de garde'!J13&amp;" : Statistiques INCAPACITE au "&amp;'Page de garde'!J23&amp; " - " &amp;AFFICHAGE!$S$2</f>
        <v> : Statistiques INCAPACITE au 31 décembre 2022 - Comptable</v>
      </c>
      <c r="D8" s="165"/>
      <c r="E8" s="165"/>
      <c r="F8" s="165"/>
      <c r="G8" s="165"/>
      <c r="H8" s="165"/>
      <c r="I8" s="165"/>
      <c r="J8" s="165"/>
      <c r="K8" s="165"/>
      <c r="L8" s="165"/>
      <c r="M8" s="165"/>
      <c r="N8" s="165"/>
      <c r="O8" s="166"/>
      <c r="Q8" s="13"/>
    </row>
    <row r="9" ht="14.25" customHeight="1">
      <c r="B9" s="12"/>
      <c r="Q9" s="13"/>
    </row>
    <row r="10" ht="15" customHeight="1">
      <c r="B10" s="12"/>
      <c r="Q10" s="13"/>
    </row>
    <row r="11" ht="15" customHeight="1">
      <c r="B11" s="12"/>
      <c r="C11" s="56" t="s">
        <v>44</v>
      </c>
      <c r="K11" s="57" t="s">
        <v>45</v>
      </c>
      <c r="Q11" s="13"/>
    </row>
    <row r="12" ht="13.5" customHeight="1">
      <c r="B12" s="12"/>
      <c r="Q12" s="13"/>
    </row>
    <row r="13" ht="45">
      <c r="B13" s="12"/>
      <c r="C13" s="59"/>
      <c r="D13" s="59" t="s">
        <v>46</v>
      </c>
      <c r="E13" s="59" t="s">
        <v>47</v>
      </c>
      <c r="F13" s="59" t="s">
        <v>48</v>
      </c>
      <c r="K13" s="59" t="s">
        <v>49</v>
      </c>
      <c r="L13" s="59" t="s">
        <v>46</v>
      </c>
      <c r="M13" s="59" t="s">
        <v>50</v>
      </c>
      <c r="Q13" s="13"/>
    </row>
    <row r="14" ht="15" customHeight="1">
      <c r="B14" s="12"/>
      <c r="C14" s="66"/>
      <c r="D14" s="67"/>
      <c r="E14" s="68"/>
      <c r="F14" s="78"/>
      <c r="K14" s="66" t="s">
        <v>51</v>
      </c>
      <c r="L14" s="66">
        <v>0</v>
      </c>
      <c r="M14" s="70">
        <v>0</v>
      </c>
      <c r="Q14" s="13"/>
    </row>
    <row r="15" ht="15" customHeight="1">
      <c r="B15" s="12"/>
      <c r="C15" s="66"/>
      <c r="D15" s="67"/>
      <c r="E15" s="68"/>
      <c r="F15" s="78"/>
      <c r="K15" s="66" t="s">
        <v>52</v>
      </c>
      <c r="L15" s="66">
        <v>0</v>
      </c>
      <c r="M15" s="70">
        <v>0</v>
      </c>
      <c r="Q15" s="13"/>
    </row>
    <row r="16" ht="15" customHeight="1">
      <c r="B16" s="12"/>
      <c r="C16" s="59" t="s">
        <v>53</v>
      </c>
      <c r="D16" s="59">
        <v>6</v>
      </c>
      <c r="E16" s="69">
        <v>46.83</v>
      </c>
      <c r="F16" s="69">
        <v>62</v>
      </c>
      <c r="K16" s="66" t="s">
        <v>54</v>
      </c>
      <c r="L16" s="66">
        <v>1</v>
      </c>
      <c r="M16" s="70">
        <v>0.1667</v>
      </c>
      <c r="Q16" s="13"/>
    </row>
    <row r="17" ht="15" customHeight="1">
      <c r="B17" s="12"/>
      <c r="K17" s="66" t="s">
        <v>55</v>
      </c>
      <c r="L17" s="66">
        <v>1</v>
      </c>
      <c r="M17" s="70">
        <v>0.1667</v>
      </c>
      <c r="Q17" s="13"/>
    </row>
    <row r="18" ht="15" customHeight="1">
      <c r="B18" s="12"/>
      <c r="K18" s="66" t="s">
        <v>56</v>
      </c>
      <c r="L18" s="66">
        <v>1</v>
      </c>
      <c r="M18" s="70">
        <v>0.1667</v>
      </c>
      <c r="Q18" s="13"/>
    </row>
    <row r="19" ht="15" customHeight="1">
      <c r="B19" s="12"/>
      <c r="K19" s="66" t="s">
        <v>57</v>
      </c>
      <c r="L19" s="66">
        <v>0</v>
      </c>
      <c r="M19" s="70">
        <v>0</v>
      </c>
      <c r="Q19" s="13"/>
    </row>
    <row r="20" ht="15" customHeight="1">
      <c r="B20" s="12"/>
      <c r="K20" s="66" t="s">
        <v>58</v>
      </c>
      <c r="L20" s="66">
        <v>0</v>
      </c>
      <c r="M20" s="70">
        <v>0</v>
      </c>
      <c r="Q20" s="13"/>
    </row>
    <row r="21" ht="15" customHeight="1">
      <c r="B21" s="12"/>
      <c r="K21" s="66" t="s">
        <v>59</v>
      </c>
      <c r="L21" s="66">
        <v>3</v>
      </c>
      <c r="M21" s="70">
        <v>0.5</v>
      </c>
      <c r="Q21" s="13"/>
    </row>
    <row r="22" ht="15" customHeight="1">
      <c r="B22" s="12"/>
      <c r="K22" s="66" t="s">
        <v>60</v>
      </c>
      <c r="L22" s="66">
        <v>0</v>
      </c>
      <c r="M22" s="70">
        <v>0</v>
      </c>
      <c r="Q22" s="13"/>
    </row>
    <row r="23" ht="15" customHeight="1">
      <c r="B23" s="12"/>
      <c r="K23" s="59" t="s">
        <v>53</v>
      </c>
      <c r="L23" s="59">
        <v>6</v>
      </c>
      <c r="M23" s="71">
        <v>1</v>
      </c>
      <c r="Q23" s="13"/>
    </row>
    <row r="24" ht="15" customHeight="1">
      <c r="B24" s="12"/>
      <c r="Q24" s="13"/>
    </row>
    <row r="25" ht="15" customHeight="1">
      <c r="B25" s="12"/>
      <c r="Q25" s="13"/>
    </row>
    <row r="26" ht="15" customHeight="1">
      <c r="B26" s="12"/>
      <c r="Q26" s="13"/>
    </row>
    <row r="27" ht="15" customHeight="1">
      <c r="B27" s="12"/>
      <c r="Q27" s="13"/>
    </row>
    <row r="28" ht="15" customHeight="1">
      <c r="B28" s="12"/>
      <c r="Q28" s="13"/>
    </row>
    <row r="29" ht="15" customHeight="1">
      <c r="B29" s="12"/>
      <c r="Q29" s="13"/>
    </row>
    <row r="30">
      <c r="B30" s="12"/>
      <c r="Q30" s="13"/>
    </row>
    <row r="31" ht="12" customHeight="1">
      <c r="B31" s="12"/>
      <c r="Q31" s="13"/>
    </row>
    <row r="32" ht="15" customHeight="1">
      <c r="B32" s="12"/>
      <c r="Q32" s="13"/>
    </row>
    <row r="33" ht="15" customHeight="1">
      <c r="B33" s="12"/>
      <c r="Q33" s="13"/>
    </row>
    <row r="34" ht="15" customHeight="1">
      <c r="B34" s="12"/>
      <c r="C34" s="18" t="s">
        <v>61</v>
      </c>
      <c r="Q34" s="13"/>
    </row>
    <row r="35" ht="15" customHeight="1">
      <c r="B35" s="12"/>
      <c r="Q35" s="13"/>
    </row>
    <row r="36" ht="15" customHeight="1">
      <c r="B36" s="12"/>
      <c r="C36" s="18"/>
      <c r="D36" s="59" t="s">
        <v>46</v>
      </c>
      <c r="E36" s="59" t="s">
        <v>47</v>
      </c>
      <c r="Q36" s="13"/>
    </row>
    <row r="37" ht="15" customHeight="1">
      <c r="B37" s="12"/>
      <c r="C37" s="72" t="s">
        <v>62</v>
      </c>
      <c r="D37" s="73">
        <v>6</v>
      </c>
      <c r="E37" s="74">
        <v>46.833333333333336</v>
      </c>
      <c r="Q37" s="13"/>
    </row>
    <row r="38" ht="15" customHeight="1">
      <c r="B38" s="12"/>
      <c r="C38" s="72" t="s">
        <v>53</v>
      </c>
      <c r="D38" s="73">
        <v>6</v>
      </c>
      <c r="E38" s="74">
        <v>46.833333333333336</v>
      </c>
      <c r="Q38" s="13"/>
    </row>
    <row r="39" ht="15" customHeight="1">
      <c r="B39" s="12"/>
      <c r="C39" s="57"/>
      <c r="D39" s="84"/>
      <c r="E39" s="85"/>
      <c r="Q39" s="13"/>
    </row>
    <row r="40" ht="15" customHeight="1">
      <c r="B40" s="12"/>
      <c r="C40" s="57"/>
      <c r="D40" s="84"/>
      <c r="E40" s="85"/>
      <c r="Q40" s="13"/>
    </row>
    <row r="41" ht="15" customHeight="1">
      <c r="B41" s="12"/>
      <c r="C41" s="57"/>
      <c r="D41" s="84"/>
      <c r="E41" s="85"/>
      <c r="Q41" s="13"/>
    </row>
    <row r="42" ht="15" customHeight="1">
      <c r="B42" s="12"/>
      <c r="C42" s="57"/>
      <c r="D42" s="84"/>
      <c r="E42" s="85"/>
      <c r="Q42" s="13"/>
    </row>
    <row r="43" ht="15" customHeight="1">
      <c r="B43" s="12"/>
      <c r="C43" s="57"/>
      <c r="D43" s="84"/>
      <c r="E43" s="85"/>
      <c r="Q43" s="13"/>
    </row>
    <row r="44" ht="15" customHeight="1">
      <c r="B44" s="12"/>
      <c r="C44" s="57"/>
      <c r="D44" s="84"/>
      <c r="E44" s="85"/>
      <c r="Q44" s="13"/>
    </row>
    <row r="45" ht="15" customHeight="1">
      <c r="B45" s="12"/>
      <c r="Q45" s="13"/>
    </row>
    <row r="46" ht="15" customHeight="1">
      <c r="B46" s="14"/>
      <c r="C46" s="15"/>
      <c r="D46" s="15"/>
      <c r="E46" s="15"/>
      <c r="F46" s="15"/>
      <c r="G46" s="15"/>
      <c r="H46" s="15"/>
      <c r="I46" s="15"/>
      <c r="J46" s="15"/>
      <c r="K46" s="15"/>
      <c r="L46" s="15"/>
      <c r="M46" s="15"/>
      <c r="N46" s="15"/>
      <c r="O46" s="15"/>
      <c r="P46" s="15"/>
      <c r="Q46" s="16"/>
    </row>
    <row r="47" ht="15" customHeight="1"/>
  </sheetData>
  <mergeCells>
    <mergeCell ref="C8:O8"/>
  </mergeCells>
  <pageMargins left="0.70866141732283472" right="0.70866141732283472" top="0.74803149606299213" bottom="0.74803149606299213" header="0.31496062992125984" footer="0.31496062992125984"/>
  <pageSetup paperSize="9" scale="62" orientation="landscape"/>
  <headerFooter>
    <oddHeader>&amp;C&amp;A</oddHeader>
    <oddFooter>&amp;C&amp;F   &amp;A  &amp;P/&amp;N   &amp;D</oddFooter>
  </headerFooter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17">
    <tabColor theme="4" tint="0.79998168889431442"/>
    <pageSetUpPr fitToPage="1"/>
  </sheetPr>
  <dimension ref="A1:R46"/>
  <sheetViews>
    <sheetView showGridLines="0" topLeftCell="A8" zoomScale="85" zoomScaleNormal="85" workbookViewId="0">
      <selection activeCell="C8" sqref="C8:O8"/>
    </sheetView>
  </sheetViews>
  <sheetFormatPr baseColWidth="10" defaultColWidth="11.42578125" defaultRowHeight="15"/>
  <cols>
    <col min="1" max="1" width="2.85546875" customWidth="1" style="17"/>
    <col min="2" max="2" width="4.28515625" customWidth="1"/>
    <col min="3" max="3" width="28.7109375" customWidth="1"/>
    <col min="4" max="4" width="21" customWidth="1"/>
    <col min="5" max="5" width="21" customWidth="1"/>
    <col min="6" max="6" width="21" customWidth="1"/>
    <col min="7" max="7" width="21" customWidth="1"/>
    <col min="8" max="8" width="29.85546875" customWidth="1"/>
    <col min="9" max="9" width="11.7109375" customWidth="1"/>
    <col min="10" max="10" width="2.85546875" customWidth="1"/>
    <col min="11" max="11" width="2.85546875" customWidth="1"/>
    <col min="12" max="12" width="2.85546875" customWidth="1"/>
    <col min="13" max="13" width="2.85546875" customWidth="1"/>
    <col min="14" max="14" width="11.42578125" customWidth="1"/>
    <col min="15" max="15" width="11.42578125" customWidth="1"/>
    <col min="16" max="16" width="11.140625" customWidth="1"/>
    <col min="17" max="17" width="2.140625" customWidth="1"/>
    <col min="18" max="18" width="2.85546875" customWidth="1"/>
    <col min="19" max="19" width="11.42578125" customWidth="1"/>
  </cols>
  <sheetData>
    <row r="1" ht="15" customHeight="1">
      <c r="B1" s="17"/>
      <c r="C1" s="17"/>
      <c r="D1" s="17"/>
      <c r="E1" s="17"/>
      <c r="F1" s="17"/>
      <c r="G1" s="17"/>
      <c r="H1" s="17"/>
      <c r="I1" s="17"/>
      <c r="J1" s="17"/>
      <c r="K1" s="17"/>
      <c r="L1" s="17"/>
      <c r="M1" s="17"/>
      <c r="N1" s="17"/>
      <c r="O1" s="17"/>
      <c r="P1" s="17"/>
      <c r="Q1" s="17"/>
      <c r="R1" s="17"/>
    </row>
    <row r="2" ht="15" customHeight="1">
      <c r="B2" s="9"/>
      <c r="C2" s="10"/>
      <c r="D2" s="10"/>
      <c r="E2" s="10"/>
      <c r="F2" s="10"/>
      <c r="G2" s="10"/>
      <c r="H2" s="10"/>
      <c r="I2" s="10"/>
      <c r="J2" s="10"/>
      <c r="K2" s="10"/>
      <c r="L2" s="10"/>
      <c r="M2" s="10"/>
      <c r="N2" s="10"/>
      <c r="O2" s="10"/>
      <c r="P2" s="10"/>
      <c r="Q2" s="11"/>
    </row>
    <row r="3" ht="15" customHeight="1">
      <c r="B3" s="12"/>
      <c r="Q3" s="13"/>
    </row>
    <row r="4" ht="15" customHeight="1">
      <c r="B4" s="12"/>
      <c r="Q4" s="13"/>
    </row>
    <row r="5" ht="15" customHeight="1">
      <c r="B5" s="12"/>
      <c r="Q5" s="13"/>
    </row>
    <row r="6" ht="15" customHeight="1">
      <c r="B6" s="12"/>
      <c r="Q6" s="13"/>
    </row>
    <row r="7" ht="15" customHeight="1">
      <c r="B7" s="12"/>
      <c r="Q7" s="13"/>
    </row>
    <row r="8" ht="67.5" customHeight="1">
      <c r="B8" s="12"/>
      <c r="C8" s="167" t="str">
        <f>'Page de garde'!J13&amp;" : EVOLUTION INCAPACITE au "&amp;'Page de garde'!J23&amp; " - " &amp;AFFICHAGE!$S$2</f>
        <v> : EVOLUTION INCAPACITE au 31 décembre 2022 - Comptable</v>
      </c>
      <c r="D8" s="168"/>
      <c r="E8" s="168"/>
      <c r="F8" s="168"/>
      <c r="G8" s="168"/>
      <c r="H8" s="168"/>
      <c r="I8" s="168"/>
      <c r="J8" s="168"/>
      <c r="K8" s="168"/>
      <c r="L8" s="168"/>
      <c r="M8" s="168"/>
      <c r="N8" s="168"/>
      <c r="O8" s="169"/>
      <c r="Q8" s="13"/>
    </row>
    <row r="9" ht="15" customHeight="1">
      <c r="B9" s="12"/>
      <c r="Q9" s="13"/>
    </row>
    <row r="10" ht="15" customHeight="1">
      <c r="B10" s="12"/>
      <c r="Q10" s="13"/>
    </row>
    <row r="11" ht="15" customHeight="1" s="35" customFormat="1">
      <c r="B11" s="41"/>
      <c r="C11" s="58" t="s">
        <v>63</v>
      </c>
      <c r="D11" s="58"/>
      <c r="Q11" s="13"/>
    </row>
    <row r="12" ht="15" customHeight="1">
      <c r="B12" s="12"/>
      <c r="Q12" s="13"/>
    </row>
    <row r="13" ht="30">
      <c r="B13" s="12"/>
      <c r="C13" s="59" t="s">
        <v>64</v>
      </c>
      <c r="D13" s="79" t="s">
        <v>65</v>
      </c>
      <c r="E13" s="79" t="s">
        <v>66</v>
      </c>
      <c r="F13" s="79" t="s">
        <v>67</v>
      </c>
      <c r="Q13" s="13"/>
    </row>
    <row r="14" ht="15" customHeight="1">
      <c r="B14" s="12"/>
      <c r="C14" s="80">
        <v>2022</v>
      </c>
      <c r="D14" s="81">
        <v>6</v>
      </c>
      <c r="E14" s="81">
        <v>46.833333333333336</v>
      </c>
      <c r="F14" s="81">
        <v>62</v>
      </c>
      <c r="Q14" s="13"/>
    </row>
    <row r="15" ht="15" customHeight="1">
      <c r="B15" s="12"/>
      <c r="C15" s="59" t="s">
        <v>40</v>
      </c>
      <c r="D15" s="79">
        <v>6</v>
      </c>
      <c r="E15" s="79">
        <v>46.833333333333336</v>
      </c>
      <c r="F15" s="79">
        <v>62</v>
      </c>
      <c r="Q15" s="13"/>
    </row>
    <row r="16" ht="15" customHeight="1">
      <c r="B16" s="12"/>
      <c r="Q16" s="13"/>
    </row>
    <row r="17" ht="15" customHeight="1">
      <c r="B17" s="12"/>
      <c r="Q17" s="13"/>
    </row>
    <row r="18" ht="15" customHeight="1" s="35" customFormat="1">
      <c r="B18" s="41"/>
      <c r="C18" s="58" t="s">
        <v>68</v>
      </c>
      <c r="D18" s="58"/>
      <c r="Q18" s="13"/>
    </row>
    <row r="19" ht="15" customHeight="1">
      <c r="B19" s="12"/>
      <c r="Q19" s="13"/>
    </row>
    <row r="20">
      <c r="B20" s="12"/>
      <c r="C20" s="59" t="s">
        <v>64</v>
      </c>
      <c r="D20" s="59" t="s">
        <v>62</v>
      </c>
      <c r="E20" s="59" t="s">
        <v>40</v>
      </c>
      <c r="Q20" s="13"/>
    </row>
    <row r="21" ht="15" customHeight="1">
      <c r="B21" s="12"/>
      <c r="C21" s="80">
        <v>2022</v>
      </c>
      <c r="D21" s="81">
        <v>6</v>
      </c>
      <c r="E21" s="81">
        <v>6</v>
      </c>
      <c r="Q21" s="13"/>
    </row>
    <row r="22" ht="15" customHeight="1">
      <c r="B22" s="12"/>
      <c r="C22" s="59" t="s">
        <v>40</v>
      </c>
      <c r="D22" s="59">
        <v>6</v>
      </c>
      <c r="E22" s="59">
        <v>6</v>
      </c>
      <c r="Q22" s="13"/>
    </row>
    <row r="23" ht="15" customHeight="1">
      <c r="B23" s="12"/>
      <c r="Q23" s="13"/>
    </row>
    <row r="24" ht="15" customHeight="1">
      <c r="B24" s="12"/>
      <c r="Q24" s="13"/>
    </row>
    <row r="25" ht="15" customHeight="1" s="35" customFormat="1">
      <c r="B25" s="41"/>
      <c r="C25" s="58" t="s">
        <v>69</v>
      </c>
      <c r="D25" s="58"/>
      <c r="Q25" s="13"/>
    </row>
    <row r="26">
      <c r="B26" s="12"/>
      <c r="Q26" s="13"/>
    </row>
    <row r="27">
      <c r="B27" s="12"/>
      <c r="C27" s="59" t="s">
        <v>64</v>
      </c>
      <c r="D27" s="59" t="s">
        <v>62</v>
      </c>
      <c r="E27" s="59" t="s">
        <v>40</v>
      </c>
      <c r="Q27" s="13"/>
    </row>
    <row r="28" ht="15" customHeight="1">
      <c r="B28" s="12"/>
      <c r="C28" s="80">
        <v>2022</v>
      </c>
      <c r="D28" s="82">
        <v>16455.16</v>
      </c>
      <c r="E28" s="82">
        <v>16455.16</v>
      </c>
      <c r="Q28" s="13"/>
    </row>
    <row r="29">
      <c r="B29" s="12"/>
      <c r="C29" s="59" t="s">
        <v>40</v>
      </c>
      <c r="D29" s="83">
        <v>16455.16</v>
      </c>
      <c r="E29" s="83">
        <v>16455.16</v>
      </c>
      <c r="Q29" s="13"/>
    </row>
    <row r="30">
      <c r="B30" s="12"/>
      <c r="Q30" s="13"/>
    </row>
    <row r="31">
      <c r="B31" s="12"/>
      <c r="Q31" s="13"/>
    </row>
    <row r="32">
      <c r="B32" s="12"/>
      <c r="Q32" s="13"/>
    </row>
    <row r="33">
      <c r="B33" s="12"/>
      <c r="Q33" s="13"/>
    </row>
    <row r="34">
      <c r="B34" s="12"/>
      <c r="Q34" s="13"/>
    </row>
    <row r="35">
      <c r="B35" s="12"/>
      <c r="Q35" s="13"/>
    </row>
    <row r="36">
      <c r="B36" s="12"/>
      <c r="Q36" s="13"/>
    </row>
    <row r="37">
      <c r="B37" s="12"/>
      <c r="Q37" s="13"/>
    </row>
    <row r="38">
      <c r="B38" s="12"/>
      <c r="Q38" s="13"/>
    </row>
    <row r="39">
      <c r="B39" s="12"/>
      <c r="Q39" s="13"/>
    </row>
    <row r="40">
      <c r="B40" s="12"/>
      <c r="Q40" s="13"/>
    </row>
    <row r="41">
      <c r="B41" s="12"/>
      <c r="Q41" s="13"/>
    </row>
    <row r="42">
      <c r="B42" s="12"/>
      <c r="Q42" s="13"/>
    </row>
    <row r="43">
      <c r="B43" s="12"/>
      <c r="Q43" s="13"/>
    </row>
    <row r="44" ht="15" customHeight="1">
      <c r="B44" s="12"/>
      <c r="Q44" s="103"/>
    </row>
    <row r="45" ht="9" customHeight="1">
      <c r="B45" s="12"/>
      <c r="Q45" s="103"/>
    </row>
    <row r="46" ht="15" customHeight="1">
      <c r="B46" s="14"/>
      <c r="C46" s="15"/>
      <c r="D46" s="15"/>
      <c r="E46" s="15"/>
      <c r="F46" s="15"/>
      <c r="G46" s="15"/>
      <c r="H46" s="15"/>
      <c r="I46" s="15"/>
      <c r="J46" s="15"/>
      <c r="K46" s="15"/>
      <c r="L46" s="15"/>
      <c r="M46" s="15"/>
      <c r="N46" s="15"/>
      <c r="O46" s="15"/>
      <c r="P46" s="102"/>
      <c r="Q46" s="104"/>
    </row>
    <row r="47" ht="15" customHeight="1"/>
  </sheetData>
  <mergeCells>
    <mergeCell ref="C8:O8"/>
  </mergeCells>
  <pageMargins left="0.70866141732283472" right="0.70866141732283472" top="0.74803149606299213" bottom="0.74803149606299213" header="0.31496062992125984" footer="0.31496062992125984"/>
  <pageSetup paperSize="9" scale="62" orientation="landscape"/>
  <headerFooter>
    <oddHeader>&amp;C&amp;A</oddHeader>
    <oddFooter>&amp;C&amp;F   &amp;A  &amp;P/&amp;N   &amp;D</oddFooter>
  </headerFooter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Feuil20">
    <tabColor theme="4" tint="0.79998168889431442"/>
    <pageSetUpPr fitToPage="1"/>
  </sheetPr>
  <dimension ref="A1:U116"/>
  <sheetViews>
    <sheetView showGridLines="0" zoomScale="85" zoomScaleNormal="85" workbookViewId="0">
      <selection activeCell="C13" sqref="C13:O18"/>
    </sheetView>
  </sheetViews>
  <sheetFormatPr baseColWidth="10" defaultColWidth="11.42578125" defaultRowHeight="15"/>
  <cols>
    <col min="1" max="1" width="2.85546875" customWidth="1" style="17"/>
    <col min="2" max="2" width="4.28515625" customWidth="1"/>
    <col min="3" max="3" width="21.42578125" customWidth="1"/>
    <col min="4" max="4" width="12" customWidth="1" style="62"/>
    <col min="5" max="5" bestFit="1" width="24.85546875" customWidth="1" style="62"/>
    <col min="6" max="6" bestFit="1" width="8.28515625" customWidth="1" style="62"/>
    <col min="7" max="7" width="13.5703125" customWidth="1" style="62"/>
    <col min="8" max="8" bestFit="1" width="10.28515625" customWidth="1" style="62"/>
    <col min="9" max="9" width="19.7109375" customWidth="1" style="62"/>
    <col min="10" max="10" bestFit="1" width="10.7109375" customWidth="1" style="62"/>
    <col min="11" max="11" bestFit="1" width="11.85546875" customWidth="1" style="62"/>
    <col min="12" max="12" width="15" customWidth="1" style="62"/>
    <col min="13" max="13" width="15" customWidth="1" style="62"/>
    <col min="14" max="14" bestFit="1" width="12.5703125" customWidth="1" style="62"/>
    <col min="15" max="15" width="15" customWidth="1" style="62"/>
    <col min="16" max="16" width="11.140625" customWidth="1"/>
    <col min="17" max="17" width="2.140625" customWidth="1"/>
    <col min="18" max="18" width="2.85546875" customWidth="1"/>
    <col min="19" max="20" width="11.42578125" customWidth="1"/>
    <col min="21" max="21" bestFit="1" width="19.7109375" customWidth="1"/>
    <col min="22" max="27" width="11.42578125" customWidth="1"/>
  </cols>
  <sheetData>
    <row r="1" ht="15" customHeight="1">
      <c r="B1" s="17">
        <v>2</v>
      </c>
      <c r="C1" s="17"/>
      <c r="D1" s="60"/>
      <c r="E1" s="60"/>
      <c r="F1" s="60"/>
      <c r="G1" s="60"/>
      <c r="H1" s="60"/>
      <c r="I1" s="60"/>
      <c r="J1" s="60"/>
      <c r="K1" s="60"/>
      <c r="L1" s="60"/>
      <c r="M1" s="60"/>
      <c r="N1" s="60"/>
      <c r="O1" s="60"/>
      <c r="P1" s="17"/>
      <c r="Q1" s="17"/>
      <c r="R1" s="17"/>
    </row>
    <row r="2" ht="15" customHeight="1">
      <c r="B2" s="9"/>
      <c r="C2" s="10"/>
      <c r="D2" s="61"/>
      <c r="E2" s="61"/>
      <c r="F2" s="61"/>
      <c r="G2" s="61"/>
      <c r="H2" s="61"/>
      <c r="I2" s="61"/>
      <c r="J2" s="61"/>
      <c r="K2" s="61"/>
      <c r="L2" s="61"/>
      <c r="M2" s="61"/>
      <c r="N2" s="61"/>
      <c r="O2" s="61"/>
      <c r="P2" s="10"/>
      <c r="Q2" s="11"/>
      <c r="U2" s="19"/>
    </row>
    <row r="3" ht="15" customHeight="1">
      <c r="B3" s="12"/>
      <c r="Q3" s="13"/>
    </row>
    <row r="4" ht="15" customHeight="1">
      <c r="B4" s="12"/>
      <c r="Q4" s="13"/>
    </row>
    <row r="5" ht="15" customHeight="1">
      <c r="B5" s="12"/>
      <c r="Q5" s="13"/>
    </row>
    <row r="6" ht="15" customHeight="1">
      <c r="B6" s="12"/>
      <c r="Q6" s="13"/>
    </row>
    <row r="7" ht="15" customHeight="1">
      <c r="B7" s="12"/>
      <c r="Q7" s="13"/>
    </row>
    <row r="8" ht="67.5" customHeight="1">
      <c r="B8" s="12"/>
      <c r="C8" s="164" t="str">
        <f>'Page de garde'!J13&amp;" : Liste INCAPACITE au "&amp;'Page de garde'!J23&amp; " - " &amp;AFFICHAGE!$S$2</f>
        <v> : Liste INCAPACITE au 31 décembre 2022 - Comptable</v>
      </c>
      <c r="D8" s="165"/>
      <c r="E8" s="165"/>
      <c r="F8" s="165"/>
      <c r="G8" s="165"/>
      <c r="H8" s="165"/>
      <c r="I8" s="165"/>
      <c r="J8" s="165"/>
      <c r="K8" s="165"/>
      <c r="L8" s="165"/>
      <c r="M8" s="165"/>
      <c r="N8" s="165"/>
      <c r="O8" s="166"/>
      <c r="Q8" s="13"/>
    </row>
    <row r="9" ht="15" customHeight="1">
      <c r="B9" s="12"/>
      <c r="Q9" s="13"/>
    </row>
    <row r="10" ht="15" customHeight="1">
      <c r="B10" s="12"/>
      <c r="Q10" s="13"/>
    </row>
    <row r="11" ht="15" customHeight="1">
      <c r="B11" s="12"/>
      <c r="Q11" s="13"/>
    </row>
    <row r="12" ht="45">
      <c r="B12" s="12"/>
      <c r="C12" s="101" t="s">
        <v>70</v>
      </c>
      <c r="D12" s="101" t="s">
        <v>71</v>
      </c>
      <c r="E12" s="101" t="s">
        <v>72</v>
      </c>
      <c r="F12" s="101" t="s">
        <v>73</v>
      </c>
      <c r="G12" s="101" t="s">
        <v>74</v>
      </c>
      <c r="H12" s="101" t="s">
        <v>13</v>
      </c>
      <c r="I12" s="101" t="s">
        <v>75</v>
      </c>
      <c r="J12" s="101" t="s">
        <v>76</v>
      </c>
      <c r="K12" s="101" t="s">
        <v>77</v>
      </c>
      <c r="L12" s="101" t="s">
        <v>78</v>
      </c>
      <c r="M12" s="101" t="s">
        <v>79</v>
      </c>
      <c r="N12" s="101" t="s">
        <v>80</v>
      </c>
      <c r="O12" s="101" t="s">
        <v>81</v>
      </c>
      <c r="Q12" s="13"/>
    </row>
    <row r="13" ht="15" customHeight="1">
      <c r="B13" s="12"/>
      <c r="C13" s="21" t="s">
        <v>12</v>
      </c>
      <c r="D13" s="63" t="s">
        <v>82</v>
      </c>
      <c r="E13" s="94" t="s">
        <v>83</v>
      </c>
      <c r="F13" s="64" t="s">
        <v>84</v>
      </c>
      <c r="G13" s="64">
        <v>23910</v>
      </c>
      <c r="H13" s="63" t="s">
        <v>85</v>
      </c>
      <c r="I13" s="64" t="s">
        <v>62</v>
      </c>
      <c r="J13" s="64">
        <v>44753</v>
      </c>
      <c r="K13" s="93">
        <v>57</v>
      </c>
      <c r="L13" s="64">
        <v>44867</v>
      </c>
      <c r="M13" s="64"/>
      <c r="N13" s="97">
        <v>0</v>
      </c>
      <c r="O13" s="65">
        <v>7644.9000000000005</v>
      </c>
      <c r="Q13" s="13"/>
    </row>
    <row r="14" ht="15" customHeight="1">
      <c r="B14" s="12"/>
      <c r="C14" s="21" t="s">
        <v>12</v>
      </c>
      <c r="D14" s="63" t="s">
        <v>86</v>
      </c>
      <c r="E14" s="94" t="s">
        <v>87</v>
      </c>
      <c r="F14" s="64" t="s">
        <v>84</v>
      </c>
      <c r="G14" s="64">
        <v>23953</v>
      </c>
      <c r="H14" s="63" t="s">
        <v>85</v>
      </c>
      <c r="I14" s="64" t="s">
        <v>62</v>
      </c>
      <c r="J14" s="64">
        <v>44673</v>
      </c>
      <c r="K14" s="93">
        <v>57</v>
      </c>
      <c r="L14" s="64">
        <v>44761</v>
      </c>
      <c r="M14" s="64">
        <v>44761</v>
      </c>
      <c r="N14" s="97">
        <v>88</v>
      </c>
      <c r="O14" s="65">
        <v>4663.3600000000006</v>
      </c>
      <c r="Q14" s="13"/>
    </row>
    <row r="15" ht="15" customHeight="1">
      <c r="B15" s="12"/>
      <c r="C15" s="21" t="s">
        <v>12</v>
      </c>
      <c r="D15" s="63" t="s">
        <v>88</v>
      </c>
      <c r="E15" s="94" t="s">
        <v>89</v>
      </c>
      <c r="F15" s="64" t="s">
        <v>90</v>
      </c>
      <c r="G15" s="64">
        <v>24336</v>
      </c>
      <c r="H15" s="63" t="s">
        <v>91</v>
      </c>
      <c r="I15" s="64" t="s">
        <v>62</v>
      </c>
      <c r="J15" s="64">
        <v>44646</v>
      </c>
      <c r="K15" s="93">
        <v>56</v>
      </c>
      <c r="L15" s="64">
        <v>44849</v>
      </c>
      <c r="M15" s="64">
        <v>44849</v>
      </c>
      <c r="N15" s="97">
        <v>203</v>
      </c>
      <c r="O15" s="65">
        <v>1873.9800000000003</v>
      </c>
      <c r="Q15" s="13"/>
    </row>
    <row r="16" ht="15" customHeight="1">
      <c r="B16" s="12"/>
      <c r="C16" s="21" t="s">
        <v>12</v>
      </c>
      <c r="D16" s="63" t="s">
        <v>92</v>
      </c>
      <c r="E16" s="94" t="s">
        <v>93</v>
      </c>
      <c r="F16" s="64" t="s">
        <v>84</v>
      </c>
      <c r="G16" s="64">
        <v>33088</v>
      </c>
      <c r="H16" s="63" t="s">
        <v>85</v>
      </c>
      <c r="I16" s="64" t="s">
        <v>62</v>
      </c>
      <c r="J16" s="64">
        <v>44711</v>
      </c>
      <c r="K16" s="93">
        <v>32</v>
      </c>
      <c r="L16" s="64">
        <v>44742</v>
      </c>
      <c r="M16" s="64">
        <v>44742</v>
      </c>
      <c r="N16" s="97">
        <v>31</v>
      </c>
      <c r="O16" s="65">
        <v>124.92</v>
      </c>
      <c r="Q16" s="13"/>
    </row>
    <row r="17" ht="15" customHeight="1">
      <c r="B17" s="12"/>
      <c r="C17" s="21" t="s">
        <v>12</v>
      </c>
      <c r="D17" s="63" t="s">
        <v>94</v>
      </c>
      <c r="E17" s="94" t="s">
        <v>95</v>
      </c>
      <c r="F17" s="64" t="s">
        <v>84</v>
      </c>
      <c r="G17" s="64">
        <v>31707</v>
      </c>
      <c r="H17" s="63" t="s">
        <v>85</v>
      </c>
      <c r="I17" s="64" t="s">
        <v>62</v>
      </c>
      <c r="J17" s="64">
        <v>44804</v>
      </c>
      <c r="K17" s="93">
        <v>36</v>
      </c>
      <c r="L17" s="64">
        <v>44860</v>
      </c>
      <c r="M17" s="64"/>
      <c r="N17" s="97">
        <v>0</v>
      </c>
      <c r="O17" s="65">
        <v>1238.49</v>
      </c>
      <c r="Q17" s="13"/>
    </row>
    <row r="18" ht="15" customHeight="1">
      <c r="B18" s="12"/>
      <c r="C18" s="21" t="s">
        <v>12</v>
      </c>
      <c r="D18" s="63" t="s">
        <v>96</v>
      </c>
      <c r="E18" s="94" t="s">
        <v>97</v>
      </c>
      <c r="F18" s="64" t="s">
        <v>84</v>
      </c>
      <c r="G18" s="64">
        <v>29075</v>
      </c>
      <c r="H18" s="63" t="s">
        <v>85</v>
      </c>
      <c r="I18" s="64" t="s">
        <v>62</v>
      </c>
      <c r="J18" s="64">
        <v>44697</v>
      </c>
      <c r="K18" s="93">
        <v>43</v>
      </c>
      <c r="L18" s="64">
        <v>44747</v>
      </c>
      <c r="M18" s="64">
        <v>44747</v>
      </c>
      <c r="N18" s="97">
        <v>50</v>
      </c>
      <c r="O18" s="65">
        <v>909.51</v>
      </c>
      <c r="Q18" s="13"/>
    </row>
    <row r="19" ht="15" customHeight="1">
      <c r="B19" s="12"/>
      <c r="C19" s="170"/>
      <c r="D19" s="171"/>
      <c r="E19" s="172"/>
      <c r="F19" s="173"/>
      <c r="G19" s="173"/>
      <c r="H19" s="171"/>
      <c r="I19" s="173"/>
      <c r="J19" s="173"/>
      <c r="K19" s="174"/>
      <c r="L19" s="173"/>
      <c r="M19" s="173"/>
      <c r="N19" s="175"/>
      <c r="O19" s="176"/>
      <c r="Q19" s="13"/>
    </row>
    <row r="20" ht="15" customHeight="1">
      <c r="B20" s="12"/>
      <c r="C20" s="170"/>
      <c r="D20" s="171"/>
      <c r="E20" s="172"/>
      <c r="F20" s="173"/>
      <c r="G20" s="173"/>
      <c r="H20" s="171"/>
      <c r="I20" s="173"/>
      <c r="J20" s="173"/>
      <c r="K20" s="174"/>
      <c r="L20" s="173"/>
      <c r="M20" s="173"/>
      <c r="N20" s="175"/>
      <c r="O20" s="176"/>
      <c r="Q20" s="13"/>
    </row>
    <row r="21" ht="15" customHeight="1">
      <c r="B21" s="12"/>
      <c r="E21" s="95"/>
      <c r="F21" s="91"/>
      <c r="G21" s="91"/>
      <c r="I21" s="91"/>
      <c r="J21" s="91"/>
      <c r="K21" s="96"/>
      <c r="L21" s="91"/>
      <c r="M21" s="91"/>
      <c r="N21" s="98"/>
      <c r="O21" s="92"/>
      <c r="Q21" s="13"/>
    </row>
    <row r="22" ht="15" customHeight="1">
      <c r="B22" s="12"/>
      <c r="E22" s="95"/>
      <c r="F22" s="91"/>
      <c r="G22" s="91"/>
      <c r="I22" s="91"/>
      <c r="J22" s="91"/>
      <c r="K22" s="96"/>
      <c r="L22" s="91"/>
      <c r="M22" s="91"/>
      <c r="N22" s="98"/>
      <c r="O22" s="92"/>
      <c r="Q22" s="13"/>
    </row>
    <row r="23" ht="15" customHeight="1">
      <c r="B23" s="12"/>
      <c r="E23" s="95"/>
      <c r="F23" s="91"/>
      <c r="G23" s="91"/>
      <c r="I23" s="91"/>
      <c r="J23" s="91"/>
      <c r="K23" s="96"/>
      <c r="L23" s="91"/>
      <c r="M23" s="91"/>
      <c r="N23" s="98"/>
      <c r="O23" s="92"/>
      <c r="Q23" s="13"/>
    </row>
    <row r="24" ht="15" customHeight="1">
      <c r="B24" s="12"/>
      <c r="E24" s="95"/>
      <c r="F24" s="91"/>
      <c r="G24" s="91"/>
      <c r="I24" s="91"/>
      <c r="J24" s="91"/>
      <c r="K24" s="96"/>
      <c r="L24" s="91"/>
      <c r="M24" s="91"/>
      <c r="N24" s="98"/>
      <c r="O24" s="92"/>
      <c r="Q24" s="13"/>
    </row>
    <row r="25" ht="15" customHeight="1">
      <c r="B25" s="12"/>
      <c r="E25" s="95"/>
      <c r="F25" s="91"/>
      <c r="G25" s="91"/>
      <c r="I25" s="91"/>
      <c r="J25" s="91"/>
      <c r="K25" s="96"/>
      <c r="L25" s="91"/>
      <c r="M25" s="91"/>
      <c r="N25" s="98"/>
      <c r="O25" s="92"/>
      <c r="Q25" s="13"/>
    </row>
    <row r="26" ht="15" customHeight="1">
      <c r="B26" s="12"/>
      <c r="E26" s="95"/>
      <c r="F26" s="91"/>
      <c r="G26" s="91"/>
      <c r="I26" s="91"/>
      <c r="J26" s="91"/>
      <c r="K26" s="96"/>
      <c r="L26" s="91"/>
      <c r="M26" s="91"/>
      <c r="N26" s="98"/>
      <c r="O26" s="92"/>
      <c r="Q26" s="13"/>
    </row>
    <row r="27" ht="15" customHeight="1">
      <c r="B27" s="12"/>
      <c r="E27" s="95"/>
      <c r="F27" s="91"/>
      <c r="G27" s="91"/>
      <c r="I27" s="91"/>
      <c r="J27" s="91"/>
      <c r="K27" s="96"/>
      <c r="L27" s="91"/>
      <c r="M27" s="91"/>
      <c r="N27" s="98"/>
      <c r="O27" s="92"/>
      <c r="Q27" s="13"/>
    </row>
    <row r="28" ht="15" customHeight="1">
      <c r="B28" s="12"/>
      <c r="E28" s="95"/>
      <c r="F28" s="91"/>
      <c r="G28" s="91"/>
      <c r="I28" s="91"/>
      <c r="J28" s="91"/>
      <c r="K28" s="96"/>
      <c r="L28" s="91"/>
      <c r="M28" s="91"/>
      <c r="N28" s="98"/>
      <c r="O28" s="92"/>
      <c r="Q28" s="13"/>
    </row>
    <row r="29" ht="15" customHeight="1">
      <c r="B29" s="12"/>
      <c r="E29" s="95"/>
      <c r="F29" s="91"/>
      <c r="G29" s="91"/>
      <c r="I29" s="91"/>
      <c r="J29" s="91"/>
      <c r="K29" s="96"/>
      <c r="L29" s="91"/>
      <c r="M29" s="91"/>
      <c r="N29" s="98"/>
      <c r="O29" s="92"/>
      <c r="Q29" s="13"/>
    </row>
    <row r="30" ht="15" customHeight="1">
      <c r="B30" s="12"/>
      <c r="E30" s="95"/>
      <c r="F30" s="91"/>
      <c r="G30" s="91"/>
      <c r="I30" s="91"/>
      <c r="J30" s="91"/>
      <c r="K30" s="96"/>
      <c r="L30" s="91"/>
      <c r="M30" s="91"/>
      <c r="N30" s="98"/>
      <c r="O30" s="92"/>
      <c r="Q30" s="13"/>
    </row>
    <row r="31" ht="15" customHeight="1">
      <c r="B31" s="12"/>
      <c r="E31" s="95"/>
      <c r="F31" s="91"/>
      <c r="G31" s="91"/>
      <c r="I31" s="91"/>
      <c r="J31" s="91"/>
      <c r="K31" s="96"/>
      <c r="L31" s="91"/>
      <c r="M31" s="91"/>
      <c r="N31" s="98"/>
      <c r="O31" s="92"/>
      <c r="Q31" s="13"/>
    </row>
    <row r="32" ht="15" customHeight="1">
      <c r="B32" s="12"/>
      <c r="E32" s="95"/>
      <c r="F32" s="91"/>
      <c r="G32" s="91"/>
      <c r="I32" s="91"/>
      <c r="J32" s="91"/>
      <c r="K32" s="96"/>
      <c r="L32" s="91"/>
      <c r="M32" s="91"/>
      <c r="N32" s="98"/>
      <c r="O32" s="92"/>
      <c r="Q32" s="13"/>
    </row>
    <row r="33" ht="15" customHeight="1">
      <c r="B33" s="12"/>
      <c r="E33" s="95"/>
      <c r="F33" s="91"/>
      <c r="G33" s="91"/>
      <c r="I33" s="91"/>
      <c r="J33" s="91"/>
      <c r="K33" s="96"/>
      <c r="L33" s="91"/>
      <c r="M33" s="91"/>
      <c r="N33" s="98"/>
      <c r="O33" s="92"/>
      <c r="Q33" s="13"/>
    </row>
    <row r="34" ht="15" customHeight="1">
      <c r="B34" s="12"/>
      <c r="E34" s="95"/>
      <c r="F34" s="91"/>
      <c r="G34" s="91"/>
      <c r="I34" s="91"/>
      <c r="J34" s="91"/>
      <c r="K34" s="96"/>
      <c r="L34" s="91"/>
      <c r="M34" s="91"/>
      <c r="N34" s="98"/>
      <c r="O34" s="92"/>
      <c r="Q34" s="13"/>
    </row>
    <row r="35" ht="15" customHeight="1">
      <c r="B35" s="12"/>
      <c r="E35" s="95"/>
      <c r="F35" s="91"/>
      <c r="G35" s="91"/>
      <c r="I35" s="91"/>
      <c r="J35" s="91"/>
      <c r="K35" s="96"/>
      <c r="L35" s="91"/>
      <c r="M35" s="91"/>
      <c r="N35" s="98"/>
      <c r="O35" s="92"/>
      <c r="Q35" s="13"/>
    </row>
    <row r="36" ht="15" customHeight="1">
      <c r="B36" s="12"/>
      <c r="E36" s="95"/>
      <c r="F36" s="91"/>
      <c r="G36" s="91"/>
      <c r="I36" s="91"/>
      <c r="J36" s="91"/>
      <c r="K36" s="96"/>
      <c r="L36" s="91"/>
      <c r="M36" s="91"/>
      <c r="N36" s="98"/>
      <c r="O36" s="92"/>
      <c r="Q36" s="13"/>
    </row>
    <row r="37" ht="15" customHeight="1">
      <c r="B37" s="12"/>
      <c r="E37" s="95"/>
      <c r="F37" s="91"/>
      <c r="G37" s="91"/>
      <c r="I37" s="91"/>
      <c r="J37" s="91"/>
      <c r="K37" s="96"/>
      <c r="L37" s="91"/>
      <c r="M37" s="91"/>
      <c r="N37" s="98"/>
      <c r="O37" s="92"/>
      <c r="Q37" s="13"/>
    </row>
    <row r="38" ht="15" customHeight="1">
      <c r="B38" s="12"/>
      <c r="E38" s="95"/>
      <c r="F38" s="91"/>
      <c r="G38" s="91"/>
      <c r="I38" s="91"/>
      <c r="J38" s="91"/>
      <c r="K38" s="96"/>
      <c r="L38" s="91"/>
      <c r="M38" s="91"/>
      <c r="N38" s="98"/>
      <c r="O38" s="92"/>
      <c r="Q38" s="13"/>
    </row>
    <row r="39" ht="15" customHeight="1">
      <c r="B39" s="12"/>
      <c r="E39" s="95"/>
      <c r="F39" s="91"/>
      <c r="G39" s="91"/>
      <c r="I39" s="91"/>
      <c r="J39" s="91"/>
      <c r="K39" s="96"/>
      <c r="L39" s="91"/>
      <c r="M39" s="91"/>
      <c r="N39" s="98"/>
      <c r="O39" s="92"/>
      <c r="Q39" s="13"/>
    </row>
    <row r="40" ht="15" customHeight="1">
      <c r="B40" s="12"/>
      <c r="E40" s="95"/>
      <c r="F40" s="91"/>
      <c r="G40" s="91"/>
      <c r="I40" s="91"/>
      <c r="J40" s="91"/>
      <c r="K40" s="96"/>
      <c r="L40" s="91"/>
      <c r="M40" s="91"/>
      <c r="N40" s="98"/>
      <c r="O40" s="92"/>
      <c r="Q40" s="13"/>
    </row>
    <row r="41" ht="15" customHeight="1">
      <c r="B41" s="12"/>
      <c r="E41" s="95"/>
      <c r="F41" s="91"/>
      <c r="G41" s="91"/>
      <c r="I41" s="91"/>
      <c r="J41" s="91"/>
      <c r="K41" s="96"/>
      <c r="L41" s="91"/>
      <c r="M41" s="91"/>
      <c r="N41" s="98"/>
      <c r="O41" s="92"/>
      <c r="Q41" s="13"/>
    </row>
    <row r="42" ht="15" customHeight="1">
      <c r="B42" s="12"/>
      <c r="E42" s="95"/>
      <c r="F42" s="91"/>
      <c r="G42" s="91"/>
      <c r="I42" s="91"/>
      <c r="J42" s="91"/>
      <c r="K42" s="96"/>
      <c r="L42" s="91"/>
      <c r="M42" s="91"/>
      <c r="N42" s="98"/>
      <c r="O42" s="92"/>
      <c r="Q42" s="13"/>
    </row>
    <row r="43" ht="15" customHeight="1">
      <c r="B43" s="12"/>
      <c r="E43" s="95"/>
      <c r="F43" s="91"/>
      <c r="G43" s="91"/>
      <c r="I43" s="91"/>
      <c r="J43" s="91"/>
      <c r="K43" s="96"/>
      <c r="L43" s="91"/>
      <c r="M43" s="91"/>
      <c r="N43" s="98"/>
      <c r="O43" s="92"/>
      <c r="Q43" s="13"/>
    </row>
    <row r="44" ht="15" customHeight="1">
      <c r="B44" s="12"/>
      <c r="E44" s="95"/>
      <c r="F44" s="91"/>
      <c r="G44" s="91"/>
      <c r="I44" s="91"/>
      <c r="J44" s="91"/>
      <c r="K44" s="96"/>
      <c r="L44" s="91"/>
      <c r="M44" s="91"/>
      <c r="N44" s="98"/>
      <c r="O44" s="92"/>
      <c r="Q44" s="13"/>
    </row>
    <row r="45" ht="15" customHeight="1">
      <c r="B45" s="12"/>
      <c r="E45" s="95"/>
      <c r="F45" s="91"/>
      <c r="G45" s="91"/>
      <c r="I45" s="91"/>
      <c r="J45" s="91"/>
      <c r="K45" s="96"/>
      <c r="L45" s="91"/>
      <c r="M45" s="91"/>
      <c r="N45" s="98"/>
      <c r="O45" s="92"/>
      <c r="Q45" s="13"/>
    </row>
    <row r="46" ht="15" customHeight="1">
      <c r="B46" s="12"/>
      <c r="E46" s="95"/>
      <c r="F46" s="91"/>
      <c r="G46" s="91"/>
      <c r="I46" s="91"/>
      <c r="J46" s="91"/>
      <c r="K46" s="96"/>
      <c r="L46" s="91"/>
      <c r="M46" s="91"/>
      <c r="N46" s="98"/>
      <c r="O46" s="92"/>
      <c r="Q46" s="13"/>
    </row>
    <row r="47" ht="15" customHeight="1">
      <c r="B47" s="12"/>
      <c r="E47" s="95"/>
      <c r="F47" s="91"/>
      <c r="G47" s="91"/>
      <c r="I47" s="91"/>
      <c r="J47" s="91"/>
      <c r="K47" s="96"/>
      <c r="L47" s="91"/>
      <c r="M47" s="91"/>
      <c r="N47" s="98"/>
      <c r="O47" s="92"/>
      <c r="Q47" s="13"/>
    </row>
    <row r="48" ht="15" customHeight="1">
      <c r="B48" s="12"/>
      <c r="E48" s="95"/>
      <c r="F48" s="91"/>
      <c r="G48" s="91"/>
      <c r="I48" s="91"/>
      <c r="J48" s="91"/>
      <c r="K48" s="96"/>
      <c r="L48" s="91"/>
      <c r="M48" s="91"/>
      <c r="N48" s="98"/>
      <c r="O48" s="92"/>
      <c r="Q48" s="13"/>
    </row>
    <row r="49" ht="15" customHeight="1">
      <c r="B49" s="12"/>
      <c r="E49" s="95"/>
      <c r="F49" s="91"/>
      <c r="G49" s="91"/>
      <c r="I49" s="91"/>
      <c r="J49" s="91"/>
      <c r="K49" s="96"/>
      <c r="L49" s="91"/>
      <c r="M49" s="91"/>
      <c r="N49" s="98"/>
      <c r="O49" s="92"/>
      <c r="Q49" s="13"/>
    </row>
    <row r="50" ht="15" customHeight="1">
      <c r="B50" s="12"/>
      <c r="E50" s="95"/>
      <c r="F50" s="91"/>
      <c r="G50" s="91"/>
      <c r="I50" s="91"/>
      <c r="J50" s="91"/>
      <c r="K50" s="96"/>
      <c r="L50" s="91"/>
      <c r="M50" s="91"/>
      <c r="N50" s="98"/>
      <c r="O50" s="92"/>
      <c r="Q50" s="13"/>
    </row>
    <row r="51" ht="15" customHeight="1">
      <c r="B51" s="12"/>
      <c r="E51" s="95"/>
      <c r="F51" s="91"/>
      <c r="G51" s="91"/>
      <c r="I51" s="91"/>
      <c r="J51" s="91"/>
      <c r="K51" s="96"/>
      <c r="L51" s="91"/>
      <c r="M51" s="91"/>
      <c r="N51" s="98"/>
      <c r="O51" s="92"/>
      <c r="Q51" s="13"/>
    </row>
    <row r="52" ht="15" customHeight="1">
      <c r="B52" s="12"/>
      <c r="E52" s="95"/>
      <c r="F52" s="91"/>
      <c r="G52" s="91"/>
      <c r="I52" s="91"/>
      <c r="J52" s="91"/>
      <c r="K52" s="96"/>
      <c r="L52" s="91"/>
      <c r="M52" s="91"/>
      <c r="N52" s="98"/>
      <c r="O52" s="92"/>
      <c r="Q52" s="13"/>
    </row>
    <row r="53" ht="15" customHeight="1">
      <c r="B53" s="12"/>
      <c r="E53" s="95"/>
      <c r="F53" s="91"/>
      <c r="G53" s="91"/>
      <c r="I53" s="91"/>
      <c r="J53" s="91"/>
      <c r="K53" s="96"/>
      <c r="L53" s="91"/>
      <c r="M53" s="91"/>
      <c r="N53" s="98"/>
      <c r="O53" s="92"/>
      <c r="Q53" s="13"/>
    </row>
    <row r="54" ht="15" customHeight="1">
      <c r="B54" s="12"/>
      <c r="E54" s="95"/>
      <c r="F54" s="91"/>
      <c r="G54" s="91"/>
      <c r="I54" s="91"/>
      <c r="J54" s="91"/>
      <c r="K54" s="96"/>
      <c r="L54" s="91"/>
      <c r="M54" s="91"/>
      <c r="N54" s="98"/>
      <c r="O54" s="92"/>
      <c r="Q54" s="13"/>
    </row>
    <row r="55" ht="15" customHeight="1">
      <c r="B55" s="12"/>
      <c r="E55" s="95"/>
      <c r="F55" s="91"/>
      <c r="G55" s="91"/>
      <c r="I55" s="91"/>
      <c r="J55" s="91"/>
      <c r="K55" s="96"/>
      <c r="L55" s="91"/>
      <c r="M55" s="91"/>
      <c r="N55" s="98"/>
      <c r="O55" s="92"/>
      <c r="Q55" s="13"/>
    </row>
    <row r="56" ht="15" customHeight="1">
      <c r="B56" s="12"/>
      <c r="E56" s="95"/>
      <c r="F56" s="91"/>
      <c r="G56" s="91"/>
      <c r="I56" s="91"/>
      <c r="J56" s="91"/>
      <c r="K56" s="96"/>
      <c r="L56" s="91"/>
      <c r="M56" s="91"/>
      <c r="N56" s="98"/>
      <c r="O56" s="92"/>
      <c r="Q56" s="13"/>
    </row>
    <row r="57" ht="15" customHeight="1">
      <c r="B57" s="12"/>
      <c r="E57" s="95"/>
      <c r="F57" s="91"/>
      <c r="G57" s="91"/>
      <c r="I57" s="91"/>
      <c r="J57" s="91"/>
      <c r="K57" s="96"/>
      <c r="L57" s="91"/>
      <c r="M57" s="91"/>
      <c r="N57" s="98"/>
      <c r="O57" s="92"/>
      <c r="Q57" s="13"/>
    </row>
    <row r="58" ht="15" customHeight="1">
      <c r="B58" s="12"/>
      <c r="E58" s="95"/>
      <c r="F58" s="91"/>
      <c r="G58" s="91"/>
      <c r="I58" s="91"/>
      <c r="J58" s="91"/>
      <c r="K58" s="96"/>
      <c r="L58" s="91"/>
      <c r="M58" s="91"/>
      <c r="N58" s="98"/>
      <c r="O58" s="92"/>
      <c r="Q58" s="13"/>
    </row>
    <row r="59" ht="15" customHeight="1">
      <c r="B59" s="12"/>
      <c r="E59" s="95"/>
      <c r="F59" s="91"/>
      <c r="G59" s="91"/>
      <c r="I59" s="91"/>
      <c r="J59" s="91"/>
      <c r="K59" s="96"/>
      <c r="L59" s="91"/>
      <c r="M59" s="91"/>
      <c r="N59" s="98"/>
      <c r="O59" s="92"/>
      <c r="Q59" s="13"/>
    </row>
    <row r="60" ht="15" customHeight="1">
      <c r="B60" s="12"/>
      <c r="E60" s="95"/>
      <c r="F60" s="91"/>
      <c r="G60" s="91"/>
      <c r="I60" s="91"/>
      <c r="J60" s="91"/>
      <c r="K60" s="96"/>
      <c r="L60" s="91"/>
      <c r="M60" s="91"/>
      <c r="N60" s="98"/>
      <c r="O60" s="92"/>
      <c r="Q60" s="13"/>
    </row>
    <row r="61" ht="15" customHeight="1">
      <c r="B61" s="12"/>
      <c r="E61" s="95"/>
      <c r="F61" s="91"/>
      <c r="G61" s="91"/>
      <c r="I61" s="91"/>
      <c r="J61" s="91"/>
      <c r="K61" s="96"/>
      <c r="L61" s="91"/>
      <c r="M61" s="91"/>
      <c r="N61" s="98"/>
      <c r="O61" s="92"/>
      <c r="Q61" s="13"/>
    </row>
    <row r="62" ht="15" customHeight="1">
      <c r="B62" s="12"/>
      <c r="E62" s="95"/>
      <c r="F62" s="91"/>
      <c r="G62" s="91"/>
      <c r="I62" s="91"/>
      <c r="J62" s="91"/>
      <c r="K62" s="96"/>
      <c r="L62" s="91"/>
      <c r="M62" s="91"/>
      <c r="N62" s="98"/>
      <c r="O62" s="92"/>
      <c r="Q62" s="13"/>
    </row>
    <row r="63" ht="15" customHeight="1">
      <c r="B63" s="12"/>
      <c r="E63" s="95"/>
      <c r="F63" s="91"/>
      <c r="G63" s="91"/>
      <c r="I63" s="91"/>
      <c r="J63" s="91"/>
      <c r="K63" s="96"/>
      <c r="L63" s="91"/>
      <c r="M63" s="91"/>
      <c r="N63" s="98"/>
      <c r="O63" s="92"/>
      <c r="Q63" s="13"/>
    </row>
    <row r="64" ht="15" customHeight="1">
      <c r="B64" s="12"/>
      <c r="E64" s="95"/>
      <c r="F64" s="91"/>
      <c r="G64" s="91"/>
      <c r="I64" s="91"/>
      <c r="J64" s="91"/>
      <c r="K64" s="96"/>
      <c r="L64" s="91"/>
      <c r="M64" s="91"/>
      <c r="N64" s="98"/>
      <c r="O64" s="92"/>
      <c r="Q64" s="13"/>
    </row>
    <row r="65" ht="15" customHeight="1">
      <c r="B65" s="12"/>
      <c r="E65" s="95"/>
      <c r="F65" s="91"/>
      <c r="G65" s="91"/>
      <c r="I65" s="91"/>
      <c r="J65" s="91"/>
      <c r="K65" s="96"/>
      <c r="L65" s="91"/>
      <c r="M65" s="91"/>
      <c r="N65" s="98"/>
      <c r="O65" s="92"/>
      <c r="Q65" s="13"/>
    </row>
    <row r="66" ht="15" customHeight="1">
      <c r="B66" s="12"/>
      <c r="E66" s="95"/>
      <c r="F66" s="91"/>
      <c r="G66" s="91"/>
      <c r="I66" s="91"/>
      <c r="J66" s="91"/>
      <c r="K66" s="96"/>
      <c r="L66" s="91"/>
      <c r="M66" s="91"/>
      <c r="N66" s="98"/>
      <c r="O66" s="92"/>
      <c r="Q66" s="13"/>
    </row>
    <row r="67" ht="15" customHeight="1">
      <c r="B67" s="12"/>
      <c r="E67" s="95"/>
      <c r="F67" s="91"/>
      <c r="G67" s="91"/>
      <c r="I67" s="91"/>
      <c r="J67" s="91"/>
      <c r="K67" s="96"/>
      <c r="L67" s="91"/>
      <c r="M67" s="91"/>
      <c r="N67" s="98"/>
      <c r="O67" s="92"/>
      <c r="Q67" s="13"/>
    </row>
    <row r="68" ht="15" customHeight="1">
      <c r="B68" s="12"/>
      <c r="E68" s="95"/>
      <c r="F68" s="91"/>
      <c r="G68" s="91"/>
      <c r="I68" s="91"/>
      <c r="J68" s="91"/>
      <c r="K68" s="96"/>
      <c r="L68" s="91"/>
      <c r="M68" s="91"/>
      <c r="N68" s="98"/>
      <c r="O68" s="92"/>
      <c r="Q68" s="13"/>
    </row>
    <row r="69" ht="15" customHeight="1">
      <c r="B69" s="12"/>
      <c r="E69" s="95"/>
      <c r="F69" s="91"/>
      <c r="G69" s="91"/>
      <c r="I69" s="91"/>
      <c r="J69" s="91"/>
      <c r="K69" s="96"/>
      <c r="L69" s="91"/>
      <c r="M69" s="91"/>
      <c r="N69" s="98"/>
      <c r="O69" s="92"/>
      <c r="Q69" s="13"/>
    </row>
    <row r="70" ht="15" customHeight="1">
      <c r="B70" s="12"/>
      <c r="E70" s="95"/>
      <c r="F70" s="91"/>
      <c r="G70" s="91"/>
      <c r="I70" s="91"/>
      <c r="J70" s="91"/>
      <c r="K70" s="96"/>
      <c r="L70" s="91"/>
      <c r="M70" s="91"/>
      <c r="N70" s="98"/>
      <c r="O70" s="92"/>
      <c r="Q70" s="13"/>
    </row>
    <row r="71" ht="15" customHeight="1">
      <c r="B71" s="12"/>
      <c r="E71" s="95"/>
      <c r="F71" s="91"/>
      <c r="G71" s="91"/>
      <c r="I71" s="91"/>
      <c r="J71" s="91"/>
      <c r="K71" s="96"/>
      <c r="L71" s="91"/>
      <c r="M71" s="91"/>
      <c r="N71" s="98"/>
      <c r="O71" s="92"/>
      <c r="Q71" s="13"/>
    </row>
    <row r="72" ht="15" customHeight="1">
      <c r="B72" s="12"/>
      <c r="E72" s="95"/>
      <c r="F72" s="91"/>
      <c r="G72" s="91"/>
      <c r="I72" s="91"/>
      <c r="J72" s="91"/>
      <c r="K72" s="96"/>
      <c r="L72" s="91"/>
      <c r="M72" s="91"/>
      <c r="N72" s="98"/>
      <c r="O72" s="92"/>
      <c r="Q72" s="13"/>
    </row>
    <row r="73" ht="15" customHeight="1">
      <c r="B73" s="12"/>
      <c r="E73" s="95"/>
      <c r="F73" s="91"/>
      <c r="G73" s="91"/>
      <c r="I73" s="91"/>
      <c r="J73" s="91"/>
      <c r="K73" s="96"/>
      <c r="L73" s="91"/>
      <c r="M73" s="91"/>
      <c r="N73" s="98"/>
      <c r="O73" s="92"/>
      <c r="Q73" s="13"/>
    </row>
    <row r="74" ht="15" customHeight="1">
      <c r="B74" s="12"/>
      <c r="E74" s="95"/>
      <c r="F74" s="91"/>
      <c r="G74" s="91"/>
      <c r="I74" s="91"/>
      <c r="J74" s="91"/>
      <c r="K74" s="96"/>
      <c r="L74" s="91"/>
      <c r="M74" s="91"/>
      <c r="N74" s="98"/>
      <c r="O74" s="92"/>
      <c r="Q74" s="13"/>
    </row>
    <row r="75" ht="15" customHeight="1">
      <c r="B75" s="12"/>
      <c r="E75" s="95"/>
      <c r="F75" s="91"/>
      <c r="G75" s="91"/>
      <c r="I75" s="91"/>
      <c r="J75" s="91"/>
      <c r="K75" s="96"/>
      <c r="L75" s="91"/>
      <c r="M75" s="91"/>
      <c r="N75" s="98"/>
      <c r="O75" s="92"/>
      <c r="Q75" s="13"/>
    </row>
    <row r="76" ht="15" customHeight="1">
      <c r="B76" s="12"/>
      <c r="E76" s="95"/>
      <c r="F76" s="91"/>
      <c r="G76" s="91"/>
      <c r="I76" s="91"/>
      <c r="J76" s="91"/>
      <c r="K76" s="96"/>
      <c r="L76" s="91"/>
      <c r="M76" s="91"/>
      <c r="N76" s="98"/>
      <c r="O76" s="92"/>
      <c r="Q76" s="13"/>
    </row>
    <row r="77" ht="15" customHeight="1">
      <c r="B77" s="12"/>
      <c r="E77" s="95"/>
      <c r="F77" s="91"/>
      <c r="G77" s="91"/>
      <c r="I77" s="91"/>
      <c r="J77" s="91"/>
      <c r="K77" s="96"/>
      <c r="L77" s="91"/>
      <c r="M77" s="91"/>
      <c r="N77" s="98"/>
      <c r="O77" s="92"/>
      <c r="Q77" s="13"/>
    </row>
    <row r="78" ht="15" customHeight="1">
      <c r="B78" s="12"/>
      <c r="E78" s="95"/>
      <c r="F78" s="91"/>
      <c r="G78" s="91"/>
      <c r="I78" s="91"/>
      <c r="J78" s="91"/>
      <c r="K78" s="96"/>
      <c r="L78" s="91"/>
      <c r="M78" s="91"/>
      <c r="N78" s="98"/>
      <c r="O78" s="92"/>
      <c r="Q78" s="13"/>
    </row>
    <row r="79" ht="15" customHeight="1">
      <c r="B79" s="12"/>
      <c r="E79" s="95"/>
      <c r="F79" s="91"/>
      <c r="G79" s="91"/>
      <c r="I79" s="91"/>
      <c r="J79" s="91"/>
      <c r="K79" s="96"/>
      <c r="L79" s="91"/>
      <c r="M79" s="91"/>
      <c r="N79" s="98"/>
      <c r="O79" s="92"/>
      <c r="Q79" s="13"/>
    </row>
    <row r="80" ht="15" customHeight="1">
      <c r="B80" s="12"/>
      <c r="E80" s="95"/>
      <c r="F80" s="91"/>
      <c r="G80" s="91"/>
      <c r="I80" s="91"/>
      <c r="J80" s="91"/>
      <c r="K80" s="96"/>
      <c r="L80" s="91"/>
      <c r="M80" s="91"/>
      <c r="N80" s="98"/>
      <c r="O80" s="92"/>
      <c r="Q80" s="13"/>
    </row>
    <row r="81" ht="15" customHeight="1">
      <c r="B81" s="12"/>
      <c r="E81" s="95"/>
      <c r="F81" s="91"/>
      <c r="G81" s="91"/>
      <c r="I81" s="91"/>
      <c r="J81" s="91"/>
      <c r="K81" s="96"/>
      <c r="L81" s="91"/>
      <c r="M81" s="91"/>
      <c r="N81" s="98"/>
      <c r="O81" s="92"/>
      <c r="Q81" s="13"/>
    </row>
    <row r="82" ht="15" customHeight="1">
      <c r="B82" s="12"/>
      <c r="E82" s="95"/>
      <c r="F82" s="91"/>
      <c r="G82" s="91"/>
      <c r="I82" s="91"/>
      <c r="J82" s="91"/>
      <c r="K82" s="96"/>
      <c r="L82" s="91"/>
      <c r="M82" s="91"/>
      <c r="N82" s="98"/>
      <c r="O82" s="92"/>
      <c r="Q82" s="13"/>
    </row>
    <row r="83" ht="15" customHeight="1">
      <c r="B83" s="12"/>
      <c r="E83" s="95"/>
      <c r="F83" s="91"/>
      <c r="G83" s="91"/>
      <c r="I83" s="91"/>
      <c r="J83" s="91"/>
      <c r="K83" s="96"/>
      <c r="L83" s="91"/>
      <c r="M83" s="91"/>
      <c r="N83" s="98"/>
      <c r="O83" s="92"/>
      <c r="Q83" s="13"/>
    </row>
    <row r="84" ht="15" customHeight="1">
      <c r="B84" s="12"/>
      <c r="E84" s="95"/>
      <c r="F84" s="91"/>
      <c r="G84" s="91"/>
      <c r="I84" s="91"/>
      <c r="J84" s="91"/>
      <c r="K84" s="96"/>
      <c r="L84" s="91"/>
      <c r="M84" s="91"/>
      <c r="N84" s="98"/>
      <c r="O84" s="92"/>
      <c r="Q84" s="13"/>
    </row>
    <row r="85" ht="15" customHeight="1">
      <c r="B85" s="12"/>
      <c r="E85" s="95"/>
      <c r="F85" s="91"/>
      <c r="G85" s="91"/>
      <c r="I85" s="91"/>
      <c r="J85" s="91"/>
      <c r="K85" s="96"/>
      <c r="L85" s="91"/>
      <c r="M85" s="91"/>
      <c r="N85" s="98"/>
      <c r="O85" s="92"/>
      <c r="Q85" s="13"/>
    </row>
    <row r="86" ht="15" customHeight="1">
      <c r="B86" s="12"/>
      <c r="E86" s="95"/>
      <c r="F86" s="91"/>
      <c r="G86" s="91"/>
      <c r="I86" s="91"/>
      <c r="J86" s="91"/>
      <c r="K86" s="96"/>
      <c r="L86" s="91"/>
      <c r="M86" s="91"/>
      <c r="N86" s="98"/>
      <c r="O86" s="92"/>
      <c r="Q86" s="13"/>
    </row>
    <row r="87" ht="15" customHeight="1">
      <c r="B87" s="12"/>
      <c r="E87" s="95"/>
      <c r="F87" s="91"/>
      <c r="G87" s="91"/>
      <c r="I87" s="91"/>
      <c r="J87" s="91"/>
      <c r="K87" s="96"/>
      <c r="L87" s="91"/>
      <c r="M87" s="91"/>
      <c r="N87" s="98"/>
      <c r="O87" s="92"/>
      <c r="Q87" s="13"/>
    </row>
    <row r="88" ht="15" customHeight="1">
      <c r="B88" s="12"/>
      <c r="E88" s="95"/>
      <c r="F88" s="91"/>
      <c r="G88" s="91"/>
      <c r="I88" s="91"/>
      <c r="J88" s="91"/>
      <c r="K88" s="96"/>
      <c r="L88" s="91"/>
      <c r="M88" s="91"/>
      <c r="N88" s="98"/>
      <c r="O88" s="92"/>
      <c r="Q88" s="13"/>
    </row>
    <row r="89" ht="15" customHeight="1">
      <c r="B89" s="12"/>
      <c r="E89" s="95"/>
      <c r="F89" s="91"/>
      <c r="G89" s="91"/>
      <c r="I89" s="91"/>
      <c r="J89" s="91"/>
      <c r="K89" s="96"/>
      <c r="L89" s="91"/>
      <c r="M89" s="91"/>
      <c r="N89" s="98"/>
      <c r="O89" s="92"/>
      <c r="Q89" s="13"/>
    </row>
    <row r="90" ht="15" customHeight="1">
      <c r="B90" s="12"/>
      <c r="E90" s="95"/>
      <c r="F90" s="91"/>
      <c r="G90" s="91"/>
      <c r="I90" s="91"/>
      <c r="J90" s="91"/>
      <c r="K90" s="96"/>
      <c r="L90" s="91"/>
      <c r="M90" s="91"/>
      <c r="N90" s="98"/>
      <c r="O90" s="92"/>
      <c r="Q90" s="13"/>
    </row>
    <row r="91" ht="15" customHeight="1">
      <c r="B91" s="12"/>
      <c r="E91" s="95"/>
      <c r="F91" s="91"/>
      <c r="G91" s="91"/>
      <c r="I91" s="91"/>
      <c r="J91" s="91"/>
      <c r="K91" s="96"/>
      <c r="L91" s="91"/>
      <c r="M91" s="91"/>
      <c r="N91" s="98"/>
      <c r="O91" s="92"/>
      <c r="Q91" s="13"/>
    </row>
    <row r="92" ht="15" customHeight="1">
      <c r="B92" s="12"/>
      <c r="E92" s="95"/>
      <c r="F92" s="91"/>
      <c r="G92" s="91"/>
      <c r="I92" s="91"/>
      <c r="J92" s="91"/>
      <c r="K92" s="96"/>
      <c r="L92" s="91"/>
      <c r="M92" s="91"/>
      <c r="N92" s="98"/>
      <c r="O92" s="92"/>
      <c r="Q92" s="13"/>
    </row>
    <row r="93" ht="15" customHeight="1">
      <c r="B93" s="12"/>
      <c r="E93" s="95"/>
      <c r="F93" s="91"/>
      <c r="G93" s="91"/>
      <c r="I93" s="91"/>
      <c r="J93" s="91"/>
      <c r="K93" s="96"/>
      <c r="L93" s="91"/>
      <c r="M93" s="91"/>
      <c r="N93" s="98"/>
      <c r="O93" s="92"/>
      <c r="Q93" s="13"/>
    </row>
    <row r="94" ht="15" customHeight="1">
      <c r="B94" s="12"/>
      <c r="E94" s="95"/>
      <c r="F94" s="91"/>
      <c r="G94" s="91"/>
      <c r="I94" s="91"/>
      <c r="J94" s="91"/>
      <c r="K94" s="96"/>
      <c r="L94" s="91"/>
      <c r="M94" s="91"/>
      <c r="N94" s="98"/>
      <c r="O94" s="92"/>
      <c r="Q94" s="13"/>
    </row>
    <row r="95" ht="15" customHeight="1">
      <c r="B95" s="12"/>
      <c r="E95" s="95"/>
      <c r="F95" s="91"/>
      <c r="G95" s="91"/>
      <c r="I95" s="91"/>
      <c r="J95" s="91"/>
      <c r="K95" s="96"/>
      <c r="L95" s="91"/>
      <c r="M95" s="91"/>
      <c r="N95" s="98"/>
      <c r="O95" s="92"/>
      <c r="Q95" s="13"/>
    </row>
    <row r="96" ht="15" customHeight="1">
      <c r="B96" s="12"/>
      <c r="E96" s="95"/>
      <c r="F96" s="91"/>
      <c r="G96" s="91"/>
      <c r="I96" s="91"/>
      <c r="J96" s="91"/>
      <c r="K96" s="96"/>
      <c r="L96" s="91"/>
      <c r="M96" s="91"/>
      <c r="N96" s="98"/>
      <c r="O96" s="92"/>
      <c r="Q96" s="13"/>
    </row>
    <row r="97" ht="15" customHeight="1">
      <c r="B97" s="12"/>
      <c r="E97" s="95"/>
      <c r="F97" s="91"/>
      <c r="G97" s="91"/>
      <c r="I97" s="91"/>
      <c r="J97" s="91"/>
      <c r="K97" s="96"/>
      <c r="L97" s="91"/>
      <c r="M97" s="91"/>
      <c r="N97" s="98"/>
      <c r="O97" s="92"/>
      <c r="Q97" s="13"/>
    </row>
    <row r="98" ht="15" customHeight="1">
      <c r="B98" s="12"/>
      <c r="E98" s="95"/>
      <c r="F98" s="91"/>
      <c r="G98" s="91"/>
      <c r="I98" s="91"/>
      <c r="J98" s="91"/>
      <c r="K98" s="96"/>
      <c r="L98" s="91"/>
      <c r="M98" s="91"/>
      <c r="N98" s="98"/>
      <c r="O98" s="92"/>
      <c r="Q98" s="13"/>
    </row>
    <row r="99" ht="15" customHeight="1">
      <c r="B99" s="12"/>
      <c r="E99" s="95"/>
      <c r="F99" s="91"/>
      <c r="G99" s="91"/>
      <c r="I99" s="91"/>
      <c r="J99" s="91"/>
      <c r="K99" s="96"/>
      <c r="L99" s="91"/>
      <c r="M99" s="91"/>
      <c r="N99" s="98"/>
      <c r="O99" s="92"/>
      <c r="Q99" s="13"/>
    </row>
    <row r="100" ht="15" customHeight="1">
      <c r="B100" s="12"/>
      <c r="E100" s="95"/>
      <c r="F100" s="91"/>
      <c r="G100" s="91"/>
      <c r="I100" s="91"/>
      <c r="J100" s="91"/>
      <c r="K100" s="96"/>
      <c r="L100" s="91"/>
      <c r="M100" s="91"/>
      <c r="N100" s="98"/>
      <c r="O100" s="92"/>
      <c r="Q100" s="13"/>
    </row>
    <row r="101" ht="15" customHeight="1">
      <c r="B101" s="12"/>
      <c r="E101" s="95"/>
      <c r="F101" s="91"/>
      <c r="G101" s="91"/>
      <c r="I101" s="91"/>
      <c r="J101" s="91"/>
      <c r="K101" s="96"/>
      <c r="L101" s="91"/>
      <c r="M101" s="91"/>
      <c r="N101" s="98"/>
      <c r="O101" s="92"/>
      <c r="Q101" s="13"/>
    </row>
    <row r="102" ht="15" customHeight="1">
      <c r="B102" s="12"/>
      <c r="E102" s="95"/>
      <c r="F102" s="91"/>
      <c r="G102" s="91"/>
      <c r="I102" s="91"/>
      <c r="J102" s="91"/>
      <c r="K102" s="96"/>
      <c r="L102" s="91"/>
      <c r="M102" s="91"/>
      <c r="N102" s="98"/>
      <c r="O102" s="92"/>
      <c r="Q102" s="13"/>
    </row>
    <row r="103" ht="15" customHeight="1">
      <c r="B103" s="12"/>
      <c r="E103" s="95"/>
      <c r="F103" s="91"/>
      <c r="G103" s="91"/>
      <c r="I103" s="91"/>
      <c r="J103" s="91"/>
      <c r="K103" s="96"/>
      <c r="L103" s="91"/>
      <c r="M103" s="91"/>
      <c r="N103" s="98"/>
      <c r="O103" s="92"/>
      <c r="Q103" s="13"/>
    </row>
    <row r="104" ht="15" customHeight="1">
      <c r="B104" s="12"/>
      <c r="E104" s="95"/>
      <c r="F104" s="91"/>
      <c r="G104" s="91"/>
      <c r="I104" s="91"/>
      <c r="J104" s="91"/>
      <c r="K104" s="96"/>
      <c r="L104" s="91"/>
      <c r="M104" s="91"/>
      <c r="N104" s="98"/>
      <c r="O104" s="92"/>
      <c r="Q104" s="13"/>
    </row>
    <row r="105" ht="15" customHeight="1">
      <c r="B105" s="12"/>
      <c r="E105" s="95"/>
      <c r="F105" s="91"/>
      <c r="G105" s="91"/>
      <c r="I105" s="91"/>
      <c r="J105" s="91"/>
      <c r="K105" s="96"/>
      <c r="L105" s="91"/>
      <c r="M105" s="91"/>
      <c r="N105" s="98"/>
      <c r="O105" s="92"/>
      <c r="Q105" s="13"/>
    </row>
    <row r="106" ht="15" customHeight="1">
      <c r="B106" s="12"/>
      <c r="E106" s="95"/>
      <c r="F106" s="91"/>
      <c r="G106" s="91"/>
      <c r="I106" s="91"/>
      <c r="J106" s="91"/>
      <c r="K106" s="96"/>
      <c r="L106" s="91"/>
      <c r="M106" s="91"/>
      <c r="N106" s="98"/>
      <c r="O106" s="92"/>
      <c r="Q106" s="13"/>
    </row>
    <row r="107" ht="15" customHeight="1">
      <c r="B107" s="12"/>
      <c r="E107" s="95"/>
      <c r="F107" s="91"/>
      <c r="G107" s="91"/>
      <c r="I107" s="91"/>
      <c r="J107" s="91"/>
      <c r="K107" s="96"/>
      <c r="L107" s="91"/>
      <c r="M107" s="91"/>
      <c r="N107" s="98"/>
      <c r="O107" s="92"/>
      <c r="Q107" s="13"/>
    </row>
    <row r="108" ht="15" customHeight="1">
      <c r="B108" s="12"/>
      <c r="E108" s="95"/>
      <c r="F108" s="91"/>
      <c r="G108" s="91"/>
      <c r="I108" s="91"/>
      <c r="J108" s="91"/>
      <c r="K108" s="96"/>
      <c r="L108" s="91"/>
      <c r="M108" s="91"/>
      <c r="N108" s="98"/>
      <c r="O108" s="92"/>
      <c r="Q108" s="13"/>
    </row>
    <row r="109" ht="15" customHeight="1">
      <c r="B109" s="12"/>
      <c r="E109" s="95"/>
      <c r="F109" s="91"/>
      <c r="G109" s="91"/>
      <c r="I109" s="91"/>
      <c r="J109" s="91"/>
      <c r="K109" s="96"/>
      <c r="L109" s="91"/>
      <c r="M109" s="91"/>
      <c r="N109" s="98"/>
      <c r="O109" s="92"/>
      <c r="Q109" s="13"/>
    </row>
    <row r="110" ht="15" customHeight="1">
      <c r="B110" s="12"/>
      <c r="E110" s="95"/>
      <c r="F110" s="91"/>
      <c r="G110" s="91"/>
      <c r="I110" s="91"/>
      <c r="J110" s="91"/>
      <c r="K110" s="96"/>
      <c r="L110" s="91"/>
      <c r="M110" s="91"/>
      <c r="N110" s="98"/>
      <c r="O110" s="92"/>
      <c r="Q110" s="13"/>
    </row>
    <row r="111" ht="15" customHeight="1">
      <c r="B111" s="12"/>
      <c r="E111" s="95"/>
      <c r="F111" s="91"/>
      <c r="G111" s="91"/>
      <c r="I111" s="91"/>
      <c r="J111" s="91"/>
      <c r="K111" s="96"/>
      <c r="L111" s="91"/>
      <c r="M111" s="91"/>
      <c r="N111" s="98"/>
      <c r="O111" s="92"/>
      <c r="Q111" s="13"/>
    </row>
    <row r="112" ht="15" customHeight="1">
      <c r="B112" s="12"/>
      <c r="E112" s="95"/>
      <c r="F112" s="91"/>
      <c r="G112" s="91"/>
      <c r="I112" s="91"/>
      <c r="J112" s="91"/>
      <c r="K112" s="96"/>
      <c r="L112" s="91"/>
      <c r="M112" s="91"/>
      <c r="N112" s="98"/>
      <c r="O112" s="92"/>
      <c r="Q112" s="13"/>
    </row>
    <row r="113" ht="15" customHeight="1">
      <c r="B113" s="12"/>
      <c r="E113" s="95"/>
      <c r="F113" s="91"/>
      <c r="G113" s="91"/>
      <c r="I113" s="91"/>
      <c r="J113" s="91"/>
      <c r="K113" s="96"/>
      <c r="L113" s="91"/>
      <c r="M113" s="91"/>
      <c r="N113" s="98"/>
      <c r="O113" s="92"/>
      <c r="Q113" s="13"/>
    </row>
    <row r="114">
      <c r="B114" s="12"/>
      <c r="Q114" s="13"/>
    </row>
    <row r="115">
      <c r="A115" s="89"/>
      <c r="B115" s="90"/>
      <c r="D115" s="88"/>
      <c r="P115" s="15"/>
      <c r="Q115" s="16"/>
    </row>
    <row r="116" ht="15" customHeight="1">
      <c r="C116" s="10"/>
      <c r="D116" s="61"/>
      <c r="E116" s="61"/>
      <c r="F116" s="61"/>
      <c r="G116" s="61"/>
      <c r="H116" s="61"/>
      <c r="I116" s="61"/>
      <c r="J116" s="61"/>
      <c r="K116" s="61"/>
      <c r="L116" s="61"/>
      <c r="M116" s="61"/>
      <c r="N116" s="61"/>
      <c r="O116" s="61"/>
      <c r="P116" s="10"/>
      <c r="Q116" s="10"/>
      <c r="U116" s="19"/>
    </row>
  </sheetData>
  <mergeCells>
    <mergeCell ref="C8:O8"/>
  </mergeCells>
  <pageMargins left="0.70866141732283472" right="0.70866141732283472" top="0.74803149606299213" bottom="0.74803149606299213" header="0.31496062992125984" footer="0.31496062992125984"/>
  <pageSetup paperSize="9" scale="41" fitToHeight="100" orientation="portrait"/>
  <headerFooter>
    <oddHeader>&amp;C&amp;A</oddHeader>
    <oddFooter>&amp;C&amp;F   &amp;A  &amp;P/&amp;N   &amp;D</oddFooter>
  </headerFooter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Feuil21">
    <tabColor theme="4" tint="0.79998168889431442"/>
    <pageSetUpPr fitToPage="1"/>
  </sheetPr>
  <dimension ref="A1:U46"/>
  <sheetViews>
    <sheetView showGridLines="0" topLeftCell="A4" zoomScale="85" zoomScaleNormal="85" workbookViewId="0">
      <selection activeCell="H15" sqref="H15"/>
    </sheetView>
  </sheetViews>
  <sheetFormatPr baseColWidth="10" defaultColWidth="11.42578125" defaultRowHeight="15"/>
  <cols>
    <col min="1" max="1" width="2.85546875" customWidth="1" style="17"/>
    <col min="2" max="2" width="4.28515625" customWidth="1"/>
    <col min="3" max="3" width="28.7109375" customWidth="1"/>
    <col min="4" max="4" width="13.140625" customWidth="1"/>
    <col min="5" max="5" width="11.42578125" customWidth="1"/>
    <col min="6" max="6" width="11.42578125" customWidth="1"/>
    <col min="7" max="7" width="11.42578125" customWidth="1"/>
    <col min="8" max="8" width="11.42578125" customWidth="1"/>
    <col min="9" max="9" width="11.42578125" customWidth="1"/>
    <col min="10" max="10" width="20" customWidth="1"/>
    <col min="11" max="11" width="34.28515625" customWidth="1"/>
    <col min="12" max="12" width="11.42578125" customWidth="1"/>
    <col min="13" max="13" width="11.42578125" customWidth="1"/>
    <col min="14" max="14" width="11.42578125" customWidth="1"/>
    <col min="15" max="15" width="11.42578125" customWidth="1"/>
    <col min="16" max="16" width="2.5703125" customWidth="1"/>
    <col min="17" max="17" width="4.140625" customWidth="1"/>
    <col min="18" max="18" width="2.85546875" customWidth="1"/>
    <col min="19" max="20" width="11.42578125" customWidth="1"/>
    <col min="21" max="21" bestFit="1" width="19.7109375" customWidth="1"/>
    <col min="22" max="27" width="11.42578125" customWidth="1"/>
  </cols>
  <sheetData>
    <row r="1" ht="15" customHeight="1">
      <c r="B1" s="17"/>
      <c r="C1" s="17"/>
      <c r="D1" s="17"/>
      <c r="E1" s="17"/>
      <c r="F1" s="17"/>
      <c r="G1" s="17"/>
      <c r="H1" s="17"/>
      <c r="I1" s="17"/>
      <c r="J1" s="17"/>
      <c r="K1" s="17"/>
      <c r="L1" s="17"/>
      <c r="M1" s="17"/>
      <c r="N1" s="17"/>
      <c r="O1" s="17"/>
      <c r="P1" s="17"/>
      <c r="Q1" s="17"/>
      <c r="R1" s="17"/>
    </row>
    <row r="2" ht="15" customHeight="1">
      <c r="B2" s="9"/>
      <c r="C2" s="10"/>
      <c r="D2" s="10"/>
      <c r="E2" s="10"/>
      <c r="F2" s="10"/>
      <c r="G2" s="10"/>
      <c r="H2" s="10"/>
      <c r="I2" s="10"/>
      <c r="J2" s="10"/>
      <c r="K2" s="10"/>
      <c r="L2" s="10"/>
      <c r="M2" s="10"/>
      <c r="N2" s="10"/>
      <c r="O2" s="10"/>
      <c r="P2" s="10"/>
      <c r="Q2" s="11"/>
      <c r="U2" s="19"/>
    </row>
    <row r="3" ht="15" customHeight="1">
      <c r="B3" s="12"/>
      <c r="Q3" s="13"/>
    </row>
    <row r="4" ht="15" customHeight="1">
      <c r="B4" s="12"/>
      <c r="Q4" s="13"/>
    </row>
    <row r="5" ht="15" customHeight="1">
      <c r="B5" s="12"/>
      <c r="Q5" s="13"/>
    </row>
    <row r="6" ht="15" customHeight="1">
      <c r="B6" s="12"/>
      <c r="Q6" s="13"/>
    </row>
    <row r="7" ht="15" customHeight="1">
      <c r="B7" s="12"/>
      <c r="Q7" s="13"/>
    </row>
    <row r="8" ht="67.5" customHeight="1">
      <c r="B8" s="12"/>
      <c r="C8" s="164" t="str">
        <f>'Page de garde'!J13&amp;" : Statistiques INVALIDITE au "&amp;'Page de garde'!J23&amp; " - " &amp;AFFICHAGE!$S$2</f>
        <v> : Statistiques INVALIDITE au 31 décembre 2022 - Comptable</v>
      </c>
      <c r="D8" s="165"/>
      <c r="E8" s="165"/>
      <c r="F8" s="165"/>
      <c r="G8" s="165"/>
      <c r="H8" s="165"/>
      <c r="I8" s="165"/>
      <c r="J8" s="165"/>
      <c r="K8" s="165"/>
      <c r="L8" s="165"/>
      <c r="M8" s="165"/>
      <c r="N8" s="165"/>
      <c r="O8" s="166"/>
      <c r="Q8" s="13"/>
    </row>
    <row r="9" ht="14.25" customHeight="1">
      <c r="B9" s="12"/>
      <c r="Q9" s="13"/>
    </row>
    <row r="10" ht="15" customHeight="1">
      <c r="B10" s="12"/>
      <c r="Q10" s="13"/>
    </row>
    <row r="11" ht="15" customHeight="1">
      <c r="B11" s="12"/>
      <c r="C11" s="56" t="s">
        <v>44</v>
      </c>
      <c r="K11" s="57" t="s">
        <v>98</v>
      </c>
      <c r="Q11" s="13"/>
    </row>
    <row r="12" ht="13.5" customHeight="1">
      <c r="B12" s="12"/>
      <c r="Q12" s="13"/>
    </row>
    <row r="13" ht="45">
      <c r="B13" s="12"/>
      <c r="C13" s="59"/>
      <c r="D13" s="59" t="s">
        <v>99</v>
      </c>
      <c r="E13" s="59" t="s">
        <v>100</v>
      </c>
      <c r="F13" s="59" t="s">
        <v>101</v>
      </c>
      <c r="K13" s="59" t="s">
        <v>49</v>
      </c>
      <c r="L13" s="59" t="s">
        <v>46</v>
      </c>
      <c r="M13" s="59" t="s">
        <v>50</v>
      </c>
      <c r="Q13" s="13"/>
    </row>
    <row r="14" ht="15" customHeight="1">
      <c r="B14" s="12"/>
      <c r="C14" s="66"/>
      <c r="D14" s="67"/>
      <c r="E14" s="68"/>
      <c r="F14" s="68"/>
      <c r="K14" s="66" t="s">
        <v>51</v>
      </c>
      <c r="L14" s="66">
        <v>0</v>
      </c>
      <c r="M14" s="70"/>
      <c r="Q14" s="13"/>
    </row>
    <row r="15" ht="15" customHeight="1">
      <c r="B15" s="12"/>
      <c r="C15" s="66"/>
      <c r="D15" s="67"/>
      <c r="E15" s="68"/>
      <c r="F15" s="68"/>
      <c r="K15" s="66" t="s">
        <v>52</v>
      </c>
      <c r="L15" s="66">
        <v>0</v>
      </c>
      <c r="M15" s="70"/>
      <c r="Q15" s="13"/>
    </row>
    <row r="16" ht="15" customHeight="1">
      <c r="B16" s="12"/>
      <c r="C16" s="59" t="s">
        <v>53</v>
      </c>
      <c r="D16" s="59">
        <v>0</v>
      </c>
      <c r="E16" s="69"/>
      <c r="F16" s="69"/>
      <c r="K16" s="66" t="s">
        <v>54</v>
      </c>
      <c r="L16" s="66">
        <v>0</v>
      </c>
      <c r="M16" s="70"/>
      <c r="Q16" s="13"/>
    </row>
    <row r="17" ht="15" customHeight="1">
      <c r="B17" s="12"/>
      <c r="K17" s="66" t="s">
        <v>55</v>
      </c>
      <c r="L17" s="66">
        <v>0</v>
      </c>
      <c r="M17" s="70"/>
      <c r="Q17" s="13"/>
    </row>
    <row r="18" ht="15" customHeight="1">
      <c r="B18" s="12"/>
      <c r="K18" s="66" t="s">
        <v>56</v>
      </c>
      <c r="L18" s="66">
        <v>0</v>
      </c>
      <c r="M18" s="70"/>
      <c r="Q18" s="13"/>
    </row>
    <row r="19" ht="15" customHeight="1">
      <c r="B19" s="12"/>
      <c r="K19" s="66" t="s">
        <v>57</v>
      </c>
      <c r="L19" s="66">
        <v>0</v>
      </c>
      <c r="M19" s="70"/>
      <c r="Q19" s="13"/>
    </row>
    <row r="20" ht="15" customHeight="1">
      <c r="B20" s="12"/>
      <c r="K20" s="66" t="s">
        <v>58</v>
      </c>
      <c r="L20" s="66">
        <v>0</v>
      </c>
      <c r="M20" s="70"/>
      <c r="Q20" s="13"/>
    </row>
    <row r="21" ht="15" customHeight="1">
      <c r="B21" s="12"/>
      <c r="K21" s="66" t="s">
        <v>59</v>
      </c>
      <c r="L21" s="66">
        <v>0</v>
      </c>
      <c r="M21" s="70"/>
      <c r="Q21" s="13"/>
    </row>
    <row r="22" ht="15" customHeight="1">
      <c r="B22" s="12"/>
      <c r="K22" s="66" t="s">
        <v>60</v>
      </c>
      <c r="L22" s="66">
        <v>0</v>
      </c>
      <c r="M22" s="70"/>
      <c r="Q22" s="13"/>
    </row>
    <row r="23" ht="15" customHeight="1">
      <c r="B23" s="12"/>
      <c r="K23" s="59" t="s">
        <v>53</v>
      </c>
      <c r="L23" s="59">
        <v>0</v>
      </c>
      <c r="M23" s="71"/>
      <c r="Q23" s="13"/>
    </row>
    <row r="24" ht="15" customHeight="1">
      <c r="B24" s="12"/>
      <c r="Q24" s="13"/>
    </row>
    <row r="25" ht="15" customHeight="1">
      <c r="B25" s="12"/>
      <c r="Q25" s="13"/>
    </row>
    <row r="26" ht="15" customHeight="1">
      <c r="B26" s="12"/>
      <c r="Q26" s="13"/>
    </row>
    <row r="27" ht="15" customHeight="1">
      <c r="B27" s="12"/>
      <c r="Q27" s="13"/>
    </row>
    <row r="28" ht="15" customHeight="1">
      <c r="B28" s="12"/>
      <c r="Q28" s="13"/>
    </row>
    <row r="29" ht="15" customHeight="1">
      <c r="B29" s="12"/>
      <c r="Q29" s="13"/>
    </row>
    <row r="30">
      <c r="B30" s="12"/>
      <c r="Q30" s="13"/>
    </row>
    <row r="31" ht="12" customHeight="1">
      <c r="B31" s="12"/>
      <c r="Q31" s="13"/>
    </row>
    <row r="32" ht="15" customHeight="1">
      <c r="B32" s="12"/>
      <c r="Q32" s="13"/>
    </row>
    <row r="33" ht="15" customHeight="1">
      <c r="B33" s="12"/>
      <c r="Q33" s="13"/>
    </row>
    <row r="34" ht="15" customHeight="1">
      <c r="B34" s="12"/>
      <c r="C34" s="18" t="s">
        <v>61</v>
      </c>
      <c r="Q34" s="13"/>
    </row>
    <row r="35" ht="15" customHeight="1">
      <c r="B35" s="12"/>
      <c r="Q35" s="13"/>
    </row>
    <row r="36" ht="15" customHeight="1">
      <c r="B36" s="12"/>
      <c r="C36" s="18"/>
      <c r="D36" s="59" t="s">
        <v>46</v>
      </c>
      <c r="E36" s="59" t="s">
        <v>47</v>
      </c>
      <c r="Q36" s="13"/>
    </row>
    <row r="37" ht="15" customHeight="1">
      <c r="B37" s="12"/>
      <c r="C37" s="72"/>
      <c r="D37" s="73">
        <v>0</v>
      </c>
      <c r="E37" s="74"/>
      <c r="Q37" s="13"/>
    </row>
    <row r="38" ht="15" customHeight="1">
      <c r="B38" s="12"/>
      <c r="C38" s="72" t="s">
        <v>53</v>
      </c>
      <c r="D38" s="73">
        <v>0</v>
      </c>
      <c r="E38" s="74"/>
      <c r="Q38" s="13"/>
    </row>
    <row r="39" ht="15" customHeight="1">
      <c r="B39" s="12"/>
      <c r="C39" s="57"/>
      <c r="D39" s="84"/>
      <c r="E39" s="85"/>
      <c r="Q39" s="13"/>
    </row>
    <row r="40" ht="15" customHeight="1">
      <c r="B40" s="12"/>
      <c r="Q40" s="13"/>
    </row>
    <row r="41" ht="15" customHeight="1">
      <c r="B41" s="12"/>
      <c r="Q41" s="13"/>
    </row>
    <row r="42" ht="15" customHeight="1">
      <c r="B42" s="12"/>
      <c r="Q42" s="13"/>
    </row>
    <row r="43" ht="15" customHeight="1">
      <c r="B43" s="12"/>
      <c r="Q43" s="13"/>
    </row>
    <row r="44" ht="15" customHeight="1">
      <c r="B44" s="12"/>
      <c r="Q44" s="13"/>
    </row>
    <row r="45" ht="15" customHeight="1">
      <c r="B45" s="12"/>
      <c r="Q45" s="13"/>
    </row>
    <row r="46" ht="15" customHeight="1">
      <c r="B46" s="14"/>
      <c r="C46" s="15"/>
      <c r="D46" s="15"/>
      <c r="E46" s="15"/>
      <c r="F46" s="15"/>
      <c r="G46" s="15"/>
      <c r="H46" s="15"/>
      <c r="I46" s="15"/>
      <c r="J46" s="15"/>
      <c r="K46" s="15"/>
      <c r="L46" s="15"/>
      <c r="M46" s="15"/>
      <c r="N46" s="15"/>
      <c r="O46" s="15"/>
      <c r="P46" s="15"/>
      <c r="Q46" s="16"/>
    </row>
    <row r="47" ht="15" customHeight="1"/>
  </sheetData>
  <mergeCells>
    <mergeCell ref="C8:O8"/>
  </mergeCells>
  <pageMargins left="0.70866141732283472" right="0.70866141732283472" top="0.74803149606299213" bottom="0.74803149606299213" header="0.31496062992125984" footer="0.31496062992125984"/>
  <pageSetup paperSize="9" scale="62" orientation="landscape"/>
  <headerFooter>
    <oddHeader>&amp;C&amp;A</oddHeader>
    <oddFooter>&amp;C&amp;F   &amp;A  &amp;P/&amp;N   &amp;D</oddFooter>
  </headerFooter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Feuil23">
    <tabColor theme="4" tint="0.79998168889431442"/>
    <pageSetUpPr fitToPage="1"/>
  </sheetPr>
  <dimension ref="A1:U79"/>
  <sheetViews>
    <sheetView showGridLines="0" zoomScale="85" zoomScaleNormal="85" workbookViewId="0">
      <selection activeCell="C12" sqref="C12:O13"/>
    </sheetView>
  </sheetViews>
  <sheetFormatPr baseColWidth="10" defaultColWidth="11.42578125" defaultRowHeight="15"/>
  <cols>
    <col min="1" max="1" width="2.85546875" customWidth="1" style="17"/>
    <col min="2" max="2" width="4.28515625" customWidth="1"/>
    <col min="3" max="3" width="21.42578125" customWidth="1"/>
    <col min="4" max="4" width="12" customWidth="1" style="62"/>
    <col min="5" max="5" bestFit="1" width="24.85546875" customWidth="1" style="62"/>
    <col min="6" max="6" bestFit="1" width="8.28515625" customWidth="1" style="62"/>
    <col min="7" max="7" width="13.5703125" customWidth="1" style="62"/>
    <col min="8" max="8" bestFit="1" width="10.28515625" customWidth="1" style="62"/>
    <col min="9" max="9" width="19.7109375" customWidth="1" style="62"/>
    <col min="10" max="10" bestFit="1" width="10.7109375" customWidth="1" style="62"/>
    <col min="11" max="11" bestFit="1" width="11.85546875" customWidth="1" style="62"/>
    <col min="12" max="12" width="15" customWidth="1" style="62"/>
    <col min="13" max="13" width="15" customWidth="1" style="62"/>
    <col min="14" max="14" bestFit="1" width="12.5703125" customWidth="1" style="62"/>
    <col min="15" max="15" width="15" customWidth="1" style="62"/>
    <col min="16" max="16" width="11.42578125" customWidth="1"/>
    <col min="17" max="17" width="4.140625" customWidth="1"/>
    <col min="18" max="18" width="2.85546875" customWidth="1"/>
    <col min="19" max="20" width="11.42578125" customWidth="1"/>
    <col min="21" max="21" bestFit="1" width="19.7109375" customWidth="1"/>
    <col min="22" max="27" width="11.42578125" customWidth="1"/>
  </cols>
  <sheetData>
    <row r="1" ht="15" customHeight="1">
      <c r="B1" s="17">
        <v>2</v>
      </c>
      <c r="C1" s="17"/>
      <c r="D1" s="60"/>
      <c r="E1" s="60"/>
      <c r="F1" s="60"/>
      <c r="G1" s="60"/>
      <c r="H1" s="60"/>
      <c r="I1" s="60"/>
      <c r="J1" s="60"/>
      <c r="K1" s="60"/>
      <c r="L1" s="60"/>
      <c r="M1" s="60"/>
      <c r="N1" s="60"/>
      <c r="O1" s="60"/>
      <c r="P1" s="17"/>
      <c r="Q1" s="17"/>
      <c r="R1" s="17"/>
    </row>
    <row r="2" ht="15" customHeight="1">
      <c r="B2" s="9"/>
      <c r="C2" s="10"/>
      <c r="D2" s="61"/>
      <c r="E2" s="61"/>
      <c r="F2" s="61"/>
      <c r="G2" s="61"/>
      <c r="H2" s="61"/>
      <c r="I2" s="61"/>
      <c r="J2" s="61"/>
      <c r="K2" s="61"/>
      <c r="L2" s="61"/>
      <c r="M2" s="61"/>
      <c r="N2" s="61"/>
      <c r="O2" s="61"/>
      <c r="P2" s="10"/>
      <c r="Q2" s="11"/>
      <c r="U2" s="19"/>
    </row>
    <row r="3" ht="15" customHeight="1">
      <c r="B3" s="12"/>
      <c r="Q3" s="13"/>
    </row>
    <row r="4" ht="15" customHeight="1">
      <c r="B4" s="12"/>
      <c r="Q4" s="13"/>
    </row>
    <row r="5" ht="15" customHeight="1">
      <c r="B5" s="12"/>
      <c r="Q5" s="13"/>
    </row>
    <row r="6" ht="15" customHeight="1">
      <c r="B6" s="12"/>
      <c r="Q6" s="13"/>
    </row>
    <row r="7" ht="15" customHeight="1">
      <c r="B7" s="12"/>
      <c r="Q7" s="13"/>
    </row>
    <row r="8" ht="67.5" customHeight="1">
      <c r="B8" s="12"/>
      <c r="C8" s="164" t="str">
        <f>'Page de garde'!J13&amp;" : LISTE INVALIDITE au "&amp;'Page de garde'!J23&amp; " - " &amp;AFFICHAGE!$S$2</f>
        <v> : LISTE INVALIDITE au 31 décembre 2022 - Comptable</v>
      </c>
      <c r="D8" s="165"/>
      <c r="E8" s="165"/>
      <c r="F8" s="165"/>
      <c r="G8" s="165"/>
      <c r="H8" s="165"/>
      <c r="I8" s="165"/>
      <c r="J8" s="165"/>
      <c r="K8" s="165"/>
      <c r="L8" s="165"/>
      <c r="M8" s="165"/>
      <c r="N8" s="165"/>
      <c r="O8" s="166"/>
      <c r="Q8" s="13"/>
    </row>
    <row r="9" ht="15" customHeight="1">
      <c r="B9" s="12"/>
      <c r="Q9" s="13"/>
    </row>
    <row r="10" ht="15" customHeight="1">
      <c r="B10" s="12"/>
      <c r="Q10" s="13"/>
    </row>
    <row r="11" ht="15" customHeight="1">
      <c r="B11" s="12"/>
      <c r="Q11" s="13"/>
    </row>
    <row r="12" ht="45">
      <c r="B12" s="12"/>
      <c r="C12" s="59" t="s">
        <v>70</v>
      </c>
      <c r="D12" s="59" t="s">
        <v>71</v>
      </c>
      <c r="E12" s="59" t="s">
        <v>72</v>
      </c>
      <c r="F12" s="59" t="s">
        <v>73</v>
      </c>
      <c r="G12" s="59" t="s">
        <v>74</v>
      </c>
      <c r="H12" s="59" t="s">
        <v>13</v>
      </c>
      <c r="I12" s="59" t="s">
        <v>75</v>
      </c>
      <c r="J12" s="59" t="s">
        <v>76</v>
      </c>
      <c r="K12" s="59" t="s">
        <v>77</v>
      </c>
      <c r="L12" s="59" t="s">
        <v>78</v>
      </c>
      <c r="M12" s="59" t="s">
        <v>79</v>
      </c>
      <c r="N12" s="59" t="s">
        <v>80</v>
      </c>
      <c r="O12" s="59" t="s">
        <v>81</v>
      </c>
      <c r="Q12" s="13"/>
    </row>
    <row r="13" ht="15" customHeight="1">
      <c r="B13" s="12"/>
      <c r="C13" s="21"/>
      <c r="D13" s="63"/>
      <c r="E13" s="94"/>
      <c r="F13" s="64"/>
      <c r="G13" s="64"/>
      <c r="H13" s="63"/>
      <c r="I13" s="64"/>
      <c r="J13" s="64"/>
      <c r="K13" s="93"/>
      <c r="L13" s="64"/>
      <c r="M13" s="64"/>
      <c r="N13" s="97"/>
      <c r="O13" s="65"/>
      <c r="Q13" s="13"/>
    </row>
    <row r="14" ht="15" customHeight="1">
      <c r="B14" s="12"/>
      <c r="E14" s="95"/>
      <c r="F14" s="91"/>
      <c r="G14" s="91"/>
      <c r="I14" s="91"/>
      <c r="J14" s="91"/>
      <c r="K14" s="96"/>
      <c r="L14" s="91"/>
      <c r="M14" s="91"/>
      <c r="N14" s="98"/>
      <c r="O14" s="92"/>
      <c r="Q14" s="13"/>
    </row>
    <row r="15" ht="15" customHeight="1">
      <c r="B15" s="12"/>
      <c r="E15" s="95"/>
      <c r="F15" s="91"/>
      <c r="G15" s="91"/>
      <c r="I15" s="91"/>
      <c r="J15" s="91"/>
      <c r="K15" s="96"/>
      <c r="L15" s="91"/>
      <c r="M15" s="91"/>
      <c r="N15" s="98"/>
      <c r="O15" s="92"/>
      <c r="Q15" s="13"/>
    </row>
    <row r="16" ht="15" customHeight="1">
      <c r="B16" s="12"/>
      <c r="E16" s="95"/>
      <c r="F16" s="91"/>
      <c r="G16" s="91"/>
      <c r="I16" s="91"/>
      <c r="J16" s="91"/>
      <c r="K16" s="96"/>
      <c r="L16" s="91"/>
      <c r="M16" s="91"/>
      <c r="N16" s="98"/>
      <c r="O16" s="92"/>
      <c r="Q16" s="13"/>
    </row>
    <row r="17" ht="15" customHeight="1">
      <c r="B17" s="12"/>
      <c r="E17" s="95"/>
      <c r="F17" s="91"/>
      <c r="G17" s="91"/>
      <c r="I17" s="91"/>
      <c r="J17" s="91"/>
      <c r="K17" s="96"/>
      <c r="L17" s="91"/>
      <c r="M17" s="91"/>
      <c r="N17" s="98"/>
      <c r="O17" s="92"/>
      <c r="Q17" s="13"/>
    </row>
    <row r="18" ht="15" customHeight="1">
      <c r="B18" s="12"/>
      <c r="E18" s="95"/>
      <c r="F18" s="91"/>
      <c r="G18" s="91"/>
      <c r="I18" s="91"/>
      <c r="J18" s="91"/>
      <c r="K18" s="96"/>
      <c r="L18" s="91"/>
      <c r="M18" s="91"/>
      <c r="N18" s="98"/>
      <c r="O18" s="92"/>
      <c r="Q18" s="13"/>
    </row>
    <row r="19" ht="15" customHeight="1">
      <c r="B19" s="12"/>
      <c r="E19" s="95"/>
      <c r="F19" s="91"/>
      <c r="G19" s="91"/>
      <c r="I19" s="91"/>
      <c r="J19" s="91"/>
      <c r="K19" s="96"/>
      <c r="L19" s="91"/>
      <c r="M19" s="91"/>
      <c r="N19" s="98"/>
      <c r="O19" s="92"/>
      <c r="Q19" s="13"/>
    </row>
    <row r="20" ht="15" customHeight="1">
      <c r="B20" s="12"/>
      <c r="E20" s="95"/>
      <c r="F20" s="91"/>
      <c r="G20" s="91"/>
      <c r="I20" s="91"/>
      <c r="J20" s="91"/>
      <c r="K20" s="96"/>
      <c r="L20" s="91"/>
      <c r="M20" s="91"/>
      <c r="N20" s="98"/>
      <c r="O20" s="92"/>
      <c r="Q20" s="13"/>
    </row>
    <row r="21" ht="15" customHeight="1">
      <c r="B21" s="12"/>
      <c r="E21" s="95"/>
      <c r="F21" s="91"/>
      <c r="G21" s="91"/>
      <c r="I21" s="91"/>
      <c r="J21" s="91"/>
      <c r="K21" s="96"/>
      <c r="L21" s="91"/>
      <c r="M21" s="91"/>
      <c r="N21" s="98"/>
      <c r="O21" s="92"/>
      <c r="Q21" s="13"/>
    </row>
    <row r="22" ht="15" customHeight="1">
      <c r="B22" s="12"/>
      <c r="E22" s="95"/>
      <c r="F22" s="91"/>
      <c r="G22" s="91"/>
      <c r="I22" s="91"/>
      <c r="J22" s="91"/>
      <c r="K22" s="96"/>
      <c r="L22" s="91"/>
      <c r="M22" s="91"/>
      <c r="N22" s="98"/>
      <c r="O22" s="92"/>
      <c r="Q22" s="13"/>
    </row>
    <row r="23" ht="15" customHeight="1">
      <c r="B23" s="12"/>
      <c r="E23" s="95"/>
      <c r="F23" s="91"/>
      <c r="G23" s="91"/>
      <c r="I23" s="91"/>
      <c r="J23" s="91"/>
      <c r="K23" s="96"/>
      <c r="L23" s="91"/>
      <c r="M23" s="91"/>
      <c r="N23" s="98"/>
      <c r="O23" s="92"/>
      <c r="Q23" s="13"/>
    </row>
    <row r="24" ht="15" customHeight="1">
      <c r="B24" s="12"/>
      <c r="E24" s="95"/>
      <c r="F24" s="91"/>
      <c r="G24" s="91"/>
      <c r="I24" s="91"/>
      <c r="J24" s="91"/>
      <c r="K24" s="96"/>
      <c r="L24" s="91"/>
      <c r="M24" s="91"/>
      <c r="N24" s="98"/>
      <c r="O24" s="92"/>
      <c r="Q24" s="13"/>
    </row>
    <row r="25" ht="15" customHeight="1">
      <c r="B25" s="12"/>
      <c r="E25" s="95"/>
      <c r="F25" s="91"/>
      <c r="G25" s="91"/>
      <c r="I25" s="91"/>
      <c r="J25" s="91"/>
      <c r="K25" s="96"/>
      <c r="L25" s="91"/>
      <c r="M25" s="91"/>
      <c r="N25" s="98"/>
      <c r="O25" s="92"/>
      <c r="Q25" s="13"/>
    </row>
    <row r="26" ht="15" customHeight="1">
      <c r="B26" s="12"/>
      <c r="E26" s="95"/>
      <c r="F26" s="91"/>
      <c r="G26" s="91"/>
      <c r="I26" s="91"/>
      <c r="J26" s="91"/>
      <c r="K26" s="96"/>
      <c r="L26" s="91"/>
      <c r="M26" s="91"/>
      <c r="N26" s="98"/>
      <c r="O26" s="92"/>
      <c r="Q26" s="13"/>
    </row>
    <row r="27" ht="15" customHeight="1">
      <c r="B27" s="12"/>
      <c r="E27" s="95"/>
      <c r="F27" s="91"/>
      <c r="G27" s="91"/>
      <c r="I27" s="91"/>
      <c r="J27" s="91"/>
      <c r="K27" s="96"/>
      <c r="L27" s="91"/>
      <c r="M27" s="91"/>
      <c r="N27" s="98"/>
      <c r="O27" s="92"/>
      <c r="Q27" s="13"/>
    </row>
    <row r="28" ht="15" customHeight="1">
      <c r="B28" s="12"/>
      <c r="E28" s="95"/>
      <c r="F28" s="91"/>
      <c r="G28" s="91"/>
      <c r="I28" s="91"/>
      <c r="J28" s="91"/>
      <c r="K28" s="96"/>
      <c r="L28" s="91"/>
      <c r="M28" s="91"/>
      <c r="N28" s="98"/>
      <c r="O28" s="92"/>
      <c r="Q28" s="13"/>
    </row>
    <row r="29" ht="15" customHeight="1">
      <c r="B29" s="12"/>
      <c r="E29" s="95"/>
      <c r="F29" s="91"/>
      <c r="G29" s="91"/>
      <c r="I29" s="91"/>
      <c r="J29" s="91"/>
      <c r="K29" s="96"/>
      <c r="L29" s="91"/>
      <c r="M29" s="91"/>
      <c r="N29" s="98"/>
      <c r="O29" s="92"/>
      <c r="Q29" s="13"/>
    </row>
    <row r="30" ht="15" customHeight="1">
      <c r="B30" s="12"/>
      <c r="E30" s="95"/>
      <c r="F30" s="91"/>
      <c r="G30" s="91"/>
      <c r="I30" s="91"/>
      <c r="J30" s="91"/>
      <c r="K30" s="96"/>
      <c r="L30" s="91"/>
      <c r="M30" s="91"/>
      <c r="N30" s="98"/>
      <c r="O30" s="92"/>
      <c r="Q30" s="13"/>
    </row>
    <row r="31" ht="15" customHeight="1">
      <c r="B31" s="12"/>
      <c r="E31" s="95"/>
      <c r="F31" s="91"/>
      <c r="G31" s="91"/>
      <c r="I31" s="91"/>
      <c r="J31" s="91"/>
      <c r="K31" s="96"/>
      <c r="L31" s="91"/>
      <c r="M31" s="91"/>
      <c r="N31" s="98"/>
      <c r="O31" s="92"/>
      <c r="Q31" s="13"/>
    </row>
    <row r="32" ht="15" customHeight="1">
      <c r="B32" s="12"/>
      <c r="E32" s="95"/>
      <c r="F32" s="91"/>
      <c r="G32" s="91"/>
      <c r="I32" s="91"/>
      <c r="J32" s="91"/>
      <c r="K32" s="96"/>
      <c r="L32" s="91"/>
      <c r="M32" s="91"/>
      <c r="N32" s="98"/>
      <c r="O32" s="92"/>
      <c r="Q32" s="13"/>
    </row>
    <row r="33" ht="15" customHeight="1">
      <c r="B33" s="12"/>
      <c r="E33" s="95"/>
      <c r="F33" s="91"/>
      <c r="G33" s="91"/>
      <c r="I33" s="91"/>
      <c r="J33" s="91"/>
      <c r="K33" s="96"/>
      <c r="L33" s="91"/>
      <c r="M33" s="91"/>
      <c r="N33" s="98"/>
      <c r="O33" s="92"/>
      <c r="Q33" s="13"/>
    </row>
    <row r="34" ht="15" customHeight="1">
      <c r="B34" s="12"/>
      <c r="E34" s="95"/>
      <c r="F34" s="91"/>
      <c r="G34" s="91"/>
      <c r="I34" s="91"/>
      <c r="J34" s="91"/>
      <c r="K34" s="96"/>
      <c r="L34" s="91"/>
      <c r="M34" s="91"/>
      <c r="N34" s="98"/>
      <c r="O34" s="92"/>
      <c r="Q34" s="13"/>
    </row>
    <row r="35" ht="15" customHeight="1">
      <c r="B35" s="12"/>
      <c r="E35" s="95"/>
      <c r="F35" s="91"/>
      <c r="G35" s="91"/>
      <c r="I35" s="91"/>
      <c r="J35" s="91"/>
      <c r="K35" s="96"/>
      <c r="L35" s="91"/>
      <c r="M35" s="91"/>
      <c r="N35" s="98"/>
      <c r="O35" s="92"/>
      <c r="Q35" s="13"/>
    </row>
    <row r="36" ht="15" customHeight="1">
      <c r="B36" s="12"/>
      <c r="E36" s="95"/>
      <c r="F36" s="91"/>
      <c r="G36" s="91"/>
      <c r="I36" s="91"/>
      <c r="J36" s="91"/>
      <c r="K36" s="96"/>
      <c r="L36" s="91"/>
      <c r="M36" s="91"/>
      <c r="N36" s="98"/>
      <c r="O36" s="92"/>
      <c r="Q36" s="13"/>
    </row>
    <row r="37" ht="15" customHeight="1">
      <c r="B37" s="12"/>
      <c r="E37" s="95"/>
      <c r="F37" s="91"/>
      <c r="G37" s="91"/>
      <c r="I37" s="91"/>
      <c r="J37" s="91"/>
      <c r="K37" s="96"/>
      <c r="L37" s="91"/>
      <c r="M37" s="91"/>
      <c r="N37" s="98"/>
      <c r="O37" s="92"/>
      <c r="Q37" s="13"/>
    </row>
    <row r="38" ht="15" customHeight="1">
      <c r="B38" s="12"/>
      <c r="E38" s="95"/>
      <c r="F38" s="91"/>
      <c r="G38" s="91"/>
      <c r="I38" s="91"/>
      <c r="J38" s="91"/>
      <c r="K38" s="96"/>
      <c r="L38" s="91"/>
      <c r="M38" s="91"/>
      <c r="N38" s="98"/>
      <c r="O38" s="92"/>
      <c r="Q38" s="13"/>
    </row>
    <row r="39" ht="15" customHeight="1">
      <c r="B39" s="12"/>
      <c r="E39" s="95"/>
      <c r="F39" s="91"/>
      <c r="G39" s="91"/>
      <c r="I39" s="91"/>
      <c r="J39" s="91"/>
      <c r="K39" s="96"/>
      <c r="L39" s="91"/>
      <c r="M39" s="91"/>
      <c r="N39" s="98"/>
      <c r="O39" s="92"/>
      <c r="Q39" s="13"/>
    </row>
    <row r="40" ht="15" customHeight="1">
      <c r="B40" s="12"/>
      <c r="E40" s="95"/>
      <c r="F40" s="91"/>
      <c r="G40" s="91"/>
      <c r="I40" s="91"/>
      <c r="J40" s="91"/>
      <c r="K40" s="96"/>
      <c r="L40" s="91"/>
      <c r="M40" s="91"/>
      <c r="N40" s="98"/>
      <c r="O40" s="92"/>
      <c r="Q40" s="13"/>
    </row>
    <row r="41" ht="15" customHeight="1">
      <c r="B41" s="12"/>
      <c r="E41" s="95"/>
      <c r="F41" s="91"/>
      <c r="G41" s="91"/>
      <c r="I41" s="91"/>
      <c r="J41" s="91"/>
      <c r="K41" s="96"/>
      <c r="L41" s="91"/>
      <c r="M41" s="91"/>
      <c r="N41" s="98"/>
      <c r="O41" s="92"/>
      <c r="Q41" s="13"/>
    </row>
    <row r="42" ht="15" customHeight="1">
      <c r="B42" s="12"/>
      <c r="E42" s="95"/>
      <c r="F42" s="91"/>
      <c r="G42" s="91"/>
      <c r="I42" s="91"/>
      <c r="J42" s="91"/>
      <c r="K42" s="96"/>
      <c r="L42" s="91"/>
      <c r="M42" s="91"/>
      <c r="N42" s="98"/>
      <c r="O42" s="92"/>
      <c r="Q42" s="13"/>
    </row>
    <row r="43" ht="15" customHeight="1">
      <c r="B43" s="12"/>
      <c r="E43" s="95"/>
      <c r="F43" s="91"/>
      <c r="G43" s="91"/>
      <c r="I43" s="91"/>
      <c r="J43" s="91"/>
      <c r="K43" s="96"/>
      <c r="L43" s="91"/>
      <c r="M43" s="91"/>
      <c r="N43" s="98"/>
      <c r="O43" s="92"/>
      <c r="Q43" s="13"/>
    </row>
    <row r="44" ht="15" customHeight="1">
      <c r="B44" s="12"/>
      <c r="E44" s="95"/>
      <c r="F44" s="91"/>
      <c r="G44" s="91"/>
      <c r="I44" s="91"/>
      <c r="J44" s="91"/>
      <c r="K44" s="96"/>
      <c r="L44" s="91"/>
      <c r="M44" s="91"/>
      <c r="N44" s="98"/>
      <c r="O44" s="92"/>
      <c r="Q44" s="13"/>
    </row>
    <row r="45" ht="15" customHeight="1">
      <c r="B45" s="12"/>
      <c r="E45" s="95"/>
      <c r="F45" s="91"/>
      <c r="G45" s="91"/>
      <c r="I45" s="91"/>
      <c r="J45" s="91"/>
      <c r="K45" s="96"/>
      <c r="L45" s="91"/>
      <c r="M45" s="91"/>
      <c r="N45" s="98"/>
      <c r="O45" s="92"/>
      <c r="Q45" s="13"/>
    </row>
    <row r="46" ht="15" customHeight="1">
      <c r="B46" s="12"/>
      <c r="E46" s="95"/>
      <c r="F46" s="91"/>
      <c r="G46" s="91"/>
      <c r="I46" s="91"/>
      <c r="J46" s="91"/>
      <c r="K46" s="96"/>
      <c r="L46" s="91"/>
      <c r="M46" s="91"/>
      <c r="N46" s="98"/>
      <c r="O46" s="92"/>
      <c r="Q46" s="13"/>
    </row>
    <row r="47" ht="15" customHeight="1">
      <c r="B47" s="12"/>
      <c r="E47" s="95"/>
      <c r="F47" s="91"/>
      <c r="G47" s="91"/>
      <c r="I47" s="91"/>
      <c r="J47" s="91"/>
      <c r="K47" s="96"/>
      <c r="L47" s="91"/>
      <c r="M47" s="91"/>
      <c r="N47" s="98"/>
      <c r="O47" s="92"/>
      <c r="Q47" s="13"/>
    </row>
    <row r="48" ht="15" customHeight="1">
      <c r="B48" s="12"/>
      <c r="E48" s="95"/>
      <c r="F48" s="91"/>
      <c r="G48" s="91"/>
      <c r="I48" s="91"/>
      <c r="J48" s="91"/>
      <c r="K48" s="96"/>
      <c r="L48" s="91"/>
      <c r="M48" s="91"/>
      <c r="N48" s="98"/>
      <c r="O48" s="92"/>
      <c r="Q48" s="13"/>
    </row>
    <row r="49" ht="15" customHeight="1">
      <c r="B49" s="12"/>
      <c r="E49" s="95"/>
      <c r="F49" s="91"/>
      <c r="G49" s="91"/>
      <c r="I49" s="91"/>
      <c r="J49" s="91"/>
      <c r="K49" s="96"/>
      <c r="L49" s="91"/>
      <c r="M49" s="91"/>
      <c r="N49" s="98"/>
      <c r="O49" s="92"/>
      <c r="Q49" s="13"/>
    </row>
    <row r="50" ht="15" customHeight="1">
      <c r="B50" s="12"/>
      <c r="E50" s="95"/>
      <c r="F50" s="91"/>
      <c r="G50" s="91"/>
      <c r="I50" s="91"/>
      <c r="J50" s="91"/>
      <c r="K50" s="96"/>
      <c r="L50" s="91"/>
      <c r="M50" s="91"/>
      <c r="N50" s="98"/>
      <c r="O50" s="92"/>
      <c r="Q50" s="13"/>
    </row>
    <row r="51" ht="15" customHeight="1">
      <c r="B51" s="12"/>
      <c r="E51" s="95"/>
      <c r="F51" s="91"/>
      <c r="G51" s="91"/>
      <c r="I51" s="91"/>
      <c r="J51" s="91"/>
      <c r="K51" s="96"/>
      <c r="L51" s="91"/>
      <c r="M51" s="91"/>
      <c r="N51" s="98"/>
      <c r="O51" s="92"/>
      <c r="Q51" s="13"/>
    </row>
    <row r="52" ht="15" customHeight="1">
      <c r="B52" s="12"/>
      <c r="E52" s="95"/>
      <c r="F52" s="91"/>
      <c r="G52" s="91"/>
      <c r="I52" s="91"/>
      <c r="J52" s="91"/>
      <c r="K52" s="96"/>
      <c r="L52" s="91"/>
      <c r="M52" s="91"/>
      <c r="N52" s="98"/>
      <c r="O52" s="92"/>
      <c r="Q52" s="13"/>
    </row>
    <row r="53" ht="15" customHeight="1">
      <c r="B53" s="12"/>
      <c r="E53" s="95"/>
      <c r="F53" s="91"/>
      <c r="G53" s="91"/>
      <c r="I53" s="91"/>
      <c r="J53" s="91"/>
      <c r="K53" s="96"/>
      <c r="L53" s="91"/>
      <c r="M53" s="91"/>
      <c r="N53" s="98"/>
      <c r="O53" s="92"/>
      <c r="Q53" s="13"/>
    </row>
    <row r="54" ht="15" customHeight="1">
      <c r="B54" s="12"/>
      <c r="E54" s="95"/>
      <c r="F54" s="91"/>
      <c r="G54" s="91"/>
      <c r="I54" s="91"/>
      <c r="J54" s="91"/>
      <c r="K54" s="96"/>
      <c r="L54" s="91"/>
      <c r="M54" s="91"/>
      <c r="N54" s="98"/>
      <c r="O54" s="92"/>
      <c r="Q54" s="13"/>
    </row>
    <row r="55" ht="15" customHeight="1">
      <c r="B55" s="12"/>
      <c r="E55" s="95"/>
      <c r="F55" s="91"/>
      <c r="G55" s="91"/>
      <c r="I55" s="91"/>
      <c r="J55" s="91"/>
      <c r="K55" s="96"/>
      <c r="L55" s="91"/>
      <c r="M55" s="91"/>
      <c r="N55" s="98"/>
      <c r="O55" s="92"/>
      <c r="Q55" s="13"/>
    </row>
    <row r="56" ht="15" customHeight="1">
      <c r="B56" s="12"/>
      <c r="E56" s="95"/>
      <c r="F56" s="91"/>
      <c r="G56" s="91"/>
      <c r="I56" s="91"/>
      <c r="J56" s="91"/>
      <c r="K56" s="96"/>
      <c r="L56" s="91"/>
      <c r="M56" s="91"/>
      <c r="N56" s="98"/>
      <c r="O56" s="92"/>
      <c r="Q56" s="13"/>
    </row>
    <row r="57" ht="15" customHeight="1">
      <c r="B57" s="12"/>
      <c r="E57" s="95"/>
      <c r="F57" s="91"/>
      <c r="G57" s="91"/>
      <c r="I57" s="91"/>
      <c r="J57" s="91"/>
      <c r="K57" s="96"/>
      <c r="L57" s="91"/>
      <c r="M57" s="91"/>
      <c r="N57" s="98"/>
      <c r="O57" s="92"/>
      <c r="Q57" s="13"/>
    </row>
    <row r="58" ht="15" customHeight="1">
      <c r="B58" s="12"/>
      <c r="E58" s="95"/>
      <c r="F58" s="91"/>
      <c r="G58" s="91"/>
      <c r="I58" s="91"/>
      <c r="J58" s="91"/>
      <c r="K58" s="96"/>
      <c r="L58" s="91"/>
      <c r="M58" s="91"/>
      <c r="N58" s="98"/>
      <c r="O58" s="92"/>
      <c r="Q58" s="13"/>
    </row>
    <row r="59" ht="15" customHeight="1">
      <c r="B59" s="12"/>
      <c r="E59" s="95"/>
      <c r="F59" s="91"/>
      <c r="G59" s="91"/>
      <c r="I59" s="91"/>
      <c r="J59" s="91"/>
      <c r="K59" s="96"/>
      <c r="L59" s="91"/>
      <c r="M59" s="91"/>
      <c r="N59" s="98"/>
      <c r="O59" s="92"/>
      <c r="Q59" s="13"/>
    </row>
    <row r="60" ht="15" customHeight="1">
      <c r="B60" s="12"/>
      <c r="E60" s="95"/>
      <c r="F60" s="91"/>
      <c r="G60" s="91"/>
      <c r="I60" s="91"/>
      <c r="J60" s="91"/>
      <c r="K60" s="96"/>
      <c r="L60" s="91"/>
      <c r="M60" s="91"/>
      <c r="N60" s="98"/>
      <c r="O60" s="92"/>
      <c r="Q60" s="13"/>
    </row>
    <row r="61" ht="15" customHeight="1">
      <c r="B61" s="12"/>
      <c r="E61" s="95"/>
      <c r="F61" s="91"/>
      <c r="G61" s="91"/>
      <c r="I61" s="91"/>
      <c r="J61" s="91"/>
      <c r="K61" s="96"/>
      <c r="L61" s="91"/>
      <c r="M61" s="91"/>
      <c r="N61" s="98"/>
      <c r="O61" s="92"/>
      <c r="Q61" s="13"/>
    </row>
    <row r="62" ht="15" customHeight="1">
      <c r="B62" s="12"/>
      <c r="E62" s="95"/>
      <c r="F62" s="91"/>
      <c r="G62" s="91"/>
      <c r="I62" s="91"/>
      <c r="J62" s="91"/>
      <c r="K62" s="96"/>
      <c r="L62" s="91"/>
      <c r="M62" s="91"/>
      <c r="N62" s="98"/>
      <c r="O62" s="92"/>
      <c r="Q62" s="13"/>
    </row>
    <row r="63" ht="15" customHeight="1">
      <c r="B63" s="12"/>
      <c r="E63" s="95"/>
      <c r="F63" s="91"/>
      <c r="G63" s="91"/>
      <c r="I63" s="91"/>
      <c r="J63" s="91"/>
      <c r="K63" s="96"/>
      <c r="L63" s="91"/>
      <c r="M63" s="91"/>
      <c r="N63" s="98"/>
      <c r="O63" s="92"/>
      <c r="Q63" s="13"/>
    </row>
    <row r="64" ht="15" customHeight="1">
      <c r="B64" s="12"/>
      <c r="E64" s="95"/>
      <c r="F64" s="91"/>
      <c r="G64" s="91"/>
      <c r="I64" s="91"/>
      <c r="J64" s="91"/>
      <c r="K64" s="96"/>
      <c r="L64" s="91"/>
      <c r="M64" s="91"/>
      <c r="N64" s="98"/>
      <c r="O64" s="92"/>
      <c r="Q64" s="13"/>
    </row>
    <row r="65" ht="15" customHeight="1">
      <c r="B65" s="12"/>
      <c r="E65" s="95"/>
      <c r="F65" s="91"/>
      <c r="G65" s="91"/>
      <c r="I65" s="91"/>
      <c r="J65" s="91"/>
      <c r="K65" s="96"/>
      <c r="L65" s="91"/>
      <c r="M65" s="91"/>
      <c r="N65" s="98"/>
      <c r="O65" s="92"/>
      <c r="Q65" s="13"/>
    </row>
    <row r="66" ht="15" customHeight="1">
      <c r="B66" s="12"/>
      <c r="E66" s="95"/>
      <c r="F66" s="91"/>
      <c r="G66" s="91"/>
      <c r="I66" s="91"/>
      <c r="J66" s="91"/>
      <c r="K66" s="96"/>
      <c r="L66" s="91"/>
      <c r="M66" s="91"/>
      <c r="N66" s="98"/>
      <c r="O66" s="92"/>
      <c r="Q66" s="13"/>
    </row>
    <row r="67" ht="15" customHeight="1">
      <c r="B67" s="12"/>
      <c r="E67" s="95"/>
      <c r="F67" s="91"/>
      <c r="G67" s="91"/>
      <c r="I67" s="91"/>
      <c r="J67" s="91"/>
      <c r="K67" s="96"/>
      <c r="L67" s="91"/>
      <c r="M67" s="91"/>
      <c r="N67" s="98"/>
      <c r="O67" s="92"/>
      <c r="Q67" s="13"/>
    </row>
    <row r="68" ht="15" customHeight="1">
      <c r="B68" s="12"/>
      <c r="E68" s="95"/>
      <c r="F68" s="91"/>
      <c r="G68" s="91"/>
      <c r="I68" s="91"/>
      <c r="J68" s="91"/>
      <c r="K68" s="96"/>
      <c r="L68" s="91"/>
      <c r="M68" s="91"/>
      <c r="N68" s="98"/>
      <c r="O68" s="92"/>
      <c r="Q68" s="13"/>
    </row>
    <row r="69" ht="15" customHeight="1">
      <c r="B69" s="12"/>
      <c r="E69" s="95"/>
      <c r="F69" s="91"/>
      <c r="G69" s="91"/>
      <c r="I69" s="91"/>
      <c r="J69" s="91"/>
      <c r="K69" s="96"/>
      <c r="L69" s="91"/>
      <c r="M69" s="91"/>
      <c r="N69" s="98"/>
      <c r="O69" s="92"/>
      <c r="Q69" s="13"/>
    </row>
    <row r="70" ht="15" customHeight="1">
      <c r="B70" s="12"/>
      <c r="E70" s="95"/>
      <c r="F70" s="91"/>
      <c r="G70" s="91"/>
      <c r="I70" s="91"/>
      <c r="J70" s="91"/>
      <c r="K70" s="96"/>
      <c r="L70" s="91"/>
      <c r="M70" s="91"/>
      <c r="N70" s="98"/>
      <c r="O70" s="92"/>
      <c r="Q70" s="13"/>
    </row>
    <row r="71" ht="15" customHeight="1">
      <c r="B71" s="12"/>
      <c r="E71" s="95"/>
      <c r="F71" s="91"/>
      <c r="G71" s="91"/>
      <c r="I71" s="91"/>
      <c r="J71" s="91"/>
      <c r="K71" s="96"/>
      <c r="L71" s="91"/>
      <c r="M71" s="91"/>
      <c r="N71" s="98"/>
      <c r="O71" s="92"/>
      <c r="Q71" s="13"/>
    </row>
    <row r="72" ht="15" customHeight="1">
      <c r="B72" s="12"/>
      <c r="E72" s="95"/>
      <c r="F72" s="91"/>
      <c r="G72" s="91"/>
      <c r="I72" s="91"/>
      <c r="J72" s="91"/>
      <c r="K72" s="96"/>
      <c r="L72" s="91"/>
      <c r="M72" s="91"/>
      <c r="N72" s="98"/>
      <c r="O72" s="92"/>
      <c r="Q72" s="13"/>
    </row>
    <row r="73" ht="15" customHeight="1">
      <c r="B73" s="12"/>
      <c r="E73" s="95"/>
      <c r="F73" s="91"/>
      <c r="G73" s="91"/>
      <c r="I73" s="91"/>
      <c r="J73" s="91"/>
      <c r="K73" s="96"/>
      <c r="L73" s="91"/>
      <c r="M73" s="91"/>
      <c r="N73" s="98"/>
      <c r="O73" s="92"/>
      <c r="Q73" s="13"/>
    </row>
    <row r="74" ht="15" customHeight="1">
      <c r="B74" s="12"/>
      <c r="E74" s="95"/>
      <c r="F74" s="91"/>
      <c r="G74" s="91"/>
      <c r="I74" s="91"/>
      <c r="J74" s="91"/>
      <c r="K74" s="96"/>
      <c r="L74" s="91"/>
      <c r="M74" s="91"/>
      <c r="N74" s="98"/>
      <c r="O74" s="92"/>
      <c r="Q74" s="13"/>
    </row>
    <row r="75" ht="15" customHeight="1">
      <c r="B75" s="12"/>
      <c r="E75" s="95"/>
      <c r="F75" s="91"/>
      <c r="G75" s="91"/>
      <c r="I75" s="91"/>
      <c r="J75" s="91"/>
      <c r="K75" s="96"/>
      <c r="L75" s="91"/>
      <c r="M75" s="91"/>
      <c r="N75" s="98"/>
      <c r="O75" s="92"/>
      <c r="Q75" s="13"/>
    </row>
    <row r="76" ht="15" customHeight="1">
      <c r="B76" s="12"/>
      <c r="E76" s="95"/>
      <c r="F76" s="91"/>
      <c r="G76" s="91"/>
      <c r="I76" s="91"/>
      <c r="J76" s="91"/>
      <c r="K76" s="96"/>
      <c r="L76" s="91"/>
      <c r="M76" s="91"/>
      <c r="N76" s="98"/>
      <c r="O76" s="92"/>
      <c r="Q76" s="13"/>
    </row>
    <row r="77" ht="15" customHeight="1">
      <c r="B77" s="12"/>
      <c r="E77" s="95"/>
      <c r="F77" s="91"/>
      <c r="G77" s="91"/>
      <c r="I77" s="91"/>
      <c r="J77" s="91"/>
      <c r="K77" s="96"/>
      <c r="L77" s="91"/>
      <c r="M77" s="91"/>
      <c r="N77" s="98"/>
      <c r="O77" s="92"/>
      <c r="Q77" s="13"/>
    </row>
    <row r="78">
      <c r="A78" s="89"/>
      <c r="B78" s="90"/>
      <c r="D78" s="88"/>
      <c r="P78" s="15"/>
      <c r="Q78" s="16"/>
    </row>
    <row r="79" ht="15" customHeight="1">
      <c r="C79" s="10"/>
      <c r="D79" s="61"/>
      <c r="E79" s="61"/>
      <c r="F79" s="61"/>
      <c r="G79" s="61"/>
      <c r="H79" s="61"/>
      <c r="I79" s="61"/>
      <c r="J79" s="61"/>
      <c r="K79" s="61"/>
      <c r="L79" s="61"/>
      <c r="M79" s="61"/>
      <c r="N79" s="61"/>
      <c r="O79" s="61"/>
      <c r="P79" s="10"/>
      <c r="Q79" s="10"/>
      <c r="U79" s="19"/>
    </row>
  </sheetData>
  <mergeCells>
    <mergeCell ref="C8:O8"/>
  </mergeCells>
  <pageMargins left="0.70866141732283472" right="0.70866141732283472" top="0.74803149606299213" bottom="0.74803149606299213" header="0.31496062992125984" footer="0.31496062992125984"/>
  <pageSetup paperSize="9" scale="40" fitToHeight="100" orientation="portrait"/>
  <headerFooter>
    <oddHeader>&amp;C&amp;A</oddHeader>
    <oddFooter>&amp;C&amp;F   &amp;A  &amp;P/&amp;N   &amp;D</oddFooter>
  </headerFooter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Feuil22">
    <tabColor theme="4" tint="0.79998168889431442"/>
    <pageSetUpPr fitToPage="1"/>
  </sheetPr>
  <dimension ref="A1:U46"/>
  <sheetViews>
    <sheetView showGridLines="0" zoomScale="85" zoomScaleNormal="85" workbookViewId="0">
      <selection activeCell="J40" sqref="J40"/>
    </sheetView>
  </sheetViews>
  <sheetFormatPr baseColWidth="10" defaultColWidth="11.42578125" defaultRowHeight="15"/>
  <cols>
    <col min="1" max="1" width="2.85546875" customWidth="1" style="17"/>
    <col min="2" max="2" width="4.28515625" customWidth="1"/>
    <col min="3" max="3" width="28.7109375" customWidth="1"/>
    <col min="4" max="4" width="11.42578125" customWidth="1"/>
    <col min="5" max="5" width="11.42578125" customWidth="1"/>
    <col min="6" max="6" width="11.42578125" customWidth="1"/>
    <col min="7" max="7" width="11.42578125" customWidth="1"/>
    <col min="8" max="8" width="11.42578125" customWidth="1"/>
    <col min="9" max="9" width="11.42578125" customWidth="1"/>
    <col min="10" max="10" width="20" customWidth="1"/>
    <col min="11" max="11" width="34.28515625" customWidth="1"/>
    <col min="12" max="12" width="11.42578125" customWidth="1"/>
    <col min="13" max="13" width="11.42578125" customWidth="1"/>
    <col min="14" max="14" width="11.42578125" customWidth="1"/>
    <col min="15" max="15" width="11.42578125" customWidth="1"/>
    <col min="16" max="16" width="2.5703125" customWidth="1"/>
    <col min="17" max="17" width="4.140625" customWidth="1"/>
    <col min="18" max="18" width="2.85546875" customWidth="1"/>
    <col min="19" max="20" width="11.42578125" customWidth="1"/>
    <col min="21" max="21" bestFit="1" width="19.7109375" customWidth="1"/>
    <col min="22" max="27" width="11.42578125" customWidth="1"/>
  </cols>
  <sheetData>
    <row r="1" ht="15" customHeight="1">
      <c r="B1" s="17"/>
      <c r="C1" s="17"/>
      <c r="D1" s="17"/>
      <c r="E1" s="17"/>
      <c r="F1" s="17"/>
      <c r="G1" s="17"/>
      <c r="H1" s="17"/>
      <c r="I1" s="17"/>
      <c r="J1" s="17"/>
      <c r="K1" s="17"/>
      <c r="L1" s="17"/>
      <c r="M1" s="17"/>
      <c r="N1" s="17"/>
      <c r="O1" s="17"/>
      <c r="P1" s="17"/>
      <c r="Q1" s="17"/>
      <c r="R1" s="17"/>
    </row>
    <row r="2" ht="15" customHeight="1">
      <c r="B2" s="9"/>
      <c r="C2" s="10"/>
      <c r="D2" s="10"/>
      <c r="E2" s="10"/>
      <c r="F2" s="10"/>
      <c r="G2" s="10"/>
      <c r="H2" s="10"/>
      <c r="I2" s="10"/>
      <c r="J2" s="10"/>
      <c r="K2" s="10"/>
      <c r="L2" s="10"/>
      <c r="M2" s="10"/>
      <c r="N2" s="10"/>
      <c r="O2" s="10"/>
      <c r="P2" s="10"/>
      <c r="Q2" s="11"/>
      <c r="U2" s="19"/>
    </row>
    <row r="3" ht="15" customHeight="1">
      <c r="B3" s="12"/>
      <c r="Q3" s="13"/>
    </row>
    <row r="4" ht="15" customHeight="1">
      <c r="B4" s="12"/>
      <c r="Q4" s="13"/>
    </row>
    <row r="5" ht="15" customHeight="1">
      <c r="B5" s="12"/>
      <c r="Q5" s="13"/>
    </row>
    <row r="6" ht="15" customHeight="1">
      <c r="B6" s="12"/>
      <c r="Q6" s="13"/>
    </row>
    <row r="7" ht="15" customHeight="1">
      <c r="B7" s="12"/>
      <c r="Q7" s="13"/>
    </row>
    <row r="8" ht="67.5" customHeight="1">
      <c r="B8" s="12"/>
      <c r="C8" s="164" t="str">
        <f>'Page de garde'!J13&amp;" : Statistiques DECES au "&amp;'Page de garde'!J23&amp; " - " &amp;AFFICHAGE!$S$2</f>
        <v> : Statistiques DECES au 31 décembre 2022 - Comptable</v>
      </c>
      <c r="D8" s="165"/>
      <c r="E8" s="165"/>
      <c r="F8" s="165"/>
      <c r="G8" s="165"/>
      <c r="H8" s="165"/>
      <c r="I8" s="165"/>
      <c r="J8" s="165"/>
      <c r="K8" s="165"/>
      <c r="L8" s="165"/>
      <c r="M8" s="165"/>
      <c r="N8" s="165"/>
      <c r="O8" s="166"/>
      <c r="Q8" s="13"/>
    </row>
    <row r="9" ht="14.25" customHeight="1">
      <c r="B9" s="12"/>
      <c r="Q9" s="13"/>
    </row>
    <row r="10" ht="15" customHeight="1">
      <c r="B10" s="12"/>
      <c r="Q10" s="13"/>
    </row>
    <row r="11" ht="15" customHeight="1">
      <c r="B11" s="12"/>
      <c r="C11" s="56" t="s">
        <v>44</v>
      </c>
      <c r="K11" s="57" t="s">
        <v>102</v>
      </c>
      <c r="Q11" s="13"/>
    </row>
    <row r="12" ht="13.5" customHeight="1">
      <c r="B12" s="12"/>
      <c r="Q12" s="13"/>
    </row>
    <row r="13" ht="45">
      <c r="B13" s="12"/>
      <c r="C13" s="59"/>
      <c r="D13" s="59" t="s">
        <v>103</v>
      </c>
      <c r="E13" s="59" t="s">
        <v>100</v>
      </c>
      <c r="F13" s="75"/>
      <c r="K13" s="59" t="s">
        <v>49</v>
      </c>
      <c r="L13" s="59" t="s">
        <v>104</v>
      </c>
      <c r="M13" s="59" t="s">
        <v>105</v>
      </c>
      <c r="Q13" s="13"/>
    </row>
    <row r="14" ht="15" customHeight="1">
      <c r="B14" s="12"/>
      <c r="C14" s="66"/>
      <c r="D14" s="67"/>
      <c r="E14" s="68"/>
      <c r="F14" s="76"/>
      <c r="K14" s="66" t="s">
        <v>51</v>
      </c>
      <c r="L14" s="66">
        <v>0</v>
      </c>
      <c r="M14" s="70"/>
      <c r="Q14" s="13"/>
    </row>
    <row r="15" ht="15" customHeight="1">
      <c r="B15" s="12"/>
      <c r="C15" s="66"/>
      <c r="D15" s="67"/>
      <c r="E15" s="68"/>
      <c r="F15" s="76"/>
      <c r="K15" s="66" t="s">
        <v>52</v>
      </c>
      <c r="L15" s="66">
        <v>0</v>
      </c>
      <c r="M15" s="70"/>
      <c r="Q15" s="13"/>
    </row>
    <row r="16" ht="15" customHeight="1">
      <c r="B16" s="12"/>
      <c r="C16" s="59" t="s">
        <v>53</v>
      </c>
      <c r="D16" s="59">
        <v>0</v>
      </c>
      <c r="E16" s="69"/>
      <c r="F16" s="77"/>
      <c r="K16" s="66" t="s">
        <v>54</v>
      </c>
      <c r="L16" s="66">
        <v>0</v>
      </c>
      <c r="M16" s="70"/>
      <c r="Q16" s="13"/>
    </row>
    <row r="17" ht="15" customHeight="1">
      <c r="B17" s="12"/>
      <c r="K17" s="66" t="s">
        <v>55</v>
      </c>
      <c r="L17" s="66">
        <v>0</v>
      </c>
      <c r="M17" s="70"/>
      <c r="Q17" s="13"/>
    </row>
    <row r="18" ht="15" customHeight="1">
      <c r="B18" s="12"/>
      <c r="K18" s="66" t="s">
        <v>56</v>
      </c>
      <c r="L18" s="66">
        <v>0</v>
      </c>
      <c r="M18" s="70"/>
      <c r="Q18" s="13"/>
    </row>
    <row r="19" ht="15" customHeight="1">
      <c r="B19" s="12"/>
      <c r="K19" s="66" t="s">
        <v>57</v>
      </c>
      <c r="L19" s="66">
        <v>0</v>
      </c>
      <c r="M19" s="70"/>
      <c r="Q19" s="13"/>
    </row>
    <row r="20" ht="15" customHeight="1">
      <c r="B20" s="12"/>
      <c r="K20" s="66" t="s">
        <v>58</v>
      </c>
      <c r="L20" s="66">
        <v>0</v>
      </c>
      <c r="M20" s="70"/>
      <c r="Q20" s="13"/>
    </row>
    <row r="21" ht="15" customHeight="1">
      <c r="B21" s="12"/>
      <c r="K21" s="66" t="s">
        <v>59</v>
      </c>
      <c r="L21" s="66">
        <v>0</v>
      </c>
      <c r="M21" s="70"/>
      <c r="Q21" s="13"/>
    </row>
    <row r="22" ht="15" customHeight="1">
      <c r="B22" s="12"/>
      <c r="K22" s="66" t="s">
        <v>60</v>
      </c>
      <c r="L22" s="66">
        <v>0</v>
      </c>
      <c r="M22" s="70"/>
      <c r="Q22" s="13"/>
    </row>
    <row r="23" ht="15" customHeight="1">
      <c r="B23" s="12"/>
      <c r="K23" s="59" t="s">
        <v>53</v>
      </c>
      <c r="L23" s="59">
        <v>0</v>
      </c>
      <c r="M23" s="71"/>
      <c r="Q23" s="13"/>
    </row>
    <row r="24" ht="15" customHeight="1">
      <c r="B24" s="12"/>
      <c r="Q24" s="13"/>
    </row>
    <row r="25" ht="15" customHeight="1">
      <c r="B25" s="12"/>
      <c r="Q25" s="13"/>
    </row>
    <row r="26" ht="15" customHeight="1">
      <c r="B26" s="12"/>
      <c r="Q26" s="13"/>
    </row>
    <row r="27" ht="15" customHeight="1">
      <c r="B27" s="12"/>
      <c r="Q27" s="13"/>
    </row>
    <row r="28" ht="15" customHeight="1">
      <c r="B28" s="12"/>
      <c r="Q28" s="13"/>
    </row>
    <row r="29" ht="15" customHeight="1">
      <c r="B29" s="12"/>
      <c r="Q29" s="13"/>
    </row>
    <row r="30">
      <c r="B30" s="12"/>
      <c r="Q30" s="13"/>
    </row>
    <row r="31" ht="12" customHeight="1">
      <c r="B31" s="12"/>
      <c r="Q31" s="13"/>
    </row>
    <row r="32" ht="15" customHeight="1">
      <c r="B32" s="12"/>
      <c r="Q32" s="13"/>
    </row>
    <row r="33" ht="15" customHeight="1">
      <c r="B33" s="12"/>
      <c r="Q33" s="13"/>
    </row>
    <row r="34" ht="15" customHeight="1">
      <c r="B34" s="12"/>
      <c r="C34" s="18" t="s">
        <v>106</v>
      </c>
      <c r="Q34" s="13"/>
    </row>
    <row r="35" ht="15" customHeight="1">
      <c r="B35" s="12"/>
      <c r="Q35" s="13"/>
    </row>
    <row r="36" ht="15" customHeight="1">
      <c r="B36" s="12"/>
      <c r="C36" s="18"/>
      <c r="D36" s="59" t="s">
        <v>46</v>
      </c>
      <c r="E36" s="59" t="s">
        <v>47</v>
      </c>
      <c r="Q36" s="13"/>
    </row>
    <row r="37" ht="15" customHeight="1">
      <c r="B37" s="12"/>
      <c r="C37" s="72"/>
      <c r="D37" s="73">
        <v>0</v>
      </c>
      <c r="E37" s="74"/>
      <c r="Q37" s="13"/>
    </row>
    <row r="38" ht="15" customHeight="1">
      <c r="B38" s="12"/>
      <c r="C38" s="72" t="s">
        <v>53</v>
      </c>
      <c r="D38" s="73">
        <v>0</v>
      </c>
      <c r="E38" s="74"/>
      <c r="Q38" s="13"/>
    </row>
    <row r="39" ht="15" customHeight="1">
      <c r="B39" s="12"/>
      <c r="C39" s="57"/>
      <c r="D39" s="84"/>
      <c r="E39" s="85"/>
      <c r="Q39" s="13"/>
    </row>
    <row r="40" ht="15" customHeight="1">
      <c r="B40" s="12"/>
      <c r="C40" s="57"/>
      <c r="D40" s="84"/>
      <c r="E40" s="85"/>
      <c r="Q40" s="13"/>
    </row>
    <row r="41" ht="15" customHeight="1">
      <c r="B41" s="12"/>
      <c r="C41" s="57"/>
      <c r="D41" s="84"/>
      <c r="E41" s="85"/>
      <c r="Q41" s="13"/>
    </row>
    <row r="42" ht="15" customHeight="1">
      <c r="B42" s="12"/>
      <c r="Q42" s="13"/>
    </row>
    <row r="43" ht="15" customHeight="1">
      <c r="B43" s="12"/>
      <c r="Q43" s="13"/>
    </row>
    <row r="44" ht="15" customHeight="1">
      <c r="B44" s="12"/>
      <c r="Q44" s="13"/>
    </row>
    <row r="45" ht="15" customHeight="1">
      <c r="B45" s="12"/>
      <c r="Q45" s="13"/>
    </row>
    <row r="46" ht="15" customHeight="1">
      <c r="B46" s="14"/>
      <c r="C46" s="15"/>
      <c r="D46" s="15"/>
      <c r="E46" s="15"/>
      <c r="F46" s="15"/>
      <c r="G46" s="15"/>
      <c r="H46" s="15"/>
      <c r="I46" s="15"/>
      <c r="J46" s="15"/>
      <c r="K46" s="15"/>
      <c r="L46" s="15"/>
      <c r="M46" s="15"/>
      <c r="N46" s="15"/>
      <c r="O46" s="15"/>
      <c r="P46" s="15"/>
      <c r="Q46" s="16"/>
    </row>
    <row r="47" ht="15" customHeight="1"/>
  </sheetData>
  <mergeCells>
    <mergeCell ref="C8:O8"/>
  </mergeCells>
  <pageMargins left="0.70866141732283472" right="0.70866141732283472" top="0.74803149606299213" bottom="0.74803149606299213" header="0.31496062992125984" footer="0.31496062992125984"/>
  <pageSetup paperSize="9" scale="62" orientation="landscape"/>
  <headerFooter>
    <oddHeader>&amp;C&amp;A</oddHeader>
    <oddFooter>&amp;C&amp;F   &amp;A  &amp;P/&amp;N   &amp;D</oddFooter>
  </headerFooter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Feuil24">
    <tabColor theme="4" tint="0.79998168889431442"/>
    <pageSetUpPr fitToPage="1"/>
  </sheetPr>
  <dimension ref="A1:U79"/>
  <sheetViews>
    <sheetView showGridLines="0" zoomScale="85" zoomScaleNormal="85" workbookViewId="0">
      <selection activeCell="C12" sqref="C12:O13"/>
    </sheetView>
  </sheetViews>
  <sheetFormatPr baseColWidth="10" defaultColWidth="11.42578125" defaultRowHeight="15"/>
  <cols>
    <col min="1" max="1" width="2.85546875" customWidth="1" style="17"/>
    <col min="2" max="2" width="4.28515625" customWidth="1"/>
    <col min="3" max="3" width="21.42578125" customWidth="1"/>
    <col min="4" max="4" width="12" customWidth="1" style="62"/>
    <col min="5" max="5" bestFit="1" width="24.85546875" customWidth="1" style="62"/>
    <col min="6" max="6" bestFit="1" width="8.28515625" customWidth="1" style="62"/>
    <col min="7" max="7" width="13.5703125" customWidth="1" style="62"/>
    <col min="8" max="8" bestFit="1" width="10.28515625" customWidth="1" style="62"/>
    <col min="9" max="9" width="19.7109375" customWidth="1" style="62"/>
    <col min="10" max="10" bestFit="1" width="10.7109375" customWidth="1" style="62"/>
    <col min="11" max="11" bestFit="1" width="11.85546875" customWidth="1" style="62"/>
    <col min="12" max="12" width="15" customWidth="1" style="62"/>
    <col min="13" max="13" width="15" customWidth="1" style="62"/>
    <col min="14" max="14" bestFit="1" width="12.5703125" customWidth="1" style="62"/>
    <col min="15" max="15" width="15" customWidth="1" style="62"/>
    <col min="16" max="16" width="11.42578125" customWidth="1"/>
    <col min="17" max="17" width="4.140625" customWidth="1"/>
    <col min="18" max="18" width="2.85546875" customWidth="1"/>
    <col min="19" max="20" width="11.42578125" customWidth="1"/>
    <col min="21" max="21" bestFit="1" width="19.7109375" customWidth="1"/>
    <col min="22" max="27" width="11.42578125" customWidth="1"/>
  </cols>
  <sheetData>
    <row r="1" ht="15" customHeight="1">
      <c r="B1" s="17">
        <v>2</v>
      </c>
      <c r="C1" s="17"/>
      <c r="D1" s="60"/>
      <c r="E1" s="60"/>
      <c r="F1" s="60"/>
      <c r="G1" s="60"/>
      <c r="H1" s="60"/>
      <c r="I1" s="60"/>
      <c r="J1" s="60"/>
      <c r="K1" s="60"/>
      <c r="L1" s="60"/>
      <c r="M1" s="60"/>
      <c r="N1" s="60"/>
      <c r="O1" s="60"/>
      <c r="P1" s="17"/>
      <c r="Q1" s="17"/>
      <c r="R1" s="17"/>
    </row>
    <row r="2" ht="15" customHeight="1">
      <c r="B2" s="9"/>
      <c r="C2" s="10"/>
      <c r="D2" s="61"/>
      <c r="E2" s="61"/>
      <c r="F2" s="61"/>
      <c r="G2" s="61"/>
      <c r="H2" s="61"/>
      <c r="I2" s="61"/>
      <c r="J2" s="61"/>
      <c r="K2" s="61"/>
      <c r="L2" s="61"/>
      <c r="M2" s="61"/>
      <c r="N2" s="61"/>
      <c r="O2" s="61"/>
      <c r="P2" s="10"/>
      <c r="Q2" s="11"/>
      <c r="U2" s="19"/>
    </row>
    <row r="3" ht="15" customHeight="1">
      <c r="B3" s="12"/>
      <c r="Q3" s="13"/>
    </row>
    <row r="4" ht="15" customHeight="1">
      <c r="B4" s="12"/>
      <c r="Q4" s="13"/>
    </row>
    <row r="5" ht="15" customHeight="1">
      <c r="B5" s="12"/>
      <c r="Q5" s="13"/>
    </row>
    <row r="6" ht="15" customHeight="1">
      <c r="B6" s="12"/>
      <c r="Q6" s="13"/>
    </row>
    <row r="7" ht="15" customHeight="1">
      <c r="B7" s="12"/>
      <c r="Q7" s="13"/>
    </row>
    <row r="8" ht="67.5" customHeight="1">
      <c r="B8" s="12"/>
      <c r="C8" s="164" t="str">
        <f>'Page de garde'!J13&amp;" : LISTE DECES au "&amp;'Page de garde'!J23&amp; " - " &amp;AFFICHAGE!$S$2</f>
        <v> : LISTE DECES au 31 décembre 2022 - Comptable</v>
      </c>
      <c r="D8" s="165"/>
      <c r="E8" s="165"/>
      <c r="F8" s="165"/>
      <c r="G8" s="165"/>
      <c r="H8" s="165"/>
      <c r="I8" s="165"/>
      <c r="J8" s="165"/>
      <c r="K8" s="165"/>
      <c r="L8" s="165"/>
      <c r="M8" s="165"/>
      <c r="N8" s="165"/>
      <c r="O8" s="166"/>
      <c r="Q8" s="13"/>
    </row>
    <row r="9" ht="15" customHeight="1">
      <c r="B9" s="12"/>
      <c r="Q9" s="13"/>
    </row>
    <row r="10" ht="15" customHeight="1">
      <c r="B10" s="12"/>
      <c r="Q10" s="13"/>
    </row>
    <row r="11" ht="15" customHeight="1">
      <c r="B11" s="12"/>
      <c r="Q11" s="13"/>
    </row>
    <row r="12" ht="30">
      <c r="B12" s="12"/>
      <c r="C12" s="59" t="s">
        <v>70</v>
      </c>
      <c r="D12" s="59" t="s">
        <v>71</v>
      </c>
      <c r="E12" s="59" t="s">
        <v>72</v>
      </c>
      <c r="F12" s="59" t="s">
        <v>73</v>
      </c>
      <c r="G12" s="59" t="s">
        <v>74</v>
      </c>
      <c r="H12" s="59" t="s">
        <v>13</v>
      </c>
      <c r="I12" s="59" t="s">
        <v>75</v>
      </c>
      <c r="J12" s="59" t="s">
        <v>107</v>
      </c>
      <c r="K12" s="59" t="s">
        <v>108</v>
      </c>
      <c r="L12" s="59" t="s">
        <v>78</v>
      </c>
      <c r="M12" s="59" t="s">
        <v>79</v>
      </c>
      <c r="N12" s="59"/>
      <c r="O12" s="59" t="s">
        <v>109</v>
      </c>
      <c r="Q12" s="13"/>
    </row>
    <row r="13" ht="15" customHeight="1">
      <c r="B13" s="12"/>
      <c r="C13" s="21"/>
      <c r="D13" s="63"/>
      <c r="E13" s="94"/>
      <c r="F13" s="64"/>
      <c r="G13" s="64"/>
      <c r="H13" s="63"/>
      <c r="I13" s="64"/>
      <c r="J13" s="64"/>
      <c r="K13" s="93"/>
      <c r="L13" s="64"/>
      <c r="M13" s="64"/>
      <c r="N13" s="97"/>
      <c r="O13" s="65"/>
      <c r="Q13" s="13"/>
    </row>
    <row r="14" ht="15" customHeight="1">
      <c r="B14" s="12"/>
      <c r="E14" s="95"/>
      <c r="F14" s="91"/>
      <c r="G14" s="91"/>
      <c r="I14" s="91"/>
      <c r="J14" s="91"/>
      <c r="K14" s="96"/>
      <c r="L14" s="91"/>
      <c r="M14" s="91"/>
      <c r="N14" s="98"/>
      <c r="O14" s="92"/>
      <c r="Q14" s="13"/>
    </row>
    <row r="15" ht="15" customHeight="1">
      <c r="B15" s="12"/>
      <c r="E15" s="95"/>
      <c r="F15" s="91"/>
      <c r="G15" s="91"/>
      <c r="I15" s="91"/>
      <c r="J15" s="91"/>
      <c r="K15" s="96"/>
      <c r="L15" s="91"/>
      <c r="M15" s="91"/>
      <c r="N15" s="98"/>
      <c r="O15" s="92"/>
      <c r="Q15" s="13"/>
    </row>
    <row r="16" ht="15" customHeight="1">
      <c r="B16" s="12"/>
      <c r="E16" s="95"/>
      <c r="F16" s="91"/>
      <c r="G16" s="91"/>
      <c r="I16" s="91"/>
      <c r="J16" s="91"/>
      <c r="K16" s="96"/>
      <c r="L16" s="91"/>
      <c r="M16" s="91"/>
      <c r="N16" s="98"/>
      <c r="O16" s="92"/>
      <c r="Q16" s="13"/>
    </row>
    <row r="17" ht="15" customHeight="1">
      <c r="B17" s="12"/>
      <c r="E17" s="95"/>
      <c r="F17" s="91"/>
      <c r="G17" s="91"/>
      <c r="I17" s="91"/>
      <c r="J17" s="91"/>
      <c r="K17" s="96"/>
      <c r="L17" s="91"/>
      <c r="M17" s="91"/>
      <c r="N17" s="98"/>
      <c r="O17" s="92"/>
      <c r="Q17" s="13"/>
    </row>
    <row r="18" ht="15" customHeight="1">
      <c r="B18" s="12"/>
      <c r="E18" s="95"/>
      <c r="F18" s="91"/>
      <c r="G18" s="91"/>
      <c r="I18" s="91"/>
      <c r="J18" s="91"/>
      <c r="K18" s="96"/>
      <c r="L18" s="91"/>
      <c r="M18" s="91"/>
      <c r="N18" s="98"/>
      <c r="O18" s="92"/>
      <c r="Q18" s="13"/>
    </row>
    <row r="19" ht="15" customHeight="1">
      <c r="B19" s="12"/>
      <c r="E19" s="95"/>
      <c r="F19" s="91"/>
      <c r="G19" s="91"/>
      <c r="I19" s="91"/>
      <c r="J19" s="91"/>
      <c r="K19" s="96"/>
      <c r="L19" s="91"/>
      <c r="M19" s="91"/>
      <c r="N19" s="98"/>
      <c r="O19" s="92"/>
      <c r="Q19" s="13"/>
    </row>
    <row r="20" ht="15" customHeight="1">
      <c r="B20" s="12"/>
      <c r="E20" s="95"/>
      <c r="F20" s="91"/>
      <c r="G20" s="91"/>
      <c r="I20" s="91"/>
      <c r="J20" s="91"/>
      <c r="K20" s="96"/>
      <c r="L20" s="91"/>
      <c r="M20" s="91"/>
      <c r="N20" s="98"/>
      <c r="O20" s="92"/>
      <c r="Q20" s="13"/>
    </row>
    <row r="21" ht="15" customHeight="1">
      <c r="B21" s="12"/>
      <c r="E21" s="95"/>
      <c r="F21" s="91"/>
      <c r="G21" s="91"/>
      <c r="I21" s="91"/>
      <c r="J21" s="91"/>
      <c r="K21" s="96"/>
      <c r="L21" s="91"/>
      <c r="M21" s="91"/>
      <c r="N21" s="98"/>
      <c r="O21" s="92"/>
      <c r="Q21" s="13"/>
    </row>
    <row r="22" ht="15" customHeight="1">
      <c r="B22" s="12"/>
      <c r="E22" s="95"/>
      <c r="F22" s="91"/>
      <c r="G22" s="91"/>
      <c r="I22" s="91"/>
      <c r="J22" s="91"/>
      <c r="K22" s="96"/>
      <c r="L22" s="91"/>
      <c r="M22" s="91"/>
      <c r="N22" s="98"/>
      <c r="O22" s="92"/>
      <c r="Q22" s="13"/>
    </row>
    <row r="23" ht="15" customHeight="1">
      <c r="B23" s="12"/>
      <c r="E23" s="95"/>
      <c r="F23" s="91"/>
      <c r="G23" s="91"/>
      <c r="I23" s="91"/>
      <c r="J23" s="91"/>
      <c r="K23" s="96"/>
      <c r="L23" s="91"/>
      <c r="M23" s="91"/>
      <c r="N23" s="98"/>
      <c r="O23" s="92"/>
      <c r="Q23" s="13"/>
    </row>
    <row r="24" ht="15" customHeight="1">
      <c r="B24" s="12"/>
      <c r="E24" s="95"/>
      <c r="F24" s="91"/>
      <c r="G24" s="91"/>
      <c r="I24" s="91"/>
      <c r="J24" s="91"/>
      <c r="K24" s="96"/>
      <c r="L24" s="91"/>
      <c r="M24" s="91"/>
      <c r="N24" s="98"/>
      <c r="O24" s="92"/>
      <c r="Q24" s="13"/>
    </row>
    <row r="25" ht="15" customHeight="1">
      <c r="B25" s="12"/>
      <c r="E25" s="95"/>
      <c r="F25" s="91"/>
      <c r="G25" s="91"/>
      <c r="I25" s="91"/>
      <c r="J25" s="91"/>
      <c r="K25" s="96"/>
      <c r="L25" s="91"/>
      <c r="M25" s="91"/>
      <c r="N25" s="98"/>
      <c r="O25" s="92"/>
      <c r="Q25" s="13"/>
    </row>
    <row r="26" ht="15" customHeight="1">
      <c r="B26" s="12"/>
      <c r="E26" s="95"/>
      <c r="F26" s="91"/>
      <c r="G26" s="91"/>
      <c r="I26" s="91"/>
      <c r="J26" s="91"/>
      <c r="K26" s="96"/>
      <c r="L26" s="91"/>
      <c r="M26" s="91"/>
      <c r="N26" s="98"/>
      <c r="O26" s="92"/>
      <c r="Q26" s="13"/>
    </row>
    <row r="27" ht="15" customHeight="1">
      <c r="B27" s="12"/>
      <c r="E27" s="95"/>
      <c r="F27" s="91"/>
      <c r="G27" s="91"/>
      <c r="I27" s="91"/>
      <c r="J27" s="91"/>
      <c r="K27" s="96"/>
      <c r="L27" s="91"/>
      <c r="M27" s="91"/>
      <c r="N27" s="98"/>
      <c r="O27" s="92"/>
      <c r="Q27" s="13"/>
    </row>
    <row r="28" ht="15" customHeight="1">
      <c r="B28" s="12"/>
      <c r="E28" s="95"/>
      <c r="F28" s="91"/>
      <c r="G28" s="91"/>
      <c r="I28" s="91"/>
      <c r="J28" s="91"/>
      <c r="K28" s="96"/>
      <c r="L28" s="91"/>
      <c r="M28" s="91"/>
      <c r="N28" s="98"/>
      <c r="O28" s="92"/>
      <c r="Q28" s="13"/>
    </row>
    <row r="29" ht="15" customHeight="1">
      <c r="B29" s="12"/>
      <c r="E29" s="95"/>
      <c r="F29" s="91"/>
      <c r="G29" s="91"/>
      <c r="I29" s="91"/>
      <c r="J29" s="91"/>
      <c r="K29" s="96"/>
      <c r="L29" s="91"/>
      <c r="M29" s="91"/>
      <c r="N29" s="98"/>
      <c r="O29" s="92"/>
      <c r="Q29" s="13"/>
    </row>
    <row r="30" ht="15" customHeight="1">
      <c r="B30" s="12"/>
      <c r="E30" s="95"/>
      <c r="F30" s="91"/>
      <c r="G30" s="91"/>
      <c r="I30" s="91"/>
      <c r="J30" s="91"/>
      <c r="K30" s="96"/>
      <c r="L30" s="91"/>
      <c r="M30" s="91"/>
      <c r="N30" s="98"/>
      <c r="O30" s="92"/>
      <c r="Q30" s="13"/>
    </row>
    <row r="31" ht="15" customHeight="1">
      <c r="B31" s="12"/>
      <c r="E31" s="95"/>
      <c r="F31" s="91"/>
      <c r="G31" s="91"/>
      <c r="I31" s="91"/>
      <c r="J31" s="91"/>
      <c r="K31" s="96"/>
      <c r="L31" s="91"/>
      <c r="M31" s="91"/>
      <c r="N31" s="98"/>
      <c r="O31" s="92"/>
      <c r="Q31" s="13"/>
    </row>
    <row r="32" ht="15" customHeight="1">
      <c r="B32" s="12"/>
      <c r="E32" s="95"/>
      <c r="F32" s="91"/>
      <c r="G32" s="91"/>
      <c r="I32" s="91"/>
      <c r="J32" s="91"/>
      <c r="K32" s="96"/>
      <c r="L32" s="91"/>
      <c r="M32" s="91"/>
      <c r="N32" s="98"/>
      <c r="O32" s="92"/>
      <c r="Q32" s="13"/>
    </row>
    <row r="33" ht="15" customHeight="1">
      <c r="B33" s="12"/>
      <c r="E33" s="95"/>
      <c r="F33" s="91"/>
      <c r="G33" s="91"/>
      <c r="I33" s="91"/>
      <c r="J33" s="91"/>
      <c r="K33" s="96"/>
      <c r="L33" s="91"/>
      <c r="M33" s="91"/>
      <c r="N33" s="98"/>
      <c r="O33" s="92"/>
      <c r="Q33" s="13"/>
    </row>
    <row r="34" ht="15" customHeight="1">
      <c r="B34" s="12"/>
      <c r="E34" s="95"/>
      <c r="F34" s="91"/>
      <c r="G34" s="91"/>
      <c r="I34" s="91"/>
      <c r="J34" s="91"/>
      <c r="K34" s="96"/>
      <c r="L34" s="91"/>
      <c r="M34" s="91"/>
      <c r="N34" s="98"/>
      <c r="O34" s="92"/>
      <c r="Q34" s="13"/>
    </row>
    <row r="35" ht="15" customHeight="1">
      <c r="B35" s="12"/>
      <c r="E35" s="95"/>
      <c r="F35" s="91"/>
      <c r="G35" s="91"/>
      <c r="I35" s="91"/>
      <c r="J35" s="91"/>
      <c r="K35" s="96"/>
      <c r="L35" s="91"/>
      <c r="M35" s="91"/>
      <c r="N35" s="98"/>
      <c r="O35" s="92"/>
      <c r="Q35" s="13"/>
    </row>
    <row r="36" ht="15" customHeight="1">
      <c r="B36" s="12"/>
      <c r="E36" s="95"/>
      <c r="F36" s="91"/>
      <c r="G36" s="91"/>
      <c r="I36" s="91"/>
      <c r="J36" s="91"/>
      <c r="K36" s="96"/>
      <c r="L36" s="91"/>
      <c r="M36" s="91"/>
      <c r="N36" s="98"/>
      <c r="O36" s="92"/>
      <c r="Q36" s="13"/>
    </row>
    <row r="37" ht="15" customHeight="1">
      <c r="B37" s="12"/>
      <c r="E37" s="95"/>
      <c r="F37" s="91"/>
      <c r="G37" s="91"/>
      <c r="I37" s="91"/>
      <c r="J37" s="91"/>
      <c r="K37" s="96"/>
      <c r="L37" s="91"/>
      <c r="M37" s="91"/>
      <c r="N37" s="98"/>
      <c r="O37" s="92"/>
      <c r="Q37" s="13"/>
    </row>
    <row r="38" ht="15" customHeight="1">
      <c r="B38" s="12"/>
      <c r="E38" s="95"/>
      <c r="F38" s="91"/>
      <c r="G38" s="91"/>
      <c r="I38" s="91"/>
      <c r="J38" s="91"/>
      <c r="K38" s="96"/>
      <c r="L38" s="91"/>
      <c r="M38" s="91"/>
      <c r="N38" s="98"/>
      <c r="O38" s="92"/>
      <c r="Q38" s="13"/>
    </row>
    <row r="39" ht="15" customHeight="1">
      <c r="B39" s="12"/>
      <c r="E39" s="95"/>
      <c r="F39" s="91"/>
      <c r="G39" s="91"/>
      <c r="I39" s="91"/>
      <c r="J39" s="91"/>
      <c r="K39" s="96"/>
      <c r="L39" s="91"/>
      <c r="M39" s="91"/>
      <c r="N39" s="98"/>
      <c r="O39" s="92"/>
      <c r="Q39" s="13"/>
    </row>
    <row r="40" ht="15" customHeight="1">
      <c r="B40" s="12"/>
      <c r="E40" s="95"/>
      <c r="F40" s="91"/>
      <c r="G40" s="91"/>
      <c r="I40" s="91"/>
      <c r="J40" s="91"/>
      <c r="K40" s="96"/>
      <c r="L40" s="91"/>
      <c r="M40" s="91"/>
      <c r="N40" s="98"/>
      <c r="O40" s="92"/>
      <c r="Q40" s="13"/>
    </row>
    <row r="41" ht="15" customHeight="1">
      <c r="B41" s="12"/>
      <c r="E41" s="95"/>
      <c r="F41" s="91"/>
      <c r="G41" s="91"/>
      <c r="I41" s="91"/>
      <c r="J41" s="91"/>
      <c r="K41" s="96"/>
      <c r="L41" s="91"/>
      <c r="M41" s="91"/>
      <c r="N41" s="98"/>
      <c r="O41" s="92"/>
      <c r="Q41" s="13"/>
    </row>
    <row r="42" ht="15" customHeight="1">
      <c r="B42" s="12"/>
      <c r="E42" s="95"/>
      <c r="F42" s="91"/>
      <c r="G42" s="91"/>
      <c r="I42" s="91"/>
      <c r="J42" s="91"/>
      <c r="K42" s="96"/>
      <c r="L42" s="91"/>
      <c r="M42" s="91"/>
      <c r="N42" s="98"/>
      <c r="O42" s="92"/>
      <c r="Q42" s="13"/>
    </row>
    <row r="43" ht="15" customHeight="1">
      <c r="B43" s="12"/>
      <c r="E43" s="95"/>
      <c r="F43" s="91"/>
      <c r="G43" s="91"/>
      <c r="I43" s="91"/>
      <c r="J43" s="91"/>
      <c r="K43" s="96"/>
      <c r="L43" s="91"/>
      <c r="M43" s="91"/>
      <c r="N43" s="98"/>
      <c r="O43" s="92"/>
      <c r="Q43" s="13"/>
    </row>
    <row r="44" ht="15" customHeight="1">
      <c r="B44" s="12"/>
      <c r="E44" s="95"/>
      <c r="F44" s="91"/>
      <c r="G44" s="91"/>
      <c r="I44" s="91"/>
      <c r="J44" s="91"/>
      <c r="K44" s="96"/>
      <c r="L44" s="91"/>
      <c r="M44" s="91"/>
      <c r="N44" s="98"/>
      <c r="O44" s="92"/>
      <c r="Q44" s="13"/>
    </row>
    <row r="45" ht="15" customHeight="1">
      <c r="B45" s="12"/>
      <c r="E45" s="95"/>
      <c r="F45" s="91"/>
      <c r="G45" s="91"/>
      <c r="I45" s="91"/>
      <c r="J45" s="91"/>
      <c r="K45" s="96"/>
      <c r="L45" s="91"/>
      <c r="M45" s="91"/>
      <c r="N45" s="98"/>
      <c r="O45" s="92"/>
      <c r="Q45" s="13"/>
    </row>
    <row r="46" ht="15" customHeight="1">
      <c r="B46" s="12"/>
      <c r="E46" s="95"/>
      <c r="F46" s="91"/>
      <c r="G46" s="91"/>
      <c r="I46" s="91"/>
      <c r="J46" s="91"/>
      <c r="K46" s="96"/>
      <c r="L46" s="91"/>
      <c r="M46" s="91"/>
      <c r="N46" s="98"/>
      <c r="O46" s="92"/>
      <c r="Q46" s="13"/>
    </row>
    <row r="47" ht="15" customHeight="1">
      <c r="B47" s="12"/>
      <c r="E47" s="95"/>
      <c r="F47" s="91"/>
      <c r="G47" s="91"/>
      <c r="I47" s="91"/>
      <c r="J47" s="91"/>
      <c r="K47" s="96"/>
      <c r="L47" s="91"/>
      <c r="M47" s="91"/>
      <c r="N47" s="98"/>
      <c r="O47" s="92"/>
      <c r="Q47" s="13"/>
    </row>
    <row r="48" ht="15" customHeight="1">
      <c r="B48" s="12"/>
      <c r="E48" s="95"/>
      <c r="F48" s="91"/>
      <c r="G48" s="91"/>
      <c r="I48" s="91"/>
      <c r="J48" s="91"/>
      <c r="K48" s="96"/>
      <c r="L48" s="91"/>
      <c r="M48" s="91"/>
      <c r="N48" s="98"/>
      <c r="O48" s="92"/>
      <c r="Q48" s="13"/>
    </row>
    <row r="49" ht="15" customHeight="1">
      <c r="B49" s="12"/>
      <c r="E49" s="95"/>
      <c r="F49" s="91"/>
      <c r="G49" s="91"/>
      <c r="I49" s="91"/>
      <c r="J49" s="91"/>
      <c r="K49" s="96"/>
      <c r="L49" s="91"/>
      <c r="M49" s="91"/>
      <c r="N49" s="98"/>
      <c r="O49" s="92"/>
      <c r="Q49" s="13"/>
    </row>
    <row r="50" ht="15" customHeight="1">
      <c r="B50" s="12"/>
      <c r="E50" s="95"/>
      <c r="F50" s="91"/>
      <c r="G50" s="91"/>
      <c r="I50" s="91"/>
      <c r="J50" s="91"/>
      <c r="K50" s="96"/>
      <c r="L50" s="91"/>
      <c r="M50" s="91"/>
      <c r="N50" s="98"/>
      <c r="O50" s="92"/>
      <c r="Q50" s="13"/>
    </row>
    <row r="51" ht="15" customHeight="1">
      <c r="B51" s="12"/>
      <c r="E51" s="95"/>
      <c r="F51" s="91"/>
      <c r="G51" s="91"/>
      <c r="I51" s="91"/>
      <c r="J51" s="91"/>
      <c r="K51" s="96"/>
      <c r="L51" s="91"/>
      <c r="M51" s="91"/>
      <c r="N51" s="98"/>
      <c r="O51" s="92"/>
      <c r="Q51" s="13"/>
    </row>
    <row r="52" ht="15" customHeight="1">
      <c r="B52" s="12"/>
      <c r="E52" s="95"/>
      <c r="F52" s="91"/>
      <c r="G52" s="91"/>
      <c r="I52" s="91"/>
      <c r="J52" s="91"/>
      <c r="K52" s="96"/>
      <c r="L52" s="91"/>
      <c r="M52" s="91"/>
      <c r="N52" s="98"/>
      <c r="O52" s="92"/>
      <c r="Q52" s="13"/>
    </row>
    <row r="53" ht="15" customHeight="1">
      <c r="B53" s="12"/>
      <c r="E53" s="95"/>
      <c r="F53" s="91"/>
      <c r="G53" s="91"/>
      <c r="I53" s="91"/>
      <c r="J53" s="91"/>
      <c r="K53" s="96"/>
      <c r="L53" s="91"/>
      <c r="M53" s="91"/>
      <c r="N53" s="98"/>
      <c r="O53" s="92"/>
      <c r="Q53" s="13"/>
    </row>
    <row r="54" ht="15" customHeight="1">
      <c r="B54" s="12"/>
      <c r="E54" s="95"/>
      <c r="F54" s="91"/>
      <c r="G54" s="91"/>
      <c r="I54" s="91"/>
      <c r="J54" s="91"/>
      <c r="K54" s="96"/>
      <c r="L54" s="91"/>
      <c r="M54" s="91"/>
      <c r="N54" s="98"/>
      <c r="O54" s="92"/>
      <c r="Q54" s="13"/>
    </row>
    <row r="55" ht="15" customHeight="1">
      <c r="B55" s="12"/>
      <c r="E55" s="95"/>
      <c r="F55" s="91"/>
      <c r="G55" s="91"/>
      <c r="I55" s="91"/>
      <c r="J55" s="91"/>
      <c r="K55" s="96"/>
      <c r="L55" s="91"/>
      <c r="M55" s="91"/>
      <c r="N55" s="98"/>
      <c r="O55" s="92"/>
      <c r="Q55" s="13"/>
    </row>
    <row r="56" ht="15" customHeight="1">
      <c r="B56" s="12"/>
      <c r="E56" s="95"/>
      <c r="F56" s="91"/>
      <c r="G56" s="91"/>
      <c r="I56" s="91"/>
      <c r="J56" s="91"/>
      <c r="K56" s="96"/>
      <c r="L56" s="91"/>
      <c r="M56" s="91"/>
      <c r="N56" s="98"/>
      <c r="O56" s="92"/>
      <c r="Q56" s="13"/>
    </row>
    <row r="57" ht="15" customHeight="1">
      <c r="B57" s="12"/>
      <c r="E57" s="95"/>
      <c r="F57" s="91"/>
      <c r="G57" s="91"/>
      <c r="I57" s="91"/>
      <c r="J57" s="91"/>
      <c r="K57" s="96"/>
      <c r="L57" s="91"/>
      <c r="M57" s="91"/>
      <c r="N57" s="98"/>
      <c r="O57" s="92"/>
      <c r="Q57" s="13"/>
    </row>
    <row r="58" ht="15" customHeight="1">
      <c r="B58" s="12"/>
      <c r="E58" s="95"/>
      <c r="F58" s="91"/>
      <c r="G58" s="91"/>
      <c r="I58" s="91"/>
      <c r="J58" s="91"/>
      <c r="K58" s="96"/>
      <c r="L58" s="91"/>
      <c r="M58" s="91"/>
      <c r="N58" s="98"/>
      <c r="O58" s="92"/>
      <c r="Q58" s="13"/>
    </row>
    <row r="59" ht="15" customHeight="1">
      <c r="B59" s="12"/>
      <c r="E59" s="95"/>
      <c r="F59" s="91"/>
      <c r="G59" s="91"/>
      <c r="I59" s="91"/>
      <c r="J59" s="91"/>
      <c r="K59" s="96"/>
      <c r="L59" s="91"/>
      <c r="M59" s="91"/>
      <c r="N59" s="98"/>
      <c r="O59" s="92"/>
      <c r="Q59" s="13"/>
    </row>
    <row r="60" ht="15" customHeight="1">
      <c r="B60" s="12"/>
      <c r="E60" s="95"/>
      <c r="F60" s="91"/>
      <c r="G60" s="91"/>
      <c r="I60" s="91"/>
      <c r="J60" s="91"/>
      <c r="K60" s="96"/>
      <c r="L60" s="91"/>
      <c r="M60" s="91"/>
      <c r="N60" s="98"/>
      <c r="O60" s="92"/>
      <c r="Q60" s="13"/>
    </row>
    <row r="61" ht="15" customHeight="1">
      <c r="B61" s="12"/>
      <c r="E61" s="95"/>
      <c r="F61" s="91"/>
      <c r="G61" s="91"/>
      <c r="I61" s="91"/>
      <c r="J61" s="91"/>
      <c r="K61" s="96"/>
      <c r="L61" s="91"/>
      <c r="M61" s="91"/>
      <c r="N61" s="98"/>
      <c r="O61" s="92"/>
      <c r="Q61" s="13"/>
    </row>
    <row r="62" ht="15" customHeight="1">
      <c r="B62" s="12"/>
      <c r="E62" s="95"/>
      <c r="F62" s="91"/>
      <c r="G62" s="91"/>
      <c r="I62" s="91"/>
      <c r="J62" s="91"/>
      <c r="K62" s="96"/>
      <c r="L62" s="91"/>
      <c r="M62" s="91"/>
      <c r="N62" s="98"/>
      <c r="O62" s="92"/>
      <c r="Q62" s="13"/>
    </row>
    <row r="63" ht="15" customHeight="1">
      <c r="B63" s="12"/>
      <c r="E63" s="95"/>
      <c r="F63" s="91"/>
      <c r="G63" s="91"/>
      <c r="I63" s="91"/>
      <c r="J63" s="91"/>
      <c r="K63" s="96"/>
      <c r="L63" s="91"/>
      <c r="M63" s="91"/>
      <c r="N63" s="98"/>
      <c r="O63" s="92"/>
      <c r="Q63" s="13"/>
    </row>
    <row r="64" ht="15" customHeight="1">
      <c r="B64" s="12"/>
      <c r="E64" s="95"/>
      <c r="F64" s="91"/>
      <c r="G64" s="91"/>
      <c r="I64" s="91"/>
      <c r="J64" s="91"/>
      <c r="K64" s="96"/>
      <c r="L64" s="91"/>
      <c r="M64" s="91"/>
      <c r="N64" s="98"/>
      <c r="O64" s="92"/>
      <c r="Q64" s="13"/>
    </row>
    <row r="65" ht="15" customHeight="1">
      <c r="B65" s="12"/>
      <c r="E65" s="95"/>
      <c r="F65" s="91"/>
      <c r="G65" s="91"/>
      <c r="I65" s="91"/>
      <c r="J65" s="91"/>
      <c r="K65" s="96"/>
      <c r="L65" s="91"/>
      <c r="M65" s="91"/>
      <c r="N65" s="98"/>
      <c r="O65" s="92"/>
      <c r="Q65" s="13"/>
    </row>
    <row r="66" ht="15" customHeight="1">
      <c r="B66" s="12"/>
      <c r="E66" s="95"/>
      <c r="F66" s="91"/>
      <c r="G66" s="91"/>
      <c r="I66" s="91"/>
      <c r="J66" s="91"/>
      <c r="K66" s="96"/>
      <c r="L66" s="91"/>
      <c r="M66" s="91"/>
      <c r="N66" s="98"/>
      <c r="O66" s="92"/>
      <c r="Q66" s="13"/>
    </row>
    <row r="67" ht="15" customHeight="1">
      <c r="B67" s="12"/>
      <c r="E67" s="95"/>
      <c r="F67" s="91"/>
      <c r="G67" s="91"/>
      <c r="I67" s="91"/>
      <c r="J67" s="91"/>
      <c r="K67" s="96"/>
      <c r="L67" s="91"/>
      <c r="M67" s="91"/>
      <c r="N67" s="98"/>
      <c r="O67" s="92"/>
      <c r="Q67" s="13"/>
    </row>
    <row r="68" ht="15" customHeight="1">
      <c r="B68" s="12"/>
      <c r="E68" s="95"/>
      <c r="F68" s="91"/>
      <c r="G68" s="91"/>
      <c r="I68" s="91"/>
      <c r="J68" s="91"/>
      <c r="K68" s="96"/>
      <c r="L68" s="91"/>
      <c r="M68" s="91"/>
      <c r="N68" s="98"/>
      <c r="O68" s="92"/>
      <c r="Q68" s="13"/>
    </row>
    <row r="69" ht="15" customHeight="1">
      <c r="B69" s="12"/>
      <c r="E69" s="95"/>
      <c r="F69" s="91"/>
      <c r="G69" s="91"/>
      <c r="I69" s="91"/>
      <c r="J69" s="91"/>
      <c r="K69" s="96"/>
      <c r="L69" s="91"/>
      <c r="M69" s="91"/>
      <c r="N69" s="98"/>
      <c r="O69" s="92"/>
      <c r="Q69" s="13"/>
    </row>
    <row r="70" ht="15" customHeight="1">
      <c r="B70" s="12"/>
      <c r="E70" s="95"/>
      <c r="F70" s="91"/>
      <c r="G70" s="91"/>
      <c r="I70" s="91"/>
      <c r="J70" s="91"/>
      <c r="K70" s="96"/>
      <c r="L70" s="91"/>
      <c r="M70" s="91"/>
      <c r="N70" s="98"/>
      <c r="O70" s="92"/>
      <c r="Q70" s="13"/>
    </row>
    <row r="71" ht="15" customHeight="1">
      <c r="B71" s="12"/>
      <c r="E71" s="95"/>
      <c r="F71" s="91"/>
      <c r="G71" s="91"/>
      <c r="I71" s="91"/>
      <c r="J71" s="91"/>
      <c r="K71" s="96"/>
      <c r="L71" s="91"/>
      <c r="M71" s="91"/>
      <c r="N71" s="98"/>
      <c r="O71" s="92"/>
      <c r="Q71" s="13"/>
    </row>
    <row r="72" ht="15" customHeight="1">
      <c r="B72" s="12"/>
      <c r="E72" s="95"/>
      <c r="F72" s="91"/>
      <c r="G72" s="91"/>
      <c r="I72" s="91"/>
      <c r="J72" s="91"/>
      <c r="K72" s="96"/>
      <c r="L72" s="91"/>
      <c r="M72" s="91"/>
      <c r="N72" s="98"/>
      <c r="O72" s="92"/>
      <c r="Q72" s="13"/>
    </row>
    <row r="73" ht="15" customHeight="1">
      <c r="B73" s="12"/>
      <c r="E73" s="95"/>
      <c r="F73" s="91"/>
      <c r="G73" s="91"/>
      <c r="I73" s="91"/>
      <c r="J73" s="91"/>
      <c r="K73" s="96"/>
      <c r="L73" s="91"/>
      <c r="M73" s="91"/>
      <c r="N73" s="98"/>
      <c r="O73" s="92"/>
      <c r="Q73" s="13"/>
    </row>
    <row r="74" ht="15" customHeight="1">
      <c r="B74" s="12"/>
      <c r="E74" s="95"/>
      <c r="F74" s="91"/>
      <c r="G74" s="91"/>
      <c r="I74" s="91"/>
      <c r="J74" s="91"/>
      <c r="K74" s="96"/>
      <c r="L74" s="91"/>
      <c r="M74" s="91"/>
      <c r="N74" s="98"/>
      <c r="O74" s="92"/>
      <c r="Q74" s="13"/>
    </row>
    <row r="75" ht="15" customHeight="1">
      <c r="B75" s="12"/>
      <c r="E75" s="95"/>
      <c r="F75" s="91"/>
      <c r="G75" s="91"/>
      <c r="I75" s="91"/>
      <c r="J75" s="91"/>
      <c r="K75" s="96"/>
      <c r="L75" s="91"/>
      <c r="M75" s="91"/>
      <c r="N75" s="98"/>
      <c r="O75" s="92"/>
      <c r="Q75" s="13"/>
    </row>
    <row r="76" ht="15" customHeight="1">
      <c r="B76" s="12"/>
      <c r="E76" s="95"/>
      <c r="F76" s="91"/>
      <c r="G76" s="91"/>
      <c r="I76" s="91"/>
      <c r="J76" s="91"/>
      <c r="K76" s="96"/>
      <c r="L76" s="91"/>
      <c r="M76" s="91"/>
      <c r="N76" s="98"/>
      <c r="O76" s="92"/>
      <c r="Q76" s="13"/>
    </row>
    <row r="77">
      <c r="B77" s="12"/>
      <c r="Q77" s="13"/>
    </row>
    <row r="78">
      <c r="A78" s="89"/>
      <c r="B78" s="90"/>
      <c r="D78" s="88"/>
      <c r="P78" s="15"/>
      <c r="Q78" s="16"/>
    </row>
    <row r="79" ht="15" customHeight="1">
      <c r="C79" s="10"/>
      <c r="D79" s="61"/>
      <c r="E79" s="61"/>
      <c r="F79" s="61"/>
      <c r="G79" s="61"/>
      <c r="H79" s="61"/>
      <c r="I79" s="61"/>
      <c r="J79" s="61"/>
      <c r="K79" s="61"/>
      <c r="L79" s="61"/>
      <c r="M79" s="61"/>
      <c r="N79" s="61"/>
      <c r="O79" s="61"/>
      <c r="P79" s="10"/>
      <c r="Q79" s="10"/>
      <c r="U79" s="19"/>
    </row>
  </sheetData>
  <mergeCells>
    <mergeCell ref="C8:O8"/>
  </mergeCells>
  <pageMargins left="0.70866141732283472" right="0.70866141732283472" top="0.74803149606299213" bottom="0.74803149606299213" header="0.31496062992125984" footer="0.31496062992125984"/>
  <pageSetup paperSize="9" scale="61" fitToHeight="100" orientation="landscape"/>
  <headerFooter>
    <oddHeader>&amp;C&amp;A</oddHeader>
    <oddFooter>&amp;C&amp;F   &amp;A  &amp;P/&amp;N   &amp;D</oddFooter>
  </headerFooter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Feuil5">
    <tabColor theme="9" tint="0.79998168889431442"/>
  </sheetPr>
  <dimension ref="A1:I1"/>
  <sheetViews>
    <sheetView workbookViewId="0">
      <selection sqref="A1:XFD1048576"/>
    </sheetView>
  </sheetViews>
  <sheetFormatPr baseColWidth="10" defaultColWidth="11.42578125" defaultRowHeight="15"/>
  <cols>
    <col min="1" max="2" width="11.42578125" customWidth="1" style="20"/>
    <col min="3" max="3" bestFit="1" width="18.42578125" customWidth="1"/>
    <col min="4" max="4" bestFit="1" width="12.5703125" customWidth="1"/>
    <col min="7" max="7" bestFit="1" width="18.7109375" customWidth="1"/>
    <col min="8" max="8" bestFit="1" width="15.42578125" customWidth="1"/>
    <col min="9" max="9" bestFit="1" width="27.7109375" customWidth="1"/>
  </cols>
  <sheetData>
    <row r="1">
      <c r="A1" s="20" t="s">
        <v>110</v>
      </c>
      <c r="B1" s="20" t="s">
        <v>111</v>
      </c>
      <c r="C1" s="0" t="s">
        <v>112</v>
      </c>
      <c r="D1" s="0" t="s">
        <v>113</v>
      </c>
      <c r="E1" s="0" t="s">
        <v>114</v>
      </c>
      <c r="F1" s="0" t="s">
        <v>115</v>
      </c>
      <c r="G1" s="0" t="s">
        <v>116</v>
      </c>
      <c r="H1" s="0" t="s">
        <v>117</v>
      </c>
      <c r="I1" s="105" t="s">
        <v>118</v>
      </c>
    </row>
  </sheetData>
  <pageMargins left="0.7" right="0.7" top="0.75" bottom="0.75" header="0.3" footer="0.3"/>
  <headerFooter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Feuil1">
    <tabColor theme="9" tint="0.79998168889431442"/>
    <pageSetUpPr fitToPage="1"/>
  </sheetPr>
  <dimension ref="A1:AI1"/>
  <sheetViews>
    <sheetView workbookViewId="0">
      <selection activeCell="F4" sqref="F4"/>
    </sheetView>
  </sheetViews>
  <sheetFormatPr baseColWidth="10" defaultColWidth="11.42578125" defaultRowHeight="15"/>
  <cols>
    <col min="1" max="1" bestFit="1" width="12.85546875" customWidth="1"/>
    <col min="4" max="4" width="11.42578125" customWidth="1" style="20"/>
    <col min="6" max="6" bestFit="1" width="22.85546875" customWidth="1"/>
    <col min="7" max="7" width="11.42578125" customWidth="1" style="20"/>
    <col min="11" max="11" width="11.42578125" customWidth="1" style="20"/>
    <col min="12" max="12" bestFit="1" width="37.5703125" customWidth="1"/>
    <col min="16" max="16" width="18.28515625" customWidth="1" style="87"/>
    <col min="22" max="24" width="11.42578125" customWidth="1" style="20"/>
    <col min="33" max="33" width="11.42578125" customWidth="1" style="20"/>
    <col min="35" max="35" width="16.7109375" customWidth="1"/>
  </cols>
  <sheetData>
    <row r="1" ht="90">
      <c r="A1" s="32" t="s">
        <v>119</v>
      </c>
      <c r="B1" s="32" t="s">
        <v>112</v>
      </c>
      <c r="C1" s="32" t="s">
        <v>120</v>
      </c>
      <c r="D1" s="32" t="s">
        <v>121</v>
      </c>
      <c r="E1" s="32" t="s">
        <v>122</v>
      </c>
      <c r="F1" s="32" t="s">
        <v>123</v>
      </c>
      <c r="G1" s="32" t="s">
        <v>124</v>
      </c>
      <c r="H1" s="32" t="s">
        <v>125</v>
      </c>
      <c r="I1" s="32" t="s">
        <v>126</v>
      </c>
      <c r="J1" s="32" t="s">
        <v>127</v>
      </c>
      <c r="K1" s="32" t="s">
        <v>128</v>
      </c>
      <c r="L1" s="32" t="s">
        <v>129</v>
      </c>
      <c r="M1" s="32" t="s">
        <v>130</v>
      </c>
      <c r="N1" s="32" t="s">
        <v>131</v>
      </c>
      <c r="O1" s="32" t="s">
        <v>132</v>
      </c>
      <c r="P1" s="86" t="s">
        <v>133</v>
      </c>
      <c r="Q1" s="32" t="s">
        <v>134</v>
      </c>
      <c r="R1" s="33" t="s">
        <v>71</v>
      </c>
      <c r="S1" s="33" t="s">
        <v>135</v>
      </c>
      <c r="T1" s="33" t="s">
        <v>136</v>
      </c>
      <c r="U1" s="33" t="s">
        <v>137</v>
      </c>
      <c r="V1" s="33" t="s">
        <v>138</v>
      </c>
      <c r="W1" s="33" t="s">
        <v>139</v>
      </c>
      <c r="X1" s="33" t="s">
        <v>140</v>
      </c>
      <c r="Y1" s="33" t="s">
        <v>141</v>
      </c>
      <c r="Z1" s="33" t="s">
        <v>142</v>
      </c>
      <c r="AA1" s="33" t="s">
        <v>143</v>
      </c>
      <c r="AB1" s="33" t="s">
        <v>144</v>
      </c>
      <c r="AC1" s="33" t="s">
        <v>145</v>
      </c>
      <c r="AD1" s="33" t="s">
        <v>146</v>
      </c>
      <c r="AE1" s="33" t="s">
        <v>147</v>
      </c>
      <c r="AF1" s="33" t="s">
        <v>148</v>
      </c>
      <c r="AG1" s="33" t="s">
        <v>149</v>
      </c>
      <c r="AH1" s="33" t="s">
        <v>150</v>
      </c>
      <c r="AI1" s="99" t="s">
        <v>118</v>
      </c>
    </row>
  </sheetData>
  <sortState xmlns:xlrd2="http://schemas.microsoft.com/office/spreadsheetml/2017/richdata2" ref="A2:AH12">
    <sortCondition ref="A1:A1048576"/>
  </sortState>
  <pageMargins left="0.70866141732283472" right="0.70866141732283472" top="0.74803149606299213" bottom="0.74803149606299213" header="0.31496062992125984" footer="0.31496062992125984"/>
  <pageSetup paperSize="9" scale="29" fitToHeight="100" orientation="landscape"/>
  <headerFooter>
    <oddHeader>&amp;C&amp;A</oddHeader>
    <oddFooter>&amp;C&amp;F   &amp;A  &amp;P/&amp;N   &amp;D</oddFooter>
  </headerFooter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Feuil3">
    <tabColor theme="9" tint="0.79998168889431442"/>
    <pageSetUpPr fitToPage="1"/>
  </sheetPr>
  <dimension ref="A1:AI1"/>
  <sheetViews>
    <sheetView workbookViewId="0">
      <selection activeCell="A2" sqref="A2:AC8"/>
    </sheetView>
  </sheetViews>
  <sheetFormatPr baseColWidth="10" defaultColWidth="11.42578125" defaultRowHeight="15"/>
  <cols>
    <col min="1" max="1" bestFit="1" width="12.85546875" customWidth="1"/>
    <col min="2" max="3" width="11.42578125" customWidth="1"/>
    <col min="4" max="4" width="11.42578125" customWidth="1" style="20"/>
    <col min="5" max="5" width="11.42578125" customWidth="1"/>
    <col min="6" max="6" bestFit="1" width="22.85546875" customWidth="1"/>
    <col min="7" max="7" width="11.42578125" customWidth="1" style="20"/>
    <col min="8" max="10" width="11.42578125" customWidth="1"/>
    <col min="11" max="11" width="11.42578125" customWidth="1" style="20"/>
    <col min="12" max="12" bestFit="1" width="37.5703125" customWidth="1"/>
    <col min="13" max="15" width="11.42578125" customWidth="1"/>
    <col min="16" max="16" width="18.28515625" customWidth="1" style="87"/>
    <col min="17" max="21" width="11.42578125" customWidth="1"/>
    <col min="22" max="24" width="11.42578125" customWidth="1" style="20"/>
    <col min="25" max="32" width="11.42578125" customWidth="1"/>
    <col min="33" max="33" width="11.42578125" customWidth="1" style="20"/>
    <col min="34" max="34" width="11.42578125" customWidth="1"/>
    <col min="35" max="35" width="16.7109375" customWidth="1"/>
    <col min="36" max="37" width="11.42578125" customWidth="1"/>
  </cols>
  <sheetData>
    <row r="1" ht="90">
      <c r="A1" s="32" t="s">
        <v>119</v>
      </c>
      <c r="B1" s="32" t="s">
        <v>112</v>
      </c>
      <c r="C1" s="32" t="s">
        <v>120</v>
      </c>
      <c r="D1" s="32" t="s">
        <v>121</v>
      </c>
      <c r="E1" s="32" t="s">
        <v>122</v>
      </c>
      <c r="F1" s="32" t="s">
        <v>151</v>
      </c>
      <c r="G1" s="32" t="s">
        <v>124</v>
      </c>
      <c r="H1" s="32" t="s">
        <v>125</v>
      </c>
      <c r="I1" s="32" t="s">
        <v>126</v>
      </c>
      <c r="J1" s="32" t="s">
        <v>127</v>
      </c>
      <c r="K1" s="32" t="s">
        <v>128</v>
      </c>
      <c r="L1" s="32" t="s">
        <v>152</v>
      </c>
      <c r="M1" s="32" t="s">
        <v>130</v>
      </c>
      <c r="N1" s="32" t="s">
        <v>131</v>
      </c>
      <c r="O1" s="32" t="s">
        <v>132</v>
      </c>
      <c r="P1" s="86" t="s">
        <v>133</v>
      </c>
      <c r="Q1" s="32" t="s">
        <v>134</v>
      </c>
      <c r="R1" s="33" t="s">
        <v>71</v>
      </c>
      <c r="S1" s="33" t="s">
        <v>135</v>
      </c>
      <c r="T1" s="33" t="s">
        <v>136</v>
      </c>
      <c r="U1" s="33" t="s">
        <v>137</v>
      </c>
      <c r="V1" s="33" t="s">
        <v>138</v>
      </c>
      <c r="W1" s="33" t="s">
        <v>139</v>
      </c>
      <c r="X1" s="33" t="s">
        <v>140</v>
      </c>
      <c r="Y1" s="33" t="s">
        <v>141</v>
      </c>
      <c r="Z1" s="33" t="s">
        <v>142</v>
      </c>
      <c r="AA1" s="33" t="s">
        <v>143</v>
      </c>
      <c r="AB1" s="33" t="s">
        <v>144</v>
      </c>
      <c r="AC1" s="33" t="s">
        <v>145</v>
      </c>
      <c r="AD1" s="33" t="s">
        <v>146</v>
      </c>
      <c r="AE1" s="33" t="s">
        <v>147</v>
      </c>
      <c r="AF1" s="33" t="s">
        <v>148</v>
      </c>
      <c r="AG1" s="33" t="s">
        <v>149</v>
      </c>
      <c r="AH1" s="33" t="s">
        <v>150</v>
      </c>
      <c r="AI1" s="99" t="s">
        <v>118</v>
      </c>
    </row>
  </sheetData>
  <sortState xmlns:xlrd2="http://schemas.microsoft.com/office/spreadsheetml/2017/richdata2" ref="A2:AC8">
    <sortCondition ref="F1:F1048576"/>
  </sortState>
  <pageMargins left="0.70866141732283472" right="0.70866141732283472" top="0.74803149606299213" bottom="0.74803149606299213" header="0.31496062992125984" footer="0.31496062992125984"/>
  <pageSetup paperSize="9" scale="29" fitToHeight="100" orientation="landscape"/>
  <headerFooter>
    <oddHeader>&amp;C&amp;A</oddHeader>
    <oddFooter>&amp;C&amp;F   &amp;A  &amp;P/&amp;N   &amp;D</oddFooter>
  </headerFooter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Feuil4">
    <tabColor theme="9" tint="0.79998168889431442"/>
    <pageSetUpPr fitToPage="1"/>
  </sheetPr>
  <dimension ref="A1:AI1"/>
  <sheetViews>
    <sheetView workbookViewId="0">
      <selection activeCell="A2" sqref="A2:AG1048576"/>
    </sheetView>
  </sheetViews>
  <sheetFormatPr baseColWidth="10" defaultColWidth="11.42578125" defaultRowHeight="15"/>
  <cols>
    <col min="1" max="1" bestFit="1" width="12.85546875" customWidth="1"/>
    <col min="2" max="3" width="11.42578125" customWidth="1"/>
    <col min="4" max="4" width="11.42578125" customWidth="1" style="20"/>
    <col min="5" max="5" width="11.42578125" customWidth="1"/>
    <col min="6" max="6" bestFit="1" width="22.85546875" customWidth="1"/>
    <col min="7" max="7" width="11.42578125" customWidth="1" style="20"/>
    <col min="8" max="10" width="11.42578125" customWidth="1"/>
    <col min="11" max="11" width="11.42578125" customWidth="1" style="20"/>
    <col min="12" max="12" bestFit="1" width="37.5703125" customWidth="1"/>
    <col min="13" max="15" width="11.42578125" customWidth="1"/>
    <col min="16" max="16" width="18.28515625" customWidth="1" style="87"/>
    <col min="17" max="21" width="11.42578125" customWidth="1"/>
    <col min="22" max="24" width="11.42578125" customWidth="1" style="20"/>
    <col min="25" max="32" width="11.42578125" customWidth="1"/>
    <col min="33" max="33" width="11.42578125" customWidth="1" style="20"/>
    <col min="34" max="34" width="11.42578125" customWidth="1"/>
    <col min="35" max="35" width="16.7109375" customWidth="1"/>
    <col min="36" max="37" width="11.42578125" customWidth="1"/>
  </cols>
  <sheetData>
    <row r="1" ht="90">
      <c r="A1" s="32" t="s">
        <v>119</v>
      </c>
      <c r="B1" s="32" t="s">
        <v>112</v>
      </c>
      <c r="C1" s="32" t="s">
        <v>120</v>
      </c>
      <c r="D1" s="32" t="s">
        <v>121</v>
      </c>
      <c r="E1" s="32" t="s">
        <v>122</v>
      </c>
      <c r="F1" s="32" t="s">
        <v>151</v>
      </c>
      <c r="G1" s="32" t="s">
        <v>124</v>
      </c>
      <c r="H1" s="32" t="s">
        <v>125</v>
      </c>
      <c r="I1" s="32" t="s">
        <v>126</v>
      </c>
      <c r="J1" s="32" t="s">
        <v>127</v>
      </c>
      <c r="K1" s="32" t="s">
        <v>128</v>
      </c>
      <c r="L1" s="32" t="s">
        <v>152</v>
      </c>
      <c r="M1" s="32" t="s">
        <v>130</v>
      </c>
      <c r="N1" s="32" t="s">
        <v>131</v>
      </c>
      <c r="O1" s="32" t="s">
        <v>132</v>
      </c>
      <c r="P1" s="86" t="s">
        <v>133</v>
      </c>
      <c r="Q1" s="32" t="s">
        <v>134</v>
      </c>
      <c r="R1" s="33" t="s">
        <v>71</v>
      </c>
      <c r="S1" s="33" t="s">
        <v>135</v>
      </c>
      <c r="T1" s="33" t="s">
        <v>136</v>
      </c>
      <c r="U1" s="33" t="s">
        <v>137</v>
      </c>
      <c r="V1" s="33" t="s">
        <v>138</v>
      </c>
      <c r="W1" s="33" t="s">
        <v>139</v>
      </c>
      <c r="X1" s="33" t="s">
        <v>140</v>
      </c>
      <c r="Y1" s="33" t="s">
        <v>141</v>
      </c>
      <c r="Z1" s="33" t="s">
        <v>142</v>
      </c>
      <c r="AA1" s="33" t="s">
        <v>143</v>
      </c>
      <c r="AB1" s="33" t="s">
        <v>144</v>
      </c>
      <c r="AC1" s="33" t="s">
        <v>145</v>
      </c>
      <c r="AD1" s="33" t="s">
        <v>146</v>
      </c>
      <c r="AE1" s="33" t="s">
        <v>147</v>
      </c>
      <c r="AF1" s="33" t="s">
        <v>148</v>
      </c>
      <c r="AG1" s="33" t="s">
        <v>149</v>
      </c>
      <c r="AH1" s="33" t="s">
        <v>150</v>
      </c>
      <c r="AI1" s="99" t="str">
        <f>"Type de Compte - "&amp;AFFICHAGE!$S$2</f>
        <v>Type de Compte - Comptable</v>
      </c>
    </row>
  </sheetData>
  <pageMargins left="0.70866141732283472" right="0.70866141732283472" top="0.74803149606299213" bottom="0.74803149606299213" header="0.31496062992125984" footer="0.31496062992125984"/>
  <pageSetup paperSize="9" scale="19" fitToHeight="100" orientation="portrait"/>
  <headerFooter>
    <oddHeader>&amp;C&amp;A</oddHeader>
    <oddFooter>&amp;C&amp;F   &amp;A  &amp;P/&amp;N   &amp;D</oddFooter>
  </headerFooter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Feuil6">
    <tabColor theme="9" tint="0.79998168889431442"/>
    <pageSetUpPr fitToPage="1"/>
  </sheetPr>
  <dimension ref="A1:AI1"/>
  <sheetViews>
    <sheetView workbookViewId="0">
      <selection activeCell="A2" sqref="A2:AG1048576"/>
    </sheetView>
  </sheetViews>
  <sheetFormatPr baseColWidth="10" defaultColWidth="11.42578125" defaultRowHeight="15"/>
  <cols>
    <col min="1" max="1" bestFit="1" width="12.85546875" customWidth="1"/>
    <col min="2" max="3" width="11.42578125" customWidth="1"/>
    <col min="4" max="4" width="11.42578125" customWidth="1" style="20"/>
    <col min="5" max="5" width="11.42578125" customWidth="1"/>
    <col min="6" max="6" bestFit="1" width="22.85546875" customWidth="1"/>
    <col min="7" max="7" width="11.42578125" customWidth="1" style="20"/>
    <col min="8" max="10" width="11.42578125" customWidth="1"/>
    <col min="11" max="11" width="11.42578125" customWidth="1" style="20"/>
    <col min="12" max="12" bestFit="1" width="37.5703125" customWidth="1"/>
    <col min="13" max="15" width="11.42578125" customWidth="1"/>
    <col min="16" max="16" width="18.28515625" customWidth="1" style="87"/>
    <col min="17" max="21" width="11.42578125" customWidth="1"/>
    <col min="22" max="24" width="11.42578125" customWidth="1" style="20"/>
    <col min="25" max="32" width="11.42578125" customWidth="1"/>
    <col min="33" max="33" width="11.42578125" customWidth="1" style="20"/>
    <col min="34" max="34" width="11.42578125" customWidth="1"/>
    <col min="35" max="35" width="16.7109375" customWidth="1"/>
    <col min="36" max="37" width="11.42578125" customWidth="1"/>
  </cols>
  <sheetData>
    <row r="1" ht="90">
      <c r="A1" s="32" t="s">
        <v>119</v>
      </c>
      <c r="B1" s="32" t="s">
        <v>112</v>
      </c>
      <c r="C1" s="32" t="s">
        <v>120</v>
      </c>
      <c r="D1" s="32" t="s">
        <v>121</v>
      </c>
      <c r="E1" s="32" t="s">
        <v>122</v>
      </c>
      <c r="F1" s="32" t="s">
        <v>151</v>
      </c>
      <c r="G1" s="32" t="s">
        <v>124</v>
      </c>
      <c r="H1" s="32" t="s">
        <v>125</v>
      </c>
      <c r="I1" s="32" t="s">
        <v>126</v>
      </c>
      <c r="J1" s="32" t="s">
        <v>127</v>
      </c>
      <c r="K1" s="32" t="s">
        <v>128</v>
      </c>
      <c r="L1" s="32" t="s">
        <v>152</v>
      </c>
      <c r="M1" s="32" t="s">
        <v>130</v>
      </c>
      <c r="N1" s="32" t="s">
        <v>131</v>
      </c>
      <c r="O1" s="32" t="s">
        <v>132</v>
      </c>
      <c r="P1" s="86" t="s">
        <v>133</v>
      </c>
      <c r="Q1" s="32" t="s">
        <v>134</v>
      </c>
      <c r="R1" s="33" t="s">
        <v>71</v>
      </c>
      <c r="S1" s="33" t="s">
        <v>135</v>
      </c>
      <c r="T1" s="33" t="s">
        <v>136</v>
      </c>
      <c r="U1" s="33" t="s">
        <v>137</v>
      </c>
      <c r="V1" s="33" t="s">
        <v>138</v>
      </c>
      <c r="W1" s="33" t="s">
        <v>139</v>
      </c>
      <c r="X1" s="33" t="s">
        <v>140</v>
      </c>
      <c r="Y1" s="33" t="s">
        <v>141</v>
      </c>
      <c r="Z1" s="33" t="s">
        <v>142</v>
      </c>
      <c r="AA1" s="33" t="s">
        <v>143</v>
      </c>
      <c r="AB1" s="33" t="s">
        <v>144</v>
      </c>
      <c r="AC1" s="33" t="s">
        <v>145</v>
      </c>
      <c r="AD1" s="33" t="s">
        <v>146</v>
      </c>
      <c r="AE1" s="33" t="s">
        <v>147</v>
      </c>
      <c r="AF1" s="33" t="s">
        <v>148</v>
      </c>
      <c r="AG1" s="33" t="s">
        <v>149</v>
      </c>
      <c r="AH1" s="33" t="s">
        <v>150</v>
      </c>
      <c r="AI1" s="99" t="str">
        <f>"Type de Compte - "&amp;AFFICHAGE!$S$2</f>
        <v>Type de Compte - Comptable</v>
      </c>
    </row>
  </sheetData>
  <pageMargins left="0.70866141732283472" right="0.70866141732283472" top="0.74803149606299213" bottom="0.74803149606299213" header="0.31496062992125984" footer="0.31496062992125984"/>
  <pageSetup paperSize="9" scale="29" fitToHeight="100" orientation="landscape"/>
  <headerFooter>
    <oddHeader>&amp;C&amp;A</oddHeader>
    <oddFooter>&amp;C&amp;F   &amp;A  &amp;P/&amp;N   &amp;D</oddFooter>
  </headerFooter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Feuil7">
    <tabColor theme="9" tint="0.79998168889431442"/>
    <pageSetUpPr fitToPage="1"/>
  </sheetPr>
  <dimension ref="A1:AI1"/>
  <sheetViews>
    <sheetView workbookViewId="0">
      <selection activeCell="I30" sqref="I30"/>
    </sheetView>
  </sheetViews>
  <sheetFormatPr baseColWidth="10" defaultColWidth="11.42578125" defaultRowHeight="15"/>
  <cols>
    <col min="1" max="1" bestFit="1" width="12.85546875" customWidth="1"/>
    <col min="2" max="3" width="11.42578125" customWidth="1"/>
    <col min="4" max="4" width="11.42578125" customWidth="1" style="20"/>
    <col min="5" max="5" width="11.42578125" customWidth="1"/>
    <col min="6" max="6" bestFit="1" width="22.85546875" customWidth="1"/>
    <col min="7" max="7" width="11.42578125" customWidth="1" style="20"/>
    <col min="8" max="10" width="11.42578125" customWidth="1"/>
    <col min="11" max="11" width="11.42578125" customWidth="1" style="20"/>
    <col min="12" max="12" bestFit="1" width="37.5703125" customWidth="1"/>
    <col min="13" max="15" width="11.42578125" customWidth="1"/>
    <col min="16" max="16" width="18.28515625" customWidth="1" style="87"/>
    <col min="17" max="21" width="11.42578125" customWidth="1"/>
    <col min="22" max="24" width="11.42578125" customWidth="1" style="20"/>
    <col min="25" max="32" width="11.42578125" customWidth="1"/>
    <col min="33" max="33" width="11.42578125" customWidth="1" style="20"/>
    <col min="34" max="34" width="11.42578125" customWidth="1"/>
    <col min="35" max="35" width="16.7109375" customWidth="1"/>
    <col min="36" max="37" width="11.42578125" customWidth="1"/>
  </cols>
  <sheetData>
    <row r="1" ht="90">
      <c r="A1" s="32" t="s">
        <v>119</v>
      </c>
      <c r="B1" s="32" t="s">
        <v>112</v>
      </c>
      <c r="C1" s="32" t="s">
        <v>120</v>
      </c>
      <c r="D1" s="32" t="s">
        <v>121</v>
      </c>
      <c r="E1" s="32" t="s">
        <v>122</v>
      </c>
      <c r="F1" s="32" t="s">
        <v>151</v>
      </c>
      <c r="G1" s="32" t="s">
        <v>124</v>
      </c>
      <c r="H1" s="32" t="s">
        <v>125</v>
      </c>
      <c r="I1" s="32" t="s">
        <v>126</v>
      </c>
      <c r="J1" s="32" t="s">
        <v>127</v>
      </c>
      <c r="K1" s="32" t="s">
        <v>128</v>
      </c>
      <c r="L1" s="32" t="s">
        <v>152</v>
      </c>
      <c r="M1" s="32" t="s">
        <v>130</v>
      </c>
      <c r="N1" s="32" t="s">
        <v>131</v>
      </c>
      <c r="O1" s="32" t="s">
        <v>132</v>
      </c>
      <c r="P1" s="86" t="s">
        <v>133</v>
      </c>
      <c r="Q1" s="32" t="s">
        <v>134</v>
      </c>
      <c r="R1" s="33" t="s">
        <v>71</v>
      </c>
      <c r="S1" s="33" t="s">
        <v>135</v>
      </c>
      <c r="T1" s="33" t="s">
        <v>136</v>
      </c>
      <c r="U1" s="33" t="s">
        <v>137</v>
      </c>
      <c r="V1" s="33" t="s">
        <v>138</v>
      </c>
      <c r="W1" s="33" t="s">
        <v>139</v>
      </c>
      <c r="X1" s="33" t="s">
        <v>140</v>
      </c>
      <c r="Y1" s="33" t="s">
        <v>141</v>
      </c>
      <c r="Z1" s="33" t="s">
        <v>142</v>
      </c>
      <c r="AA1" s="33" t="s">
        <v>143</v>
      </c>
      <c r="AB1" s="33" t="s">
        <v>144</v>
      </c>
      <c r="AC1" s="33" t="s">
        <v>145</v>
      </c>
      <c r="AD1" s="33" t="s">
        <v>146</v>
      </c>
      <c r="AE1" s="33" t="s">
        <v>147</v>
      </c>
      <c r="AF1" s="33" t="s">
        <v>148</v>
      </c>
      <c r="AG1" s="33" t="s">
        <v>149</v>
      </c>
      <c r="AH1" s="33" t="s">
        <v>150</v>
      </c>
      <c r="AI1" s="99" t="str">
        <f>"Type de Compte - "&amp;AFFICHAGE!$S$2</f>
        <v>Type de Compte - Comptable</v>
      </c>
    </row>
  </sheetData>
  <pageMargins left="0.70866141732283472" right="0.70866141732283472" top="0.74803149606299213" bottom="0.74803149606299213" header="0.31496062992125984" footer="0.31496062992125984"/>
  <pageSetup paperSize="9" scale="29" fitToHeight="100" orientation="landscape"/>
  <headerFooter>
    <oddHeader>&amp;C&amp;A</oddHeader>
    <oddFooter>&amp;C&amp;F   &amp;A  &amp;P/&amp;N   &amp;D</oddFooter>
  </headerFooter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Feuil8">
    <tabColor theme="9" tint="0.79998168889431442"/>
    <pageSetUpPr fitToPage="1"/>
  </sheetPr>
  <dimension ref="A1:AP1"/>
  <sheetViews>
    <sheetView workbookViewId="0">
      <selection activeCell="D2" sqref="D2"/>
    </sheetView>
  </sheetViews>
  <sheetFormatPr baseColWidth="10" defaultColWidth="11.42578125" defaultRowHeight="15"/>
  <cols>
    <col min="1" max="1" bestFit="1" width="12.85546875" customWidth="1"/>
    <col min="2" max="3" width="11.42578125" customWidth="1"/>
    <col min="4" max="4" width="11.42578125" customWidth="1" style="20"/>
    <col min="5" max="5" width="11.42578125" customWidth="1"/>
    <col min="6" max="6" bestFit="1" width="22.85546875" customWidth="1"/>
    <col min="7" max="7" width="11.42578125" customWidth="1" style="20"/>
    <col min="8" max="10" width="11.42578125" customWidth="1"/>
    <col min="11" max="11" width="11.42578125" customWidth="1" style="20"/>
    <col min="12" max="12" bestFit="1" width="37.5703125" customWidth="1"/>
    <col min="13" max="15" width="11.42578125" customWidth="1"/>
    <col min="16" max="16" width="18.28515625" customWidth="1" style="87"/>
    <col min="17" max="21" width="11.42578125" customWidth="1"/>
    <col min="22" max="24" width="11.42578125" customWidth="1" style="20"/>
    <col min="25" max="32" width="11.42578125" customWidth="1"/>
    <col min="33" max="33" width="11.42578125" customWidth="1" style="20"/>
    <col min="34" max="34" width="12.42578125" customWidth="1"/>
    <col min="35" max="35" width="16.7109375" customWidth="1" style="20"/>
    <col min="36" max="37" width="11.42578125" customWidth="1"/>
    <col min="42" max="42" width="13" customWidth="1"/>
  </cols>
  <sheetData>
    <row r="1" ht="90">
      <c r="A1" s="32" t="s">
        <v>119</v>
      </c>
      <c r="B1" s="32" t="s">
        <v>112</v>
      </c>
      <c r="C1" s="32" t="s">
        <v>120</v>
      </c>
      <c r="D1" s="32" t="s">
        <v>121</v>
      </c>
      <c r="E1" s="32" t="s">
        <v>122</v>
      </c>
      <c r="F1" s="32" t="s">
        <v>151</v>
      </c>
      <c r="G1" s="32" t="s">
        <v>124</v>
      </c>
      <c r="H1" s="32" t="s">
        <v>125</v>
      </c>
      <c r="I1" s="32" t="s">
        <v>126</v>
      </c>
      <c r="J1" s="32" t="s">
        <v>127</v>
      </c>
      <c r="K1" s="32" t="s">
        <v>128</v>
      </c>
      <c r="L1" s="32" t="s">
        <v>152</v>
      </c>
      <c r="M1" s="32" t="s">
        <v>130</v>
      </c>
      <c r="N1" s="32" t="s">
        <v>131</v>
      </c>
      <c r="O1" s="32" t="s">
        <v>132</v>
      </c>
      <c r="P1" s="86" t="s">
        <v>133</v>
      </c>
      <c r="Q1" s="32" t="s">
        <v>134</v>
      </c>
      <c r="R1" s="33" t="s">
        <v>71</v>
      </c>
      <c r="S1" s="33" t="s">
        <v>135</v>
      </c>
      <c r="T1" s="33" t="s">
        <v>136</v>
      </c>
      <c r="U1" s="33" t="s">
        <v>137</v>
      </c>
      <c r="V1" s="33" t="s">
        <v>138</v>
      </c>
      <c r="W1" s="33" t="s">
        <v>139</v>
      </c>
      <c r="X1" s="33" t="s">
        <v>140</v>
      </c>
      <c r="Y1" s="33" t="s">
        <v>141</v>
      </c>
      <c r="Z1" s="33" t="s">
        <v>142</v>
      </c>
      <c r="AA1" s="33" t="s">
        <v>143</v>
      </c>
      <c r="AB1" s="33" t="s">
        <v>144</v>
      </c>
      <c r="AC1" s="33" t="s">
        <v>145</v>
      </c>
      <c r="AD1" s="33" t="s">
        <v>146</v>
      </c>
      <c r="AE1" s="33" t="s">
        <v>147</v>
      </c>
      <c r="AF1" s="33" t="s">
        <v>148</v>
      </c>
      <c r="AG1" s="33" t="s">
        <v>149</v>
      </c>
      <c r="AH1" s="33" t="s">
        <v>153</v>
      </c>
      <c r="AI1" s="107" t="s">
        <v>154</v>
      </c>
      <c r="AJ1" s="106" t="s">
        <v>155</v>
      </c>
      <c r="AK1" s="106" t="s">
        <v>156</v>
      </c>
      <c r="AL1" s="106" t="s">
        <v>157</v>
      </c>
      <c r="AM1" s="106" t="s">
        <v>158</v>
      </c>
      <c r="AN1" s="106" t="s">
        <v>159</v>
      </c>
      <c r="AO1" s="106" t="s">
        <v>160</v>
      </c>
      <c r="AP1" s="106" t="s">
        <v>161</v>
      </c>
    </row>
  </sheetData>
  <pageMargins left="0.70866141732283472" right="0.70866141732283472" top="0.74803149606299213" bottom="0.74803149606299213" header="0.31496062992125984" footer="0.31496062992125984"/>
  <pageSetup paperSize="9" scale="23" fitToHeight="100" orientation="landscape"/>
  <headerFooter>
    <oddHeader>&amp;C&amp;A</oddHeader>
    <oddFooter>&amp;C&amp;F   &amp;A  &amp;P/&amp;N   &amp;D</oddFooter>
  </headerFooter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Feuil9">
    <tabColor theme="9" tint="0.79998168889431442"/>
    <pageSetUpPr fitToPage="1"/>
  </sheetPr>
  <dimension ref="A1:AP1"/>
  <sheetViews>
    <sheetView topLeftCell="X1" workbookViewId="0">
      <selection activeCell="X2" sqref="A2:XFD292"/>
    </sheetView>
  </sheetViews>
  <sheetFormatPr baseColWidth="10" defaultColWidth="11.42578125" defaultRowHeight="15"/>
  <cols>
    <col min="1" max="1" bestFit="1" width="12.85546875" customWidth="1"/>
    <col min="2" max="3" width="11.42578125" customWidth="1"/>
    <col min="4" max="4" width="11.42578125" customWidth="1" style="20"/>
    <col min="5" max="5" width="11.42578125" customWidth="1"/>
    <col min="6" max="6" bestFit="1" width="22.85546875" customWidth="1"/>
    <col min="7" max="7" width="11.42578125" customWidth="1" style="20"/>
    <col min="8" max="10" width="11.42578125" customWidth="1"/>
    <col min="11" max="11" width="11.42578125" customWidth="1" style="20"/>
    <col min="12" max="12" bestFit="1" width="37.5703125" customWidth="1"/>
    <col min="13" max="15" width="11.42578125" customWidth="1"/>
    <col min="16" max="16" width="18.28515625" customWidth="1" style="87"/>
    <col min="17" max="21" width="11.42578125" customWidth="1"/>
    <col min="22" max="24" width="11.42578125" customWidth="1" style="20"/>
    <col min="25" max="32" width="11.42578125" customWidth="1"/>
    <col min="33" max="33" width="11.42578125" customWidth="1" style="20"/>
    <col min="34" max="34" width="12.140625" customWidth="1"/>
    <col min="35" max="35" width="16.7109375" customWidth="1" style="20"/>
    <col min="36" max="37" width="11.42578125" customWidth="1"/>
    <col min="42" max="42" width="13" customWidth="1"/>
  </cols>
  <sheetData>
    <row r="1" ht="90">
      <c r="A1" s="32" t="s">
        <v>119</v>
      </c>
      <c r="B1" s="32" t="s">
        <v>112</v>
      </c>
      <c r="C1" s="32" t="s">
        <v>120</v>
      </c>
      <c r="D1" s="32" t="s">
        <v>121</v>
      </c>
      <c r="E1" s="32" t="s">
        <v>122</v>
      </c>
      <c r="F1" s="32" t="s">
        <v>151</v>
      </c>
      <c r="G1" s="32" t="s">
        <v>124</v>
      </c>
      <c r="H1" s="32" t="s">
        <v>125</v>
      </c>
      <c r="I1" s="32" t="s">
        <v>126</v>
      </c>
      <c r="J1" s="32" t="s">
        <v>127</v>
      </c>
      <c r="K1" s="32" t="s">
        <v>128</v>
      </c>
      <c r="L1" s="32" t="s">
        <v>152</v>
      </c>
      <c r="M1" s="32" t="s">
        <v>130</v>
      </c>
      <c r="N1" s="32" t="s">
        <v>131</v>
      </c>
      <c r="O1" s="32" t="s">
        <v>132</v>
      </c>
      <c r="P1" s="86" t="s">
        <v>133</v>
      </c>
      <c r="Q1" s="32" t="s">
        <v>134</v>
      </c>
      <c r="R1" s="33" t="s">
        <v>71</v>
      </c>
      <c r="S1" s="33" t="s">
        <v>135</v>
      </c>
      <c r="T1" s="33" t="s">
        <v>136</v>
      </c>
      <c r="U1" s="33" t="s">
        <v>137</v>
      </c>
      <c r="V1" s="33" t="s">
        <v>138</v>
      </c>
      <c r="W1" s="33" t="s">
        <v>139</v>
      </c>
      <c r="X1" s="33" t="s">
        <v>140</v>
      </c>
      <c r="Y1" s="33" t="s">
        <v>141</v>
      </c>
      <c r="Z1" s="33" t="s">
        <v>142</v>
      </c>
      <c r="AA1" s="33" t="s">
        <v>143</v>
      </c>
      <c r="AB1" s="33" t="s">
        <v>144</v>
      </c>
      <c r="AC1" s="33" t="s">
        <v>145</v>
      </c>
      <c r="AD1" s="33" t="s">
        <v>146</v>
      </c>
      <c r="AE1" s="33" t="s">
        <v>147</v>
      </c>
      <c r="AF1" s="33" t="s">
        <v>148</v>
      </c>
      <c r="AG1" s="33" t="s">
        <v>149</v>
      </c>
      <c r="AH1" s="33" t="s">
        <v>153</v>
      </c>
      <c r="AI1" s="107" t="s">
        <v>154</v>
      </c>
      <c r="AJ1" s="106" t="s">
        <v>155</v>
      </c>
      <c r="AK1" s="106" t="s">
        <v>156</v>
      </c>
      <c r="AL1" s="106" t="s">
        <v>157</v>
      </c>
      <c r="AM1" s="106" t="s">
        <v>158</v>
      </c>
      <c r="AN1" s="106" t="s">
        <v>159</v>
      </c>
      <c r="AO1" s="106" t="s">
        <v>160</v>
      </c>
      <c r="AP1" s="106" t="s">
        <v>161</v>
      </c>
    </row>
  </sheetData>
  <pageMargins left="0.70866141732283472" right="0.70866141732283472" top="0.74803149606299213" bottom="0.74803149606299213" header="0.31496062992125984" footer="0.31496062992125984"/>
  <pageSetup paperSize="9" scale="23" fitToHeight="100" orientation="landscape"/>
  <headerFooter>
    <oddHeader>&amp;C&amp;A</oddHeader>
    <oddFooter>&amp;C&amp;F   &amp;A  &amp;P/&amp;N   &amp;D</oddFooter>
  </headerFooter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Feuil10">
    <tabColor theme="9" tint="0.79998168889431442"/>
    <pageSetUpPr fitToPage="1"/>
  </sheetPr>
  <dimension ref="A1:AP1"/>
  <sheetViews>
    <sheetView workbookViewId="0">
      <selection activeCell="A2" sqref="A2:XFD256"/>
    </sheetView>
  </sheetViews>
  <sheetFormatPr baseColWidth="10" defaultColWidth="11.42578125" defaultRowHeight="15"/>
  <cols>
    <col min="1" max="1" bestFit="1" width="12.85546875" customWidth="1"/>
    <col min="2" max="3" width="11.42578125" customWidth="1"/>
    <col min="4" max="4" width="11.42578125" customWidth="1" style="20"/>
    <col min="5" max="5" width="11.42578125" customWidth="1"/>
    <col min="6" max="6" bestFit="1" width="22.85546875" customWidth="1"/>
    <col min="7" max="7" width="11.42578125" customWidth="1" style="20"/>
    <col min="8" max="10" width="11.42578125" customWidth="1"/>
    <col min="11" max="11" width="11.42578125" customWidth="1" style="20"/>
    <col min="12" max="12" bestFit="1" width="37.5703125" customWidth="1"/>
    <col min="13" max="15" width="11.42578125" customWidth="1"/>
    <col min="16" max="16" width="18.28515625" customWidth="1" style="87"/>
    <col min="17" max="21" width="11.42578125" customWidth="1"/>
    <col min="22" max="24" width="11.42578125" customWidth="1" style="20"/>
    <col min="25" max="32" width="11.42578125" customWidth="1"/>
    <col min="33" max="33" width="11.42578125" customWidth="1" style="20"/>
    <col min="34" max="34" width="12.42578125" customWidth="1"/>
    <col min="35" max="35" width="16.7109375" customWidth="1" style="20"/>
    <col min="36" max="37" width="11.42578125" customWidth="1"/>
    <col min="42" max="42" width="13" customWidth="1"/>
  </cols>
  <sheetData>
    <row r="1" ht="90">
      <c r="A1" s="32" t="s">
        <v>119</v>
      </c>
      <c r="B1" s="32" t="s">
        <v>112</v>
      </c>
      <c r="C1" s="32" t="s">
        <v>120</v>
      </c>
      <c r="D1" s="32" t="s">
        <v>121</v>
      </c>
      <c r="E1" s="32" t="s">
        <v>122</v>
      </c>
      <c r="F1" s="32" t="s">
        <v>151</v>
      </c>
      <c r="G1" s="32" t="s">
        <v>124</v>
      </c>
      <c r="H1" s="32" t="s">
        <v>125</v>
      </c>
      <c r="I1" s="32" t="s">
        <v>126</v>
      </c>
      <c r="J1" s="32" t="s">
        <v>127</v>
      </c>
      <c r="K1" s="32" t="s">
        <v>128</v>
      </c>
      <c r="L1" s="32" t="s">
        <v>152</v>
      </c>
      <c r="M1" s="32" t="s">
        <v>130</v>
      </c>
      <c r="N1" s="32" t="s">
        <v>131</v>
      </c>
      <c r="O1" s="32" t="s">
        <v>132</v>
      </c>
      <c r="P1" s="86" t="s">
        <v>133</v>
      </c>
      <c r="Q1" s="32" t="s">
        <v>134</v>
      </c>
      <c r="R1" s="33" t="s">
        <v>71</v>
      </c>
      <c r="S1" s="33" t="s">
        <v>135</v>
      </c>
      <c r="T1" s="33" t="s">
        <v>136</v>
      </c>
      <c r="U1" s="33" t="s">
        <v>137</v>
      </c>
      <c r="V1" s="33" t="s">
        <v>138</v>
      </c>
      <c r="W1" s="33" t="s">
        <v>139</v>
      </c>
      <c r="X1" s="33" t="s">
        <v>140</v>
      </c>
      <c r="Y1" s="33" t="s">
        <v>141</v>
      </c>
      <c r="Z1" s="33" t="s">
        <v>142</v>
      </c>
      <c r="AA1" s="33" t="s">
        <v>143</v>
      </c>
      <c r="AB1" s="33" t="s">
        <v>144</v>
      </c>
      <c r="AC1" s="33" t="s">
        <v>145</v>
      </c>
      <c r="AD1" s="33" t="s">
        <v>146</v>
      </c>
      <c r="AE1" s="33" t="s">
        <v>147</v>
      </c>
      <c r="AF1" s="33" t="s">
        <v>148</v>
      </c>
      <c r="AG1" s="33" t="s">
        <v>149</v>
      </c>
      <c r="AH1" s="33" t="s">
        <v>153</v>
      </c>
      <c r="AI1" s="107" t="s">
        <v>154</v>
      </c>
      <c r="AJ1" s="106" t="s">
        <v>155</v>
      </c>
      <c r="AK1" s="106" t="s">
        <v>156</v>
      </c>
      <c r="AL1" s="106" t="s">
        <v>157</v>
      </c>
      <c r="AM1" s="106" t="s">
        <v>158</v>
      </c>
      <c r="AN1" s="106" t="s">
        <v>159</v>
      </c>
      <c r="AO1" s="106" t="s">
        <v>160</v>
      </c>
      <c r="AP1" s="106" t="s">
        <v>161</v>
      </c>
    </row>
  </sheetData>
  <pageMargins left="0.70866141732283472" right="0.70866141732283472" top="0.74803149606299213" bottom="0.74803149606299213" header="0.31496062992125984" footer="0.31496062992125984"/>
  <pageSetup paperSize="9" scale="23" fitToHeight="100" orientation="landscape"/>
  <headerFooter>
    <oddHeader>&amp;C&amp;A</oddHeader>
    <oddFooter>&amp;C&amp;F   &amp;A  &amp;P/&amp;N   &amp;D</oddFooter>
  </headerFooter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Feuil11">
    <tabColor theme="9" tint="0.79998168889431442"/>
    <pageSetUpPr fitToPage="1"/>
  </sheetPr>
  <dimension ref="A1:AP1"/>
  <sheetViews>
    <sheetView topLeftCell="W1" workbookViewId="0">
      <selection activeCell="AH2" sqref="AH2"/>
    </sheetView>
  </sheetViews>
  <sheetFormatPr baseColWidth="10" defaultColWidth="11.42578125" defaultRowHeight="15"/>
  <cols>
    <col min="1" max="1" bestFit="1" width="12.85546875" customWidth="1"/>
    <col min="2" max="3" width="11.42578125" customWidth="1"/>
    <col min="4" max="4" width="11.42578125" customWidth="1" style="20"/>
    <col min="5" max="5" width="11.42578125" customWidth="1"/>
    <col min="6" max="6" bestFit="1" width="22.85546875" customWidth="1"/>
    <col min="7" max="7" width="11.42578125" customWidth="1" style="20"/>
    <col min="8" max="10" width="11.42578125" customWidth="1"/>
    <col min="11" max="11" width="11.42578125" customWidth="1" style="20"/>
    <col min="12" max="12" bestFit="1" width="37.5703125" customWidth="1"/>
    <col min="13" max="15" width="11.42578125" customWidth="1"/>
    <col min="16" max="16" width="18.28515625" customWidth="1" style="87"/>
    <col min="17" max="21" width="11.42578125" customWidth="1"/>
    <col min="22" max="24" width="11.42578125" customWidth="1" style="20"/>
    <col min="25" max="32" width="11.42578125" customWidth="1"/>
    <col min="33" max="33" width="11.42578125" customWidth="1" style="20"/>
    <col min="34" max="34" width="12.28515625" customWidth="1"/>
    <col min="35" max="35" width="16.7109375" customWidth="1" style="20"/>
    <col min="36" max="37" width="11.42578125" customWidth="1"/>
    <col min="42" max="42" width="13" customWidth="1"/>
  </cols>
  <sheetData>
    <row r="1" ht="90">
      <c r="A1" s="32" t="s">
        <v>119</v>
      </c>
      <c r="B1" s="32" t="s">
        <v>112</v>
      </c>
      <c r="C1" s="32" t="s">
        <v>120</v>
      </c>
      <c r="D1" s="32" t="s">
        <v>121</v>
      </c>
      <c r="E1" s="32" t="s">
        <v>122</v>
      </c>
      <c r="F1" s="32" t="s">
        <v>151</v>
      </c>
      <c r="G1" s="32" t="s">
        <v>124</v>
      </c>
      <c r="H1" s="32" t="s">
        <v>125</v>
      </c>
      <c r="I1" s="32" t="s">
        <v>126</v>
      </c>
      <c r="J1" s="32" t="s">
        <v>127</v>
      </c>
      <c r="K1" s="32" t="s">
        <v>128</v>
      </c>
      <c r="L1" s="32" t="s">
        <v>152</v>
      </c>
      <c r="M1" s="32" t="s">
        <v>130</v>
      </c>
      <c r="N1" s="32" t="s">
        <v>131</v>
      </c>
      <c r="O1" s="32" t="s">
        <v>132</v>
      </c>
      <c r="P1" s="86" t="s">
        <v>133</v>
      </c>
      <c r="Q1" s="32" t="s">
        <v>134</v>
      </c>
      <c r="R1" s="33" t="s">
        <v>71</v>
      </c>
      <c r="S1" s="33" t="s">
        <v>135</v>
      </c>
      <c r="T1" s="33" t="s">
        <v>136</v>
      </c>
      <c r="U1" s="33" t="s">
        <v>137</v>
      </c>
      <c r="V1" s="33" t="s">
        <v>138</v>
      </c>
      <c r="W1" s="33" t="s">
        <v>139</v>
      </c>
      <c r="X1" s="33" t="s">
        <v>140</v>
      </c>
      <c r="Y1" s="33" t="s">
        <v>141</v>
      </c>
      <c r="Z1" s="33" t="s">
        <v>142</v>
      </c>
      <c r="AA1" s="33" t="s">
        <v>143</v>
      </c>
      <c r="AB1" s="33" t="s">
        <v>144</v>
      </c>
      <c r="AC1" s="33" t="s">
        <v>145</v>
      </c>
      <c r="AD1" s="33" t="s">
        <v>146</v>
      </c>
      <c r="AE1" s="33" t="s">
        <v>147</v>
      </c>
      <c r="AF1" s="33" t="s">
        <v>148</v>
      </c>
      <c r="AG1" s="33" t="s">
        <v>149</v>
      </c>
      <c r="AH1" s="33" t="s">
        <v>153</v>
      </c>
      <c r="AI1" s="107" t="s">
        <v>154</v>
      </c>
      <c r="AJ1" s="106" t="s">
        <v>155</v>
      </c>
      <c r="AK1" s="106" t="s">
        <v>156</v>
      </c>
      <c r="AL1" s="106" t="s">
        <v>157</v>
      </c>
      <c r="AM1" s="106" t="s">
        <v>158</v>
      </c>
      <c r="AN1" s="106" t="s">
        <v>159</v>
      </c>
      <c r="AO1" s="106" t="s">
        <v>160</v>
      </c>
      <c r="AP1" s="106" t="s">
        <v>161</v>
      </c>
    </row>
  </sheetData>
  <pageMargins left="0.70866141732283472" right="0.70866141732283472" top="0.74803149606299213" bottom="0.74803149606299213" header="0.31496062992125984" footer="0.31496062992125984"/>
  <pageSetup paperSize="9" scale="23" fitToHeight="100" orientation="landscape"/>
  <headerFooter>
    <oddHeader>&amp;C&amp;A</oddHeader>
    <oddFooter>&amp;C&amp;F   &amp;A  &amp;P/&amp;N   &amp;D</oddFooter>
  </headerFooter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Feuil14">
    <tabColor theme="9" tint="0.79998168889431442"/>
    <pageSetUpPr fitToPage="1"/>
  </sheetPr>
  <dimension ref="A1:AP1"/>
  <sheetViews>
    <sheetView topLeftCell="X1" workbookViewId="0">
      <selection activeCell="AP1" sqref="AP1:AP1048576"/>
    </sheetView>
  </sheetViews>
  <sheetFormatPr baseColWidth="10" defaultColWidth="11.42578125" defaultRowHeight="15"/>
  <cols>
    <col min="1" max="1" bestFit="1" width="12.85546875" customWidth="1"/>
    <col min="2" max="3" width="11.42578125" customWidth="1"/>
    <col min="4" max="4" width="11.42578125" customWidth="1" style="20"/>
    <col min="5" max="5" width="11.42578125" customWidth="1"/>
    <col min="6" max="6" bestFit="1" width="22.85546875" customWidth="1"/>
    <col min="7" max="7" width="11.42578125" customWidth="1" style="20"/>
    <col min="8" max="10" width="11.42578125" customWidth="1"/>
    <col min="11" max="11" width="11.42578125" customWidth="1" style="20"/>
    <col min="12" max="12" bestFit="1" width="37.5703125" customWidth="1"/>
    <col min="13" max="15" width="11.42578125" customWidth="1"/>
    <col min="16" max="16" width="18.28515625" customWidth="1" style="87"/>
    <col min="17" max="21" width="11.42578125" customWidth="1"/>
    <col min="22" max="24" width="11.42578125" customWidth="1" style="20"/>
    <col min="25" max="32" width="11.42578125" customWidth="1"/>
    <col min="33" max="33" width="11.42578125" customWidth="1" style="20"/>
    <col min="34" max="34" width="11.42578125" customWidth="1"/>
    <col min="35" max="35" width="16.7109375" customWidth="1" style="20"/>
    <col min="36" max="37" width="11.42578125" customWidth="1"/>
    <col min="42" max="42" width="13" customWidth="1"/>
  </cols>
  <sheetData>
    <row r="1" ht="90">
      <c r="A1" s="32" t="s">
        <v>119</v>
      </c>
      <c r="B1" s="32" t="s">
        <v>112</v>
      </c>
      <c r="C1" s="32" t="s">
        <v>120</v>
      </c>
      <c r="D1" s="32" t="s">
        <v>121</v>
      </c>
      <c r="E1" s="32" t="s">
        <v>122</v>
      </c>
      <c r="F1" s="32" t="s">
        <v>151</v>
      </c>
      <c r="G1" s="32" t="s">
        <v>124</v>
      </c>
      <c r="H1" s="32" t="s">
        <v>125</v>
      </c>
      <c r="I1" s="32" t="s">
        <v>126</v>
      </c>
      <c r="J1" s="32" t="s">
        <v>127</v>
      </c>
      <c r="K1" s="32" t="s">
        <v>128</v>
      </c>
      <c r="L1" s="32" t="s">
        <v>152</v>
      </c>
      <c r="M1" s="32" t="s">
        <v>130</v>
      </c>
      <c r="N1" s="32" t="s">
        <v>131</v>
      </c>
      <c r="O1" s="32" t="s">
        <v>132</v>
      </c>
      <c r="P1" s="86" t="s">
        <v>133</v>
      </c>
      <c r="Q1" s="32" t="s">
        <v>134</v>
      </c>
      <c r="R1" s="33" t="s">
        <v>71</v>
      </c>
      <c r="S1" s="33" t="s">
        <v>135</v>
      </c>
      <c r="T1" s="33" t="s">
        <v>136</v>
      </c>
      <c r="U1" s="33" t="s">
        <v>137</v>
      </c>
      <c r="V1" s="33" t="s">
        <v>138</v>
      </c>
      <c r="W1" s="33" t="s">
        <v>139</v>
      </c>
      <c r="X1" s="33" t="s">
        <v>140</v>
      </c>
      <c r="Y1" s="33" t="s">
        <v>141</v>
      </c>
      <c r="Z1" s="33" t="s">
        <v>142</v>
      </c>
      <c r="AA1" s="33" t="s">
        <v>143</v>
      </c>
      <c r="AB1" s="33" t="s">
        <v>144</v>
      </c>
      <c r="AC1" s="33" t="s">
        <v>145</v>
      </c>
      <c r="AD1" s="33" t="s">
        <v>146</v>
      </c>
      <c r="AE1" s="33" t="s">
        <v>147</v>
      </c>
      <c r="AF1" s="33" t="s">
        <v>148</v>
      </c>
      <c r="AG1" s="33" t="s">
        <v>149</v>
      </c>
      <c r="AH1" s="33" t="s">
        <v>153</v>
      </c>
      <c r="AI1" s="107" t="s">
        <v>154</v>
      </c>
      <c r="AJ1" s="106" t="s">
        <v>155</v>
      </c>
      <c r="AK1" s="106" t="s">
        <v>156</v>
      </c>
      <c r="AL1" s="106" t="s">
        <v>157</v>
      </c>
      <c r="AM1" s="106" t="s">
        <v>158</v>
      </c>
      <c r="AN1" s="106" t="s">
        <v>159</v>
      </c>
      <c r="AO1" s="106" t="s">
        <v>160</v>
      </c>
      <c r="AP1" s="106" t="s">
        <v>161</v>
      </c>
    </row>
  </sheetData>
  <pageMargins left="0.70866141732283472" right="0.70866141732283472" top="0.74803149606299213" bottom="0.74803149606299213" header="0.31496062992125984" footer="0.31496062992125984"/>
  <pageSetup paperSize="9" scale="15" fitToHeight="100" orientation="portrait"/>
  <headerFooter>
    <oddHeader>&amp;C&amp;A</oddHeader>
    <oddFooter>&amp;C&amp;F   &amp;A  &amp;P/&amp;N   &amp;D</oddFooter>
  </headerFooter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Feuil2">
    <tabColor theme="9" tint="0.79998168889431442"/>
    <pageSetUpPr fitToPage="1"/>
  </sheetPr>
  <dimension ref="A1:T22"/>
  <sheetViews>
    <sheetView topLeftCell="B1" workbookViewId="0">
      <selection activeCell="Q6" sqref="Q5:Q6"/>
    </sheetView>
  </sheetViews>
  <sheetFormatPr baseColWidth="10" defaultColWidth="11.42578125" defaultRowHeight="15"/>
  <cols>
    <col min="1" max="1" bestFit="1" width="23" customWidth="1"/>
    <col min="2" max="2" bestFit="1" width="37.5703125" customWidth="1"/>
    <col min="3" max="12" width="4.7109375" customWidth="1"/>
    <col min="13" max="14" width="11.42578125" customWidth="1"/>
    <col min="15" max="15" width="14.42578125" customWidth="1"/>
    <col min="16" max="18" width="4.7109375" customWidth="1"/>
    <col min="19" max="19" bestFit="1" width="22.140625" customWidth="1"/>
    <col min="20" max="21" width="11.42578125" customWidth="1"/>
  </cols>
  <sheetData>
    <row r="1" s="110" customFormat="1">
      <c r="A1" s="111" t="s">
        <v>162</v>
      </c>
      <c r="B1" s="111" t="s">
        <v>163</v>
      </c>
      <c r="M1" s="110" t="s">
        <v>164</v>
      </c>
      <c r="N1" s="110" t="s">
        <v>165</v>
      </c>
      <c r="O1" s="110" t="s">
        <v>166</v>
      </c>
      <c r="S1" s="111" t="s">
        <v>167</v>
      </c>
      <c r="T1" s="111" t="s">
        <v>168</v>
      </c>
    </row>
    <row r="2">
      <c r="A2" s="0" t="s">
        <v>169</v>
      </c>
      <c r="B2" s="0" t="s">
        <v>170</v>
      </c>
      <c r="M2" s="100" t="s">
        <v>171</v>
      </c>
      <c r="N2" s="100" t="s">
        <v>172</v>
      </c>
      <c r="O2" s="100" t="s">
        <v>172</v>
      </c>
      <c r="Q2" s="0" t="s">
        <v>173</v>
      </c>
      <c r="S2" s="0" t="s">
        <v>174</v>
      </c>
    </row>
    <row r="3">
      <c r="A3" s="0" t="s">
        <v>39</v>
      </c>
      <c r="B3" s="0" t="s">
        <v>175</v>
      </c>
      <c r="S3" s="0" t="s">
        <v>174</v>
      </c>
    </row>
    <row r="4">
      <c r="A4" s="0" t="s">
        <v>39</v>
      </c>
      <c r="B4" s="0" t="s">
        <v>176</v>
      </c>
    </row>
    <row r="5">
      <c r="A5" s="0" t="s">
        <v>39</v>
      </c>
      <c r="B5" s="0" t="s">
        <v>177</v>
      </c>
    </row>
    <row r="6">
      <c r="A6" s="0" t="s">
        <v>39</v>
      </c>
      <c r="B6" s="0" t="s">
        <v>39</v>
      </c>
    </row>
    <row r="7">
      <c r="A7" s="0" t="s">
        <v>39</v>
      </c>
      <c r="B7" s="0" t="s">
        <v>178</v>
      </c>
    </row>
    <row r="8">
      <c r="A8" s="0" t="s">
        <v>39</v>
      </c>
      <c r="B8" s="0" t="s">
        <v>179</v>
      </c>
    </row>
    <row r="9">
      <c r="A9" s="0" t="s">
        <v>37</v>
      </c>
      <c r="B9" s="0" t="s">
        <v>62</v>
      </c>
    </row>
    <row r="10">
      <c r="A10" s="0" t="s">
        <v>37</v>
      </c>
      <c r="B10" s="0" t="s">
        <v>37</v>
      </c>
    </row>
    <row r="11">
      <c r="A11" s="0" t="s">
        <v>38</v>
      </c>
      <c r="B11" s="0" t="s">
        <v>180</v>
      </c>
    </row>
    <row r="12">
      <c r="A12" s="0" t="s">
        <v>38</v>
      </c>
      <c r="B12" s="0" t="s">
        <v>38</v>
      </c>
    </row>
    <row r="13">
      <c r="A13" s="0" t="s">
        <v>38</v>
      </c>
      <c r="B13" s="0" t="s">
        <v>181</v>
      </c>
    </row>
    <row r="14">
      <c r="A14" s="0" t="s">
        <v>169</v>
      </c>
      <c r="B14" s="0" t="s">
        <v>179</v>
      </c>
    </row>
    <row r="15">
      <c r="A15" s="0" t="s">
        <v>39</v>
      </c>
      <c r="B15" s="0" t="s">
        <v>175</v>
      </c>
    </row>
    <row r="16">
      <c r="A16" s="0" t="s">
        <v>39</v>
      </c>
      <c r="B16" s="0" t="s">
        <v>176</v>
      </c>
    </row>
    <row r="17">
      <c r="A17" s="0" t="s">
        <v>39</v>
      </c>
      <c r="B17" s="0" t="s">
        <v>177</v>
      </c>
    </row>
    <row r="18">
      <c r="A18" s="0" t="s">
        <v>39</v>
      </c>
      <c r="B18" s="0" t="s">
        <v>39</v>
      </c>
    </row>
    <row r="19">
      <c r="A19" s="0" t="s">
        <v>37</v>
      </c>
      <c r="B19" s="0" t="s">
        <v>62</v>
      </c>
    </row>
    <row r="20">
      <c r="A20" s="0" t="s">
        <v>37</v>
      </c>
      <c r="B20" s="0" t="s">
        <v>37</v>
      </c>
    </row>
    <row r="21">
      <c r="A21" s="0" t="s">
        <v>38</v>
      </c>
      <c r="B21" s="0" t="s">
        <v>38</v>
      </c>
    </row>
    <row r="22">
      <c r="A22" s="0" t="s">
        <v>38</v>
      </c>
      <c r="B22" s="0" t="s">
        <v>180</v>
      </c>
    </row>
  </sheetData>
  <pageMargins left="0.70866141732283472" right="0.70866141732283472" top="0.74803149606299213" bottom="0.74803149606299213" header="0.31496062992125984" footer="0.31496062992125984"/>
  <pageSetup paperSize="9" scale="66" orientation="landscape"/>
  <headerFooter>
    <oddHeader>&amp;C&amp;A</oddHeader>
    <oddFooter>&amp;C&amp;F   &amp;A  &amp;P/&amp;N   &amp;D</oddFooter>
  </headerFooter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606262-AFC9-431B-9C38-608DFAA1EBA1}">
  <sheetPr codeName="Feuil26">
    <tabColor theme="9" tint="0.79998168889431442"/>
    <pageSetUpPr fitToPage="1"/>
  </sheetPr>
  <dimension ref="A1:M33"/>
  <sheetViews>
    <sheetView workbookViewId="0">
      <selection activeCell="C19" sqref="C19"/>
    </sheetView>
  </sheetViews>
  <sheetFormatPr baseColWidth="10" defaultColWidth="9.140625" defaultRowHeight="15"/>
  <cols>
    <col min="1" max="1" width="10.42578125" customWidth="1"/>
    <col min="3" max="3" bestFit="1" width="17.7109375" customWidth="1"/>
    <col min="4" max="4" width="15.42578125" customWidth="1"/>
    <col min="5" max="5" width="33" customWidth="1"/>
    <col min="6" max="6" width="20.28515625" customWidth="1"/>
    <col min="8" max="8" width="20.28515625" customWidth="1"/>
    <col min="9" max="9" width="17" customWidth="1"/>
    <col min="10" max="10" width="7.28515625" customWidth="1"/>
    <col min="12" max="12" bestFit="1" width="17.42578125" customWidth="1"/>
  </cols>
  <sheetData>
    <row r="1">
      <c r="A1" s="111" t="s">
        <v>182</v>
      </c>
      <c r="B1" s="111"/>
      <c r="C1" s="114" t="s">
        <v>183</v>
      </c>
      <c r="D1" s="114" t="s">
        <v>184</v>
      </c>
      <c r="E1" s="114" t="s">
        <v>185</v>
      </c>
      <c r="F1" s="114" t="s">
        <v>186</v>
      </c>
      <c r="G1" s="111"/>
      <c r="H1" s="111" t="s">
        <v>187</v>
      </c>
      <c r="I1" s="111" t="s">
        <v>188</v>
      </c>
      <c r="J1" s="111" t="s">
        <v>189</v>
      </c>
      <c r="L1" s="115" t="s">
        <v>190</v>
      </c>
      <c r="M1" s="116" t="s">
        <v>3</v>
      </c>
    </row>
    <row r="2">
      <c r="A2" s="0" t="s">
        <v>3</v>
      </c>
      <c r="C2" s="0" t="s">
        <v>191</v>
      </c>
      <c r="D2" s="0" t="s">
        <v>192</v>
      </c>
      <c r="E2" s="0" t="s">
        <v>193</v>
      </c>
      <c r="F2" s="0" t="s">
        <v>194</v>
      </c>
      <c r="H2" s="0" t="s">
        <v>195</v>
      </c>
      <c r="I2" s="0" t="s">
        <v>196</v>
      </c>
      <c r="J2" s="0" t="s">
        <v>197</v>
      </c>
    </row>
    <row r="3">
      <c r="C3" s="0" t="s">
        <v>6</v>
      </c>
      <c r="D3" s="0" t="s">
        <v>198</v>
      </c>
      <c r="E3" s="0" t="s">
        <v>199</v>
      </c>
      <c r="F3" s="0" t="s">
        <v>9</v>
      </c>
      <c r="H3" s="0" t="s">
        <v>195</v>
      </c>
      <c r="I3" s="0" t="s">
        <v>38</v>
      </c>
      <c r="J3" s="0" t="s">
        <v>197</v>
      </c>
    </row>
    <row r="4">
      <c r="C4" s="0" t="s">
        <v>6</v>
      </c>
      <c r="D4" s="0" t="s">
        <v>200</v>
      </c>
      <c r="E4" s="0" t="s">
        <v>201</v>
      </c>
      <c r="F4" s="0" t="s">
        <v>9</v>
      </c>
      <c r="H4" s="0" t="s">
        <v>195</v>
      </c>
      <c r="I4" s="0" t="s">
        <v>39</v>
      </c>
      <c r="J4" s="0" t="s">
        <v>197</v>
      </c>
    </row>
    <row r="5">
      <c r="C5" s="0" t="s">
        <v>6</v>
      </c>
      <c r="D5" s="0" t="s">
        <v>202</v>
      </c>
      <c r="E5" s="0" t="s">
        <v>203</v>
      </c>
      <c r="F5" s="0" t="s">
        <v>9</v>
      </c>
      <c r="H5" s="0" t="s">
        <v>195</v>
      </c>
      <c r="I5" s="0" t="s">
        <v>169</v>
      </c>
      <c r="J5" s="0" t="s">
        <v>197</v>
      </c>
    </row>
    <row r="6">
      <c r="C6" s="0" t="s">
        <v>6</v>
      </c>
      <c r="D6" s="0" t="s">
        <v>204</v>
      </c>
      <c r="E6" s="0" t="s">
        <v>205</v>
      </c>
      <c r="F6" s="0" t="s">
        <v>9</v>
      </c>
      <c r="H6" s="0" t="s">
        <v>206</v>
      </c>
      <c r="I6" s="0" t="s">
        <v>37</v>
      </c>
      <c r="J6" s="0" t="s">
        <v>197</v>
      </c>
    </row>
    <row r="7">
      <c r="H7" s="0" t="s">
        <v>206</v>
      </c>
      <c r="I7" s="0" t="s">
        <v>38</v>
      </c>
      <c r="J7" s="0" t="s">
        <v>197</v>
      </c>
    </row>
    <row r="8">
      <c r="H8" s="0" t="s">
        <v>206</v>
      </c>
      <c r="I8" s="0" t="s">
        <v>39</v>
      </c>
      <c r="J8" s="0" t="s">
        <v>197</v>
      </c>
    </row>
    <row r="9">
      <c r="H9" s="0" t="s">
        <v>206</v>
      </c>
      <c r="I9" s="0" t="s">
        <v>169</v>
      </c>
      <c r="J9" s="0" t="s">
        <v>197</v>
      </c>
    </row>
    <row r="10">
      <c r="H10" s="0" t="s">
        <v>207</v>
      </c>
      <c r="I10" s="0" t="s">
        <v>37</v>
      </c>
      <c r="J10" s="0" t="s">
        <v>197</v>
      </c>
    </row>
    <row r="11">
      <c r="H11" s="0" t="s">
        <v>207</v>
      </c>
      <c r="I11" s="0" t="s">
        <v>38</v>
      </c>
      <c r="J11" s="0" t="s">
        <v>197</v>
      </c>
    </row>
    <row r="12">
      <c r="H12" s="0" t="s">
        <v>207</v>
      </c>
      <c r="I12" s="0" t="s">
        <v>39</v>
      </c>
      <c r="J12" s="0" t="s">
        <v>197</v>
      </c>
    </row>
    <row r="13">
      <c r="H13" s="0" t="s">
        <v>207</v>
      </c>
      <c r="I13" s="0" t="s">
        <v>169</v>
      </c>
      <c r="J13" s="0" t="s">
        <v>197</v>
      </c>
    </row>
    <row r="14">
      <c r="H14" s="0" t="s">
        <v>208</v>
      </c>
      <c r="I14" s="0" t="s">
        <v>37</v>
      </c>
      <c r="J14" s="0" t="s">
        <v>209</v>
      </c>
    </row>
    <row r="15">
      <c r="H15" s="0" t="s">
        <v>208</v>
      </c>
      <c r="I15" s="0" t="s">
        <v>38</v>
      </c>
      <c r="J15" s="0" t="s">
        <v>209</v>
      </c>
    </row>
    <row r="16">
      <c r="H16" s="0" t="s">
        <v>208</v>
      </c>
      <c r="I16" s="0" t="s">
        <v>39</v>
      </c>
      <c r="J16" s="0" t="s">
        <v>209</v>
      </c>
    </row>
    <row r="17">
      <c r="H17" s="0" t="s">
        <v>208</v>
      </c>
      <c r="I17" s="0" t="s">
        <v>169</v>
      </c>
      <c r="J17" s="0" t="s">
        <v>209</v>
      </c>
    </row>
    <row r="18">
      <c r="H18" s="0" t="s">
        <v>210</v>
      </c>
      <c r="I18" s="0" t="s">
        <v>37</v>
      </c>
      <c r="J18" s="0" t="s">
        <v>211</v>
      </c>
    </row>
    <row r="19">
      <c r="H19" s="0" t="s">
        <v>210</v>
      </c>
      <c r="I19" s="0" t="s">
        <v>38</v>
      </c>
      <c r="J19" s="0" t="s">
        <v>211</v>
      </c>
    </row>
    <row r="20">
      <c r="H20" s="0" t="s">
        <v>210</v>
      </c>
      <c r="I20" s="0" t="s">
        <v>39</v>
      </c>
      <c r="J20" s="0" t="s">
        <v>211</v>
      </c>
    </row>
    <row r="21">
      <c r="H21" s="0" t="s">
        <v>210</v>
      </c>
      <c r="I21" s="0" t="s">
        <v>169</v>
      </c>
      <c r="J21" s="0" t="s">
        <v>211</v>
      </c>
    </row>
    <row r="22">
      <c r="H22" s="0" t="s">
        <v>212</v>
      </c>
      <c r="I22" s="0" t="s">
        <v>37</v>
      </c>
      <c r="J22" s="0" t="s">
        <v>213</v>
      </c>
    </row>
    <row r="23">
      <c r="H23" s="0" t="s">
        <v>212</v>
      </c>
      <c r="I23" s="0" t="s">
        <v>38</v>
      </c>
      <c r="J23" s="0" t="s">
        <v>213</v>
      </c>
    </row>
    <row r="24">
      <c r="H24" s="0" t="s">
        <v>212</v>
      </c>
      <c r="I24" s="0" t="s">
        <v>39</v>
      </c>
      <c r="J24" s="0" t="s">
        <v>213</v>
      </c>
    </row>
    <row r="25">
      <c r="H25" s="0" t="s">
        <v>212</v>
      </c>
      <c r="I25" s="0" t="s">
        <v>169</v>
      </c>
      <c r="J25" s="0" t="s">
        <v>213</v>
      </c>
    </row>
    <row r="26">
      <c r="H26" s="0" t="s">
        <v>214</v>
      </c>
      <c r="I26" s="0" t="s">
        <v>37</v>
      </c>
      <c r="J26" s="0" t="s">
        <v>213</v>
      </c>
    </row>
    <row r="27">
      <c r="H27" s="0" t="s">
        <v>214</v>
      </c>
      <c r="I27" s="0" t="s">
        <v>38</v>
      </c>
      <c r="J27" s="0" t="s">
        <v>213</v>
      </c>
    </row>
    <row r="28">
      <c r="H28" s="0" t="s">
        <v>214</v>
      </c>
      <c r="I28" s="0" t="s">
        <v>39</v>
      </c>
      <c r="J28" s="0" t="s">
        <v>213</v>
      </c>
    </row>
    <row r="29">
      <c r="H29" s="0" t="s">
        <v>214</v>
      </c>
      <c r="I29" s="0" t="s">
        <v>169</v>
      </c>
      <c r="J29" s="0" t="s">
        <v>213</v>
      </c>
    </row>
    <row r="30">
      <c r="H30" s="0" t="s">
        <v>215</v>
      </c>
      <c r="I30" s="0" t="s">
        <v>37</v>
      </c>
      <c r="J30" s="0" t="s">
        <v>216</v>
      </c>
    </row>
    <row r="31">
      <c r="H31" s="0" t="s">
        <v>215</v>
      </c>
      <c r="I31" s="0" t="s">
        <v>38</v>
      </c>
      <c r="J31" s="0" t="s">
        <v>217</v>
      </c>
    </row>
    <row r="32">
      <c r="H32" s="0" t="s">
        <v>215</v>
      </c>
      <c r="I32" s="0" t="s">
        <v>39</v>
      </c>
      <c r="J32" s="0" t="s">
        <v>218</v>
      </c>
    </row>
    <row r="33">
      <c r="H33" s="0" t="s">
        <v>215</v>
      </c>
      <c r="I33" s="0" t="s">
        <v>169</v>
      </c>
      <c r="J33" s="0" t="s">
        <v>216</v>
      </c>
    </row>
  </sheetData>
  <sortState xmlns:xlrd2="http://schemas.microsoft.com/office/spreadsheetml/2017/richdata2" ref="C2:F34">
    <sortCondition ref="C1:C1048576"/>
    <sortCondition ref="D1:D1048576"/>
  </sortState>
  <pageMargins left="0.70866141732283472" right="0.70866141732283472" top="0.74803149606299213" bottom="0.74803149606299213" header="0.31496062992125984" footer="0.31496062992125984"/>
  <pageSetup paperSize="9" scale="66" orientation="landscape"/>
  <headerFooter>
    <oddHeader>&amp;C&amp;A</oddHeader>
    <oddFooter>&amp;C&amp;F   &amp;A  &amp;P/&amp;N   &amp;D</oddFooter>
  </headerFooter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Feuil18"/>
  <dimension ref="A1:A17"/>
  <sheetViews>
    <sheetView workbookViewId="0">
      <selection activeCell="A5" sqref="A5"/>
    </sheetView>
  </sheetViews>
  <sheetFormatPr baseColWidth="10" defaultColWidth="9.140625" defaultRowHeight="15"/>
  <cols>
    <col min="1" max="1" width="79.28515625" customWidth="1"/>
  </cols>
  <sheetData>
    <row r="1">
      <c r="A1" s="0" t="s">
        <v>219</v>
      </c>
    </row>
    <row r="2">
      <c r="A2" s="0" t="s">
        <v>220</v>
      </c>
    </row>
    <row r="3">
      <c r="A3" s="0" t="s">
        <v>221</v>
      </c>
    </row>
    <row r="4">
      <c r="A4" s="0" t="s">
        <v>222</v>
      </c>
    </row>
    <row r="5">
      <c r="A5" s="0" t="s">
        <v>223</v>
      </c>
    </row>
    <row r="6">
      <c r="A6" s="0" t="s">
        <v>224</v>
      </c>
    </row>
    <row r="7">
      <c r="A7" s="0" t="s">
        <v>225</v>
      </c>
    </row>
    <row r="8">
      <c r="A8" s="0" t="s">
        <v>226</v>
      </c>
    </row>
    <row r="9">
      <c r="A9" s="0" t="s">
        <v>227</v>
      </c>
    </row>
    <row r="10"/>
    <row r="11">
      <c r="A11" s="0" t="s">
        <v>228</v>
      </c>
    </row>
    <row r="12">
      <c r="A12" s="0" t="s">
        <v>229</v>
      </c>
    </row>
    <row r="13">
      <c r="A13" s="0" t="s">
        <v>230</v>
      </c>
    </row>
    <row r="14">
      <c r="A14" s="0" t="s">
        <v>231</v>
      </c>
    </row>
    <row r="15">
      <c r="A15" s="0" t="s">
        <v>232</v>
      </c>
    </row>
    <row r="16">
      <c r="A16" s="0" t="s">
        <v>233</v>
      </c>
    </row>
    <row r="17"/>
  </sheetData>
  <pageMargins left="0.7" right="0.7" top="0.75" bottom="0.75" header="0.3" footer="0.3"/>
  <headerFooter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Feuil19">
    <tabColor theme="0"/>
  </sheetPr>
  <dimension ref="A1:E1"/>
  <sheetViews>
    <sheetView topLeftCell="B1" workbookViewId="0">
      <selection sqref="A1:XFD2"/>
    </sheetView>
  </sheetViews>
  <sheetFormatPr baseColWidth="10" defaultColWidth="11.42578125" defaultRowHeight="15"/>
  <cols>
    <col min="1" max="1" bestFit="1" width="21.85546875" customWidth="1" style="62"/>
    <col min="2" max="2" bestFit="1" width="97.85546875" customWidth="1"/>
    <col min="3" max="3" bestFit="1" width="47.140625" customWidth="1"/>
    <col min="4" max="4" bestFit="1" width="38.140625" customWidth="1"/>
  </cols>
  <sheetData>
    <row r="1">
      <c r="A1" s="62" t="s">
        <v>234</v>
      </c>
      <c r="B1" s="0" t="s">
        <v>235</v>
      </c>
      <c r="C1" s="0" t="s">
        <v>236</v>
      </c>
      <c r="D1" s="0" t="s">
        <v>237</v>
      </c>
      <c r="E1" s="0" t="s">
        <v>238</v>
      </c>
    </row>
  </sheetData>
  <pageMargins left="0.7" right="0.7" top="0.75" bottom="0.75" header="0.3" footer="0.3"/>
  <headerFooter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25</vt:i4>
      </vt:variant>
      <vt:variant>
        <vt:lpstr>Plages nommées</vt:lpstr>
      </vt:variant>
      <vt:variant>
        <vt:i4>3</vt:i4>
      </vt:variant>
    </vt:vector>
  </HeadingPairs>
  <TitlesOfParts>
    <vt:vector size="28" baseType="lpstr">
      <vt:lpstr>Page de garde</vt:lpstr>
      <vt:lpstr>CONTROLE</vt:lpstr>
      <vt:lpstr>Résultats</vt:lpstr>
      <vt:lpstr>INCAP</vt:lpstr>
      <vt:lpstr>Evolution INCAP</vt:lpstr>
      <vt:lpstr>liste INCAPACITE</vt:lpstr>
      <vt:lpstr>INVAL</vt:lpstr>
      <vt:lpstr>liste INVALIDITE</vt:lpstr>
      <vt:lpstr>DECES</vt:lpstr>
      <vt:lpstr>liste DECES</vt:lpstr>
      <vt:lpstr>DATA COT</vt:lpstr>
      <vt:lpstr>DATA PREV</vt:lpstr>
      <vt:lpstr>DATA INCAP</vt:lpstr>
      <vt:lpstr>DATA INVAL</vt:lpstr>
      <vt:lpstr>DATA DECES</vt:lpstr>
      <vt:lpstr>DATA AUTRES</vt:lpstr>
      <vt:lpstr>DATA PROV</vt:lpstr>
      <vt:lpstr>DATA PROV INCAP</vt:lpstr>
      <vt:lpstr>DATA PROV INVAL</vt:lpstr>
      <vt:lpstr>DATA PROV DECES</vt:lpstr>
      <vt:lpstr>DATA PROV AUTRES</vt:lpstr>
      <vt:lpstr>AFFICHAGE</vt:lpstr>
      <vt:lpstr>AFFICHAGE-2</vt:lpstr>
      <vt:lpstr>IMPORT</vt:lpstr>
      <vt:lpstr>Erreurs</vt:lpstr>
      <vt:lpstr>ANNEE</vt:lpstr>
      <vt:lpstr>ANNEE_1</vt:lpstr>
      <vt:lpstr>'Page de garde'!Zone_d_impression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patricia biasioli</dc:creator>
  <cp:lastModifiedBy>Alain moeglin</cp:lastModifiedBy>
  <cp:lastPrinted>2021-10-25T12:41:24Z</cp:lastPrinted>
  <dcterms:created xsi:type="dcterms:W3CDTF">2017-05-24T08:26:58Z</dcterms:created>
  <dcterms:modified xsi:type="dcterms:W3CDTF">2023-09-14T14:55:45Z</dcterms:modified>
</cp:coreProperties>
</file>