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_ROBERT\_IT\Projects\zzzCM\CR-Kerialis\CompteResultat\App_Data\ReportTemplates\"/>
    </mc:Choice>
  </mc:AlternateContent>
  <bookViews>
    <workbookView xWindow="0" yWindow="0" windowWidth="28800" windowHeight="12585" firstSheet="16" activeTab="22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AFFICHAGE-2" sheetId="53" r:id="rId23"/>
    <sheet name="IMPORT" sheetId="50" r:id="rId24"/>
    <sheet name="Erreurs" sheetId="52" r:id="rId25"/>
  </sheets>
  <functionGroups builtInGroupCount="18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52511" calcMode="manual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<sst xmlns="http://schemas.openxmlformats.org/spreadsheetml/2006/main" count="2089" uniqueCount="2089">
  <si>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</si>
  <si>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</si>
  <si>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</si>
  <si>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</si>
  <si>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</si>
  <si>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</si>
  <si>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</si>
  <si>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</si>
  <si>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</si>
  <si>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</si>
  <si>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</si>
  <si>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</si>
  <si>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</si>
  <si>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</si>
  <si>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</si>
  <si>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</si>
  <si>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</si>
  <si>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</si>
  <si>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</si>
  <si>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</si>
  <si>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</si>
  <si>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</si>
  <si>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Date d'arrêté : </t>
  </si>
  <si>
    <t xml:space="preserve">Cotisations brutes 
</t>
  </si>
  <si>
    <t xml:space="preserve">Cotisations nettes 
(1)</t>
  </si>
  <si>
    <t xml:space="preserve">Prestations
(2)</t>
  </si>
  <si>
    <t xml:space="preserve">Provisions* 
(3)</t>
  </si>
  <si>
    <t xml:space="preserve">Rapport 
(2)+(3) / (1)</t>
  </si>
  <si>
    <t>Gains/Pertes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</si>
  <si>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</si>
  <si>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</si>
  <si>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</si>
  <si>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</si>
  <si>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</si>
  <si>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</si>
  <si>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</si>
  <si>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</si>
  <si>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</si>
  <si>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</si>
  <si>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</si>
  <si>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</si>
  <si>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</si>
  <si>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</si>
  <si>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</si>
  <si>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</si>
  <si>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Source -&gt; Onglet Résultats</t>
  </si>
  <si>
    <t>ECART ( = Résultats - CONTROLE)</t>
  </si>
  <si>
    <t xml:space="preserve"> E C A R T</t>
  </si>
  <si>
    <t>MAJ EXCEL</t>
  </si>
  <si>
    <t>MAJ POWERPOINT</t>
  </si>
  <si>
    <t>NON</t>
  </si>
  <si>
    <t>PREVOYANCE</t>
  </si>
  <si>
    <t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</t>
  </si>
  <si>
    <t>Contrat(s)</t>
  </si>
  <si>
    <t>EKILIBRE EXKLUSIF_, EKILIBRE EXKLUSIF_OPTION CHARGES SOCIALES 100% 30J EXKLUSI_, EKILIBRE EXKLUSIF_OPTION DÉCÈS EXKLUSIF_, EKILIBRE_, EKILIBRE_OPTION DÉCÈS_, KIETUDE FRANCHISE EXKLUSIF_, KIETUDE FRANCHISE_, KIETUDE FRANCHISE_OPTION CHARGES SOCIALES 100% 15J_, KIETUDE FRANCHISE_OPTION DÉCÈS_OPTION CHARGES SOCIALES 100% 15J_, KIETUDE ITT EXCKUSIF_, KIETUDE ITT_, KOTIDIEN EXKLUSIF_, KOTIDIEN_, KOTIDIEN_OPTION DÉCÈS_, KOTIDIEN_OPTION DÉCÈS_OPTION FRANCHISE 95%_, PERFEKT_, PERFEKT_OPTION DÉCÈS_</t>
  </si>
  <si>
    <t>Collège</t>
  </si>
  <si>
    <t>Cadre, Non Cadre</t>
  </si>
  <si>
    <t xml:space="preserve">Période analysée : </t>
  </si>
  <si>
    <t>1 janvier 2020 au 31 décembre 2021</t>
  </si>
  <si>
    <t>Date d'arreté des comptes :</t>
  </si>
  <si>
    <t>31 décembre 2021</t>
  </si>
  <si>
    <t>CLIENT</t>
  </si>
  <si>
    <t>CONTRAT</t>
  </si>
  <si>
    <t>COLLEGE</t>
  </si>
  <si>
    <t>DATE SINISTRE</t>
  </si>
  <si>
    <t>ANNEE SINISTRE</t>
  </si>
  <si>
    <t>TYPE SINISTRE</t>
  </si>
  <si>
    <t>DATE NAISSANCE</t>
  </si>
  <si>
    <t>AGE AU SINISTRE</t>
  </si>
  <si>
    <t>TRANCHE AGE AU SINISTRE</t>
  </si>
  <si>
    <t>SEXE</t>
  </si>
  <si>
    <t>DATE CLOTURE</t>
  </si>
  <si>
    <t>MOTIF CLOTURE</t>
  </si>
  <si>
    <t>NBJ INCAP</t>
  </si>
  <si>
    <t>AGE ENTREE INVAL</t>
  </si>
  <si>
    <t>NBJ INVAL</t>
  </si>
  <si>
    <t>PRESTATION</t>
  </si>
  <si>
    <t>PROVISION</t>
  </si>
  <si>
    <t>Dossier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</si>
  <si>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</si>
  <si>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</si>
  <si>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</si>
  <si>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</si>
  <si>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</si>
  <si>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</si>
  <si>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</si>
  <si>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</si>
  <si>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</si>
  <si>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</si>
  <si>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</si>
  <si>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</si>
  <si>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</si>
  <si>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</si>
  <si>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</si>
  <si>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</si>
  <si>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</si>
  <si>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</si>
  <si>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</si>
  <si>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</si>
  <si>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</si>
  <si>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</si>
  <si>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</si>
  <si>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</si>
  <si>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</si>
  <si>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</si>
  <si>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</si>
  <si>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</si>
  <si>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</si>
  <si>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</si>
  <si>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</si>
  <si>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</si>
  <si>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</si>
  <si>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</si>
  <si>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01/01/2020</t>
  </si>
  <si>
    <t>31/12/2021</t>
  </si>
  <si>
    <t>15</t>
  </si>
  <si>
    <t>Survenance</t>
  </si>
  <si>
    <t>DECES</t>
  </si>
  <si>
    <t>Décès assuré</t>
  </si>
  <si>
    <t>Décès conjoint</t>
  </si>
  <si>
    <t>Décès enfant</t>
  </si>
  <si>
    <t>INCAPACITE_PM_MGDC</t>
  </si>
  <si>
    <t>INVALIDITE_PM_MGDC</t>
  </si>
  <si>
    <t>INCAPACITE</t>
  </si>
  <si>
    <t>INVALIDITE</t>
  </si>
  <si>
    <t>INCAPACITE_PM_PASSAGE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</si>
  <si>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</si>
  <si>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</si>
  <si>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</si>
  <si>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</si>
  <si>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</si>
  <si>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</si>
  <si>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TypeSinistre</t>
  </si>
  <si>
    <t>Frais</t>
  </si>
  <si>
    <t>Group1</t>
  </si>
  <si>
    <t>EKILIBRE EXKLUSIF_</t>
  </si>
  <si>
    <t>R1</t>
  </si>
  <si>
    <t>S1</t>
  </si>
  <si>
    <t>2015</t>
  </si>
  <si>
    <t>INCAPACITEaaa</t>
  </si>
  <si>
    <t>0,09</t>
  </si>
  <si>
    <t>2016</t>
  </si>
  <si>
    <t>2017</t>
  </si>
  <si>
    <t>2018</t>
  </si>
  <si>
    <t>0,1</t>
  </si>
  <si>
    <t>2019</t>
  </si>
  <si>
    <t>0,135</t>
  </si>
  <si>
    <t>2020</t>
  </si>
  <si>
    <t>0,158</t>
  </si>
  <si>
    <t>2021</t>
  </si>
  <si>
    <t>FICHIERS D'IMPORT</t>
  </si>
  <si>
    <t>D:\_ROBERT\_IT\Projects\zzzCM\CR-Kerialis\CompteResultat\App_Data\Imports\PROVPREV-2023-07-12T16-44-29\CRPS_Prev_DetailCotis2022.xlsx</t>
  </si>
  <si>
    <t>D:\_ROBERT\_IT\Projects\zzzCM\CR-Kerialis\CompteResultat\App_Data\Imports\PROVPREV-2023-07-12T16-44-29\DecomptePrev2022.xlsx</t>
  </si>
  <si>
    <t>D:\_ROBERT\_IT\Projects\zzzCM\CR-Kerialis\CompteResultat\App_Data\Imports\PROVPREV-2023-07-12T16-44-29\Import_ProvisionsPrev_2022.xlsx</t>
  </si>
  <si>
    <t>D:\_ROBERT\_IT\Projects\zzzCM\CR-Kerialis\CompteResultat\App_Data\Imports\PROVPREV-2023-07-12T16-44-29\SinistrePrev2022.xlsx</t>
  </si>
  <si>
    <t>D:\_ROBERT\_IT\Projects\zzzCM\CR-Kerialis\CompteResultat\App_Data\Imports\PROVPREV-2023-07-12T16-44-29\TF_CRPS_Prev_DetailCotis2022.csv</t>
  </si>
  <si>
    <t>D:\_ROBERT\_IT\Projects\zzzCM\CR-Kerialis\CompteResultat\App_Data\Imports\PROVPREV-2023-07-12T16-44-29\TF_DecomptePrev2022.csv</t>
  </si>
  <si>
    <t>D:\_ROBERT\_IT\Projects\zzzCM\CR-Kerialis\CompteResultat\App_Data\Imports\PROVPREV-2023-07-12T16-44-29\TF_Import_ProvisionsPrev_2022.csv</t>
  </si>
  <si>
    <t>D:\_ROBERT\_IT\Projects\zzzCM\CR-Kerialis\CompteResultat\App_Data\Imports\PROVPREV-2023-07-12T16-44-29\TF_SinistrePrev2022.csv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</si>
  <si>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</si>
  <si>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</si>
  <si>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</si>
  <si>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</si>
  <si>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</si>
  <si>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</si>
  <si>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</si>
  <si>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</si>
  <si>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</si>
  <si>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</si>
  <si>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</si>
  <si>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</si>
  <si>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</si>
  <si>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</si>
  <si>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Contrat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</si>
  <si>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</si>
  <si>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</si>
  <si>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</si>
  <si>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</si>
  <si>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</si>
  <si>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</si>
  <si>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</si>
  <si>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</si>
  <si>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</si>
  <si>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</si>
  <si>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EKILIBRE_</t>
  </si>
  <si>
    <t>12836</t>
  </si>
  <si>
    <t>SITTLER DOMINIQUE</t>
  </si>
  <si>
    <t>Non Cadre</t>
  </si>
  <si>
    <t>13144</t>
  </si>
  <si>
    <t>SUZZI KARINE</t>
  </si>
  <si>
    <t>12702</t>
  </si>
  <si>
    <t>BOITARD BRIGITTE</t>
  </si>
  <si>
    <t>12699</t>
  </si>
  <si>
    <t>12821</t>
  </si>
  <si>
    <t>DORMIGNIES VIVIANE</t>
  </si>
  <si>
    <t>12187</t>
  </si>
  <si>
    <t>FERNANDEZ DIT ALBAREZ MARIELLE</t>
  </si>
  <si>
    <t>Cadre</t>
  </si>
  <si>
    <t>11947</t>
  </si>
  <si>
    <t>HODENCQ HELENE</t>
  </si>
  <si>
    <t>KIETUDE ITT EXCKUSIF_</t>
  </si>
  <si>
    <t>12399</t>
  </si>
  <si>
    <t>GIBERT GRAZIELLA MARIE ELIANE</t>
  </si>
  <si>
    <t>13167</t>
  </si>
  <si>
    <t>ANQUETIN SANDRA JACQUELINE</t>
  </si>
  <si>
    <t>12774</t>
  </si>
  <si>
    <t>TRABELSI NORA</t>
  </si>
  <si>
    <t>11907</t>
  </si>
  <si>
    <t>XAYSONGKHAM ANNE</t>
  </si>
  <si>
    <t>11759</t>
  </si>
  <si>
    <t>VARCHETTA VALERIE</t>
  </si>
  <si>
    <t>12435</t>
  </si>
  <si>
    <t>AUBER ROSELINE</t>
  </si>
  <si>
    <t>11921</t>
  </si>
  <si>
    <t>PAJAUD STEPHANIE</t>
  </si>
  <si>
    <t>11794</t>
  </si>
  <si>
    <t>AGRAIN ISABELLE</t>
  </si>
  <si>
    <t>13044</t>
  </si>
  <si>
    <t>DUCHAT CATHY</t>
  </si>
  <si>
    <t>12487</t>
  </si>
  <si>
    <t>MADONI CATHERINE</t>
  </si>
  <si>
    <t>11466</t>
  </si>
  <si>
    <t>HARNAFI HORILLA</t>
  </si>
  <si>
    <t>11570</t>
  </si>
  <si>
    <t>CORDIER NATHALIE</t>
  </si>
  <si>
    <t>13237</t>
  </si>
  <si>
    <t>BORDEAU MURIELLE</t>
  </si>
  <si>
    <t>12568</t>
  </si>
  <si>
    <t>COLINET-GAMBIER MARTINE</t>
  </si>
  <si>
    <t>12198</t>
  </si>
  <si>
    <t>JANIN GUYLAINE</t>
  </si>
  <si>
    <t>12038</t>
  </si>
  <si>
    <t>GADBOIS FLORENCE</t>
  </si>
  <si>
    <t>12805</t>
  </si>
  <si>
    <t>CAVALLOTTO VALERIE</t>
  </si>
  <si>
    <t>13124</t>
  </si>
  <si>
    <t>BLANCHARD MARYLINE</t>
  </si>
  <si>
    <t>12297</t>
  </si>
  <si>
    <t>GENDRON ANNE</t>
  </si>
  <si>
    <t>11699</t>
  </si>
  <si>
    <t>ZALACHAS ISABELLE</t>
  </si>
  <si>
    <t>11593</t>
  </si>
  <si>
    <t>DE FAVERI MYRIAM</t>
  </si>
  <si>
    <t>13057</t>
  </si>
  <si>
    <t>LABRETAGNE AGNES</t>
  </si>
  <si>
    <t>KOTIDIEN EXKLUSIF_</t>
  </si>
  <si>
    <t>10937</t>
  </si>
  <si>
    <t>CHATELIN ANN-VALERIE</t>
  </si>
  <si>
    <t>11211</t>
  </si>
  <si>
    <t>BENSIMON NICOLE</t>
  </si>
  <si>
    <t>13034</t>
  </si>
  <si>
    <t>CHOVET FLORENCE</t>
  </si>
  <si>
    <t>11945</t>
  </si>
  <si>
    <t>ERRANT VALERIE</t>
  </si>
  <si>
    <t>11274</t>
  </si>
  <si>
    <t>DISCHBEIN NATHALIE</t>
  </si>
  <si>
    <t>11437</t>
  </si>
  <si>
    <t>BROSSE SOPHIE</t>
  </si>
  <si>
    <t>12442</t>
  </si>
  <si>
    <t>DELORME FLORENCE</t>
  </si>
  <si>
    <t>11875</t>
  </si>
  <si>
    <t>LHOTELIER VALERIE</t>
  </si>
  <si>
    <t>12514</t>
  </si>
  <si>
    <t>MATOS DA SILVA CATHERINE</t>
  </si>
  <si>
    <t>12887</t>
  </si>
  <si>
    <t>ANICA CAROLINE</t>
  </si>
  <si>
    <t>12304</t>
  </si>
  <si>
    <t>DUARTE MAURICIO NATHALIE</t>
  </si>
  <si>
    <t>12832</t>
  </si>
  <si>
    <t>DUBOIS LAURENCE</t>
  </si>
  <si>
    <t>12815</t>
  </si>
  <si>
    <t>RUBIO VALERIE</t>
  </si>
  <si>
    <t>12179</t>
  </si>
  <si>
    <t>BERNARD MARIE CHANTAL</t>
  </si>
  <si>
    <t>12486</t>
  </si>
  <si>
    <t>OULMI KARIMA</t>
  </si>
  <si>
    <t>11973</t>
  </si>
  <si>
    <t>ZEMMA SARAH</t>
  </si>
  <si>
    <t>12395</t>
  </si>
  <si>
    <t>WEIHSBACH SYLVIE</t>
  </si>
  <si>
    <t>12220</t>
  </si>
  <si>
    <t>JUILLARD ISABELLE CLAIRE</t>
  </si>
  <si>
    <t>12689</t>
  </si>
  <si>
    <t>LE SERRE ISABELLE</t>
  </si>
  <si>
    <t>12760</t>
  </si>
  <si>
    <t>RUAULT MARIE NOELLE</t>
  </si>
  <si>
    <t>12266</t>
  </si>
  <si>
    <t>GODON SANDRA</t>
  </si>
  <si>
    <t>12810</t>
  </si>
  <si>
    <t>DECULTOT CATHERINE</t>
  </si>
  <si>
    <t>13188</t>
  </si>
  <si>
    <t>BIELSA SANDRINE</t>
  </si>
  <si>
    <t>12213</t>
  </si>
  <si>
    <t>ROUQUIER ISABELLE</t>
  </si>
  <si>
    <t>12396</t>
  </si>
  <si>
    <t>BESANCON SARAH</t>
  </si>
  <si>
    <t>13228</t>
  </si>
  <si>
    <t>CARPENTIER NATHALIE</t>
  </si>
  <si>
    <t>12236</t>
  </si>
  <si>
    <t>JANISZEWSKI VERONIQUE</t>
  </si>
  <si>
    <t>11516</t>
  </si>
  <si>
    <t>NENTIEN SEVERINE</t>
  </si>
  <si>
    <t>12901</t>
  </si>
  <si>
    <t>BURGUION VALERIE</t>
  </si>
  <si>
    <t>13047</t>
  </si>
  <si>
    <t>12978</t>
  </si>
  <si>
    <t>BEAUPERE PASCALE</t>
  </si>
  <si>
    <t>11319</t>
  </si>
  <si>
    <t>DESWAEF SYLVIE</t>
  </si>
  <si>
    <t>12657</t>
  </si>
  <si>
    <t>DEZALAY NADEGE</t>
  </si>
  <si>
    <t>11872</t>
  </si>
  <si>
    <t>BOUSCAYROL MICHELE</t>
  </si>
  <si>
    <t>11877</t>
  </si>
  <si>
    <t>MURILLO AGNES</t>
  </si>
  <si>
    <t>12723</t>
  </si>
  <si>
    <t>LACOUR FLORENCE</t>
  </si>
  <si>
    <t>12062</t>
  </si>
  <si>
    <t>LE COUPANEC VERONIQUE</t>
  </si>
  <si>
    <t>12729</t>
  </si>
  <si>
    <t>VIRAY SANDRINE</t>
  </si>
  <si>
    <t>13182</t>
  </si>
  <si>
    <t>DEGUELDER SEBASTIEN</t>
  </si>
  <si>
    <t>12377</t>
  </si>
  <si>
    <t>SCHAAL CORINNE</t>
  </si>
  <si>
    <t>12756</t>
  </si>
  <si>
    <t>LADEIRA REGINA</t>
  </si>
  <si>
    <t>11271</t>
  </si>
  <si>
    <t>DUPRIEZ SYLVIE</t>
  </si>
  <si>
    <t>12479</t>
  </si>
  <si>
    <t>TRZASKUS CORINNE</t>
  </si>
  <si>
    <t>12870</t>
  </si>
  <si>
    <t>FIOT-AMBLAS DELPHINE</t>
  </si>
  <si>
    <t>12953</t>
  </si>
  <si>
    <t>AZEMA CHRISTINE</t>
  </si>
  <si>
    <t>KIETUDE ITT_</t>
  </si>
  <si>
    <t>11832</t>
  </si>
  <si>
    <t>STEGLE EMMANUELLE</t>
  </si>
  <si>
    <t>11416</t>
  </si>
  <si>
    <t>LECLERCQ VERONIQUE</t>
  </si>
  <si>
    <t>12381</t>
  </si>
  <si>
    <t>GEORGET DALILAS</t>
  </si>
  <si>
    <t>KOTIDIEN_OPTION DÉCÈS_</t>
  </si>
  <si>
    <t>12128</t>
  </si>
  <si>
    <t>PECHOUX MICHELE</t>
  </si>
  <si>
    <t>12333</t>
  </si>
  <si>
    <t>FUCHS CORINNE</t>
  </si>
  <si>
    <t>13012</t>
  </si>
  <si>
    <t>CARMONA SANDRA</t>
  </si>
  <si>
    <t>11919</t>
  </si>
  <si>
    <t>LUCIANI RAYMONDE</t>
  </si>
  <si>
    <t>12267</t>
  </si>
  <si>
    <t>MARAIS MARIE RENEE</t>
  </si>
  <si>
    <t>13114</t>
  </si>
  <si>
    <t>DONADIO MARIE-HELENE</t>
  </si>
  <si>
    <t>12118</t>
  </si>
  <si>
    <t>MISSOL MARIE COLETTE</t>
  </si>
  <si>
    <t>11536</t>
  </si>
  <si>
    <t>COLONNA EVELYNE</t>
  </si>
  <si>
    <t>12659</t>
  </si>
  <si>
    <t>CARLINI MARIE-NOELLE</t>
  </si>
  <si>
    <t>12205</t>
  </si>
  <si>
    <t>NGUYEN HOANG PHUONG ANH</t>
  </si>
  <si>
    <t>10608</t>
  </si>
  <si>
    <t>HAMON MARIE FRANCE</t>
  </si>
  <si>
    <t>12842</t>
  </si>
  <si>
    <t>HEYDEL FRANCOISE</t>
  </si>
  <si>
    <t>12954</t>
  </si>
  <si>
    <t>10818</t>
  </si>
  <si>
    <t>BLANC MONIQUE</t>
  </si>
  <si>
    <t>12289</t>
  </si>
  <si>
    <t>DAHAN BRIGITTE</t>
  </si>
  <si>
    <t>13080</t>
  </si>
  <si>
    <t>12452</t>
  </si>
  <si>
    <t>12346</t>
  </si>
  <si>
    <t>BUNICHON VERONIQUE</t>
  </si>
  <si>
    <t>11761</t>
  </si>
  <si>
    <t>DO PILAR CORREIRA JOSE MANUEL</t>
  </si>
  <si>
    <t>12618</t>
  </si>
  <si>
    <t>12341</t>
  </si>
  <si>
    <t>HUBER LAURENCE</t>
  </si>
  <si>
    <t>11693</t>
  </si>
  <si>
    <t>DEBAES CATHERINE</t>
  </si>
  <si>
    <t>10720</t>
  </si>
  <si>
    <t>CORON CATHERINE</t>
  </si>
  <si>
    <t>12705</t>
  </si>
  <si>
    <t>LABRE ROSELYNE</t>
  </si>
  <si>
    <t>12366</t>
  </si>
  <si>
    <t>FOURNIER CHRISTINE</t>
  </si>
  <si>
    <t>11864</t>
  </si>
  <si>
    <t>METEYE CORINNE</t>
  </si>
  <si>
    <t>12067</t>
  </si>
  <si>
    <t>11359</t>
  </si>
  <si>
    <t>HUET SYLVIE</t>
  </si>
  <si>
    <t>11716</t>
  </si>
  <si>
    <t>PEREZ NEDJOUA</t>
  </si>
  <si>
    <t>11743</t>
  </si>
  <si>
    <t>LATREUILLE SYLVIE</t>
  </si>
  <si>
    <t>11110</t>
  </si>
  <si>
    <t>JACQUET ANNE MARIE</t>
  </si>
  <si>
    <t>KOTIDIEN_</t>
  </si>
  <si>
    <t>11824</t>
  </si>
  <si>
    <t>OUTTERS BRIGITTE</t>
  </si>
  <si>
    <t>12703</t>
  </si>
  <si>
    <t>DIVOUX BRIGITTE</t>
  </si>
  <si>
    <t>13118</t>
  </si>
  <si>
    <t>ROCHE CHRISTINE</t>
  </si>
  <si>
    <t>11744</t>
  </si>
  <si>
    <t>JODON DE VILLEROCHE ISABELLE</t>
  </si>
  <si>
    <t>11871</t>
  </si>
  <si>
    <t>WIZMAN DEBORAH</t>
  </si>
  <si>
    <t>10964</t>
  </si>
  <si>
    <t>LAFFONT MARIE JEANNE</t>
  </si>
  <si>
    <t>12208</t>
  </si>
  <si>
    <t>LACUEILLE MARYSE</t>
  </si>
  <si>
    <t>12203</t>
  </si>
  <si>
    <t>11606</t>
  </si>
  <si>
    <t>BERTHET MIREILLE</t>
  </si>
  <si>
    <t>12861</t>
  </si>
  <si>
    <t>GHERA MONIQUE</t>
  </si>
  <si>
    <t>12585</t>
  </si>
  <si>
    <t>HATZITHEODORE CAROLE</t>
  </si>
  <si>
    <t>13036</t>
  </si>
  <si>
    <t>NASSER NADIA</t>
  </si>
  <si>
    <t>12999</t>
  </si>
  <si>
    <t>LELOIR GERMAINE</t>
  </si>
  <si>
    <t>11349</t>
  </si>
  <si>
    <t>CASASSA MIREILLE</t>
  </si>
  <si>
    <t>11664</t>
  </si>
  <si>
    <t>AYCART EDITH</t>
  </si>
  <si>
    <t>12765</t>
  </si>
  <si>
    <t>LESCOT AGNES LINDA FABIENNE</t>
  </si>
  <si>
    <t>12512</t>
  </si>
  <si>
    <t>BONNEFOI SERGE</t>
  </si>
  <si>
    <t>11170</t>
  </si>
  <si>
    <t>BONNIEC PAULE</t>
  </si>
  <si>
    <t>11684</t>
  </si>
  <si>
    <t>BELLOT CHANTAL</t>
  </si>
  <si>
    <t>12852</t>
  </si>
  <si>
    <t>LEGAL BRIGITTE</t>
  </si>
  <si>
    <t>12958</t>
  </si>
  <si>
    <t>FAUCARD SYLVIE AGNES</t>
  </si>
  <si>
    <t>12151</t>
  </si>
  <si>
    <t>SIX ELISABETH</t>
  </si>
  <si>
    <t>12472</t>
  </si>
  <si>
    <t>BETTER KARIN</t>
  </si>
  <si>
    <t>13052</t>
  </si>
  <si>
    <t>WINCKEL NATHALIE</t>
  </si>
  <si>
    <t>11876</t>
  </si>
  <si>
    <t>SCHMITT MYRIAM</t>
  </si>
  <si>
    <t>11922</t>
  </si>
  <si>
    <t>MARTIN NATHALIE</t>
  </si>
  <si>
    <t>12911</t>
  </si>
  <si>
    <t>YGONIN SYLVIE</t>
  </si>
  <si>
    <t>13104</t>
  </si>
  <si>
    <t>WAUGH ISABELLE</t>
  </si>
  <si>
    <t>12255</t>
  </si>
  <si>
    <t>GAUVIN MARIE-LAURE</t>
  </si>
  <si>
    <t>13216</t>
  </si>
  <si>
    <t>MACE CATHERINE</t>
  </si>
  <si>
    <t>10948</t>
  </si>
  <si>
    <t>RIBOLZI EVELYNE</t>
  </si>
  <si>
    <t>12926</t>
  </si>
  <si>
    <t>DEBELLEIX MARTINE</t>
  </si>
  <si>
    <t>12554</t>
  </si>
  <si>
    <t>SLIMANE VERONIQUE</t>
  </si>
  <si>
    <t>11878</t>
  </si>
  <si>
    <t>KLEIN FRANCOISE</t>
  </si>
  <si>
    <t>12448</t>
  </si>
  <si>
    <t>FOUCAULT SYLVIE</t>
  </si>
  <si>
    <t>11435</t>
  </si>
  <si>
    <t>GARCIA MARIE</t>
  </si>
  <si>
    <t>12473</t>
  </si>
  <si>
    <t>SUCCESSION DE MME DELPUECH BEATRICE</t>
  </si>
  <si>
    <t>12339</t>
  </si>
  <si>
    <t>ADE CARINE</t>
  </si>
  <si>
    <t>13011</t>
  </si>
  <si>
    <t>BILLARD CATHERINE</t>
  </si>
  <si>
    <t>12380</t>
  </si>
  <si>
    <t>CONSTANTIN CHANTAL</t>
  </si>
  <si>
    <t>13219</t>
  </si>
  <si>
    <t>12144</t>
  </si>
  <si>
    <t>HENRIQUES DA PIEDADO ISABEL</t>
  </si>
  <si>
    <t>KIETUDE FRANCHISE_</t>
  </si>
  <si>
    <t>12231</t>
  </si>
  <si>
    <t>GERAULT MARIE LAURE</t>
  </si>
  <si>
    <t>12556</t>
  </si>
  <si>
    <t>MOTTAIS DANIELE</t>
  </si>
  <si>
    <t>12691</t>
  </si>
  <si>
    <t>MOREL ODILE</t>
  </si>
  <si>
    <t>11582</t>
  </si>
  <si>
    <t>CAUSSE FLORENCE</t>
  </si>
  <si>
    <t>12453</t>
  </si>
  <si>
    <t>12202</t>
  </si>
  <si>
    <t>SEITE ELISABETH</t>
  </si>
  <si>
    <t>12264</t>
  </si>
  <si>
    <t>TRESSEL SYLVIE</t>
  </si>
  <si>
    <t>12931</t>
  </si>
  <si>
    <t>HAAG PATRICIA</t>
  </si>
  <si>
    <t>12620</t>
  </si>
  <si>
    <t>LESPINASSE ANNE FRANCOISE</t>
  </si>
  <si>
    <t>12964</t>
  </si>
  <si>
    <t>GUYOT ALAIN</t>
  </si>
  <si>
    <t>12637</t>
  </si>
  <si>
    <t>EXIGA HELENE</t>
  </si>
  <si>
    <t>12212</t>
  </si>
  <si>
    <t>SUBIRA FABIENNE</t>
  </si>
  <si>
    <t>12977</t>
  </si>
  <si>
    <t>MASUREL DEBAYE VERONIQUE</t>
  </si>
  <si>
    <t>11488</t>
  </si>
  <si>
    <t>DRAY MARIE-JEANNE</t>
  </si>
  <si>
    <t>12639</t>
  </si>
  <si>
    <t>MORVAN CLAUDIE</t>
  </si>
  <si>
    <t>12483</t>
  </si>
  <si>
    <t>MARANGE FLORENCE</t>
  </si>
  <si>
    <t>12538</t>
  </si>
  <si>
    <t>CARCELES CORINE</t>
  </si>
  <si>
    <t>13037</t>
  </si>
  <si>
    <t>STECKEL ANNIE</t>
  </si>
  <si>
    <t>12171</t>
  </si>
  <si>
    <t>CALDERON GENEVIEVE</t>
  </si>
  <si>
    <t>12392</t>
  </si>
  <si>
    <t>GAHERY MARIE AIMEE</t>
  </si>
  <si>
    <t>12488</t>
  </si>
  <si>
    <t>LEBAN JOSEE</t>
  </si>
  <si>
    <t>12296</t>
  </si>
  <si>
    <t>BURY AGNES</t>
  </si>
  <si>
    <t>12358</t>
  </si>
  <si>
    <t>TREMAUDAN SYLVIE</t>
  </si>
  <si>
    <t>12313</t>
  </si>
  <si>
    <t>ZISS MARTINE</t>
  </si>
  <si>
    <t>11160</t>
  </si>
  <si>
    <t>BEUVAIN NADIA</t>
  </si>
  <si>
    <t>12817</t>
  </si>
  <si>
    <t>PANAU PILAR</t>
  </si>
  <si>
    <t>12730</t>
  </si>
  <si>
    <t>BRAY CORINNE</t>
  </si>
  <si>
    <t>12263</t>
  </si>
  <si>
    <t>CHEVALLIER CORINNE</t>
  </si>
  <si>
    <t>13051</t>
  </si>
  <si>
    <t>FORESTIER VERONIQUE</t>
  </si>
  <si>
    <t>12376</t>
  </si>
  <si>
    <t>HUYSSCHAERT MARTINE</t>
  </si>
  <si>
    <t>12007</t>
  </si>
  <si>
    <t>MAUDHUY DISEUR MARIE NOELLE</t>
  </si>
  <si>
    <t>13254</t>
  </si>
  <si>
    <t>RAMDANI DANIELE</t>
  </si>
  <si>
    <t>13098</t>
  </si>
  <si>
    <t>LEAO ELSA MARIA</t>
  </si>
  <si>
    <t>12670</t>
  </si>
  <si>
    <t>BAUDIN CHRISTINE</t>
  </si>
  <si>
    <t>12081</t>
  </si>
  <si>
    <t>AMBLARD ISABELLE</t>
  </si>
  <si>
    <t>12298</t>
  </si>
  <si>
    <t>SMOLDERS CATHERINE</t>
  </si>
  <si>
    <t>12450</t>
  </si>
  <si>
    <t>SAKALIAN FRANCOISE</t>
  </si>
  <si>
    <t>12669</t>
  </si>
  <si>
    <t>GICQUEL CATHERINE</t>
  </si>
  <si>
    <t>11920</t>
  </si>
  <si>
    <t>SEGHIER YVETTE</t>
  </si>
  <si>
    <t>PERFEKT_</t>
  </si>
  <si>
    <t>12674</t>
  </si>
  <si>
    <t>BAHOU MYRIAM</t>
  </si>
  <si>
    <t>11720</t>
  </si>
  <si>
    <t>MARANDI NATHALIE</t>
  </si>
  <si>
    <t>12531</t>
  </si>
  <si>
    <t>ROUX ELISABETH</t>
  </si>
  <si>
    <t>12548</t>
  </si>
  <si>
    <t>CLAIR AGNES</t>
  </si>
  <si>
    <t>12583</t>
  </si>
  <si>
    <t>CRUSSAIRE LAURENCE</t>
  </si>
  <si>
    <t>12584</t>
  </si>
  <si>
    <t>BONNARD NADINE</t>
  </si>
  <si>
    <t>12449</t>
  </si>
  <si>
    <t>DARRAS MARIE CLAUDE</t>
  </si>
  <si>
    <t>13205</t>
  </si>
  <si>
    <t>GUITARD NATHALIE</t>
  </si>
  <si>
    <t>12513</t>
  </si>
  <si>
    <t>FAUCOUNEAU ANNE</t>
  </si>
  <si>
    <t>12009</t>
  </si>
  <si>
    <t>CORTES PATRICIA</t>
  </si>
  <si>
    <t>12510</t>
  </si>
  <si>
    <t>PERISSAT MARIE FRANCOISE</t>
  </si>
  <si>
    <t>12930</t>
  </si>
  <si>
    <t>KANZARI MURIEL</t>
  </si>
  <si>
    <t>12277</t>
  </si>
  <si>
    <t>ACETI REINSON CATHERINE</t>
  </si>
  <si>
    <t>11254</t>
  </si>
  <si>
    <t>BAJOU MARIE PIERRE</t>
  </si>
  <si>
    <t>12549</t>
  </si>
  <si>
    <t>DUMOULIN SYLVAINE</t>
  </si>
  <si>
    <t>11418</t>
  </si>
  <si>
    <t>HOLIN ALEXANDRA</t>
  </si>
  <si>
    <t>12175</t>
  </si>
  <si>
    <t>DO COITO MARTINE</t>
  </si>
  <si>
    <t>12278</t>
  </si>
  <si>
    <t>FOURNIER CHARLOTTE</t>
  </si>
  <si>
    <t>12031</t>
  </si>
  <si>
    <t>MOLLARD ANGELINE</t>
  </si>
  <si>
    <t>12890</t>
  </si>
  <si>
    <t>DUVAL SOPHIE</t>
  </si>
  <si>
    <t>12083</t>
  </si>
  <si>
    <t>PETIT CATHERINE</t>
  </si>
  <si>
    <t>11362</t>
  </si>
  <si>
    <t>STROL VERONIQUE</t>
  </si>
  <si>
    <t>12454</t>
  </si>
  <si>
    <t>GRALL FLORENCE</t>
  </si>
  <si>
    <t>11940</t>
  </si>
  <si>
    <t>COURTEAUD FRANCE</t>
  </si>
  <si>
    <t>12413</t>
  </si>
  <si>
    <t>12563</t>
  </si>
  <si>
    <t>LEPARRY FRANCOISE</t>
  </si>
  <si>
    <t>13137</t>
  </si>
  <si>
    <t>PAGES MONIQUE</t>
  </si>
  <si>
    <t>12338</t>
  </si>
  <si>
    <t>SALERNO SYLVIE</t>
  </si>
  <si>
    <t>12521</t>
  </si>
  <si>
    <t>12992</t>
  </si>
  <si>
    <t>MARQUET MARIE-HELENE</t>
  </si>
  <si>
    <t>12272</t>
  </si>
  <si>
    <t>DE POLI CORINE</t>
  </si>
  <si>
    <t>12523</t>
  </si>
  <si>
    <t>HUSSON VERONIQUE</t>
  </si>
  <si>
    <t>13041</t>
  </si>
  <si>
    <t>GUINOT CATHERINE</t>
  </si>
  <si>
    <t>13091</t>
  </si>
  <si>
    <t>GUYONVARCH CATHERINE</t>
  </si>
  <si>
    <t>12240</t>
  </si>
  <si>
    <t>METRAN MARIE-ANGELE</t>
  </si>
  <si>
    <t>12426</t>
  </si>
  <si>
    <t>BRANCOURT CATHERINE</t>
  </si>
  <si>
    <t>12221</t>
  </si>
  <si>
    <t>PICCA MONIQUE</t>
  </si>
  <si>
    <t>12822</t>
  </si>
  <si>
    <t>BRUFAU MURIEL</t>
  </si>
  <si>
    <t>11143</t>
  </si>
  <si>
    <t>BRUNO NADINE</t>
  </si>
  <si>
    <t>12445</t>
  </si>
  <si>
    <t>RENAULT PATRICIA</t>
  </si>
  <si>
    <t>12308</t>
  </si>
  <si>
    <t>BALLON VERONIQUE</t>
  </si>
  <si>
    <t>12613</t>
  </si>
  <si>
    <t>ANFRAY SYLVIE</t>
  </si>
  <si>
    <t>12718</t>
  </si>
  <si>
    <t>DEE CHANTAL</t>
  </si>
  <si>
    <t>11494</t>
  </si>
  <si>
    <t>CHANGEUR JOSEFA</t>
  </si>
  <si>
    <t>13226</t>
  </si>
  <si>
    <t>PETRI GISELE</t>
  </si>
  <si>
    <t>12310</t>
  </si>
  <si>
    <t>PELOSI VALERIE</t>
  </si>
  <si>
    <t>11228</t>
  </si>
  <si>
    <t>PUJO MARIE CLAUDE</t>
  </si>
  <si>
    <t>12820</t>
  </si>
  <si>
    <t>ROUSSEL JACQUELINE</t>
  </si>
  <si>
    <t>12526</t>
  </si>
  <si>
    <t>DROIN DELPHINE MARIE-THERESE GE</t>
  </si>
  <si>
    <t>13187</t>
  </si>
  <si>
    <t>VOLPARO VALERIE</t>
  </si>
  <si>
    <t>13006</t>
  </si>
  <si>
    <t>MONIN GENEVIEVE</t>
  </si>
  <si>
    <t>11960</t>
  </si>
  <si>
    <t>ROUX MARIE SYLVIE</t>
  </si>
  <si>
    <t>12250</t>
  </si>
  <si>
    <t>DALLOSTO CHRISTINE</t>
  </si>
  <si>
    <t>12923</t>
  </si>
  <si>
    <t>CUOQ AGNES</t>
  </si>
  <si>
    <t>12503</t>
  </si>
  <si>
    <t>PERINETTI CATHERINE</t>
  </si>
  <si>
    <t>12146</t>
  </si>
  <si>
    <t>GREMONT HELENE</t>
  </si>
  <si>
    <t>13138</t>
  </si>
  <si>
    <t>CORREIA-ANTUNES MARIA</t>
  </si>
  <si>
    <t>KIETUDE FRANCHISE_OPTION CHARGES SOCIALES 100% 15J_</t>
  </si>
  <si>
    <t>11828</t>
  </si>
  <si>
    <t>DI FAZIO ISABELLE</t>
  </si>
  <si>
    <t>12672</t>
  </si>
  <si>
    <t>12829</t>
  </si>
  <si>
    <t>MENAGER VALERIE</t>
  </si>
  <si>
    <t>13201</t>
  </si>
  <si>
    <t>SENELLIER DANIELE</t>
  </si>
  <si>
    <t>12799</t>
  </si>
  <si>
    <t>ACACIO NATHALIE</t>
  </si>
  <si>
    <t>11517</t>
  </si>
  <si>
    <t>MOURGAND SYLVIE</t>
  </si>
  <si>
    <t>12084</t>
  </si>
  <si>
    <t>MODERNE SYLVIE</t>
  </si>
  <si>
    <t>12587</t>
  </si>
  <si>
    <t>LUPPI SABINE</t>
  </si>
  <si>
    <t>12393</t>
  </si>
  <si>
    <t>SINTES BEATRICE</t>
  </si>
  <si>
    <t>11302</t>
  </si>
  <si>
    <t>CHAMPION SANDRINE</t>
  </si>
  <si>
    <t>10704</t>
  </si>
  <si>
    <t>MECHERI FADHILA</t>
  </si>
  <si>
    <t>12797</t>
  </si>
  <si>
    <t>POREZ GRISEUR HELENE</t>
  </si>
  <si>
    <t>13094</t>
  </si>
  <si>
    <t>MONTIGNY KARINE</t>
  </si>
  <si>
    <t>12589</t>
  </si>
  <si>
    <t>SAGNE ANNA</t>
  </si>
  <si>
    <t>12174</t>
  </si>
  <si>
    <t>CATUDAL SEVERINE</t>
  </si>
  <si>
    <t>12001</t>
  </si>
  <si>
    <t>BODART FREDERIQUE</t>
  </si>
  <si>
    <t>12586</t>
  </si>
  <si>
    <t>KOSTEK ISABELLE</t>
  </si>
  <si>
    <t>10774</t>
  </si>
  <si>
    <t>BENBARON SONIA</t>
  </si>
  <si>
    <t>13214</t>
  </si>
  <si>
    <t>KORB CHRISTEL</t>
  </si>
  <si>
    <t>12495</t>
  </si>
  <si>
    <t>BERNARD SANDRINE</t>
  </si>
  <si>
    <t>13134</t>
  </si>
  <si>
    <t>LEOTY MYRIAM</t>
  </si>
  <si>
    <t>12306</t>
  </si>
  <si>
    <t>RIGAUD ELISABETH</t>
  </si>
  <si>
    <t>EKILIBRE EXKLUSIF_OPTION CHARGES SOCIALES 100% 30J EXKLUSI_</t>
  </si>
  <si>
    <t>10894</t>
  </si>
  <si>
    <t>KARIM OUISSEME</t>
  </si>
  <si>
    <t>11946</t>
  </si>
  <si>
    <t>SCHNEIDER NADJA</t>
  </si>
  <si>
    <t>12932</t>
  </si>
  <si>
    <t>JOBEZ CORINNE</t>
  </si>
  <si>
    <t>11879</t>
  </si>
  <si>
    <t>EVANO FLORENCE</t>
  </si>
  <si>
    <t>12176</t>
  </si>
  <si>
    <t>CHARPENAY CATHERINE</t>
  </si>
  <si>
    <t>11507</t>
  </si>
  <si>
    <t>BRUNA LAURETTE</t>
  </si>
  <si>
    <t>12199</t>
  </si>
  <si>
    <t>LE GALLOU CAROLE</t>
  </si>
  <si>
    <t>12275</t>
  </si>
  <si>
    <t>MESSAGIER NASSIRA</t>
  </si>
  <si>
    <t>12706</t>
  </si>
  <si>
    <t>BADIN CHRISTINE</t>
  </si>
  <si>
    <t>12390</t>
  </si>
  <si>
    <t>VIALE EVELYNE</t>
  </si>
  <si>
    <t>13086</t>
  </si>
  <si>
    <t>RODRIGUES LILIANE</t>
  </si>
  <si>
    <t>12709</t>
  </si>
  <si>
    <t>ANTUNES CATHERINE</t>
  </si>
  <si>
    <t>11928</t>
  </si>
  <si>
    <t>CHAMY SANDRINE</t>
  </si>
  <si>
    <t>12215</t>
  </si>
  <si>
    <t>CRIGNIER NATHALIE</t>
  </si>
  <si>
    <t>11704</t>
  </si>
  <si>
    <t>SUDER CORINNE</t>
  </si>
  <si>
    <t>12342</t>
  </si>
  <si>
    <t>PICORNOT FLORENCE</t>
  </si>
  <si>
    <t>12336</t>
  </si>
  <si>
    <t>BARBOSA MARIA HELENE</t>
  </si>
  <si>
    <t>11915</t>
  </si>
  <si>
    <t>HURIERE CHRISTELLE</t>
  </si>
  <si>
    <t>12809</t>
  </si>
  <si>
    <t>VOLPE ANNE MARIE</t>
  </si>
  <si>
    <t>11151</t>
  </si>
  <si>
    <t>MACAREZ RACHEL</t>
  </si>
  <si>
    <t>12265</t>
  </si>
  <si>
    <t>HENEAUX ISABELLE</t>
  </si>
  <si>
    <t>12989</t>
  </si>
  <si>
    <t>SCHUH LAURENCE</t>
  </si>
  <si>
    <t>12235</t>
  </si>
  <si>
    <t>FERNET ZORANA</t>
  </si>
  <si>
    <t>10925</t>
  </si>
  <si>
    <t>COUBRICHE VIRGINIE</t>
  </si>
  <si>
    <t>12257</t>
  </si>
  <si>
    <t>GARCIA CHRISTINE</t>
  </si>
  <si>
    <t>11443</t>
  </si>
  <si>
    <t>MAUSSANG CORINNE</t>
  </si>
  <si>
    <t>11463</t>
  </si>
  <si>
    <t>DUPONT CHRISTEL VALERIE</t>
  </si>
  <si>
    <t>11386</t>
  </si>
  <si>
    <t>HUBAC MAGALI</t>
  </si>
  <si>
    <t>12091</t>
  </si>
  <si>
    <t>BERTIN-CARRIE NATHALIE</t>
  </si>
  <si>
    <t>12281</t>
  </si>
  <si>
    <t>ROUX ISABELLE</t>
  </si>
  <si>
    <t>EKILIBRE EXKLUSIF_OPTION DÉCÈS EXKLUSIF_</t>
  </si>
  <si>
    <t>12311</t>
  </si>
  <si>
    <t>BAPTISTA MICHEL</t>
  </si>
  <si>
    <t>12316</t>
  </si>
  <si>
    <t>BERCEGEAY MARIE-BERNADETTE</t>
  </si>
  <si>
    <t>13147</t>
  </si>
  <si>
    <t>MAIRET AUDREY</t>
  </si>
  <si>
    <t>12704</t>
  </si>
  <si>
    <t>LOURABI NADIA</t>
  </si>
  <si>
    <t>12484</t>
  </si>
  <si>
    <t>ICHALALEN FARIDA</t>
  </si>
  <si>
    <t>12180</t>
  </si>
  <si>
    <t>SABATON PATRICE</t>
  </si>
  <si>
    <t>12154</t>
  </si>
  <si>
    <t>MARY LAETITIA</t>
  </si>
  <si>
    <t>11728</t>
  </si>
  <si>
    <t>PASQUET CHRISTELLE</t>
  </si>
  <si>
    <t>12998</t>
  </si>
  <si>
    <t>ABRAHAM JEANNE</t>
  </si>
  <si>
    <t>12248</t>
  </si>
  <si>
    <t>JEDERMARK PIA</t>
  </si>
  <si>
    <t>13148</t>
  </si>
  <si>
    <t>SPRINGOLO LAURENCE</t>
  </si>
  <si>
    <t>11119</t>
  </si>
  <si>
    <t>AURIAC BEATRICE</t>
  </si>
  <si>
    <t>13246</t>
  </si>
  <si>
    <t>BENTLEY LAURENCE</t>
  </si>
  <si>
    <t>11584</t>
  </si>
  <si>
    <t>FREVA PHILIPPE</t>
  </si>
  <si>
    <t>12997</t>
  </si>
  <si>
    <t>BOUHADANA CELINE</t>
  </si>
  <si>
    <t>11841</t>
  </si>
  <si>
    <t>TERKEMANI NADIA</t>
  </si>
  <si>
    <t>13146</t>
  </si>
  <si>
    <t>COIRATON ISABELLE</t>
  </si>
  <si>
    <t>11172</t>
  </si>
  <si>
    <t>GILOIS JEAN PIERRE</t>
  </si>
  <si>
    <t>11334</t>
  </si>
  <si>
    <t>MOKREA ODILE</t>
  </si>
  <si>
    <t>12170</t>
  </si>
  <si>
    <t>MACHIN DELPHINE</t>
  </si>
  <si>
    <t>13035</t>
  </si>
  <si>
    <t>ENEE KARINE</t>
  </si>
  <si>
    <t>12382</t>
  </si>
  <si>
    <t>COMBRISSON JOLY CAROLINE</t>
  </si>
  <si>
    <t>12012</t>
  </si>
  <si>
    <t>RAMAIN ELISABETH</t>
  </si>
  <si>
    <t>11944</t>
  </si>
  <si>
    <t>BOUCKENOOGHE CELINE</t>
  </si>
  <si>
    <t>11583</t>
  </si>
  <si>
    <t>TONNELIER EMMANUELLE</t>
  </si>
  <si>
    <t>11529</t>
  </si>
  <si>
    <t>LAMHOUT VALERIE</t>
  </si>
  <si>
    <t>12662</t>
  </si>
  <si>
    <t>MORAWSKI MARIOLA</t>
  </si>
  <si>
    <t>13046</t>
  </si>
  <si>
    <t>HONORE NATHALIE</t>
  </si>
  <si>
    <t>12011</t>
  </si>
  <si>
    <t>JAUZE MARTINE</t>
  </si>
  <si>
    <t>12921</t>
  </si>
  <si>
    <t>FALABREGUE NATHALIE</t>
  </si>
  <si>
    <t>13178</t>
  </si>
  <si>
    <t>WALTER MARYLINE</t>
  </si>
  <si>
    <t>12501</t>
  </si>
  <si>
    <t>COCHARD SYLVIE</t>
  </si>
  <si>
    <t>12480</t>
  </si>
  <si>
    <t>COHEN STEPHANIE</t>
  </si>
  <si>
    <t>12085</t>
  </si>
  <si>
    <t>FRANCOIS SANDRINE</t>
  </si>
  <si>
    <t>12155</t>
  </si>
  <si>
    <t>EYMARD CHRYSTELLE</t>
  </si>
  <si>
    <t>13183</t>
  </si>
  <si>
    <t>FONTAINE SOPHIE</t>
  </si>
  <si>
    <t>12920</t>
  </si>
  <si>
    <t>BOURGEOIS VIRGINIE</t>
  </si>
  <si>
    <t>11586</t>
  </si>
  <si>
    <t>GOYARD HELENE</t>
  </si>
  <si>
    <t>13169</t>
  </si>
  <si>
    <t>RIEFFEL-DAHMANI CECILE</t>
  </si>
  <si>
    <t>12764</t>
  </si>
  <si>
    <t>PAGES CORINE</t>
  </si>
  <si>
    <t>12936</t>
  </si>
  <si>
    <t>BERTIN CATHERINE</t>
  </si>
  <si>
    <t>13123</t>
  </si>
  <si>
    <t>INGELAERE REYNALD</t>
  </si>
  <si>
    <t>12387</t>
  </si>
  <si>
    <t>CARPENTIER JOCELYNE</t>
  </si>
  <si>
    <t>11968</t>
  </si>
  <si>
    <t>BONACCI LAURENCE</t>
  </si>
  <si>
    <t>12361</t>
  </si>
  <si>
    <t>GOMES ANTUNES MARIA DA GLORIA</t>
  </si>
  <si>
    <t>11943</t>
  </si>
  <si>
    <t>CARPENTIER VIRGINIE</t>
  </si>
  <si>
    <t>12279</t>
  </si>
  <si>
    <t>NEBOT DANY</t>
  </si>
  <si>
    <t>13117</t>
  </si>
  <si>
    <t>POTA JEAN FRANCOIS</t>
  </si>
  <si>
    <t>13033</t>
  </si>
  <si>
    <t>BALLANGER SOPHIE</t>
  </si>
  <si>
    <t>12394</t>
  </si>
  <si>
    <t>CARON BRIGITTE</t>
  </si>
  <si>
    <t>11602</t>
  </si>
  <si>
    <t>GAUDINET JEAN MARC</t>
  </si>
  <si>
    <t>12673</t>
  </si>
  <si>
    <t>AZOR MAGALY</t>
  </si>
  <si>
    <t>13064</t>
  </si>
  <si>
    <t>12191</t>
  </si>
  <si>
    <t>ANDIOEN NATHALIE</t>
  </si>
  <si>
    <t>11657</t>
  </si>
  <si>
    <t>MEDINI ILHEM</t>
  </si>
  <si>
    <t>12065</t>
  </si>
  <si>
    <t>GRANGE JEAN CHRISTOPHE</t>
  </si>
  <si>
    <t>12625</t>
  </si>
  <si>
    <t>BRIGNOLI NICOLE</t>
  </si>
  <si>
    <t>12947</t>
  </si>
  <si>
    <t>SELIM LYNDA</t>
  </si>
  <si>
    <t>13042</t>
  </si>
  <si>
    <t>BLANCHARD CECILE</t>
  </si>
  <si>
    <t>12588</t>
  </si>
  <si>
    <t>GIARRATANA EMILIE</t>
  </si>
  <si>
    <t>12349</t>
  </si>
  <si>
    <t>KOCGURBUZ SELDA SUZANNE</t>
  </si>
  <si>
    <t>12845</t>
  </si>
  <si>
    <t>BONNIN CELINE</t>
  </si>
  <si>
    <t>13092</t>
  </si>
  <si>
    <t>NOLLET CATHERINE</t>
  </si>
  <si>
    <t>11930</t>
  </si>
  <si>
    <t>12254</t>
  </si>
  <si>
    <t>NIGOU CELINE</t>
  </si>
  <si>
    <t>13101</t>
  </si>
  <si>
    <t>ROUSSEAU CORINNE</t>
  </si>
  <si>
    <t>11609</t>
  </si>
  <si>
    <t>CARON CATHY</t>
  </si>
  <si>
    <t>10736</t>
  </si>
  <si>
    <t>ROBIN MYRIAM</t>
  </si>
  <si>
    <t>12033</t>
  </si>
  <si>
    <t>ARTIGALA NATHALIE</t>
  </si>
  <si>
    <t>12460</t>
  </si>
  <si>
    <t>BOURGUIGNON CHRISTEL</t>
  </si>
  <si>
    <t>12733</t>
  </si>
  <si>
    <t>OUAHDI HAMID</t>
  </si>
  <si>
    <t>12301</t>
  </si>
  <si>
    <t>HORDY VERONIQUE</t>
  </si>
  <si>
    <t>12546</t>
  </si>
  <si>
    <t>MANGEL ALEXANDRA</t>
  </si>
  <si>
    <t>12461</t>
  </si>
  <si>
    <t>VADELORGE SOPHIE</t>
  </si>
  <si>
    <t>12724</t>
  </si>
  <si>
    <t>POITOU ANGELIQUE</t>
  </si>
  <si>
    <t>10906</t>
  </si>
  <si>
    <t>BARRANCO VERONIQUE</t>
  </si>
  <si>
    <t>11938</t>
  </si>
  <si>
    <t>MARTINEZ FABIENNE</t>
  </si>
  <si>
    <t>12581</t>
  </si>
  <si>
    <t>JBARA AMAL</t>
  </si>
  <si>
    <t>12762</t>
  </si>
  <si>
    <t>GOMES MARIA</t>
  </si>
  <si>
    <t>10730</t>
  </si>
  <si>
    <t>HEGEDIS EVA</t>
  </si>
  <si>
    <t>12334</t>
  </si>
  <si>
    <t>PAVICA DANA</t>
  </si>
  <si>
    <t>12795</t>
  </si>
  <si>
    <t>RUDENT ISABELLE</t>
  </si>
  <si>
    <t>12593</t>
  </si>
  <si>
    <t>UGGERI ISABELLE</t>
  </si>
  <si>
    <t>12834</t>
  </si>
  <si>
    <t>CRISPINO FRANCOIS</t>
  </si>
  <si>
    <t>12630</t>
  </si>
  <si>
    <t>BELZACQ INES</t>
  </si>
  <si>
    <t>11518</t>
  </si>
  <si>
    <t>L HOTELLIER LETARD ANNE</t>
  </si>
  <si>
    <t>10649</t>
  </si>
  <si>
    <t>FOREST THIERRY</t>
  </si>
  <si>
    <t>12560</t>
  </si>
  <si>
    <t>MEISTERMANN ELISE</t>
  </si>
  <si>
    <t>12186</t>
  </si>
  <si>
    <t>DE GRAVE VIRGINIE</t>
  </si>
  <si>
    <t>11723</t>
  </si>
  <si>
    <t>THAKOOR INDRANEE</t>
  </si>
  <si>
    <t>11573</t>
  </si>
  <si>
    <t>GOUX ANAIS</t>
  </si>
  <si>
    <t>12700</t>
  </si>
  <si>
    <t>BRAVARD PRAECILLA</t>
  </si>
  <si>
    <t>12359</t>
  </si>
  <si>
    <t>DEFRANCE VIRGINIE</t>
  </si>
  <si>
    <t>12636</t>
  </si>
  <si>
    <t>LECLERC FABIENNE</t>
  </si>
  <si>
    <t>12768</t>
  </si>
  <si>
    <t>SCHOPP AURELIE</t>
  </si>
  <si>
    <t>12619</t>
  </si>
  <si>
    <t>IACONELLI STEPHANIE</t>
  </si>
  <si>
    <t>11911</t>
  </si>
  <si>
    <t>MARTIN ISABELLE</t>
  </si>
  <si>
    <t>11935</t>
  </si>
  <si>
    <t>ALAVIN PATRICIA</t>
  </si>
  <si>
    <t>12112</t>
  </si>
  <si>
    <t>12967</t>
  </si>
  <si>
    <t>VARNIOL CATHERINE</t>
  </si>
  <si>
    <t>11011</t>
  </si>
  <si>
    <t>THUILLIEZ CATHERINE</t>
  </si>
  <si>
    <t>12337</t>
  </si>
  <si>
    <t>QUAREZ LAURENCE</t>
  </si>
  <si>
    <t>12722</t>
  </si>
  <si>
    <t>12731</t>
  </si>
  <si>
    <t>13045</t>
  </si>
  <si>
    <t>MARINIER CECILE</t>
  </si>
  <si>
    <t>12688</t>
  </si>
  <si>
    <t>LANDRY EDWIGE</t>
  </si>
  <si>
    <t>11258</t>
  </si>
  <si>
    <t>MEFFRAY VALERIE</t>
  </si>
  <si>
    <t>11972</t>
  </si>
  <si>
    <t>PAROT MARTINE</t>
  </si>
  <si>
    <t>11823</t>
  </si>
  <si>
    <t>LORGERIL VALERIE</t>
  </si>
  <si>
    <t>12773</t>
  </si>
  <si>
    <t>VITORINO MARIANA</t>
  </si>
  <si>
    <t>11370</t>
  </si>
  <si>
    <t>BURLAT LAURENCE</t>
  </si>
  <si>
    <t>12854</t>
  </si>
  <si>
    <t>VINCENT FRANCOISE</t>
  </si>
  <si>
    <t>KIETUDE FRANCHISE_OPTION DÉCÈS_OPTION CHARGES SOCIALES 100% 15J_</t>
  </si>
  <si>
    <t>12917</t>
  </si>
  <si>
    <t>MONTGAILLARD JEANNINE</t>
  </si>
  <si>
    <t>11847</t>
  </si>
  <si>
    <t>WATEL ISABELLE</t>
  </si>
  <si>
    <t>12776</t>
  </si>
  <si>
    <t>LUDA FABIENNE</t>
  </si>
  <si>
    <t>12847</t>
  </si>
  <si>
    <t>JACQ MANGIN FLORENCE</t>
  </si>
  <si>
    <t>13235</t>
  </si>
  <si>
    <t>TILLIOLE KATHY</t>
  </si>
  <si>
    <t>11472</t>
  </si>
  <si>
    <t>DE MASURE CHRISTINE</t>
  </si>
  <si>
    <t>12147</t>
  </si>
  <si>
    <t>LECLUSE GUY</t>
  </si>
  <si>
    <t>11213</t>
  </si>
  <si>
    <t>VOIRIN FAIROUZ</t>
  </si>
  <si>
    <t>11881</t>
  </si>
  <si>
    <t>MALBEC ALLISON</t>
  </si>
  <si>
    <t>13109</t>
  </si>
  <si>
    <t>YEHDOU LALIA</t>
  </si>
  <si>
    <t>12626</t>
  </si>
  <si>
    <t>BERTHO NATHALIE</t>
  </si>
  <si>
    <t>12949</t>
  </si>
  <si>
    <t>GASSER ANNE MARIE</t>
  </si>
  <si>
    <t>12916</t>
  </si>
  <si>
    <t>KHADDAM-ELLAH SALAMETTE</t>
  </si>
  <si>
    <t>12811</t>
  </si>
  <si>
    <t>VAUDOLON ANNICK</t>
  </si>
  <si>
    <t>13179</t>
  </si>
  <si>
    <t>BASILIO SUSANA</t>
  </si>
  <si>
    <t>10854</t>
  </si>
  <si>
    <t>DUBESSET MURIEL</t>
  </si>
  <si>
    <t>12739</t>
  </si>
  <si>
    <t>PETERS SANDRINE</t>
  </si>
  <si>
    <t>11588</t>
  </si>
  <si>
    <t>DASSULE MICHEL</t>
  </si>
  <si>
    <t>13099</t>
  </si>
  <si>
    <t>BRIGNOLI LINDA</t>
  </si>
  <si>
    <t>12622</t>
  </si>
  <si>
    <t>SHAIEK MONJIA</t>
  </si>
  <si>
    <t>12543</t>
  </si>
  <si>
    <t>BRUNETEAU GAELLE</t>
  </si>
  <si>
    <t>12561</t>
  </si>
  <si>
    <t>DUPAS SANDRINE</t>
  </si>
  <si>
    <t>12237</t>
  </si>
  <si>
    <t>POULARD MARIE CLAIRE</t>
  </si>
  <si>
    <t>11959</t>
  </si>
  <si>
    <t>ARTUS ANNE FRANCOISE</t>
  </si>
  <si>
    <t>12713</t>
  </si>
  <si>
    <t>BALESTRIER VALERIE</t>
  </si>
  <si>
    <t>12621</t>
  </si>
  <si>
    <t>LOONES VALERIE</t>
  </si>
  <si>
    <t>11631</t>
  </si>
  <si>
    <t>BOULHADID SOHAILA</t>
  </si>
  <si>
    <t>12195</t>
  </si>
  <si>
    <t>FLEGO HELENE</t>
  </si>
  <si>
    <t>12993</t>
  </si>
  <si>
    <t>DAHMANE SIHEM</t>
  </si>
  <si>
    <t>11899</t>
  </si>
  <si>
    <t>GAUER-DOLGOWICZ VERONIQUE</t>
  </si>
  <si>
    <t>11768</t>
  </si>
  <si>
    <t>FERREZ ADELINE</t>
  </si>
  <si>
    <t>12343</t>
  </si>
  <si>
    <t>SOERENSEN VIRGINIE</t>
  </si>
  <si>
    <t>13132</t>
  </si>
  <si>
    <t>DROUET AURELIA</t>
  </si>
  <si>
    <t>13250</t>
  </si>
  <si>
    <t>BOUHIA FATIMA</t>
  </si>
  <si>
    <t>12986</t>
  </si>
  <si>
    <t>STOJANOVIC STEPHANIE</t>
  </si>
  <si>
    <t>11908</t>
  </si>
  <si>
    <t>LAROCHE MICHELLE</t>
  </si>
  <si>
    <t>11845</t>
  </si>
  <si>
    <t>JAOUIK LALLA KARIMA</t>
  </si>
  <si>
    <t>11849</t>
  </si>
  <si>
    <t>DERNIAUX ELODIE</t>
  </si>
  <si>
    <t>11474</t>
  </si>
  <si>
    <t>MORENO NADEGE</t>
  </si>
  <si>
    <t>12828</t>
  </si>
  <si>
    <t>PRIETO SANDRINE</t>
  </si>
  <si>
    <t>12522</t>
  </si>
  <si>
    <t>KAMIENSKI AURELIE</t>
  </si>
  <si>
    <t>12148</t>
  </si>
  <si>
    <t>ADECHOUBOU NAJATT</t>
  </si>
  <si>
    <t>12268</t>
  </si>
  <si>
    <t>HEBBACHE SALIMA</t>
  </si>
  <si>
    <t>11867</t>
  </si>
  <si>
    <t>DORIER ZOHRA</t>
  </si>
  <si>
    <t>11229</t>
  </si>
  <si>
    <t>ELLEMAURE CRISLENE</t>
  </si>
  <si>
    <t>10963</t>
  </si>
  <si>
    <t>SAMBO SAKA-LINETTE</t>
  </si>
  <si>
    <t>10802</t>
  </si>
  <si>
    <t>BOUYAKOUB SIHEM</t>
  </si>
  <si>
    <t>12570</t>
  </si>
  <si>
    <t>LIBEAU MARIE FRANCOISE</t>
  </si>
  <si>
    <t>11697</t>
  </si>
  <si>
    <t>BOUHIN LAURE</t>
  </si>
  <si>
    <t>12332</t>
  </si>
  <si>
    <t>DESSOLY CINDY</t>
  </si>
  <si>
    <t>12527</t>
  </si>
  <si>
    <t>PRUDHOMME JESSY</t>
  </si>
  <si>
    <t>12465</t>
  </si>
  <si>
    <t>GIORDANO DELPHINE</t>
  </si>
  <si>
    <t>EKILIBRE_OPTION DÉCÈS_</t>
  </si>
  <si>
    <t>11917</t>
  </si>
  <si>
    <t>BERTONA AURELIA</t>
  </si>
  <si>
    <t>10580</t>
  </si>
  <si>
    <t>BENKMICHA RAOUDA</t>
  </si>
  <si>
    <t>12894</t>
  </si>
  <si>
    <t>TRIVES FREDERIQUE</t>
  </si>
  <si>
    <t>11511</t>
  </si>
  <si>
    <t>LEUGINER CHRISTIANE</t>
  </si>
  <si>
    <t>12816</t>
  </si>
  <si>
    <t>RODRIGUEZ MARCOS</t>
  </si>
  <si>
    <t>13095</t>
  </si>
  <si>
    <t>11969</t>
  </si>
  <si>
    <t>OLIVEIRA CADETE PASCALE</t>
  </si>
  <si>
    <t>12755</t>
  </si>
  <si>
    <t>CARDINER LAURENCE</t>
  </si>
  <si>
    <t>12690</t>
  </si>
  <si>
    <t>TEGOUANA LATIFA</t>
  </si>
  <si>
    <t>12814</t>
  </si>
  <si>
    <t>11509</t>
  </si>
  <si>
    <t>POZZI VALERIE</t>
  </si>
  <si>
    <t>12159</t>
  </si>
  <si>
    <t>DOMINGUES ROCHA MARIE-HELENE</t>
  </si>
  <si>
    <t>12505</t>
  </si>
  <si>
    <t>TORRE VALERIE</t>
  </si>
  <si>
    <t>11246</t>
  </si>
  <si>
    <t>DENIS AUDREY</t>
  </si>
  <si>
    <t>11687</t>
  </si>
  <si>
    <t>ROMANO CELIA</t>
  </si>
  <si>
    <t>13229</t>
  </si>
  <si>
    <t>AVRY BEATRICE</t>
  </si>
  <si>
    <t>12506</t>
  </si>
  <si>
    <t>FERRON SMAHANE</t>
  </si>
  <si>
    <t>11885</t>
  </si>
  <si>
    <t>GOMES D OLIVIERA LYSIANE</t>
  </si>
  <si>
    <t>11815</t>
  </si>
  <si>
    <t>CELMA HILDA</t>
  </si>
  <si>
    <t>12835</t>
  </si>
  <si>
    <t>FALGAS NADEGE</t>
  </si>
  <si>
    <t>12806</t>
  </si>
  <si>
    <t>DA SILVA CINDY</t>
  </si>
  <si>
    <t>12474</t>
  </si>
  <si>
    <t>LEBGHIL AICHA</t>
  </si>
  <si>
    <t>12757</t>
  </si>
  <si>
    <t>ALVES ANNE-SOPHIE</t>
  </si>
  <si>
    <t>12638</t>
  </si>
  <si>
    <t>SEYRAC SANDRINE</t>
  </si>
  <si>
    <t>12668</t>
  </si>
  <si>
    <t>MAHE ALEXANDRA</t>
  </si>
  <si>
    <t>12075</t>
  </si>
  <si>
    <t>BIANCONI JULIE</t>
  </si>
  <si>
    <t>13106</t>
  </si>
  <si>
    <t>PEREIRA MARIA DE FATIMA</t>
  </si>
  <si>
    <t>12335</t>
  </si>
  <si>
    <t>HARMANT CHRISTINE</t>
  </si>
  <si>
    <t>13184</t>
  </si>
  <si>
    <t>LEMBACH DANIELLE</t>
  </si>
  <si>
    <t>12645</t>
  </si>
  <si>
    <t>NAELS CHANTAL</t>
  </si>
  <si>
    <t>12789</t>
  </si>
  <si>
    <t>LEMASCON CLAUDIE</t>
  </si>
  <si>
    <t>12863</t>
  </si>
  <si>
    <t>LEBAS YANDE</t>
  </si>
  <si>
    <t>12542</t>
  </si>
  <si>
    <t>LESAGE VESNA</t>
  </si>
  <si>
    <t>12166</t>
  </si>
  <si>
    <t>RAMOS ALVAREZ PASCALE</t>
  </si>
  <si>
    <t>11910</t>
  </si>
  <si>
    <t>RENAUD SANDRINE</t>
  </si>
  <si>
    <t>12550</t>
  </si>
  <si>
    <t>ASTIER SYLVIE</t>
  </si>
  <si>
    <t>11532</t>
  </si>
  <si>
    <t>CONDUCTIER MARJORIE</t>
  </si>
  <si>
    <t>13082</t>
  </si>
  <si>
    <t>CHRIQUI CAROLE</t>
  </si>
  <si>
    <t>11019</t>
  </si>
  <si>
    <t>POETSCH KATARINA</t>
  </si>
  <si>
    <t>12935</t>
  </si>
  <si>
    <t>LOUBIERES SANDRINE</t>
  </si>
  <si>
    <t>12169</t>
  </si>
  <si>
    <t>HORTAS CHRISTELLE</t>
  </si>
  <si>
    <t>11185</t>
  </si>
  <si>
    <t>PASSARO VANESSA</t>
  </si>
  <si>
    <t>12801</t>
  </si>
  <si>
    <t>GOMEZ JULIA</t>
  </si>
  <si>
    <t>12693</t>
  </si>
  <si>
    <t>LAGOUTTE LUCAS</t>
  </si>
  <si>
    <t>11247</t>
  </si>
  <si>
    <t>PARENT SABINE</t>
  </si>
  <si>
    <t>12818</t>
  </si>
  <si>
    <t>QUINCHON SAMANTHA</t>
  </si>
  <si>
    <t>11702</t>
  </si>
  <si>
    <t>DE SOUSA MARYLENE</t>
  </si>
  <si>
    <t>11690</t>
  </si>
  <si>
    <t>NICOLAU ZUZANA</t>
  </si>
  <si>
    <t>12353</t>
  </si>
  <si>
    <t>JOAQUIM FERNANDO MANUEL</t>
  </si>
  <si>
    <t>12937</t>
  </si>
  <si>
    <t>CLEBAR SOLANGE</t>
  </si>
  <si>
    <t>11608</t>
  </si>
  <si>
    <t>MAROTE PIERRETTE</t>
  </si>
  <si>
    <t>12988</t>
  </si>
  <si>
    <t>CROMMELYNCK SABINE</t>
  </si>
  <si>
    <t>11914</t>
  </si>
  <si>
    <t>BOUTON DELPHINE</t>
  </si>
  <si>
    <t>12559</t>
  </si>
  <si>
    <t>ROUSSEAU LAETITIA</t>
  </si>
  <si>
    <t>13196</t>
  </si>
  <si>
    <t>DENIS LAETITIA</t>
  </si>
  <si>
    <t>11734</t>
  </si>
  <si>
    <t>NEAU SYLVIA</t>
  </si>
  <si>
    <t>12088</t>
  </si>
  <si>
    <t>JAUNET MARYLINE</t>
  </si>
  <si>
    <t>13172</t>
  </si>
  <si>
    <t>BORGES VANESSA</t>
  </si>
  <si>
    <t>10833</t>
  </si>
  <si>
    <t>LANFRANCHI VERONIQUE</t>
  </si>
  <si>
    <t>11998</t>
  </si>
  <si>
    <t>PAVIOT JESSICA</t>
  </si>
  <si>
    <t>12827</t>
  </si>
  <si>
    <t>DALLOZ KARINE</t>
  </si>
  <si>
    <t>12763</t>
  </si>
  <si>
    <t>POIX EMMANUELLE</t>
  </si>
  <si>
    <t>12819</t>
  </si>
  <si>
    <t>NUNES KATIA</t>
  </si>
  <si>
    <t>13239</t>
  </si>
  <si>
    <t>DE SEVERAC MARIE FRANCE</t>
  </si>
  <si>
    <t>12825</t>
  </si>
  <si>
    <t>12344</t>
  </si>
  <si>
    <t>AZOUMAGH ITTO</t>
  </si>
  <si>
    <t>12463</t>
  </si>
  <si>
    <t>LANGER CAROLINE</t>
  </si>
  <si>
    <t>13252</t>
  </si>
  <si>
    <t>FLEURY MARIE-ODILE</t>
  </si>
  <si>
    <t>12557</t>
  </si>
  <si>
    <t>MENANT JULIA</t>
  </si>
  <si>
    <t>11792</t>
  </si>
  <si>
    <t>SON YOO RIE</t>
  </si>
  <si>
    <t>12312</t>
  </si>
  <si>
    <t>MOREL SANDRINE</t>
  </si>
  <si>
    <t>13253</t>
  </si>
  <si>
    <t>GAUTIER CLARISSE</t>
  </si>
  <si>
    <t>12592</t>
  </si>
  <si>
    <t>MOUCHOT JENNIFER</t>
  </si>
  <si>
    <t>12891</t>
  </si>
  <si>
    <t>TENEAU CLAIRE</t>
  </si>
  <si>
    <t>12364</t>
  </si>
  <si>
    <t>GARCIES CAROLINE</t>
  </si>
  <si>
    <t>12162</t>
  </si>
  <si>
    <t>REYNAUD MARIE</t>
  </si>
  <si>
    <t>12732</t>
  </si>
  <si>
    <t>BOUALI OUERDIA</t>
  </si>
  <si>
    <t>12507</t>
  </si>
  <si>
    <t>PERQUIS GRATIANNE</t>
  </si>
  <si>
    <t>12023</t>
  </si>
  <si>
    <t>TINTIGNAC CORINNE</t>
  </si>
  <si>
    <t>11358</t>
  </si>
  <si>
    <t>BUCELLONI LAETITIA</t>
  </si>
  <si>
    <t>12629</t>
  </si>
  <si>
    <t>BASTARD SONIA</t>
  </si>
  <si>
    <t>12006</t>
  </si>
  <si>
    <t>CARTERON NATHALIE</t>
  </si>
  <si>
    <t>12172</t>
  </si>
  <si>
    <t>12354</t>
  </si>
  <si>
    <t>MANACH RICCARDO</t>
  </si>
  <si>
    <t>10985</t>
  </si>
  <si>
    <t>COSTE GEOFFREY</t>
  </si>
  <si>
    <t>11916</t>
  </si>
  <si>
    <t>GEISEN MICHELE</t>
  </si>
  <si>
    <t>10865</t>
  </si>
  <si>
    <t>SILVERE NOELLE</t>
  </si>
  <si>
    <t>13221</t>
  </si>
  <si>
    <t>LUCAS ISABELLE</t>
  </si>
  <si>
    <t>12959</t>
  </si>
  <si>
    <t>SCHAFFNER STEPHANIE</t>
  </si>
  <si>
    <t>11356</t>
  </si>
  <si>
    <t>CUILLERY ANNE</t>
  </si>
  <si>
    <t>12643</t>
  </si>
  <si>
    <t>TRAJBER CLAIRE</t>
  </si>
  <si>
    <t>11531</t>
  </si>
  <si>
    <t>DELFOSSE CATHERINE</t>
  </si>
  <si>
    <t>12470</t>
  </si>
  <si>
    <t>FORTUNE PHILIPPE</t>
  </si>
  <si>
    <t>11245</t>
  </si>
  <si>
    <t>MAUGER MARIE HELENE</t>
  </si>
  <si>
    <t>11806</t>
  </si>
  <si>
    <t>ADHAME HOUDA</t>
  </si>
  <si>
    <t>12455</t>
  </si>
  <si>
    <t>HEROLE ELODIE</t>
  </si>
  <si>
    <t>11844</t>
  </si>
  <si>
    <t>KLEINCLAUSS MARTINE</t>
  </si>
  <si>
    <t>12010</t>
  </si>
  <si>
    <t>HAMELET NADINE</t>
  </si>
  <si>
    <t>12654</t>
  </si>
  <si>
    <t>FENEUX GENEVIEVE</t>
  </si>
  <si>
    <t>10564</t>
  </si>
  <si>
    <t>DUPONT CYNTHIA</t>
  </si>
  <si>
    <t>12640</t>
  </si>
  <si>
    <t>EL YOUNSI ABDESSADEK</t>
  </si>
  <si>
    <t>11926</t>
  </si>
  <si>
    <t>EMANUELLI KARINE</t>
  </si>
  <si>
    <t>12504</t>
  </si>
  <si>
    <t>RADOVANOVIC DANIJELA</t>
  </si>
  <si>
    <t>13186</t>
  </si>
  <si>
    <t>GUILLOUX HETRU CHRISTINE</t>
  </si>
  <si>
    <t>12929</t>
  </si>
  <si>
    <t>EGEA MENDES EMMANUELLE</t>
  </si>
  <si>
    <t>13140</t>
  </si>
  <si>
    <t>GAILLET SARAH EMMANUELLE</t>
  </si>
  <si>
    <t>12738</t>
  </si>
  <si>
    <t>NOINSKI LAURE</t>
  </si>
  <si>
    <t>11785</t>
  </si>
  <si>
    <t>BOSVIEL SANDRA</t>
  </si>
  <si>
    <t>13013</t>
  </si>
  <si>
    <t>TABANI MIESSA</t>
  </si>
  <si>
    <t>12462</t>
  </si>
  <si>
    <t>LIBOUREL LYDIE</t>
  </si>
  <si>
    <t>12759</t>
  </si>
  <si>
    <t>FOURNEL CLAIRE</t>
  </si>
  <si>
    <t>12365</t>
  </si>
  <si>
    <t>GRAZIANI ALINE</t>
  </si>
  <si>
    <t>11453</t>
  </si>
  <si>
    <t>SERHANI SAMIRA</t>
  </si>
  <si>
    <t>12076</t>
  </si>
  <si>
    <t>HANNART CLOTILDE</t>
  </si>
  <si>
    <t>10652</t>
  </si>
  <si>
    <t>CAPONPON MARIA FE</t>
  </si>
  <si>
    <t>12772</t>
  </si>
  <si>
    <t>HERMANS STEPHANIE</t>
  </si>
  <si>
    <t>11809</t>
  </si>
  <si>
    <t>BENLARBI MOUNIRA</t>
  </si>
  <si>
    <t>12104</t>
  </si>
  <si>
    <t>BLANDIN MARIE LINE</t>
  </si>
  <si>
    <t>13145</t>
  </si>
  <si>
    <t>LAMBOLEY SYLVIE</t>
  </si>
  <si>
    <t>12965</t>
  </si>
  <si>
    <t>VENTURA MARIA EUGENIA</t>
  </si>
  <si>
    <t>12791</t>
  </si>
  <si>
    <t>OLIVERO MATHILDE</t>
  </si>
  <si>
    <t>12551</t>
  </si>
  <si>
    <t>GUILON ALLISON</t>
  </si>
  <si>
    <t>12173</t>
  </si>
  <si>
    <t>TOURE FATOU</t>
  </si>
  <si>
    <t>12230</t>
  </si>
  <si>
    <t>ANIOLA PAOLA</t>
  </si>
  <si>
    <t>12934</t>
  </si>
  <si>
    <t>MOREAU BERTRAND</t>
  </si>
  <si>
    <t>12850</t>
  </si>
  <si>
    <t>TROMPETTE MAX</t>
  </si>
  <si>
    <t>11909</t>
  </si>
  <si>
    <t>RIBEIRO SAMPAIO MARISA</t>
  </si>
  <si>
    <t>12971</t>
  </si>
  <si>
    <t>12862</t>
  </si>
  <si>
    <t>GUERRIERO CELINE</t>
  </si>
  <si>
    <t>12569</t>
  </si>
  <si>
    <t>GUENARD CECILE</t>
  </si>
  <si>
    <t>13215</t>
  </si>
  <si>
    <t>BALLARINI VIRGINIE</t>
  </si>
  <si>
    <t>12889</t>
  </si>
  <si>
    <t>SAUGERE ELODIE</t>
  </si>
  <si>
    <t>12064</t>
  </si>
  <si>
    <t>GERGAUD ELODIE</t>
  </si>
  <si>
    <t>13081</t>
  </si>
  <si>
    <t>KAMM JULIE</t>
  </si>
  <si>
    <t>11990</t>
  </si>
  <si>
    <t>PAVAN PAULINE</t>
  </si>
  <si>
    <t>12634</t>
  </si>
  <si>
    <t>12652</t>
  </si>
  <si>
    <t>DUVIVIER INGRID</t>
  </si>
  <si>
    <t>11196</t>
  </si>
  <si>
    <t>KIRCH ELISABETH</t>
  </si>
  <si>
    <t>12444</t>
  </si>
  <si>
    <t>SERRAILLE ELISE</t>
  </si>
  <si>
    <t>12567</t>
  </si>
  <si>
    <t>GUERIN JOEL</t>
  </si>
  <si>
    <t>12274</t>
  </si>
  <si>
    <t>BLOT VALERIE</t>
  </si>
  <si>
    <t>13202</t>
  </si>
  <si>
    <t>JALLITA LATIFA</t>
  </si>
  <si>
    <t>11929</t>
  </si>
  <si>
    <t>RENAUD AXELLE</t>
  </si>
  <si>
    <t>13004</t>
  </si>
  <si>
    <t>11248</t>
  </si>
  <si>
    <t>JORDANA CHARLOTTE</t>
  </si>
  <si>
    <t>11933</t>
  </si>
  <si>
    <t>LECLERC SIBYLLE</t>
  </si>
  <si>
    <t>12077</t>
  </si>
  <si>
    <t>SANCIAUME MARINE</t>
  </si>
  <si>
    <t>12530</t>
  </si>
  <si>
    <t>GARCIA APOLLINE</t>
  </si>
  <si>
    <t>12979</t>
  </si>
  <si>
    <t>BENI-LOCCO SENA</t>
  </si>
  <si>
    <t>13257</t>
  </si>
  <si>
    <t>DE LANUX LINDSAY</t>
  </si>
  <si>
    <t>12498</t>
  </si>
  <si>
    <t>JAYET MURIELLE</t>
  </si>
  <si>
    <t>12558</t>
  </si>
  <si>
    <t>PENISSON NATHALIE</t>
  </si>
  <si>
    <t>12098</t>
  </si>
  <si>
    <t>CRETON SYLVIE</t>
  </si>
  <si>
    <t>11904</t>
  </si>
  <si>
    <t>KAMAGATE NAKISSA</t>
  </si>
  <si>
    <t>12991</t>
  </si>
  <si>
    <t>BERDIN SANDRINE</t>
  </si>
  <si>
    <t>11662</t>
  </si>
  <si>
    <t>SEBA DALILA</t>
  </si>
  <si>
    <t>12071</t>
  </si>
  <si>
    <t>KAHOUL DALILA</t>
  </si>
  <si>
    <t>12188</t>
  </si>
  <si>
    <t>LUSTRE LUDIVINE</t>
  </si>
  <si>
    <t>12214</t>
  </si>
  <si>
    <t>PULYK ANDRE</t>
  </si>
  <si>
    <t>12407</t>
  </si>
  <si>
    <t>SCOUARNEC IRENE</t>
  </si>
  <si>
    <t>12403</t>
  </si>
  <si>
    <t>MARIE CHARLOTTE</t>
  </si>
  <si>
    <t>12974</t>
  </si>
  <si>
    <t>MATIU LEGI</t>
  </si>
  <si>
    <t>11711</t>
  </si>
  <si>
    <t>MERTZINGER CHRISTINE</t>
  </si>
  <si>
    <t>11710</t>
  </si>
  <si>
    <t>11539</t>
  </si>
  <si>
    <t>FERNANDES FLORIANE</t>
  </si>
  <si>
    <t>KIETUDE FRANCHISE EXKLUSIF_</t>
  </si>
  <si>
    <t>12566</t>
  </si>
  <si>
    <t>DE ALBUQUERQUE SABRINA</t>
  </si>
  <si>
    <t>12767</t>
  </si>
  <si>
    <t>LE GOFF CECILE MARIE THERESE</t>
  </si>
  <si>
    <t>11304</t>
  </si>
  <si>
    <t>NICOLAS CRISTEL</t>
  </si>
  <si>
    <t>12656</t>
  </si>
  <si>
    <t>DELLA CORTE CORALIE</t>
  </si>
  <si>
    <t>13192</t>
  </si>
  <si>
    <t>BUREL SOPHIE</t>
  </si>
  <si>
    <t>12003</t>
  </si>
  <si>
    <t>MALAQUIN ELOISE</t>
  </si>
  <si>
    <t>12126</t>
  </si>
  <si>
    <t>DAVIES MATHILDE</t>
  </si>
  <si>
    <t>12457</t>
  </si>
  <si>
    <t>TALBI LAURIE</t>
  </si>
  <si>
    <t>12798</t>
  </si>
  <si>
    <t>LAIGLE PAULINE</t>
  </si>
  <si>
    <t>11854</t>
  </si>
  <si>
    <t>DELANNOY EMILIE</t>
  </si>
  <si>
    <t>12466</t>
  </si>
  <si>
    <t>KERMOUME ZINA</t>
  </si>
  <si>
    <t>12779</t>
  </si>
  <si>
    <t>MORGADO SANDRA CRISTINA</t>
  </si>
  <si>
    <t>13085</t>
  </si>
  <si>
    <t>FERRATY CHRISTIANE</t>
  </si>
  <si>
    <t>12885</t>
  </si>
  <si>
    <t>BRICE LAURA</t>
  </si>
  <si>
    <t>12149</t>
  </si>
  <si>
    <t>LIEVIN PASCALE</t>
  </si>
  <si>
    <t>12539</t>
  </si>
  <si>
    <t>COULON MELISSA</t>
  </si>
  <si>
    <t>12830</t>
  </si>
  <si>
    <t>LAMBERT ANAIS</t>
  </si>
  <si>
    <t>12696</t>
  </si>
  <si>
    <t>ANDREOLI AURORE</t>
  </si>
  <si>
    <t>13039</t>
  </si>
  <si>
    <t>POULMARC H MORGANE</t>
  </si>
  <si>
    <t>12899</t>
  </si>
  <si>
    <t>PHILIBERT EMILIE</t>
  </si>
  <si>
    <t>13043</t>
  </si>
  <si>
    <t>CORNU SANDRINE</t>
  </si>
  <si>
    <t>11931</t>
  </si>
  <si>
    <t>PROUST ZOE</t>
  </si>
  <si>
    <t>12541</t>
  </si>
  <si>
    <t>JOHANNES PATRICIA</t>
  </si>
  <si>
    <t>12410</t>
  </si>
  <si>
    <t>BARETS MELANIE</t>
  </si>
  <si>
    <t>12963</t>
  </si>
  <si>
    <t>FORGEARD NATHALIE</t>
  </si>
  <si>
    <t>12114</t>
  </si>
  <si>
    <t>FIOUX MURIELLE</t>
  </si>
  <si>
    <t>13230</t>
  </si>
  <si>
    <t>SANTACRUZ CAROLINE</t>
  </si>
  <si>
    <t>12013</t>
  </si>
  <si>
    <t>SAHLI AOUATEF</t>
  </si>
  <si>
    <t>12431</t>
  </si>
  <si>
    <t>VENTRE SANDRINE</t>
  </si>
  <si>
    <t>13181</t>
  </si>
  <si>
    <t>LAVEAU STEPHANIE</t>
  </si>
  <si>
    <t>12243</t>
  </si>
  <si>
    <t>MAIO ALEXANDRA</t>
  </si>
  <si>
    <t>12758</t>
  </si>
  <si>
    <t>MARGATHE CECILE</t>
  </si>
  <si>
    <t>12844</t>
  </si>
  <si>
    <t>NGUYEN VAN CANG CHLOE</t>
  </si>
  <si>
    <t>12481</t>
  </si>
  <si>
    <t>HERSCOVICI MICKAEL</t>
  </si>
  <si>
    <t>12597</t>
  </si>
  <si>
    <t>SERRA ESTELLE</t>
  </si>
  <si>
    <t>12658</t>
  </si>
  <si>
    <t>LANGUILLE JOCELYN</t>
  </si>
  <si>
    <t>11257</t>
  </si>
  <si>
    <t>ANQUIBOU ROSE MARIE</t>
  </si>
  <si>
    <t>12490</t>
  </si>
  <si>
    <t>LAURENT CHRISTINE</t>
  </si>
  <si>
    <t>13055</t>
  </si>
  <si>
    <t>CHABARDES CEDRIC</t>
  </si>
  <si>
    <t>12094</t>
  </si>
  <si>
    <t>CANARD DOMINIQUE</t>
  </si>
  <si>
    <t>11115</t>
  </si>
  <si>
    <t>CHERCHARI SABRINA</t>
  </si>
  <si>
    <t>12004</t>
  </si>
  <si>
    <t>FERNANDES OLIVEIRA MARIA HELENA</t>
  </si>
  <si>
    <t>12843</t>
  </si>
  <si>
    <t>PATEL ELODIE</t>
  </si>
  <si>
    <t>13049</t>
  </si>
  <si>
    <t>BRICE AURORE</t>
  </si>
  <si>
    <t>13204</t>
  </si>
  <si>
    <t>ALVES BARBOSA DE MAGALHAES GLORIA DE FATIMA</t>
  </si>
  <si>
    <t>13076</t>
  </si>
  <si>
    <t>HEMERY MONIQUE</t>
  </si>
  <si>
    <t>11398</t>
  </si>
  <si>
    <t>DORINET BENEDICTE</t>
  </si>
  <si>
    <t>11038</t>
  </si>
  <si>
    <t>DELEMOTTE COLINE</t>
  </si>
  <si>
    <t>11950</t>
  </si>
  <si>
    <t>THESEE LYDIA</t>
  </si>
  <si>
    <t>11164</t>
  </si>
  <si>
    <t>GOUBARD MARIE-HELENE</t>
  </si>
  <si>
    <t>12044</t>
  </si>
  <si>
    <t>EPIARD VANESSA</t>
  </si>
  <si>
    <t>13001</t>
  </si>
  <si>
    <t>GEOFFROY EMILIE</t>
  </si>
  <si>
    <t>12309</t>
  </si>
  <si>
    <t>ROCHA DE SOUSA URBANO</t>
  </si>
  <si>
    <t>11906</t>
  </si>
  <si>
    <t>HAINCOURT SANDRINE</t>
  </si>
  <si>
    <t>12345</t>
  </si>
  <si>
    <t>CASANO LUCIE</t>
  </si>
  <si>
    <t>12156</t>
  </si>
  <si>
    <t>NICOLAI VALERIE</t>
  </si>
  <si>
    <t>12790</t>
  </si>
  <si>
    <t>CHOBEAU DONNA</t>
  </si>
  <si>
    <t>13227</t>
  </si>
  <si>
    <t>ELOWA LAETITIA</t>
  </si>
  <si>
    <t>11315</t>
  </si>
  <si>
    <t>DROUIN ELODIE</t>
  </si>
  <si>
    <t>12840</t>
  </si>
  <si>
    <t>WURTZ THIERRY</t>
  </si>
  <si>
    <t>12160</t>
  </si>
  <si>
    <t>VETRI FLORENCE</t>
  </si>
  <si>
    <t>11873</t>
  </si>
  <si>
    <t>HENEAUX CYRIL</t>
  </si>
  <si>
    <t>13103</t>
  </si>
  <si>
    <t>DUPILLE MAXIME</t>
  </si>
  <si>
    <t>11814</t>
  </si>
  <si>
    <t>SAVALLI SANDRA</t>
  </si>
  <si>
    <t>12824</t>
  </si>
  <si>
    <t>SASTRE ELODIE</t>
  </si>
  <si>
    <t>13256</t>
  </si>
  <si>
    <t>VALERIOTI MARINE</t>
  </si>
  <si>
    <t>12553</t>
  </si>
  <si>
    <t>COUVELARD CHLOE</t>
  </si>
  <si>
    <t>11886</t>
  </si>
  <si>
    <t>BLATNIK CLEMENCE</t>
  </si>
  <si>
    <t>11837</t>
  </si>
  <si>
    <t>SERVANT PASCALE</t>
  </si>
  <si>
    <t>12545</t>
  </si>
  <si>
    <t>NICCOLI ROMAIN</t>
  </si>
  <si>
    <t>12792</t>
  </si>
  <si>
    <t>HUAU SYLVIE</t>
  </si>
  <si>
    <t>11695</t>
  </si>
  <si>
    <t>RULETA SARAH</t>
  </si>
  <si>
    <t>12260</t>
  </si>
  <si>
    <t>BOUVIER NATHALIE</t>
  </si>
  <si>
    <t>12524</t>
  </si>
  <si>
    <t>TAILLY ALBANE</t>
  </si>
  <si>
    <t>12130</t>
  </si>
  <si>
    <t>BAUDAIS ANAIS</t>
  </si>
  <si>
    <t>12233</t>
  </si>
  <si>
    <t>SAUNIER MARJORIE</t>
  </si>
  <si>
    <t>12972</t>
  </si>
  <si>
    <t>12909</t>
  </si>
  <si>
    <t>LEFFRAY EMILIE</t>
  </si>
  <si>
    <t>12050</t>
  </si>
  <si>
    <t>FRIQUE JESSICA</t>
  </si>
  <si>
    <t>12869</t>
  </si>
  <si>
    <t>SOUQUET ROMUALD</t>
  </si>
  <si>
    <t>11848</t>
  </si>
  <si>
    <t>PONCHA FELICIA</t>
  </si>
  <si>
    <t>12736</t>
  </si>
  <si>
    <t>VIAENE MARIE</t>
  </si>
  <si>
    <t>12544</t>
  </si>
  <si>
    <t>OMAR IRMA</t>
  </si>
  <si>
    <t>12285</t>
  </si>
  <si>
    <t>ROBEAU DELPHINE</t>
  </si>
  <si>
    <t>12833</t>
  </si>
  <si>
    <t>NGUYEN MELINDA</t>
  </si>
  <si>
    <t>13125</t>
  </si>
  <si>
    <t>MANOEUVRIER JULIETTE</t>
  </si>
  <si>
    <t>12950</t>
  </si>
  <si>
    <t>LECHHEB HANANE</t>
  </si>
  <si>
    <t>13096</t>
  </si>
  <si>
    <t>KHEDDAR LINDA</t>
  </si>
  <si>
    <t>11962</t>
  </si>
  <si>
    <t>MILLIOT SOPHIE</t>
  </si>
  <si>
    <t>11666</t>
  </si>
  <si>
    <t>TOMME HELENE</t>
  </si>
  <si>
    <t>12707</t>
  </si>
  <si>
    <t>DE SOUSA MARYSE</t>
  </si>
  <si>
    <t>12398</t>
  </si>
  <si>
    <t>ADANDE CATHERINE</t>
  </si>
  <si>
    <t>11843</t>
  </si>
  <si>
    <t>BADDY BOUCHRA</t>
  </si>
  <si>
    <t>12741</t>
  </si>
  <si>
    <t>POIRIER MALVINA</t>
  </si>
  <si>
    <t>12241</t>
  </si>
  <si>
    <t>LAAMARI TABKA ASMA</t>
  </si>
  <si>
    <t>12476</t>
  </si>
  <si>
    <t>VIEIRA ANAIS</t>
  </si>
  <si>
    <t>13180</t>
  </si>
  <si>
    <t>GRIMAUD ORIANE</t>
  </si>
  <si>
    <t>12837</t>
  </si>
  <si>
    <t>TABESSE SONIA</t>
  </si>
  <si>
    <t>11306</t>
  </si>
  <si>
    <t>NEWTON MARIE-AGNES</t>
  </si>
  <si>
    <t>12232</t>
  </si>
  <si>
    <t>GUINOT VIRGINIE</t>
  </si>
  <si>
    <t>11790</t>
  </si>
  <si>
    <t>RGUITI MAHJOUBA</t>
  </si>
  <si>
    <t>11725</t>
  </si>
  <si>
    <t>COMINAZZI PENHAS EMMELINE</t>
  </si>
  <si>
    <t>12305</t>
  </si>
  <si>
    <t>TEIXEIRA DIAS DELFINA</t>
  </si>
  <si>
    <t>13100</t>
  </si>
  <si>
    <t>VIGNAUD FANNY</t>
  </si>
  <si>
    <t>12927</t>
  </si>
  <si>
    <t>HUET PRESCILLIA</t>
  </si>
  <si>
    <t>12508</t>
  </si>
  <si>
    <t>TESTE DELPHINE</t>
  </si>
  <si>
    <t>12866</t>
  </si>
  <si>
    <t>WALLERAND-GUENIN ALICE</t>
  </si>
  <si>
    <t>11683</t>
  </si>
  <si>
    <t>OSSEIRANE-RIVIERE SARAH</t>
  </si>
  <si>
    <t>10952</t>
  </si>
  <si>
    <t>LOTFI KARIMA</t>
  </si>
  <si>
    <t>12695</t>
  </si>
  <si>
    <t>GURUSINGHE SARAH</t>
  </si>
  <si>
    <t>11805</t>
  </si>
  <si>
    <t>LANCINO LESLIE</t>
  </si>
  <si>
    <t>12610</t>
  </si>
  <si>
    <t>AMER SHEHERAZADE</t>
  </si>
  <si>
    <t>12895</t>
  </si>
  <si>
    <t>ARZUMANYAN ANI</t>
  </si>
  <si>
    <t>12642</t>
  </si>
  <si>
    <t>FERREIRA RENATA</t>
  </si>
  <si>
    <t>13031</t>
  </si>
  <si>
    <t>DUBARRY AMIRA</t>
  </si>
  <si>
    <t>12975</t>
  </si>
  <si>
    <t>LUO MIAOZHEN</t>
  </si>
  <si>
    <t>10723</t>
  </si>
  <si>
    <t>GUILLEMIN CATHERINE EUGENIE</t>
  </si>
  <si>
    <t>12752</t>
  </si>
  <si>
    <t>13009</t>
  </si>
  <si>
    <t>CECCALDI SANDRINE</t>
  </si>
  <si>
    <t>12417</t>
  </si>
  <si>
    <t>HAVEL CELINE</t>
  </si>
  <si>
    <t>11663</t>
  </si>
  <si>
    <t>LAUNAY ELODIE</t>
  </si>
  <si>
    <t>13084</t>
  </si>
  <si>
    <t>TERAI LAURENE</t>
  </si>
  <si>
    <t>11842</t>
  </si>
  <si>
    <t>DONADINI MARIE</t>
  </si>
  <si>
    <t>11088</t>
  </si>
  <si>
    <t>VALVO VALERIE</t>
  </si>
  <si>
    <t>11927</t>
  </si>
  <si>
    <t>MAILLARD MAGALI</t>
  </si>
  <si>
    <t>12653</t>
  </si>
  <si>
    <t>LELIEVRE MELANIE</t>
  </si>
  <si>
    <t>11830</t>
  </si>
  <si>
    <t>BAZART ANTOINE</t>
  </si>
  <si>
    <t>11490</t>
  </si>
  <si>
    <t>CARBONNAUX DORIANE</t>
  </si>
  <si>
    <t>13218</t>
  </si>
  <si>
    <t>MATE KALAY LESLY</t>
  </si>
  <si>
    <t>12109</t>
  </si>
  <si>
    <t>HAJJI FARIDA</t>
  </si>
  <si>
    <t>13097</t>
  </si>
  <si>
    <t>HIVERT ANNE CATHERINE</t>
  </si>
  <si>
    <t>12552</t>
  </si>
  <si>
    <t>GIRARD THOMAS</t>
  </si>
  <si>
    <t>11983</t>
  </si>
  <si>
    <t>EL MOUATACIM NAOMI</t>
  </si>
  <si>
    <t>10804</t>
  </si>
  <si>
    <t>TAMAS ANNE MARIE</t>
  </si>
  <si>
    <t>12302</t>
  </si>
  <si>
    <t>VEFOUR MORGANE</t>
  </si>
  <si>
    <t>13115</t>
  </si>
  <si>
    <t>MARTIN ANNE-STEPHANIE</t>
  </si>
  <si>
    <t>12912</t>
  </si>
  <si>
    <t>VECCHIE ROSINE</t>
  </si>
  <si>
    <t>12848</t>
  </si>
  <si>
    <t>GESNOT LAURIE</t>
  </si>
  <si>
    <t>KOTIDIEN_OPTION DÉCÈS_OPTION FRANCHISE 95%_</t>
  </si>
  <si>
    <t>12252</t>
  </si>
  <si>
    <t>JUNDT MARINE</t>
  </si>
  <si>
    <t>12562</t>
  </si>
  <si>
    <t>CHIRON NATHALIE</t>
  </si>
  <si>
    <t>10738</t>
  </si>
  <si>
    <t>IKHLEF KHADIDJA</t>
  </si>
  <si>
    <t>12414</t>
  </si>
  <si>
    <t>BOUTTE AGATHE</t>
  </si>
  <si>
    <t>11776</t>
  </si>
  <si>
    <t>BLAIRVACQ ANNE SOPHIE</t>
  </si>
  <si>
    <t>12838</t>
  </si>
  <si>
    <t>HABIBI MARYAM</t>
  </si>
  <si>
    <t>12269</t>
  </si>
  <si>
    <t>KANDOUSSI NATHALIE</t>
  </si>
  <si>
    <t>12066</t>
  </si>
  <si>
    <t>SCHNEIDER BABETTE</t>
  </si>
  <si>
    <t>12420</t>
  </si>
  <si>
    <t>REICHERT-LENOBLE VALERIE</t>
  </si>
  <si>
    <t>12491</t>
  </si>
  <si>
    <t>OTTOMAN NABILA</t>
  </si>
  <si>
    <t>12856</t>
  </si>
  <si>
    <t>DECULANT RAJWANTEE</t>
  </si>
  <si>
    <t>11890</t>
  </si>
  <si>
    <t>CLAVEL ISABELLE</t>
  </si>
  <si>
    <t>11513</t>
  </si>
  <si>
    <t>HU JINGJING</t>
  </si>
  <si>
    <t>12635</t>
  </si>
  <si>
    <t>ZEPHIR CAROLE-ANNE MARY</t>
  </si>
  <si>
    <t>12238</t>
  </si>
  <si>
    <t>KONG JA YOUNG</t>
  </si>
  <si>
    <t>12624</t>
  </si>
  <si>
    <t>VEREECQUE CAROLINE</t>
  </si>
  <si>
    <t>12987</t>
  </si>
  <si>
    <t>VICAIRE PIERRE</t>
  </si>
  <si>
    <t>12604</t>
  </si>
  <si>
    <t>LONGFILS KIM</t>
  </si>
  <si>
    <t>13127</t>
  </si>
  <si>
    <t>MUREDDA NICOLAS</t>
  </si>
  <si>
    <t>12087</t>
  </si>
  <si>
    <t>VICENTE CLEMENTE ANADELYS</t>
  </si>
  <si>
    <t>12340</t>
  </si>
  <si>
    <t>CIABA AGNES</t>
  </si>
  <si>
    <t>12153</t>
  </si>
  <si>
    <t>FARIA CARLOS</t>
  </si>
  <si>
    <t>12529</t>
  </si>
  <si>
    <t>MAZAN MONICA ELVIRA</t>
  </si>
  <si>
    <t>11963</t>
  </si>
  <si>
    <t>DELCUSE EMELINE</t>
  </si>
  <si>
    <t>11870</t>
  </si>
  <si>
    <t>PRIN KELLY</t>
  </si>
  <si>
    <t>12425</t>
  </si>
  <si>
    <t>HOTTIN AXELLE</t>
  </si>
  <si>
    <t>12897</t>
  </si>
  <si>
    <t>BONIN CHANTAL</t>
  </si>
  <si>
    <t>12409</t>
  </si>
  <si>
    <t>ZEGHDOUDI LINDA</t>
  </si>
  <si>
    <t>12106</t>
  </si>
  <si>
    <t>MHAMDI RIAD</t>
  </si>
  <si>
    <t>12616</t>
  </si>
  <si>
    <t>12617</t>
  </si>
  <si>
    <t>13191</t>
  </si>
  <si>
    <t>PIERREDEY-MAZAK MARZENA</t>
  </si>
  <si>
    <t>12808</t>
  </si>
  <si>
    <t>FERREIRA JENNIFER</t>
  </si>
  <si>
    <t>12497</t>
  </si>
  <si>
    <t>SEGUIN JULIETTE</t>
  </si>
  <si>
    <t>12994</t>
  </si>
  <si>
    <t>LAUPIES AUDREY</t>
  </si>
  <si>
    <t>13021</t>
  </si>
  <si>
    <t>VAN LONDERSELE JULIE</t>
  </si>
  <si>
    <t>12217</t>
  </si>
  <si>
    <t>BROCHANT DE VILLIERS HERMINE</t>
  </si>
  <si>
    <t>11884</t>
  </si>
  <si>
    <t>ROLIN-BARNAUD STEPHANIE</t>
  </si>
  <si>
    <t>12140</t>
  </si>
  <si>
    <t>JAMJOUM ZOUHOUR</t>
  </si>
  <si>
    <t>12005</t>
  </si>
  <si>
    <t>JAYAKUMAR SATHIAVALLI</t>
  </si>
  <si>
    <t>12571</t>
  </si>
  <si>
    <t>SORINI FRANCK</t>
  </si>
  <si>
    <t>12572</t>
  </si>
  <si>
    <t>13139</t>
  </si>
  <si>
    <t>EOZENOU LINDA</t>
  </si>
  <si>
    <t>12185</t>
  </si>
  <si>
    <t>ZOUARI LAURA</t>
  </si>
  <si>
    <t>12193</t>
  </si>
  <si>
    <t>DELVAL ANAAS</t>
  </si>
  <si>
    <t>12697</t>
  </si>
  <si>
    <t>DALLA LIBERA JEAN LOUIS</t>
  </si>
  <si>
    <t>11415</t>
  </si>
  <si>
    <t>BLACHON ISABELLE</t>
  </si>
  <si>
    <t>12115</t>
  </si>
  <si>
    <t>USTARIZ MAITE</t>
  </si>
  <si>
    <t>12720</t>
  </si>
  <si>
    <t>DENEBOUR JENNIFER</t>
  </si>
  <si>
    <t>12157</t>
  </si>
  <si>
    <t>RENAULT GAELLE</t>
  </si>
  <si>
    <t>12418</t>
  </si>
  <si>
    <t>ZAPATA CHLOE</t>
  </si>
  <si>
    <t>12150</t>
  </si>
  <si>
    <t>DUBAS OPHELIE</t>
  </si>
  <si>
    <t>12788</t>
  </si>
  <si>
    <t>ROUVEIROLLES MARIE CARLINE</t>
  </si>
  <si>
    <t>12143</t>
  </si>
  <si>
    <t>MINGUEZA ISABELLE</t>
  </si>
  <si>
    <t>11347</t>
  </si>
  <si>
    <t>POURTAU STEPHANIE</t>
  </si>
  <si>
    <t>12846</t>
  </si>
  <si>
    <t>BRECHIGNAC SOLANGE</t>
  </si>
  <si>
    <t>12429</t>
  </si>
  <si>
    <t>CLEMOT ANAIS</t>
  </si>
  <si>
    <t>12826</t>
  </si>
  <si>
    <t>MOUTARDIER DAPHNE</t>
  </si>
  <si>
    <t>12951</t>
  </si>
  <si>
    <t>NAIT ALLOU ANISSA</t>
  </si>
  <si>
    <t>13077</t>
  </si>
  <si>
    <t>LALLEMENT DIANE</t>
  </si>
  <si>
    <t>12218</t>
  </si>
  <si>
    <t>MEIRINHOS CYNTHIA</t>
  </si>
  <si>
    <t>12412</t>
  </si>
  <si>
    <t>PENCEDANO FRANCE</t>
  </si>
  <si>
    <t>12158</t>
  </si>
  <si>
    <t>ZAABOUL BOUCHRA</t>
  </si>
  <si>
    <t>12957</t>
  </si>
  <si>
    <t>VILLEGAS STEPHANIE</t>
  </si>
  <si>
    <t>12580</t>
  </si>
  <si>
    <t>VAN DE WINCKELE LAURE</t>
  </si>
  <si>
    <t>12591</t>
  </si>
  <si>
    <t>SILVA CARLOS</t>
  </si>
  <si>
    <t>11447</t>
  </si>
  <si>
    <t>MARTIN-DUPRIEZ MARIE-JOANNA</t>
  </si>
  <si>
    <t>11948</t>
  </si>
  <si>
    <t>JOSEPH FARAH</t>
  </si>
  <si>
    <t>12857</t>
  </si>
  <si>
    <t>RENAULT MAXENCE</t>
  </si>
  <si>
    <t>12489</t>
  </si>
  <si>
    <t>PINEAU JULIEN</t>
  </si>
  <si>
    <t>12197</t>
  </si>
  <si>
    <t>LACHERE KATIA</t>
  </si>
  <si>
    <t>12933</t>
  </si>
  <si>
    <t>ROUAF RIM</t>
  </si>
  <si>
    <t>12996</t>
  </si>
  <si>
    <t>HAMDACH FAYROUZ</t>
  </si>
  <si>
    <t>12111</t>
  </si>
  <si>
    <t>MANCEAU NATHALIE</t>
  </si>
  <si>
    <t>12030</t>
  </si>
  <si>
    <t>DROUHIN NADEGE</t>
  </si>
  <si>
    <t>12270</t>
  </si>
  <si>
    <t>PIERRE AGNIESZKA</t>
  </si>
  <si>
    <t>12138</t>
  </si>
  <si>
    <t>HASSINI ESLEM</t>
  </si>
  <si>
    <t>12813</t>
  </si>
  <si>
    <t>SWIAT CATHERINE</t>
  </si>
  <si>
    <t>12113</t>
  </si>
  <si>
    <t>GAILLARD FANNY</t>
  </si>
  <si>
    <t>12045</t>
  </si>
  <si>
    <t>KAFUTI AIMEE</t>
  </si>
  <si>
    <t>13005</t>
  </si>
  <si>
    <t>FRIAS DA FONSECA PASCALE</t>
  </si>
  <si>
    <t>12823</t>
  </si>
  <si>
    <t>EL BARI ZINEB</t>
  </si>
  <si>
    <t>13248</t>
  </si>
  <si>
    <t>MONNAIS SOPHIE</t>
  </si>
  <si>
    <t>11566</t>
  </si>
  <si>
    <t>ROUSSEAU CECILE</t>
  </si>
  <si>
    <t>12671</t>
  </si>
  <si>
    <t>MILLET GRAZIELLA</t>
  </si>
  <si>
    <t>13102</t>
  </si>
  <si>
    <t>CORNILLET HERMINE</t>
  </si>
  <si>
    <t>12440</t>
  </si>
  <si>
    <t>CLUZEL ANGELIQUE</t>
  </si>
  <si>
    <t>11739</t>
  </si>
  <si>
    <t>BARBIER ARNAUD PIERRE FRANCOIS</t>
  </si>
  <si>
    <t>12121</t>
  </si>
  <si>
    <t>KOHI SORAYA</t>
  </si>
  <si>
    <t>13090</t>
  </si>
  <si>
    <t>GROSSIR MARIE ANGE</t>
  </si>
  <si>
    <t>12318</t>
  </si>
  <si>
    <t>MBAYE SOKHNA DIARRA</t>
  </si>
  <si>
    <t>12955</t>
  </si>
  <si>
    <t>GAUDEFROY JULIE</t>
  </si>
  <si>
    <t>13130</t>
  </si>
  <si>
    <t>COQUARD CATHERINE</t>
  </si>
  <si>
    <t>10772</t>
  </si>
  <si>
    <t>DOUX LUCIE</t>
  </si>
  <si>
    <t>13010</t>
  </si>
  <si>
    <t>MONTANA MARIE</t>
  </si>
  <si>
    <t>13105</t>
  </si>
  <si>
    <t>BENMERAH AISSA</t>
  </si>
  <si>
    <t>12028</t>
  </si>
  <si>
    <t>KEFTI NORA</t>
  </si>
  <si>
    <t>11612</t>
  </si>
  <si>
    <t>SANCHEZ ADELINE</t>
  </si>
  <si>
    <t>11819</t>
  </si>
  <si>
    <t>KREBS CAMILLE</t>
  </si>
  <si>
    <t>12766</t>
  </si>
  <si>
    <t>BRANDELY MAXIME</t>
  </si>
  <si>
    <t>13158</t>
  </si>
  <si>
    <t>LANNEGRAND ESTELLE</t>
  </si>
  <si>
    <t>12189</t>
  </si>
  <si>
    <t>DUFOUR JULIE</t>
  </si>
  <si>
    <t>13087</t>
  </si>
  <si>
    <t>BECHE HELICIA</t>
  </si>
  <si>
    <t>13079</t>
  </si>
  <si>
    <t>SOULLIER ILONA</t>
  </si>
  <si>
    <t>12540</t>
  </si>
  <si>
    <t>MATHIS SARAH</t>
  </si>
  <si>
    <t>12796</t>
  </si>
  <si>
    <t>RAYON CHARLINE</t>
  </si>
  <si>
    <t>11360</t>
  </si>
  <si>
    <t>FRIAISSE MARIE</t>
  </si>
  <si>
    <t>13083</t>
  </si>
  <si>
    <t>COLLETAZ MARTINE</t>
  </si>
  <si>
    <t>12928</t>
  </si>
  <si>
    <t>DOIGNIES CELINE</t>
  </si>
  <si>
    <t>12375</t>
  </si>
  <si>
    <t>FERNANDES ROSA</t>
  </si>
  <si>
    <t>12902</t>
  </si>
  <si>
    <t>LESPINASSE JEAN</t>
  </si>
  <si>
    <t>12177</t>
  </si>
  <si>
    <t>DA SILVA SANTOS AZEVEDO DORINDA</t>
  </si>
  <si>
    <t>12391</t>
  </si>
  <si>
    <t>PEZZIARDI DUCROUX MANON</t>
  </si>
  <si>
    <t>13217</t>
  </si>
  <si>
    <t>MARANGONI FIONA</t>
  </si>
  <si>
    <t>11781</t>
  </si>
  <si>
    <t>MANGION MELODY</t>
  </si>
  <si>
    <t>12107</t>
  </si>
  <si>
    <t>EISPESSE ANAIS</t>
  </si>
  <si>
    <t>12623</t>
  </si>
  <si>
    <t>WILDEMANN STEPHANIE</t>
  </si>
  <si>
    <t>13056</t>
  </si>
  <si>
    <t>OUALI SARA</t>
  </si>
  <si>
    <t>12565</t>
  </si>
  <si>
    <t>LANTERI MARC</t>
  </si>
  <si>
    <t>12564</t>
  </si>
  <si>
    <t>12547</t>
  </si>
  <si>
    <t>GAGNAIRE LOUISE</t>
  </si>
  <si>
    <t>12209</t>
  </si>
  <si>
    <t>DE OLIVEIRA JEANINE</t>
  </si>
  <si>
    <t>12807</t>
  </si>
  <si>
    <t>COLLIAC-CHIRIE JULIETTE</t>
  </si>
  <si>
    <t>12117</t>
  </si>
  <si>
    <t>YI HELENE</t>
  </si>
  <si>
    <t>12093</t>
  </si>
  <si>
    <t>KALTSCHMIDT DORIANE</t>
  </si>
  <si>
    <t>12525</t>
  </si>
  <si>
    <t>NORMAND CECILE</t>
  </si>
  <si>
    <t>13000</t>
  </si>
  <si>
    <t>BUREAU MARTIN</t>
  </si>
  <si>
    <t>11951</t>
  </si>
  <si>
    <t>MAZZOLI CHLOE</t>
  </si>
  <si>
    <t>12865</t>
  </si>
  <si>
    <t>RIBEIRO BARBOSA MARIA</t>
  </si>
  <si>
    <t>13007</t>
  </si>
  <si>
    <t>SMOTKOWICZ DANIEL</t>
  </si>
  <si>
    <t>12423</t>
  </si>
  <si>
    <t>GIRAUDET LAETITIA</t>
  </si>
  <si>
    <t>13199</t>
  </si>
  <si>
    <t>GERARD CHRISTINE</t>
  </si>
  <si>
    <t>12239</t>
  </si>
  <si>
    <t>SALMON CELINE</t>
  </si>
  <si>
    <t>13251</t>
  </si>
  <si>
    <t>HANSER PHILIPPE</t>
  </si>
  <si>
    <t>12276</t>
  </si>
  <si>
    <t>CAUDIU MARINE</t>
  </si>
  <si>
    <t>12119</t>
  </si>
  <si>
    <t>DUMONT ANNE MARIE</t>
  </si>
  <si>
    <t>13008</t>
  </si>
  <si>
    <t>FORNET VINCENT</t>
  </si>
  <si>
    <t>13040</t>
  </si>
  <si>
    <t>BARBOSA CARLA</t>
  </si>
  <si>
    <t>12701</t>
  </si>
  <si>
    <t>LECLERC MARINA</t>
  </si>
  <si>
    <t>13093</t>
  </si>
  <si>
    <t>RAPACIOLI MARIE-BLANCHE</t>
  </si>
  <si>
    <t>11936</t>
  </si>
  <si>
    <t>ENRIQUEZ CARMEN</t>
  </si>
  <si>
    <t>13002</t>
  </si>
  <si>
    <t>KLEIN MAGALIE</t>
  </si>
  <si>
    <t>12402</t>
  </si>
  <si>
    <t>DRAY SANDRINE VALA©RIE</t>
  </si>
  <si>
    <t>13198</t>
  </si>
  <si>
    <t>CHERON KARINE</t>
  </si>
  <si>
    <t>12968</t>
  </si>
  <si>
    <t>VELDKAMP THOMAS</t>
  </si>
  <si>
    <t>12864</t>
  </si>
  <si>
    <t>MESHCHERYAKOVA EVGENIYA</t>
  </si>
  <si>
    <t>13038</t>
  </si>
  <si>
    <t>BESNARD LUCILE</t>
  </si>
  <si>
    <t>12655</t>
  </si>
  <si>
    <t>HOGREL TIPHAINE</t>
  </si>
  <si>
    <t>13058</t>
  </si>
  <si>
    <t>DA SILVA ALVES GOMES ROSALINA</t>
  </si>
  <si>
    <t>13003</t>
  </si>
  <si>
    <t>KASPARIAN EMILIE</t>
  </si>
  <si>
    <t>13112</t>
  </si>
  <si>
    <t>12133</t>
  </si>
  <si>
    <t>WAROT ELSA-CLAIRE</t>
  </si>
  <si>
    <t>11150</t>
  </si>
  <si>
    <t>MONTIAL ISABELLE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</si>
  <si>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</si>
  <si>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</si>
  <si>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</si>
  <si>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</si>
  <si>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t>12793</t>
  </si>
  <si>
    <t>MAHE VERONIQUE</t>
  </si>
  <si>
    <t>12780</t>
  </si>
  <si>
    <t>BOURGINE LEVAVASSEUR NATHALIE</t>
  </si>
  <si>
    <t>12477</t>
  </si>
  <si>
    <t>ROHAN HAUDE</t>
  </si>
  <si>
    <t>11412</t>
  </si>
  <si>
    <t>BENTOUMI DALILA</t>
  </si>
  <si>
    <t>11260</t>
  </si>
  <si>
    <t>BERNARD LAURENCE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</si>
  <si>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</si>
  <si>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</si>
  <si>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</si>
  <si>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</si>
  <si>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</si>
  <si>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Date du Décès</t>
  </si>
  <si>
    <t xml:space="preserve">âge 
au Décès</t>
  </si>
  <si>
    <t>Capitaux Payés</t>
  </si>
  <si>
    <t>12282</t>
  </si>
  <si>
    <t>COEUGNET SYLVIE</t>
  </si>
  <si>
    <t>10994</t>
  </si>
  <si>
    <t>COLLOT STEPHANIE</t>
  </si>
  <si>
    <t>12027</t>
  </si>
  <si>
    <t>LAPORTE ARLETTE</t>
  </si>
  <si>
    <t>13176</t>
  </si>
  <si>
    <t>KUTA BRIGITTE</t>
  </si>
  <si>
    <t>2368</t>
  </si>
  <si>
    <t>BOUALI DOMINIQUE</t>
  </si>
  <si>
    <t>12520</t>
  </si>
  <si>
    <t>PLANCHETTE MARIE-CHRISTINE</t>
  </si>
  <si>
    <t>12511</t>
  </si>
  <si>
    <t>ISSELIN NADIA</t>
  </si>
  <si>
    <t>12628</t>
  </si>
  <si>
    <t>HOANG THI NGA</t>
  </si>
  <si>
    <t>11810</t>
  </si>
  <si>
    <t>ROSSET AUDREY</t>
  </si>
  <si>
    <t>12769</t>
  </si>
  <si>
    <t>VINCENT CHRISTIANE</t>
  </si>
  <si>
    <t>11913</t>
  </si>
  <si>
    <t>BADET CHLOE</t>
  </si>
  <si>
    <t>12116</t>
  </si>
  <si>
    <t>REAUME CELINE</t>
  </si>
  <si>
    <t>12385</t>
  </si>
  <si>
    <t>SIMILIA PHILIPPE</t>
  </si>
  <si>
    <t>12196</t>
  </si>
  <si>
    <t>DEVAULT RENATA</t>
  </si>
  <si>
    <t>12089</t>
  </si>
  <si>
    <t>ELAMRI MOHAMED</t>
  </si>
  <si>
    <t>13255</t>
  </si>
  <si>
    <t>LE CONTELLEC MICHEL</t>
  </si>
  <si>
    <t>13032</t>
  </si>
  <si>
    <t>SCHIRRER CHRISTIAN</t>
  </si>
  <si>
    <t>12948</t>
  </si>
  <si>
    <t>TROTTER JEAN-FRANCOIS</t>
  </si>
  <si>
    <t>12651</t>
  </si>
  <si>
    <t>MONLEZUN SERGE</t>
  </si>
  <si>
    <t>13249</t>
  </si>
  <si>
    <t>LAUDE JACKY</t>
  </si>
  <si>
    <t>12599</t>
  </si>
  <si>
    <t>DUFOSSE GIOVANNI</t>
  </si>
  <si>
    <t>11965</t>
  </si>
  <si>
    <t>LATRASSE JEAN-LUC</t>
  </si>
  <si>
    <t>13247</t>
  </si>
  <si>
    <t>MAITREPIERRE JEAN PAUL</t>
  </si>
  <si>
    <t>PERFEKT_OPTION DÉCÈS_</t>
  </si>
  <si>
    <t>12211</t>
  </si>
  <si>
    <t>LIVOWSKY FRANCOISE</t>
  </si>
  <si>
    <t>DEBPRIME</t>
  </si>
  <si>
    <t>FINPRIME</t>
  </si>
  <si>
    <t>CODCOL</t>
  </si>
  <si>
    <t>ANNEE</t>
  </si>
  <si>
    <t>COTISATION</t>
  </si>
  <si>
    <t>COTISATION_BRUTE</t>
  </si>
  <si>
    <t>CODE GARANTIE</t>
  </si>
  <si>
    <t>CAUSE SINISTRE</t>
  </si>
  <si>
    <t>NATURE SINISTRE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</si>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</sst>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#,##0\ &quot;€&quot;;[Red]#,##0\ &quot;€&quot;"/>
    <numFmt numFmtId="174" formatCode="0_ ;[Red]\-0\ 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26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DINBek"/>
    </font>
    <font>
      <b/>
      <sz val="10"/>
      <color rgb="FF4FACBE"/>
      <name val="DINbek Medium"/>
    </font>
    <font>
      <b/>
      <sz val="12"/>
      <color rgb="FF4FACBE"/>
      <name val="Arial"/>
      <family val="2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DINBek"/>
    </font>
    <font>
      <sz val="11"/>
      <color rgb="FFFF0000"/>
      <name val="Calibri"/>
      <family val="2"/>
      <scheme val="minor"/>
    </font>
    <font>
      <b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84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0" applyBorder="1" xfId="0">
      <alignment horizontal="left" vertical="center"/>
    </xf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5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9" applyFont="1" fillId="0" applyFill="1" borderId="0" applyBorder="1" xfId="0">
      <alignment horizontal="left" vertical="center"/>
    </xf>
    <xf numFmtId="0" applyNumberFormat="1" fontId="8" applyFont="1" fillId="2" applyFill="1" borderId="0" applyBorder="1" xfId="4"/>
    <xf numFmtId="3" applyNumberFormat="1" fontId="8" applyFont="1" fillId="2" applyFill="1" borderId="0" applyBorder="1" xfId="4">
      <alignment horizontal="center"/>
    </xf>
    <xf numFmtId="0" applyNumberFormat="1" fontId="10" applyFont="1" fillId="2" applyFill="1" borderId="0" applyBorder="1" xfId="4">
      <alignment vertical="center"/>
    </xf>
    <xf numFmtId="9" applyNumberFormat="1" fontId="10" applyFont="1" fillId="2" applyFill="1" borderId="0" applyBorder="1" xfId="6">
      <alignment horizontal="center" vertical="center" wrapText="1"/>
    </xf>
    <xf numFmtId="0" applyNumberFormat="1" fontId="11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13" applyFont="1" fillId="0" applyFill="1" borderId="5" applyBorder="1" xfId="0"/>
    <xf numFmtId="0" applyNumberFormat="1" fontId="13" applyFont="1" fillId="0" applyFill="1" borderId="0" applyBorder="1" xfId="0"/>
    <xf numFmtId="0" applyNumberFormat="1" fontId="5" applyFont="1" fillId="2" applyFill="1" borderId="0" applyBorder="1" xfId="4"/>
    <xf numFmtId="3" applyNumberFormat="1" fontId="5" applyFont="1" fillId="2" applyFill="1" borderId="0" applyBorder="1" xfId="4">
      <alignment horizontal="center"/>
    </xf>
    <xf numFmtId="0" applyNumberFormat="1" fontId="6" applyFont="1" fillId="2" applyFill="1" borderId="0" applyBorder="1" xfId="4">
      <alignment vertical="center"/>
    </xf>
    <xf numFmtId="9" applyNumberFormat="1" fontId="6" applyFont="1" fillId="2" applyFill="1" borderId="0" applyBorder="1" xfId="6">
      <alignment horizontal="center" vertical="center" wrapText="1"/>
    </xf>
    <xf numFmtId="0" applyNumberFormat="1" fontId="13" applyFont="1" fillId="0" applyFill="1" borderId="6" applyBorder="1" xfId="0"/>
    <xf numFmtId="0" applyNumberFormat="1" fontId="14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8" applyFont="1" fillId="0" applyFill="1" borderId="5" applyBorder="1" xfId="0"/>
    <xf numFmtId="0" applyNumberFormat="1" fontId="18" applyFont="1" fillId="0" applyFill="1" borderId="6" applyBorder="1" xfId="0"/>
    <xf numFmtId="0" applyNumberFormat="1" fontId="18" applyFont="1" fillId="0" applyFill="1" borderId="0" applyBorder="1" xfId="0"/>
    <xf numFmtId="0" applyNumberFormat="1" fontId="14" applyFont="1" fillId="0" applyFill="1" borderId="0" applyBorder="1" xfId="3">
      <alignment horizontal="center" vertical="center"/>
    </xf>
    <xf numFmtId="0" applyNumberFormat="1" fontId="16" applyFont="1" fillId="2" applyFill="1" borderId="0" applyBorder="1" xfId="4"/>
    <xf numFmtId="0" applyNumberFormat="1" fontId="15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22" applyFont="1" fillId="0" applyFill="1" borderId="0" applyBorder="1" xfId="5">
      <alignment horizontal="left" vertical="center"/>
    </xf>
    <xf numFmtId="0" applyNumberFormat="1" fontId="24" applyFont="1" fillId="0" applyFill="1" borderId="0" applyBorder="1" xfId="0"/>
    <xf numFmtId="0" applyNumberFormat="1" fontId="25" applyFont="1" fillId="0" applyFill="1" borderId="5" applyBorder="1" xfId="0"/>
    <xf numFmtId="0" applyNumberFormat="1" fontId="25" applyFont="1" fillId="0" applyFill="1" borderId="0" applyBorder="1" xfId="0">
      <alignment horizontal="left" vertical="center"/>
    </xf>
    <xf numFmtId="0" applyNumberFormat="1" fontId="25" applyFont="1" fillId="0" applyFill="1" borderId="0" applyBorder="1" xfId="0"/>
    <xf numFmtId="0" applyNumberFormat="1" fontId="26" applyFont="1" fillId="0" applyFill="1" borderId="0" applyBorder="1" xfId="5"/>
    <xf numFmtId="0" applyNumberFormat="1" fontId="25" applyFont="1" fillId="0" applyFill="1" borderId="6" applyBorder="1" xfId="0"/>
    <xf numFmtId="0" applyNumberFormat="1" fontId="23" applyFont="1" fillId="0" applyFill="1" borderId="0" applyBorder="1" xfId="5">
      <alignment horizontal="left" vertical="center"/>
    </xf>
    <xf numFmtId="0" applyNumberFormat="1" fontId="24" applyFont="1" fillId="0" applyFill="1" borderId="5" applyBorder="1" xfId="0"/>
    <xf numFmtId="0" applyNumberFormat="1" fontId="24" applyFont="1" fillId="0" applyFill="1" borderId="0" applyBorder="1" xfId="0">
      <alignment horizontal="left" vertical="center"/>
    </xf>
    <xf numFmtId="0" applyNumberFormat="1" fontId="27" applyFont="1" fillId="0" applyFill="1" borderId="0" applyBorder="1" xfId="5">
      <alignment horizontal="left" vertical="center"/>
    </xf>
    <xf numFmtId="0" applyNumberFormat="1" fontId="24" applyFont="1" fillId="0" applyFill="1" borderId="6" applyBorder="1" xfId="0"/>
    <xf numFmtId="0" applyNumberFormat="1" fontId="28" applyFont="1" fillId="0" applyFill="1" borderId="0" applyBorder="1" xfId="5">
      <alignment horizontal="left" vertical="center"/>
    </xf>
    <xf numFmtId="0" applyNumberFormat="1" fontId="26" applyFont="1" fillId="0" applyFill="1" borderId="0" applyBorder="1" xfId="5">
      <alignment horizontal="left" vertical="center"/>
    </xf>
    <xf numFmtId="0" applyNumberFormat="1" fontId="29" applyFont="1" fillId="0" applyFill="1" borderId="0" applyBorder="1" xfId="5">
      <alignment horizontal="center"/>
    </xf>
    <xf numFmtId="0" applyNumberFormat="1" fontId="30" applyFont="1" fillId="0" applyFill="1" borderId="0" applyBorder="1" xfId="0"/>
    <xf numFmtId="0" applyNumberFormat="1" fontId="30" applyFont="1" fillId="0" applyFill="1" borderId="5" applyBorder="1" xfId="0"/>
    <xf numFmtId="0" applyNumberFormat="1" fontId="31" applyFont="1" fillId="0" applyFill="1" borderId="0" applyBorder="1" xfId="4" quotePrefix="1"/>
    <xf numFmtId="0" applyNumberFormat="1" fontId="30" applyFont="1" fillId="0" applyFill="1" borderId="0" applyBorder="1" xfId="4"/>
    <xf numFmtId="14" applyNumberFormat="1" fontId="31" applyFont="1" fillId="0" applyFill="1" borderId="0" applyBorder="1" xfId="4">
      <alignment horizontal="left"/>
    </xf>
    <xf numFmtId="0" applyNumberFormat="1" fontId="30" applyFont="1" fillId="0" applyFill="1" borderId="0" applyBorder="1" xfId="0">
      <alignment horizontal="left" vertical="center"/>
    </xf>
    <xf numFmtId="14" applyNumberFormat="1" fontId="30" applyFont="1" fillId="0" applyFill="1" borderId="0" applyBorder="1" xfId="4">
      <alignment horizontal="left"/>
    </xf>
    <xf numFmtId="0" applyNumberFormat="1" fontId="30" applyFont="1" fillId="0" applyFill="1" borderId="6" applyBorder="1" xfId="0"/>
    <xf numFmtId="0" applyNumberFormat="1" fontId="32" applyFont="1" fillId="0" applyFill="1" borderId="0" applyBorder="1" xfId="0"/>
    <xf numFmtId="0" applyNumberFormat="1" fontId="32" applyFont="1" fillId="0" applyFill="1" borderId="5" applyBorder="1" xfId="0"/>
    <xf numFmtId="0" applyNumberFormat="1" fontId="33" applyFont="1" fillId="2" applyFill="1" borderId="0" applyBorder="1" xfId="4"/>
    <xf numFmtId="0" applyNumberFormat="1" fontId="33" applyFont="1" fillId="0" applyFill="1" borderId="0" applyBorder="1" xfId="0">
      <alignment horizontal="left" vertical="center"/>
    </xf>
    <xf numFmtId="3" applyNumberFormat="1" fontId="33" applyFont="1" fillId="2" applyFill="1" borderId="0" applyBorder="1" xfId="4">
      <alignment horizontal="center"/>
    </xf>
    <xf numFmtId="0" applyNumberFormat="1" fontId="34" applyFont="1" fillId="2" applyFill="1" borderId="0" applyBorder="1" xfId="4">
      <alignment vertical="center"/>
    </xf>
    <xf numFmtId="9" applyNumberFormat="1" fontId="34" applyFont="1" fillId="2" applyFill="1" borderId="0" applyBorder="1" xfId="6">
      <alignment horizontal="center" vertical="center" wrapText="1"/>
    </xf>
    <xf numFmtId="0" applyNumberFormat="1" fontId="32" applyFont="1" fillId="0" applyFill="1" borderId="6" applyBorder="1" xfId="0"/>
    <xf numFmtId="168" applyNumberFormat="1" fontId="19" applyFont="1" fillId="7" applyFill="1" borderId="1" applyBorder="1" xfId="3">
      <alignment horizontal="center" vertical="center" wrapText="1"/>
    </xf>
    <xf numFmtId="0" applyNumberFormat="1" fontId="34" applyFont="1" fillId="2" applyFill="1" borderId="0" applyBorder="1" xfId="4"/>
    <xf numFmtId="0" applyNumberFormat="1" fontId="35" applyFont="1" fillId="0" applyFill="1" borderId="0" applyBorder="1" xfId="3"/>
    <xf numFmtId="0" applyNumberFormat="1" fontId="33" applyFont="1" fillId="0" applyFill="1" borderId="0" applyBorder="1" xfId="3"/>
    <xf numFmtId="0" applyNumberFormat="1" fontId="36" applyFont="1" fillId="0" applyFill="1" borderId="0" applyBorder="1" xfId="3"/>
    <xf numFmtId="0" applyNumberFormat="1" fontId="7" applyFont="1" fillId="7" applyFill="1" borderId="10" applyBorder="1" xfId="3">
      <alignment horizontal="center" vertical="center" wrapText="1"/>
    </xf>
    <xf numFmtId="1" applyNumberFormat="1" fontId="19" applyFont="1" fillId="7" applyFill="1" borderId="1" applyBorder="1" xfId="3">
      <alignment horizontal="center" vertical="center" wrapText="1"/>
    </xf>
    <xf numFmtId="0" applyNumberFormat="1" fontId="33" applyFont="1" fillId="2" applyFill="1" borderId="0" applyBorder="1" xfId="4">
      <alignment horizontal="center"/>
    </xf>
    <xf numFmtId="15" applyNumberFormat="1" fontId="26" applyFont="1" fillId="0" applyFill="1" borderId="0" applyBorder="1" xfId="5">
      <alignment horizontal="left" vertical="center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33" applyFont="1" fillId="0" applyFill="1" borderId="10" applyBorder="1" xfId="3">
      <alignment horizontal="center" vertical="center"/>
    </xf>
    <xf numFmtId="1" applyNumberFormat="1" fontId="33" applyFont="1" fillId="0" applyFill="1" borderId="10" applyBorder="1" xfId="3">
      <alignment horizontal="center" vertical="center"/>
    </xf>
    <xf numFmtId="167" applyNumberFormat="1" fontId="33" applyFont="1" fillId="0" applyFill="1" borderId="10" applyBorder="1" xfId="3">
      <alignment horizontal="center" vertical="center"/>
    </xf>
    <xf numFmtId="167" applyNumberFormat="1" fontId="7" applyFont="1" fillId="7" applyFill="1" borderId="10" applyBorder="1" xfId="3">
      <alignment horizontal="center" vertical="center" wrapText="1"/>
    </xf>
    <xf numFmtId="9" applyNumberFormat="1" fontId="33" applyFont="1" fillId="3" applyFill="1" borderId="10" applyBorder="1" xfId="6">
      <alignment horizontal="center" vertical="center"/>
    </xf>
    <xf numFmtId="9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10" applyBorder="1" xfId="3"/>
    <xf numFmtId="0" applyNumberFormat="1" fontId="33" applyFont="1" fillId="0" applyFill="1" borderId="10" applyBorder="1" xfId="3">
      <alignment horizontal="center"/>
    </xf>
    <xf numFmtId="1" applyNumberFormat="1" fontId="33" applyFont="1" fillId="0" applyFill="1" borderId="10" applyBorder="1" xfId="3">
      <alignment horizontal="center"/>
    </xf>
    <xf numFmtId="0" applyNumberFormat="1" fontId="37" applyFont="1" fillId="7" applyFill="1" borderId="10" applyBorder="1" xfId="3">
      <alignment horizontal="center" vertical="center" wrapText="1"/>
    </xf>
    <xf numFmtId="167" applyNumberFormat="1" fontId="37" applyFont="1" fillId="3" applyFill="1" borderId="10" applyBorder="1" xfId="1">
      <alignment horizontal="center" vertical="center"/>
    </xf>
    <xf numFmtId="167" applyNumberFormat="1" fontId="37" applyFont="1" fillId="7" applyFill="1" borderId="10" applyBorder="1" xfId="3">
      <alignment horizontal="center" vertical="center" wrapText="1"/>
    </xf>
    <xf numFmtId="167" applyNumberFormat="1" fontId="33" applyFont="1" fillId="3" applyFill="1" borderId="10" applyBorder="1" xfId="1">
      <alignment horizontal="center" vertical="center"/>
    </xf>
    <xf numFmtId="3" applyNumberFormat="1" fontId="7" applyFont="1" fillId="7" applyFill="1" borderId="10" applyBorder="1" xfId="3">
      <alignment horizontal="center" vertical="center" wrapText="1"/>
    </xf>
    <xf numFmtId="0" applyNumberFormat="1" fontId="33" applyFont="1" fillId="2" applyFill="1" borderId="10" applyBorder="1" xfId="3">
      <alignment horizontal="center" vertical="center"/>
    </xf>
    <xf numFmtId="3" applyNumberFormat="1" fontId="33" applyFont="1" fillId="2" applyFill="1" borderId="10" applyBorder="1" xfId="3">
      <alignment horizontal="center" vertical="center"/>
    </xf>
    <xf numFmtId="170" applyNumberFormat="1" fontId="33" applyFont="1" fillId="2" applyFill="1" borderId="10" applyBorder="1" xfId="3">
      <alignment horizontal="center" vertical="center"/>
    </xf>
    <xf numFmtId="170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0" applyBorder="1" xfId="3">
      <alignment horizontal="center"/>
    </xf>
    <xf numFmtId="1" applyNumberFormat="1" fontId="33" applyFont="1" fillId="0" applyFill="1" borderId="0" applyBorder="1" xfId="3">
      <alignment horizontal="center"/>
    </xf>
    <xf numFmtId="2" applyNumberFormat="1" fontId="33" applyFont="1" fillId="2" applyFill="1" borderId="0" applyBorder="1" xfId="4"/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8" applyFont="1" fillId="0" applyFill="1" borderId="0" applyBorder="1" xfId="5">
      <alignment horizontal="left" vertical="center"/>
    </xf>
    <xf numFmtId="0" applyNumberFormat="1" fontId="39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40" applyFont="1" fillId="0" applyFill="1" borderId="0" applyBorder="1" xfId="4" quotePrefix="1"/>
    <xf numFmtId="1" applyNumberFormat="1" fontId="4" applyFont="1" fillId="0" applyFill="1" borderId="0" applyBorder="1" xfId="5">
      <alignment horizontal="left" vertical="center"/>
    </xf>
    <xf numFmtId="0" applyNumberFormat="1" fontId="7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9" applyFont="1" fillId="0" applyFill="1" borderId="0" applyBorder="1" xfId="0"/>
    <xf numFmtId="164" applyNumberFormat="1" fontId="20" applyFont="1" fillId="0" applyFill="1" borderId="0" applyBorder="1" xfId="3">
      <alignment horizontal="center" vertical="center"/>
    </xf>
    <xf numFmtId="164" applyNumberFormat="1" fontId="15" applyFont="1" fillId="2" applyFill="1" borderId="0" applyBorder="1" xfId="4"/>
    <xf numFmtId="164" applyNumberFormat="1" fontId="16" applyFont="1" fillId="2" applyFill="1" borderId="0" applyBorder="1" xfId="6"/>
    <xf numFmtId="164" applyNumberFormat="1" fontId="19" applyFont="1" fillId="2" applyFill="1" borderId="0" applyBorder="1" xfId="4">
      <alignment vertical="center"/>
    </xf>
    <xf numFmtId="164" applyNumberFormat="1" fontId="19" applyFont="1" fillId="2" applyFill="1" borderId="0" applyBorder="1" xfId="6">
      <alignment horizontal="center" vertical="center" wrapText="1"/>
    </xf>
    <xf numFmtId="164" applyNumberFormat="1" fontId="34" applyFont="1" fillId="2" applyFill="1" borderId="0" applyBorder="1" xfId="4">
      <alignment vertical="center"/>
    </xf>
    <xf numFmtId="164" applyNumberFormat="1" fontId="34" applyFont="1" fillId="2" applyFill="1" borderId="0" applyBorder="1" xfId="6">
      <alignment horizontal="center" vertical="center" wrapText="1"/>
    </xf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0" applyNumberFormat="1" fontId="20" applyFont="1" fillId="0" applyFill="1" borderId="1" applyBorder="1" xfId="6">
      <alignment horizontal="center" vertical="center"/>
    </xf>
    <xf numFmtId="173" applyNumberFormat="1" fontId="20" applyFont="1" fillId="0" applyFill="1" borderId="1" applyBorder="1" xfId="3">
      <alignment horizontal="center" vertical="center"/>
    </xf>
    <xf numFmtId="173" applyNumberFormat="1" fontId="14" applyFont="1" fillId="0" applyFill="1" borderId="0" applyBorder="1" xfId="0">
      <alignment horizontal="left" vertical="center"/>
    </xf>
    <xf numFmtId="173" applyNumberFormat="1" fontId="20" applyFont="1" fillId="0" applyFill="1" borderId="0" applyBorder="1" xfId="3">
      <alignment horizontal="center" vertical="center"/>
    </xf>
    <xf numFmtId="173" applyNumberFormat="1" fontId="15" applyFont="1" fillId="2" applyFill="1" borderId="0" applyBorder="1" xfId="4"/>
    <xf numFmtId="173" applyNumberFormat="1" fontId="16" applyFont="1" fillId="2" applyFill="1" borderId="0" applyBorder="1" xfId="4"/>
    <xf numFmtId="173" applyNumberFormat="1" fontId="21" applyFont="1" fillId="2" applyFill="1" borderId="0" applyBorder="1" xfId="4">
      <alignment horizontal="center"/>
    </xf>
    <xf numFmtId="173" applyNumberFormat="1" fontId="33" applyFont="1" fillId="2" applyFill="1" borderId="0" applyBorder="1" xfId="4"/>
    <xf numFmtId="173" applyNumberFormat="1" fontId="33" applyFont="1" fillId="0" applyFill="1" borderId="0" applyBorder="1" xfId="0">
      <alignment horizontal="left" vertical="center"/>
    </xf>
    <xf numFmtId="170" applyNumberFormat="1" fontId="8" applyFont="1" fillId="0" applyFill="1" borderId="0" applyBorder="1" xfId="3">
      <alignment horizontal="center" vertical="center" wrapText="1"/>
    </xf>
    <xf numFmtId="0" applyNumberFormat="1" fontId="46" applyFont="1" fillId="0" applyFill="1" borderId="0" applyBorder="1" xfId="0">
      <alignment horizontal="center"/>
    </xf>
    <xf numFmtId="0" applyNumberFormat="1" fontId="47" applyFont="1" fillId="0" applyFill="1" borderId="0" applyBorder="1" xfId="0">
      <alignment horizontal="left" vertical="center"/>
    </xf>
    <xf numFmtId="0" applyNumberFormat="1" fontId="17" applyFont="1" fillId="0" applyFill="1" borderId="5" applyBorder="1" xfId="0"/>
    <xf numFmtId="0" applyNumberFormat="1" fontId="44" applyFont="1" fillId="0" applyFill="1" borderId="0" applyBorder="1" xfId="0"/>
    <xf numFmtId="0" applyNumberFormat="1" fontId="44" applyFont="1" fillId="5" applyFill="1" borderId="0" applyBorder="1" xfId="0"/>
    <xf numFmtId="174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48" applyFont="1" fillId="0" applyFill="1" borderId="0" applyBorder="1" xfId="0">
      <alignment horizontal="center"/>
    </xf>
    <xf numFmtId="8" applyNumberFormat="1" fontId="48" applyFont="1" fillId="0" applyFill="1" borderId="0" applyBorder="1" xfId="0">
      <alignment horizontal="center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  <xf numFmtId="1" applyNumberFormat="1" fontId="41" applyFont="1" fillId="0" applyFill="1" borderId="0" applyBorder="1" xfId="5">
      <alignment horizontal="left" vertical="center" wrapText="1"/>
    </xf>
    <xf numFmtId="0" applyNumberFormat="1" fontId="42" applyFont="1" fillId="0" applyFill="1" borderId="0" applyBorder="1" xfId="5">
      <alignment horizontal="left" vertical="center" wrapText="1"/>
    </xf>
    <xf numFmtId="0" applyNumberFormat="1" fontId="45" applyFont="1" fillId="7" applyFill="1" borderId="16" applyBorder="1" xfId="0">
      <alignment horizontal="center"/>
    </xf>
    <xf numFmtId="0" applyNumberFormat="1" fontId="39" applyFont="1" fillId="8" applyFill="1" borderId="0" applyBorder="1" xfId="0">
      <alignment horizontal="center"/>
    </xf>
    <xf numFmtId="0" applyNumberFormat="1" fontId="43" applyFont="1" fillId="0" applyFill="1" borderId="11" applyBorder="1" xfId="5">
      <alignment horizontal="left" vertical="center" wrapText="1"/>
    </xf>
    <xf numFmtId="0" applyNumberFormat="1" fontId="43" applyFont="1" fillId="0" applyFill="1" borderId="12" applyBorder="1" xfId="5">
      <alignment horizontal="left" vertical="center" wrapText="1"/>
    </xf>
    <xf numFmtId="0" applyNumberFormat="1" fontId="43" applyFont="1" fillId="0" applyFill="1" borderId="13" applyBorder="1" xfId="5">
      <alignment horizontal="left" vertical="center" wrapText="1"/>
    </xf>
    <xf numFmtId="0" applyNumberFormat="1" fontId="43" applyFont="1" fillId="0" applyFill="1" borderId="20" applyBorder="1" xfId="5">
      <alignment horizontal="left" vertical="center" wrapText="1"/>
    </xf>
    <xf numFmtId="0" applyNumberFormat="1" fontId="43" applyFont="1" fillId="0" applyFill="1" borderId="21" applyBorder="1" xfId="5">
      <alignment horizontal="left" vertical="center" wrapText="1"/>
    </xf>
    <xf numFmtId="0" applyNumberFormat="1" fontId="43" applyFont="1" fillId="0" applyFill="1" borderId="22" applyBorder="1" xfId="5">
      <alignment horizontal="left" vertical="center" wrapText="1"/>
    </xf>
    <xf numFmtId="0" applyNumberFormat="1" fontId="49" applyFont="1" fillId="5" applyFill="1" borderId="0" applyBorder="1" xfId="0"/>
  </cellXfs>
  <cellStyles count="9">
    <cellStyle name="Comma" xfId="1" builtinId="3"/>
    <cellStyle name="Currency" xfId="2" builtinId="4"/>
    <cellStyle name="Normal" xfId="0" builtinId="0"/>
    <cellStyle name="Normal 2" xfId="3"/>
    <cellStyle name="Normal 4" xfId="4"/>
    <cellStyle name="Normal_Book 2004 feuille sommaire 2" xfId="5"/>
    <cellStyle name="Percent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3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422</c:v>
                </c:pt>
                <c:pt idx="1">
                  <c:v>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5574768"/>
        <c:axId val="965576400"/>
        <c:axId val="0"/>
      </c:bar3DChart>
      <c:catAx>
        <c:axId val="96557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6400"/>
        <c:crosses val="autoZero"/>
        <c:auto val="1"/>
        <c:lblAlgn val="ctr"/>
        <c:lblOffset val="100"/>
        <c:noMultiLvlLbl val="0"/>
      </c:catAx>
      <c:valAx>
        <c:axId val="96557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5</c:v>
                </c:pt>
                <c:pt idx="1">
                  <c:v>23</c:v>
                </c:pt>
                <c:pt idx="2">
                  <c:v>44</c:v>
                </c:pt>
                <c:pt idx="3">
                  <c:v>39</c:v>
                </c:pt>
                <c:pt idx="4">
                  <c:v>50</c:v>
                </c:pt>
                <c:pt idx="5">
                  <c:v>51</c:v>
                </c:pt>
                <c:pt idx="6">
                  <c:v>97</c:v>
                </c:pt>
                <c:pt idx="7">
                  <c:v>106</c:v>
                </c:pt>
                <c:pt idx="8">
                  <c:v>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584560"/>
        <c:axId val="965580752"/>
      </c:lineChart>
      <c:catAx>
        <c:axId val="96558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0752"/>
        <c:crosses val="autoZero"/>
        <c:auto val="1"/>
        <c:lblAlgn val="ctr"/>
        <c:lblOffset val="100"/>
        <c:noMultiLvlLbl val="0"/>
      </c:catAx>
      <c:valAx>
        <c:axId val="96558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5578576"/>
        <c:axId val="965570960"/>
        <c:axId val="0"/>
      </c:bar3DChart>
      <c:catAx>
        <c:axId val="9655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0960"/>
        <c:crosses val="autoZero"/>
        <c:auto val="1"/>
        <c:lblAlgn val="ctr"/>
        <c:lblOffset val="100"/>
        <c:noMultiLvlLbl val="0"/>
      </c:catAx>
      <c:valAx>
        <c:axId val="9655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585648"/>
        <c:axId val="965579120"/>
      </c:lineChart>
      <c:catAx>
        <c:axId val="96558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9120"/>
        <c:crosses val="autoZero"/>
        <c:auto val="1"/>
        <c:lblAlgn val="ctr"/>
        <c:lblOffset val="100"/>
        <c:noMultiLvlLbl val="0"/>
      </c:catAx>
      <c:valAx>
        <c:axId val="96557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5586192"/>
        <c:axId val="965571504"/>
        <c:axId val="0"/>
      </c:bar3DChart>
      <c:catAx>
        <c:axId val="96558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1504"/>
        <c:crosses val="autoZero"/>
        <c:auto val="1"/>
        <c:lblAlgn val="ctr"/>
        <c:lblOffset val="100"/>
        <c:noMultiLvlLbl val="0"/>
      </c:catAx>
      <c:valAx>
        <c:axId val="96557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572048"/>
        <c:axId val="965572592"/>
      </c:lineChart>
      <c:catAx>
        <c:axId val="96557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2592"/>
        <c:crosses val="autoZero"/>
        <c:auto val="1"/>
        <c:lblAlgn val="ctr"/>
        <c:lblOffset val="100"/>
        <c:noMultiLvlLbl val="0"/>
      </c:catAx>
      <c:valAx>
        <c:axId val="96557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  <pageSetUpPr fitToPage="1"/>
  </sheetPr>
  <dimension ref="A1:AE37"/>
  <sheetViews>
    <sheetView showGridLines="0" zoomScale="70" zoomScaleNormal="70" workbookViewId="0">
      <selection activeCell="AD4" sqref="AD4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11.42578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1.425781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1.42578125" customWidth="1"/>
    <col min="19" max="19" width="16.7109375" customWidth="1"/>
    <col min="20" max="20" width="4.28515625" customWidth="1"/>
    <col min="21" max="21" width="2.85546875" customWidth="1"/>
    <col min="22" max="22" width="11.42578125" customWidth="1"/>
    <col min="23" max="23" width="11.42578125" customWidth="1"/>
    <col min="24" max="24" width="11.42578125" customWidth="1"/>
    <col min="25" max="25" width="11.42578125" customWidth="1"/>
    <col min="26" max="26" bestFit="1" width="12.140625" customWidth="1"/>
    <col min="27" max="29" width="11.42578125" customWidth="1"/>
    <col min="30" max="30" bestFit="1" width="16.7109375" customWidth="1"/>
    <col min="31" max="31" bestFit="1" width="17.42578125" customWidth="1"/>
    <col min="32" max="37" width="11.42578125" customWidth="1"/>
  </cols>
  <sheetData>
    <row r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AD1" s="48" t="s">
        <v>48</v>
      </c>
      <c r="AE1" s="48" t="s">
        <v>49</v>
      </c>
    </row>
    <row r="2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  <c r="AD2" s="48" t="s">
        <v>50</v>
      </c>
      <c r="AE2" s="48" t="s">
        <v>50</v>
      </c>
    </row>
    <row r="3">
      <c r="B3" s="13"/>
      <c r="T3" s="14"/>
    </row>
    <row r="4">
      <c r="B4" s="13"/>
      <c r="T4" s="14"/>
    </row>
    <row r="5">
      <c r="B5" s="13"/>
      <c r="T5" s="14"/>
    </row>
    <row r="6">
      <c r="B6" s="13"/>
      <c r="T6" s="14"/>
    </row>
    <row r="7">
      <c r="B7" s="13"/>
      <c r="T7" s="14"/>
    </row>
    <row r="8">
      <c r="B8" s="13"/>
      <c r="T8" s="14"/>
    </row>
    <row r="9" ht="45">
      <c r="B9" s="13"/>
      <c r="C9" s="47" t="str">
        <f>"STATISTIQUES - "&amp;AFFICHAGE!$S$2</f>
        <v>STATISTIQUES - Survenance</v>
      </c>
      <c r="D9" s="47"/>
      <c r="E9" s="9"/>
      <c r="F9" s="9"/>
      <c r="G9" s="9"/>
      <c r="H9" s="9"/>
      <c r="I9" s="9"/>
      <c r="T9" s="14"/>
    </row>
    <row r="10" ht="45">
      <c r="B10" s="13"/>
      <c r="C10" s="47" t="s">
        <v>51</v>
      </c>
      <c r="D10" s="9"/>
      <c r="E10" s="9"/>
      <c r="F10" s="9"/>
      <c r="G10" s="9"/>
      <c r="H10" s="9"/>
      <c r="I10" s="9"/>
      <c r="T10" s="14"/>
    </row>
    <row r="11">
      <c r="B11" s="13"/>
      <c r="C11" s="9"/>
      <c r="D11" s="9"/>
      <c r="E11" s="9"/>
      <c r="F11" s="9"/>
      <c r="G11" s="9"/>
      <c r="H11" s="9"/>
      <c r="I11" s="9"/>
      <c r="T11" s="14"/>
    </row>
    <row r="12">
      <c r="B12" s="13"/>
      <c r="C12" s="9"/>
      <c r="D12" s="9"/>
      <c r="E12" s="9"/>
      <c r="F12" s="9"/>
      <c r="G12" s="9"/>
      <c r="H12" s="9"/>
      <c r="I12" s="9"/>
      <c r="T12" s="14"/>
    </row>
    <row r="13" ht="82.5" customHeight="1">
      <c r="B13" s="13"/>
      <c r="C13" s="9"/>
      <c r="D13" s="9"/>
      <c r="E13" s="9"/>
      <c r="G13" s="9"/>
      <c r="H13" s="131"/>
      <c r="I13" s="9"/>
      <c r="J13" s="173" t="s">
        <v>52</v>
      </c>
      <c r="K13" s="173"/>
      <c r="L13" s="173"/>
      <c r="M13" s="173"/>
      <c r="N13" s="173"/>
      <c r="O13" s="173"/>
      <c r="P13" s="173"/>
      <c r="Q13" s="173"/>
      <c r="R13" s="173"/>
      <c r="S13" s="173"/>
      <c r="T13" s="14"/>
    </row>
    <row r="14" ht="3" customHeight="1">
      <c r="B14" s="13"/>
      <c r="C14" s="9"/>
      <c r="D14" s="9"/>
      <c r="E14" s="9"/>
      <c r="F14" s="9"/>
      <c r="G14" s="9"/>
      <c r="H14" s="9"/>
      <c r="I14" s="9"/>
      <c r="T14" s="14"/>
    </row>
    <row r="15" ht="3" customHeight="1">
      <c r="B15" s="13"/>
      <c r="C15" s="9"/>
      <c r="D15" s="9"/>
      <c r="E15" s="9"/>
      <c r="F15" s="9"/>
      <c r="G15" s="9"/>
      <c r="H15" s="9"/>
      <c r="I15" s="9"/>
      <c r="T15" s="14"/>
    </row>
    <row r="16" ht="3" customHeight="1">
      <c r="B16" s="13"/>
      <c r="T16" s="14"/>
    </row>
    <row r="17" ht="3" customHeight="1">
      <c r="B17" s="13"/>
      <c r="T17" s="14"/>
    </row>
    <row r="18" ht="3" customHeight="1">
      <c r="B18" s="13"/>
      <c r="T18" s="14"/>
    </row>
    <row r="19" ht="60" customHeight="1" s="51" customFormat="1">
      <c r="A19" s="48"/>
      <c r="B19" s="49"/>
      <c r="C19" s="50"/>
      <c r="D19" s="54" t="s">
        <v>53</v>
      </c>
      <c r="F19" s="50"/>
      <c r="G19" s="174" t="s">
        <v>54</v>
      </c>
      <c r="H19" s="174"/>
      <c r="I19" s="174"/>
      <c r="J19" s="174"/>
      <c r="K19" s="174"/>
      <c r="L19" s="174"/>
      <c r="M19" s="174"/>
      <c r="N19" s="174"/>
      <c r="O19" s="174"/>
      <c r="P19" s="174"/>
      <c r="Q19" s="174"/>
      <c r="R19" s="174"/>
      <c r="S19" s="174"/>
      <c r="T19" s="53"/>
    </row>
    <row r="20" ht="33.75" s="51" customFormat="1">
      <c r="A20" s="48"/>
      <c r="B20" s="49"/>
      <c r="C20" s="50"/>
      <c r="D20" s="54" t="s">
        <v>55</v>
      </c>
      <c r="F20" s="50"/>
      <c r="G20" s="52" t="s">
        <v>56</v>
      </c>
      <c r="H20" s="50"/>
      <c r="I20" s="50"/>
      <c r="T20" s="53"/>
    </row>
    <row r="21" s="48" customFormat="1">
      <c r="B21" s="55"/>
      <c r="C21" s="56"/>
      <c r="D21" s="57"/>
      <c r="E21" s="56"/>
      <c r="F21" s="56"/>
      <c r="G21" s="56"/>
      <c r="H21" s="56"/>
      <c r="I21" s="56"/>
      <c r="T21" s="58"/>
    </row>
    <row r="22" ht="33.75" s="51" customFormat="1">
      <c r="A22" s="48"/>
      <c r="B22" s="49"/>
      <c r="C22" s="50"/>
      <c r="D22" s="59" t="s">
        <v>57</v>
      </c>
      <c r="E22" s="50"/>
      <c r="G22" s="50"/>
      <c r="H22" s="60" t="s">
        <v>58</v>
      </c>
      <c r="I22" s="61"/>
      <c r="T22" s="53"/>
    </row>
    <row r="23" ht="33.75" s="51" customFormat="1">
      <c r="A23" s="48"/>
      <c r="B23" s="49"/>
      <c r="C23" s="50"/>
      <c r="D23" s="59" t="s">
        <v>59</v>
      </c>
      <c r="E23" s="50"/>
      <c r="F23" s="50"/>
      <c r="H23" s="50"/>
      <c r="J23" s="86" t="s">
        <v>60</v>
      </c>
      <c r="T23" s="53"/>
    </row>
    <row r="24" ht="33.75">
      <c r="B24" s="13"/>
      <c r="D24" s="59" t="str">
        <f>"Type de Compte : "</f>
        <v>Type de Compte : </v>
      </c>
      <c r="E24" s="48"/>
      <c r="F24" s="48"/>
      <c r="G24" s="48"/>
      <c r="H24" s="48"/>
      <c r="I24" s="48"/>
      <c r="J24" s="127" t="str">
        <f>AFFICHAGE!$S$2</f>
        <v>Survenance</v>
      </c>
      <c r="T24" s="14"/>
    </row>
    <row r="25">
      <c r="B25" s="13"/>
      <c r="T25" s="14"/>
    </row>
    <row r="26">
      <c r="B26" s="13"/>
      <c r="T26" s="14"/>
    </row>
    <row r="27">
      <c r="B27" s="13"/>
      <c r="T27" s="14"/>
    </row>
    <row r="28">
      <c r="B28" s="13"/>
      <c r="T28" s="14"/>
    </row>
    <row r="29">
      <c r="B29" s="13"/>
      <c r="T29" s="14"/>
    </row>
    <row r="30">
      <c r="B30" s="13"/>
      <c r="T30" s="14"/>
    </row>
    <row r="31">
      <c r="B31" s="13"/>
      <c r="T31" s="14"/>
    </row>
    <row r="32">
      <c r="B32" s="13"/>
      <c r="T32" s="14"/>
    </row>
    <row r="33">
      <c r="B33" s="13"/>
      <c r="T33" s="14"/>
    </row>
    <row r="34">
      <c r="B34" s="13"/>
      <c r="T34" s="14"/>
    </row>
    <row r="35" ht="26.25" customHeight="1">
      <c r="B35" s="13"/>
      <c r="T35" s="14"/>
    </row>
    <row r="36">
      <c r="B36" s="13"/>
      <c r="T36" s="14"/>
    </row>
    <row r="37">
      <c r="B37" s="15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7"/>
    </row>
  </sheetData>
  <mergeCells>
    <mergeCell ref="J13:S13"/>
    <mergeCell ref="G19:S19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92D050"/>
    <pageSetUpPr fitToPage="1"/>
  </sheetPr>
  <dimension ref="A1:H21"/>
  <sheetViews>
    <sheetView zoomScale="115" zoomScaleNormal="115" workbookViewId="0">
      <selection activeCell="A21" sqref="A21:XFD21"/>
    </sheetView>
  </sheetViews>
  <sheetFormatPr defaultColWidth="11.28515625" defaultRowHeight="15"/>
  <cols>
    <col min="1" max="1" bestFit="1" width="10.7109375" customWidth="1" style="89"/>
    <col min="2" max="2" bestFit="1" width="14.85546875" customWidth="1" style="89"/>
    <col min="3" max="3" bestFit="1" width="15.42578125" customWidth="1" style="89"/>
    <col min="4" max="4" bestFit="1" width="21.5703125" customWidth="1" style="89"/>
    <col min="5" max="5" bestFit="1" width="16" customWidth="1" style="89"/>
    <col min="6" max="6" bestFit="1" width="21.140625" customWidth="1" style="89"/>
    <col min="7" max="7" bestFit="1" width="17.140625" customWidth="1" style="89"/>
    <col min="8" max="8" bestFit="1" width="15.140625" customWidth="1" style="89"/>
    <col min="9" max="9" bestFit="1" width="6.5703125" customWidth="1" style="89"/>
    <col min="10" max="10" bestFit="1" width="11" customWidth="1" style="89"/>
    <col min="11" max="11" bestFit="1" width="10.140625" customWidth="1" style="89"/>
    <col min="12" max="12" bestFit="1" width="17.140625" customWidth="1" style="89"/>
    <col min="13" max="13" bestFit="1" width="12.7109375" customWidth="1" style="89"/>
    <col min="14" max="14" bestFit="1" width="17.5703125" customWidth="1" style="89"/>
    <col min="15" max="15" bestFit="1" width="13.7109375" customWidth="1" style="89"/>
    <col min="16" max="16" bestFit="1" width="12.42578125" customWidth="1" style="89"/>
    <col min="17" max="17" width="11.28515625" customWidth="1" style="89"/>
    <col min="18" max="16384" width="11.28515625" customWidth="1" style="89"/>
  </cols>
  <sheetData>
    <row r="1">
      <c r="A1" s="175" t="s">
        <v>37</v>
      </c>
      <c r="B1" s="175"/>
      <c r="C1" s="175"/>
      <c r="D1" s="175"/>
      <c r="E1" s="175"/>
      <c r="F1" s="175"/>
      <c r="G1" s="175"/>
      <c r="H1" s="175"/>
    </row>
    <row r="2" s="156" customFormat="1">
      <c r="A2" s="155" t="s">
        <v>38</v>
      </c>
      <c r="B2" s="155" t="s">
        <v>39</v>
      </c>
      <c r="C2" s="155" t="s">
        <v>40</v>
      </c>
      <c r="D2" s="155" t="s">
        <v>41</v>
      </c>
      <c r="E2" s="155" t="s">
        <v>42</v>
      </c>
      <c r="F2" s="155" t="s">
        <v>43</v>
      </c>
      <c r="G2" s="155" t="s">
        <v>44</v>
      </c>
      <c r="H2" s="155" t="s">
        <v>28</v>
      </c>
    </row>
    <row r="8">
      <c r="A8" s="175" t="s">
        <v>45</v>
      </c>
      <c r="B8" s="175"/>
      <c r="C8" s="175"/>
      <c r="D8" s="175"/>
      <c r="E8" s="175"/>
      <c r="F8" s="175"/>
      <c r="G8" s="175"/>
      <c r="H8" s="175"/>
    </row>
    <row r="9" s="156" customFormat="1">
      <c r="A9" s="155" t="s">
        <v>38</v>
      </c>
      <c r="B9" s="155" t="s">
        <v>39</v>
      </c>
      <c r="C9" s="155" t="s">
        <v>40</v>
      </c>
      <c r="D9" s="155" t="s">
        <v>41</v>
      </c>
      <c r="E9" s="155" t="s">
        <v>42</v>
      </c>
      <c r="F9" s="155" t="s">
        <v>43</v>
      </c>
      <c r="G9" s="155" t="s">
        <v>44</v>
      </c>
      <c r="H9" s="155" t="s">
        <v>28</v>
      </c>
    </row>
    <row r="10">
      <c r="A10" s="161"/>
      <c r="B10" s="162"/>
      <c r="C10" s="162"/>
      <c r="D10" s="162"/>
      <c r="E10" s="163"/>
      <c r="F10" s="162"/>
      <c r="G10" s="163"/>
      <c r="H10" s="162"/>
    </row>
    <row r="14">
      <c r="A14" s="175" t="s">
        <v>46</v>
      </c>
      <c r="B14" s="175"/>
      <c r="C14" s="175"/>
      <c r="D14" s="175"/>
      <c r="E14" s="175"/>
      <c r="F14" s="175"/>
      <c r="G14" s="175"/>
      <c r="H14" s="175"/>
    </row>
    <row r="15" s="156" customFormat="1">
      <c r="A15" s="155" t="s">
        <v>38</v>
      </c>
      <c r="B15" s="155" t="s">
        <v>39</v>
      </c>
      <c r="C15" s="155" t="s">
        <v>40</v>
      </c>
      <c r="D15" s="155" t="s">
        <v>41</v>
      </c>
      <c r="E15" s="155" t="s">
        <v>42</v>
      </c>
      <c r="F15" s="155" t="s">
        <v>43</v>
      </c>
      <c r="G15" s="155" t="s">
        <v>44</v>
      </c>
      <c r="H15" s="155" t="s">
        <v>28</v>
      </c>
    </row>
    <row r="16">
      <c r="A16" s="164"/>
    </row>
    <row r="17">
      <c r="A17" s="164"/>
      <c r="B17" s="165"/>
      <c r="C17" s="165"/>
      <c r="D17" s="164"/>
      <c r="E17" s="164"/>
      <c r="F17" s="164"/>
      <c r="G17" s="164"/>
      <c r="H17" s="165"/>
    </row>
    <row r="21">
      <c r="A21" s="176" t="s">
        <v>47</v>
      </c>
      <c r="B21" s="176"/>
      <c r="C21" s="176"/>
      <c r="D21" s="176"/>
      <c r="E21" s="176"/>
      <c r="F21" s="176"/>
      <c r="G21" s="176"/>
      <c r="H21" s="176"/>
    </row>
  </sheetData>
  <mergeCells>
    <mergeCell ref="A1:H1"/>
    <mergeCell ref="A8:H8"/>
    <mergeCell ref="A14:H14"/>
    <mergeCell ref="A21:H2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  <pageSetUpPr fitToPage="1"/>
  </sheetPr>
  <dimension ref="A1:Q45"/>
  <sheetViews>
    <sheetView showGridLines="0" topLeftCell="A4" zoomScale="70" zoomScaleNormal="70" workbookViewId="0">
      <selection activeCell="B25" sqref="B25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17.140625" customWidth="1"/>
    <col min="4" max="4" width="4.28515625" customWidth="1"/>
    <col min="5" max="5" width="25.7109375" customWidth="1"/>
    <col min="6" max="6" width="4.28515625" customWidth="1"/>
    <col min="7" max="7" width="25.7109375" customWidth="1"/>
    <col min="8" max="8" width="4.28515625" customWidth="1"/>
    <col min="9" max="9" width="25.7109375" customWidth="1"/>
    <col min="10" max="10" width="4.28515625" customWidth="1"/>
    <col min="11" max="11" width="25.7109375" customWidth="1"/>
    <col min="12" max="12" width="4.28515625" customWidth="1"/>
    <col min="13" max="13" width="25.7109375" customWidth="1"/>
    <col min="14" max="14" width="4.28515625" customWidth="1"/>
    <col min="15" max="15" width="25.7109375" customWidth="1"/>
    <col min="16" max="16" width="4.28515625" customWidth="1"/>
    <col min="17" max="17" width="2.85546875" customWidth="1"/>
    <col min="18" max="22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</row>
    <row r="3" ht="15" customHeight="1">
      <c r="B3" s="13"/>
      <c r="P3" s="14"/>
    </row>
    <row r="4" ht="15" customHeight="1">
      <c r="B4" s="13"/>
      <c r="P4" s="14"/>
    </row>
    <row r="5" ht="15" customHeight="1">
      <c r="B5" s="13"/>
      <c r="P5" s="14"/>
    </row>
    <row r="6" ht="15" customHeight="1">
      <c r="B6" s="13"/>
      <c r="P6" s="14"/>
    </row>
    <row r="7" ht="15" customHeight="1">
      <c r="B7" s="13"/>
      <c r="P7" s="14"/>
    </row>
    <row r="8" ht="56.25" customHeight="1">
      <c r="B8" s="13"/>
      <c r="C8" s="177" t="str">
        <f>'Page de garde'!J13&amp;" : Résultats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Résultats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P8" s="14"/>
    </row>
    <row r="9" ht="14.25" customHeight="1">
      <c r="B9" s="13"/>
      <c r="P9" s="14"/>
    </row>
    <row r="10" ht="15" customHeight="1">
      <c r="B10" s="13"/>
      <c r="C10" s="130" t="str">
        <f>AFFICHAGE!$S$2</f>
        <v>Survenance</v>
      </c>
      <c r="P10" s="14"/>
    </row>
    <row r="11" ht="15" customHeight="1">
      <c r="B11" s="13"/>
      <c r="P11" s="14"/>
    </row>
    <row r="12" ht="15" customHeight="1">
      <c r="B12" s="13"/>
      <c r="P12" s="14"/>
    </row>
    <row r="13" ht="18" s="62" customFormat="1">
      <c r="B13" s="63"/>
      <c r="C13" s="64" t="s">
        <v>22</v>
      </c>
      <c r="D13" s="65"/>
      <c r="E13" s="66" t="str">
        <f>'Page de garde'!J23</f>
        <v>31 décembre 2021</v>
      </c>
      <c r="F13" s="67"/>
      <c r="G13" s="68"/>
      <c r="H13" s="68"/>
      <c r="I13" s="67"/>
      <c r="J13" s="67"/>
      <c r="K13" s="157"/>
      <c r="L13" s="67"/>
      <c r="M13" s="67"/>
      <c r="N13" s="67"/>
      <c r="O13" s="67"/>
      <c r="P13" s="69"/>
    </row>
    <row r="14" ht="15" customHeight="1" s="41" customFormat="1">
      <c r="A14" s="38"/>
      <c r="B14" s="39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40"/>
    </row>
    <row r="15" ht="45" customHeight="1" s="41" customFormat="1">
      <c r="A15" s="38"/>
      <c r="B15" s="39"/>
      <c r="C15" s="84">
        <v>2021</v>
      </c>
      <c r="D15" s="37"/>
      <c r="E15" s="78" t="s">
        <v>23</v>
      </c>
      <c r="F15" s="42"/>
      <c r="G15" s="78" t="s">
        <v>24</v>
      </c>
      <c r="H15" s="42"/>
      <c r="I15" s="78" t="s">
        <v>25</v>
      </c>
      <c r="J15" s="42"/>
      <c r="K15" s="78" t="s">
        <v>26</v>
      </c>
      <c r="L15" s="42"/>
      <c r="M15" s="78" t="s">
        <v>27</v>
      </c>
      <c r="N15" s="42"/>
      <c r="O15" s="78" t="s">
        <v>28</v>
      </c>
      <c r="P15" s="40"/>
    </row>
    <row r="16" ht="22.5" customHeight="1" s="41" customFormat="1">
      <c r="A16" s="38"/>
      <c r="B16" s="39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40"/>
    </row>
    <row r="17" ht="45" customHeight="1" s="41" customFormat="1">
      <c r="A17" s="38"/>
      <c r="B17" s="158">
        <v>2021</v>
      </c>
      <c r="C17" s="78" t="s">
        <v>29</v>
      </c>
      <c r="D17" s="37"/>
      <c r="E17" s="147">
        <v>5885204.7599999746</v>
      </c>
      <c r="F17" s="148"/>
      <c r="G17" s="147">
        <v>5284914.9299999848</v>
      </c>
      <c r="H17" s="149"/>
      <c r="I17" s="147">
        <v>1144804.9499999986</v>
      </c>
      <c r="J17" s="149"/>
      <c r="K17" s="147">
        <v>5047797.8800000008</v>
      </c>
      <c r="L17" s="137"/>
      <c r="M17" s="146">
        <v>1.1718</v>
      </c>
      <c r="N17" s="137"/>
      <c r="O17" s="147">
        <v>-907687.9</v>
      </c>
      <c r="P17" s="40"/>
    </row>
    <row r="18" ht="15" customHeight="1" s="41" customFormat="1">
      <c r="A18" s="38"/>
      <c r="B18" s="39"/>
      <c r="C18" s="44"/>
      <c r="D18" s="37"/>
      <c r="E18" s="150"/>
      <c r="F18" s="148"/>
      <c r="G18" s="150"/>
      <c r="H18" s="151"/>
      <c r="I18" s="150"/>
      <c r="J18" s="152"/>
      <c r="K18" s="150"/>
      <c r="L18" s="138"/>
      <c r="M18" s="139"/>
      <c r="N18" s="138"/>
      <c r="O18" s="150"/>
      <c r="P18" s="40"/>
    </row>
    <row r="19" ht="45" customHeight="1" s="41" customFormat="1">
      <c r="A19" s="38"/>
      <c r="B19" s="158">
        <v>2021</v>
      </c>
      <c r="C19" s="78" t="s">
        <v>30</v>
      </c>
      <c r="D19" s="37"/>
      <c r="E19" s="147">
        <v>3424090.7699999842</v>
      </c>
      <c r="F19" s="148"/>
      <c r="G19" s="147">
        <v>2824873.6600000234</v>
      </c>
      <c r="H19" s="149"/>
      <c r="I19" s="147">
        <v>16162.109999999999</v>
      </c>
      <c r="J19" s="149"/>
      <c r="K19" s="147">
        <v>3734429.9499999983</v>
      </c>
      <c r="L19" s="137"/>
      <c r="M19" s="146">
        <v>1.3277</v>
      </c>
      <c r="N19" s="137"/>
      <c r="O19" s="147">
        <v>-925718.4</v>
      </c>
      <c r="P19" s="40"/>
    </row>
    <row r="20" ht="15" customHeight="1" s="41" customFormat="1">
      <c r="A20" s="38"/>
      <c r="B20" s="39"/>
      <c r="C20" s="43"/>
      <c r="D20" s="37"/>
      <c r="E20" s="151"/>
      <c r="F20" s="148"/>
      <c r="G20" s="151"/>
      <c r="H20" s="151"/>
      <c r="I20" s="151"/>
      <c r="J20" s="151"/>
      <c r="K20" s="151"/>
      <c r="L20" s="140"/>
      <c r="M20" s="141"/>
      <c r="N20" s="140"/>
      <c r="O20" s="151"/>
      <c r="P20" s="40"/>
    </row>
    <row r="21" ht="45" customHeight="1" s="41" customFormat="1">
      <c r="A21" s="38"/>
      <c r="B21" s="158">
        <v>2021</v>
      </c>
      <c r="C21" s="78" t="s">
        <v>31</v>
      </c>
      <c r="D21" s="37"/>
      <c r="E21" s="147">
        <v>3923854.8200000026</v>
      </c>
      <c r="F21" s="148"/>
      <c r="G21" s="147">
        <v>3523621.9900000063</v>
      </c>
      <c r="H21" s="149"/>
      <c r="I21" s="147">
        <v>166300</v>
      </c>
      <c r="J21" s="149"/>
      <c r="K21" s="147">
        <v>3153054.24</v>
      </c>
      <c r="L21" s="137"/>
      <c r="M21" s="146">
        <v>0.942</v>
      </c>
      <c r="N21" s="137"/>
      <c r="O21" s="147">
        <v>204267.75</v>
      </c>
      <c r="P21" s="40"/>
    </row>
    <row r="22" ht="15" customHeight="1" s="70" customFormat="1">
      <c r="B22" s="71"/>
      <c r="C22" s="72"/>
      <c r="D22" s="73"/>
      <c r="E22" s="153"/>
      <c r="F22" s="154"/>
      <c r="G22" s="153"/>
      <c r="H22" s="153"/>
      <c r="I22" s="153"/>
      <c r="J22" s="153"/>
      <c r="K22" s="153"/>
      <c r="L22" s="142"/>
      <c r="M22" s="143"/>
      <c r="N22" s="142"/>
      <c r="O22" s="153"/>
      <c r="P22" s="77"/>
    </row>
    <row r="23" ht="45" customHeight="1" s="41" customFormat="1">
      <c r="A23" s="38"/>
      <c r="B23" s="158">
        <v>2021</v>
      </c>
      <c r="C23" s="78" t="s">
        <v>32</v>
      </c>
      <c r="D23" s="37"/>
      <c r="E23" s="147">
        <v>0</v>
      </c>
      <c r="F23" s="148"/>
      <c r="G23" s="147">
        <v>0</v>
      </c>
      <c r="H23" s="149"/>
      <c r="I23" s="147">
        <v>0</v>
      </c>
      <c r="J23" s="149"/>
      <c r="K23" s="147">
        <v>0</v>
      </c>
      <c r="L23" s="137"/>
      <c r="M23" s="146"/>
      <c r="N23" s="137"/>
      <c r="O23" s="147">
        <v>0</v>
      </c>
      <c r="P23" s="40"/>
    </row>
    <row r="24" ht="15" customHeight="1" s="70" customFormat="1">
      <c r="B24" s="71"/>
      <c r="C24" s="72"/>
      <c r="D24" s="73"/>
      <c r="E24" s="153"/>
      <c r="F24" s="154"/>
      <c r="G24" s="153"/>
      <c r="H24" s="153"/>
      <c r="I24" s="153"/>
      <c r="J24" s="153"/>
      <c r="K24" s="153"/>
      <c r="L24" s="142"/>
      <c r="M24" s="143"/>
      <c r="N24" s="142"/>
      <c r="O24" s="153"/>
      <c r="P24" s="77"/>
    </row>
    <row r="25" ht="45" customHeight="1" s="41" customFormat="1">
      <c r="A25" s="38"/>
      <c r="B25" s="158">
        <v>2021</v>
      </c>
      <c r="C25" s="78" t="s">
        <v>33</v>
      </c>
      <c r="D25" s="37"/>
      <c r="E25" s="147">
        <v>13233150.350000013</v>
      </c>
      <c r="F25" s="148"/>
      <c r="G25" s="147">
        <v>11633410.580000004</v>
      </c>
      <c r="H25" s="149"/>
      <c r="I25" s="147">
        <v>1327267.0600000003</v>
      </c>
      <c r="J25" s="149"/>
      <c r="K25" s="147">
        <v>11935282.07</v>
      </c>
      <c r="L25" s="137"/>
      <c r="M25" s="146">
        <v>1.14</v>
      </c>
      <c r="N25" s="137"/>
      <c r="O25" s="147">
        <v>-1629138.55</v>
      </c>
      <c r="P25" s="40"/>
    </row>
    <row r="26" ht="15" customHeight="1" s="70" customFormat="1">
      <c r="B26" s="71"/>
      <c r="C26" s="79"/>
      <c r="D26" s="73"/>
      <c r="E26" s="72"/>
      <c r="F26" s="73"/>
      <c r="G26" s="72"/>
      <c r="H26" s="72"/>
      <c r="I26" s="72"/>
      <c r="J26" s="72"/>
      <c r="K26" s="74"/>
      <c r="L26" s="75"/>
      <c r="M26" s="76"/>
      <c r="N26" s="75"/>
      <c r="O26" s="76"/>
      <c r="P26" s="77"/>
    </row>
    <row r="27" ht="15" customHeight="1" s="70" customFormat="1">
      <c r="B27" s="71"/>
      <c r="C27" s="79"/>
      <c r="D27" s="73"/>
      <c r="E27" s="85"/>
      <c r="F27" s="73"/>
      <c r="G27" s="1">
        <f>IF(ROUND(SUM(G17:G23)-G25,0)&lt;&gt;0, "écart = "&amp;ROUND(SUM(G17:G23)-G25,0),"")</f>
      </c>
      <c r="H27" s="1">
        <f ref="H27:K27" t="shared" si="0">IF(ROUND(SUM(H17:H23)-H25,0)&lt;&gt;0, "écart = "&amp;ROUND(SUM(H17:H23)-H25,0),"")</f>
      </c>
      <c r="I27" s="1">
        <f>IF(ROUND(SUM(I17:I23)-I25,0)&lt;&gt;0, "écart = "&amp;ROUND(SUM(I17:I23)-I25,0),"")</f>
      </c>
      <c r="J27" s="1">
        <f t="shared" si="0"/>
      </c>
      <c r="K27" s="1">
        <f t="shared" si="0"/>
      </c>
      <c r="L27" s="75"/>
      <c r="M27" s="76"/>
      <c r="N27" s="75"/>
      <c r="O27" s="76"/>
      <c r="P27" s="77"/>
    </row>
    <row r="28" ht="15" customHeight="1" s="70" customFormat="1">
      <c r="B28" s="71"/>
      <c r="C28" s="79"/>
      <c r="D28" s="73"/>
      <c r="E28" s="72"/>
      <c r="F28" s="73"/>
      <c r="G28" s="72"/>
      <c r="H28" s="72"/>
      <c r="I28" s="113"/>
      <c r="J28" s="72"/>
      <c r="K28" s="74"/>
      <c r="L28" s="75"/>
      <c r="M28" s="76"/>
      <c r="N28" s="75"/>
      <c r="O28" s="76"/>
      <c r="P28" s="77"/>
    </row>
    <row r="29" ht="15" customHeight="1" s="70" customFormat="1">
      <c r="B29" s="71"/>
      <c r="C29" s="79"/>
      <c r="D29" s="73"/>
      <c r="E29" s="72"/>
      <c r="F29" s="73"/>
      <c r="G29" s="72"/>
      <c r="H29" s="72"/>
      <c r="I29" s="113"/>
      <c r="J29" s="72"/>
      <c r="K29" s="74"/>
      <c r="L29" s="75"/>
      <c r="M29" s="76"/>
      <c r="N29" s="75"/>
      <c r="O29" s="76"/>
      <c r="P29" s="77"/>
    </row>
    <row r="30" ht="15" customHeight="1" s="70" customFormat="1">
      <c r="B30" s="71"/>
      <c r="C30" s="79"/>
      <c r="D30" s="73"/>
      <c r="E30" s="72"/>
      <c r="F30" s="73"/>
      <c r="G30" s="72"/>
      <c r="H30" s="32"/>
      <c r="I30" s="113"/>
      <c r="J30" s="72"/>
      <c r="K30" s="74"/>
      <c r="L30" s="75"/>
      <c r="M30" s="76"/>
      <c r="N30" s="75"/>
      <c r="O30" s="76"/>
      <c r="P30" s="77"/>
    </row>
    <row r="31" ht="15" customHeight="1" s="31" customFormat="1">
      <c r="A31" s="29"/>
      <c r="B31" s="30"/>
      <c r="C31" s="32"/>
      <c r="D31" s="28"/>
      <c r="E31" s="32"/>
      <c r="F31" s="28"/>
      <c r="G31" s="72"/>
      <c r="H31" s="24"/>
      <c r="I31" s="113"/>
      <c r="J31" s="32"/>
      <c r="K31" s="33"/>
      <c r="L31" s="34"/>
      <c r="M31" s="35"/>
      <c r="N31" s="34"/>
      <c r="O31" s="35"/>
      <c r="P31" s="36"/>
    </row>
    <row r="32" ht="15" customHeight="1">
      <c r="B32" s="13"/>
      <c r="C32" s="24"/>
      <c r="D32" s="23"/>
      <c r="E32" s="24"/>
      <c r="F32" s="23"/>
      <c r="G32" s="72"/>
      <c r="I32" s="113"/>
      <c r="J32" s="24"/>
      <c r="K32" s="25"/>
      <c r="L32" s="26"/>
      <c r="M32" s="27"/>
      <c r="N32" s="26"/>
      <c r="O32" s="27"/>
      <c r="P32" s="14"/>
    </row>
    <row r="33" ht="15" customHeight="1">
      <c r="B33" s="13"/>
      <c r="C33" s="79" t="s">
        <v>34</v>
      </c>
      <c r="D33" s="23"/>
      <c r="E33" s="24"/>
      <c r="F33" s="23"/>
      <c r="G33" s="24"/>
      <c r="H33" s="24"/>
      <c r="I33" s="24"/>
      <c r="J33" s="24"/>
      <c r="K33" s="25"/>
      <c r="L33" s="26"/>
      <c r="M33" s="27"/>
      <c r="N33" s="26"/>
      <c r="O33" s="27"/>
      <c r="P33" s="14"/>
    </row>
    <row r="34" ht="15" customHeight="1">
      <c r="B34" s="13"/>
      <c r="C34" s="72"/>
      <c r="D34" s="23"/>
      <c r="E34" s="24"/>
      <c r="F34" s="23"/>
      <c r="G34" s="24"/>
      <c r="H34" s="24"/>
      <c r="I34" s="24"/>
      <c r="J34" s="24"/>
      <c r="K34" s="25"/>
      <c r="L34" s="26"/>
      <c r="M34" s="27"/>
      <c r="N34" s="26"/>
      <c r="O34" s="27"/>
      <c r="P34" s="14"/>
    </row>
    <row r="35" ht="15" customHeight="1">
      <c r="B35" s="13"/>
      <c r="C35" s="79" t="s">
        <v>35</v>
      </c>
      <c r="D35" s="23"/>
      <c r="E35" s="24"/>
      <c r="F35" s="23"/>
      <c r="G35" s="24"/>
      <c r="H35" s="24"/>
      <c r="I35" s="24"/>
      <c r="J35" s="24"/>
      <c r="K35" s="25"/>
      <c r="L35" s="26"/>
      <c r="M35" s="27"/>
      <c r="N35" s="26"/>
      <c r="O35" s="27"/>
      <c r="P35" s="14"/>
    </row>
    <row r="36" ht="15" customHeight="1">
      <c r="B36" s="13"/>
      <c r="C36" s="79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14"/>
    </row>
    <row r="37" ht="15" customHeight="1">
      <c r="B37" s="13"/>
      <c r="C37" s="79" t="s">
        <v>36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14"/>
    </row>
    <row r="38" ht="15" customHeight="1">
      <c r="B38" s="13"/>
      <c r="C38" s="7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14"/>
    </row>
    <row r="39" ht="15" customHeight="1">
      <c r="B39" s="1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14"/>
    </row>
    <row r="40" ht="15" customHeight="1">
      <c r="B40" s="1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14"/>
    </row>
    <row r="41" ht="15" customHeight="1">
      <c r="B41" s="1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14"/>
    </row>
    <row r="42" ht="15" customHeight="1">
      <c r="B42" s="1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14"/>
    </row>
    <row r="43" ht="15" customHeight="1">
      <c r="B43" s="1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14"/>
    </row>
    <row r="44" ht="15" customHeight="1">
      <c r="B44" s="13"/>
      <c r="P44" s="14"/>
    </row>
    <row r="45" ht="15" customHeight="1">
      <c r="B45" s="15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7"/>
    </row>
    <row r="46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6"/>
  <sheetViews>
    <sheetView showGridLines="0" topLeftCell="A8" zoomScale="85" zoomScaleNormal="85" workbookViewId="0">
      <selection activeCell="C8" sqref="C8:O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0</v>
      </c>
      <c r="K11" s="81" t="s">
        <v>1</v>
      </c>
      <c r="Q11" s="14"/>
    </row>
    <row r="12" ht="13.5" customHeight="1">
      <c r="B12" s="13"/>
      <c r="Q12" s="14"/>
    </row>
    <row r="13" ht="45">
      <c r="B13" s="13"/>
      <c r="C13" s="83" t="s">
        <v>2</v>
      </c>
      <c r="D13" s="83" t="s">
        <v>3</v>
      </c>
      <c r="E13" s="83" t="s">
        <v>4</v>
      </c>
      <c r="F13" s="83" t="s">
        <v>5</v>
      </c>
      <c r="K13" s="83" t="s">
        <v>6</v>
      </c>
      <c r="L13" s="83" t="s">
        <v>3</v>
      </c>
      <c r="M13" s="83" t="s">
        <v>7</v>
      </c>
      <c r="Q13" s="14"/>
    </row>
    <row r="14" ht="15" customHeight="1">
      <c r="B14" s="13"/>
      <c r="C14" s="93" t="s">
        <v>8</v>
      </c>
      <c r="D14" s="94">
        <v>422</v>
      </c>
      <c r="E14" s="95">
        <v>48.092417061611371</v>
      </c>
      <c r="F14" s="105">
        <v>70.042654028436019</v>
      </c>
      <c r="K14" s="93" t="s">
        <v>9</v>
      </c>
      <c r="L14" s="93">
        <v>5</v>
      </c>
      <c r="M14" s="97">
        <v>0.010869565217391304</v>
      </c>
      <c r="Q14" s="14"/>
    </row>
    <row r="15" ht="15" customHeight="1">
      <c r="B15" s="13"/>
      <c r="C15" s="93" t="s">
        <v>10</v>
      </c>
      <c r="D15" s="94">
        <v>38</v>
      </c>
      <c r="E15" s="95">
        <v>46.789473684210527</v>
      </c>
      <c r="F15" s="105">
        <v>57.815789473684212</v>
      </c>
      <c r="K15" s="93" t="s">
        <v>11</v>
      </c>
      <c r="L15" s="93">
        <v>23</v>
      </c>
      <c r="M15" s="97">
        <v>0.05</v>
      </c>
      <c r="Q15" s="14"/>
    </row>
    <row r="16" ht="15" customHeight="1">
      <c r="B16" s="13"/>
      <c r="C16" s="83" t="s">
        <v>12</v>
      </c>
      <c r="D16" s="83">
        <v>460</v>
      </c>
      <c r="E16" s="96">
        <v>47.984782608695653</v>
      </c>
      <c r="F16" s="96">
        <v>69.032608695652172</v>
      </c>
      <c r="K16" s="93" t="s">
        <v>13</v>
      </c>
      <c r="L16" s="93">
        <v>44</v>
      </c>
      <c r="M16" s="97">
        <v>0.095652173913043481</v>
      </c>
      <c r="Q16" s="14"/>
    </row>
    <row r="17" ht="15" customHeight="1">
      <c r="B17" s="13"/>
      <c r="K17" s="93" t="s">
        <v>14</v>
      </c>
      <c r="L17" s="93">
        <v>39</v>
      </c>
      <c r="M17" s="97">
        <v>0.08478260869565217</v>
      </c>
      <c r="Q17" s="14"/>
    </row>
    <row r="18" ht="15" customHeight="1">
      <c r="B18" s="13"/>
      <c r="K18" s="93" t="s">
        <v>15</v>
      </c>
      <c r="L18" s="93">
        <v>50</v>
      </c>
      <c r="M18" s="97">
        <v>0.10869565217391304</v>
      </c>
      <c r="Q18" s="14"/>
    </row>
    <row r="19" ht="15" customHeight="1">
      <c r="B19" s="13"/>
      <c r="K19" s="93" t="s">
        <v>16</v>
      </c>
      <c r="L19" s="93">
        <v>51</v>
      </c>
      <c r="M19" s="97">
        <v>0.1108695652173913</v>
      </c>
      <c r="Q19" s="14"/>
    </row>
    <row r="20" ht="15" customHeight="1">
      <c r="B20" s="13"/>
      <c r="K20" s="93" t="s">
        <v>17</v>
      </c>
      <c r="L20" s="93">
        <v>97</v>
      </c>
      <c r="M20" s="97">
        <v>0.21086956521739131</v>
      </c>
      <c r="Q20" s="14"/>
    </row>
    <row r="21" ht="15" customHeight="1">
      <c r="B21" s="13"/>
      <c r="K21" s="93" t="s">
        <v>18</v>
      </c>
      <c r="L21" s="93">
        <v>106</v>
      </c>
      <c r="M21" s="97">
        <v>0.23043478260869565</v>
      </c>
      <c r="Q21" s="14"/>
    </row>
    <row r="22" ht="15" customHeight="1">
      <c r="B22" s="13"/>
      <c r="K22" s="93" t="s">
        <v>19</v>
      </c>
      <c r="L22" s="93">
        <v>45</v>
      </c>
      <c r="M22" s="97">
        <v>0.097826086956521743</v>
      </c>
      <c r="Q22" s="14"/>
    </row>
    <row r="23" ht="15" customHeight="1">
      <c r="B23" s="13"/>
      <c r="K23" s="83" t="s">
        <v>12</v>
      </c>
      <c r="L23" s="83">
        <v>460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20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3</v>
      </c>
      <c r="E36" s="83" t="s">
        <v>4</v>
      </c>
      <c r="Q36" s="14"/>
    </row>
    <row r="37" ht="15" customHeight="1">
      <c r="B37" s="13"/>
      <c r="C37" s="99" t="s">
        <v>21</v>
      </c>
      <c r="D37" s="100">
        <v>460</v>
      </c>
      <c r="E37" s="101">
        <v>47.984782608695653</v>
      </c>
      <c r="Q37" s="14"/>
    </row>
    <row r="38" ht="15" customHeight="1">
      <c r="B38" s="13"/>
      <c r="C38" s="99" t="s">
        <v>12</v>
      </c>
      <c r="D38" s="100">
        <v>460</v>
      </c>
      <c r="E38" s="101">
        <v>47.984782608695653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C42" s="81"/>
      <c r="D42" s="111"/>
      <c r="E42" s="112"/>
      <c r="Q42" s="14"/>
    </row>
    <row r="43" ht="15" customHeight="1">
      <c r="B43" s="13"/>
      <c r="C43" s="81"/>
      <c r="D43" s="111"/>
      <c r="E43" s="112"/>
      <c r="Q43" s="14"/>
    </row>
    <row r="44" ht="15" customHeight="1">
      <c r="B44" s="13"/>
      <c r="C44" s="81"/>
      <c r="D44" s="111"/>
      <c r="E44" s="112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4" tint="0.79998168889431442"/>
    <pageSetUpPr fitToPage="1"/>
  </sheetPr>
  <dimension ref="A1:R46"/>
  <sheetViews>
    <sheetView showGridLines="0" zoomScale="85" zoomScaleNormal="85" workbookViewId="0">
      <selection activeCell="C8" sqref="C8:O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80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2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 s="48" customFormat="1">
      <c r="B11" s="55"/>
      <c r="C11" s="82" t="s">
        <v>165</v>
      </c>
      <c r="D11" s="82"/>
      <c r="Q11" s="14"/>
    </row>
    <row r="12" ht="15" customHeight="1">
      <c r="B12" s="13"/>
      <c r="Q12" s="14"/>
    </row>
    <row r="13" ht="30">
      <c r="B13" s="13"/>
      <c r="C13" s="83" t="s">
        <v>166</v>
      </c>
      <c r="D13" s="106" t="s">
        <v>167</v>
      </c>
      <c r="E13" s="106" t="s">
        <v>168</v>
      </c>
      <c r="F13" s="106" t="s">
        <v>169</v>
      </c>
      <c r="Q13" s="14"/>
    </row>
    <row r="14" ht="15" customHeight="1">
      <c r="B14" s="13"/>
      <c r="C14" s="107">
        <v>2020</v>
      </c>
      <c r="D14" s="108">
        <v>458</v>
      </c>
      <c r="E14" s="108">
        <v>48.410480349344979</v>
      </c>
      <c r="F14" s="108">
        <v>142.78602620087335</v>
      </c>
      <c r="Q14" s="14"/>
    </row>
    <row r="15" ht="15" customHeight="1">
      <c r="B15" s="13"/>
      <c r="C15" s="107">
        <v>2021</v>
      </c>
      <c r="D15" s="108">
        <v>460</v>
      </c>
      <c r="E15" s="108">
        <v>47.984782608695653</v>
      </c>
      <c r="F15" s="108">
        <v>69.032608695652172</v>
      </c>
      <c r="Q15" s="14"/>
    </row>
    <row r="16" ht="15" customHeight="1">
      <c r="B16" s="13"/>
      <c r="C16" s="83" t="s">
        <v>170</v>
      </c>
      <c r="D16" s="106">
        <v>918</v>
      </c>
      <c r="E16" s="106">
        <v>48.197167755991288</v>
      </c>
      <c r="F16" s="106">
        <v>105.82897603485839</v>
      </c>
      <c r="Q16" s="14"/>
    </row>
    <row r="17" ht="15" customHeight="1">
      <c r="B17" s="13"/>
      <c r="Q17" s="14"/>
    </row>
    <row r="18" ht="15" customHeight="1">
      <c r="B18" s="13"/>
      <c r="Q18" s="14"/>
    </row>
    <row r="19" ht="15" customHeight="1" s="48" customFormat="1">
      <c r="B19" s="55"/>
      <c r="C19" s="82" t="s">
        <v>171</v>
      </c>
      <c r="D19" s="82"/>
      <c r="Q19" s="14"/>
    </row>
    <row r="20" ht="15" customHeight="1">
      <c r="B20" s="13"/>
      <c r="Q20" s="14"/>
    </row>
    <row r="21">
      <c r="B21" s="13"/>
      <c r="C21" s="83" t="s">
        <v>166</v>
      </c>
      <c r="D21" s="83" t="s">
        <v>21</v>
      </c>
      <c r="E21" s="83" t="s">
        <v>170</v>
      </c>
      <c r="Q21" s="14"/>
    </row>
    <row r="22" ht="15" customHeight="1">
      <c r="B22" s="13"/>
      <c r="C22" s="107">
        <v>2020</v>
      </c>
      <c r="D22" s="108">
        <v>458</v>
      </c>
      <c r="E22" s="108">
        <v>458</v>
      </c>
      <c r="Q22" s="14"/>
    </row>
    <row r="23" ht="15" customHeight="1">
      <c r="B23" s="13"/>
      <c r="C23" s="107">
        <v>2021</v>
      </c>
      <c r="D23" s="108">
        <v>460</v>
      </c>
      <c r="E23" s="108">
        <v>460</v>
      </c>
      <c r="Q23" s="14"/>
    </row>
    <row r="24" ht="15" customHeight="1">
      <c r="B24" s="13"/>
      <c r="C24" s="83" t="s">
        <v>170</v>
      </c>
      <c r="D24" s="83">
        <v>918</v>
      </c>
      <c r="E24" s="83">
        <v>918</v>
      </c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 s="48" customFormat="1">
      <c r="B27" s="55"/>
      <c r="C27" s="82" t="s">
        <v>172</v>
      </c>
      <c r="D27" s="82"/>
      <c r="Q27" s="14"/>
    </row>
    <row r="28">
      <c r="B28" s="13"/>
      <c r="Q28" s="14"/>
    </row>
    <row r="29">
      <c r="B29" s="13"/>
      <c r="C29" s="83" t="s">
        <v>166</v>
      </c>
      <c r="D29" s="83" t="s">
        <v>21</v>
      </c>
      <c r="E29" s="83" t="s">
        <v>170</v>
      </c>
      <c r="Q29" s="14"/>
    </row>
    <row r="30" ht="15" customHeight="1">
      <c r="B30" s="13"/>
      <c r="C30" s="107">
        <v>2020</v>
      </c>
      <c r="D30" s="109">
        <v>2012577.1299999987</v>
      </c>
      <c r="E30" s="109">
        <v>2012577.1299999987</v>
      </c>
      <c r="Q30" s="14"/>
    </row>
    <row r="31" ht="15" customHeight="1">
      <c r="B31" s="13"/>
      <c r="C31" s="107">
        <v>2021</v>
      </c>
      <c r="D31" s="109">
        <v>1144804.9499999986</v>
      </c>
      <c r="E31" s="109">
        <v>1144804.9499999986</v>
      </c>
      <c r="Q31" s="14"/>
    </row>
    <row r="32">
      <c r="B32" s="13"/>
      <c r="C32" s="83" t="s">
        <v>170</v>
      </c>
      <c r="D32" s="110">
        <v>3157382.0800000047</v>
      </c>
      <c r="E32" s="110">
        <v>3157382.0800000047</v>
      </c>
      <c r="Q32" s="14"/>
    </row>
    <row r="33">
      <c r="B33" s="13"/>
      <c r="Q33" s="14"/>
    </row>
    <row r="34">
      <c r="B34" s="13"/>
      <c r="Q34" s="14"/>
    </row>
    <row r="35">
      <c r="B35" s="13"/>
      <c r="Q35" s="14"/>
    </row>
    <row r="36">
      <c r="B36" s="13"/>
      <c r="Q36" s="14"/>
    </row>
    <row r="37">
      <c r="B37" s="13"/>
      <c r="Q37" s="14"/>
    </row>
    <row r="38">
      <c r="B38" s="13"/>
      <c r="Q38" s="14"/>
    </row>
    <row r="39">
      <c r="B39" s="13"/>
      <c r="Q39" s="14"/>
    </row>
    <row r="40">
      <c r="B40" s="13"/>
      <c r="Q40" s="14"/>
    </row>
    <row r="41">
      <c r="B41" s="13"/>
      <c r="Q41" s="14"/>
    </row>
    <row r="42">
      <c r="B42" s="13"/>
      <c r="Q42" s="14"/>
    </row>
    <row r="43">
      <c r="B43" s="13"/>
      <c r="Q43" s="14"/>
    </row>
    <row r="44" ht="15" customHeight="1">
      <c r="B44" s="13"/>
      <c r="Q44" s="134"/>
    </row>
    <row r="45" ht="9" customHeight="1">
      <c r="B45" s="13"/>
      <c r="Q45" s="13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33"/>
      <c r="Q46" s="135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  <pageSetUpPr fitToPage="1"/>
  </sheetPr>
  <dimension ref="A1:U995"/>
  <sheetViews>
    <sheetView showGridLines="0" zoomScale="85" zoomScaleNormal="85" workbookViewId="0">
      <selection activeCell="C13" sqref="C13:O930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173</v>
      </c>
      <c r="D12" s="132" t="s">
        <v>78</v>
      </c>
      <c r="E12" s="132" t="s">
        <v>174</v>
      </c>
      <c r="F12" s="132" t="s">
        <v>175</v>
      </c>
      <c r="G12" s="132" t="s">
        <v>176</v>
      </c>
      <c r="H12" s="132" t="s">
        <v>55</v>
      </c>
      <c r="I12" s="132" t="s">
        <v>177</v>
      </c>
      <c r="J12" s="132" t="s">
        <v>178</v>
      </c>
      <c r="K12" s="132" t="s">
        <v>179</v>
      </c>
      <c r="L12" s="132" t="s">
        <v>180</v>
      </c>
      <c r="M12" s="132" t="s">
        <v>181</v>
      </c>
      <c r="N12" s="132" t="s">
        <v>182</v>
      </c>
      <c r="O12" s="132" t="s">
        <v>183</v>
      </c>
      <c r="Q12" s="14"/>
    </row>
    <row r="13" ht="15" customHeight="1">
      <c r="B13" s="13"/>
      <c r="C13" s="22" t="s">
        <v>184</v>
      </c>
      <c r="D13" s="90" t="s">
        <v>185</v>
      </c>
      <c r="E13" s="122" t="s">
        <v>186</v>
      </c>
      <c r="F13" s="91" t="s">
        <v>8</v>
      </c>
      <c r="G13" s="91">
        <v>25146</v>
      </c>
      <c r="H13" s="90" t="s">
        <v>187</v>
      </c>
      <c r="I13" s="91" t="s">
        <v>21</v>
      </c>
      <c r="J13" s="91">
        <v>44330</v>
      </c>
      <c r="K13" s="121">
        <v>53</v>
      </c>
      <c r="L13" s="91">
        <v>44416</v>
      </c>
      <c r="M13" s="91">
        <v>44416</v>
      </c>
      <c r="N13" s="125">
        <v>86</v>
      </c>
      <c r="O13" s="92">
        <v>992.36999999999989</v>
      </c>
      <c r="Q13" s="14"/>
    </row>
    <row r="14" ht="15" customHeight="1">
      <c r="B14" s="13"/>
      <c r="C14" s="22" t="s">
        <v>184</v>
      </c>
      <c r="D14" s="90" t="s">
        <v>188</v>
      </c>
      <c r="E14" s="122" t="s">
        <v>189</v>
      </c>
      <c r="F14" s="91" t="s">
        <v>8</v>
      </c>
      <c r="G14" s="91">
        <v>25175</v>
      </c>
      <c r="H14" s="90" t="s">
        <v>187</v>
      </c>
      <c r="I14" s="91" t="s">
        <v>21</v>
      </c>
      <c r="J14" s="91">
        <v>44468</v>
      </c>
      <c r="K14" s="121">
        <v>53</v>
      </c>
      <c r="L14" s="91">
        <v>44498</v>
      </c>
      <c r="M14" s="91">
        <v>44498</v>
      </c>
      <c r="N14" s="125">
        <v>30</v>
      </c>
      <c r="O14" s="92">
        <v>26.14</v>
      </c>
      <c r="Q14" s="14"/>
    </row>
    <row r="15" ht="15" customHeight="1">
      <c r="B15" s="13"/>
      <c r="C15" s="22" t="s">
        <v>184</v>
      </c>
      <c r="D15" s="90" t="s">
        <v>190</v>
      </c>
      <c r="E15" s="122" t="s">
        <v>191</v>
      </c>
      <c r="F15" s="91" t="s">
        <v>8</v>
      </c>
      <c r="G15" s="91">
        <v>25227</v>
      </c>
      <c r="H15" s="90" t="s">
        <v>187</v>
      </c>
      <c r="I15" s="91" t="s">
        <v>21</v>
      </c>
      <c r="J15" s="91">
        <v>44278</v>
      </c>
      <c r="K15" s="121">
        <v>52</v>
      </c>
      <c r="L15" s="91">
        <v>44354</v>
      </c>
      <c r="M15" s="91">
        <v>44354</v>
      </c>
      <c r="N15" s="125">
        <v>76</v>
      </c>
      <c r="O15" s="92">
        <v>402.79</v>
      </c>
      <c r="Q15" s="14"/>
    </row>
    <row r="16" ht="15" customHeight="1">
      <c r="B16" s="13"/>
      <c r="C16" s="22" t="s">
        <v>184</v>
      </c>
      <c r="D16" s="90" t="s">
        <v>192</v>
      </c>
      <c r="E16" s="122" t="s">
        <v>191</v>
      </c>
      <c r="F16" s="91" t="s">
        <v>8</v>
      </c>
      <c r="G16" s="91">
        <v>25227</v>
      </c>
      <c r="H16" s="90" t="s">
        <v>187</v>
      </c>
      <c r="I16" s="91" t="s">
        <v>21</v>
      </c>
      <c r="J16" s="91">
        <v>44278</v>
      </c>
      <c r="K16" s="121">
        <v>52</v>
      </c>
      <c r="L16" s="91">
        <v>44354</v>
      </c>
      <c r="M16" s="91">
        <v>44354</v>
      </c>
      <c r="N16" s="125">
        <v>76</v>
      </c>
      <c r="O16" s="92">
        <v>188.94</v>
      </c>
      <c r="Q16" s="14"/>
    </row>
    <row r="17" ht="15" customHeight="1">
      <c r="B17" s="13"/>
      <c r="C17" s="22" t="s">
        <v>184</v>
      </c>
      <c r="D17" s="90" t="s">
        <v>193</v>
      </c>
      <c r="E17" s="122" t="s">
        <v>194</v>
      </c>
      <c r="F17" s="91" t="s">
        <v>8</v>
      </c>
      <c r="G17" s="91">
        <v>25226</v>
      </c>
      <c r="H17" s="90" t="s">
        <v>187</v>
      </c>
      <c r="I17" s="91" t="s">
        <v>21</v>
      </c>
      <c r="J17" s="91">
        <v>44208</v>
      </c>
      <c r="K17" s="121">
        <v>52</v>
      </c>
      <c r="L17" s="91">
        <v>44440</v>
      </c>
      <c r="M17" s="91">
        <v>44440</v>
      </c>
      <c r="N17" s="125">
        <v>232</v>
      </c>
      <c r="O17" s="92">
        <v>9325.73</v>
      </c>
      <c r="Q17" s="14"/>
    </row>
    <row r="18" ht="15" customHeight="1">
      <c r="B18" s="13"/>
      <c r="C18" s="22" t="s">
        <v>184</v>
      </c>
      <c r="D18" s="90" t="s">
        <v>195</v>
      </c>
      <c r="E18" s="122" t="s">
        <v>196</v>
      </c>
      <c r="F18" s="91" t="s">
        <v>8</v>
      </c>
      <c r="G18" s="91">
        <v>25220</v>
      </c>
      <c r="H18" s="90" t="s">
        <v>197</v>
      </c>
      <c r="I18" s="91" t="s">
        <v>21</v>
      </c>
      <c r="J18" s="91">
        <v>44099</v>
      </c>
      <c r="K18" s="121">
        <v>51</v>
      </c>
      <c r="L18" s="91">
        <v>44530</v>
      </c>
      <c r="M18" s="91"/>
      <c r="N18" s="125">
        <v>0</v>
      </c>
      <c r="O18" s="92">
        <v>5386.8</v>
      </c>
      <c r="Q18" s="14"/>
    </row>
    <row r="19" ht="15" customHeight="1">
      <c r="B19" s="13"/>
      <c r="C19" s="22" t="s">
        <v>184</v>
      </c>
      <c r="D19" s="90" t="s">
        <v>198</v>
      </c>
      <c r="E19" s="122" t="s">
        <v>199</v>
      </c>
      <c r="F19" s="91" t="s">
        <v>8</v>
      </c>
      <c r="G19" s="91">
        <v>25252</v>
      </c>
      <c r="H19" s="90" t="s">
        <v>187</v>
      </c>
      <c r="I19" s="91" t="s">
        <v>21</v>
      </c>
      <c r="J19" s="91">
        <v>43963</v>
      </c>
      <c r="K19" s="121">
        <v>51</v>
      </c>
      <c r="L19" s="91">
        <v>44377</v>
      </c>
      <c r="M19" s="91">
        <v>44377</v>
      </c>
      <c r="N19" s="125">
        <v>414</v>
      </c>
      <c r="O19" s="92">
        <v>3411.1000000000004</v>
      </c>
      <c r="Q19" s="14"/>
    </row>
    <row r="20" ht="15" customHeight="1">
      <c r="B20" s="13"/>
      <c r="C20" s="22" t="s">
        <v>200</v>
      </c>
      <c r="D20" s="90" t="s">
        <v>201</v>
      </c>
      <c r="E20" s="122" t="s">
        <v>202</v>
      </c>
      <c r="F20" s="91" t="s">
        <v>8</v>
      </c>
      <c r="G20" s="91">
        <v>25250</v>
      </c>
      <c r="H20" s="90" t="s">
        <v>187</v>
      </c>
      <c r="I20" s="91" t="s">
        <v>21</v>
      </c>
      <c r="J20" s="91">
        <v>44228</v>
      </c>
      <c r="K20" s="121">
        <v>52</v>
      </c>
      <c r="L20" s="91">
        <v>44346</v>
      </c>
      <c r="M20" s="91">
        <v>44346</v>
      </c>
      <c r="N20" s="125">
        <v>118</v>
      </c>
      <c r="O20" s="92">
        <v>3532.41</v>
      </c>
      <c r="Q20" s="14"/>
    </row>
    <row r="21" ht="15" customHeight="1">
      <c r="B21" s="13"/>
      <c r="C21" s="22" t="s">
        <v>184</v>
      </c>
      <c r="D21" s="90" t="s">
        <v>203</v>
      </c>
      <c r="E21" s="122" t="s">
        <v>204</v>
      </c>
      <c r="F21" s="91" t="s">
        <v>8</v>
      </c>
      <c r="G21" s="91">
        <v>24380</v>
      </c>
      <c r="H21" s="90" t="s">
        <v>187</v>
      </c>
      <c r="I21" s="91" t="s">
        <v>21</v>
      </c>
      <c r="J21" s="91">
        <v>44474</v>
      </c>
      <c r="K21" s="121">
        <v>55</v>
      </c>
      <c r="L21" s="91">
        <v>44517</v>
      </c>
      <c r="M21" s="91"/>
      <c r="N21" s="125">
        <v>0</v>
      </c>
      <c r="O21" s="92">
        <v>455.98</v>
      </c>
      <c r="Q21" s="14"/>
    </row>
    <row r="22" ht="15" customHeight="1">
      <c r="B22" s="13"/>
      <c r="C22" s="22" t="s">
        <v>135</v>
      </c>
      <c r="D22" s="90" t="s">
        <v>205</v>
      </c>
      <c r="E22" s="122" t="s">
        <v>206</v>
      </c>
      <c r="F22" s="91" t="s">
        <v>8</v>
      </c>
      <c r="G22" s="91">
        <v>24354</v>
      </c>
      <c r="H22" s="90" t="s">
        <v>197</v>
      </c>
      <c r="I22" s="91" t="s">
        <v>21</v>
      </c>
      <c r="J22" s="91">
        <v>44263</v>
      </c>
      <c r="K22" s="121">
        <v>55</v>
      </c>
      <c r="L22" s="91">
        <v>44382</v>
      </c>
      <c r="M22" s="91">
        <v>44382</v>
      </c>
      <c r="N22" s="125">
        <v>119</v>
      </c>
      <c r="O22" s="92">
        <v>5314.5</v>
      </c>
      <c r="Q22" s="14"/>
    </row>
    <row r="23" ht="15" customHeight="1">
      <c r="B23" s="13"/>
      <c r="C23" s="22" t="s">
        <v>184</v>
      </c>
      <c r="D23" s="90" t="s">
        <v>207</v>
      </c>
      <c r="E23" s="122" t="s">
        <v>208</v>
      </c>
      <c r="F23" s="91" t="s">
        <v>8</v>
      </c>
      <c r="G23" s="91">
        <v>24355</v>
      </c>
      <c r="H23" s="90" t="s">
        <v>187</v>
      </c>
      <c r="I23" s="91" t="s">
        <v>21</v>
      </c>
      <c r="J23" s="91">
        <v>44123</v>
      </c>
      <c r="K23" s="121">
        <v>54</v>
      </c>
      <c r="L23" s="91">
        <v>44538</v>
      </c>
      <c r="M23" s="91"/>
      <c r="N23" s="125">
        <v>0</v>
      </c>
      <c r="O23" s="92">
        <v>4346.3600000000006</v>
      </c>
      <c r="Q23" s="14"/>
    </row>
    <row r="24" ht="15" customHeight="1">
      <c r="B24" s="13"/>
      <c r="C24" s="22" t="s">
        <v>184</v>
      </c>
      <c r="D24" s="90" t="s">
        <v>209</v>
      </c>
      <c r="E24" s="122" t="s">
        <v>210</v>
      </c>
      <c r="F24" s="91" t="s">
        <v>8</v>
      </c>
      <c r="G24" s="91">
        <v>24386</v>
      </c>
      <c r="H24" s="90" t="s">
        <v>187</v>
      </c>
      <c r="I24" s="91" t="s">
        <v>21</v>
      </c>
      <c r="J24" s="91">
        <v>43990</v>
      </c>
      <c r="K24" s="121">
        <v>54</v>
      </c>
      <c r="L24" s="91">
        <v>44537</v>
      </c>
      <c r="M24" s="91"/>
      <c r="N24" s="125">
        <v>0</v>
      </c>
      <c r="O24" s="92">
        <v>13141.200000000003</v>
      </c>
      <c r="Q24" s="14"/>
    </row>
    <row r="25" ht="15" customHeight="1">
      <c r="B25" s="13"/>
      <c r="C25" s="22" t="s">
        <v>184</v>
      </c>
      <c r="D25" s="90" t="s">
        <v>211</v>
      </c>
      <c r="E25" s="122" t="s">
        <v>212</v>
      </c>
      <c r="F25" s="91" t="s">
        <v>8</v>
      </c>
      <c r="G25" s="91">
        <v>24389</v>
      </c>
      <c r="H25" s="90" t="s">
        <v>187</v>
      </c>
      <c r="I25" s="91" t="s">
        <v>21</v>
      </c>
      <c r="J25" s="91">
        <v>43872</v>
      </c>
      <c r="K25" s="121">
        <v>54</v>
      </c>
      <c r="L25" s="91">
        <v>43955</v>
      </c>
      <c r="M25" s="91">
        <v>43955</v>
      </c>
      <c r="N25" s="125">
        <v>83</v>
      </c>
      <c r="O25" s="92">
        <v>1483.92</v>
      </c>
      <c r="Q25" s="14"/>
    </row>
    <row r="26" ht="15" customHeight="1">
      <c r="B26" s="13"/>
      <c r="C26" s="22" t="s">
        <v>184</v>
      </c>
      <c r="D26" s="90" t="s">
        <v>213</v>
      </c>
      <c r="E26" s="122" t="s">
        <v>214</v>
      </c>
      <c r="F26" s="91" t="s">
        <v>8</v>
      </c>
      <c r="G26" s="91">
        <v>24390</v>
      </c>
      <c r="H26" s="90" t="s">
        <v>187</v>
      </c>
      <c r="I26" s="91" t="s">
        <v>21</v>
      </c>
      <c r="J26" s="91">
        <v>44053</v>
      </c>
      <c r="K26" s="121">
        <v>54</v>
      </c>
      <c r="L26" s="91">
        <v>44530</v>
      </c>
      <c r="M26" s="91"/>
      <c r="N26" s="125">
        <v>0</v>
      </c>
      <c r="O26" s="92">
        <v>5608.9599999999991</v>
      </c>
      <c r="Q26" s="14"/>
    </row>
    <row r="27" ht="15" customHeight="1">
      <c r="B27" s="13"/>
      <c r="C27" s="22" t="s">
        <v>184</v>
      </c>
      <c r="D27" s="90" t="s">
        <v>215</v>
      </c>
      <c r="E27" s="122" t="s">
        <v>216</v>
      </c>
      <c r="F27" s="91" t="s">
        <v>8</v>
      </c>
      <c r="G27" s="91">
        <v>24439</v>
      </c>
      <c r="H27" s="90" t="s">
        <v>187</v>
      </c>
      <c r="I27" s="91" t="s">
        <v>21</v>
      </c>
      <c r="J27" s="91">
        <v>43843</v>
      </c>
      <c r="K27" s="121">
        <v>54</v>
      </c>
      <c r="L27" s="91">
        <v>43980</v>
      </c>
      <c r="M27" s="91">
        <v>43980</v>
      </c>
      <c r="N27" s="125">
        <v>137</v>
      </c>
      <c r="O27" s="92">
        <v>142.2</v>
      </c>
      <c r="Q27" s="14"/>
    </row>
    <row r="28" ht="15" customHeight="1">
      <c r="B28" s="13"/>
      <c r="C28" s="22" t="s">
        <v>184</v>
      </c>
      <c r="D28" s="90" t="s">
        <v>217</v>
      </c>
      <c r="E28" s="122" t="s">
        <v>218</v>
      </c>
      <c r="F28" s="91" t="s">
        <v>8</v>
      </c>
      <c r="G28" s="91">
        <v>24438</v>
      </c>
      <c r="H28" s="90" t="s">
        <v>187</v>
      </c>
      <c r="I28" s="91" t="s">
        <v>21</v>
      </c>
      <c r="J28" s="91">
        <v>44412</v>
      </c>
      <c r="K28" s="121">
        <v>55</v>
      </c>
      <c r="L28" s="91">
        <v>44530</v>
      </c>
      <c r="M28" s="91"/>
      <c r="N28" s="125">
        <v>0</v>
      </c>
      <c r="O28" s="92">
        <v>1417.77</v>
      </c>
      <c r="Q28" s="14"/>
    </row>
    <row r="29" ht="15" customHeight="1">
      <c r="B29" s="13"/>
      <c r="C29" s="22" t="s">
        <v>184</v>
      </c>
      <c r="D29" s="90" t="s">
        <v>219</v>
      </c>
      <c r="E29" s="122" t="s">
        <v>220</v>
      </c>
      <c r="F29" s="91" t="s">
        <v>8</v>
      </c>
      <c r="G29" s="91">
        <v>24430</v>
      </c>
      <c r="H29" s="90" t="s">
        <v>187</v>
      </c>
      <c r="I29" s="91" t="s">
        <v>21</v>
      </c>
      <c r="J29" s="91">
        <v>44277</v>
      </c>
      <c r="K29" s="121">
        <v>55</v>
      </c>
      <c r="L29" s="91">
        <v>44442</v>
      </c>
      <c r="M29" s="91">
        <v>44442</v>
      </c>
      <c r="N29" s="125">
        <v>165</v>
      </c>
      <c r="O29" s="92">
        <v>5168</v>
      </c>
      <c r="Q29" s="14"/>
    </row>
    <row r="30" ht="15" customHeight="1">
      <c r="B30" s="13"/>
      <c r="C30" s="22" t="s">
        <v>184</v>
      </c>
      <c r="D30" s="90" t="s">
        <v>221</v>
      </c>
      <c r="E30" s="122" t="s">
        <v>222</v>
      </c>
      <c r="F30" s="91" t="s">
        <v>8</v>
      </c>
      <c r="G30" s="91">
        <v>24472</v>
      </c>
      <c r="H30" s="90" t="s">
        <v>187</v>
      </c>
      <c r="I30" s="91" t="s">
        <v>21</v>
      </c>
      <c r="J30" s="91">
        <v>43906</v>
      </c>
      <c r="K30" s="121">
        <v>54</v>
      </c>
      <c r="L30" s="91">
        <v>44526</v>
      </c>
      <c r="M30" s="91"/>
      <c r="N30" s="125">
        <v>0</v>
      </c>
      <c r="O30" s="92">
        <v>20132.840000000004</v>
      </c>
      <c r="Q30" s="14"/>
    </row>
    <row r="31" ht="15" customHeight="1">
      <c r="B31" s="13"/>
      <c r="C31" s="22" t="s">
        <v>184</v>
      </c>
      <c r="D31" s="90" t="s">
        <v>223</v>
      </c>
      <c r="E31" s="122" t="s">
        <v>224</v>
      </c>
      <c r="F31" s="91" t="s">
        <v>8</v>
      </c>
      <c r="G31" s="91">
        <v>24673</v>
      </c>
      <c r="H31" s="90" t="s">
        <v>187</v>
      </c>
      <c r="I31" s="91" t="s">
        <v>21</v>
      </c>
      <c r="J31" s="91">
        <v>43903</v>
      </c>
      <c r="K31" s="121">
        <v>53</v>
      </c>
      <c r="L31" s="91">
        <v>44543</v>
      </c>
      <c r="M31" s="91"/>
      <c r="N31" s="125">
        <v>0</v>
      </c>
      <c r="O31" s="92">
        <v>19864.710000000006</v>
      </c>
      <c r="Q31" s="14"/>
    </row>
    <row r="32" ht="15" customHeight="1">
      <c r="B32" s="13"/>
      <c r="C32" s="22" t="s">
        <v>184</v>
      </c>
      <c r="D32" s="90" t="s">
        <v>225</v>
      </c>
      <c r="E32" s="122" t="s">
        <v>226</v>
      </c>
      <c r="F32" s="91" t="s">
        <v>8</v>
      </c>
      <c r="G32" s="91">
        <v>24540</v>
      </c>
      <c r="H32" s="90" t="s">
        <v>187</v>
      </c>
      <c r="I32" s="91" t="s">
        <v>21</v>
      </c>
      <c r="J32" s="91">
        <v>44400</v>
      </c>
      <c r="K32" s="121">
        <v>54</v>
      </c>
      <c r="L32" s="91">
        <v>44532</v>
      </c>
      <c r="M32" s="91"/>
      <c r="N32" s="125">
        <v>0</v>
      </c>
      <c r="O32" s="92">
        <v>4275.53</v>
      </c>
      <c r="Q32" s="14"/>
    </row>
    <row r="33" ht="15" customHeight="1">
      <c r="B33" s="13"/>
      <c r="C33" s="22" t="s">
        <v>184</v>
      </c>
      <c r="D33" s="90" t="s">
        <v>227</v>
      </c>
      <c r="E33" s="122" t="s">
        <v>228</v>
      </c>
      <c r="F33" s="91" t="s">
        <v>8</v>
      </c>
      <c r="G33" s="91">
        <v>24563</v>
      </c>
      <c r="H33" s="90" t="s">
        <v>187</v>
      </c>
      <c r="I33" s="91" t="s">
        <v>21</v>
      </c>
      <c r="J33" s="91">
        <v>44159</v>
      </c>
      <c r="K33" s="121">
        <v>53</v>
      </c>
      <c r="L33" s="91">
        <v>44539</v>
      </c>
      <c r="M33" s="91"/>
      <c r="N33" s="125">
        <v>0</v>
      </c>
      <c r="O33" s="92">
        <v>19308.509999999995</v>
      </c>
      <c r="Q33" s="14"/>
    </row>
    <row r="34" ht="15" customHeight="1">
      <c r="B34" s="13"/>
      <c r="C34" s="22" t="s">
        <v>184</v>
      </c>
      <c r="D34" s="90" t="s">
        <v>229</v>
      </c>
      <c r="E34" s="122" t="s">
        <v>230</v>
      </c>
      <c r="F34" s="91" t="s">
        <v>8</v>
      </c>
      <c r="G34" s="91">
        <v>24584</v>
      </c>
      <c r="H34" s="90" t="s">
        <v>187</v>
      </c>
      <c r="I34" s="91" t="s">
        <v>21</v>
      </c>
      <c r="J34" s="91">
        <v>44106</v>
      </c>
      <c r="K34" s="121">
        <v>53</v>
      </c>
      <c r="L34" s="91">
        <v>44166</v>
      </c>
      <c r="M34" s="91">
        <v>44166</v>
      </c>
      <c r="N34" s="125">
        <v>60</v>
      </c>
      <c r="O34" s="92">
        <v>1151.03</v>
      </c>
      <c r="Q34" s="14"/>
    </row>
    <row r="35" ht="15" customHeight="1">
      <c r="B35" s="13"/>
      <c r="C35" s="22" t="s">
        <v>184</v>
      </c>
      <c r="D35" s="90" t="s">
        <v>231</v>
      </c>
      <c r="E35" s="122" t="s">
        <v>232</v>
      </c>
      <c r="F35" s="91" t="s">
        <v>8</v>
      </c>
      <c r="G35" s="91">
        <v>24505</v>
      </c>
      <c r="H35" s="90" t="s">
        <v>187</v>
      </c>
      <c r="I35" s="91" t="s">
        <v>21</v>
      </c>
      <c r="J35" s="91">
        <v>44149</v>
      </c>
      <c r="K35" s="121">
        <v>53</v>
      </c>
      <c r="L35" s="91">
        <v>44295</v>
      </c>
      <c r="M35" s="91">
        <v>44295</v>
      </c>
      <c r="N35" s="125">
        <v>146</v>
      </c>
      <c r="O35" s="92">
        <v>2632.3500000000004</v>
      </c>
      <c r="Q35" s="14"/>
    </row>
    <row r="36" ht="15" customHeight="1">
      <c r="B36" s="13"/>
      <c r="C36" s="22" t="s">
        <v>184</v>
      </c>
      <c r="D36" s="90" t="s">
        <v>233</v>
      </c>
      <c r="E36" s="122" t="s">
        <v>234</v>
      </c>
      <c r="F36" s="91" t="s">
        <v>8</v>
      </c>
      <c r="G36" s="91">
        <v>24674</v>
      </c>
      <c r="H36" s="90" t="s">
        <v>197</v>
      </c>
      <c r="I36" s="91" t="s">
        <v>21</v>
      </c>
      <c r="J36" s="91">
        <v>44301</v>
      </c>
      <c r="K36" s="121">
        <v>54</v>
      </c>
      <c r="L36" s="91">
        <v>44438</v>
      </c>
      <c r="M36" s="91">
        <v>44438</v>
      </c>
      <c r="N36" s="125">
        <v>137</v>
      </c>
      <c r="O36" s="92">
        <v>3067.08</v>
      </c>
      <c r="Q36" s="14"/>
    </row>
    <row r="37" ht="15" customHeight="1">
      <c r="B37" s="13"/>
      <c r="C37" s="22" t="s">
        <v>184</v>
      </c>
      <c r="D37" s="90" t="s">
        <v>235</v>
      </c>
      <c r="E37" s="122" t="s">
        <v>236</v>
      </c>
      <c r="F37" s="91" t="s">
        <v>8</v>
      </c>
      <c r="G37" s="91">
        <v>24713</v>
      </c>
      <c r="H37" s="90" t="s">
        <v>187</v>
      </c>
      <c r="I37" s="91" t="s">
        <v>21</v>
      </c>
      <c r="J37" s="91">
        <v>44452</v>
      </c>
      <c r="K37" s="121">
        <v>54</v>
      </c>
      <c r="L37" s="91">
        <v>44504</v>
      </c>
      <c r="M37" s="91"/>
      <c r="N37" s="125">
        <v>0</v>
      </c>
      <c r="O37" s="92">
        <v>849.85</v>
      </c>
      <c r="Q37" s="14"/>
    </row>
    <row r="38" ht="15" customHeight="1">
      <c r="B38" s="13"/>
      <c r="C38" s="22" t="s">
        <v>184</v>
      </c>
      <c r="D38" s="90" t="s">
        <v>237</v>
      </c>
      <c r="E38" s="122" t="s">
        <v>238</v>
      </c>
      <c r="F38" s="91" t="s">
        <v>8</v>
      </c>
      <c r="G38" s="91">
        <v>24702</v>
      </c>
      <c r="H38" s="90" t="s">
        <v>197</v>
      </c>
      <c r="I38" s="91" t="s">
        <v>21</v>
      </c>
      <c r="J38" s="91">
        <v>44145</v>
      </c>
      <c r="K38" s="121">
        <v>53</v>
      </c>
      <c r="L38" s="91">
        <v>44500</v>
      </c>
      <c r="M38" s="91"/>
      <c r="N38" s="125">
        <v>0</v>
      </c>
      <c r="O38" s="92">
        <v>4647.4599999999991</v>
      </c>
      <c r="Q38" s="14"/>
    </row>
    <row r="39" ht="15" customHeight="1">
      <c r="B39" s="13"/>
      <c r="C39" s="22" t="s">
        <v>184</v>
      </c>
      <c r="D39" s="90" t="s">
        <v>239</v>
      </c>
      <c r="E39" s="122" t="s">
        <v>240</v>
      </c>
      <c r="F39" s="91" t="s">
        <v>8</v>
      </c>
      <c r="G39" s="91">
        <v>24733</v>
      </c>
      <c r="H39" s="90" t="s">
        <v>197</v>
      </c>
      <c r="I39" s="91" t="s">
        <v>21</v>
      </c>
      <c r="J39" s="91">
        <v>44060</v>
      </c>
      <c r="K39" s="121">
        <v>53</v>
      </c>
      <c r="L39" s="91">
        <v>44166</v>
      </c>
      <c r="M39" s="91">
        <v>44166</v>
      </c>
      <c r="N39" s="125">
        <v>106</v>
      </c>
      <c r="O39" s="92">
        <v>825.02</v>
      </c>
      <c r="Q39" s="14"/>
    </row>
    <row r="40" ht="15" customHeight="1">
      <c r="B40" s="13"/>
      <c r="C40" s="22" t="s">
        <v>184</v>
      </c>
      <c r="D40" s="90" t="s">
        <v>241</v>
      </c>
      <c r="E40" s="122" t="s">
        <v>242</v>
      </c>
      <c r="F40" s="91" t="s">
        <v>8</v>
      </c>
      <c r="G40" s="91">
        <v>24767</v>
      </c>
      <c r="H40" s="90" t="s">
        <v>187</v>
      </c>
      <c r="I40" s="91" t="s">
        <v>21</v>
      </c>
      <c r="J40" s="91">
        <v>44011</v>
      </c>
      <c r="K40" s="121">
        <v>53</v>
      </c>
      <c r="L40" s="91">
        <v>44221</v>
      </c>
      <c r="M40" s="91">
        <v>44221</v>
      </c>
      <c r="N40" s="125">
        <v>210</v>
      </c>
      <c r="O40" s="92">
        <v>351.64</v>
      </c>
      <c r="Q40" s="14"/>
    </row>
    <row r="41" ht="15" customHeight="1">
      <c r="B41" s="13"/>
      <c r="C41" s="22" t="s">
        <v>184</v>
      </c>
      <c r="D41" s="90" t="s">
        <v>243</v>
      </c>
      <c r="E41" s="122" t="s">
        <v>244</v>
      </c>
      <c r="F41" s="91" t="s">
        <v>8</v>
      </c>
      <c r="G41" s="91">
        <v>24783</v>
      </c>
      <c r="H41" s="90" t="s">
        <v>187</v>
      </c>
      <c r="I41" s="91" t="s">
        <v>21</v>
      </c>
      <c r="J41" s="91">
        <v>44443</v>
      </c>
      <c r="K41" s="121">
        <v>54</v>
      </c>
      <c r="L41" s="91">
        <v>44480</v>
      </c>
      <c r="M41" s="91">
        <v>44480</v>
      </c>
      <c r="N41" s="125">
        <v>37</v>
      </c>
      <c r="O41" s="92">
        <v>180.48</v>
      </c>
      <c r="Q41" s="14"/>
    </row>
    <row r="42" ht="15" customHeight="1">
      <c r="B42" s="13"/>
      <c r="C42" s="22" t="s">
        <v>245</v>
      </c>
      <c r="D42" s="90" t="s">
        <v>246</v>
      </c>
      <c r="E42" s="122" t="s">
        <v>247</v>
      </c>
      <c r="F42" s="91" t="s">
        <v>8</v>
      </c>
      <c r="G42" s="91">
        <v>24881</v>
      </c>
      <c r="H42" s="90" t="s">
        <v>187</v>
      </c>
      <c r="I42" s="91" t="s">
        <v>21</v>
      </c>
      <c r="J42" s="91">
        <v>43831</v>
      </c>
      <c r="K42" s="121">
        <v>52</v>
      </c>
      <c r="L42" s="91">
        <v>44500</v>
      </c>
      <c r="M42" s="91"/>
      <c r="N42" s="125">
        <v>0</v>
      </c>
      <c r="O42" s="92">
        <v>18195.09</v>
      </c>
      <c r="Q42" s="14"/>
    </row>
    <row r="43" ht="15" customHeight="1">
      <c r="B43" s="13"/>
      <c r="C43" s="22" t="s">
        <v>184</v>
      </c>
      <c r="D43" s="90" t="s">
        <v>248</v>
      </c>
      <c r="E43" s="122" t="s">
        <v>249</v>
      </c>
      <c r="F43" s="91" t="s">
        <v>8</v>
      </c>
      <c r="G43" s="91">
        <v>24870</v>
      </c>
      <c r="H43" s="90" t="s">
        <v>197</v>
      </c>
      <c r="I43" s="91" t="s">
        <v>21</v>
      </c>
      <c r="J43" s="91">
        <v>43907</v>
      </c>
      <c r="K43" s="121">
        <v>52</v>
      </c>
      <c r="L43" s="91">
        <v>44031</v>
      </c>
      <c r="M43" s="91">
        <v>44031</v>
      </c>
      <c r="N43" s="125">
        <v>124</v>
      </c>
      <c r="O43" s="92">
        <v>1462.24</v>
      </c>
      <c r="Q43" s="14"/>
    </row>
    <row r="44" ht="15" customHeight="1">
      <c r="B44" s="13"/>
      <c r="C44" s="22" t="s">
        <v>184</v>
      </c>
      <c r="D44" s="90" t="s">
        <v>250</v>
      </c>
      <c r="E44" s="122" t="s">
        <v>251</v>
      </c>
      <c r="F44" s="91" t="s">
        <v>8</v>
      </c>
      <c r="G44" s="91">
        <v>24914</v>
      </c>
      <c r="H44" s="90" t="s">
        <v>187</v>
      </c>
      <c r="I44" s="91" t="s">
        <v>21</v>
      </c>
      <c r="J44" s="91">
        <v>44440</v>
      </c>
      <c r="K44" s="121">
        <v>53</v>
      </c>
      <c r="L44" s="91">
        <v>44537</v>
      </c>
      <c r="M44" s="91"/>
      <c r="N44" s="125">
        <v>0</v>
      </c>
      <c r="O44" s="92">
        <v>2561.56</v>
      </c>
      <c r="Q44" s="14"/>
    </row>
    <row r="45" ht="15" customHeight="1">
      <c r="B45" s="13"/>
      <c r="C45" s="22" t="s">
        <v>184</v>
      </c>
      <c r="D45" s="90" t="s">
        <v>252</v>
      </c>
      <c r="E45" s="122" t="s">
        <v>253</v>
      </c>
      <c r="F45" s="91" t="s">
        <v>8</v>
      </c>
      <c r="G45" s="91">
        <v>24913</v>
      </c>
      <c r="H45" s="90" t="s">
        <v>197</v>
      </c>
      <c r="I45" s="91" t="s">
        <v>21</v>
      </c>
      <c r="J45" s="91">
        <v>44110</v>
      </c>
      <c r="K45" s="121">
        <v>52</v>
      </c>
      <c r="L45" s="91">
        <v>44540</v>
      </c>
      <c r="M45" s="91"/>
      <c r="N45" s="125">
        <v>0</v>
      </c>
      <c r="O45" s="92">
        <v>8700.09</v>
      </c>
      <c r="Q45" s="14"/>
    </row>
    <row r="46" ht="15" customHeight="1">
      <c r="B46" s="13"/>
      <c r="C46" s="22" t="s">
        <v>184</v>
      </c>
      <c r="D46" s="90" t="s">
        <v>254</v>
      </c>
      <c r="E46" s="122" t="s">
        <v>255</v>
      </c>
      <c r="F46" s="91" t="s">
        <v>8</v>
      </c>
      <c r="G46" s="91">
        <v>24898</v>
      </c>
      <c r="H46" s="90" t="s">
        <v>187</v>
      </c>
      <c r="I46" s="91" t="s">
        <v>21</v>
      </c>
      <c r="J46" s="91">
        <v>43886</v>
      </c>
      <c r="K46" s="121">
        <v>52</v>
      </c>
      <c r="L46" s="91">
        <v>44347</v>
      </c>
      <c r="M46" s="91">
        <v>44347</v>
      </c>
      <c r="N46" s="125">
        <v>461</v>
      </c>
      <c r="O46" s="92">
        <v>6023.3799999999992</v>
      </c>
      <c r="Q46" s="14"/>
    </row>
    <row r="47" ht="15" customHeight="1">
      <c r="B47" s="13"/>
      <c r="C47" s="22" t="s">
        <v>184</v>
      </c>
      <c r="D47" s="90" t="s">
        <v>256</v>
      </c>
      <c r="E47" s="122" t="s">
        <v>257</v>
      </c>
      <c r="F47" s="91" t="s">
        <v>8</v>
      </c>
      <c r="G47" s="91">
        <v>24941</v>
      </c>
      <c r="H47" s="90" t="s">
        <v>197</v>
      </c>
      <c r="I47" s="91" t="s">
        <v>21</v>
      </c>
      <c r="J47" s="91">
        <v>43986</v>
      </c>
      <c r="K47" s="121">
        <v>52</v>
      </c>
      <c r="L47" s="91">
        <v>44323</v>
      </c>
      <c r="M47" s="91">
        <v>44323</v>
      </c>
      <c r="N47" s="125">
        <v>337</v>
      </c>
      <c r="O47" s="92">
        <v>6719.2999999999993</v>
      </c>
      <c r="Q47" s="14"/>
    </row>
    <row r="48" ht="15" customHeight="1">
      <c r="B48" s="13"/>
      <c r="C48" s="22" t="s">
        <v>184</v>
      </c>
      <c r="D48" s="90" t="s">
        <v>258</v>
      </c>
      <c r="E48" s="122" t="s">
        <v>259</v>
      </c>
      <c r="F48" s="91" t="s">
        <v>8</v>
      </c>
      <c r="G48" s="91">
        <v>25008</v>
      </c>
      <c r="H48" s="90" t="s">
        <v>187</v>
      </c>
      <c r="I48" s="91" t="s">
        <v>21</v>
      </c>
      <c r="J48" s="91">
        <v>44266</v>
      </c>
      <c r="K48" s="121">
        <v>53</v>
      </c>
      <c r="L48" s="91">
        <v>44529</v>
      </c>
      <c r="M48" s="91"/>
      <c r="N48" s="125">
        <v>0</v>
      </c>
      <c r="O48" s="92">
        <v>5761.08</v>
      </c>
      <c r="Q48" s="14"/>
    </row>
    <row r="49" ht="15" customHeight="1">
      <c r="B49" s="13"/>
      <c r="C49" s="22" t="s">
        <v>245</v>
      </c>
      <c r="D49" s="90" t="s">
        <v>260</v>
      </c>
      <c r="E49" s="122" t="s">
        <v>261</v>
      </c>
      <c r="F49" s="91" t="s">
        <v>8</v>
      </c>
      <c r="G49" s="91">
        <v>24994</v>
      </c>
      <c r="H49" s="90" t="s">
        <v>197</v>
      </c>
      <c r="I49" s="91" t="s">
        <v>21</v>
      </c>
      <c r="J49" s="91">
        <v>44099</v>
      </c>
      <c r="K49" s="121">
        <v>52</v>
      </c>
      <c r="L49" s="91">
        <v>44211</v>
      </c>
      <c r="M49" s="91">
        <v>44211</v>
      </c>
      <c r="N49" s="125">
        <v>112</v>
      </c>
      <c r="O49" s="92">
        <v>5192.79</v>
      </c>
      <c r="Q49" s="14"/>
    </row>
    <row r="50" ht="15" customHeight="1">
      <c r="B50" s="13"/>
      <c r="C50" s="22" t="s">
        <v>184</v>
      </c>
      <c r="D50" s="90" t="s">
        <v>262</v>
      </c>
      <c r="E50" s="122" t="s">
        <v>263</v>
      </c>
      <c r="F50" s="91" t="s">
        <v>8</v>
      </c>
      <c r="G50" s="91">
        <v>25032</v>
      </c>
      <c r="H50" s="90" t="s">
        <v>187</v>
      </c>
      <c r="I50" s="91" t="s">
        <v>21</v>
      </c>
      <c r="J50" s="91">
        <v>44217</v>
      </c>
      <c r="K50" s="121">
        <v>53</v>
      </c>
      <c r="L50" s="91">
        <v>44454</v>
      </c>
      <c r="M50" s="91">
        <v>44454</v>
      </c>
      <c r="N50" s="125">
        <v>237</v>
      </c>
      <c r="O50" s="92">
        <v>9667.84</v>
      </c>
      <c r="Q50" s="14"/>
    </row>
    <row r="51" ht="15" customHeight="1">
      <c r="B51" s="13"/>
      <c r="C51" s="22" t="s">
        <v>184</v>
      </c>
      <c r="D51" s="90" t="s">
        <v>264</v>
      </c>
      <c r="E51" s="122" t="s">
        <v>265</v>
      </c>
      <c r="F51" s="91" t="s">
        <v>8</v>
      </c>
      <c r="G51" s="91">
        <v>26115</v>
      </c>
      <c r="H51" s="90" t="s">
        <v>187</v>
      </c>
      <c r="I51" s="91" t="s">
        <v>21</v>
      </c>
      <c r="J51" s="91">
        <v>44292</v>
      </c>
      <c r="K51" s="121">
        <v>50</v>
      </c>
      <c r="L51" s="91">
        <v>44440</v>
      </c>
      <c r="M51" s="91">
        <v>44440</v>
      </c>
      <c r="N51" s="125">
        <v>148</v>
      </c>
      <c r="O51" s="92">
        <v>2555.1000000000004</v>
      </c>
      <c r="Q51" s="14"/>
    </row>
    <row r="52" ht="15" customHeight="1">
      <c r="B52" s="13"/>
      <c r="C52" s="22" t="s">
        <v>184</v>
      </c>
      <c r="D52" s="90" t="s">
        <v>266</v>
      </c>
      <c r="E52" s="122" t="s">
        <v>267</v>
      </c>
      <c r="F52" s="91" t="s">
        <v>8</v>
      </c>
      <c r="G52" s="91">
        <v>26155</v>
      </c>
      <c r="H52" s="90" t="s">
        <v>187</v>
      </c>
      <c r="I52" s="91" t="s">
        <v>21</v>
      </c>
      <c r="J52" s="91">
        <v>44091</v>
      </c>
      <c r="K52" s="121">
        <v>49</v>
      </c>
      <c r="L52" s="91">
        <v>44291</v>
      </c>
      <c r="M52" s="91">
        <v>44291</v>
      </c>
      <c r="N52" s="125">
        <v>200</v>
      </c>
      <c r="O52" s="92">
        <v>4379.69</v>
      </c>
      <c r="Q52" s="14"/>
    </row>
    <row r="53" ht="15" customHeight="1">
      <c r="B53" s="13"/>
      <c r="C53" s="22" t="s">
        <v>184</v>
      </c>
      <c r="D53" s="90" t="s">
        <v>268</v>
      </c>
      <c r="E53" s="122" t="s">
        <v>269</v>
      </c>
      <c r="F53" s="91" t="s">
        <v>8</v>
      </c>
      <c r="G53" s="91">
        <v>26227</v>
      </c>
      <c r="H53" s="90" t="s">
        <v>187</v>
      </c>
      <c r="I53" s="91" t="s">
        <v>21</v>
      </c>
      <c r="J53" s="91">
        <v>44382</v>
      </c>
      <c r="K53" s="121">
        <v>50</v>
      </c>
      <c r="L53" s="91">
        <v>44449</v>
      </c>
      <c r="M53" s="91">
        <v>44449</v>
      </c>
      <c r="N53" s="125">
        <v>67</v>
      </c>
      <c r="O53" s="92">
        <v>996.3599999999999</v>
      </c>
      <c r="Q53" s="14"/>
    </row>
    <row r="54" ht="15" customHeight="1">
      <c r="B54" s="13"/>
      <c r="C54" s="22" t="s">
        <v>184</v>
      </c>
      <c r="D54" s="90" t="s">
        <v>270</v>
      </c>
      <c r="E54" s="122" t="s">
        <v>271</v>
      </c>
      <c r="F54" s="91" t="s">
        <v>8</v>
      </c>
      <c r="G54" s="91">
        <v>25294</v>
      </c>
      <c r="H54" s="90" t="s">
        <v>187</v>
      </c>
      <c r="I54" s="91" t="s">
        <v>21</v>
      </c>
      <c r="J54" s="91">
        <v>44300</v>
      </c>
      <c r="K54" s="121">
        <v>52</v>
      </c>
      <c r="L54" s="91">
        <v>44482</v>
      </c>
      <c r="M54" s="91">
        <v>44482</v>
      </c>
      <c r="N54" s="125">
        <v>182</v>
      </c>
      <c r="O54" s="92">
        <v>3621.5099999999998</v>
      </c>
      <c r="Q54" s="14"/>
    </row>
    <row r="55" ht="15" customHeight="1">
      <c r="B55" s="13"/>
      <c r="C55" s="22" t="s">
        <v>184</v>
      </c>
      <c r="D55" s="90" t="s">
        <v>272</v>
      </c>
      <c r="E55" s="122" t="s">
        <v>273</v>
      </c>
      <c r="F55" s="91" t="s">
        <v>8</v>
      </c>
      <c r="G55" s="91">
        <v>25324</v>
      </c>
      <c r="H55" s="90" t="s">
        <v>187</v>
      </c>
      <c r="I55" s="91" t="s">
        <v>21</v>
      </c>
      <c r="J55" s="91">
        <v>44180</v>
      </c>
      <c r="K55" s="121">
        <v>51</v>
      </c>
      <c r="L55" s="91">
        <v>44347</v>
      </c>
      <c r="M55" s="91">
        <v>44347</v>
      </c>
      <c r="N55" s="125">
        <v>167</v>
      </c>
      <c r="O55" s="92">
        <v>4333.2000000000007</v>
      </c>
      <c r="Q55" s="14"/>
    </row>
    <row r="56" ht="15" customHeight="1">
      <c r="B56" s="13"/>
      <c r="C56" s="22" t="s">
        <v>184</v>
      </c>
      <c r="D56" s="90" t="s">
        <v>274</v>
      </c>
      <c r="E56" s="122" t="s">
        <v>275</v>
      </c>
      <c r="F56" s="91" t="s">
        <v>8</v>
      </c>
      <c r="G56" s="91">
        <v>25347</v>
      </c>
      <c r="H56" s="90" t="s">
        <v>187</v>
      </c>
      <c r="I56" s="91" t="s">
        <v>21</v>
      </c>
      <c r="J56" s="91">
        <v>44211</v>
      </c>
      <c r="K56" s="121">
        <v>52</v>
      </c>
      <c r="L56" s="91">
        <v>44334</v>
      </c>
      <c r="M56" s="91">
        <v>44334</v>
      </c>
      <c r="N56" s="125">
        <v>123</v>
      </c>
      <c r="O56" s="92">
        <v>6311.16</v>
      </c>
      <c r="Q56" s="14"/>
    </row>
    <row r="57" ht="15" customHeight="1">
      <c r="B57" s="13"/>
      <c r="C57" s="22" t="s">
        <v>184</v>
      </c>
      <c r="D57" s="90" t="s">
        <v>276</v>
      </c>
      <c r="E57" s="122" t="s">
        <v>277</v>
      </c>
      <c r="F57" s="91" t="s">
        <v>8</v>
      </c>
      <c r="G57" s="91">
        <v>25362</v>
      </c>
      <c r="H57" s="90" t="s">
        <v>187</v>
      </c>
      <c r="I57" s="91" t="s">
        <v>21</v>
      </c>
      <c r="J57" s="91">
        <v>44126</v>
      </c>
      <c r="K57" s="121">
        <v>51</v>
      </c>
      <c r="L57" s="91">
        <v>44212</v>
      </c>
      <c r="M57" s="91">
        <v>44212</v>
      </c>
      <c r="N57" s="125">
        <v>86</v>
      </c>
      <c r="O57" s="92">
        <v>0</v>
      </c>
      <c r="Q57" s="14"/>
    </row>
    <row r="58" ht="15" customHeight="1">
      <c r="B58" s="13"/>
      <c r="C58" s="22" t="s">
        <v>184</v>
      </c>
      <c r="D58" s="90" t="s">
        <v>278</v>
      </c>
      <c r="E58" s="122" t="s">
        <v>279</v>
      </c>
      <c r="F58" s="91" t="s">
        <v>8</v>
      </c>
      <c r="G58" s="91">
        <v>25366</v>
      </c>
      <c r="H58" s="90" t="s">
        <v>187</v>
      </c>
      <c r="I58" s="91" t="s">
        <v>21</v>
      </c>
      <c r="J58" s="91">
        <v>44264</v>
      </c>
      <c r="K58" s="121">
        <v>52</v>
      </c>
      <c r="L58" s="91">
        <v>44533</v>
      </c>
      <c r="M58" s="91"/>
      <c r="N58" s="125">
        <v>0</v>
      </c>
      <c r="O58" s="92">
        <v>10440</v>
      </c>
      <c r="Q58" s="14"/>
    </row>
    <row r="59" ht="15" customHeight="1">
      <c r="B59" s="13"/>
      <c r="C59" s="22" t="s">
        <v>200</v>
      </c>
      <c r="D59" s="90" t="s">
        <v>280</v>
      </c>
      <c r="E59" s="122" t="s">
        <v>281</v>
      </c>
      <c r="F59" s="91" t="s">
        <v>8</v>
      </c>
      <c r="G59" s="91">
        <v>25424</v>
      </c>
      <c r="H59" s="90" t="s">
        <v>187</v>
      </c>
      <c r="I59" s="91" t="s">
        <v>21</v>
      </c>
      <c r="J59" s="91">
        <v>44174</v>
      </c>
      <c r="K59" s="121">
        <v>51</v>
      </c>
      <c r="L59" s="91">
        <v>44270</v>
      </c>
      <c r="M59" s="91">
        <v>44270</v>
      </c>
      <c r="N59" s="125">
        <v>96</v>
      </c>
      <c r="O59" s="92">
        <v>2156.06</v>
      </c>
      <c r="Q59" s="14"/>
    </row>
    <row r="60" ht="15" customHeight="1">
      <c r="B60" s="13"/>
      <c r="C60" s="22" t="s">
        <v>184</v>
      </c>
      <c r="D60" s="90" t="s">
        <v>282</v>
      </c>
      <c r="E60" s="122" t="s">
        <v>283</v>
      </c>
      <c r="F60" s="91" t="s">
        <v>8</v>
      </c>
      <c r="G60" s="91">
        <v>25416</v>
      </c>
      <c r="H60" s="90" t="s">
        <v>187</v>
      </c>
      <c r="I60" s="91" t="s">
        <v>21</v>
      </c>
      <c r="J60" s="91">
        <v>44298</v>
      </c>
      <c r="K60" s="121">
        <v>52</v>
      </c>
      <c r="L60" s="91">
        <v>44376</v>
      </c>
      <c r="M60" s="91">
        <v>44376</v>
      </c>
      <c r="N60" s="125">
        <v>78</v>
      </c>
      <c r="O60" s="92">
        <v>1299.97</v>
      </c>
      <c r="Q60" s="14"/>
    </row>
    <row r="61" ht="15" customHeight="1">
      <c r="B61" s="13"/>
      <c r="C61" s="22" t="s">
        <v>184</v>
      </c>
      <c r="D61" s="90" t="s">
        <v>284</v>
      </c>
      <c r="E61" s="122" t="s">
        <v>285</v>
      </c>
      <c r="F61" s="91" t="s">
        <v>8</v>
      </c>
      <c r="G61" s="91">
        <v>25471</v>
      </c>
      <c r="H61" s="90" t="s">
        <v>187</v>
      </c>
      <c r="I61" s="91" t="s">
        <v>21</v>
      </c>
      <c r="J61" s="91">
        <v>44211</v>
      </c>
      <c r="K61" s="121">
        <v>52</v>
      </c>
      <c r="L61" s="91">
        <v>44439</v>
      </c>
      <c r="M61" s="91">
        <v>44439</v>
      </c>
      <c r="N61" s="125">
        <v>228</v>
      </c>
      <c r="O61" s="92">
        <v>5287.43</v>
      </c>
      <c r="Q61" s="14"/>
    </row>
    <row r="62" ht="15" customHeight="1">
      <c r="B62" s="13"/>
      <c r="C62" s="22" t="s">
        <v>245</v>
      </c>
      <c r="D62" s="90" t="s">
        <v>286</v>
      </c>
      <c r="E62" s="122" t="s">
        <v>287</v>
      </c>
      <c r="F62" s="91" t="s">
        <v>8</v>
      </c>
      <c r="G62" s="91">
        <v>25498</v>
      </c>
      <c r="H62" s="90" t="s">
        <v>197</v>
      </c>
      <c r="I62" s="91" t="s">
        <v>21</v>
      </c>
      <c r="J62" s="91">
        <v>44221</v>
      </c>
      <c r="K62" s="121">
        <v>52</v>
      </c>
      <c r="L62" s="91">
        <v>44295</v>
      </c>
      <c r="M62" s="91">
        <v>44295</v>
      </c>
      <c r="N62" s="125">
        <v>74</v>
      </c>
      <c r="O62" s="92">
        <v>4190.4000000000005</v>
      </c>
      <c r="Q62" s="14"/>
    </row>
    <row r="63" ht="15" customHeight="1">
      <c r="B63" s="13"/>
      <c r="C63" s="22" t="s">
        <v>184</v>
      </c>
      <c r="D63" s="90" t="s">
        <v>288</v>
      </c>
      <c r="E63" s="122" t="s">
        <v>289</v>
      </c>
      <c r="F63" s="91" t="s">
        <v>8</v>
      </c>
      <c r="G63" s="91">
        <v>25521</v>
      </c>
      <c r="H63" s="90" t="s">
        <v>187</v>
      </c>
      <c r="I63" s="91" t="s">
        <v>21</v>
      </c>
      <c r="J63" s="91">
        <v>44250</v>
      </c>
      <c r="K63" s="121">
        <v>52</v>
      </c>
      <c r="L63" s="91">
        <v>44379</v>
      </c>
      <c r="M63" s="91">
        <v>44379</v>
      </c>
      <c r="N63" s="125">
        <v>129</v>
      </c>
      <c r="O63" s="92">
        <v>2417</v>
      </c>
      <c r="Q63" s="14"/>
    </row>
    <row r="64" ht="15" customHeight="1">
      <c r="B64" s="13"/>
      <c r="C64" s="22" t="s">
        <v>184</v>
      </c>
      <c r="D64" s="90" t="s">
        <v>290</v>
      </c>
      <c r="E64" s="122" t="s">
        <v>291</v>
      </c>
      <c r="F64" s="91" t="s">
        <v>8</v>
      </c>
      <c r="G64" s="91">
        <v>25542</v>
      </c>
      <c r="H64" s="90" t="s">
        <v>187</v>
      </c>
      <c r="I64" s="91" t="s">
        <v>21</v>
      </c>
      <c r="J64" s="91">
        <v>44467</v>
      </c>
      <c r="K64" s="121">
        <v>52</v>
      </c>
      <c r="L64" s="91">
        <v>44504</v>
      </c>
      <c r="M64" s="91"/>
      <c r="N64" s="125">
        <v>0</v>
      </c>
      <c r="O64" s="92">
        <v>319.6</v>
      </c>
      <c r="Q64" s="14"/>
    </row>
    <row r="65" ht="15" customHeight="1">
      <c r="B65" s="13"/>
      <c r="C65" s="22" t="s">
        <v>184</v>
      </c>
      <c r="D65" s="90" t="s">
        <v>292</v>
      </c>
      <c r="E65" s="122" t="s">
        <v>293</v>
      </c>
      <c r="F65" s="91" t="s">
        <v>8</v>
      </c>
      <c r="G65" s="91">
        <v>25582</v>
      </c>
      <c r="H65" s="90" t="s">
        <v>187</v>
      </c>
      <c r="I65" s="91" t="s">
        <v>21</v>
      </c>
      <c r="J65" s="91">
        <v>44183</v>
      </c>
      <c r="K65" s="121">
        <v>50</v>
      </c>
      <c r="L65" s="91">
        <v>44227</v>
      </c>
      <c r="M65" s="91">
        <v>44227</v>
      </c>
      <c r="N65" s="125">
        <v>44</v>
      </c>
      <c r="O65" s="92">
        <v>261.9</v>
      </c>
      <c r="Q65" s="14"/>
    </row>
    <row r="66" ht="15" customHeight="1">
      <c r="B66" s="13"/>
      <c r="C66" s="22" t="s">
        <v>184</v>
      </c>
      <c r="D66" s="90" t="s">
        <v>294</v>
      </c>
      <c r="E66" s="122" t="s">
        <v>295</v>
      </c>
      <c r="F66" s="91" t="s">
        <v>8</v>
      </c>
      <c r="G66" s="91">
        <v>25578</v>
      </c>
      <c r="H66" s="90" t="s">
        <v>187</v>
      </c>
      <c r="I66" s="91" t="s">
        <v>21</v>
      </c>
      <c r="J66" s="91">
        <v>44249</v>
      </c>
      <c r="K66" s="121">
        <v>51</v>
      </c>
      <c r="L66" s="91">
        <v>44363</v>
      </c>
      <c r="M66" s="91">
        <v>44363</v>
      </c>
      <c r="N66" s="125">
        <v>114</v>
      </c>
      <c r="O66" s="92">
        <v>2635.85</v>
      </c>
      <c r="Q66" s="14"/>
    </row>
    <row r="67" ht="15" customHeight="1">
      <c r="B67" s="13"/>
      <c r="C67" s="22" t="s">
        <v>184</v>
      </c>
      <c r="D67" s="90" t="s">
        <v>296</v>
      </c>
      <c r="E67" s="122" t="s">
        <v>297</v>
      </c>
      <c r="F67" s="91" t="s">
        <v>8</v>
      </c>
      <c r="G67" s="91">
        <v>25571</v>
      </c>
      <c r="H67" s="90" t="s">
        <v>187</v>
      </c>
      <c r="I67" s="91" t="s">
        <v>21</v>
      </c>
      <c r="J67" s="91">
        <v>44460</v>
      </c>
      <c r="K67" s="121">
        <v>51</v>
      </c>
      <c r="L67" s="91">
        <v>44526</v>
      </c>
      <c r="M67" s="91"/>
      <c r="N67" s="125">
        <v>0</v>
      </c>
      <c r="O67" s="92">
        <v>710.4</v>
      </c>
      <c r="Q67" s="14"/>
    </row>
    <row r="68" ht="15" customHeight="1">
      <c r="B68" s="13"/>
      <c r="C68" s="22" t="s">
        <v>184</v>
      </c>
      <c r="D68" s="90" t="s">
        <v>298</v>
      </c>
      <c r="E68" s="122" t="s">
        <v>299</v>
      </c>
      <c r="F68" s="91" t="s">
        <v>8</v>
      </c>
      <c r="G68" s="91">
        <v>25621</v>
      </c>
      <c r="H68" s="90" t="s">
        <v>187</v>
      </c>
      <c r="I68" s="91" t="s">
        <v>21</v>
      </c>
      <c r="J68" s="91">
        <v>44160</v>
      </c>
      <c r="K68" s="121">
        <v>50</v>
      </c>
      <c r="L68" s="91">
        <v>44439</v>
      </c>
      <c r="M68" s="91">
        <v>44439</v>
      </c>
      <c r="N68" s="125">
        <v>279</v>
      </c>
      <c r="O68" s="92">
        <v>6624.7800000000007</v>
      </c>
      <c r="Q68" s="14"/>
    </row>
    <row r="69" ht="15" customHeight="1">
      <c r="B69" s="13"/>
      <c r="C69" s="22" t="s">
        <v>184</v>
      </c>
      <c r="D69" s="90" t="s">
        <v>300</v>
      </c>
      <c r="E69" s="122" t="s">
        <v>301</v>
      </c>
      <c r="F69" s="91" t="s">
        <v>8</v>
      </c>
      <c r="G69" s="91">
        <v>25624</v>
      </c>
      <c r="H69" s="90" t="s">
        <v>187</v>
      </c>
      <c r="I69" s="91" t="s">
        <v>21</v>
      </c>
      <c r="J69" s="91">
        <v>44034</v>
      </c>
      <c r="K69" s="121">
        <v>50</v>
      </c>
      <c r="L69" s="91">
        <v>44279</v>
      </c>
      <c r="M69" s="91">
        <v>44279</v>
      </c>
      <c r="N69" s="125">
        <v>245</v>
      </c>
      <c r="O69" s="92">
        <v>5184.96</v>
      </c>
      <c r="Q69" s="14"/>
    </row>
    <row r="70" ht="15" customHeight="1">
      <c r="B70" s="13"/>
      <c r="C70" s="22" t="s">
        <v>184</v>
      </c>
      <c r="D70" s="90" t="s">
        <v>302</v>
      </c>
      <c r="E70" s="122" t="s">
        <v>303</v>
      </c>
      <c r="F70" s="91" t="s">
        <v>8</v>
      </c>
      <c r="G70" s="91">
        <v>25659</v>
      </c>
      <c r="H70" s="90" t="s">
        <v>187</v>
      </c>
      <c r="I70" s="91" t="s">
        <v>21</v>
      </c>
      <c r="J70" s="91">
        <v>43959</v>
      </c>
      <c r="K70" s="121">
        <v>50</v>
      </c>
      <c r="L70" s="91">
        <v>44001</v>
      </c>
      <c r="M70" s="91">
        <v>44001</v>
      </c>
      <c r="N70" s="125">
        <v>42</v>
      </c>
      <c r="O70" s="92">
        <v>591.5</v>
      </c>
      <c r="Q70" s="14"/>
    </row>
    <row r="71" ht="15" customHeight="1">
      <c r="B71" s="13"/>
      <c r="C71" s="22" t="s">
        <v>184</v>
      </c>
      <c r="D71" s="90" t="s">
        <v>304</v>
      </c>
      <c r="E71" s="122" t="s">
        <v>303</v>
      </c>
      <c r="F71" s="91" t="s">
        <v>8</v>
      </c>
      <c r="G71" s="91">
        <v>25659</v>
      </c>
      <c r="H71" s="90" t="s">
        <v>187</v>
      </c>
      <c r="I71" s="91" t="s">
        <v>21</v>
      </c>
      <c r="J71" s="91">
        <v>44343</v>
      </c>
      <c r="K71" s="121">
        <v>51</v>
      </c>
      <c r="L71" s="91">
        <v>44538</v>
      </c>
      <c r="M71" s="91"/>
      <c r="N71" s="125">
        <v>0</v>
      </c>
      <c r="O71" s="92">
        <v>7696.92</v>
      </c>
      <c r="Q71" s="14"/>
    </row>
    <row r="72" ht="15" customHeight="1">
      <c r="B72" s="13"/>
      <c r="C72" s="22" t="s">
        <v>184</v>
      </c>
      <c r="D72" s="90" t="s">
        <v>305</v>
      </c>
      <c r="E72" s="122" t="s">
        <v>306</v>
      </c>
      <c r="F72" s="91" t="s">
        <v>8</v>
      </c>
      <c r="G72" s="91">
        <v>25710</v>
      </c>
      <c r="H72" s="90" t="s">
        <v>187</v>
      </c>
      <c r="I72" s="91" t="s">
        <v>21</v>
      </c>
      <c r="J72" s="91">
        <v>44445</v>
      </c>
      <c r="K72" s="121">
        <v>51</v>
      </c>
      <c r="L72" s="91">
        <v>44505</v>
      </c>
      <c r="M72" s="91"/>
      <c r="N72" s="125">
        <v>0</v>
      </c>
      <c r="O72" s="92">
        <v>876.36999999999989</v>
      </c>
      <c r="Q72" s="14"/>
    </row>
    <row r="73" ht="15" customHeight="1">
      <c r="B73" s="13"/>
      <c r="C73" s="22" t="s">
        <v>184</v>
      </c>
      <c r="D73" s="90" t="s">
        <v>307</v>
      </c>
      <c r="E73" s="122" t="s">
        <v>308</v>
      </c>
      <c r="F73" s="91" t="s">
        <v>8</v>
      </c>
      <c r="G73" s="91">
        <v>25743</v>
      </c>
      <c r="H73" s="90" t="s">
        <v>187</v>
      </c>
      <c r="I73" s="91" t="s">
        <v>21</v>
      </c>
      <c r="J73" s="91">
        <v>43976</v>
      </c>
      <c r="K73" s="121">
        <v>50</v>
      </c>
      <c r="L73" s="91">
        <v>44327</v>
      </c>
      <c r="M73" s="91">
        <v>44327</v>
      </c>
      <c r="N73" s="125">
        <v>351</v>
      </c>
      <c r="O73" s="92">
        <v>3750.4500000000007</v>
      </c>
      <c r="Q73" s="14"/>
    </row>
    <row r="74" ht="15" customHeight="1">
      <c r="B74" s="13"/>
      <c r="C74" s="22" t="s">
        <v>184</v>
      </c>
      <c r="D74" s="90" t="s">
        <v>309</v>
      </c>
      <c r="E74" s="122" t="s">
        <v>310</v>
      </c>
      <c r="F74" s="91" t="s">
        <v>8</v>
      </c>
      <c r="G74" s="91">
        <v>25766</v>
      </c>
      <c r="H74" s="90" t="s">
        <v>187</v>
      </c>
      <c r="I74" s="91" t="s">
        <v>21</v>
      </c>
      <c r="J74" s="91">
        <v>44292</v>
      </c>
      <c r="K74" s="121">
        <v>51</v>
      </c>
      <c r="L74" s="91">
        <v>44441</v>
      </c>
      <c r="M74" s="91">
        <v>44441</v>
      </c>
      <c r="N74" s="125">
        <v>149</v>
      </c>
      <c r="O74" s="92">
        <v>3542.4</v>
      </c>
      <c r="Q74" s="14"/>
    </row>
    <row r="75" ht="15" customHeight="1">
      <c r="B75" s="13"/>
      <c r="C75" s="22" t="s">
        <v>184</v>
      </c>
      <c r="D75" s="90" t="s">
        <v>311</v>
      </c>
      <c r="E75" s="122" t="s">
        <v>312</v>
      </c>
      <c r="F75" s="91" t="s">
        <v>8</v>
      </c>
      <c r="G75" s="91">
        <v>25772</v>
      </c>
      <c r="H75" s="90" t="s">
        <v>197</v>
      </c>
      <c r="I75" s="91" t="s">
        <v>21</v>
      </c>
      <c r="J75" s="91">
        <v>44078</v>
      </c>
      <c r="K75" s="121">
        <v>50</v>
      </c>
      <c r="L75" s="91">
        <v>44519</v>
      </c>
      <c r="M75" s="91"/>
      <c r="N75" s="125">
        <v>0</v>
      </c>
      <c r="O75" s="92">
        <v>12508.320000000002</v>
      </c>
      <c r="Q75" s="14"/>
    </row>
    <row r="76" ht="15" customHeight="1">
      <c r="B76" s="13"/>
      <c r="C76" s="22" t="s">
        <v>184</v>
      </c>
      <c r="D76" s="90" t="s">
        <v>313</v>
      </c>
      <c r="E76" s="122" t="s">
        <v>314</v>
      </c>
      <c r="F76" s="91" t="s">
        <v>8</v>
      </c>
      <c r="G76" s="91">
        <v>25788</v>
      </c>
      <c r="H76" s="90" t="s">
        <v>187</v>
      </c>
      <c r="I76" s="91" t="s">
        <v>21</v>
      </c>
      <c r="J76" s="91">
        <v>43964</v>
      </c>
      <c r="K76" s="121">
        <v>50</v>
      </c>
      <c r="L76" s="91">
        <v>44084</v>
      </c>
      <c r="M76" s="91">
        <v>44084</v>
      </c>
      <c r="N76" s="125">
        <v>120</v>
      </c>
      <c r="O76" s="92">
        <v>4769.31</v>
      </c>
      <c r="Q76" s="14"/>
    </row>
    <row r="77" ht="15" customHeight="1">
      <c r="B77" s="13"/>
      <c r="C77" s="22" t="s">
        <v>184</v>
      </c>
      <c r="D77" s="90" t="s">
        <v>315</v>
      </c>
      <c r="E77" s="122" t="s">
        <v>316</v>
      </c>
      <c r="F77" s="91" t="s">
        <v>8</v>
      </c>
      <c r="G77" s="91">
        <v>25849</v>
      </c>
      <c r="H77" s="90" t="s">
        <v>187</v>
      </c>
      <c r="I77" s="91" t="s">
        <v>21</v>
      </c>
      <c r="J77" s="91">
        <v>44258</v>
      </c>
      <c r="K77" s="121">
        <v>51</v>
      </c>
      <c r="L77" s="91">
        <v>44438</v>
      </c>
      <c r="M77" s="91">
        <v>44438</v>
      </c>
      <c r="N77" s="125">
        <v>180</v>
      </c>
      <c r="O77" s="92">
        <v>4995.08</v>
      </c>
      <c r="Q77" s="14"/>
    </row>
    <row r="78" ht="15" customHeight="1">
      <c r="B78" s="13"/>
      <c r="C78" s="22" t="s">
        <v>184</v>
      </c>
      <c r="D78" s="90" t="s">
        <v>317</v>
      </c>
      <c r="E78" s="122" t="s">
        <v>318</v>
      </c>
      <c r="F78" s="91" t="s">
        <v>8</v>
      </c>
      <c r="G78" s="91">
        <v>25918</v>
      </c>
      <c r="H78" s="90" t="s">
        <v>187</v>
      </c>
      <c r="I78" s="91" t="s">
        <v>21</v>
      </c>
      <c r="J78" s="91">
        <v>44077</v>
      </c>
      <c r="K78" s="121">
        <v>50</v>
      </c>
      <c r="L78" s="91">
        <v>44532</v>
      </c>
      <c r="M78" s="91"/>
      <c r="N78" s="125">
        <v>0</v>
      </c>
      <c r="O78" s="92">
        <v>3107.58</v>
      </c>
      <c r="Q78" s="14"/>
    </row>
    <row r="79" ht="15" customHeight="1">
      <c r="B79" s="13"/>
      <c r="C79" s="22" t="s">
        <v>184</v>
      </c>
      <c r="D79" s="90" t="s">
        <v>319</v>
      </c>
      <c r="E79" s="122" t="s">
        <v>320</v>
      </c>
      <c r="F79" s="91" t="s">
        <v>8</v>
      </c>
      <c r="G79" s="91">
        <v>25923</v>
      </c>
      <c r="H79" s="90" t="s">
        <v>187</v>
      </c>
      <c r="I79" s="91" t="s">
        <v>21</v>
      </c>
      <c r="J79" s="91">
        <v>44342</v>
      </c>
      <c r="K79" s="121">
        <v>51</v>
      </c>
      <c r="L79" s="91">
        <v>44377</v>
      </c>
      <c r="M79" s="91">
        <v>44377</v>
      </c>
      <c r="N79" s="125">
        <v>35</v>
      </c>
      <c r="O79" s="92">
        <v>135.12</v>
      </c>
      <c r="Q79" s="14"/>
    </row>
    <row r="80" ht="15" customHeight="1">
      <c r="B80" s="13"/>
      <c r="C80" s="22" t="s">
        <v>245</v>
      </c>
      <c r="D80" s="90" t="s">
        <v>321</v>
      </c>
      <c r="E80" s="122" t="s">
        <v>322</v>
      </c>
      <c r="F80" s="91" t="s">
        <v>10</v>
      </c>
      <c r="G80" s="91">
        <v>26344</v>
      </c>
      <c r="H80" s="90" t="s">
        <v>197</v>
      </c>
      <c r="I80" s="91" t="s">
        <v>21</v>
      </c>
      <c r="J80" s="91">
        <v>44483</v>
      </c>
      <c r="K80" s="121">
        <v>49</v>
      </c>
      <c r="L80" s="91">
        <v>44521</v>
      </c>
      <c r="M80" s="91"/>
      <c r="N80" s="125">
        <v>0</v>
      </c>
      <c r="O80" s="92">
        <v>365.13</v>
      </c>
      <c r="Q80" s="14"/>
    </row>
    <row r="81" ht="15" customHeight="1">
      <c r="B81" s="13"/>
      <c r="C81" s="22" t="s">
        <v>184</v>
      </c>
      <c r="D81" s="90" t="s">
        <v>323</v>
      </c>
      <c r="E81" s="122" t="s">
        <v>324</v>
      </c>
      <c r="F81" s="91" t="s">
        <v>8</v>
      </c>
      <c r="G81" s="91">
        <v>26365</v>
      </c>
      <c r="H81" s="90" t="s">
        <v>187</v>
      </c>
      <c r="I81" s="91" t="s">
        <v>21</v>
      </c>
      <c r="J81" s="91">
        <v>43871</v>
      </c>
      <c r="K81" s="121">
        <v>48</v>
      </c>
      <c r="L81" s="91">
        <v>43912</v>
      </c>
      <c r="M81" s="91">
        <v>43912</v>
      </c>
      <c r="N81" s="125">
        <v>41</v>
      </c>
      <c r="O81" s="92">
        <v>378.48</v>
      </c>
      <c r="Q81" s="14"/>
    </row>
    <row r="82" ht="15" customHeight="1">
      <c r="B82" s="13"/>
      <c r="C82" s="22" t="s">
        <v>184</v>
      </c>
      <c r="D82" s="90" t="s">
        <v>325</v>
      </c>
      <c r="E82" s="122" t="s">
        <v>326</v>
      </c>
      <c r="F82" s="91" t="s">
        <v>8</v>
      </c>
      <c r="G82" s="91">
        <v>26543</v>
      </c>
      <c r="H82" s="90" t="s">
        <v>197</v>
      </c>
      <c r="I82" s="91" t="s">
        <v>21</v>
      </c>
      <c r="J82" s="91">
        <v>44254</v>
      </c>
      <c r="K82" s="121">
        <v>49</v>
      </c>
      <c r="L82" s="91">
        <v>44430</v>
      </c>
      <c r="M82" s="91">
        <v>44430</v>
      </c>
      <c r="N82" s="125">
        <v>176</v>
      </c>
      <c r="O82" s="92">
        <v>10683.71</v>
      </c>
      <c r="Q82" s="14"/>
    </row>
    <row r="83" ht="15" customHeight="1">
      <c r="B83" s="13"/>
      <c r="C83" s="22" t="s">
        <v>184</v>
      </c>
      <c r="D83" s="90" t="s">
        <v>327</v>
      </c>
      <c r="E83" s="122" t="s">
        <v>328</v>
      </c>
      <c r="F83" s="91" t="s">
        <v>8</v>
      </c>
      <c r="G83" s="91">
        <v>26626</v>
      </c>
      <c r="H83" s="90" t="s">
        <v>187</v>
      </c>
      <c r="I83" s="91" t="s">
        <v>21</v>
      </c>
      <c r="J83" s="91">
        <v>43956</v>
      </c>
      <c r="K83" s="121">
        <v>48</v>
      </c>
      <c r="L83" s="91">
        <v>44074</v>
      </c>
      <c r="M83" s="91">
        <v>44074</v>
      </c>
      <c r="N83" s="125">
        <v>118</v>
      </c>
      <c r="O83" s="92">
        <v>2108.1800000000003</v>
      </c>
      <c r="Q83" s="14"/>
    </row>
    <row r="84" ht="15" customHeight="1">
      <c r="B84" s="13"/>
      <c r="C84" s="22" t="s">
        <v>184</v>
      </c>
      <c r="D84" s="90" t="s">
        <v>329</v>
      </c>
      <c r="E84" s="122" t="s">
        <v>330</v>
      </c>
      <c r="F84" s="91" t="s">
        <v>8</v>
      </c>
      <c r="G84" s="91">
        <v>26665</v>
      </c>
      <c r="H84" s="90" t="s">
        <v>187</v>
      </c>
      <c r="I84" s="91" t="s">
        <v>21</v>
      </c>
      <c r="J84" s="91">
        <v>44185</v>
      </c>
      <c r="K84" s="121">
        <v>47</v>
      </c>
      <c r="L84" s="91">
        <v>44342</v>
      </c>
      <c r="M84" s="91">
        <v>44342</v>
      </c>
      <c r="N84" s="125">
        <v>157</v>
      </c>
      <c r="O84" s="92">
        <v>2458.8799999999997</v>
      </c>
      <c r="Q84" s="14"/>
    </row>
    <row r="85" ht="15" customHeight="1">
      <c r="B85" s="13"/>
      <c r="C85" s="22" t="s">
        <v>184</v>
      </c>
      <c r="D85" s="90" t="s">
        <v>331</v>
      </c>
      <c r="E85" s="122" t="s">
        <v>332</v>
      </c>
      <c r="F85" s="91" t="s">
        <v>8</v>
      </c>
      <c r="G85" s="91">
        <v>26999</v>
      </c>
      <c r="H85" s="90" t="s">
        <v>187</v>
      </c>
      <c r="I85" s="91" t="s">
        <v>21</v>
      </c>
      <c r="J85" s="91">
        <v>44302</v>
      </c>
      <c r="K85" s="121">
        <v>48</v>
      </c>
      <c r="L85" s="91">
        <v>44477</v>
      </c>
      <c r="M85" s="91">
        <v>44477</v>
      </c>
      <c r="N85" s="125">
        <v>175</v>
      </c>
      <c r="O85" s="92">
        <v>3715.7000000000007</v>
      </c>
      <c r="Q85" s="14"/>
    </row>
    <row r="86" ht="15" customHeight="1">
      <c r="B86" s="13"/>
      <c r="C86" s="22" t="s">
        <v>184</v>
      </c>
      <c r="D86" s="90" t="s">
        <v>333</v>
      </c>
      <c r="E86" s="122" t="s">
        <v>334</v>
      </c>
      <c r="F86" s="91" t="s">
        <v>8</v>
      </c>
      <c r="G86" s="91">
        <v>23819</v>
      </c>
      <c r="H86" s="90" t="s">
        <v>187</v>
      </c>
      <c r="I86" s="91" t="s">
        <v>21</v>
      </c>
      <c r="J86" s="91">
        <v>44393</v>
      </c>
      <c r="K86" s="121">
        <v>56</v>
      </c>
      <c r="L86" s="91">
        <v>44484</v>
      </c>
      <c r="M86" s="91">
        <v>44484</v>
      </c>
      <c r="N86" s="125">
        <v>91</v>
      </c>
      <c r="O86" s="92">
        <v>2985.92</v>
      </c>
      <c r="Q86" s="14"/>
    </row>
    <row r="87" ht="15" customHeight="1">
      <c r="B87" s="13"/>
      <c r="C87" s="22" t="s">
        <v>335</v>
      </c>
      <c r="D87" s="90" t="s">
        <v>336</v>
      </c>
      <c r="E87" s="122" t="s">
        <v>337</v>
      </c>
      <c r="F87" s="91" t="s">
        <v>8</v>
      </c>
      <c r="G87" s="91">
        <v>25870</v>
      </c>
      <c r="H87" s="90" t="s">
        <v>187</v>
      </c>
      <c r="I87" s="91" t="s">
        <v>21</v>
      </c>
      <c r="J87" s="91">
        <v>44120</v>
      </c>
      <c r="K87" s="121">
        <v>50</v>
      </c>
      <c r="L87" s="91">
        <v>44189</v>
      </c>
      <c r="M87" s="91">
        <v>44189</v>
      </c>
      <c r="N87" s="125">
        <v>69</v>
      </c>
      <c r="O87" s="92">
        <v>1618.56</v>
      </c>
      <c r="Q87" s="14"/>
    </row>
    <row r="88" ht="15" customHeight="1">
      <c r="B88" s="13"/>
      <c r="C88" s="22" t="s">
        <v>184</v>
      </c>
      <c r="D88" s="90" t="s">
        <v>338</v>
      </c>
      <c r="E88" s="122" t="s">
        <v>339</v>
      </c>
      <c r="F88" s="91" t="s">
        <v>8</v>
      </c>
      <c r="G88" s="91">
        <v>24009</v>
      </c>
      <c r="H88" s="90" t="s">
        <v>187</v>
      </c>
      <c r="I88" s="91" t="s">
        <v>21</v>
      </c>
      <c r="J88" s="91">
        <v>43906</v>
      </c>
      <c r="K88" s="121">
        <v>55</v>
      </c>
      <c r="L88" s="91">
        <v>44529</v>
      </c>
      <c r="M88" s="91"/>
      <c r="N88" s="125">
        <v>0</v>
      </c>
      <c r="O88" s="92">
        <v>9403.5600000000013</v>
      </c>
      <c r="Q88" s="14"/>
    </row>
    <row r="89" ht="15" customHeight="1">
      <c r="B89" s="13"/>
      <c r="C89" s="22" t="s">
        <v>184</v>
      </c>
      <c r="D89" s="90" t="s">
        <v>340</v>
      </c>
      <c r="E89" s="122" t="s">
        <v>341</v>
      </c>
      <c r="F89" s="91" t="s">
        <v>8</v>
      </c>
      <c r="G89" s="91">
        <v>21856</v>
      </c>
      <c r="H89" s="90" t="s">
        <v>187</v>
      </c>
      <c r="I89" s="91" t="s">
        <v>21</v>
      </c>
      <c r="J89" s="91">
        <v>44166</v>
      </c>
      <c r="K89" s="121">
        <v>61</v>
      </c>
      <c r="L89" s="91">
        <v>44530</v>
      </c>
      <c r="M89" s="91">
        <v>44530</v>
      </c>
      <c r="N89" s="125">
        <v>364</v>
      </c>
      <c r="O89" s="92">
        <v>11865.7</v>
      </c>
      <c r="Q89" s="14"/>
    </row>
    <row r="90" ht="15" customHeight="1">
      <c r="B90" s="13"/>
      <c r="C90" s="22" t="s">
        <v>342</v>
      </c>
      <c r="D90" s="90" t="s">
        <v>343</v>
      </c>
      <c r="E90" s="122" t="s">
        <v>344</v>
      </c>
      <c r="F90" s="91" t="s">
        <v>8</v>
      </c>
      <c r="G90" s="91">
        <v>21954</v>
      </c>
      <c r="H90" s="90" t="s">
        <v>187</v>
      </c>
      <c r="I90" s="91" t="s">
        <v>21</v>
      </c>
      <c r="J90" s="91">
        <v>44078</v>
      </c>
      <c r="K90" s="121">
        <v>60</v>
      </c>
      <c r="L90" s="91">
        <v>44469</v>
      </c>
      <c r="M90" s="91">
        <v>44469</v>
      </c>
      <c r="N90" s="125">
        <v>391</v>
      </c>
      <c r="O90" s="92">
        <v>2516.8300000000004</v>
      </c>
      <c r="Q90" s="14"/>
    </row>
    <row r="91" ht="15" customHeight="1">
      <c r="B91" s="13"/>
      <c r="C91" s="22" t="s">
        <v>184</v>
      </c>
      <c r="D91" s="90" t="s">
        <v>345</v>
      </c>
      <c r="E91" s="122" t="s">
        <v>346</v>
      </c>
      <c r="F91" s="91" t="s">
        <v>8</v>
      </c>
      <c r="G91" s="91">
        <v>24019</v>
      </c>
      <c r="H91" s="90" t="s">
        <v>187</v>
      </c>
      <c r="I91" s="91" t="s">
        <v>21</v>
      </c>
      <c r="J91" s="91">
        <v>44116</v>
      </c>
      <c r="K91" s="121">
        <v>55</v>
      </c>
      <c r="L91" s="91">
        <v>44347</v>
      </c>
      <c r="M91" s="91">
        <v>44347</v>
      </c>
      <c r="N91" s="125">
        <v>231</v>
      </c>
      <c r="O91" s="92">
        <v>2806.62</v>
      </c>
      <c r="Q91" s="14"/>
    </row>
    <row r="92" ht="15" customHeight="1">
      <c r="B92" s="13"/>
      <c r="C92" s="22" t="s">
        <v>184</v>
      </c>
      <c r="D92" s="90" t="s">
        <v>347</v>
      </c>
      <c r="E92" s="122" t="s">
        <v>348</v>
      </c>
      <c r="F92" s="91" t="s">
        <v>8</v>
      </c>
      <c r="G92" s="91">
        <v>25143</v>
      </c>
      <c r="H92" s="90" t="s">
        <v>197</v>
      </c>
      <c r="I92" s="91" t="s">
        <v>21</v>
      </c>
      <c r="J92" s="91">
        <v>44376</v>
      </c>
      <c r="K92" s="121">
        <v>53</v>
      </c>
      <c r="L92" s="91">
        <v>44540</v>
      </c>
      <c r="M92" s="91"/>
      <c r="N92" s="125">
        <v>0</v>
      </c>
      <c r="O92" s="92">
        <v>4610.25</v>
      </c>
      <c r="Q92" s="14"/>
    </row>
    <row r="93" ht="15" customHeight="1">
      <c r="B93" s="13"/>
      <c r="C93" s="22" t="s">
        <v>184</v>
      </c>
      <c r="D93" s="90" t="s">
        <v>349</v>
      </c>
      <c r="E93" s="122" t="s">
        <v>350</v>
      </c>
      <c r="F93" s="91" t="s">
        <v>8</v>
      </c>
      <c r="G93" s="91">
        <v>15430</v>
      </c>
      <c r="H93" s="90" t="s">
        <v>187</v>
      </c>
      <c r="I93" s="91" t="s">
        <v>21</v>
      </c>
      <c r="J93" s="91">
        <v>43893</v>
      </c>
      <c r="K93" s="121">
        <v>78</v>
      </c>
      <c r="L93" s="91">
        <v>44530</v>
      </c>
      <c r="M93" s="91"/>
      <c r="N93" s="125">
        <v>0</v>
      </c>
      <c r="O93" s="92">
        <v>4487.04</v>
      </c>
      <c r="Q93" s="14"/>
    </row>
    <row r="94" ht="15" customHeight="1">
      <c r="B94" s="13"/>
      <c r="C94" s="22" t="s">
        <v>184</v>
      </c>
      <c r="D94" s="90" t="s">
        <v>351</v>
      </c>
      <c r="E94" s="122" t="s">
        <v>352</v>
      </c>
      <c r="F94" s="91" t="s">
        <v>8</v>
      </c>
      <c r="G94" s="91">
        <v>19093</v>
      </c>
      <c r="H94" s="90" t="s">
        <v>197</v>
      </c>
      <c r="I94" s="91" t="s">
        <v>21</v>
      </c>
      <c r="J94" s="91">
        <v>44173</v>
      </c>
      <c r="K94" s="121">
        <v>68</v>
      </c>
      <c r="L94" s="91">
        <v>44295</v>
      </c>
      <c r="M94" s="91">
        <v>44295</v>
      </c>
      <c r="N94" s="125">
        <v>122</v>
      </c>
      <c r="O94" s="92">
        <v>7485.57</v>
      </c>
      <c r="Q94" s="14"/>
    </row>
    <row r="95" ht="15" customHeight="1">
      <c r="B95" s="13"/>
      <c r="C95" s="22" t="s">
        <v>184</v>
      </c>
      <c r="D95" s="90" t="s">
        <v>353</v>
      </c>
      <c r="E95" s="122" t="s">
        <v>354</v>
      </c>
      <c r="F95" s="91" t="s">
        <v>8</v>
      </c>
      <c r="G95" s="91">
        <v>22744</v>
      </c>
      <c r="H95" s="90" t="s">
        <v>187</v>
      </c>
      <c r="I95" s="91" t="s">
        <v>21</v>
      </c>
      <c r="J95" s="91">
        <v>44346</v>
      </c>
      <c r="K95" s="121">
        <v>59</v>
      </c>
      <c r="L95" s="91">
        <v>44496</v>
      </c>
      <c r="M95" s="91">
        <v>44496</v>
      </c>
      <c r="N95" s="125">
        <v>150</v>
      </c>
      <c r="O95" s="92">
        <v>3637.26</v>
      </c>
      <c r="Q95" s="14"/>
    </row>
    <row r="96" ht="15" customHeight="1">
      <c r="B96" s="13"/>
      <c r="C96" s="22" t="s">
        <v>184</v>
      </c>
      <c r="D96" s="90" t="s">
        <v>355</v>
      </c>
      <c r="E96" s="122" t="s">
        <v>356</v>
      </c>
      <c r="F96" s="91" t="s">
        <v>8</v>
      </c>
      <c r="G96" s="91">
        <v>19664</v>
      </c>
      <c r="H96" s="90" t="s">
        <v>187</v>
      </c>
      <c r="I96" s="91" t="s">
        <v>21</v>
      </c>
      <c r="J96" s="91">
        <v>43956</v>
      </c>
      <c r="K96" s="121">
        <v>67</v>
      </c>
      <c r="L96" s="91">
        <v>44510</v>
      </c>
      <c r="M96" s="91">
        <v>44561</v>
      </c>
      <c r="N96" s="125">
        <v>605</v>
      </c>
      <c r="O96" s="92">
        <v>13277.25</v>
      </c>
      <c r="Q96" s="14"/>
    </row>
    <row r="97" ht="15" customHeight="1">
      <c r="B97" s="13"/>
      <c r="C97" s="22" t="s">
        <v>184</v>
      </c>
      <c r="D97" s="90" t="s">
        <v>357</v>
      </c>
      <c r="E97" s="122" t="s">
        <v>358</v>
      </c>
      <c r="F97" s="91" t="s">
        <v>8</v>
      </c>
      <c r="G97" s="91">
        <v>21294</v>
      </c>
      <c r="H97" s="90" t="s">
        <v>197</v>
      </c>
      <c r="I97" s="91" t="s">
        <v>21</v>
      </c>
      <c r="J97" s="91">
        <v>43913</v>
      </c>
      <c r="K97" s="121">
        <v>62</v>
      </c>
      <c r="L97" s="91">
        <v>44533</v>
      </c>
      <c r="M97" s="91"/>
      <c r="N97" s="125">
        <v>0</v>
      </c>
      <c r="O97" s="92">
        <v>23132.339999999997</v>
      </c>
      <c r="Q97" s="14"/>
    </row>
    <row r="98" ht="15" customHeight="1">
      <c r="B98" s="13"/>
      <c r="C98" s="22" t="s">
        <v>184</v>
      </c>
      <c r="D98" s="90" t="s">
        <v>359</v>
      </c>
      <c r="E98" s="122" t="s">
        <v>360</v>
      </c>
      <c r="F98" s="91" t="s">
        <v>8</v>
      </c>
      <c r="G98" s="91">
        <v>21394</v>
      </c>
      <c r="H98" s="90" t="s">
        <v>187</v>
      </c>
      <c r="I98" s="91" t="s">
        <v>21</v>
      </c>
      <c r="J98" s="91">
        <v>44242</v>
      </c>
      <c r="K98" s="121">
        <v>63</v>
      </c>
      <c r="L98" s="91">
        <v>44532</v>
      </c>
      <c r="M98" s="91"/>
      <c r="N98" s="125">
        <v>0</v>
      </c>
      <c r="O98" s="92">
        <v>7498.5300000000016</v>
      </c>
      <c r="Q98" s="14"/>
    </row>
    <row r="99" ht="15" customHeight="1">
      <c r="B99" s="13"/>
      <c r="C99" s="22" t="s">
        <v>184</v>
      </c>
      <c r="D99" s="90" t="s">
        <v>361</v>
      </c>
      <c r="E99" s="122" t="s">
        <v>362</v>
      </c>
      <c r="F99" s="91" t="s">
        <v>8</v>
      </c>
      <c r="G99" s="91">
        <v>21388</v>
      </c>
      <c r="H99" s="90" t="s">
        <v>197</v>
      </c>
      <c r="I99" s="91" t="s">
        <v>21</v>
      </c>
      <c r="J99" s="91">
        <v>44099</v>
      </c>
      <c r="K99" s="121">
        <v>62</v>
      </c>
      <c r="L99" s="91">
        <v>44259</v>
      </c>
      <c r="M99" s="91">
        <v>44259</v>
      </c>
      <c r="N99" s="125">
        <v>160</v>
      </c>
      <c r="O99" s="92">
        <v>8501.9</v>
      </c>
      <c r="Q99" s="14"/>
    </row>
    <row r="100" ht="15" customHeight="1">
      <c r="B100" s="13"/>
      <c r="C100" s="22" t="s">
        <v>184</v>
      </c>
      <c r="D100" s="90" t="s">
        <v>363</v>
      </c>
      <c r="E100" s="122" t="s">
        <v>364</v>
      </c>
      <c r="F100" s="91" t="s">
        <v>8</v>
      </c>
      <c r="G100" s="91">
        <v>20537</v>
      </c>
      <c r="H100" s="90" t="s">
        <v>187</v>
      </c>
      <c r="I100" s="91" t="s">
        <v>21</v>
      </c>
      <c r="J100" s="91">
        <v>43832</v>
      </c>
      <c r="K100" s="121">
        <v>64</v>
      </c>
      <c r="L100" s="91">
        <v>44186</v>
      </c>
      <c r="M100" s="91">
        <v>44186</v>
      </c>
      <c r="N100" s="125">
        <v>354</v>
      </c>
      <c r="O100" s="92">
        <v>1124.47</v>
      </c>
      <c r="Q100" s="14"/>
    </row>
    <row r="101" ht="15" customHeight="1">
      <c r="B101" s="13"/>
      <c r="C101" s="22" t="s">
        <v>184</v>
      </c>
      <c r="D101" s="90" t="s">
        <v>365</v>
      </c>
      <c r="E101" s="122" t="s">
        <v>366</v>
      </c>
      <c r="F101" s="91" t="s">
        <v>8</v>
      </c>
      <c r="G101" s="91">
        <v>20707</v>
      </c>
      <c r="H101" s="90" t="s">
        <v>187</v>
      </c>
      <c r="I101" s="91" t="s">
        <v>21</v>
      </c>
      <c r="J101" s="91">
        <v>43999</v>
      </c>
      <c r="K101" s="121">
        <v>64</v>
      </c>
      <c r="L101" s="91">
        <v>44038</v>
      </c>
      <c r="M101" s="91">
        <v>44038</v>
      </c>
      <c r="N101" s="125">
        <v>39</v>
      </c>
      <c r="O101" s="92">
        <v>176.9</v>
      </c>
      <c r="Q101" s="14"/>
    </row>
    <row r="102" ht="15" customHeight="1">
      <c r="B102" s="13"/>
      <c r="C102" s="22" t="s">
        <v>184</v>
      </c>
      <c r="D102" s="90" t="s">
        <v>367</v>
      </c>
      <c r="E102" s="122" t="s">
        <v>366</v>
      </c>
      <c r="F102" s="91" t="s">
        <v>8</v>
      </c>
      <c r="G102" s="91">
        <v>20707</v>
      </c>
      <c r="H102" s="90" t="s">
        <v>187</v>
      </c>
      <c r="I102" s="91" t="s">
        <v>21</v>
      </c>
      <c r="J102" s="91">
        <v>44200</v>
      </c>
      <c r="K102" s="121">
        <v>65</v>
      </c>
      <c r="L102" s="91">
        <v>44403</v>
      </c>
      <c r="M102" s="91"/>
      <c r="N102" s="125">
        <v>0</v>
      </c>
      <c r="O102" s="92">
        <v>1670.11</v>
      </c>
      <c r="Q102" s="14"/>
    </row>
    <row r="103" ht="15" customHeight="1">
      <c r="B103" s="13"/>
      <c r="C103" s="22" t="s">
        <v>184</v>
      </c>
      <c r="D103" s="90" t="s">
        <v>368</v>
      </c>
      <c r="E103" s="122" t="s">
        <v>369</v>
      </c>
      <c r="F103" s="91" t="s">
        <v>8</v>
      </c>
      <c r="G103" s="91">
        <v>20826</v>
      </c>
      <c r="H103" s="90" t="s">
        <v>197</v>
      </c>
      <c r="I103" s="91" t="s">
        <v>21</v>
      </c>
      <c r="J103" s="91">
        <v>43865</v>
      </c>
      <c r="K103" s="121">
        <v>63</v>
      </c>
      <c r="L103" s="91">
        <v>44458</v>
      </c>
      <c r="M103" s="91">
        <v>44458</v>
      </c>
      <c r="N103" s="125">
        <v>593</v>
      </c>
      <c r="O103" s="92">
        <v>6808.72</v>
      </c>
      <c r="Q103" s="14"/>
    </row>
    <row r="104" ht="15" customHeight="1">
      <c r="B104" s="13"/>
      <c r="C104" s="22" t="s">
        <v>135</v>
      </c>
      <c r="D104" s="90" t="s">
        <v>370</v>
      </c>
      <c r="E104" s="122" t="s">
        <v>371</v>
      </c>
      <c r="F104" s="91" t="s">
        <v>8</v>
      </c>
      <c r="G104" s="91">
        <v>20911</v>
      </c>
      <c r="H104" s="90" t="s">
        <v>187</v>
      </c>
      <c r="I104" s="91" t="s">
        <v>21</v>
      </c>
      <c r="J104" s="91">
        <v>44231</v>
      </c>
      <c r="K104" s="121">
        <v>64</v>
      </c>
      <c r="L104" s="91">
        <v>44316</v>
      </c>
      <c r="M104" s="91">
        <v>44316</v>
      </c>
      <c r="N104" s="125">
        <v>85</v>
      </c>
      <c r="O104" s="92">
        <v>153.44</v>
      </c>
      <c r="Q104" s="14"/>
    </row>
    <row r="105" ht="15" customHeight="1">
      <c r="B105" s="13"/>
      <c r="C105" s="22" t="s">
        <v>135</v>
      </c>
      <c r="D105" s="90" t="s">
        <v>372</v>
      </c>
      <c r="E105" s="122" t="s">
        <v>371</v>
      </c>
      <c r="F105" s="91" t="s">
        <v>8</v>
      </c>
      <c r="G105" s="91">
        <v>20911</v>
      </c>
      <c r="H105" s="90" t="s">
        <v>187</v>
      </c>
      <c r="I105" s="91" t="s">
        <v>21</v>
      </c>
      <c r="J105" s="91">
        <v>44231</v>
      </c>
      <c r="K105" s="121">
        <v>64</v>
      </c>
      <c r="L105" s="91">
        <v>44316</v>
      </c>
      <c r="M105" s="91">
        <v>44316</v>
      </c>
      <c r="N105" s="125">
        <v>85</v>
      </c>
      <c r="O105" s="92">
        <v>68.32</v>
      </c>
      <c r="Q105" s="14"/>
    </row>
    <row r="106" ht="15" customHeight="1">
      <c r="B106" s="13"/>
      <c r="C106" s="22" t="s">
        <v>135</v>
      </c>
      <c r="D106" s="90" t="s">
        <v>373</v>
      </c>
      <c r="E106" s="122" t="s">
        <v>371</v>
      </c>
      <c r="F106" s="91" t="s">
        <v>8</v>
      </c>
      <c r="G106" s="91">
        <v>20911</v>
      </c>
      <c r="H106" s="90" t="s">
        <v>187</v>
      </c>
      <c r="I106" s="91" t="s">
        <v>21</v>
      </c>
      <c r="J106" s="91">
        <v>44231</v>
      </c>
      <c r="K106" s="121">
        <v>64</v>
      </c>
      <c r="L106" s="91">
        <v>44316</v>
      </c>
      <c r="M106" s="91">
        <v>44316</v>
      </c>
      <c r="N106" s="125">
        <v>85</v>
      </c>
      <c r="O106" s="92">
        <v>36.400000000000006</v>
      </c>
      <c r="Q106" s="14"/>
    </row>
    <row r="107" ht="15" customHeight="1">
      <c r="B107" s="13"/>
      <c r="C107" s="22" t="s">
        <v>184</v>
      </c>
      <c r="D107" s="90" t="s">
        <v>374</v>
      </c>
      <c r="E107" s="122" t="s">
        <v>375</v>
      </c>
      <c r="F107" s="91" t="s">
        <v>8</v>
      </c>
      <c r="G107" s="91">
        <v>22219</v>
      </c>
      <c r="H107" s="90" t="s">
        <v>187</v>
      </c>
      <c r="I107" s="91" t="s">
        <v>21</v>
      </c>
      <c r="J107" s="91">
        <v>44077</v>
      </c>
      <c r="K107" s="121">
        <v>60</v>
      </c>
      <c r="L107" s="91">
        <v>44196</v>
      </c>
      <c r="M107" s="91">
        <v>44196</v>
      </c>
      <c r="N107" s="125">
        <v>119</v>
      </c>
      <c r="O107" s="92">
        <v>5785.2</v>
      </c>
      <c r="Q107" s="14"/>
    </row>
    <row r="108" ht="15" customHeight="1">
      <c r="B108" s="13"/>
      <c r="C108" s="22" t="s">
        <v>184</v>
      </c>
      <c r="D108" s="90" t="s">
        <v>376</v>
      </c>
      <c r="E108" s="122" t="s">
        <v>377</v>
      </c>
      <c r="F108" s="91" t="s">
        <v>10</v>
      </c>
      <c r="G108" s="91">
        <v>22208</v>
      </c>
      <c r="H108" s="90" t="s">
        <v>187</v>
      </c>
      <c r="I108" s="91" t="s">
        <v>21</v>
      </c>
      <c r="J108" s="91">
        <v>44074</v>
      </c>
      <c r="K108" s="121">
        <v>60</v>
      </c>
      <c r="L108" s="91">
        <v>44193</v>
      </c>
      <c r="M108" s="91">
        <v>44193</v>
      </c>
      <c r="N108" s="125">
        <v>119</v>
      </c>
      <c r="O108" s="92">
        <v>864.12</v>
      </c>
      <c r="Q108" s="14"/>
    </row>
    <row r="109" ht="15" customHeight="1">
      <c r="B109" s="13"/>
      <c r="C109" s="22" t="s">
        <v>184</v>
      </c>
      <c r="D109" s="90" t="s">
        <v>378</v>
      </c>
      <c r="E109" s="122" t="s">
        <v>377</v>
      </c>
      <c r="F109" s="91" t="s">
        <v>10</v>
      </c>
      <c r="G109" s="91">
        <v>22208</v>
      </c>
      <c r="H109" s="90" t="s">
        <v>187</v>
      </c>
      <c r="I109" s="91" t="s">
        <v>21</v>
      </c>
      <c r="J109" s="91">
        <v>44074</v>
      </c>
      <c r="K109" s="121">
        <v>60</v>
      </c>
      <c r="L109" s="91">
        <v>44193</v>
      </c>
      <c r="M109" s="91">
        <v>44193</v>
      </c>
      <c r="N109" s="125">
        <v>119</v>
      </c>
      <c r="O109" s="92">
        <v>767.7</v>
      </c>
      <c r="Q109" s="14"/>
    </row>
    <row r="110" ht="15" customHeight="1">
      <c r="B110" s="13"/>
      <c r="C110" s="22" t="s">
        <v>184</v>
      </c>
      <c r="D110" s="90" t="s">
        <v>379</v>
      </c>
      <c r="E110" s="122" t="s">
        <v>380</v>
      </c>
      <c r="F110" s="91" t="s">
        <v>8</v>
      </c>
      <c r="G110" s="91">
        <v>25500</v>
      </c>
      <c r="H110" s="90" t="s">
        <v>187</v>
      </c>
      <c r="I110" s="91" t="s">
        <v>21</v>
      </c>
      <c r="J110" s="91">
        <v>43907</v>
      </c>
      <c r="K110" s="121">
        <v>51</v>
      </c>
      <c r="L110" s="91">
        <v>43941</v>
      </c>
      <c r="M110" s="91">
        <v>43941</v>
      </c>
      <c r="N110" s="125">
        <v>34</v>
      </c>
      <c r="O110" s="92">
        <v>156.45</v>
      </c>
      <c r="Q110" s="14"/>
    </row>
    <row r="111" ht="15" customHeight="1">
      <c r="B111" s="13"/>
      <c r="C111" s="22" t="s">
        <v>184</v>
      </c>
      <c r="D111" s="90" t="s">
        <v>381</v>
      </c>
      <c r="E111" s="122" t="s">
        <v>382</v>
      </c>
      <c r="F111" s="91" t="s">
        <v>8</v>
      </c>
      <c r="G111" s="91">
        <v>22219</v>
      </c>
      <c r="H111" s="90" t="s">
        <v>187</v>
      </c>
      <c r="I111" s="91" t="s">
        <v>21</v>
      </c>
      <c r="J111" s="91">
        <v>43984</v>
      </c>
      <c r="K111" s="121">
        <v>60</v>
      </c>
      <c r="L111" s="91">
        <v>44101</v>
      </c>
      <c r="M111" s="91">
        <v>44101</v>
      </c>
      <c r="N111" s="125">
        <v>117</v>
      </c>
      <c r="O111" s="92">
        <v>633.92</v>
      </c>
      <c r="Q111" s="14"/>
    </row>
    <row r="112" ht="15" customHeight="1">
      <c r="B112" s="13"/>
      <c r="C112" s="22" t="s">
        <v>184</v>
      </c>
      <c r="D112" s="90" t="s">
        <v>383</v>
      </c>
      <c r="E112" s="122" t="s">
        <v>384</v>
      </c>
      <c r="F112" s="91" t="s">
        <v>8</v>
      </c>
      <c r="G112" s="91">
        <v>22246</v>
      </c>
      <c r="H112" s="90" t="s">
        <v>187</v>
      </c>
      <c r="I112" s="91" t="s">
        <v>21</v>
      </c>
      <c r="J112" s="91">
        <v>43833</v>
      </c>
      <c r="K112" s="121">
        <v>60</v>
      </c>
      <c r="L112" s="91">
        <v>44530</v>
      </c>
      <c r="M112" s="91"/>
      <c r="N112" s="125">
        <v>0</v>
      </c>
      <c r="O112" s="92">
        <v>3724.8399999999992</v>
      </c>
      <c r="Q112" s="14"/>
    </row>
    <row r="113" ht="15" customHeight="1">
      <c r="B113" s="13"/>
      <c r="C113" s="22" t="s">
        <v>184</v>
      </c>
      <c r="D113" s="90" t="s">
        <v>385</v>
      </c>
      <c r="E113" s="122" t="s">
        <v>386</v>
      </c>
      <c r="F113" s="91" t="s">
        <v>8</v>
      </c>
      <c r="G113" s="91">
        <v>22269</v>
      </c>
      <c r="H113" s="90" t="s">
        <v>187</v>
      </c>
      <c r="I113" s="91" t="s">
        <v>21</v>
      </c>
      <c r="J113" s="91">
        <v>44191</v>
      </c>
      <c r="K113" s="121">
        <v>60</v>
      </c>
      <c r="L113" s="91">
        <v>44372</v>
      </c>
      <c r="M113" s="91">
        <v>44372</v>
      </c>
      <c r="N113" s="125">
        <v>181</v>
      </c>
      <c r="O113" s="92">
        <v>995.04</v>
      </c>
      <c r="Q113" s="14"/>
    </row>
    <row r="114" ht="15" customHeight="1">
      <c r="B114" s="13"/>
      <c r="C114" s="22" t="s">
        <v>184</v>
      </c>
      <c r="D114" s="90" t="s">
        <v>387</v>
      </c>
      <c r="E114" s="122" t="s">
        <v>388</v>
      </c>
      <c r="F114" s="91" t="s">
        <v>8</v>
      </c>
      <c r="G114" s="91">
        <v>22303</v>
      </c>
      <c r="H114" s="90" t="s">
        <v>187</v>
      </c>
      <c r="I114" s="91" t="s">
        <v>21</v>
      </c>
      <c r="J114" s="91">
        <v>44247</v>
      </c>
      <c r="K114" s="121">
        <v>60</v>
      </c>
      <c r="L114" s="91">
        <v>44417</v>
      </c>
      <c r="M114" s="91">
        <v>44417</v>
      </c>
      <c r="N114" s="125">
        <v>170</v>
      </c>
      <c r="O114" s="92">
        <v>699.36</v>
      </c>
      <c r="Q114" s="14"/>
    </row>
    <row r="115" ht="15" customHeight="1">
      <c r="B115" s="13"/>
      <c r="C115" s="22" t="s">
        <v>184</v>
      </c>
      <c r="D115" s="90" t="s">
        <v>389</v>
      </c>
      <c r="E115" s="122" t="s">
        <v>390</v>
      </c>
      <c r="F115" s="91" t="s">
        <v>8</v>
      </c>
      <c r="G115" s="91">
        <v>22284</v>
      </c>
      <c r="H115" s="90" t="s">
        <v>187</v>
      </c>
      <c r="I115" s="91" t="s">
        <v>21</v>
      </c>
      <c r="J115" s="91">
        <v>43907</v>
      </c>
      <c r="K115" s="121">
        <v>59</v>
      </c>
      <c r="L115" s="91">
        <v>43976</v>
      </c>
      <c r="M115" s="91">
        <v>43976</v>
      </c>
      <c r="N115" s="125">
        <v>69</v>
      </c>
      <c r="O115" s="92">
        <v>844.4</v>
      </c>
      <c r="Q115" s="14"/>
    </row>
    <row r="116" ht="15" customHeight="1">
      <c r="B116" s="13"/>
      <c r="C116" s="22" t="s">
        <v>184</v>
      </c>
      <c r="D116" s="90" t="s">
        <v>391</v>
      </c>
      <c r="E116" s="122" t="s">
        <v>390</v>
      </c>
      <c r="F116" s="91" t="s">
        <v>8</v>
      </c>
      <c r="G116" s="91">
        <v>22284</v>
      </c>
      <c r="H116" s="90" t="s">
        <v>187</v>
      </c>
      <c r="I116" s="91" t="s">
        <v>21</v>
      </c>
      <c r="J116" s="91">
        <v>44111</v>
      </c>
      <c r="K116" s="121">
        <v>59</v>
      </c>
      <c r="L116" s="91">
        <v>44216</v>
      </c>
      <c r="M116" s="91">
        <v>44216</v>
      </c>
      <c r="N116" s="125">
        <v>105</v>
      </c>
      <c r="O116" s="92">
        <v>1378.64</v>
      </c>
      <c r="Q116" s="14"/>
    </row>
    <row r="117" ht="15" customHeight="1">
      <c r="B117" s="13"/>
      <c r="C117" s="22" t="s">
        <v>184</v>
      </c>
      <c r="D117" s="90" t="s">
        <v>392</v>
      </c>
      <c r="E117" s="122" t="s">
        <v>393</v>
      </c>
      <c r="F117" s="91" t="s">
        <v>8</v>
      </c>
      <c r="G117" s="91">
        <v>22362</v>
      </c>
      <c r="H117" s="90" t="s">
        <v>187</v>
      </c>
      <c r="I117" s="91" t="s">
        <v>21</v>
      </c>
      <c r="J117" s="91">
        <v>43865</v>
      </c>
      <c r="K117" s="121">
        <v>59</v>
      </c>
      <c r="L117" s="91">
        <v>44285</v>
      </c>
      <c r="M117" s="91">
        <v>44286</v>
      </c>
      <c r="N117" s="125">
        <v>421</v>
      </c>
      <c r="O117" s="92">
        <v>3490.2</v>
      </c>
      <c r="Q117" s="14"/>
    </row>
    <row r="118" ht="15" customHeight="1">
      <c r="B118" s="13"/>
      <c r="C118" s="22" t="s">
        <v>184</v>
      </c>
      <c r="D118" s="90" t="s">
        <v>394</v>
      </c>
      <c r="E118" s="122" t="s">
        <v>395</v>
      </c>
      <c r="F118" s="91" t="s">
        <v>8</v>
      </c>
      <c r="G118" s="91">
        <v>22366</v>
      </c>
      <c r="H118" s="90" t="s">
        <v>187</v>
      </c>
      <c r="I118" s="91" t="s">
        <v>21</v>
      </c>
      <c r="J118" s="91">
        <v>44075</v>
      </c>
      <c r="K118" s="121">
        <v>59</v>
      </c>
      <c r="L118" s="91">
        <v>44536</v>
      </c>
      <c r="M118" s="91"/>
      <c r="N118" s="125">
        <v>0</v>
      </c>
      <c r="O118" s="92">
        <v>19142.899999999998</v>
      </c>
      <c r="Q118" s="14"/>
    </row>
    <row r="119" ht="15" customHeight="1">
      <c r="B119" s="13"/>
      <c r="C119" s="22" t="s">
        <v>184</v>
      </c>
      <c r="D119" s="90" t="s">
        <v>396</v>
      </c>
      <c r="E119" s="122" t="s">
        <v>397</v>
      </c>
      <c r="F119" s="91" t="s">
        <v>8</v>
      </c>
      <c r="G119" s="91">
        <v>22361</v>
      </c>
      <c r="H119" s="90" t="s">
        <v>187</v>
      </c>
      <c r="I119" s="91" t="s">
        <v>21</v>
      </c>
      <c r="J119" s="91">
        <v>44080</v>
      </c>
      <c r="K119" s="121">
        <v>59</v>
      </c>
      <c r="L119" s="91">
        <v>44526</v>
      </c>
      <c r="M119" s="91"/>
      <c r="N119" s="125">
        <v>0</v>
      </c>
      <c r="O119" s="92">
        <v>8004.1299999999983</v>
      </c>
      <c r="Q119" s="14"/>
    </row>
    <row r="120" ht="15" customHeight="1">
      <c r="B120" s="13"/>
      <c r="C120" s="22" t="s">
        <v>184</v>
      </c>
      <c r="D120" s="90" t="s">
        <v>398</v>
      </c>
      <c r="E120" s="122" t="s">
        <v>399</v>
      </c>
      <c r="F120" s="91" t="s">
        <v>8</v>
      </c>
      <c r="G120" s="91">
        <v>21405</v>
      </c>
      <c r="H120" s="90" t="s">
        <v>187</v>
      </c>
      <c r="I120" s="91" t="s">
        <v>21</v>
      </c>
      <c r="J120" s="91">
        <v>43888</v>
      </c>
      <c r="K120" s="121">
        <v>62</v>
      </c>
      <c r="L120" s="91">
        <v>44389</v>
      </c>
      <c r="M120" s="91">
        <v>44389</v>
      </c>
      <c r="N120" s="125">
        <v>501</v>
      </c>
      <c r="O120" s="92">
        <v>2071.4199999999996</v>
      </c>
      <c r="Q120" s="14"/>
    </row>
    <row r="121" ht="15" customHeight="1">
      <c r="B121" s="13"/>
      <c r="C121" s="22" t="s">
        <v>400</v>
      </c>
      <c r="D121" s="90" t="s">
        <v>401</v>
      </c>
      <c r="E121" s="122" t="s">
        <v>402</v>
      </c>
      <c r="F121" s="91" t="s">
        <v>8</v>
      </c>
      <c r="G121" s="91">
        <v>21618</v>
      </c>
      <c r="H121" s="90" t="s">
        <v>187</v>
      </c>
      <c r="I121" s="91" t="s">
        <v>21</v>
      </c>
      <c r="J121" s="91">
        <v>43857</v>
      </c>
      <c r="K121" s="121">
        <v>61</v>
      </c>
      <c r="L121" s="91">
        <v>43968</v>
      </c>
      <c r="M121" s="91">
        <v>43968</v>
      </c>
      <c r="N121" s="125">
        <v>111</v>
      </c>
      <c r="O121" s="92">
        <v>75.8</v>
      </c>
      <c r="Q121" s="14"/>
    </row>
    <row r="122" ht="15" customHeight="1">
      <c r="B122" s="13"/>
      <c r="C122" s="22" t="s">
        <v>184</v>
      </c>
      <c r="D122" s="90" t="s">
        <v>403</v>
      </c>
      <c r="E122" s="122" t="s">
        <v>404</v>
      </c>
      <c r="F122" s="91" t="s">
        <v>8</v>
      </c>
      <c r="G122" s="91">
        <v>21641</v>
      </c>
      <c r="H122" s="90" t="s">
        <v>187</v>
      </c>
      <c r="I122" s="91" t="s">
        <v>21</v>
      </c>
      <c r="J122" s="91">
        <v>44317</v>
      </c>
      <c r="K122" s="121">
        <v>62</v>
      </c>
      <c r="L122" s="91">
        <v>44530</v>
      </c>
      <c r="M122" s="91"/>
      <c r="N122" s="125">
        <v>0</v>
      </c>
      <c r="O122" s="92">
        <v>4853.9199999999992</v>
      </c>
      <c r="Q122" s="14"/>
    </row>
    <row r="123" ht="15" customHeight="1">
      <c r="B123" s="13"/>
      <c r="C123" s="22" t="s">
        <v>184</v>
      </c>
      <c r="D123" s="90" t="s">
        <v>405</v>
      </c>
      <c r="E123" s="122" t="s">
        <v>406</v>
      </c>
      <c r="F123" s="91" t="s">
        <v>8</v>
      </c>
      <c r="G123" s="91">
        <v>21672</v>
      </c>
      <c r="H123" s="90" t="s">
        <v>197</v>
      </c>
      <c r="I123" s="91" t="s">
        <v>21</v>
      </c>
      <c r="J123" s="91">
        <v>44442</v>
      </c>
      <c r="K123" s="121">
        <v>62</v>
      </c>
      <c r="L123" s="91">
        <v>44518</v>
      </c>
      <c r="M123" s="91"/>
      <c r="N123" s="125">
        <v>0</v>
      </c>
      <c r="O123" s="92">
        <v>2624.95</v>
      </c>
      <c r="Q123" s="14"/>
    </row>
    <row r="124" ht="15" customHeight="1">
      <c r="B124" s="13"/>
      <c r="C124" s="22" t="s">
        <v>184</v>
      </c>
      <c r="D124" s="90" t="s">
        <v>407</v>
      </c>
      <c r="E124" s="122" t="s">
        <v>408</v>
      </c>
      <c r="F124" s="91" t="s">
        <v>8</v>
      </c>
      <c r="G124" s="91">
        <v>21686</v>
      </c>
      <c r="H124" s="90" t="s">
        <v>187</v>
      </c>
      <c r="I124" s="91" t="s">
        <v>21</v>
      </c>
      <c r="J124" s="91">
        <v>44086</v>
      </c>
      <c r="K124" s="121">
        <v>61</v>
      </c>
      <c r="L124" s="91">
        <v>44196</v>
      </c>
      <c r="M124" s="91">
        <v>44196</v>
      </c>
      <c r="N124" s="125">
        <v>110</v>
      </c>
      <c r="O124" s="92">
        <v>268.08</v>
      </c>
      <c r="Q124" s="14"/>
    </row>
    <row r="125" ht="15" customHeight="1">
      <c r="B125" s="13"/>
      <c r="C125" s="22" t="s">
        <v>184</v>
      </c>
      <c r="D125" s="90" t="s">
        <v>409</v>
      </c>
      <c r="E125" s="122" t="s">
        <v>410</v>
      </c>
      <c r="F125" s="91" t="s">
        <v>8</v>
      </c>
      <c r="G125" s="91">
        <v>21712</v>
      </c>
      <c r="H125" s="90" t="s">
        <v>187</v>
      </c>
      <c r="I125" s="91" t="s">
        <v>21</v>
      </c>
      <c r="J125" s="91">
        <v>44032</v>
      </c>
      <c r="K125" s="121">
        <v>61</v>
      </c>
      <c r="L125" s="91">
        <v>44347</v>
      </c>
      <c r="M125" s="91">
        <v>44347</v>
      </c>
      <c r="N125" s="125">
        <v>315</v>
      </c>
      <c r="O125" s="92">
        <v>4900.88</v>
      </c>
      <c r="Q125" s="14"/>
    </row>
    <row r="126" ht="15" customHeight="1">
      <c r="B126" s="13"/>
      <c r="C126" s="22" t="s">
        <v>184</v>
      </c>
      <c r="D126" s="90" t="s">
        <v>411</v>
      </c>
      <c r="E126" s="122" t="s">
        <v>412</v>
      </c>
      <c r="F126" s="91" t="s">
        <v>8</v>
      </c>
      <c r="G126" s="91">
        <v>21767</v>
      </c>
      <c r="H126" s="90" t="s">
        <v>187</v>
      </c>
      <c r="I126" s="91" t="s">
        <v>21</v>
      </c>
      <c r="J126" s="91">
        <v>43894</v>
      </c>
      <c r="K126" s="121">
        <v>61</v>
      </c>
      <c r="L126" s="91">
        <v>44439</v>
      </c>
      <c r="M126" s="91">
        <v>44439</v>
      </c>
      <c r="N126" s="125">
        <v>545</v>
      </c>
      <c r="O126" s="92">
        <v>7538.5799999999972</v>
      </c>
      <c r="Q126" s="14"/>
    </row>
    <row r="127" ht="15" customHeight="1">
      <c r="B127" s="13"/>
      <c r="C127" s="22" t="s">
        <v>184</v>
      </c>
      <c r="D127" s="90" t="s">
        <v>413</v>
      </c>
      <c r="E127" s="122" t="s">
        <v>414</v>
      </c>
      <c r="F127" s="91" t="s">
        <v>8</v>
      </c>
      <c r="G127" s="91">
        <v>21791</v>
      </c>
      <c r="H127" s="90" t="s">
        <v>187</v>
      </c>
      <c r="I127" s="91" t="s">
        <v>21</v>
      </c>
      <c r="J127" s="91">
        <v>44081</v>
      </c>
      <c r="K127" s="121">
        <v>61</v>
      </c>
      <c r="L127" s="91">
        <v>44439</v>
      </c>
      <c r="M127" s="91">
        <v>44439</v>
      </c>
      <c r="N127" s="125">
        <v>358</v>
      </c>
      <c r="O127" s="92">
        <v>6185.2000000000007</v>
      </c>
      <c r="Q127" s="14"/>
    </row>
    <row r="128" ht="15" customHeight="1">
      <c r="B128" s="13"/>
      <c r="C128" s="22" t="s">
        <v>184</v>
      </c>
      <c r="D128" s="90" t="s">
        <v>415</v>
      </c>
      <c r="E128" s="122" t="s">
        <v>414</v>
      </c>
      <c r="F128" s="91" t="s">
        <v>8</v>
      </c>
      <c r="G128" s="91">
        <v>21791</v>
      </c>
      <c r="H128" s="90" t="s">
        <v>187</v>
      </c>
      <c r="I128" s="91" t="s">
        <v>21</v>
      </c>
      <c r="J128" s="91">
        <v>44081</v>
      </c>
      <c r="K128" s="121">
        <v>61</v>
      </c>
      <c r="L128" s="91">
        <v>44435</v>
      </c>
      <c r="M128" s="91">
        <v>44436</v>
      </c>
      <c r="N128" s="125">
        <v>355</v>
      </c>
      <c r="O128" s="92">
        <v>5814.25</v>
      </c>
      <c r="Q128" s="14"/>
    </row>
    <row r="129" ht="15" customHeight="1">
      <c r="B129" s="13"/>
      <c r="C129" s="22" t="s">
        <v>184</v>
      </c>
      <c r="D129" s="90" t="s">
        <v>416</v>
      </c>
      <c r="E129" s="122" t="s">
        <v>417</v>
      </c>
      <c r="F129" s="91" t="s">
        <v>8</v>
      </c>
      <c r="G129" s="91">
        <v>21823</v>
      </c>
      <c r="H129" s="90" t="s">
        <v>187</v>
      </c>
      <c r="I129" s="91" t="s">
        <v>21</v>
      </c>
      <c r="J129" s="91">
        <v>44016</v>
      </c>
      <c r="K129" s="121">
        <v>61</v>
      </c>
      <c r="L129" s="91">
        <v>44462</v>
      </c>
      <c r="M129" s="91">
        <v>44462</v>
      </c>
      <c r="N129" s="125">
        <v>446</v>
      </c>
      <c r="O129" s="92">
        <v>12697.920000000004</v>
      </c>
      <c r="Q129" s="14"/>
    </row>
    <row r="130" ht="15" customHeight="1">
      <c r="B130" s="13"/>
      <c r="C130" s="22" t="s">
        <v>184</v>
      </c>
      <c r="D130" s="90" t="s">
        <v>418</v>
      </c>
      <c r="E130" s="122" t="s">
        <v>419</v>
      </c>
      <c r="F130" s="91" t="s">
        <v>8</v>
      </c>
      <c r="G130" s="91">
        <v>21794</v>
      </c>
      <c r="H130" s="90" t="s">
        <v>197</v>
      </c>
      <c r="I130" s="91" t="s">
        <v>21</v>
      </c>
      <c r="J130" s="91">
        <v>44280</v>
      </c>
      <c r="K130" s="121">
        <v>62</v>
      </c>
      <c r="L130" s="91">
        <v>44469</v>
      </c>
      <c r="M130" s="91">
        <v>44469</v>
      </c>
      <c r="N130" s="125">
        <v>189</v>
      </c>
      <c r="O130" s="92">
        <v>12190.4</v>
      </c>
      <c r="Q130" s="14"/>
    </row>
    <row r="131" ht="15" customHeight="1">
      <c r="B131" s="13"/>
      <c r="C131" s="22" t="s">
        <v>184</v>
      </c>
      <c r="D131" s="90" t="s">
        <v>420</v>
      </c>
      <c r="E131" s="122" t="s">
        <v>421</v>
      </c>
      <c r="F131" s="91" t="s">
        <v>8</v>
      </c>
      <c r="G131" s="91">
        <v>21797</v>
      </c>
      <c r="H131" s="90" t="s">
        <v>197</v>
      </c>
      <c r="I131" s="91" t="s">
        <v>21</v>
      </c>
      <c r="J131" s="91">
        <v>44174</v>
      </c>
      <c r="K131" s="121">
        <v>61</v>
      </c>
      <c r="L131" s="91">
        <v>44469</v>
      </c>
      <c r="M131" s="91">
        <v>44469</v>
      </c>
      <c r="N131" s="125">
        <v>295</v>
      </c>
      <c r="O131" s="92">
        <v>5527.4800000000005</v>
      </c>
      <c r="Q131" s="14"/>
    </row>
    <row r="132" ht="15" customHeight="1">
      <c r="B132" s="13"/>
      <c r="C132" s="22" t="s">
        <v>184</v>
      </c>
      <c r="D132" s="90" t="s">
        <v>422</v>
      </c>
      <c r="E132" s="122" t="s">
        <v>423</v>
      </c>
      <c r="F132" s="91" t="s">
        <v>8</v>
      </c>
      <c r="G132" s="91">
        <v>21874</v>
      </c>
      <c r="H132" s="90" t="s">
        <v>187</v>
      </c>
      <c r="I132" s="91" t="s">
        <v>21</v>
      </c>
      <c r="J132" s="91">
        <v>44299</v>
      </c>
      <c r="K132" s="121">
        <v>62</v>
      </c>
      <c r="L132" s="91">
        <v>44440</v>
      </c>
      <c r="M132" s="91">
        <v>44440</v>
      </c>
      <c r="N132" s="125">
        <v>141</v>
      </c>
      <c r="O132" s="92">
        <v>1294.72</v>
      </c>
      <c r="Q132" s="14"/>
    </row>
    <row r="133" ht="15" customHeight="1">
      <c r="B133" s="13"/>
      <c r="C133" s="22" t="s">
        <v>184</v>
      </c>
      <c r="D133" s="90" t="s">
        <v>424</v>
      </c>
      <c r="E133" s="122" t="s">
        <v>425</v>
      </c>
      <c r="F133" s="91" t="s">
        <v>8</v>
      </c>
      <c r="G133" s="91">
        <v>21898</v>
      </c>
      <c r="H133" s="90" t="s">
        <v>187</v>
      </c>
      <c r="I133" s="91" t="s">
        <v>21</v>
      </c>
      <c r="J133" s="91">
        <v>44127</v>
      </c>
      <c r="K133" s="121">
        <v>61</v>
      </c>
      <c r="L133" s="91">
        <v>44462</v>
      </c>
      <c r="M133" s="91">
        <v>44462</v>
      </c>
      <c r="N133" s="125">
        <v>335</v>
      </c>
      <c r="O133" s="92">
        <v>615.06</v>
      </c>
      <c r="Q133" s="14"/>
    </row>
    <row r="134" ht="15" customHeight="1">
      <c r="B134" s="13"/>
      <c r="C134" s="22" t="s">
        <v>184</v>
      </c>
      <c r="D134" s="90" t="s">
        <v>426</v>
      </c>
      <c r="E134" s="122" t="s">
        <v>427</v>
      </c>
      <c r="F134" s="91" t="s">
        <v>8</v>
      </c>
      <c r="G134" s="91">
        <v>21947</v>
      </c>
      <c r="H134" s="90" t="s">
        <v>187</v>
      </c>
      <c r="I134" s="91" t="s">
        <v>21</v>
      </c>
      <c r="J134" s="91">
        <v>43908</v>
      </c>
      <c r="K134" s="121">
        <v>60</v>
      </c>
      <c r="L134" s="91">
        <v>44540</v>
      </c>
      <c r="M134" s="91"/>
      <c r="N134" s="125">
        <v>0</v>
      </c>
      <c r="O134" s="92">
        <v>6212.14</v>
      </c>
      <c r="Q134" s="14"/>
    </row>
    <row r="135" ht="15" customHeight="1">
      <c r="B135" s="13"/>
      <c r="C135" s="22" t="s">
        <v>184</v>
      </c>
      <c r="D135" s="90" t="s">
        <v>428</v>
      </c>
      <c r="E135" s="122" t="s">
        <v>429</v>
      </c>
      <c r="F135" s="91" t="s">
        <v>8</v>
      </c>
      <c r="G135" s="91">
        <v>21951</v>
      </c>
      <c r="H135" s="90" t="s">
        <v>197</v>
      </c>
      <c r="I135" s="91" t="s">
        <v>21</v>
      </c>
      <c r="J135" s="91">
        <v>44090</v>
      </c>
      <c r="K135" s="121">
        <v>60</v>
      </c>
      <c r="L135" s="91">
        <v>44369</v>
      </c>
      <c r="M135" s="91">
        <v>44218</v>
      </c>
      <c r="N135" s="125">
        <v>128</v>
      </c>
      <c r="O135" s="92">
        <v>6859.6100000000006</v>
      </c>
      <c r="Q135" s="14"/>
    </row>
    <row r="136" ht="15" customHeight="1">
      <c r="B136" s="13"/>
      <c r="C136" s="22" t="s">
        <v>184</v>
      </c>
      <c r="D136" s="90" t="s">
        <v>430</v>
      </c>
      <c r="E136" s="122" t="s">
        <v>431</v>
      </c>
      <c r="F136" s="91" t="s">
        <v>8</v>
      </c>
      <c r="G136" s="91">
        <v>22055</v>
      </c>
      <c r="H136" s="90" t="s">
        <v>187</v>
      </c>
      <c r="I136" s="91" t="s">
        <v>21</v>
      </c>
      <c r="J136" s="91">
        <v>44214</v>
      </c>
      <c r="K136" s="121">
        <v>61</v>
      </c>
      <c r="L136" s="91">
        <v>44394</v>
      </c>
      <c r="M136" s="91">
        <v>44440</v>
      </c>
      <c r="N136" s="125">
        <v>226</v>
      </c>
      <c r="O136" s="92">
        <v>2876.55</v>
      </c>
      <c r="Q136" s="14"/>
    </row>
    <row r="137" ht="15" customHeight="1">
      <c r="B137" s="13"/>
      <c r="C137" s="22" t="s">
        <v>184</v>
      </c>
      <c r="D137" s="90" t="s">
        <v>432</v>
      </c>
      <c r="E137" s="122" t="s">
        <v>433</v>
      </c>
      <c r="F137" s="91" t="s">
        <v>10</v>
      </c>
      <c r="G137" s="91">
        <v>22104</v>
      </c>
      <c r="H137" s="90" t="s">
        <v>197</v>
      </c>
      <c r="I137" s="91" t="s">
        <v>21</v>
      </c>
      <c r="J137" s="91">
        <v>44247</v>
      </c>
      <c r="K137" s="121">
        <v>61</v>
      </c>
      <c r="L137" s="91">
        <v>44530</v>
      </c>
      <c r="M137" s="91"/>
      <c r="N137" s="125">
        <v>0</v>
      </c>
      <c r="O137" s="92">
        <v>172.72</v>
      </c>
      <c r="Q137" s="14"/>
    </row>
    <row r="138" ht="15" customHeight="1">
      <c r="B138" s="13"/>
      <c r="C138" s="22" t="s">
        <v>400</v>
      </c>
      <c r="D138" s="90" t="s">
        <v>434</v>
      </c>
      <c r="E138" s="122" t="s">
        <v>435</v>
      </c>
      <c r="F138" s="91" t="s">
        <v>8</v>
      </c>
      <c r="G138" s="91">
        <v>22129</v>
      </c>
      <c r="H138" s="90" t="s">
        <v>187</v>
      </c>
      <c r="I138" s="91" t="s">
        <v>21</v>
      </c>
      <c r="J138" s="91">
        <v>43907</v>
      </c>
      <c r="K138" s="121">
        <v>60</v>
      </c>
      <c r="L138" s="91">
        <v>43999</v>
      </c>
      <c r="M138" s="91">
        <v>43999</v>
      </c>
      <c r="N138" s="125">
        <v>92</v>
      </c>
      <c r="O138" s="92">
        <v>490.42</v>
      </c>
      <c r="Q138" s="14"/>
    </row>
    <row r="139" ht="15" customHeight="1">
      <c r="B139" s="13"/>
      <c r="C139" s="22" t="s">
        <v>184</v>
      </c>
      <c r="D139" s="90" t="s">
        <v>436</v>
      </c>
      <c r="E139" s="122" t="s">
        <v>437</v>
      </c>
      <c r="F139" s="91" t="s">
        <v>8</v>
      </c>
      <c r="G139" s="91">
        <v>22179</v>
      </c>
      <c r="H139" s="90" t="s">
        <v>187</v>
      </c>
      <c r="I139" s="91" t="s">
        <v>21</v>
      </c>
      <c r="J139" s="91">
        <v>43896</v>
      </c>
      <c r="K139" s="121">
        <v>60</v>
      </c>
      <c r="L139" s="91">
        <v>44537</v>
      </c>
      <c r="M139" s="91"/>
      <c r="N139" s="125">
        <v>0</v>
      </c>
      <c r="O139" s="92">
        <v>12585.380000000001</v>
      </c>
      <c r="Q139" s="14"/>
    </row>
    <row r="140" ht="15" customHeight="1">
      <c r="B140" s="13"/>
      <c r="C140" s="22" t="s">
        <v>184</v>
      </c>
      <c r="D140" s="90" t="s">
        <v>438</v>
      </c>
      <c r="E140" s="122" t="s">
        <v>439</v>
      </c>
      <c r="F140" s="91" t="s">
        <v>8</v>
      </c>
      <c r="G140" s="91">
        <v>22189</v>
      </c>
      <c r="H140" s="90" t="s">
        <v>187</v>
      </c>
      <c r="I140" s="91" t="s">
        <v>21</v>
      </c>
      <c r="J140" s="91">
        <v>44235</v>
      </c>
      <c r="K140" s="121">
        <v>61</v>
      </c>
      <c r="L140" s="91">
        <v>44445</v>
      </c>
      <c r="M140" s="91">
        <v>44445</v>
      </c>
      <c r="N140" s="125">
        <v>210</v>
      </c>
      <c r="O140" s="92">
        <v>4067.0699999999997</v>
      </c>
      <c r="Q140" s="14"/>
    </row>
    <row r="141" ht="15" customHeight="1">
      <c r="B141" s="13"/>
      <c r="C141" s="22" t="s">
        <v>184</v>
      </c>
      <c r="D141" s="90" t="s">
        <v>440</v>
      </c>
      <c r="E141" s="122" t="s">
        <v>441</v>
      </c>
      <c r="F141" s="91" t="s">
        <v>8</v>
      </c>
      <c r="G141" s="91">
        <v>23196</v>
      </c>
      <c r="H141" s="90" t="s">
        <v>187</v>
      </c>
      <c r="I141" s="91" t="s">
        <v>21</v>
      </c>
      <c r="J141" s="91">
        <v>44375</v>
      </c>
      <c r="K141" s="121">
        <v>58</v>
      </c>
      <c r="L141" s="91">
        <v>44454</v>
      </c>
      <c r="M141" s="91">
        <v>44454</v>
      </c>
      <c r="N141" s="125">
        <v>79</v>
      </c>
      <c r="O141" s="92">
        <v>1061.5</v>
      </c>
      <c r="Q141" s="14"/>
    </row>
    <row r="142" ht="15" customHeight="1">
      <c r="B142" s="13"/>
      <c r="C142" s="22" t="s">
        <v>184</v>
      </c>
      <c r="D142" s="90" t="s">
        <v>442</v>
      </c>
      <c r="E142" s="122" t="s">
        <v>443</v>
      </c>
      <c r="F142" s="91" t="s">
        <v>8</v>
      </c>
      <c r="G142" s="91">
        <v>23216</v>
      </c>
      <c r="H142" s="90" t="s">
        <v>187</v>
      </c>
      <c r="I142" s="91" t="s">
        <v>21</v>
      </c>
      <c r="J142" s="91">
        <v>44154</v>
      </c>
      <c r="K142" s="121">
        <v>57</v>
      </c>
      <c r="L142" s="91">
        <v>44255</v>
      </c>
      <c r="M142" s="91">
        <v>44255</v>
      </c>
      <c r="N142" s="125">
        <v>101</v>
      </c>
      <c r="O142" s="92">
        <v>1460.8799999999999</v>
      </c>
      <c r="Q142" s="14"/>
    </row>
    <row r="143" ht="15" customHeight="1">
      <c r="B143" s="13"/>
      <c r="C143" s="22" t="s">
        <v>184</v>
      </c>
      <c r="D143" s="90" t="s">
        <v>444</v>
      </c>
      <c r="E143" s="122" t="s">
        <v>445</v>
      </c>
      <c r="F143" s="91" t="s">
        <v>8</v>
      </c>
      <c r="G143" s="91">
        <v>23214</v>
      </c>
      <c r="H143" s="90" t="s">
        <v>187</v>
      </c>
      <c r="I143" s="91" t="s">
        <v>21</v>
      </c>
      <c r="J143" s="91">
        <v>44260</v>
      </c>
      <c r="K143" s="121">
        <v>58</v>
      </c>
      <c r="L143" s="91">
        <v>44465</v>
      </c>
      <c r="M143" s="91">
        <v>44465</v>
      </c>
      <c r="N143" s="125">
        <v>205</v>
      </c>
      <c r="O143" s="92">
        <v>4896.32</v>
      </c>
      <c r="Q143" s="14"/>
    </row>
    <row r="144" ht="15" customHeight="1">
      <c r="B144" s="13"/>
      <c r="C144" s="22" t="s">
        <v>184</v>
      </c>
      <c r="D144" s="90" t="s">
        <v>446</v>
      </c>
      <c r="E144" s="122" t="s">
        <v>447</v>
      </c>
      <c r="F144" s="91" t="s">
        <v>8</v>
      </c>
      <c r="G144" s="91">
        <v>23237</v>
      </c>
      <c r="H144" s="90" t="s">
        <v>187</v>
      </c>
      <c r="I144" s="91" t="s">
        <v>21</v>
      </c>
      <c r="J144" s="91">
        <v>44308</v>
      </c>
      <c r="K144" s="121">
        <v>58</v>
      </c>
      <c r="L144" s="91">
        <v>44533</v>
      </c>
      <c r="M144" s="91"/>
      <c r="N144" s="125">
        <v>0</v>
      </c>
      <c r="O144" s="92">
        <v>5205.76</v>
      </c>
      <c r="Q144" s="14"/>
    </row>
    <row r="145" ht="15" customHeight="1">
      <c r="B145" s="13"/>
      <c r="C145" s="22" t="s">
        <v>184</v>
      </c>
      <c r="D145" s="90" t="s">
        <v>448</v>
      </c>
      <c r="E145" s="122" t="s">
        <v>449</v>
      </c>
      <c r="F145" s="91" t="s">
        <v>8</v>
      </c>
      <c r="G145" s="91">
        <v>23253</v>
      </c>
      <c r="H145" s="90" t="s">
        <v>187</v>
      </c>
      <c r="I145" s="91" t="s">
        <v>21</v>
      </c>
      <c r="J145" s="91">
        <v>44116</v>
      </c>
      <c r="K145" s="121">
        <v>57</v>
      </c>
      <c r="L145" s="91">
        <v>44155</v>
      </c>
      <c r="M145" s="91">
        <v>44155</v>
      </c>
      <c r="N145" s="125">
        <v>39</v>
      </c>
      <c r="O145" s="92">
        <v>148.7</v>
      </c>
      <c r="Q145" s="14"/>
    </row>
    <row r="146" ht="15" customHeight="1">
      <c r="B146" s="13"/>
      <c r="C146" s="22" t="s">
        <v>184</v>
      </c>
      <c r="D146" s="90" t="s">
        <v>450</v>
      </c>
      <c r="E146" s="122" t="s">
        <v>451</v>
      </c>
      <c r="F146" s="91" t="s">
        <v>8</v>
      </c>
      <c r="G146" s="91">
        <v>23239</v>
      </c>
      <c r="H146" s="90" t="s">
        <v>187</v>
      </c>
      <c r="I146" s="91" t="s">
        <v>21</v>
      </c>
      <c r="J146" s="91">
        <v>43999</v>
      </c>
      <c r="K146" s="121">
        <v>57</v>
      </c>
      <c r="L146" s="91">
        <v>44038</v>
      </c>
      <c r="M146" s="91">
        <v>44038</v>
      </c>
      <c r="N146" s="125">
        <v>39</v>
      </c>
      <c r="O146" s="92">
        <v>361</v>
      </c>
      <c r="Q146" s="14"/>
    </row>
    <row r="147" ht="15" customHeight="1">
      <c r="B147" s="13"/>
      <c r="C147" s="22" t="s">
        <v>184</v>
      </c>
      <c r="D147" s="90" t="s">
        <v>452</v>
      </c>
      <c r="E147" s="122" t="s">
        <v>453</v>
      </c>
      <c r="F147" s="91" t="s">
        <v>8</v>
      </c>
      <c r="G147" s="91">
        <v>23282</v>
      </c>
      <c r="H147" s="90" t="s">
        <v>187</v>
      </c>
      <c r="I147" s="91" t="s">
        <v>21</v>
      </c>
      <c r="J147" s="91">
        <v>44139</v>
      </c>
      <c r="K147" s="121">
        <v>57</v>
      </c>
      <c r="L147" s="91">
        <v>44251</v>
      </c>
      <c r="M147" s="91">
        <v>44251</v>
      </c>
      <c r="N147" s="125">
        <v>112</v>
      </c>
      <c r="O147" s="92">
        <v>4513.64</v>
      </c>
      <c r="Q147" s="14"/>
    </row>
    <row r="148" ht="15" customHeight="1">
      <c r="B148" s="13"/>
      <c r="C148" s="22" t="s">
        <v>184</v>
      </c>
      <c r="D148" s="90" t="s">
        <v>454</v>
      </c>
      <c r="E148" s="122" t="s">
        <v>455</v>
      </c>
      <c r="F148" s="91" t="s">
        <v>8</v>
      </c>
      <c r="G148" s="91">
        <v>23287</v>
      </c>
      <c r="H148" s="90" t="s">
        <v>187</v>
      </c>
      <c r="I148" s="91" t="s">
        <v>21</v>
      </c>
      <c r="J148" s="91">
        <v>44421</v>
      </c>
      <c r="K148" s="121">
        <v>58</v>
      </c>
      <c r="L148" s="91">
        <v>44530</v>
      </c>
      <c r="M148" s="91"/>
      <c r="N148" s="125">
        <v>0</v>
      </c>
      <c r="O148" s="92">
        <v>6053.6</v>
      </c>
      <c r="Q148" s="14"/>
    </row>
    <row r="149" ht="15" customHeight="1">
      <c r="B149" s="13"/>
      <c r="C149" s="22" t="s">
        <v>184</v>
      </c>
      <c r="D149" s="90" t="s">
        <v>456</v>
      </c>
      <c r="E149" s="122" t="s">
        <v>457</v>
      </c>
      <c r="F149" s="91" t="s">
        <v>8</v>
      </c>
      <c r="G149" s="91">
        <v>23330</v>
      </c>
      <c r="H149" s="90" t="s">
        <v>187</v>
      </c>
      <c r="I149" s="91" t="s">
        <v>21</v>
      </c>
      <c r="J149" s="91">
        <v>44208</v>
      </c>
      <c r="K149" s="121">
        <v>58</v>
      </c>
      <c r="L149" s="91">
        <v>44315</v>
      </c>
      <c r="M149" s="91">
        <v>44315</v>
      </c>
      <c r="N149" s="125">
        <v>107</v>
      </c>
      <c r="O149" s="92">
        <v>1073.28</v>
      </c>
      <c r="Q149" s="14"/>
    </row>
    <row r="150" ht="15" customHeight="1">
      <c r="B150" s="13"/>
      <c r="C150" s="22" t="s">
        <v>184</v>
      </c>
      <c r="D150" s="90" t="s">
        <v>458</v>
      </c>
      <c r="E150" s="122" t="s">
        <v>459</v>
      </c>
      <c r="F150" s="91" t="s">
        <v>8</v>
      </c>
      <c r="G150" s="91">
        <v>23326</v>
      </c>
      <c r="H150" s="90" t="s">
        <v>187</v>
      </c>
      <c r="I150" s="91" t="s">
        <v>21</v>
      </c>
      <c r="J150" s="91">
        <v>43899</v>
      </c>
      <c r="K150" s="121">
        <v>57</v>
      </c>
      <c r="L150" s="91">
        <v>43994</v>
      </c>
      <c r="M150" s="91">
        <v>43994</v>
      </c>
      <c r="N150" s="125">
        <v>95</v>
      </c>
      <c r="O150" s="92">
        <v>630.3</v>
      </c>
      <c r="Q150" s="14"/>
    </row>
    <row r="151" ht="15" customHeight="1">
      <c r="B151" s="13"/>
      <c r="C151" s="22" t="s">
        <v>184</v>
      </c>
      <c r="D151" s="90" t="s">
        <v>460</v>
      </c>
      <c r="E151" s="122" t="s">
        <v>461</v>
      </c>
      <c r="F151" s="91" t="s">
        <v>8</v>
      </c>
      <c r="G151" s="91">
        <v>22398</v>
      </c>
      <c r="H151" s="90" t="s">
        <v>187</v>
      </c>
      <c r="I151" s="91" t="s">
        <v>21</v>
      </c>
      <c r="J151" s="91">
        <v>43836</v>
      </c>
      <c r="K151" s="121">
        <v>59</v>
      </c>
      <c r="L151" s="91">
        <v>44526</v>
      </c>
      <c r="M151" s="91"/>
      <c r="N151" s="125">
        <v>0</v>
      </c>
      <c r="O151" s="92">
        <v>10116.48</v>
      </c>
      <c r="Q151" s="14"/>
    </row>
    <row r="152" ht="15" customHeight="1">
      <c r="B152" s="13"/>
      <c r="C152" s="22" t="s">
        <v>184</v>
      </c>
      <c r="D152" s="90" t="s">
        <v>462</v>
      </c>
      <c r="E152" s="122" t="s">
        <v>463</v>
      </c>
      <c r="F152" s="91" t="s">
        <v>8</v>
      </c>
      <c r="G152" s="91">
        <v>22409</v>
      </c>
      <c r="H152" s="90" t="s">
        <v>187</v>
      </c>
      <c r="I152" s="91" t="s">
        <v>21</v>
      </c>
      <c r="J152" s="91">
        <v>44382</v>
      </c>
      <c r="K152" s="121">
        <v>60</v>
      </c>
      <c r="L152" s="91">
        <v>44518</v>
      </c>
      <c r="M152" s="91"/>
      <c r="N152" s="125">
        <v>0</v>
      </c>
      <c r="O152" s="92">
        <v>2603.31</v>
      </c>
      <c r="Q152" s="14"/>
    </row>
    <row r="153" ht="15" customHeight="1">
      <c r="B153" s="13"/>
      <c r="C153" s="22" t="s">
        <v>184</v>
      </c>
      <c r="D153" s="90" t="s">
        <v>464</v>
      </c>
      <c r="E153" s="122" t="s">
        <v>465</v>
      </c>
      <c r="F153" s="91" t="s">
        <v>8</v>
      </c>
      <c r="G153" s="91">
        <v>22410</v>
      </c>
      <c r="H153" s="90" t="s">
        <v>187</v>
      </c>
      <c r="I153" s="91" t="s">
        <v>21</v>
      </c>
      <c r="J153" s="91">
        <v>44253</v>
      </c>
      <c r="K153" s="121">
        <v>60</v>
      </c>
      <c r="L153" s="91">
        <v>44530</v>
      </c>
      <c r="M153" s="91"/>
      <c r="N153" s="125">
        <v>0</v>
      </c>
      <c r="O153" s="92">
        <v>9684.4000000000015</v>
      </c>
      <c r="Q153" s="14"/>
    </row>
    <row r="154" ht="15" customHeight="1">
      <c r="B154" s="13"/>
      <c r="C154" s="22" t="s">
        <v>184</v>
      </c>
      <c r="D154" s="90" t="s">
        <v>466</v>
      </c>
      <c r="E154" s="122" t="s">
        <v>467</v>
      </c>
      <c r="F154" s="91" t="s">
        <v>8</v>
      </c>
      <c r="G154" s="91">
        <v>22433</v>
      </c>
      <c r="H154" s="90" t="s">
        <v>187</v>
      </c>
      <c r="I154" s="91" t="s">
        <v>21</v>
      </c>
      <c r="J154" s="91">
        <v>44013</v>
      </c>
      <c r="K154" s="121">
        <v>59</v>
      </c>
      <c r="L154" s="91">
        <v>44194</v>
      </c>
      <c r="M154" s="91">
        <v>44194</v>
      </c>
      <c r="N154" s="125">
        <v>181</v>
      </c>
      <c r="O154" s="92">
        <v>3970.24</v>
      </c>
      <c r="Q154" s="14"/>
    </row>
    <row r="155" ht="15" customHeight="1">
      <c r="B155" s="13"/>
      <c r="C155" s="22" t="s">
        <v>184</v>
      </c>
      <c r="D155" s="90" t="s">
        <v>468</v>
      </c>
      <c r="E155" s="122" t="s">
        <v>469</v>
      </c>
      <c r="F155" s="91" t="s">
        <v>8</v>
      </c>
      <c r="G155" s="91">
        <v>22490</v>
      </c>
      <c r="H155" s="90" t="s">
        <v>187</v>
      </c>
      <c r="I155" s="91" t="s">
        <v>21</v>
      </c>
      <c r="J155" s="91">
        <v>44126</v>
      </c>
      <c r="K155" s="121">
        <v>59</v>
      </c>
      <c r="L155" s="91">
        <v>44347</v>
      </c>
      <c r="M155" s="91">
        <v>44347</v>
      </c>
      <c r="N155" s="125">
        <v>221</v>
      </c>
      <c r="O155" s="92">
        <v>1543.68</v>
      </c>
      <c r="Q155" s="14"/>
    </row>
    <row r="156" ht="15" customHeight="1">
      <c r="B156" s="13"/>
      <c r="C156" s="22" t="s">
        <v>184</v>
      </c>
      <c r="D156" s="90" t="s">
        <v>470</v>
      </c>
      <c r="E156" s="122" t="s">
        <v>471</v>
      </c>
      <c r="F156" s="91" t="s">
        <v>8</v>
      </c>
      <c r="G156" s="91">
        <v>22501</v>
      </c>
      <c r="H156" s="90" t="s">
        <v>187</v>
      </c>
      <c r="I156" s="91" t="s">
        <v>21</v>
      </c>
      <c r="J156" s="91">
        <v>44013</v>
      </c>
      <c r="K156" s="121">
        <v>59</v>
      </c>
      <c r="L156" s="91">
        <v>44526</v>
      </c>
      <c r="M156" s="91"/>
      <c r="N156" s="125">
        <v>0</v>
      </c>
      <c r="O156" s="92">
        <v>4278</v>
      </c>
      <c r="Q156" s="14"/>
    </row>
    <row r="157" ht="15" customHeight="1">
      <c r="B157" s="13"/>
      <c r="C157" s="22" t="s">
        <v>184</v>
      </c>
      <c r="D157" s="90" t="s">
        <v>472</v>
      </c>
      <c r="E157" s="122" t="s">
        <v>473</v>
      </c>
      <c r="F157" s="91" t="s">
        <v>8</v>
      </c>
      <c r="G157" s="91">
        <v>22511</v>
      </c>
      <c r="H157" s="90" t="s">
        <v>187</v>
      </c>
      <c r="I157" s="91" t="s">
        <v>21</v>
      </c>
      <c r="J157" s="91">
        <v>44263</v>
      </c>
      <c r="K157" s="121">
        <v>60</v>
      </c>
      <c r="L157" s="91">
        <v>44474</v>
      </c>
      <c r="M157" s="91">
        <v>44474</v>
      </c>
      <c r="N157" s="125">
        <v>211</v>
      </c>
      <c r="O157" s="92">
        <v>1496.04</v>
      </c>
      <c r="Q157" s="14"/>
    </row>
    <row r="158" ht="15" customHeight="1">
      <c r="B158" s="13"/>
      <c r="C158" s="22" t="s">
        <v>184</v>
      </c>
      <c r="D158" s="90" t="s">
        <v>474</v>
      </c>
      <c r="E158" s="122" t="s">
        <v>475</v>
      </c>
      <c r="F158" s="91" t="s">
        <v>8</v>
      </c>
      <c r="G158" s="91">
        <v>22500</v>
      </c>
      <c r="H158" s="90" t="s">
        <v>187</v>
      </c>
      <c r="I158" s="91" t="s">
        <v>21</v>
      </c>
      <c r="J158" s="91">
        <v>43907</v>
      </c>
      <c r="K158" s="121">
        <v>59</v>
      </c>
      <c r="L158" s="91">
        <v>43961</v>
      </c>
      <c r="M158" s="91">
        <v>43961</v>
      </c>
      <c r="N158" s="125">
        <v>54</v>
      </c>
      <c r="O158" s="92">
        <v>476.75</v>
      </c>
      <c r="Q158" s="14"/>
    </row>
    <row r="159" ht="15" customHeight="1">
      <c r="B159" s="13"/>
      <c r="C159" s="22" t="s">
        <v>184</v>
      </c>
      <c r="D159" s="90" t="s">
        <v>476</v>
      </c>
      <c r="E159" s="122" t="s">
        <v>477</v>
      </c>
      <c r="F159" s="91" t="s">
        <v>8</v>
      </c>
      <c r="G159" s="91">
        <v>22506</v>
      </c>
      <c r="H159" s="90" t="s">
        <v>187</v>
      </c>
      <c r="I159" s="91" t="s">
        <v>21</v>
      </c>
      <c r="J159" s="91">
        <v>44304</v>
      </c>
      <c r="K159" s="121">
        <v>60</v>
      </c>
      <c r="L159" s="91">
        <v>44358</v>
      </c>
      <c r="M159" s="91">
        <v>44358</v>
      </c>
      <c r="N159" s="125">
        <v>54</v>
      </c>
      <c r="O159" s="92">
        <v>1354.25</v>
      </c>
      <c r="Q159" s="14"/>
    </row>
    <row r="160" ht="15" customHeight="1">
      <c r="B160" s="13"/>
      <c r="C160" s="22" t="s">
        <v>184</v>
      </c>
      <c r="D160" s="90" t="s">
        <v>478</v>
      </c>
      <c r="E160" s="122" t="s">
        <v>479</v>
      </c>
      <c r="F160" s="91" t="s">
        <v>8</v>
      </c>
      <c r="G160" s="91">
        <v>22501</v>
      </c>
      <c r="H160" s="90" t="s">
        <v>187</v>
      </c>
      <c r="I160" s="91" t="s">
        <v>21</v>
      </c>
      <c r="J160" s="91">
        <v>44225</v>
      </c>
      <c r="K160" s="121">
        <v>60</v>
      </c>
      <c r="L160" s="91">
        <v>44262</v>
      </c>
      <c r="M160" s="91">
        <v>44262</v>
      </c>
      <c r="N160" s="125">
        <v>37</v>
      </c>
      <c r="O160" s="92">
        <v>252.72</v>
      </c>
      <c r="Q160" s="14"/>
    </row>
    <row r="161" ht="15" customHeight="1">
      <c r="B161" s="13"/>
      <c r="C161" s="22" t="s">
        <v>184</v>
      </c>
      <c r="D161" s="90" t="s">
        <v>480</v>
      </c>
      <c r="E161" s="122" t="s">
        <v>479</v>
      </c>
      <c r="F161" s="91" t="s">
        <v>8</v>
      </c>
      <c r="G161" s="91">
        <v>22501</v>
      </c>
      <c r="H161" s="90" t="s">
        <v>187</v>
      </c>
      <c r="I161" s="91" t="s">
        <v>21</v>
      </c>
      <c r="J161" s="91">
        <v>44482</v>
      </c>
      <c r="K161" s="121">
        <v>60</v>
      </c>
      <c r="L161" s="91">
        <v>44531</v>
      </c>
      <c r="M161" s="91"/>
      <c r="N161" s="125">
        <v>0</v>
      </c>
      <c r="O161" s="92">
        <v>708.8</v>
      </c>
      <c r="Q161" s="14"/>
    </row>
    <row r="162" ht="15" customHeight="1">
      <c r="B162" s="13"/>
      <c r="C162" s="22" t="s">
        <v>184</v>
      </c>
      <c r="D162" s="90" t="s">
        <v>481</v>
      </c>
      <c r="E162" s="122" t="s">
        <v>482</v>
      </c>
      <c r="F162" s="91" t="s">
        <v>8</v>
      </c>
      <c r="G162" s="91">
        <v>22512</v>
      </c>
      <c r="H162" s="90" t="s">
        <v>187</v>
      </c>
      <c r="I162" s="91" t="s">
        <v>21</v>
      </c>
      <c r="J162" s="91">
        <v>44020</v>
      </c>
      <c r="K162" s="121">
        <v>59</v>
      </c>
      <c r="L162" s="91">
        <v>44126</v>
      </c>
      <c r="M162" s="91">
        <v>44126</v>
      </c>
      <c r="N162" s="125">
        <v>106</v>
      </c>
      <c r="O162" s="92">
        <v>0</v>
      </c>
      <c r="Q162" s="14"/>
    </row>
    <row r="163" ht="15" customHeight="1">
      <c r="B163" s="13"/>
      <c r="C163" s="22" t="s">
        <v>483</v>
      </c>
      <c r="D163" s="90" t="s">
        <v>484</v>
      </c>
      <c r="E163" s="122" t="s">
        <v>485</v>
      </c>
      <c r="F163" s="91" t="s">
        <v>8</v>
      </c>
      <c r="G163" s="91">
        <v>22550</v>
      </c>
      <c r="H163" s="90" t="s">
        <v>197</v>
      </c>
      <c r="I163" s="91" t="s">
        <v>21</v>
      </c>
      <c r="J163" s="91">
        <v>44207</v>
      </c>
      <c r="K163" s="121">
        <v>60</v>
      </c>
      <c r="L163" s="91">
        <v>44276</v>
      </c>
      <c r="M163" s="91">
        <v>44276</v>
      </c>
      <c r="N163" s="125">
        <v>69</v>
      </c>
      <c r="O163" s="92">
        <v>2372.7</v>
      </c>
      <c r="Q163" s="14"/>
    </row>
    <row r="164" ht="15" customHeight="1">
      <c r="B164" s="13"/>
      <c r="C164" s="22" t="s">
        <v>184</v>
      </c>
      <c r="D164" s="90" t="s">
        <v>486</v>
      </c>
      <c r="E164" s="122" t="s">
        <v>487</v>
      </c>
      <c r="F164" s="91" t="s">
        <v>8</v>
      </c>
      <c r="G164" s="91">
        <v>22538</v>
      </c>
      <c r="H164" s="90" t="s">
        <v>197</v>
      </c>
      <c r="I164" s="91" t="s">
        <v>21</v>
      </c>
      <c r="J164" s="91">
        <v>44241</v>
      </c>
      <c r="K164" s="121">
        <v>60</v>
      </c>
      <c r="L164" s="91">
        <v>44294</v>
      </c>
      <c r="M164" s="91">
        <v>44294</v>
      </c>
      <c r="N164" s="125">
        <v>53</v>
      </c>
      <c r="O164" s="92">
        <v>0</v>
      </c>
      <c r="Q164" s="14"/>
    </row>
    <row r="165" ht="15" customHeight="1">
      <c r="B165" s="13"/>
      <c r="C165" s="22" t="s">
        <v>184</v>
      </c>
      <c r="D165" s="90" t="s">
        <v>488</v>
      </c>
      <c r="E165" s="122" t="s">
        <v>489</v>
      </c>
      <c r="F165" s="91" t="s">
        <v>8</v>
      </c>
      <c r="G165" s="91">
        <v>22536</v>
      </c>
      <c r="H165" s="90" t="s">
        <v>187</v>
      </c>
      <c r="I165" s="91" t="s">
        <v>21</v>
      </c>
      <c r="J165" s="91">
        <v>44323</v>
      </c>
      <c r="K165" s="121">
        <v>60</v>
      </c>
      <c r="L165" s="91">
        <v>44439</v>
      </c>
      <c r="M165" s="91">
        <v>44439</v>
      </c>
      <c r="N165" s="125">
        <v>116</v>
      </c>
      <c r="O165" s="92">
        <v>1402.44</v>
      </c>
      <c r="Q165" s="14"/>
    </row>
    <row r="166" ht="15" customHeight="1">
      <c r="B166" s="13"/>
      <c r="C166" s="22" t="s">
        <v>184</v>
      </c>
      <c r="D166" s="90" t="s">
        <v>490</v>
      </c>
      <c r="E166" s="122" t="s">
        <v>491</v>
      </c>
      <c r="F166" s="91" t="s">
        <v>8</v>
      </c>
      <c r="G166" s="91">
        <v>22527</v>
      </c>
      <c r="H166" s="90" t="s">
        <v>197</v>
      </c>
      <c r="I166" s="91" t="s">
        <v>21</v>
      </c>
      <c r="J166" s="91">
        <v>44076</v>
      </c>
      <c r="K166" s="121">
        <v>59</v>
      </c>
      <c r="L166" s="91">
        <v>44206</v>
      </c>
      <c r="M166" s="91">
        <v>44206</v>
      </c>
      <c r="N166" s="125">
        <v>130</v>
      </c>
      <c r="O166" s="92">
        <v>1140.36</v>
      </c>
      <c r="Q166" s="14"/>
    </row>
    <row r="167" ht="15" customHeight="1">
      <c r="B167" s="13"/>
      <c r="C167" s="22" t="s">
        <v>184</v>
      </c>
      <c r="D167" s="90" t="s">
        <v>492</v>
      </c>
      <c r="E167" s="122" t="s">
        <v>491</v>
      </c>
      <c r="F167" s="91" t="s">
        <v>8</v>
      </c>
      <c r="G167" s="91">
        <v>22527</v>
      </c>
      <c r="H167" s="90" t="s">
        <v>197</v>
      </c>
      <c r="I167" s="91" t="s">
        <v>21</v>
      </c>
      <c r="J167" s="91">
        <v>44208</v>
      </c>
      <c r="K167" s="121">
        <v>60</v>
      </c>
      <c r="L167" s="91">
        <v>44532</v>
      </c>
      <c r="M167" s="91"/>
      <c r="N167" s="125">
        <v>0</v>
      </c>
      <c r="O167" s="92">
        <v>7744.76</v>
      </c>
      <c r="Q167" s="14"/>
    </row>
    <row r="168" ht="15" customHeight="1">
      <c r="B168" s="13"/>
      <c r="C168" s="22" t="s">
        <v>184</v>
      </c>
      <c r="D168" s="90" t="s">
        <v>493</v>
      </c>
      <c r="E168" s="122" t="s">
        <v>494</v>
      </c>
      <c r="F168" s="91" t="s">
        <v>8</v>
      </c>
      <c r="G168" s="91">
        <v>22573</v>
      </c>
      <c r="H168" s="90" t="s">
        <v>187</v>
      </c>
      <c r="I168" s="91" t="s">
        <v>21</v>
      </c>
      <c r="J168" s="91">
        <v>44203</v>
      </c>
      <c r="K168" s="121">
        <v>60</v>
      </c>
      <c r="L168" s="91">
        <v>44530</v>
      </c>
      <c r="M168" s="91"/>
      <c r="N168" s="125">
        <v>0</v>
      </c>
      <c r="O168" s="92">
        <v>8627.0999999999985</v>
      </c>
      <c r="Q168" s="14"/>
    </row>
    <row r="169" ht="15" customHeight="1">
      <c r="B169" s="13"/>
      <c r="C169" s="22" t="s">
        <v>184</v>
      </c>
      <c r="D169" s="90" t="s">
        <v>495</v>
      </c>
      <c r="E169" s="122" t="s">
        <v>496</v>
      </c>
      <c r="F169" s="91" t="s">
        <v>8</v>
      </c>
      <c r="G169" s="91">
        <v>22605</v>
      </c>
      <c r="H169" s="90" t="s">
        <v>187</v>
      </c>
      <c r="I169" s="91" t="s">
        <v>21</v>
      </c>
      <c r="J169" s="91">
        <v>44172</v>
      </c>
      <c r="K169" s="121">
        <v>59</v>
      </c>
      <c r="L169" s="91">
        <v>44538</v>
      </c>
      <c r="M169" s="91"/>
      <c r="N169" s="125">
        <v>0</v>
      </c>
      <c r="O169" s="92">
        <v>9594.39</v>
      </c>
      <c r="Q169" s="14"/>
    </row>
    <row r="170" ht="15" customHeight="1">
      <c r="B170" s="13"/>
      <c r="C170" s="22" t="s">
        <v>184</v>
      </c>
      <c r="D170" s="90" t="s">
        <v>497</v>
      </c>
      <c r="E170" s="122" t="s">
        <v>498</v>
      </c>
      <c r="F170" s="91" t="s">
        <v>8</v>
      </c>
      <c r="G170" s="91">
        <v>22675</v>
      </c>
      <c r="H170" s="90" t="s">
        <v>187</v>
      </c>
      <c r="I170" s="91" t="s">
        <v>21</v>
      </c>
      <c r="J170" s="91">
        <v>44320</v>
      </c>
      <c r="K170" s="121">
        <v>59</v>
      </c>
      <c r="L170" s="91">
        <v>44537</v>
      </c>
      <c r="M170" s="91"/>
      <c r="N170" s="125">
        <v>0</v>
      </c>
      <c r="O170" s="92">
        <v>3481.7599999999993</v>
      </c>
      <c r="Q170" s="14"/>
    </row>
    <row r="171" ht="15" customHeight="1">
      <c r="B171" s="13"/>
      <c r="C171" s="22" t="s">
        <v>184</v>
      </c>
      <c r="D171" s="90" t="s">
        <v>499</v>
      </c>
      <c r="E171" s="122" t="s">
        <v>500</v>
      </c>
      <c r="F171" s="91" t="s">
        <v>8</v>
      </c>
      <c r="G171" s="91">
        <v>22694</v>
      </c>
      <c r="H171" s="90" t="s">
        <v>187</v>
      </c>
      <c r="I171" s="91" t="s">
        <v>21</v>
      </c>
      <c r="J171" s="91">
        <v>44313</v>
      </c>
      <c r="K171" s="121">
        <v>59</v>
      </c>
      <c r="L171" s="91">
        <v>44528</v>
      </c>
      <c r="M171" s="91"/>
      <c r="N171" s="125">
        <v>0</v>
      </c>
      <c r="O171" s="92">
        <v>5059.2000000000007</v>
      </c>
      <c r="Q171" s="14"/>
    </row>
    <row r="172" ht="15" customHeight="1">
      <c r="B172" s="13"/>
      <c r="C172" s="22" t="s">
        <v>200</v>
      </c>
      <c r="D172" s="90" t="s">
        <v>501</v>
      </c>
      <c r="E172" s="122" t="s">
        <v>502</v>
      </c>
      <c r="F172" s="91" t="s">
        <v>10</v>
      </c>
      <c r="G172" s="91">
        <v>22756</v>
      </c>
      <c r="H172" s="90" t="s">
        <v>187</v>
      </c>
      <c r="I172" s="91" t="s">
        <v>21</v>
      </c>
      <c r="J172" s="91">
        <v>44410</v>
      </c>
      <c r="K172" s="121">
        <v>59</v>
      </c>
      <c r="L172" s="91">
        <v>44476</v>
      </c>
      <c r="M172" s="91">
        <v>44476</v>
      </c>
      <c r="N172" s="125">
        <v>66</v>
      </c>
      <c r="O172" s="92">
        <v>1304.25</v>
      </c>
      <c r="Q172" s="14"/>
    </row>
    <row r="173" ht="15" customHeight="1">
      <c r="B173" s="13"/>
      <c r="C173" s="22" t="s">
        <v>135</v>
      </c>
      <c r="D173" s="90" t="s">
        <v>503</v>
      </c>
      <c r="E173" s="122" t="s">
        <v>504</v>
      </c>
      <c r="F173" s="91" t="s">
        <v>8</v>
      </c>
      <c r="G173" s="91">
        <v>22753</v>
      </c>
      <c r="H173" s="90" t="s">
        <v>187</v>
      </c>
      <c r="I173" s="91" t="s">
        <v>21</v>
      </c>
      <c r="J173" s="91">
        <v>44263</v>
      </c>
      <c r="K173" s="121">
        <v>59</v>
      </c>
      <c r="L173" s="91">
        <v>44530</v>
      </c>
      <c r="M173" s="91"/>
      <c r="N173" s="125">
        <v>0</v>
      </c>
      <c r="O173" s="92">
        <v>16236.000000000002</v>
      </c>
      <c r="Q173" s="14"/>
    </row>
    <row r="174" ht="15" customHeight="1">
      <c r="B174" s="13"/>
      <c r="C174" s="22" t="s">
        <v>184</v>
      </c>
      <c r="D174" s="90" t="s">
        <v>505</v>
      </c>
      <c r="E174" s="122" t="s">
        <v>506</v>
      </c>
      <c r="F174" s="91" t="s">
        <v>8</v>
      </c>
      <c r="G174" s="91">
        <v>22790</v>
      </c>
      <c r="H174" s="90" t="s">
        <v>187</v>
      </c>
      <c r="I174" s="91" t="s">
        <v>21</v>
      </c>
      <c r="J174" s="91">
        <v>44167</v>
      </c>
      <c r="K174" s="121">
        <v>58</v>
      </c>
      <c r="L174" s="91">
        <v>44304</v>
      </c>
      <c r="M174" s="91">
        <v>44304</v>
      </c>
      <c r="N174" s="125">
        <v>137</v>
      </c>
      <c r="O174" s="92">
        <v>0</v>
      </c>
      <c r="Q174" s="14"/>
    </row>
    <row r="175" ht="15" customHeight="1">
      <c r="B175" s="13"/>
      <c r="C175" s="22" t="s">
        <v>184</v>
      </c>
      <c r="D175" s="90" t="s">
        <v>507</v>
      </c>
      <c r="E175" s="122" t="s">
        <v>508</v>
      </c>
      <c r="F175" s="91" t="s">
        <v>8</v>
      </c>
      <c r="G175" s="91">
        <v>22817</v>
      </c>
      <c r="H175" s="90" t="s">
        <v>187</v>
      </c>
      <c r="I175" s="91" t="s">
        <v>21</v>
      </c>
      <c r="J175" s="91">
        <v>44399</v>
      </c>
      <c r="K175" s="121">
        <v>59</v>
      </c>
      <c r="L175" s="91">
        <v>44451</v>
      </c>
      <c r="M175" s="91">
        <v>44451</v>
      </c>
      <c r="N175" s="125">
        <v>52</v>
      </c>
      <c r="O175" s="92">
        <v>506.92</v>
      </c>
      <c r="Q175" s="14"/>
    </row>
    <row r="176" ht="15" customHeight="1">
      <c r="B176" s="13"/>
      <c r="C176" s="22" t="s">
        <v>184</v>
      </c>
      <c r="D176" s="90" t="s">
        <v>509</v>
      </c>
      <c r="E176" s="122" t="s">
        <v>510</v>
      </c>
      <c r="F176" s="91" t="s">
        <v>8</v>
      </c>
      <c r="G176" s="91">
        <v>22824</v>
      </c>
      <c r="H176" s="90" t="s">
        <v>197</v>
      </c>
      <c r="I176" s="91" t="s">
        <v>21</v>
      </c>
      <c r="J176" s="91">
        <v>44054</v>
      </c>
      <c r="K176" s="121">
        <v>58</v>
      </c>
      <c r="L176" s="91">
        <v>44439</v>
      </c>
      <c r="M176" s="91">
        <v>44439</v>
      </c>
      <c r="N176" s="125">
        <v>385</v>
      </c>
      <c r="O176" s="92">
        <v>13646.240000000002</v>
      </c>
      <c r="Q176" s="14"/>
    </row>
    <row r="177" ht="15" customHeight="1">
      <c r="B177" s="13"/>
      <c r="C177" s="22" t="s">
        <v>184</v>
      </c>
      <c r="D177" s="90" t="s">
        <v>511</v>
      </c>
      <c r="E177" s="122" t="s">
        <v>512</v>
      </c>
      <c r="F177" s="91" t="s">
        <v>8</v>
      </c>
      <c r="G177" s="91">
        <v>22798</v>
      </c>
      <c r="H177" s="90" t="s">
        <v>187</v>
      </c>
      <c r="I177" s="91" t="s">
        <v>21</v>
      </c>
      <c r="J177" s="91">
        <v>44315</v>
      </c>
      <c r="K177" s="121">
        <v>59</v>
      </c>
      <c r="L177" s="91">
        <v>44522</v>
      </c>
      <c r="M177" s="91"/>
      <c r="N177" s="125">
        <v>0</v>
      </c>
      <c r="O177" s="92">
        <v>3177.2999999999997</v>
      </c>
      <c r="Q177" s="14"/>
    </row>
    <row r="178" ht="15" customHeight="1">
      <c r="B178" s="13"/>
      <c r="C178" s="22" t="s">
        <v>184</v>
      </c>
      <c r="D178" s="90" t="s">
        <v>513</v>
      </c>
      <c r="E178" s="122" t="s">
        <v>514</v>
      </c>
      <c r="F178" s="91" t="s">
        <v>8</v>
      </c>
      <c r="G178" s="91">
        <v>22851</v>
      </c>
      <c r="H178" s="90" t="s">
        <v>187</v>
      </c>
      <c r="I178" s="91" t="s">
        <v>21</v>
      </c>
      <c r="J178" s="91">
        <v>44257</v>
      </c>
      <c r="K178" s="121">
        <v>59</v>
      </c>
      <c r="L178" s="91">
        <v>44358</v>
      </c>
      <c r="M178" s="91">
        <v>44358</v>
      </c>
      <c r="N178" s="125">
        <v>101</v>
      </c>
      <c r="O178" s="92">
        <v>1606.32</v>
      </c>
      <c r="Q178" s="14"/>
    </row>
    <row r="179" ht="15" customHeight="1">
      <c r="B179" s="13"/>
      <c r="C179" s="22" t="s">
        <v>184</v>
      </c>
      <c r="D179" s="90" t="s">
        <v>515</v>
      </c>
      <c r="E179" s="122" t="s">
        <v>516</v>
      </c>
      <c r="F179" s="91" t="s">
        <v>8</v>
      </c>
      <c r="G179" s="91">
        <v>22882</v>
      </c>
      <c r="H179" s="90" t="s">
        <v>187</v>
      </c>
      <c r="I179" s="91" t="s">
        <v>21</v>
      </c>
      <c r="J179" s="91">
        <v>44258</v>
      </c>
      <c r="K179" s="121">
        <v>59</v>
      </c>
      <c r="L179" s="91">
        <v>44386</v>
      </c>
      <c r="M179" s="91">
        <v>44386</v>
      </c>
      <c r="N179" s="125">
        <v>128</v>
      </c>
      <c r="O179" s="92">
        <v>3265.02</v>
      </c>
      <c r="Q179" s="14"/>
    </row>
    <row r="180" ht="15" customHeight="1">
      <c r="B180" s="13"/>
      <c r="C180" s="22" t="s">
        <v>184</v>
      </c>
      <c r="D180" s="90" t="s">
        <v>517</v>
      </c>
      <c r="E180" s="122" t="s">
        <v>518</v>
      </c>
      <c r="F180" s="91" t="s">
        <v>8</v>
      </c>
      <c r="G180" s="91">
        <v>22915</v>
      </c>
      <c r="H180" s="90" t="s">
        <v>187</v>
      </c>
      <c r="I180" s="91" t="s">
        <v>21</v>
      </c>
      <c r="J180" s="91">
        <v>44429</v>
      </c>
      <c r="K180" s="121">
        <v>59</v>
      </c>
      <c r="L180" s="91">
        <v>44504</v>
      </c>
      <c r="M180" s="91">
        <v>44504</v>
      </c>
      <c r="N180" s="125">
        <v>75</v>
      </c>
      <c r="O180" s="92">
        <v>1305.9399999999998</v>
      </c>
      <c r="Q180" s="14"/>
    </row>
    <row r="181" ht="15" customHeight="1">
      <c r="B181" s="13"/>
      <c r="C181" s="22" t="s">
        <v>184</v>
      </c>
      <c r="D181" s="90" t="s">
        <v>519</v>
      </c>
      <c r="E181" s="122" t="s">
        <v>520</v>
      </c>
      <c r="F181" s="91" t="s">
        <v>8</v>
      </c>
      <c r="G181" s="91">
        <v>22898</v>
      </c>
      <c r="H181" s="90" t="s">
        <v>187</v>
      </c>
      <c r="I181" s="91" t="s">
        <v>21</v>
      </c>
      <c r="J181" s="91">
        <v>44165</v>
      </c>
      <c r="K181" s="121">
        <v>58</v>
      </c>
      <c r="L181" s="91">
        <v>44377</v>
      </c>
      <c r="M181" s="91">
        <v>44377</v>
      </c>
      <c r="N181" s="125">
        <v>212</v>
      </c>
      <c r="O181" s="92">
        <v>3965.6099999999997</v>
      </c>
      <c r="Q181" s="14"/>
    </row>
    <row r="182" ht="15" customHeight="1">
      <c r="B182" s="13"/>
      <c r="C182" s="22" t="s">
        <v>184</v>
      </c>
      <c r="D182" s="90" t="s">
        <v>521</v>
      </c>
      <c r="E182" s="122" t="s">
        <v>522</v>
      </c>
      <c r="F182" s="91" t="s">
        <v>8</v>
      </c>
      <c r="G182" s="91">
        <v>22893</v>
      </c>
      <c r="H182" s="90" t="s">
        <v>187</v>
      </c>
      <c r="I182" s="91" t="s">
        <v>21</v>
      </c>
      <c r="J182" s="91">
        <v>44230</v>
      </c>
      <c r="K182" s="121">
        <v>59</v>
      </c>
      <c r="L182" s="91">
        <v>44537</v>
      </c>
      <c r="M182" s="91"/>
      <c r="N182" s="125">
        <v>0</v>
      </c>
      <c r="O182" s="92">
        <v>8017.5200000000013</v>
      </c>
      <c r="Q182" s="14"/>
    </row>
    <row r="183" ht="15" customHeight="1">
      <c r="B183" s="13"/>
      <c r="C183" s="22" t="s">
        <v>184</v>
      </c>
      <c r="D183" s="90" t="s">
        <v>523</v>
      </c>
      <c r="E183" s="122" t="s">
        <v>524</v>
      </c>
      <c r="F183" s="91" t="s">
        <v>8</v>
      </c>
      <c r="G183" s="91">
        <v>22914</v>
      </c>
      <c r="H183" s="90" t="s">
        <v>187</v>
      </c>
      <c r="I183" s="91" t="s">
        <v>21</v>
      </c>
      <c r="J183" s="91">
        <v>44216</v>
      </c>
      <c r="K183" s="121">
        <v>59</v>
      </c>
      <c r="L183" s="91">
        <v>44536</v>
      </c>
      <c r="M183" s="91"/>
      <c r="N183" s="125">
        <v>0</v>
      </c>
      <c r="O183" s="92">
        <v>5678.3499999999995</v>
      </c>
      <c r="Q183" s="14"/>
    </row>
    <row r="184" ht="15" customHeight="1">
      <c r="B184" s="13"/>
      <c r="C184" s="22" t="s">
        <v>184</v>
      </c>
      <c r="D184" s="90" t="s">
        <v>525</v>
      </c>
      <c r="E184" s="122" t="s">
        <v>526</v>
      </c>
      <c r="F184" s="91" t="s">
        <v>8</v>
      </c>
      <c r="G184" s="91">
        <v>22942</v>
      </c>
      <c r="H184" s="90" t="s">
        <v>187</v>
      </c>
      <c r="I184" s="91" t="s">
        <v>21</v>
      </c>
      <c r="J184" s="91">
        <v>44112</v>
      </c>
      <c r="K184" s="121">
        <v>58</v>
      </c>
      <c r="L184" s="91">
        <v>44172</v>
      </c>
      <c r="M184" s="91">
        <v>44172</v>
      </c>
      <c r="N184" s="125">
        <v>60</v>
      </c>
      <c r="O184" s="92">
        <v>686.65</v>
      </c>
      <c r="Q184" s="14"/>
    </row>
    <row r="185" ht="15" customHeight="1">
      <c r="B185" s="13"/>
      <c r="C185" s="22" t="s">
        <v>184</v>
      </c>
      <c r="D185" s="90" t="s">
        <v>527</v>
      </c>
      <c r="E185" s="122" t="s">
        <v>528</v>
      </c>
      <c r="F185" s="91" t="s">
        <v>8</v>
      </c>
      <c r="G185" s="91">
        <v>22929</v>
      </c>
      <c r="H185" s="90" t="s">
        <v>197</v>
      </c>
      <c r="I185" s="91" t="s">
        <v>21</v>
      </c>
      <c r="J185" s="91">
        <v>44230</v>
      </c>
      <c r="K185" s="121">
        <v>59</v>
      </c>
      <c r="L185" s="91">
        <v>44395</v>
      </c>
      <c r="M185" s="91">
        <v>44395</v>
      </c>
      <c r="N185" s="125">
        <v>165</v>
      </c>
      <c r="O185" s="92">
        <v>3998.3999999999996</v>
      </c>
      <c r="Q185" s="14"/>
    </row>
    <row r="186" ht="15" customHeight="1">
      <c r="B186" s="13"/>
      <c r="C186" s="22" t="s">
        <v>184</v>
      </c>
      <c r="D186" s="90" t="s">
        <v>529</v>
      </c>
      <c r="E186" s="122" t="s">
        <v>530</v>
      </c>
      <c r="F186" s="91" t="s">
        <v>8</v>
      </c>
      <c r="G186" s="91">
        <v>22928</v>
      </c>
      <c r="H186" s="90" t="s">
        <v>187</v>
      </c>
      <c r="I186" s="91" t="s">
        <v>21</v>
      </c>
      <c r="J186" s="91">
        <v>44221</v>
      </c>
      <c r="K186" s="121">
        <v>59</v>
      </c>
      <c r="L186" s="91">
        <v>44522</v>
      </c>
      <c r="M186" s="91"/>
      <c r="N186" s="125">
        <v>0</v>
      </c>
      <c r="O186" s="92">
        <v>5888.8000000000011</v>
      </c>
      <c r="Q186" s="14"/>
    </row>
    <row r="187" ht="15" customHeight="1">
      <c r="B187" s="13"/>
      <c r="C187" s="22" t="s">
        <v>184</v>
      </c>
      <c r="D187" s="90" t="s">
        <v>531</v>
      </c>
      <c r="E187" s="122" t="s">
        <v>532</v>
      </c>
      <c r="F187" s="91" t="s">
        <v>8</v>
      </c>
      <c r="G187" s="91">
        <v>22933</v>
      </c>
      <c r="H187" s="90" t="s">
        <v>187</v>
      </c>
      <c r="I187" s="91" t="s">
        <v>21</v>
      </c>
      <c r="J187" s="91">
        <v>43906</v>
      </c>
      <c r="K187" s="121">
        <v>58</v>
      </c>
      <c r="L187" s="91">
        <v>44438</v>
      </c>
      <c r="M187" s="91">
        <v>44438</v>
      </c>
      <c r="N187" s="125">
        <v>532</v>
      </c>
      <c r="O187" s="92">
        <v>8481.25</v>
      </c>
      <c r="Q187" s="14"/>
    </row>
    <row r="188" ht="15" customHeight="1">
      <c r="B188" s="13"/>
      <c r="C188" s="22" t="s">
        <v>184</v>
      </c>
      <c r="D188" s="90" t="s">
        <v>533</v>
      </c>
      <c r="E188" s="122" t="s">
        <v>534</v>
      </c>
      <c r="F188" s="91" t="s">
        <v>8</v>
      </c>
      <c r="G188" s="91">
        <v>22968</v>
      </c>
      <c r="H188" s="90" t="s">
        <v>197</v>
      </c>
      <c r="I188" s="91" t="s">
        <v>21</v>
      </c>
      <c r="J188" s="91">
        <v>44251</v>
      </c>
      <c r="K188" s="121">
        <v>59</v>
      </c>
      <c r="L188" s="91">
        <v>44409</v>
      </c>
      <c r="M188" s="91">
        <v>44409</v>
      </c>
      <c r="N188" s="125">
        <v>158</v>
      </c>
      <c r="O188" s="92">
        <v>5554.74</v>
      </c>
      <c r="Q188" s="14"/>
    </row>
    <row r="189" ht="15" customHeight="1">
      <c r="B189" s="13"/>
      <c r="C189" s="22" t="s">
        <v>200</v>
      </c>
      <c r="D189" s="90" t="s">
        <v>535</v>
      </c>
      <c r="E189" s="122" t="s">
        <v>536</v>
      </c>
      <c r="F189" s="91" t="s">
        <v>8</v>
      </c>
      <c r="G189" s="91">
        <v>22951</v>
      </c>
      <c r="H189" s="90" t="s">
        <v>197</v>
      </c>
      <c r="I189" s="91" t="s">
        <v>21</v>
      </c>
      <c r="J189" s="91">
        <v>44326</v>
      </c>
      <c r="K189" s="121">
        <v>59</v>
      </c>
      <c r="L189" s="91">
        <v>44379</v>
      </c>
      <c r="M189" s="91">
        <v>44379</v>
      </c>
      <c r="N189" s="125">
        <v>53</v>
      </c>
      <c r="O189" s="92">
        <v>1679.76</v>
      </c>
      <c r="Q189" s="14"/>
    </row>
    <row r="190" ht="15" customHeight="1">
      <c r="B190" s="13"/>
      <c r="C190" s="22" t="s">
        <v>184</v>
      </c>
      <c r="D190" s="90" t="s">
        <v>537</v>
      </c>
      <c r="E190" s="122" t="s">
        <v>538</v>
      </c>
      <c r="F190" s="91" t="s">
        <v>8</v>
      </c>
      <c r="G190" s="91">
        <v>23009</v>
      </c>
      <c r="H190" s="90" t="s">
        <v>187</v>
      </c>
      <c r="I190" s="91" t="s">
        <v>21</v>
      </c>
      <c r="J190" s="91">
        <v>44088</v>
      </c>
      <c r="K190" s="121">
        <v>58</v>
      </c>
      <c r="L190" s="91">
        <v>44541</v>
      </c>
      <c r="M190" s="91"/>
      <c r="N190" s="125">
        <v>0</v>
      </c>
      <c r="O190" s="92">
        <v>12664.880000000001</v>
      </c>
      <c r="Q190" s="14"/>
    </row>
    <row r="191" ht="15" customHeight="1">
      <c r="B191" s="13"/>
      <c r="C191" s="22" t="s">
        <v>184</v>
      </c>
      <c r="D191" s="90" t="s">
        <v>539</v>
      </c>
      <c r="E191" s="122" t="s">
        <v>540</v>
      </c>
      <c r="F191" s="91" t="s">
        <v>8</v>
      </c>
      <c r="G191" s="91">
        <v>22981</v>
      </c>
      <c r="H191" s="90" t="s">
        <v>187</v>
      </c>
      <c r="I191" s="91" t="s">
        <v>21</v>
      </c>
      <c r="J191" s="91">
        <v>44427</v>
      </c>
      <c r="K191" s="121">
        <v>59</v>
      </c>
      <c r="L191" s="91">
        <v>44505</v>
      </c>
      <c r="M191" s="91">
        <v>44565</v>
      </c>
      <c r="N191" s="125">
        <v>138</v>
      </c>
      <c r="O191" s="92">
        <v>613.48</v>
      </c>
      <c r="Q191" s="14"/>
    </row>
    <row r="192" ht="15" customHeight="1">
      <c r="B192" s="13"/>
      <c r="C192" s="22" t="s">
        <v>135</v>
      </c>
      <c r="D192" s="90" t="s">
        <v>541</v>
      </c>
      <c r="E192" s="122" t="s">
        <v>542</v>
      </c>
      <c r="F192" s="91" t="s">
        <v>8</v>
      </c>
      <c r="G192" s="91">
        <v>23009</v>
      </c>
      <c r="H192" s="90" t="s">
        <v>187</v>
      </c>
      <c r="I192" s="91" t="s">
        <v>21</v>
      </c>
      <c r="J192" s="91">
        <v>44252</v>
      </c>
      <c r="K192" s="121">
        <v>59</v>
      </c>
      <c r="L192" s="91">
        <v>44306</v>
      </c>
      <c r="M192" s="91">
        <v>44288</v>
      </c>
      <c r="N192" s="125">
        <v>36</v>
      </c>
      <c r="O192" s="92">
        <v>441.06999999999994</v>
      </c>
      <c r="Q192" s="14"/>
    </row>
    <row r="193" ht="15" customHeight="1">
      <c r="B193" s="13"/>
      <c r="C193" s="22" t="s">
        <v>184</v>
      </c>
      <c r="D193" s="90" t="s">
        <v>543</v>
      </c>
      <c r="E193" s="122" t="s">
        <v>544</v>
      </c>
      <c r="F193" s="91" t="s">
        <v>8</v>
      </c>
      <c r="G193" s="91">
        <v>23004</v>
      </c>
      <c r="H193" s="90" t="s">
        <v>187</v>
      </c>
      <c r="I193" s="91" t="s">
        <v>21</v>
      </c>
      <c r="J193" s="91">
        <v>44139</v>
      </c>
      <c r="K193" s="121">
        <v>58</v>
      </c>
      <c r="L193" s="91">
        <v>44232</v>
      </c>
      <c r="M193" s="91">
        <v>44235</v>
      </c>
      <c r="N193" s="125">
        <v>96</v>
      </c>
      <c r="O193" s="92">
        <v>2549.12</v>
      </c>
      <c r="Q193" s="14"/>
    </row>
    <row r="194" ht="15" customHeight="1">
      <c r="B194" s="13"/>
      <c r="C194" s="22" t="s">
        <v>184</v>
      </c>
      <c r="D194" s="90" t="s">
        <v>545</v>
      </c>
      <c r="E194" s="122" t="s">
        <v>546</v>
      </c>
      <c r="F194" s="91" t="s">
        <v>8</v>
      </c>
      <c r="G194" s="91">
        <v>22996</v>
      </c>
      <c r="H194" s="90" t="s">
        <v>197</v>
      </c>
      <c r="I194" s="91" t="s">
        <v>21</v>
      </c>
      <c r="J194" s="91">
        <v>44404</v>
      </c>
      <c r="K194" s="121">
        <v>59</v>
      </c>
      <c r="L194" s="91">
        <v>44537</v>
      </c>
      <c r="M194" s="91"/>
      <c r="N194" s="125">
        <v>0</v>
      </c>
      <c r="O194" s="92">
        <v>9095.84</v>
      </c>
      <c r="Q194" s="14"/>
    </row>
    <row r="195" ht="15" customHeight="1">
      <c r="B195" s="13"/>
      <c r="C195" s="22" t="s">
        <v>184</v>
      </c>
      <c r="D195" s="90" t="s">
        <v>547</v>
      </c>
      <c r="E195" s="122" t="s">
        <v>548</v>
      </c>
      <c r="F195" s="91" t="s">
        <v>8</v>
      </c>
      <c r="G195" s="91">
        <v>23028</v>
      </c>
      <c r="H195" s="90" t="s">
        <v>187</v>
      </c>
      <c r="I195" s="91" t="s">
        <v>21</v>
      </c>
      <c r="J195" s="91">
        <v>44253</v>
      </c>
      <c r="K195" s="121">
        <v>58</v>
      </c>
      <c r="L195" s="91">
        <v>44297</v>
      </c>
      <c r="M195" s="91">
        <v>44297</v>
      </c>
      <c r="N195" s="125">
        <v>44</v>
      </c>
      <c r="O195" s="92">
        <v>65.1</v>
      </c>
      <c r="Q195" s="14"/>
    </row>
    <row r="196" ht="15" customHeight="1">
      <c r="B196" s="13"/>
      <c r="C196" s="22" t="s">
        <v>184</v>
      </c>
      <c r="D196" s="90" t="s">
        <v>549</v>
      </c>
      <c r="E196" s="122" t="s">
        <v>550</v>
      </c>
      <c r="F196" s="91" t="s">
        <v>8</v>
      </c>
      <c r="G196" s="91">
        <v>23090</v>
      </c>
      <c r="H196" s="90" t="s">
        <v>187</v>
      </c>
      <c r="I196" s="91" t="s">
        <v>21</v>
      </c>
      <c r="J196" s="91">
        <v>44258</v>
      </c>
      <c r="K196" s="121">
        <v>58</v>
      </c>
      <c r="L196" s="91">
        <v>44326</v>
      </c>
      <c r="M196" s="91">
        <v>44326</v>
      </c>
      <c r="N196" s="125">
        <v>68</v>
      </c>
      <c r="O196" s="92">
        <v>1609.53</v>
      </c>
      <c r="Q196" s="14"/>
    </row>
    <row r="197" ht="15" customHeight="1">
      <c r="B197" s="13"/>
      <c r="C197" s="22" t="s">
        <v>184</v>
      </c>
      <c r="D197" s="90" t="s">
        <v>551</v>
      </c>
      <c r="E197" s="122" t="s">
        <v>552</v>
      </c>
      <c r="F197" s="91" t="s">
        <v>8</v>
      </c>
      <c r="G197" s="91">
        <v>23089</v>
      </c>
      <c r="H197" s="90" t="s">
        <v>187</v>
      </c>
      <c r="I197" s="91" t="s">
        <v>21</v>
      </c>
      <c r="J197" s="91">
        <v>44166</v>
      </c>
      <c r="K197" s="121">
        <v>57</v>
      </c>
      <c r="L197" s="91">
        <v>44260</v>
      </c>
      <c r="M197" s="91">
        <v>44260</v>
      </c>
      <c r="N197" s="125">
        <v>94</v>
      </c>
      <c r="O197" s="92">
        <v>2349.75</v>
      </c>
      <c r="Q197" s="14"/>
    </row>
    <row r="198" ht="15" customHeight="1">
      <c r="B198" s="13"/>
      <c r="C198" s="22" t="s">
        <v>135</v>
      </c>
      <c r="D198" s="90" t="s">
        <v>553</v>
      </c>
      <c r="E198" s="122" t="s">
        <v>554</v>
      </c>
      <c r="F198" s="91" t="s">
        <v>8</v>
      </c>
      <c r="G198" s="91">
        <v>23085</v>
      </c>
      <c r="H198" s="90" t="s">
        <v>187</v>
      </c>
      <c r="I198" s="91" t="s">
        <v>21</v>
      </c>
      <c r="J198" s="91">
        <v>44200</v>
      </c>
      <c r="K198" s="121">
        <v>58</v>
      </c>
      <c r="L198" s="91">
        <v>44445</v>
      </c>
      <c r="M198" s="91">
        <v>44445</v>
      </c>
      <c r="N198" s="125">
        <v>245</v>
      </c>
      <c r="O198" s="92">
        <v>5657.58</v>
      </c>
      <c r="Q198" s="14"/>
    </row>
    <row r="199" ht="15" customHeight="1">
      <c r="B199" s="13"/>
      <c r="C199" s="22" t="s">
        <v>135</v>
      </c>
      <c r="D199" s="90" t="s">
        <v>555</v>
      </c>
      <c r="E199" s="122" t="s">
        <v>556</v>
      </c>
      <c r="F199" s="91" t="s">
        <v>8</v>
      </c>
      <c r="G199" s="91">
        <v>23126</v>
      </c>
      <c r="H199" s="90" t="s">
        <v>187</v>
      </c>
      <c r="I199" s="91" t="s">
        <v>21</v>
      </c>
      <c r="J199" s="91">
        <v>44186</v>
      </c>
      <c r="K199" s="121">
        <v>57</v>
      </c>
      <c r="L199" s="91">
        <v>44239</v>
      </c>
      <c r="M199" s="91">
        <v>44239</v>
      </c>
      <c r="N199" s="125">
        <v>53</v>
      </c>
      <c r="O199" s="92">
        <v>1488.96</v>
      </c>
      <c r="Q199" s="14"/>
    </row>
    <row r="200" ht="15" customHeight="1">
      <c r="B200" s="13"/>
      <c r="C200" s="22" t="s">
        <v>184</v>
      </c>
      <c r="D200" s="90" t="s">
        <v>557</v>
      </c>
      <c r="E200" s="122" t="s">
        <v>558</v>
      </c>
      <c r="F200" s="91" t="s">
        <v>8</v>
      </c>
      <c r="G200" s="91">
        <v>23105</v>
      </c>
      <c r="H200" s="90" t="s">
        <v>187</v>
      </c>
      <c r="I200" s="91" t="s">
        <v>21</v>
      </c>
      <c r="J200" s="91">
        <v>44251</v>
      </c>
      <c r="K200" s="121">
        <v>58</v>
      </c>
      <c r="L200" s="91">
        <v>44439</v>
      </c>
      <c r="M200" s="91">
        <v>44439</v>
      </c>
      <c r="N200" s="125">
        <v>188</v>
      </c>
      <c r="O200" s="92">
        <v>2480.4</v>
      </c>
      <c r="Q200" s="14"/>
    </row>
    <row r="201" ht="15" customHeight="1">
      <c r="B201" s="13"/>
      <c r="C201" s="22" t="s">
        <v>184</v>
      </c>
      <c r="D201" s="90" t="s">
        <v>559</v>
      </c>
      <c r="E201" s="122" t="s">
        <v>560</v>
      </c>
      <c r="F201" s="91" t="s">
        <v>8</v>
      </c>
      <c r="G201" s="91">
        <v>23158</v>
      </c>
      <c r="H201" s="90" t="s">
        <v>187</v>
      </c>
      <c r="I201" s="91" t="s">
        <v>21</v>
      </c>
      <c r="J201" s="91">
        <v>44102</v>
      </c>
      <c r="K201" s="121">
        <v>57</v>
      </c>
      <c r="L201" s="91">
        <v>44526</v>
      </c>
      <c r="M201" s="91"/>
      <c r="N201" s="125">
        <v>0</v>
      </c>
      <c r="O201" s="92">
        <v>12077.399999999998</v>
      </c>
      <c r="Q201" s="14"/>
    </row>
    <row r="202" ht="15" customHeight="1">
      <c r="B202" s="13"/>
      <c r="C202" s="22" t="s">
        <v>561</v>
      </c>
      <c r="D202" s="90" t="s">
        <v>562</v>
      </c>
      <c r="E202" s="122" t="s">
        <v>563</v>
      </c>
      <c r="F202" s="91" t="s">
        <v>8</v>
      </c>
      <c r="G202" s="91">
        <v>23152</v>
      </c>
      <c r="H202" s="90" t="s">
        <v>187</v>
      </c>
      <c r="I202" s="91" t="s">
        <v>21</v>
      </c>
      <c r="J202" s="91">
        <v>44222</v>
      </c>
      <c r="K202" s="121">
        <v>58</v>
      </c>
      <c r="L202" s="91">
        <v>44498</v>
      </c>
      <c r="M202" s="91">
        <v>44498</v>
      </c>
      <c r="N202" s="125">
        <v>276</v>
      </c>
      <c r="O202" s="92">
        <v>4443.5199999999995</v>
      </c>
      <c r="Q202" s="14"/>
    </row>
    <row r="203" ht="15" customHeight="1">
      <c r="B203" s="13"/>
      <c r="C203" s="22" t="s">
        <v>184</v>
      </c>
      <c r="D203" s="90" t="s">
        <v>564</v>
      </c>
      <c r="E203" s="122" t="s">
        <v>565</v>
      </c>
      <c r="F203" s="91" t="s">
        <v>8</v>
      </c>
      <c r="G203" s="91">
        <v>23144</v>
      </c>
      <c r="H203" s="90" t="s">
        <v>187</v>
      </c>
      <c r="I203" s="91" t="s">
        <v>21</v>
      </c>
      <c r="J203" s="91">
        <v>44060</v>
      </c>
      <c r="K203" s="121">
        <v>57</v>
      </c>
      <c r="L203" s="91">
        <v>44283</v>
      </c>
      <c r="M203" s="91">
        <v>44283</v>
      </c>
      <c r="N203" s="125">
        <v>223</v>
      </c>
      <c r="O203" s="92">
        <v>12705.079999999998</v>
      </c>
      <c r="Q203" s="14"/>
    </row>
    <row r="204" ht="15" customHeight="1">
      <c r="B204" s="13"/>
      <c r="C204" s="22" t="s">
        <v>184</v>
      </c>
      <c r="D204" s="90" t="s">
        <v>566</v>
      </c>
      <c r="E204" s="122" t="s">
        <v>567</v>
      </c>
      <c r="F204" s="91" t="s">
        <v>8</v>
      </c>
      <c r="G204" s="91">
        <v>24179</v>
      </c>
      <c r="H204" s="90" t="s">
        <v>187</v>
      </c>
      <c r="I204" s="91" t="s">
        <v>21</v>
      </c>
      <c r="J204" s="91">
        <v>44174</v>
      </c>
      <c r="K204" s="121">
        <v>54</v>
      </c>
      <c r="L204" s="91">
        <v>44516</v>
      </c>
      <c r="M204" s="91"/>
      <c r="N204" s="125">
        <v>0</v>
      </c>
      <c r="O204" s="92">
        <v>7702.9299999999994</v>
      </c>
      <c r="Q204" s="14"/>
    </row>
    <row r="205" ht="15" customHeight="1">
      <c r="B205" s="13"/>
      <c r="C205" s="22" t="s">
        <v>184</v>
      </c>
      <c r="D205" s="90" t="s">
        <v>568</v>
      </c>
      <c r="E205" s="122" t="s">
        <v>569</v>
      </c>
      <c r="F205" s="91" t="s">
        <v>8</v>
      </c>
      <c r="G205" s="91">
        <v>24197</v>
      </c>
      <c r="H205" s="90" t="s">
        <v>187</v>
      </c>
      <c r="I205" s="91" t="s">
        <v>21</v>
      </c>
      <c r="J205" s="91">
        <v>44175</v>
      </c>
      <c r="K205" s="121">
        <v>54</v>
      </c>
      <c r="L205" s="91">
        <v>44531</v>
      </c>
      <c r="M205" s="91"/>
      <c r="N205" s="125">
        <v>0</v>
      </c>
      <c r="O205" s="92">
        <v>7419.6299999999992</v>
      </c>
      <c r="Q205" s="14"/>
    </row>
    <row r="206" ht="15" customHeight="1">
      <c r="B206" s="13"/>
      <c r="C206" s="22" t="s">
        <v>184</v>
      </c>
      <c r="D206" s="90" t="s">
        <v>570</v>
      </c>
      <c r="E206" s="122" t="s">
        <v>571</v>
      </c>
      <c r="F206" s="91" t="s">
        <v>8</v>
      </c>
      <c r="G206" s="91">
        <v>24171</v>
      </c>
      <c r="H206" s="90" t="s">
        <v>187</v>
      </c>
      <c r="I206" s="91" t="s">
        <v>21</v>
      </c>
      <c r="J206" s="91">
        <v>44232</v>
      </c>
      <c r="K206" s="121">
        <v>55</v>
      </c>
      <c r="L206" s="91">
        <v>44304</v>
      </c>
      <c r="M206" s="91">
        <v>44304</v>
      </c>
      <c r="N206" s="125">
        <v>72</v>
      </c>
      <c r="O206" s="92">
        <v>1158.85</v>
      </c>
      <c r="Q206" s="14"/>
    </row>
    <row r="207" ht="15" customHeight="1">
      <c r="B207" s="13"/>
      <c r="C207" s="22" t="s">
        <v>184</v>
      </c>
      <c r="D207" s="90" t="s">
        <v>572</v>
      </c>
      <c r="E207" s="122" t="s">
        <v>573</v>
      </c>
      <c r="F207" s="91" t="s">
        <v>8</v>
      </c>
      <c r="G207" s="91">
        <v>24198</v>
      </c>
      <c r="H207" s="90" t="s">
        <v>187</v>
      </c>
      <c r="I207" s="91" t="s">
        <v>21</v>
      </c>
      <c r="J207" s="91">
        <v>44189</v>
      </c>
      <c r="K207" s="121">
        <v>54</v>
      </c>
      <c r="L207" s="91">
        <v>44305</v>
      </c>
      <c r="M207" s="91">
        <v>44372</v>
      </c>
      <c r="N207" s="125">
        <v>183</v>
      </c>
      <c r="O207" s="92">
        <v>2404.6800000000003</v>
      </c>
      <c r="Q207" s="14"/>
    </row>
    <row r="208" ht="15" customHeight="1">
      <c r="B208" s="13"/>
      <c r="C208" s="22" t="s">
        <v>184</v>
      </c>
      <c r="D208" s="90" t="s">
        <v>574</v>
      </c>
      <c r="E208" s="122" t="s">
        <v>575</v>
      </c>
      <c r="F208" s="91" t="s">
        <v>8</v>
      </c>
      <c r="G208" s="91">
        <v>24203</v>
      </c>
      <c r="H208" s="90" t="s">
        <v>187</v>
      </c>
      <c r="I208" s="91" t="s">
        <v>21</v>
      </c>
      <c r="J208" s="91">
        <v>44177</v>
      </c>
      <c r="K208" s="121">
        <v>54</v>
      </c>
      <c r="L208" s="91">
        <v>44289</v>
      </c>
      <c r="M208" s="91">
        <v>44291</v>
      </c>
      <c r="N208" s="125">
        <v>114</v>
      </c>
      <c r="O208" s="92">
        <v>1231.72</v>
      </c>
      <c r="Q208" s="14"/>
    </row>
    <row r="209" ht="15" customHeight="1">
      <c r="B209" s="13"/>
      <c r="C209" s="22" t="s">
        <v>184</v>
      </c>
      <c r="D209" s="90" t="s">
        <v>576</v>
      </c>
      <c r="E209" s="122" t="s">
        <v>577</v>
      </c>
      <c r="F209" s="91" t="s">
        <v>8</v>
      </c>
      <c r="G209" s="91">
        <v>24209</v>
      </c>
      <c r="H209" s="90" t="s">
        <v>187</v>
      </c>
      <c r="I209" s="91" t="s">
        <v>21</v>
      </c>
      <c r="J209" s="91">
        <v>44409</v>
      </c>
      <c r="K209" s="121">
        <v>55</v>
      </c>
      <c r="L209" s="91">
        <v>44494</v>
      </c>
      <c r="M209" s="91"/>
      <c r="N209" s="125">
        <v>0</v>
      </c>
      <c r="O209" s="92">
        <v>1559.04</v>
      </c>
      <c r="Q209" s="14"/>
    </row>
    <row r="210" ht="15" customHeight="1">
      <c r="B210" s="13"/>
      <c r="C210" s="22" t="s">
        <v>184</v>
      </c>
      <c r="D210" s="90" t="s">
        <v>578</v>
      </c>
      <c r="E210" s="122" t="s">
        <v>579</v>
      </c>
      <c r="F210" s="91" t="s">
        <v>8</v>
      </c>
      <c r="G210" s="91">
        <v>24250</v>
      </c>
      <c r="H210" s="90" t="s">
        <v>187</v>
      </c>
      <c r="I210" s="91" t="s">
        <v>21</v>
      </c>
      <c r="J210" s="91">
        <v>44218</v>
      </c>
      <c r="K210" s="121">
        <v>55</v>
      </c>
      <c r="L210" s="91">
        <v>44352</v>
      </c>
      <c r="M210" s="91">
        <v>44352</v>
      </c>
      <c r="N210" s="125">
        <v>134</v>
      </c>
      <c r="O210" s="92">
        <v>3182.55</v>
      </c>
      <c r="Q210" s="14"/>
    </row>
    <row r="211" ht="15" customHeight="1">
      <c r="B211" s="13"/>
      <c r="C211" s="22" t="s">
        <v>184</v>
      </c>
      <c r="D211" s="90" t="s">
        <v>580</v>
      </c>
      <c r="E211" s="122" t="s">
        <v>581</v>
      </c>
      <c r="F211" s="91" t="s">
        <v>8</v>
      </c>
      <c r="G211" s="91">
        <v>24281</v>
      </c>
      <c r="H211" s="90" t="s">
        <v>197</v>
      </c>
      <c r="I211" s="91" t="s">
        <v>21</v>
      </c>
      <c r="J211" s="91">
        <v>44139</v>
      </c>
      <c r="K211" s="121">
        <v>54</v>
      </c>
      <c r="L211" s="91">
        <v>44185</v>
      </c>
      <c r="M211" s="91">
        <v>44185</v>
      </c>
      <c r="N211" s="125">
        <v>46</v>
      </c>
      <c r="O211" s="92">
        <v>552.67</v>
      </c>
      <c r="Q211" s="14"/>
    </row>
    <row r="212" ht="15" customHeight="1">
      <c r="B212" s="13"/>
      <c r="C212" s="22" t="s">
        <v>184</v>
      </c>
      <c r="D212" s="90" t="s">
        <v>582</v>
      </c>
      <c r="E212" s="122" t="s">
        <v>583</v>
      </c>
      <c r="F212" s="91" t="s">
        <v>8</v>
      </c>
      <c r="G212" s="91">
        <v>24297</v>
      </c>
      <c r="H212" s="90" t="s">
        <v>187</v>
      </c>
      <c r="I212" s="91" t="s">
        <v>21</v>
      </c>
      <c r="J212" s="91">
        <v>44277</v>
      </c>
      <c r="K212" s="121">
        <v>55</v>
      </c>
      <c r="L212" s="91">
        <v>44408</v>
      </c>
      <c r="M212" s="91">
        <v>44408</v>
      </c>
      <c r="N212" s="125">
        <v>131</v>
      </c>
      <c r="O212" s="92">
        <v>2900.88</v>
      </c>
      <c r="Q212" s="14"/>
    </row>
    <row r="213" ht="15" customHeight="1">
      <c r="B213" s="13"/>
      <c r="C213" s="22" t="s">
        <v>184</v>
      </c>
      <c r="D213" s="90" t="s">
        <v>584</v>
      </c>
      <c r="E213" s="122" t="s">
        <v>585</v>
      </c>
      <c r="F213" s="91" t="s">
        <v>8</v>
      </c>
      <c r="G213" s="91">
        <v>24319</v>
      </c>
      <c r="H213" s="90" t="s">
        <v>187</v>
      </c>
      <c r="I213" s="91" t="s">
        <v>21</v>
      </c>
      <c r="J213" s="91">
        <v>44344</v>
      </c>
      <c r="K213" s="121">
        <v>55</v>
      </c>
      <c r="L213" s="91">
        <v>44500</v>
      </c>
      <c r="M213" s="91"/>
      <c r="N213" s="125">
        <v>0</v>
      </c>
      <c r="O213" s="92">
        <v>4714.07</v>
      </c>
      <c r="Q213" s="14"/>
    </row>
    <row r="214" ht="15" customHeight="1">
      <c r="B214" s="13"/>
      <c r="C214" s="22" t="s">
        <v>184</v>
      </c>
      <c r="D214" s="90" t="s">
        <v>586</v>
      </c>
      <c r="E214" s="122" t="s">
        <v>587</v>
      </c>
      <c r="F214" s="91" t="s">
        <v>8</v>
      </c>
      <c r="G214" s="91">
        <v>23358</v>
      </c>
      <c r="H214" s="90" t="s">
        <v>187</v>
      </c>
      <c r="I214" s="91" t="s">
        <v>21</v>
      </c>
      <c r="J214" s="91">
        <v>44228</v>
      </c>
      <c r="K214" s="121">
        <v>58</v>
      </c>
      <c r="L214" s="91">
        <v>44309</v>
      </c>
      <c r="M214" s="91">
        <v>44309</v>
      </c>
      <c r="N214" s="125">
        <v>81</v>
      </c>
      <c r="O214" s="92">
        <v>1590.6799999999998</v>
      </c>
      <c r="Q214" s="14"/>
    </row>
    <row r="215" ht="15" customHeight="1">
      <c r="B215" s="13"/>
      <c r="C215" s="22" t="s">
        <v>184</v>
      </c>
      <c r="D215" s="90" t="s">
        <v>588</v>
      </c>
      <c r="E215" s="122" t="s">
        <v>589</v>
      </c>
      <c r="F215" s="91" t="s">
        <v>8</v>
      </c>
      <c r="G215" s="91">
        <v>23346</v>
      </c>
      <c r="H215" s="90" t="s">
        <v>187</v>
      </c>
      <c r="I215" s="91" t="s">
        <v>21</v>
      </c>
      <c r="J215" s="91">
        <v>43860</v>
      </c>
      <c r="K215" s="121">
        <v>57</v>
      </c>
      <c r="L215" s="91">
        <v>44351</v>
      </c>
      <c r="M215" s="91">
        <v>44351</v>
      </c>
      <c r="N215" s="125">
        <v>491</v>
      </c>
      <c r="O215" s="92">
        <v>3880.2</v>
      </c>
      <c r="Q215" s="14"/>
    </row>
    <row r="216" ht="15" customHeight="1">
      <c r="B216" s="13"/>
      <c r="C216" s="22" t="s">
        <v>184</v>
      </c>
      <c r="D216" s="90" t="s">
        <v>590</v>
      </c>
      <c r="E216" s="122" t="s">
        <v>591</v>
      </c>
      <c r="F216" s="91" t="s">
        <v>8</v>
      </c>
      <c r="G216" s="91">
        <v>23368</v>
      </c>
      <c r="H216" s="90" t="s">
        <v>197</v>
      </c>
      <c r="I216" s="91" t="s">
        <v>21</v>
      </c>
      <c r="J216" s="91">
        <v>44202</v>
      </c>
      <c r="K216" s="121">
        <v>58</v>
      </c>
      <c r="L216" s="91">
        <v>44301</v>
      </c>
      <c r="M216" s="91">
        <v>44333</v>
      </c>
      <c r="N216" s="125">
        <v>131</v>
      </c>
      <c r="O216" s="92">
        <v>9818.2</v>
      </c>
      <c r="Q216" s="14"/>
    </row>
    <row r="217" ht="15" customHeight="1">
      <c r="B217" s="13"/>
      <c r="C217" s="22" t="s">
        <v>184</v>
      </c>
      <c r="D217" s="90" t="s">
        <v>592</v>
      </c>
      <c r="E217" s="122" t="s">
        <v>593</v>
      </c>
      <c r="F217" s="91" t="s">
        <v>8</v>
      </c>
      <c r="G217" s="91">
        <v>23362</v>
      </c>
      <c r="H217" s="90" t="s">
        <v>187</v>
      </c>
      <c r="I217" s="91" t="s">
        <v>21</v>
      </c>
      <c r="J217" s="91">
        <v>43924</v>
      </c>
      <c r="K217" s="121">
        <v>57</v>
      </c>
      <c r="L217" s="91">
        <v>44530</v>
      </c>
      <c r="M217" s="91"/>
      <c r="N217" s="125">
        <v>0</v>
      </c>
      <c r="O217" s="92">
        <v>7411.9699999999993</v>
      </c>
      <c r="Q217" s="14"/>
    </row>
    <row r="218" ht="15" customHeight="1">
      <c r="B218" s="13"/>
      <c r="C218" s="22" t="s">
        <v>184</v>
      </c>
      <c r="D218" s="90" t="s">
        <v>594</v>
      </c>
      <c r="E218" s="122" t="s">
        <v>595</v>
      </c>
      <c r="F218" s="91" t="s">
        <v>8</v>
      </c>
      <c r="G218" s="91">
        <v>23377</v>
      </c>
      <c r="H218" s="90" t="s">
        <v>187</v>
      </c>
      <c r="I218" s="91" t="s">
        <v>21</v>
      </c>
      <c r="J218" s="91">
        <v>44203</v>
      </c>
      <c r="K218" s="121">
        <v>57</v>
      </c>
      <c r="L218" s="91">
        <v>44388</v>
      </c>
      <c r="M218" s="91">
        <v>44388</v>
      </c>
      <c r="N218" s="125">
        <v>185</v>
      </c>
      <c r="O218" s="92">
        <v>4870.32</v>
      </c>
      <c r="Q218" s="14"/>
    </row>
    <row r="219" ht="15" customHeight="1">
      <c r="B219" s="13"/>
      <c r="C219" s="22" t="s">
        <v>184</v>
      </c>
      <c r="D219" s="90" t="s">
        <v>596</v>
      </c>
      <c r="E219" s="122" t="s">
        <v>597</v>
      </c>
      <c r="F219" s="91" t="s">
        <v>8</v>
      </c>
      <c r="G219" s="91">
        <v>23432</v>
      </c>
      <c r="H219" s="90" t="s">
        <v>197</v>
      </c>
      <c r="I219" s="91" t="s">
        <v>21</v>
      </c>
      <c r="J219" s="91">
        <v>44198</v>
      </c>
      <c r="K219" s="121">
        <v>57</v>
      </c>
      <c r="L219" s="91">
        <v>44255</v>
      </c>
      <c r="M219" s="91">
        <v>44255</v>
      </c>
      <c r="N219" s="125">
        <v>57</v>
      </c>
      <c r="O219" s="92">
        <v>688.24</v>
      </c>
      <c r="Q219" s="14"/>
    </row>
    <row r="220" ht="15" customHeight="1">
      <c r="B220" s="13"/>
      <c r="C220" s="22" t="s">
        <v>184</v>
      </c>
      <c r="D220" s="90" t="s">
        <v>598</v>
      </c>
      <c r="E220" s="122" t="s">
        <v>599</v>
      </c>
      <c r="F220" s="91" t="s">
        <v>8</v>
      </c>
      <c r="G220" s="91">
        <v>23426</v>
      </c>
      <c r="H220" s="90" t="s">
        <v>197</v>
      </c>
      <c r="I220" s="91" t="s">
        <v>21</v>
      </c>
      <c r="J220" s="91">
        <v>44131</v>
      </c>
      <c r="K220" s="121">
        <v>56</v>
      </c>
      <c r="L220" s="91">
        <v>44176</v>
      </c>
      <c r="M220" s="91">
        <v>44250</v>
      </c>
      <c r="N220" s="125">
        <v>119</v>
      </c>
      <c r="O220" s="92">
        <v>323.36</v>
      </c>
      <c r="Q220" s="14"/>
    </row>
    <row r="221" ht="15" customHeight="1">
      <c r="B221" s="13"/>
      <c r="C221" s="22" t="s">
        <v>184</v>
      </c>
      <c r="D221" s="90" t="s">
        <v>600</v>
      </c>
      <c r="E221" s="122" t="s">
        <v>601</v>
      </c>
      <c r="F221" s="91" t="s">
        <v>8</v>
      </c>
      <c r="G221" s="91">
        <v>23431</v>
      </c>
      <c r="H221" s="90" t="s">
        <v>197</v>
      </c>
      <c r="I221" s="91" t="s">
        <v>21</v>
      </c>
      <c r="J221" s="91">
        <v>44373</v>
      </c>
      <c r="K221" s="121">
        <v>57</v>
      </c>
      <c r="L221" s="91">
        <v>44416</v>
      </c>
      <c r="M221" s="91">
        <v>44416</v>
      </c>
      <c r="N221" s="125">
        <v>43</v>
      </c>
      <c r="O221" s="92">
        <v>674.94</v>
      </c>
      <c r="Q221" s="14"/>
    </row>
    <row r="222" ht="15" customHeight="1">
      <c r="B222" s="13"/>
      <c r="C222" s="22" t="s">
        <v>184</v>
      </c>
      <c r="D222" s="90" t="s">
        <v>602</v>
      </c>
      <c r="E222" s="122" t="s">
        <v>603</v>
      </c>
      <c r="F222" s="91" t="s">
        <v>8</v>
      </c>
      <c r="G222" s="91">
        <v>23456</v>
      </c>
      <c r="H222" s="90" t="s">
        <v>187</v>
      </c>
      <c r="I222" s="91" t="s">
        <v>21</v>
      </c>
      <c r="J222" s="91">
        <v>44071</v>
      </c>
      <c r="K222" s="121">
        <v>56</v>
      </c>
      <c r="L222" s="91">
        <v>44382</v>
      </c>
      <c r="M222" s="91">
        <v>44383</v>
      </c>
      <c r="N222" s="125">
        <v>312</v>
      </c>
      <c r="O222" s="92">
        <v>10146.36</v>
      </c>
      <c r="Q222" s="14"/>
    </row>
    <row r="223" ht="15" customHeight="1">
      <c r="B223" s="13"/>
      <c r="C223" s="22" t="s">
        <v>184</v>
      </c>
      <c r="D223" s="90" t="s">
        <v>604</v>
      </c>
      <c r="E223" s="122" t="s">
        <v>605</v>
      </c>
      <c r="F223" s="91" t="s">
        <v>8</v>
      </c>
      <c r="G223" s="91">
        <v>23492</v>
      </c>
      <c r="H223" s="90" t="s">
        <v>187</v>
      </c>
      <c r="I223" s="91" t="s">
        <v>21</v>
      </c>
      <c r="J223" s="91">
        <v>43896</v>
      </c>
      <c r="K223" s="121">
        <v>56</v>
      </c>
      <c r="L223" s="91">
        <v>44538</v>
      </c>
      <c r="M223" s="91"/>
      <c r="N223" s="125">
        <v>0</v>
      </c>
      <c r="O223" s="92">
        <v>18044.730000000003</v>
      </c>
      <c r="Q223" s="14"/>
    </row>
    <row r="224" ht="15" customHeight="1">
      <c r="B224" s="13"/>
      <c r="C224" s="22" t="s">
        <v>184</v>
      </c>
      <c r="D224" s="90" t="s">
        <v>606</v>
      </c>
      <c r="E224" s="122" t="s">
        <v>607</v>
      </c>
      <c r="F224" s="91" t="s">
        <v>8</v>
      </c>
      <c r="G224" s="91">
        <v>23480</v>
      </c>
      <c r="H224" s="90" t="s">
        <v>187</v>
      </c>
      <c r="I224" s="91" t="s">
        <v>21</v>
      </c>
      <c r="J224" s="91">
        <v>44264</v>
      </c>
      <c r="K224" s="121">
        <v>57</v>
      </c>
      <c r="L224" s="91">
        <v>44350</v>
      </c>
      <c r="M224" s="91">
        <v>44350</v>
      </c>
      <c r="N224" s="125">
        <v>86</v>
      </c>
      <c r="O224" s="92">
        <v>1423.8600000000001</v>
      </c>
      <c r="Q224" s="14"/>
    </row>
    <row r="225" ht="15" customHeight="1">
      <c r="B225" s="13"/>
      <c r="C225" s="22" t="s">
        <v>184</v>
      </c>
      <c r="D225" s="90" t="s">
        <v>608</v>
      </c>
      <c r="E225" s="122" t="s">
        <v>609</v>
      </c>
      <c r="F225" s="91" t="s">
        <v>8</v>
      </c>
      <c r="G225" s="91">
        <v>23490</v>
      </c>
      <c r="H225" s="90" t="s">
        <v>197</v>
      </c>
      <c r="I225" s="91" t="s">
        <v>21</v>
      </c>
      <c r="J225" s="91">
        <v>43907</v>
      </c>
      <c r="K225" s="121">
        <v>56</v>
      </c>
      <c r="L225" s="91">
        <v>43949</v>
      </c>
      <c r="M225" s="91">
        <v>43949</v>
      </c>
      <c r="N225" s="125">
        <v>42</v>
      </c>
      <c r="O225" s="92">
        <v>1336.14</v>
      </c>
      <c r="Q225" s="14"/>
    </row>
    <row r="226" ht="15" customHeight="1">
      <c r="B226" s="13"/>
      <c r="C226" s="22" t="s">
        <v>184</v>
      </c>
      <c r="D226" s="90" t="s">
        <v>610</v>
      </c>
      <c r="E226" s="122" t="s">
        <v>609</v>
      </c>
      <c r="F226" s="91" t="s">
        <v>8</v>
      </c>
      <c r="G226" s="91">
        <v>23490</v>
      </c>
      <c r="H226" s="90" t="s">
        <v>197</v>
      </c>
      <c r="I226" s="91" t="s">
        <v>21</v>
      </c>
      <c r="J226" s="91">
        <v>44187</v>
      </c>
      <c r="K226" s="121">
        <v>56</v>
      </c>
      <c r="L226" s="91">
        <v>44449</v>
      </c>
      <c r="M226" s="91">
        <v>44449</v>
      </c>
      <c r="N226" s="125">
        <v>262</v>
      </c>
      <c r="O226" s="92">
        <v>20995.63</v>
      </c>
      <c r="Q226" s="14"/>
    </row>
    <row r="227" ht="15" customHeight="1">
      <c r="B227" s="13"/>
      <c r="C227" s="22" t="s">
        <v>184</v>
      </c>
      <c r="D227" s="90" t="s">
        <v>611</v>
      </c>
      <c r="E227" s="122" t="s">
        <v>612</v>
      </c>
      <c r="F227" s="91" t="s">
        <v>8</v>
      </c>
      <c r="G227" s="91">
        <v>23480</v>
      </c>
      <c r="H227" s="90" t="s">
        <v>187</v>
      </c>
      <c r="I227" s="91" t="s">
        <v>21</v>
      </c>
      <c r="J227" s="91">
        <v>44263</v>
      </c>
      <c r="K227" s="121">
        <v>57</v>
      </c>
      <c r="L227" s="91">
        <v>44522</v>
      </c>
      <c r="M227" s="91"/>
      <c r="N227" s="125">
        <v>0</v>
      </c>
      <c r="O227" s="92">
        <v>3477.6000000000004</v>
      </c>
      <c r="Q227" s="14"/>
    </row>
    <row r="228" ht="15" customHeight="1">
      <c r="B228" s="13"/>
      <c r="C228" s="22" t="s">
        <v>184</v>
      </c>
      <c r="D228" s="90" t="s">
        <v>613</v>
      </c>
      <c r="E228" s="122" t="s">
        <v>614</v>
      </c>
      <c r="F228" s="91" t="s">
        <v>8</v>
      </c>
      <c r="G228" s="91">
        <v>23474</v>
      </c>
      <c r="H228" s="90" t="s">
        <v>187</v>
      </c>
      <c r="I228" s="91" t="s">
        <v>21</v>
      </c>
      <c r="J228" s="91">
        <v>44462</v>
      </c>
      <c r="K228" s="121">
        <v>57</v>
      </c>
      <c r="L228" s="91">
        <v>44504</v>
      </c>
      <c r="M228" s="91"/>
      <c r="N228" s="125">
        <v>0</v>
      </c>
      <c r="O228" s="92">
        <v>286.13</v>
      </c>
      <c r="Q228" s="14"/>
    </row>
    <row r="229" ht="15" customHeight="1">
      <c r="B229" s="13"/>
      <c r="C229" s="22" t="s">
        <v>184</v>
      </c>
      <c r="D229" s="90" t="s">
        <v>615</v>
      </c>
      <c r="E229" s="122" t="s">
        <v>616</v>
      </c>
      <c r="F229" s="91" t="s">
        <v>8</v>
      </c>
      <c r="G229" s="91">
        <v>23493</v>
      </c>
      <c r="H229" s="90" t="s">
        <v>187</v>
      </c>
      <c r="I229" s="91" t="s">
        <v>21</v>
      </c>
      <c r="J229" s="91">
        <v>44013</v>
      </c>
      <c r="K229" s="121">
        <v>56</v>
      </c>
      <c r="L229" s="91">
        <v>44043</v>
      </c>
      <c r="M229" s="91">
        <v>44043</v>
      </c>
      <c r="N229" s="125">
        <v>30</v>
      </c>
      <c r="O229" s="92">
        <v>23.78</v>
      </c>
      <c r="Q229" s="14"/>
    </row>
    <row r="230" ht="15" customHeight="1">
      <c r="B230" s="13"/>
      <c r="C230" s="22" t="s">
        <v>184</v>
      </c>
      <c r="D230" s="90" t="s">
        <v>617</v>
      </c>
      <c r="E230" s="122" t="s">
        <v>616</v>
      </c>
      <c r="F230" s="91" t="s">
        <v>8</v>
      </c>
      <c r="G230" s="91">
        <v>23493</v>
      </c>
      <c r="H230" s="90" t="s">
        <v>187</v>
      </c>
      <c r="I230" s="91" t="s">
        <v>21</v>
      </c>
      <c r="J230" s="91">
        <v>44180</v>
      </c>
      <c r="K230" s="121">
        <v>56</v>
      </c>
      <c r="L230" s="91">
        <v>44531</v>
      </c>
      <c r="M230" s="91"/>
      <c r="N230" s="125">
        <v>0</v>
      </c>
      <c r="O230" s="92">
        <v>7657.16</v>
      </c>
      <c r="Q230" s="14"/>
    </row>
    <row r="231" ht="15" customHeight="1">
      <c r="B231" s="13"/>
      <c r="C231" s="22" t="s">
        <v>184</v>
      </c>
      <c r="D231" s="90" t="s">
        <v>618</v>
      </c>
      <c r="E231" s="122" t="s">
        <v>619</v>
      </c>
      <c r="F231" s="91" t="s">
        <v>8</v>
      </c>
      <c r="G231" s="91">
        <v>23509</v>
      </c>
      <c r="H231" s="90" t="s">
        <v>197</v>
      </c>
      <c r="I231" s="91" t="s">
        <v>21</v>
      </c>
      <c r="J231" s="91">
        <v>44429</v>
      </c>
      <c r="K231" s="121">
        <v>57</v>
      </c>
      <c r="L231" s="91">
        <v>44533</v>
      </c>
      <c r="M231" s="91"/>
      <c r="N231" s="125">
        <v>0</v>
      </c>
      <c r="O231" s="92">
        <v>3760.5</v>
      </c>
      <c r="Q231" s="14"/>
    </row>
    <row r="232" ht="15" customHeight="1">
      <c r="B232" s="13"/>
      <c r="C232" s="22" t="s">
        <v>184</v>
      </c>
      <c r="D232" s="90" t="s">
        <v>620</v>
      </c>
      <c r="E232" s="122" t="s">
        <v>621</v>
      </c>
      <c r="F232" s="91" t="s">
        <v>8</v>
      </c>
      <c r="G232" s="91">
        <v>23531</v>
      </c>
      <c r="H232" s="90" t="s">
        <v>187</v>
      </c>
      <c r="I232" s="91" t="s">
        <v>21</v>
      </c>
      <c r="J232" s="91">
        <v>44145</v>
      </c>
      <c r="K232" s="121">
        <v>56</v>
      </c>
      <c r="L232" s="91">
        <v>44189</v>
      </c>
      <c r="M232" s="91">
        <v>44189</v>
      </c>
      <c r="N232" s="125">
        <v>44</v>
      </c>
      <c r="O232" s="92">
        <v>377.7</v>
      </c>
      <c r="Q232" s="14"/>
    </row>
    <row r="233" ht="15" customHeight="1">
      <c r="B233" s="13"/>
      <c r="C233" s="22" t="s">
        <v>184</v>
      </c>
      <c r="D233" s="90" t="s">
        <v>622</v>
      </c>
      <c r="E233" s="122" t="s">
        <v>623</v>
      </c>
      <c r="F233" s="91" t="s">
        <v>8</v>
      </c>
      <c r="G233" s="91">
        <v>23579</v>
      </c>
      <c r="H233" s="90" t="s">
        <v>187</v>
      </c>
      <c r="I233" s="91" t="s">
        <v>21</v>
      </c>
      <c r="J233" s="91">
        <v>44278</v>
      </c>
      <c r="K233" s="121">
        <v>57</v>
      </c>
      <c r="L233" s="91">
        <v>44518</v>
      </c>
      <c r="M233" s="91"/>
      <c r="N233" s="125">
        <v>0</v>
      </c>
      <c r="O233" s="92">
        <v>1251.23</v>
      </c>
      <c r="Q233" s="14"/>
    </row>
    <row r="234" ht="15" customHeight="1">
      <c r="B234" s="13"/>
      <c r="C234" s="22" t="s">
        <v>184</v>
      </c>
      <c r="D234" s="90" t="s">
        <v>624</v>
      </c>
      <c r="E234" s="122" t="s">
        <v>625</v>
      </c>
      <c r="F234" s="91" t="s">
        <v>8</v>
      </c>
      <c r="G234" s="91">
        <v>23601</v>
      </c>
      <c r="H234" s="90" t="s">
        <v>197</v>
      </c>
      <c r="I234" s="91" t="s">
        <v>21</v>
      </c>
      <c r="J234" s="91">
        <v>44354</v>
      </c>
      <c r="K234" s="121">
        <v>57</v>
      </c>
      <c r="L234" s="91">
        <v>44509</v>
      </c>
      <c r="M234" s="91"/>
      <c r="N234" s="125">
        <v>0</v>
      </c>
      <c r="O234" s="92">
        <v>7165.62</v>
      </c>
      <c r="Q234" s="14"/>
    </row>
    <row r="235" ht="15" customHeight="1">
      <c r="B235" s="13"/>
      <c r="C235" s="22" t="s">
        <v>184</v>
      </c>
      <c r="D235" s="90" t="s">
        <v>626</v>
      </c>
      <c r="E235" s="122" t="s">
        <v>627</v>
      </c>
      <c r="F235" s="91" t="s">
        <v>8</v>
      </c>
      <c r="G235" s="91">
        <v>23597</v>
      </c>
      <c r="H235" s="90" t="s">
        <v>187</v>
      </c>
      <c r="I235" s="91" t="s">
        <v>21</v>
      </c>
      <c r="J235" s="91">
        <v>44439</v>
      </c>
      <c r="K235" s="121">
        <v>57</v>
      </c>
      <c r="L235" s="91">
        <v>44481</v>
      </c>
      <c r="M235" s="91"/>
      <c r="N235" s="125">
        <v>0</v>
      </c>
      <c r="O235" s="92">
        <v>202.02</v>
      </c>
      <c r="Q235" s="14"/>
    </row>
    <row r="236" ht="15" customHeight="1">
      <c r="B236" s="13"/>
      <c r="C236" s="22" t="s">
        <v>184</v>
      </c>
      <c r="D236" s="90" t="s">
        <v>628</v>
      </c>
      <c r="E236" s="122" t="s">
        <v>629</v>
      </c>
      <c r="F236" s="91" t="s">
        <v>8</v>
      </c>
      <c r="G236" s="91">
        <v>23635</v>
      </c>
      <c r="H236" s="90" t="s">
        <v>187</v>
      </c>
      <c r="I236" s="91" t="s">
        <v>21</v>
      </c>
      <c r="J236" s="91">
        <v>44090</v>
      </c>
      <c r="K236" s="121">
        <v>56</v>
      </c>
      <c r="L236" s="91">
        <v>44212</v>
      </c>
      <c r="M236" s="91">
        <v>44212</v>
      </c>
      <c r="N236" s="125">
        <v>122</v>
      </c>
      <c r="O236" s="92">
        <v>1792.8</v>
      </c>
      <c r="Q236" s="14"/>
    </row>
    <row r="237" ht="15" customHeight="1">
      <c r="B237" s="13"/>
      <c r="C237" s="22" t="s">
        <v>184</v>
      </c>
      <c r="D237" s="90" t="s">
        <v>630</v>
      </c>
      <c r="E237" s="122" t="s">
        <v>631</v>
      </c>
      <c r="F237" s="91" t="s">
        <v>8</v>
      </c>
      <c r="G237" s="91">
        <v>23639</v>
      </c>
      <c r="H237" s="90" t="s">
        <v>187</v>
      </c>
      <c r="I237" s="91" t="s">
        <v>21</v>
      </c>
      <c r="J237" s="91">
        <v>44225</v>
      </c>
      <c r="K237" s="121">
        <v>57</v>
      </c>
      <c r="L237" s="91">
        <v>44291</v>
      </c>
      <c r="M237" s="91">
        <v>44291</v>
      </c>
      <c r="N237" s="125">
        <v>66</v>
      </c>
      <c r="O237" s="92">
        <v>1287.97</v>
      </c>
      <c r="Q237" s="14"/>
    </row>
    <row r="238" ht="15" customHeight="1">
      <c r="B238" s="13"/>
      <c r="C238" s="22" t="s">
        <v>184</v>
      </c>
      <c r="D238" s="90" t="s">
        <v>632</v>
      </c>
      <c r="E238" s="122" t="s">
        <v>633</v>
      </c>
      <c r="F238" s="91" t="s">
        <v>8</v>
      </c>
      <c r="G238" s="91">
        <v>23701</v>
      </c>
      <c r="H238" s="90" t="s">
        <v>197</v>
      </c>
      <c r="I238" s="91" t="s">
        <v>21</v>
      </c>
      <c r="J238" s="91">
        <v>44211</v>
      </c>
      <c r="K238" s="121">
        <v>57</v>
      </c>
      <c r="L238" s="91">
        <v>44439</v>
      </c>
      <c r="M238" s="91">
        <v>44439</v>
      </c>
      <c r="N238" s="125">
        <v>228</v>
      </c>
      <c r="O238" s="92">
        <v>7371.6299999999992</v>
      </c>
      <c r="Q238" s="14"/>
    </row>
    <row r="239" ht="15" customHeight="1">
      <c r="B239" s="13"/>
      <c r="C239" s="22" t="s">
        <v>184</v>
      </c>
      <c r="D239" s="90" t="s">
        <v>634</v>
      </c>
      <c r="E239" s="122" t="s">
        <v>635</v>
      </c>
      <c r="F239" s="91" t="s">
        <v>8</v>
      </c>
      <c r="G239" s="91">
        <v>23683</v>
      </c>
      <c r="H239" s="90" t="s">
        <v>187</v>
      </c>
      <c r="I239" s="91" t="s">
        <v>21</v>
      </c>
      <c r="J239" s="91">
        <v>44274</v>
      </c>
      <c r="K239" s="121">
        <v>57</v>
      </c>
      <c r="L239" s="91">
        <v>44529</v>
      </c>
      <c r="M239" s="91"/>
      <c r="N239" s="125">
        <v>0</v>
      </c>
      <c r="O239" s="92">
        <v>2208.02</v>
      </c>
      <c r="Q239" s="14"/>
    </row>
    <row r="240" ht="15" customHeight="1">
      <c r="B240" s="13"/>
      <c r="C240" s="22" t="s">
        <v>184</v>
      </c>
      <c r="D240" s="90" t="s">
        <v>636</v>
      </c>
      <c r="E240" s="122" t="s">
        <v>637</v>
      </c>
      <c r="F240" s="91" t="s">
        <v>8</v>
      </c>
      <c r="G240" s="91">
        <v>23711</v>
      </c>
      <c r="H240" s="90" t="s">
        <v>187</v>
      </c>
      <c r="I240" s="91" t="s">
        <v>21</v>
      </c>
      <c r="J240" s="91">
        <v>43922</v>
      </c>
      <c r="K240" s="121">
        <v>56</v>
      </c>
      <c r="L240" s="91">
        <v>44523</v>
      </c>
      <c r="M240" s="91"/>
      <c r="N240" s="125">
        <v>0</v>
      </c>
      <c r="O240" s="92">
        <v>11592.840000000002</v>
      </c>
      <c r="Q240" s="14"/>
    </row>
    <row r="241" ht="15" customHeight="1">
      <c r="B241" s="13"/>
      <c r="C241" s="22" t="s">
        <v>184</v>
      </c>
      <c r="D241" s="90" t="s">
        <v>638</v>
      </c>
      <c r="E241" s="122" t="s">
        <v>639</v>
      </c>
      <c r="F241" s="91" t="s">
        <v>8</v>
      </c>
      <c r="G241" s="91">
        <v>23694</v>
      </c>
      <c r="H241" s="90" t="s">
        <v>187</v>
      </c>
      <c r="I241" s="91" t="s">
        <v>21</v>
      </c>
      <c r="J241" s="91">
        <v>44222</v>
      </c>
      <c r="K241" s="121">
        <v>57</v>
      </c>
      <c r="L241" s="91">
        <v>44326</v>
      </c>
      <c r="M241" s="91">
        <v>44326</v>
      </c>
      <c r="N241" s="125">
        <v>104</v>
      </c>
      <c r="O241" s="92">
        <v>1757.25</v>
      </c>
      <c r="Q241" s="14"/>
    </row>
    <row r="242" ht="15" customHeight="1">
      <c r="B242" s="13"/>
      <c r="C242" s="22" t="s">
        <v>184</v>
      </c>
      <c r="D242" s="90" t="s">
        <v>640</v>
      </c>
      <c r="E242" s="122" t="s">
        <v>641</v>
      </c>
      <c r="F242" s="91" t="s">
        <v>8</v>
      </c>
      <c r="G242" s="91">
        <v>23721</v>
      </c>
      <c r="H242" s="90" t="s">
        <v>197</v>
      </c>
      <c r="I242" s="91" t="s">
        <v>21</v>
      </c>
      <c r="J242" s="91">
        <v>43904</v>
      </c>
      <c r="K242" s="121">
        <v>56</v>
      </c>
      <c r="L242" s="91">
        <v>44347</v>
      </c>
      <c r="M242" s="91">
        <v>44347</v>
      </c>
      <c r="N242" s="125">
        <v>443</v>
      </c>
      <c r="O242" s="92">
        <v>6318.5300000000007</v>
      </c>
      <c r="Q242" s="14"/>
    </row>
    <row r="243" ht="15" customHeight="1">
      <c r="B243" s="13"/>
      <c r="C243" s="22" t="s">
        <v>184</v>
      </c>
      <c r="D243" s="90" t="s">
        <v>642</v>
      </c>
      <c r="E243" s="122" t="s">
        <v>643</v>
      </c>
      <c r="F243" s="91" t="s">
        <v>8</v>
      </c>
      <c r="G243" s="91">
        <v>23716</v>
      </c>
      <c r="H243" s="90" t="s">
        <v>187</v>
      </c>
      <c r="I243" s="91" t="s">
        <v>21</v>
      </c>
      <c r="J243" s="91">
        <v>44286</v>
      </c>
      <c r="K243" s="121">
        <v>57</v>
      </c>
      <c r="L243" s="91">
        <v>44340</v>
      </c>
      <c r="M243" s="91">
        <v>44340</v>
      </c>
      <c r="N243" s="125">
        <v>54</v>
      </c>
      <c r="O243" s="92">
        <v>521.25</v>
      </c>
      <c r="Q243" s="14"/>
    </row>
    <row r="244" ht="15" customHeight="1">
      <c r="B244" s="13"/>
      <c r="C244" s="22" t="s">
        <v>184</v>
      </c>
      <c r="D244" s="90" t="s">
        <v>644</v>
      </c>
      <c r="E244" s="122" t="s">
        <v>645</v>
      </c>
      <c r="F244" s="91" t="s">
        <v>8</v>
      </c>
      <c r="G244" s="91">
        <v>23735</v>
      </c>
      <c r="H244" s="90" t="s">
        <v>187</v>
      </c>
      <c r="I244" s="91" t="s">
        <v>21</v>
      </c>
      <c r="J244" s="91">
        <v>44298</v>
      </c>
      <c r="K244" s="121">
        <v>57</v>
      </c>
      <c r="L244" s="91">
        <v>44537</v>
      </c>
      <c r="M244" s="91"/>
      <c r="N244" s="125">
        <v>0</v>
      </c>
      <c r="O244" s="92">
        <v>6390.3</v>
      </c>
      <c r="Q244" s="14"/>
    </row>
    <row r="245" ht="15" customHeight="1">
      <c r="B245" s="13"/>
      <c r="C245" s="22" t="s">
        <v>184</v>
      </c>
      <c r="D245" s="90" t="s">
        <v>646</v>
      </c>
      <c r="E245" s="122" t="s">
        <v>647</v>
      </c>
      <c r="F245" s="91" t="s">
        <v>8</v>
      </c>
      <c r="G245" s="91">
        <v>23739</v>
      </c>
      <c r="H245" s="90" t="s">
        <v>197</v>
      </c>
      <c r="I245" s="91" t="s">
        <v>21</v>
      </c>
      <c r="J245" s="91">
        <v>43985</v>
      </c>
      <c r="K245" s="121">
        <v>56</v>
      </c>
      <c r="L245" s="91">
        <v>44531</v>
      </c>
      <c r="M245" s="91"/>
      <c r="N245" s="125">
        <v>0</v>
      </c>
      <c r="O245" s="92">
        <v>21648.899999999994</v>
      </c>
      <c r="Q245" s="14"/>
    </row>
    <row r="246" ht="15" customHeight="1">
      <c r="B246" s="13"/>
      <c r="C246" s="22" t="s">
        <v>184</v>
      </c>
      <c r="D246" s="90" t="s">
        <v>648</v>
      </c>
      <c r="E246" s="122" t="s">
        <v>649</v>
      </c>
      <c r="F246" s="91" t="s">
        <v>8</v>
      </c>
      <c r="G246" s="91">
        <v>23735</v>
      </c>
      <c r="H246" s="90" t="s">
        <v>187</v>
      </c>
      <c r="I246" s="91" t="s">
        <v>21</v>
      </c>
      <c r="J246" s="91">
        <v>44469</v>
      </c>
      <c r="K246" s="121">
        <v>57</v>
      </c>
      <c r="L246" s="91">
        <v>44531</v>
      </c>
      <c r="M246" s="91"/>
      <c r="N246" s="125">
        <v>0</v>
      </c>
      <c r="O246" s="92">
        <v>1202.52</v>
      </c>
      <c r="Q246" s="14"/>
    </row>
    <row r="247" ht="15" customHeight="1">
      <c r="B247" s="13"/>
      <c r="C247" s="22" t="s">
        <v>184</v>
      </c>
      <c r="D247" s="90" t="s">
        <v>650</v>
      </c>
      <c r="E247" s="122" t="s">
        <v>651</v>
      </c>
      <c r="F247" s="91" t="s">
        <v>8</v>
      </c>
      <c r="G247" s="91">
        <v>23743</v>
      </c>
      <c r="H247" s="90" t="s">
        <v>197</v>
      </c>
      <c r="I247" s="91" t="s">
        <v>21</v>
      </c>
      <c r="J247" s="91">
        <v>43921</v>
      </c>
      <c r="K247" s="121">
        <v>55</v>
      </c>
      <c r="L247" s="91">
        <v>43980</v>
      </c>
      <c r="M247" s="91">
        <v>43980</v>
      </c>
      <c r="N247" s="125">
        <v>59</v>
      </c>
      <c r="O247" s="92">
        <v>1779</v>
      </c>
      <c r="Q247" s="14"/>
    </row>
    <row r="248" ht="15" customHeight="1">
      <c r="B248" s="13"/>
      <c r="C248" s="22" t="s">
        <v>184</v>
      </c>
      <c r="D248" s="90" t="s">
        <v>652</v>
      </c>
      <c r="E248" s="122" t="s">
        <v>653</v>
      </c>
      <c r="F248" s="91" t="s">
        <v>8</v>
      </c>
      <c r="G248" s="91">
        <v>23761</v>
      </c>
      <c r="H248" s="90" t="s">
        <v>187</v>
      </c>
      <c r="I248" s="91" t="s">
        <v>21</v>
      </c>
      <c r="J248" s="91">
        <v>43955</v>
      </c>
      <c r="K248" s="121">
        <v>55</v>
      </c>
      <c r="L248" s="91">
        <v>44243</v>
      </c>
      <c r="M248" s="91">
        <v>44243</v>
      </c>
      <c r="N248" s="125">
        <v>288</v>
      </c>
      <c r="O248" s="92">
        <v>0</v>
      </c>
      <c r="Q248" s="14"/>
    </row>
    <row r="249" ht="15" customHeight="1">
      <c r="B249" s="13"/>
      <c r="C249" s="22" t="s">
        <v>184</v>
      </c>
      <c r="D249" s="90" t="s">
        <v>654</v>
      </c>
      <c r="E249" s="122" t="s">
        <v>655</v>
      </c>
      <c r="F249" s="91" t="s">
        <v>8</v>
      </c>
      <c r="G249" s="91">
        <v>23796</v>
      </c>
      <c r="H249" s="90" t="s">
        <v>187</v>
      </c>
      <c r="I249" s="91" t="s">
        <v>21</v>
      </c>
      <c r="J249" s="91">
        <v>43984</v>
      </c>
      <c r="K249" s="121">
        <v>55</v>
      </c>
      <c r="L249" s="91">
        <v>44073</v>
      </c>
      <c r="M249" s="91">
        <v>44073</v>
      </c>
      <c r="N249" s="125">
        <v>89</v>
      </c>
      <c r="O249" s="92">
        <v>1087.2</v>
      </c>
      <c r="Q249" s="14"/>
    </row>
    <row r="250" ht="15" customHeight="1">
      <c r="B250" s="13"/>
      <c r="C250" s="22" t="s">
        <v>184</v>
      </c>
      <c r="D250" s="90" t="s">
        <v>656</v>
      </c>
      <c r="E250" s="122" t="s">
        <v>657</v>
      </c>
      <c r="F250" s="91" t="s">
        <v>8</v>
      </c>
      <c r="G250" s="91">
        <v>23801</v>
      </c>
      <c r="H250" s="90" t="s">
        <v>187</v>
      </c>
      <c r="I250" s="91" t="s">
        <v>21</v>
      </c>
      <c r="J250" s="91">
        <v>44239</v>
      </c>
      <c r="K250" s="121">
        <v>56</v>
      </c>
      <c r="L250" s="91">
        <v>44522</v>
      </c>
      <c r="M250" s="91"/>
      <c r="N250" s="125">
        <v>0</v>
      </c>
      <c r="O250" s="92">
        <v>8059.4200000000019</v>
      </c>
      <c r="Q250" s="14"/>
    </row>
    <row r="251" ht="15" customHeight="1">
      <c r="B251" s="13"/>
      <c r="C251" s="22" t="s">
        <v>184</v>
      </c>
      <c r="D251" s="90" t="s">
        <v>658</v>
      </c>
      <c r="E251" s="122" t="s">
        <v>659</v>
      </c>
      <c r="F251" s="91" t="s">
        <v>8</v>
      </c>
      <c r="G251" s="91">
        <v>23818</v>
      </c>
      <c r="H251" s="90" t="s">
        <v>197</v>
      </c>
      <c r="I251" s="91" t="s">
        <v>21</v>
      </c>
      <c r="J251" s="91">
        <v>44382</v>
      </c>
      <c r="K251" s="121">
        <v>56</v>
      </c>
      <c r="L251" s="91">
        <v>44528</v>
      </c>
      <c r="M251" s="91"/>
      <c r="N251" s="125">
        <v>0</v>
      </c>
      <c r="O251" s="92">
        <v>3126.2400000000002</v>
      </c>
      <c r="Q251" s="14"/>
    </row>
    <row r="252" ht="15" customHeight="1">
      <c r="B252" s="13"/>
      <c r="C252" s="22" t="s">
        <v>184</v>
      </c>
      <c r="D252" s="90" t="s">
        <v>660</v>
      </c>
      <c r="E252" s="122" t="s">
        <v>661</v>
      </c>
      <c r="F252" s="91" t="s">
        <v>8</v>
      </c>
      <c r="G252" s="91">
        <v>23802</v>
      </c>
      <c r="H252" s="90" t="s">
        <v>187</v>
      </c>
      <c r="I252" s="91" t="s">
        <v>21</v>
      </c>
      <c r="J252" s="91">
        <v>44438</v>
      </c>
      <c r="K252" s="121">
        <v>56</v>
      </c>
      <c r="L252" s="91">
        <v>44479</v>
      </c>
      <c r="M252" s="91">
        <v>44479</v>
      </c>
      <c r="N252" s="125">
        <v>41</v>
      </c>
      <c r="O252" s="92">
        <v>499.44</v>
      </c>
      <c r="Q252" s="14"/>
    </row>
    <row r="253" ht="15" customHeight="1">
      <c r="B253" s="13"/>
      <c r="C253" s="22" t="s">
        <v>400</v>
      </c>
      <c r="D253" s="90" t="s">
        <v>662</v>
      </c>
      <c r="E253" s="122" t="s">
        <v>663</v>
      </c>
      <c r="F253" s="91" t="s">
        <v>8</v>
      </c>
      <c r="G253" s="91">
        <v>23854</v>
      </c>
      <c r="H253" s="90" t="s">
        <v>187</v>
      </c>
      <c r="I253" s="91" t="s">
        <v>21</v>
      </c>
      <c r="J253" s="91">
        <v>44068</v>
      </c>
      <c r="K253" s="121">
        <v>55</v>
      </c>
      <c r="L253" s="91">
        <v>44122</v>
      </c>
      <c r="M253" s="91">
        <v>44122</v>
      </c>
      <c r="N253" s="125">
        <v>54</v>
      </c>
      <c r="O253" s="92">
        <v>863</v>
      </c>
      <c r="Q253" s="14"/>
    </row>
    <row r="254" ht="15" customHeight="1">
      <c r="B254" s="13"/>
      <c r="C254" s="22" t="s">
        <v>184</v>
      </c>
      <c r="D254" s="90" t="s">
        <v>664</v>
      </c>
      <c r="E254" s="122" t="s">
        <v>665</v>
      </c>
      <c r="F254" s="91" t="s">
        <v>8</v>
      </c>
      <c r="G254" s="91">
        <v>23868</v>
      </c>
      <c r="H254" s="90" t="s">
        <v>187</v>
      </c>
      <c r="I254" s="91" t="s">
        <v>21</v>
      </c>
      <c r="J254" s="91">
        <v>44153</v>
      </c>
      <c r="K254" s="121">
        <v>55</v>
      </c>
      <c r="L254" s="91">
        <v>44533</v>
      </c>
      <c r="M254" s="91"/>
      <c r="N254" s="125">
        <v>0</v>
      </c>
      <c r="O254" s="92">
        <v>10228.599999999999</v>
      </c>
      <c r="Q254" s="14"/>
    </row>
    <row r="255" ht="15" customHeight="1">
      <c r="B255" s="13"/>
      <c r="C255" s="22" t="s">
        <v>184</v>
      </c>
      <c r="D255" s="90" t="s">
        <v>666</v>
      </c>
      <c r="E255" s="122" t="s">
        <v>667</v>
      </c>
      <c r="F255" s="91" t="s">
        <v>8</v>
      </c>
      <c r="G255" s="91">
        <v>23892</v>
      </c>
      <c r="H255" s="90" t="s">
        <v>187</v>
      </c>
      <c r="I255" s="91" t="s">
        <v>21</v>
      </c>
      <c r="J255" s="91">
        <v>44168</v>
      </c>
      <c r="K255" s="121">
        <v>55</v>
      </c>
      <c r="L255" s="91">
        <v>44440</v>
      </c>
      <c r="M255" s="91"/>
      <c r="N255" s="125">
        <v>0</v>
      </c>
      <c r="O255" s="92">
        <v>5180.76</v>
      </c>
      <c r="Q255" s="14"/>
    </row>
    <row r="256" ht="15" customHeight="1">
      <c r="B256" s="13"/>
      <c r="C256" s="22" t="s">
        <v>184</v>
      </c>
      <c r="D256" s="90" t="s">
        <v>668</v>
      </c>
      <c r="E256" s="122" t="s">
        <v>669</v>
      </c>
      <c r="F256" s="91" t="s">
        <v>8</v>
      </c>
      <c r="G256" s="91">
        <v>23874</v>
      </c>
      <c r="H256" s="90" t="s">
        <v>187</v>
      </c>
      <c r="I256" s="91" t="s">
        <v>21</v>
      </c>
      <c r="J256" s="91">
        <v>44242</v>
      </c>
      <c r="K256" s="121">
        <v>56</v>
      </c>
      <c r="L256" s="91">
        <v>44531</v>
      </c>
      <c r="M256" s="91"/>
      <c r="N256" s="125">
        <v>0</v>
      </c>
      <c r="O256" s="92">
        <v>4893.1999999999989</v>
      </c>
      <c r="Q256" s="14"/>
    </row>
    <row r="257" ht="15" customHeight="1">
      <c r="B257" s="13"/>
      <c r="C257" s="22" t="s">
        <v>184</v>
      </c>
      <c r="D257" s="90" t="s">
        <v>670</v>
      </c>
      <c r="E257" s="122" t="s">
        <v>671</v>
      </c>
      <c r="F257" s="91" t="s">
        <v>8</v>
      </c>
      <c r="G257" s="91">
        <v>23907</v>
      </c>
      <c r="H257" s="90" t="s">
        <v>187</v>
      </c>
      <c r="I257" s="91" t="s">
        <v>21</v>
      </c>
      <c r="J257" s="91">
        <v>44073</v>
      </c>
      <c r="K257" s="121">
        <v>55</v>
      </c>
      <c r="L257" s="91">
        <v>44159</v>
      </c>
      <c r="M257" s="91">
        <v>44159</v>
      </c>
      <c r="N257" s="125">
        <v>86</v>
      </c>
      <c r="O257" s="92">
        <v>1257.99</v>
      </c>
      <c r="Q257" s="14"/>
    </row>
    <row r="258" ht="15" customHeight="1">
      <c r="B258" s="13"/>
      <c r="C258" s="22" t="s">
        <v>184</v>
      </c>
      <c r="D258" s="90" t="s">
        <v>672</v>
      </c>
      <c r="E258" s="122" t="s">
        <v>673</v>
      </c>
      <c r="F258" s="91" t="s">
        <v>8</v>
      </c>
      <c r="G258" s="91">
        <v>23924</v>
      </c>
      <c r="H258" s="90" t="s">
        <v>187</v>
      </c>
      <c r="I258" s="91" t="s">
        <v>21</v>
      </c>
      <c r="J258" s="91">
        <v>44314</v>
      </c>
      <c r="K258" s="121">
        <v>56</v>
      </c>
      <c r="L258" s="91">
        <v>44452</v>
      </c>
      <c r="M258" s="91">
        <v>44452</v>
      </c>
      <c r="N258" s="125">
        <v>138</v>
      </c>
      <c r="O258" s="92">
        <v>127.53</v>
      </c>
      <c r="Q258" s="14"/>
    </row>
    <row r="259" ht="15" customHeight="1">
      <c r="B259" s="13"/>
      <c r="C259" s="22" t="s">
        <v>674</v>
      </c>
      <c r="D259" s="90" t="s">
        <v>675</v>
      </c>
      <c r="E259" s="122" t="s">
        <v>676</v>
      </c>
      <c r="F259" s="91" t="s">
        <v>8</v>
      </c>
      <c r="G259" s="91">
        <v>23955</v>
      </c>
      <c r="H259" s="90" t="s">
        <v>187</v>
      </c>
      <c r="I259" s="91" t="s">
        <v>21</v>
      </c>
      <c r="J259" s="91">
        <v>44120</v>
      </c>
      <c r="K259" s="121">
        <v>55</v>
      </c>
      <c r="L259" s="91">
        <v>44159</v>
      </c>
      <c r="M259" s="91">
        <v>44159</v>
      </c>
      <c r="N259" s="125">
        <v>39</v>
      </c>
      <c r="O259" s="92">
        <v>5.83</v>
      </c>
      <c r="Q259" s="14"/>
    </row>
    <row r="260" ht="15" customHeight="1">
      <c r="B260" s="13"/>
      <c r="C260" s="22" t="s">
        <v>674</v>
      </c>
      <c r="D260" s="90" t="s">
        <v>677</v>
      </c>
      <c r="E260" s="122" t="s">
        <v>676</v>
      </c>
      <c r="F260" s="91" t="s">
        <v>8</v>
      </c>
      <c r="G260" s="91">
        <v>23955</v>
      </c>
      <c r="H260" s="90" t="s">
        <v>187</v>
      </c>
      <c r="I260" s="91" t="s">
        <v>21</v>
      </c>
      <c r="J260" s="91">
        <v>44257</v>
      </c>
      <c r="K260" s="121">
        <v>56</v>
      </c>
      <c r="L260" s="91">
        <v>44276</v>
      </c>
      <c r="M260" s="91">
        <v>44276</v>
      </c>
      <c r="N260" s="125">
        <v>19</v>
      </c>
      <c r="O260" s="92">
        <v>114.55</v>
      </c>
      <c r="Q260" s="14"/>
    </row>
    <row r="261" ht="15" customHeight="1">
      <c r="B261" s="13"/>
      <c r="C261" s="22" t="s">
        <v>184</v>
      </c>
      <c r="D261" s="90" t="s">
        <v>678</v>
      </c>
      <c r="E261" s="122" t="s">
        <v>679</v>
      </c>
      <c r="F261" s="91" t="s">
        <v>8</v>
      </c>
      <c r="G261" s="91">
        <v>23980</v>
      </c>
      <c r="H261" s="90" t="s">
        <v>197</v>
      </c>
      <c r="I261" s="91" t="s">
        <v>21</v>
      </c>
      <c r="J261" s="91">
        <v>44341</v>
      </c>
      <c r="K261" s="121">
        <v>56</v>
      </c>
      <c r="L261" s="91">
        <v>44519</v>
      </c>
      <c r="M261" s="91">
        <v>44530</v>
      </c>
      <c r="N261" s="125">
        <v>189</v>
      </c>
      <c r="O261" s="92">
        <v>8893.32</v>
      </c>
      <c r="Q261" s="14"/>
    </row>
    <row r="262" ht="15" customHeight="1">
      <c r="B262" s="13"/>
      <c r="C262" s="22" t="s">
        <v>184</v>
      </c>
      <c r="D262" s="90" t="s">
        <v>680</v>
      </c>
      <c r="E262" s="122" t="s">
        <v>681</v>
      </c>
      <c r="F262" s="91" t="s">
        <v>8</v>
      </c>
      <c r="G262" s="91">
        <v>24041</v>
      </c>
      <c r="H262" s="90" t="s">
        <v>197</v>
      </c>
      <c r="I262" s="91" t="s">
        <v>21</v>
      </c>
      <c r="J262" s="91">
        <v>44405</v>
      </c>
      <c r="K262" s="121">
        <v>56</v>
      </c>
      <c r="L262" s="91">
        <v>44531</v>
      </c>
      <c r="M262" s="91">
        <v>44558</v>
      </c>
      <c r="N262" s="125">
        <v>153</v>
      </c>
      <c r="O262" s="92">
        <v>5399.02</v>
      </c>
      <c r="Q262" s="14"/>
    </row>
    <row r="263" ht="15" customHeight="1">
      <c r="B263" s="13"/>
      <c r="C263" s="22" t="s">
        <v>184</v>
      </c>
      <c r="D263" s="90" t="s">
        <v>682</v>
      </c>
      <c r="E263" s="122" t="s">
        <v>683</v>
      </c>
      <c r="F263" s="91" t="s">
        <v>8</v>
      </c>
      <c r="G263" s="91">
        <v>24016</v>
      </c>
      <c r="H263" s="90" t="s">
        <v>187</v>
      </c>
      <c r="I263" s="91" t="s">
        <v>21</v>
      </c>
      <c r="J263" s="91">
        <v>44319</v>
      </c>
      <c r="K263" s="121">
        <v>56</v>
      </c>
      <c r="L263" s="91">
        <v>44524</v>
      </c>
      <c r="M263" s="91"/>
      <c r="N263" s="125">
        <v>0</v>
      </c>
      <c r="O263" s="92">
        <v>4929.76</v>
      </c>
      <c r="Q263" s="14"/>
    </row>
    <row r="264" ht="15" customHeight="1">
      <c r="B264" s="13"/>
      <c r="C264" s="22" t="s">
        <v>184</v>
      </c>
      <c r="D264" s="90" t="s">
        <v>684</v>
      </c>
      <c r="E264" s="122" t="s">
        <v>685</v>
      </c>
      <c r="F264" s="91" t="s">
        <v>8</v>
      </c>
      <c r="G264" s="91">
        <v>24075</v>
      </c>
      <c r="H264" s="90" t="s">
        <v>197</v>
      </c>
      <c r="I264" s="91" t="s">
        <v>21</v>
      </c>
      <c r="J264" s="91">
        <v>44013</v>
      </c>
      <c r="K264" s="121">
        <v>55</v>
      </c>
      <c r="L264" s="91">
        <v>44469</v>
      </c>
      <c r="M264" s="91">
        <v>44316</v>
      </c>
      <c r="N264" s="125">
        <v>303</v>
      </c>
      <c r="O264" s="92">
        <v>9204.65</v>
      </c>
      <c r="Q264" s="14"/>
    </row>
    <row r="265" ht="15" customHeight="1">
      <c r="B265" s="13"/>
      <c r="C265" s="22" t="s">
        <v>184</v>
      </c>
      <c r="D265" s="90" t="s">
        <v>686</v>
      </c>
      <c r="E265" s="122" t="s">
        <v>687</v>
      </c>
      <c r="F265" s="91" t="s">
        <v>8</v>
      </c>
      <c r="G265" s="91">
        <v>24047</v>
      </c>
      <c r="H265" s="90" t="s">
        <v>187</v>
      </c>
      <c r="I265" s="91" t="s">
        <v>21</v>
      </c>
      <c r="J265" s="91">
        <v>44088</v>
      </c>
      <c r="K265" s="121">
        <v>55</v>
      </c>
      <c r="L265" s="91">
        <v>44245</v>
      </c>
      <c r="M265" s="91">
        <v>44245</v>
      </c>
      <c r="N265" s="125">
        <v>157</v>
      </c>
      <c r="O265" s="92">
        <v>1835.5199999999998</v>
      </c>
      <c r="Q265" s="14"/>
    </row>
    <row r="266" ht="15" customHeight="1">
      <c r="B266" s="13"/>
      <c r="C266" s="22" t="s">
        <v>184</v>
      </c>
      <c r="D266" s="90" t="s">
        <v>688</v>
      </c>
      <c r="E266" s="122" t="s">
        <v>689</v>
      </c>
      <c r="F266" s="91" t="s">
        <v>8</v>
      </c>
      <c r="G266" s="91">
        <v>25947</v>
      </c>
      <c r="H266" s="90" t="s">
        <v>187</v>
      </c>
      <c r="I266" s="91" t="s">
        <v>21</v>
      </c>
      <c r="J266" s="91">
        <v>44284</v>
      </c>
      <c r="K266" s="121">
        <v>50</v>
      </c>
      <c r="L266" s="91">
        <v>44346</v>
      </c>
      <c r="M266" s="91">
        <v>44346</v>
      </c>
      <c r="N266" s="125">
        <v>62</v>
      </c>
      <c r="O266" s="92">
        <v>853.71</v>
      </c>
      <c r="Q266" s="14"/>
    </row>
    <row r="267" ht="15" customHeight="1">
      <c r="B267" s="13"/>
      <c r="C267" s="22" t="s">
        <v>184</v>
      </c>
      <c r="D267" s="90" t="s">
        <v>690</v>
      </c>
      <c r="E267" s="122" t="s">
        <v>691</v>
      </c>
      <c r="F267" s="91" t="s">
        <v>8</v>
      </c>
      <c r="G267" s="91">
        <v>24209</v>
      </c>
      <c r="H267" s="90" t="s">
        <v>187</v>
      </c>
      <c r="I267" s="91" t="s">
        <v>21</v>
      </c>
      <c r="J267" s="91">
        <v>44208</v>
      </c>
      <c r="K267" s="121">
        <v>55</v>
      </c>
      <c r="L267" s="91">
        <v>44531</v>
      </c>
      <c r="M267" s="91"/>
      <c r="N267" s="125">
        <v>0</v>
      </c>
      <c r="O267" s="92">
        <v>9637.32</v>
      </c>
      <c r="Q267" s="14"/>
    </row>
    <row r="268" ht="15" customHeight="1">
      <c r="B268" s="13"/>
      <c r="C268" s="22" t="s">
        <v>184</v>
      </c>
      <c r="D268" s="90" t="s">
        <v>692</v>
      </c>
      <c r="E268" s="122" t="s">
        <v>693</v>
      </c>
      <c r="F268" s="91" t="s">
        <v>8</v>
      </c>
      <c r="G268" s="91">
        <v>25456</v>
      </c>
      <c r="H268" s="90" t="s">
        <v>187</v>
      </c>
      <c r="I268" s="91" t="s">
        <v>21</v>
      </c>
      <c r="J268" s="91">
        <v>43887</v>
      </c>
      <c r="K268" s="121">
        <v>51</v>
      </c>
      <c r="L268" s="91">
        <v>44135</v>
      </c>
      <c r="M268" s="91">
        <v>44135</v>
      </c>
      <c r="N268" s="125">
        <v>248</v>
      </c>
      <c r="O268" s="92">
        <v>156.74</v>
      </c>
      <c r="Q268" s="14"/>
    </row>
    <row r="269" ht="15" customHeight="1">
      <c r="B269" s="13"/>
      <c r="C269" s="22" t="s">
        <v>184</v>
      </c>
      <c r="D269" s="90" t="s">
        <v>694</v>
      </c>
      <c r="E269" s="122" t="s">
        <v>695</v>
      </c>
      <c r="F269" s="91" t="s">
        <v>8</v>
      </c>
      <c r="G269" s="91">
        <v>19445</v>
      </c>
      <c r="H269" s="90" t="s">
        <v>187</v>
      </c>
      <c r="I269" s="91" t="s">
        <v>21</v>
      </c>
      <c r="J269" s="91">
        <v>43854</v>
      </c>
      <c r="K269" s="121">
        <v>67</v>
      </c>
      <c r="L269" s="91">
        <v>44286</v>
      </c>
      <c r="M269" s="91">
        <v>44286</v>
      </c>
      <c r="N269" s="125">
        <v>432</v>
      </c>
      <c r="O269" s="92">
        <v>4118.61</v>
      </c>
      <c r="Q269" s="14"/>
    </row>
    <row r="270" ht="15" customHeight="1">
      <c r="B270" s="13"/>
      <c r="C270" s="22" t="s">
        <v>184</v>
      </c>
      <c r="D270" s="90" t="s">
        <v>696</v>
      </c>
      <c r="E270" s="122" t="s">
        <v>697</v>
      </c>
      <c r="F270" s="91" t="s">
        <v>8</v>
      </c>
      <c r="G270" s="91">
        <v>24700</v>
      </c>
      <c r="H270" s="90" t="s">
        <v>187</v>
      </c>
      <c r="I270" s="91" t="s">
        <v>21</v>
      </c>
      <c r="J270" s="91">
        <v>44207</v>
      </c>
      <c r="K270" s="121">
        <v>54</v>
      </c>
      <c r="L270" s="91">
        <v>44532</v>
      </c>
      <c r="M270" s="91"/>
      <c r="N270" s="125">
        <v>0</v>
      </c>
      <c r="O270" s="92">
        <v>5588.4800000000005</v>
      </c>
      <c r="Q270" s="14"/>
    </row>
    <row r="271" ht="15" customHeight="1">
      <c r="B271" s="13"/>
      <c r="C271" s="22" t="s">
        <v>184</v>
      </c>
      <c r="D271" s="90" t="s">
        <v>698</v>
      </c>
      <c r="E271" s="122" t="s">
        <v>699</v>
      </c>
      <c r="F271" s="91" t="s">
        <v>8</v>
      </c>
      <c r="G271" s="91">
        <v>26358</v>
      </c>
      <c r="H271" s="90" t="s">
        <v>187</v>
      </c>
      <c r="I271" s="91" t="s">
        <v>21</v>
      </c>
      <c r="J271" s="91">
        <v>44407</v>
      </c>
      <c r="K271" s="121">
        <v>49</v>
      </c>
      <c r="L271" s="91">
        <v>44477</v>
      </c>
      <c r="M271" s="91">
        <v>44477</v>
      </c>
      <c r="N271" s="125">
        <v>70</v>
      </c>
      <c r="O271" s="92">
        <v>1186.95</v>
      </c>
      <c r="Q271" s="14"/>
    </row>
    <row r="272" ht="15" customHeight="1">
      <c r="B272" s="13"/>
      <c r="C272" s="22" t="s">
        <v>184</v>
      </c>
      <c r="D272" s="90" t="s">
        <v>700</v>
      </c>
      <c r="E272" s="122" t="s">
        <v>701</v>
      </c>
      <c r="F272" s="91" t="s">
        <v>8</v>
      </c>
      <c r="G272" s="91">
        <v>22737</v>
      </c>
      <c r="H272" s="90" t="s">
        <v>197</v>
      </c>
      <c r="I272" s="91" t="s">
        <v>21</v>
      </c>
      <c r="J272" s="91">
        <v>44138</v>
      </c>
      <c r="K272" s="121">
        <v>58</v>
      </c>
      <c r="L272" s="91">
        <v>44530</v>
      </c>
      <c r="M272" s="91"/>
      <c r="N272" s="125">
        <v>0</v>
      </c>
      <c r="O272" s="92">
        <v>26469.96</v>
      </c>
      <c r="Q272" s="14"/>
    </row>
    <row r="273" ht="15" customHeight="1">
      <c r="B273" s="13"/>
      <c r="C273" s="22" t="s">
        <v>184</v>
      </c>
      <c r="D273" s="90" t="s">
        <v>702</v>
      </c>
      <c r="E273" s="122" t="s">
        <v>703</v>
      </c>
      <c r="F273" s="91" t="s">
        <v>8</v>
      </c>
      <c r="G273" s="91">
        <v>26377</v>
      </c>
      <c r="H273" s="90" t="s">
        <v>187</v>
      </c>
      <c r="I273" s="91" t="s">
        <v>21</v>
      </c>
      <c r="J273" s="91">
        <v>44125</v>
      </c>
      <c r="K273" s="121">
        <v>48</v>
      </c>
      <c r="L273" s="91">
        <v>44537</v>
      </c>
      <c r="M273" s="91"/>
      <c r="N273" s="125">
        <v>0</v>
      </c>
      <c r="O273" s="92">
        <v>12271.320000000002</v>
      </c>
      <c r="Q273" s="14"/>
    </row>
    <row r="274" ht="15" customHeight="1">
      <c r="B274" s="13"/>
      <c r="C274" s="22" t="s">
        <v>184</v>
      </c>
      <c r="D274" s="90" t="s">
        <v>704</v>
      </c>
      <c r="E274" s="122" t="s">
        <v>705</v>
      </c>
      <c r="F274" s="91" t="s">
        <v>8</v>
      </c>
      <c r="G274" s="91">
        <v>23089</v>
      </c>
      <c r="H274" s="90" t="s">
        <v>187</v>
      </c>
      <c r="I274" s="91" t="s">
        <v>21</v>
      </c>
      <c r="J274" s="91">
        <v>44117</v>
      </c>
      <c r="K274" s="121">
        <v>57</v>
      </c>
      <c r="L274" s="91">
        <v>44247</v>
      </c>
      <c r="M274" s="91">
        <v>44247</v>
      </c>
      <c r="N274" s="125">
        <v>130</v>
      </c>
      <c r="O274" s="92">
        <v>2592.6699999999996</v>
      </c>
      <c r="Q274" s="14"/>
    </row>
    <row r="275" ht="15" customHeight="1">
      <c r="B275" s="13"/>
      <c r="C275" s="22" t="s">
        <v>184</v>
      </c>
      <c r="D275" s="90" t="s">
        <v>706</v>
      </c>
      <c r="E275" s="122" t="s">
        <v>707</v>
      </c>
      <c r="F275" s="91" t="s">
        <v>8</v>
      </c>
      <c r="G275" s="91">
        <v>25883</v>
      </c>
      <c r="H275" s="90" t="s">
        <v>187</v>
      </c>
      <c r="I275" s="91" t="s">
        <v>21</v>
      </c>
      <c r="J275" s="91">
        <v>44308</v>
      </c>
      <c r="K275" s="121">
        <v>51</v>
      </c>
      <c r="L275" s="91">
        <v>44477</v>
      </c>
      <c r="M275" s="91">
        <v>44477</v>
      </c>
      <c r="N275" s="125">
        <v>169</v>
      </c>
      <c r="O275" s="92">
        <v>2778.71</v>
      </c>
      <c r="Q275" s="14"/>
    </row>
    <row r="276" ht="15" customHeight="1">
      <c r="B276" s="13"/>
      <c r="C276" s="22" t="s">
        <v>184</v>
      </c>
      <c r="D276" s="90" t="s">
        <v>708</v>
      </c>
      <c r="E276" s="122" t="s">
        <v>709</v>
      </c>
      <c r="F276" s="91" t="s">
        <v>8</v>
      </c>
      <c r="G276" s="91">
        <v>26303</v>
      </c>
      <c r="H276" s="90" t="s">
        <v>187</v>
      </c>
      <c r="I276" s="91" t="s">
        <v>21</v>
      </c>
      <c r="J276" s="91">
        <v>43851</v>
      </c>
      <c r="K276" s="121">
        <v>48</v>
      </c>
      <c r="L276" s="91">
        <v>44523</v>
      </c>
      <c r="M276" s="91"/>
      <c r="N276" s="125">
        <v>0</v>
      </c>
      <c r="O276" s="92">
        <v>2046</v>
      </c>
      <c r="Q276" s="14"/>
    </row>
    <row r="277" ht="15" customHeight="1">
      <c r="B277" s="13"/>
      <c r="C277" s="22" t="s">
        <v>184</v>
      </c>
      <c r="D277" s="90" t="s">
        <v>710</v>
      </c>
      <c r="E277" s="122" t="s">
        <v>711</v>
      </c>
      <c r="F277" s="91" t="s">
        <v>8</v>
      </c>
      <c r="G277" s="91">
        <v>25120</v>
      </c>
      <c r="H277" s="90" t="s">
        <v>187</v>
      </c>
      <c r="I277" s="91" t="s">
        <v>21</v>
      </c>
      <c r="J277" s="91">
        <v>44400</v>
      </c>
      <c r="K277" s="121">
        <v>53</v>
      </c>
      <c r="L277" s="91">
        <v>44533</v>
      </c>
      <c r="M277" s="91"/>
      <c r="N277" s="125">
        <v>0</v>
      </c>
      <c r="O277" s="92">
        <v>4126.7199999999993</v>
      </c>
      <c r="Q277" s="14"/>
    </row>
    <row r="278" ht="15" customHeight="1">
      <c r="B278" s="13"/>
      <c r="C278" s="22" t="s">
        <v>184</v>
      </c>
      <c r="D278" s="90" t="s">
        <v>712</v>
      </c>
      <c r="E278" s="122" t="s">
        <v>713</v>
      </c>
      <c r="F278" s="91" t="s">
        <v>8</v>
      </c>
      <c r="G278" s="91">
        <v>25908</v>
      </c>
      <c r="H278" s="90" t="s">
        <v>187</v>
      </c>
      <c r="I278" s="91" t="s">
        <v>21</v>
      </c>
      <c r="J278" s="91">
        <v>44144</v>
      </c>
      <c r="K278" s="121">
        <v>50</v>
      </c>
      <c r="L278" s="91">
        <v>44273</v>
      </c>
      <c r="M278" s="91">
        <v>44273</v>
      </c>
      <c r="N278" s="125">
        <v>129</v>
      </c>
      <c r="O278" s="92">
        <v>2740</v>
      </c>
      <c r="Q278" s="14"/>
    </row>
    <row r="279" ht="15" customHeight="1">
      <c r="B279" s="13"/>
      <c r="C279" s="22" t="s">
        <v>184</v>
      </c>
      <c r="D279" s="90" t="s">
        <v>714</v>
      </c>
      <c r="E279" s="122" t="s">
        <v>715</v>
      </c>
      <c r="F279" s="91" t="s">
        <v>8</v>
      </c>
      <c r="G279" s="91">
        <v>22820</v>
      </c>
      <c r="H279" s="90" t="s">
        <v>187</v>
      </c>
      <c r="I279" s="91" t="s">
        <v>21</v>
      </c>
      <c r="J279" s="91">
        <v>44303</v>
      </c>
      <c r="K279" s="121">
        <v>59</v>
      </c>
      <c r="L279" s="91">
        <v>44469</v>
      </c>
      <c r="M279" s="91">
        <v>44469</v>
      </c>
      <c r="N279" s="125">
        <v>166</v>
      </c>
      <c r="O279" s="92">
        <v>2320.7799999999997</v>
      </c>
      <c r="Q279" s="14"/>
    </row>
    <row r="280" ht="15" customHeight="1">
      <c r="B280" s="13"/>
      <c r="C280" s="22" t="s">
        <v>184</v>
      </c>
      <c r="D280" s="90" t="s">
        <v>716</v>
      </c>
      <c r="E280" s="122" t="s">
        <v>717</v>
      </c>
      <c r="F280" s="91" t="s">
        <v>8</v>
      </c>
      <c r="G280" s="91">
        <v>25920</v>
      </c>
      <c r="H280" s="90" t="s">
        <v>187</v>
      </c>
      <c r="I280" s="91" t="s">
        <v>21</v>
      </c>
      <c r="J280" s="91">
        <v>44174</v>
      </c>
      <c r="K280" s="121">
        <v>50</v>
      </c>
      <c r="L280" s="91">
        <v>44315</v>
      </c>
      <c r="M280" s="91">
        <v>44316</v>
      </c>
      <c r="N280" s="125">
        <v>142</v>
      </c>
      <c r="O280" s="92">
        <v>1290.24</v>
      </c>
      <c r="Q280" s="14"/>
    </row>
    <row r="281" ht="15" customHeight="1">
      <c r="B281" s="13"/>
      <c r="C281" s="22" t="s">
        <v>718</v>
      </c>
      <c r="D281" s="90" t="s">
        <v>719</v>
      </c>
      <c r="E281" s="122" t="s">
        <v>720</v>
      </c>
      <c r="F281" s="91" t="s">
        <v>8</v>
      </c>
      <c r="G281" s="91">
        <v>31351</v>
      </c>
      <c r="H281" s="90" t="s">
        <v>187</v>
      </c>
      <c r="I281" s="91" t="s">
        <v>21</v>
      </c>
      <c r="J281" s="91">
        <v>43886</v>
      </c>
      <c r="K281" s="121">
        <v>35</v>
      </c>
      <c r="L281" s="91">
        <v>43920</v>
      </c>
      <c r="M281" s="91">
        <v>43920</v>
      </c>
      <c r="N281" s="125">
        <v>34</v>
      </c>
      <c r="O281" s="92">
        <v>176.5</v>
      </c>
      <c r="Q281" s="14"/>
    </row>
    <row r="282" ht="15" customHeight="1">
      <c r="B282" s="13"/>
      <c r="C282" s="22" t="s">
        <v>184</v>
      </c>
      <c r="D282" s="90" t="s">
        <v>721</v>
      </c>
      <c r="E282" s="122" t="s">
        <v>722</v>
      </c>
      <c r="F282" s="91" t="s">
        <v>8</v>
      </c>
      <c r="G282" s="91">
        <v>25095</v>
      </c>
      <c r="H282" s="90" t="s">
        <v>187</v>
      </c>
      <c r="I282" s="91" t="s">
        <v>21</v>
      </c>
      <c r="J282" s="91">
        <v>43906</v>
      </c>
      <c r="K282" s="121">
        <v>52</v>
      </c>
      <c r="L282" s="91">
        <v>43957</v>
      </c>
      <c r="M282" s="91">
        <v>43957</v>
      </c>
      <c r="N282" s="125">
        <v>51</v>
      </c>
      <c r="O282" s="92">
        <v>1254</v>
      </c>
      <c r="Q282" s="14"/>
    </row>
    <row r="283" ht="15" customHeight="1">
      <c r="B283" s="13"/>
      <c r="C283" s="22" t="s">
        <v>184</v>
      </c>
      <c r="D283" s="90" t="s">
        <v>723</v>
      </c>
      <c r="E283" s="122" t="s">
        <v>724</v>
      </c>
      <c r="F283" s="91" t="s">
        <v>8</v>
      </c>
      <c r="G283" s="91">
        <v>26577</v>
      </c>
      <c r="H283" s="90" t="s">
        <v>197</v>
      </c>
      <c r="I283" s="91" t="s">
        <v>21</v>
      </c>
      <c r="J283" s="91">
        <v>44336</v>
      </c>
      <c r="K283" s="121">
        <v>49</v>
      </c>
      <c r="L283" s="91">
        <v>44533</v>
      </c>
      <c r="M283" s="91"/>
      <c r="N283" s="125">
        <v>0</v>
      </c>
      <c r="O283" s="92">
        <v>10140.48</v>
      </c>
      <c r="Q283" s="14"/>
    </row>
    <row r="284" ht="15" customHeight="1">
      <c r="B284" s="13"/>
      <c r="C284" s="22" t="s">
        <v>184</v>
      </c>
      <c r="D284" s="90" t="s">
        <v>725</v>
      </c>
      <c r="E284" s="122" t="s">
        <v>726</v>
      </c>
      <c r="F284" s="91" t="s">
        <v>8</v>
      </c>
      <c r="G284" s="91">
        <v>26439</v>
      </c>
      <c r="H284" s="90" t="s">
        <v>197</v>
      </c>
      <c r="I284" s="91" t="s">
        <v>21</v>
      </c>
      <c r="J284" s="91">
        <v>44106</v>
      </c>
      <c r="K284" s="121">
        <v>48</v>
      </c>
      <c r="L284" s="91">
        <v>44146</v>
      </c>
      <c r="M284" s="91">
        <v>44146</v>
      </c>
      <c r="N284" s="125">
        <v>40</v>
      </c>
      <c r="O284" s="92">
        <v>564.3</v>
      </c>
      <c r="Q284" s="14"/>
    </row>
    <row r="285" ht="15" customHeight="1">
      <c r="B285" s="13"/>
      <c r="C285" s="22" t="s">
        <v>184</v>
      </c>
      <c r="D285" s="90" t="s">
        <v>727</v>
      </c>
      <c r="E285" s="122" t="s">
        <v>728</v>
      </c>
      <c r="F285" s="91" t="s">
        <v>8</v>
      </c>
      <c r="G285" s="91">
        <v>25753</v>
      </c>
      <c r="H285" s="90" t="s">
        <v>187</v>
      </c>
      <c r="I285" s="91" t="s">
        <v>21</v>
      </c>
      <c r="J285" s="91">
        <v>44114</v>
      </c>
      <c r="K285" s="121">
        <v>50</v>
      </c>
      <c r="L285" s="91">
        <v>44344</v>
      </c>
      <c r="M285" s="91">
        <v>44344</v>
      </c>
      <c r="N285" s="125">
        <v>230</v>
      </c>
      <c r="O285" s="92">
        <v>4339.59</v>
      </c>
      <c r="Q285" s="14"/>
    </row>
    <row r="286" ht="15" customHeight="1">
      <c r="B286" s="13"/>
      <c r="C286" s="22" t="s">
        <v>184</v>
      </c>
      <c r="D286" s="90" t="s">
        <v>729</v>
      </c>
      <c r="E286" s="122" t="s">
        <v>730</v>
      </c>
      <c r="F286" s="91" t="s">
        <v>8</v>
      </c>
      <c r="G286" s="91">
        <v>20153</v>
      </c>
      <c r="H286" s="90" t="s">
        <v>187</v>
      </c>
      <c r="I286" s="91" t="s">
        <v>21</v>
      </c>
      <c r="J286" s="91">
        <v>43956</v>
      </c>
      <c r="K286" s="121">
        <v>65</v>
      </c>
      <c r="L286" s="91">
        <v>44196</v>
      </c>
      <c r="M286" s="91">
        <v>44196</v>
      </c>
      <c r="N286" s="125">
        <v>240</v>
      </c>
      <c r="O286" s="92">
        <v>3601.22</v>
      </c>
      <c r="Q286" s="14"/>
    </row>
    <row r="287" ht="15" customHeight="1">
      <c r="B287" s="13"/>
      <c r="C287" s="22" t="s">
        <v>184</v>
      </c>
      <c r="D287" s="90" t="s">
        <v>731</v>
      </c>
      <c r="E287" s="122" t="s">
        <v>732</v>
      </c>
      <c r="F287" s="91" t="s">
        <v>8</v>
      </c>
      <c r="G287" s="91">
        <v>26022</v>
      </c>
      <c r="H287" s="90" t="s">
        <v>187</v>
      </c>
      <c r="I287" s="91" t="s">
        <v>21</v>
      </c>
      <c r="J287" s="91">
        <v>44144</v>
      </c>
      <c r="K287" s="121">
        <v>49</v>
      </c>
      <c r="L287" s="91">
        <v>44294</v>
      </c>
      <c r="M287" s="91">
        <v>44294</v>
      </c>
      <c r="N287" s="125">
        <v>150</v>
      </c>
      <c r="O287" s="92">
        <v>5844.3</v>
      </c>
      <c r="Q287" s="14"/>
    </row>
    <row r="288" ht="15" customHeight="1">
      <c r="B288" s="13"/>
      <c r="C288" s="22" t="s">
        <v>184</v>
      </c>
      <c r="D288" s="90" t="s">
        <v>733</v>
      </c>
      <c r="E288" s="122" t="s">
        <v>734</v>
      </c>
      <c r="F288" s="91" t="s">
        <v>8</v>
      </c>
      <c r="G288" s="91">
        <v>20885</v>
      </c>
      <c r="H288" s="90" t="s">
        <v>187</v>
      </c>
      <c r="I288" s="91" t="s">
        <v>21</v>
      </c>
      <c r="J288" s="91">
        <v>43962</v>
      </c>
      <c r="K288" s="121">
        <v>63</v>
      </c>
      <c r="L288" s="91">
        <v>44519</v>
      </c>
      <c r="M288" s="91"/>
      <c r="N288" s="125">
        <v>0</v>
      </c>
      <c r="O288" s="92">
        <v>19752.480000000007</v>
      </c>
      <c r="Q288" s="14"/>
    </row>
    <row r="289" ht="15" customHeight="1">
      <c r="B289" s="13"/>
      <c r="C289" s="22" t="s">
        <v>184</v>
      </c>
      <c r="D289" s="90" t="s">
        <v>735</v>
      </c>
      <c r="E289" s="122" t="s">
        <v>736</v>
      </c>
      <c r="F289" s="91" t="s">
        <v>8</v>
      </c>
      <c r="G289" s="91">
        <v>22051</v>
      </c>
      <c r="H289" s="90" t="s">
        <v>187</v>
      </c>
      <c r="I289" s="91" t="s">
        <v>21</v>
      </c>
      <c r="J289" s="91">
        <v>44242</v>
      </c>
      <c r="K289" s="121">
        <v>61</v>
      </c>
      <c r="L289" s="91">
        <v>44530</v>
      </c>
      <c r="M289" s="91"/>
      <c r="N289" s="125">
        <v>0</v>
      </c>
      <c r="O289" s="92">
        <v>11004.910000000002</v>
      </c>
      <c r="Q289" s="14"/>
    </row>
    <row r="290" ht="15" customHeight="1">
      <c r="B290" s="13"/>
      <c r="C290" s="22" t="s">
        <v>184</v>
      </c>
      <c r="D290" s="90" t="s">
        <v>737</v>
      </c>
      <c r="E290" s="122" t="s">
        <v>738</v>
      </c>
      <c r="F290" s="91" t="s">
        <v>8</v>
      </c>
      <c r="G290" s="91">
        <v>23289</v>
      </c>
      <c r="H290" s="90" t="s">
        <v>187</v>
      </c>
      <c r="I290" s="91" t="s">
        <v>21</v>
      </c>
      <c r="J290" s="91">
        <v>44216</v>
      </c>
      <c r="K290" s="121">
        <v>58</v>
      </c>
      <c r="L290" s="91">
        <v>44522</v>
      </c>
      <c r="M290" s="91"/>
      <c r="N290" s="125">
        <v>0</v>
      </c>
      <c r="O290" s="92">
        <v>3232.59</v>
      </c>
      <c r="Q290" s="14"/>
    </row>
    <row r="291" ht="15" customHeight="1">
      <c r="B291" s="13"/>
      <c r="C291" s="22" t="s">
        <v>184</v>
      </c>
      <c r="D291" s="90" t="s">
        <v>739</v>
      </c>
      <c r="E291" s="122" t="s">
        <v>740</v>
      </c>
      <c r="F291" s="91" t="s">
        <v>8</v>
      </c>
      <c r="G291" s="91">
        <v>25984</v>
      </c>
      <c r="H291" s="90" t="s">
        <v>187</v>
      </c>
      <c r="I291" s="91" t="s">
        <v>21</v>
      </c>
      <c r="J291" s="91">
        <v>44377</v>
      </c>
      <c r="K291" s="121">
        <v>50</v>
      </c>
      <c r="L291" s="91">
        <v>44530</v>
      </c>
      <c r="M291" s="91"/>
      <c r="N291" s="125">
        <v>0</v>
      </c>
      <c r="O291" s="92">
        <v>126.48</v>
      </c>
      <c r="Q291" s="14"/>
    </row>
    <row r="292" ht="15" customHeight="1">
      <c r="B292" s="13"/>
      <c r="C292" s="22" t="s">
        <v>400</v>
      </c>
      <c r="D292" s="90" t="s">
        <v>741</v>
      </c>
      <c r="E292" s="122" t="s">
        <v>742</v>
      </c>
      <c r="F292" s="91" t="s">
        <v>8</v>
      </c>
      <c r="G292" s="91">
        <v>25162</v>
      </c>
      <c r="H292" s="90" t="s">
        <v>187</v>
      </c>
      <c r="I292" s="91" t="s">
        <v>21</v>
      </c>
      <c r="J292" s="91">
        <v>44329</v>
      </c>
      <c r="K292" s="121">
        <v>53</v>
      </c>
      <c r="L292" s="91">
        <v>44363</v>
      </c>
      <c r="M292" s="91"/>
      <c r="N292" s="125">
        <v>0</v>
      </c>
      <c r="O292" s="92">
        <v>593</v>
      </c>
      <c r="Q292" s="14"/>
    </row>
    <row r="293" ht="15" customHeight="1">
      <c r="B293" s="13"/>
      <c r="C293" s="22" t="s">
        <v>184</v>
      </c>
      <c r="D293" s="90" t="s">
        <v>743</v>
      </c>
      <c r="E293" s="122" t="s">
        <v>744</v>
      </c>
      <c r="F293" s="91" t="s">
        <v>8</v>
      </c>
      <c r="G293" s="91">
        <v>26214</v>
      </c>
      <c r="H293" s="90" t="s">
        <v>187</v>
      </c>
      <c r="I293" s="91" t="s">
        <v>21</v>
      </c>
      <c r="J293" s="91">
        <v>44089</v>
      </c>
      <c r="K293" s="121">
        <v>49</v>
      </c>
      <c r="L293" s="91">
        <v>44150</v>
      </c>
      <c r="M293" s="91">
        <v>44150</v>
      </c>
      <c r="N293" s="125">
        <v>61</v>
      </c>
      <c r="O293" s="92">
        <v>1288.96</v>
      </c>
      <c r="Q293" s="14"/>
    </row>
    <row r="294" ht="15" customHeight="1">
      <c r="B294" s="13"/>
      <c r="C294" s="22" t="s">
        <v>184</v>
      </c>
      <c r="D294" s="90" t="s">
        <v>745</v>
      </c>
      <c r="E294" s="122" t="s">
        <v>746</v>
      </c>
      <c r="F294" s="91" t="s">
        <v>8</v>
      </c>
      <c r="G294" s="91">
        <v>24258</v>
      </c>
      <c r="H294" s="90" t="s">
        <v>187</v>
      </c>
      <c r="I294" s="91" t="s">
        <v>21</v>
      </c>
      <c r="J294" s="91">
        <v>44131</v>
      </c>
      <c r="K294" s="121">
        <v>54</v>
      </c>
      <c r="L294" s="91">
        <v>44510</v>
      </c>
      <c r="M294" s="91"/>
      <c r="N294" s="125">
        <v>0</v>
      </c>
      <c r="O294" s="92">
        <v>2457</v>
      </c>
      <c r="Q294" s="14"/>
    </row>
    <row r="295" ht="15" customHeight="1">
      <c r="B295" s="13"/>
      <c r="C295" s="22" t="s">
        <v>184</v>
      </c>
      <c r="D295" s="90" t="s">
        <v>747</v>
      </c>
      <c r="E295" s="122" t="s">
        <v>748</v>
      </c>
      <c r="F295" s="91" t="s">
        <v>8</v>
      </c>
      <c r="G295" s="91">
        <v>24977</v>
      </c>
      <c r="H295" s="90" t="s">
        <v>187</v>
      </c>
      <c r="I295" s="91" t="s">
        <v>21</v>
      </c>
      <c r="J295" s="91">
        <v>44057</v>
      </c>
      <c r="K295" s="121">
        <v>52</v>
      </c>
      <c r="L295" s="91">
        <v>44235</v>
      </c>
      <c r="M295" s="91">
        <v>44235</v>
      </c>
      <c r="N295" s="125">
        <v>178</v>
      </c>
      <c r="O295" s="92">
        <v>1203.98</v>
      </c>
      <c r="Q295" s="14"/>
    </row>
    <row r="296" ht="15" customHeight="1">
      <c r="B296" s="13"/>
      <c r="C296" s="22" t="s">
        <v>184</v>
      </c>
      <c r="D296" s="90" t="s">
        <v>749</v>
      </c>
      <c r="E296" s="122" t="s">
        <v>750</v>
      </c>
      <c r="F296" s="91" t="s">
        <v>8</v>
      </c>
      <c r="G296" s="91">
        <v>25666</v>
      </c>
      <c r="H296" s="90" t="s">
        <v>187</v>
      </c>
      <c r="I296" s="91" t="s">
        <v>21</v>
      </c>
      <c r="J296" s="91">
        <v>44155</v>
      </c>
      <c r="K296" s="121">
        <v>50</v>
      </c>
      <c r="L296" s="91">
        <v>44408</v>
      </c>
      <c r="M296" s="91">
        <v>44408</v>
      </c>
      <c r="N296" s="125">
        <v>253</v>
      </c>
      <c r="O296" s="92">
        <v>4806.47</v>
      </c>
      <c r="Q296" s="14"/>
    </row>
    <row r="297" ht="15" customHeight="1">
      <c r="B297" s="13"/>
      <c r="C297" s="22" t="s">
        <v>184</v>
      </c>
      <c r="D297" s="90" t="s">
        <v>751</v>
      </c>
      <c r="E297" s="122" t="s">
        <v>752</v>
      </c>
      <c r="F297" s="91" t="s">
        <v>8</v>
      </c>
      <c r="G297" s="91">
        <v>26257</v>
      </c>
      <c r="H297" s="90" t="s">
        <v>187</v>
      </c>
      <c r="I297" s="91" t="s">
        <v>21</v>
      </c>
      <c r="J297" s="91">
        <v>43876</v>
      </c>
      <c r="K297" s="121">
        <v>49</v>
      </c>
      <c r="L297" s="91">
        <v>44473</v>
      </c>
      <c r="M297" s="91">
        <v>44473</v>
      </c>
      <c r="N297" s="125">
        <v>597</v>
      </c>
      <c r="O297" s="92">
        <v>7128.4000000000005</v>
      </c>
      <c r="Q297" s="14"/>
    </row>
    <row r="298" ht="15" customHeight="1">
      <c r="B298" s="13"/>
      <c r="C298" s="22" t="s">
        <v>184</v>
      </c>
      <c r="D298" s="90" t="s">
        <v>753</v>
      </c>
      <c r="E298" s="122" t="s">
        <v>754</v>
      </c>
      <c r="F298" s="91" t="s">
        <v>8</v>
      </c>
      <c r="G298" s="91">
        <v>26582</v>
      </c>
      <c r="H298" s="90" t="s">
        <v>187</v>
      </c>
      <c r="I298" s="91" t="s">
        <v>21</v>
      </c>
      <c r="J298" s="91">
        <v>44070</v>
      </c>
      <c r="K298" s="121">
        <v>48</v>
      </c>
      <c r="L298" s="91">
        <v>44120</v>
      </c>
      <c r="M298" s="91">
        <v>44120</v>
      </c>
      <c r="N298" s="125">
        <v>50</v>
      </c>
      <c r="O298" s="92">
        <v>1188.6</v>
      </c>
      <c r="Q298" s="14"/>
    </row>
    <row r="299" ht="15" customHeight="1">
      <c r="B299" s="13"/>
      <c r="C299" s="22" t="s">
        <v>184</v>
      </c>
      <c r="D299" s="90" t="s">
        <v>755</v>
      </c>
      <c r="E299" s="122" t="s">
        <v>756</v>
      </c>
      <c r="F299" s="91" t="s">
        <v>8</v>
      </c>
      <c r="G299" s="91">
        <v>24643</v>
      </c>
      <c r="H299" s="90" t="s">
        <v>197</v>
      </c>
      <c r="I299" s="91" t="s">
        <v>21</v>
      </c>
      <c r="J299" s="91">
        <v>44355</v>
      </c>
      <c r="K299" s="121">
        <v>54</v>
      </c>
      <c r="L299" s="91">
        <v>44529</v>
      </c>
      <c r="M299" s="91"/>
      <c r="N299" s="125">
        <v>0</v>
      </c>
      <c r="O299" s="92">
        <v>15120.6</v>
      </c>
      <c r="Q299" s="14"/>
    </row>
    <row r="300" ht="15" customHeight="1">
      <c r="B300" s="13"/>
      <c r="C300" s="22" t="s">
        <v>184</v>
      </c>
      <c r="D300" s="90" t="s">
        <v>757</v>
      </c>
      <c r="E300" s="122" t="s">
        <v>758</v>
      </c>
      <c r="F300" s="91" t="s">
        <v>8</v>
      </c>
      <c r="G300" s="91">
        <v>25369</v>
      </c>
      <c r="H300" s="90" t="s">
        <v>187</v>
      </c>
      <c r="I300" s="91" t="s">
        <v>21</v>
      </c>
      <c r="J300" s="91">
        <v>43942</v>
      </c>
      <c r="K300" s="121">
        <v>51</v>
      </c>
      <c r="L300" s="91">
        <v>44530</v>
      </c>
      <c r="M300" s="91"/>
      <c r="N300" s="125">
        <v>0</v>
      </c>
      <c r="O300" s="92">
        <v>13594.559999999996</v>
      </c>
      <c r="Q300" s="14"/>
    </row>
    <row r="301" ht="15" customHeight="1">
      <c r="B301" s="13"/>
      <c r="C301" s="22" t="s">
        <v>184</v>
      </c>
      <c r="D301" s="90" t="s">
        <v>759</v>
      </c>
      <c r="E301" s="122" t="s">
        <v>760</v>
      </c>
      <c r="F301" s="91" t="s">
        <v>8</v>
      </c>
      <c r="G301" s="91">
        <v>26490</v>
      </c>
      <c r="H301" s="90" t="s">
        <v>197</v>
      </c>
      <c r="I301" s="91" t="s">
        <v>21</v>
      </c>
      <c r="J301" s="91">
        <v>44216</v>
      </c>
      <c r="K301" s="121">
        <v>49</v>
      </c>
      <c r="L301" s="91">
        <v>44377</v>
      </c>
      <c r="M301" s="91">
        <v>44377</v>
      </c>
      <c r="N301" s="125">
        <v>161</v>
      </c>
      <c r="O301" s="92">
        <v>6579.49</v>
      </c>
      <c r="Q301" s="14"/>
    </row>
    <row r="302" ht="15" customHeight="1">
      <c r="B302" s="13"/>
      <c r="C302" s="22" t="s">
        <v>184</v>
      </c>
      <c r="D302" s="90" t="s">
        <v>761</v>
      </c>
      <c r="E302" s="122" t="s">
        <v>762</v>
      </c>
      <c r="F302" s="91" t="s">
        <v>8</v>
      </c>
      <c r="G302" s="91">
        <v>25950</v>
      </c>
      <c r="H302" s="90" t="s">
        <v>187</v>
      </c>
      <c r="I302" s="91" t="s">
        <v>21</v>
      </c>
      <c r="J302" s="91">
        <v>44357</v>
      </c>
      <c r="K302" s="121">
        <v>50</v>
      </c>
      <c r="L302" s="91">
        <v>44517</v>
      </c>
      <c r="M302" s="91"/>
      <c r="N302" s="125">
        <v>0</v>
      </c>
      <c r="O302" s="92">
        <v>3458.4000000000005</v>
      </c>
      <c r="Q302" s="14"/>
    </row>
    <row r="303" ht="15" customHeight="1">
      <c r="B303" s="13"/>
      <c r="C303" s="22" t="s">
        <v>184</v>
      </c>
      <c r="D303" s="90" t="s">
        <v>763</v>
      </c>
      <c r="E303" s="122" t="s">
        <v>764</v>
      </c>
      <c r="F303" s="91" t="s">
        <v>8</v>
      </c>
      <c r="G303" s="91">
        <v>26794</v>
      </c>
      <c r="H303" s="90" t="s">
        <v>187</v>
      </c>
      <c r="I303" s="91" t="s">
        <v>21</v>
      </c>
      <c r="J303" s="91">
        <v>44117</v>
      </c>
      <c r="K303" s="121">
        <v>47</v>
      </c>
      <c r="L303" s="91">
        <v>44539</v>
      </c>
      <c r="M303" s="91"/>
      <c r="N303" s="125">
        <v>0</v>
      </c>
      <c r="O303" s="92">
        <v>6938.9400000000005</v>
      </c>
      <c r="Q303" s="14"/>
    </row>
    <row r="304" ht="15" customHeight="1">
      <c r="B304" s="13"/>
      <c r="C304" s="22" t="s">
        <v>184</v>
      </c>
      <c r="D304" s="90" t="s">
        <v>765</v>
      </c>
      <c r="E304" s="122" t="s">
        <v>766</v>
      </c>
      <c r="F304" s="91" t="s">
        <v>8</v>
      </c>
      <c r="G304" s="91">
        <v>24543</v>
      </c>
      <c r="H304" s="90" t="s">
        <v>187</v>
      </c>
      <c r="I304" s="91" t="s">
        <v>21</v>
      </c>
      <c r="J304" s="91">
        <v>43914</v>
      </c>
      <c r="K304" s="121">
        <v>53</v>
      </c>
      <c r="L304" s="91">
        <v>44500</v>
      </c>
      <c r="M304" s="91"/>
      <c r="N304" s="125">
        <v>0</v>
      </c>
      <c r="O304" s="92">
        <v>4085.08</v>
      </c>
      <c r="Q304" s="14"/>
    </row>
    <row r="305" ht="15" customHeight="1">
      <c r="B305" s="13"/>
      <c r="C305" s="22" t="s">
        <v>184</v>
      </c>
      <c r="D305" s="90" t="s">
        <v>767</v>
      </c>
      <c r="E305" s="122" t="s">
        <v>768</v>
      </c>
      <c r="F305" s="91" t="s">
        <v>8</v>
      </c>
      <c r="G305" s="91">
        <v>24596</v>
      </c>
      <c r="H305" s="90" t="s">
        <v>187</v>
      </c>
      <c r="I305" s="91" t="s">
        <v>21</v>
      </c>
      <c r="J305" s="91">
        <v>43964</v>
      </c>
      <c r="K305" s="121">
        <v>53</v>
      </c>
      <c r="L305" s="91">
        <v>44529</v>
      </c>
      <c r="M305" s="91"/>
      <c r="N305" s="125">
        <v>0</v>
      </c>
      <c r="O305" s="92">
        <v>3285.6800000000003</v>
      </c>
      <c r="Q305" s="14"/>
    </row>
    <row r="306" ht="15" customHeight="1">
      <c r="B306" s="13"/>
      <c r="C306" s="22" t="s">
        <v>184</v>
      </c>
      <c r="D306" s="90" t="s">
        <v>769</v>
      </c>
      <c r="E306" s="122" t="s">
        <v>770</v>
      </c>
      <c r="F306" s="91" t="s">
        <v>8</v>
      </c>
      <c r="G306" s="91">
        <v>26450</v>
      </c>
      <c r="H306" s="90" t="s">
        <v>197</v>
      </c>
      <c r="I306" s="91" t="s">
        <v>21</v>
      </c>
      <c r="J306" s="91">
        <v>44011</v>
      </c>
      <c r="K306" s="121">
        <v>48</v>
      </c>
      <c r="L306" s="91">
        <v>44544</v>
      </c>
      <c r="M306" s="91"/>
      <c r="N306" s="125">
        <v>0</v>
      </c>
      <c r="O306" s="92">
        <v>14002.169999999998</v>
      </c>
      <c r="Q306" s="14"/>
    </row>
    <row r="307" ht="15" customHeight="1">
      <c r="B307" s="13"/>
      <c r="C307" s="22" t="s">
        <v>184</v>
      </c>
      <c r="D307" s="90" t="s">
        <v>771</v>
      </c>
      <c r="E307" s="122" t="s">
        <v>772</v>
      </c>
      <c r="F307" s="91" t="s">
        <v>8</v>
      </c>
      <c r="G307" s="91">
        <v>24190</v>
      </c>
      <c r="H307" s="90" t="s">
        <v>187</v>
      </c>
      <c r="I307" s="91" t="s">
        <v>21</v>
      </c>
      <c r="J307" s="91">
        <v>43958</v>
      </c>
      <c r="K307" s="121">
        <v>54</v>
      </c>
      <c r="L307" s="91">
        <v>44196</v>
      </c>
      <c r="M307" s="91">
        <v>44196</v>
      </c>
      <c r="N307" s="125">
        <v>238</v>
      </c>
      <c r="O307" s="92">
        <v>447.84</v>
      </c>
      <c r="Q307" s="14"/>
    </row>
    <row r="308" ht="15" customHeight="1">
      <c r="B308" s="13"/>
      <c r="C308" s="22" t="s">
        <v>184</v>
      </c>
      <c r="D308" s="90" t="s">
        <v>773</v>
      </c>
      <c r="E308" s="122" t="s">
        <v>774</v>
      </c>
      <c r="F308" s="91" t="s">
        <v>8</v>
      </c>
      <c r="G308" s="91">
        <v>25304</v>
      </c>
      <c r="H308" s="90" t="s">
        <v>187</v>
      </c>
      <c r="I308" s="91" t="s">
        <v>21</v>
      </c>
      <c r="J308" s="91">
        <v>44018</v>
      </c>
      <c r="K308" s="121">
        <v>51</v>
      </c>
      <c r="L308" s="91">
        <v>44484</v>
      </c>
      <c r="M308" s="91">
        <v>44505</v>
      </c>
      <c r="N308" s="125">
        <v>487</v>
      </c>
      <c r="O308" s="92">
        <v>4589.1599999999989</v>
      </c>
      <c r="Q308" s="14"/>
    </row>
    <row r="309" ht="15" customHeight="1">
      <c r="B309" s="13"/>
      <c r="C309" s="22" t="s">
        <v>184</v>
      </c>
      <c r="D309" s="90" t="s">
        <v>775</v>
      </c>
      <c r="E309" s="122" t="s">
        <v>776</v>
      </c>
      <c r="F309" s="91" t="s">
        <v>8</v>
      </c>
      <c r="G309" s="91">
        <v>26027</v>
      </c>
      <c r="H309" s="90" t="s">
        <v>187</v>
      </c>
      <c r="I309" s="91" t="s">
        <v>21</v>
      </c>
      <c r="J309" s="91">
        <v>44110</v>
      </c>
      <c r="K309" s="121">
        <v>49</v>
      </c>
      <c r="L309" s="91">
        <v>44530</v>
      </c>
      <c r="M309" s="91"/>
      <c r="N309" s="125">
        <v>0</v>
      </c>
      <c r="O309" s="92">
        <v>312.8</v>
      </c>
      <c r="Q309" s="14"/>
    </row>
    <row r="310" ht="15" customHeight="1">
      <c r="B310" s="13"/>
      <c r="C310" s="22" t="s">
        <v>184</v>
      </c>
      <c r="D310" s="90" t="s">
        <v>777</v>
      </c>
      <c r="E310" s="122" t="s">
        <v>778</v>
      </c>
      <c r="F310" s="91" t="s">
        <v>8</v>
      </c>
      <c r="G310" s="91">
        <v>26264</v>
      </c>
      <c r="H310" s="90" t="s">
        <v>187</v>
      </c>
      <c r="I310" s="91" t="s">
        <v>21</v>
      </c>
      <c r="J310" s="91">
        <v>44204</v>
      </c>
      <c r="K310" s="121">
        <v>50</v>
      </c>
      <c r="L310" s="91">
        <v>44424</v>
      </c>
      <c r="M310" s="91">
        <v>44425</v>
      </c>
      <c r="N310" s="125">
        <v>221</v>
      </c>
      <c r="O310" s="92">
        <v>3617.5699999999997</v>
      </c>
      <c r="Q310" s="14"/>
    </row>
    <row r="311" ht="15" customHeight="1">
      <c r="B311" s="13"/>
      <c r="C311" s="22" t="s">
        <v>779</v>
      </c>
      <c r="D311" s="90" t="s">
        <v>780</v>
      </c>
      <c r="E311" s="122" t="s">
        <v>781</v>
      </c>
      <c r="F311" s="91" t="s">
        <v>10</v>
      </c>
      <c r="G311" s="91">
        <v>25348</v>
      </c>
      <c r="H311" s="90" t="s">
        <v>197</v>
      </c>
      <c r="I311" s="91" t="s">
        <v>21</v>
      </c>
      <c r="J311" s="91">
        <v>44194</v>
      </c>
      <c r="K311" s="121">
        <v>51</v>
      </c>
      <c r="L311" s="91">
        <v>44242</v>
      </c>
      <c r="M311" s="91">
        <v>44242</v>
      </c>
      <c r="N311" s="125">
        <v>48</v>
      </c>
      <c r="O311" s="92">
        <v>915.42</v>
      </c>
      <c r="Q311" s="14"/>
    </row>
    <row r="312" ht="15" customHeight="1">
      <c r="B312" s="13"/>
      <c r="C312" s="22" t="s">
        <v>184</v>
      </c>
      <c r="D312" s="90" t="s">
        <v>782</v>
      </c>
      <c r="E312" s="122" t="s">
        <v>783</v>
      </c>
      <c r="F312" s="91" t="s">
        <v>8</v>
      </c>
      <c r="G312" s="91">
        <v>24445</v>
      </c>
      <c r="H312" s="90" t="s">
        <v>187</v>
      </c>
      <c r="I312" s="91" t="s">
        <v>21</v>
      </c>
      <c r="J312" s="91">
        <v>44210</v>
      </c>
      <c r="K312" s="121">
        <v>55</v>
      </c>
      <c r="L312" s="91">
        <v>44269</v>
      </c>
      <c r="M312" s="91">
        <v>44270</v>
      </c>
      <c r="N312" s="125">
        <v>60</v>
      </c>
      <c r="O312" s="92">
        <v>108.6</v>
      </c>
      <c r="Q312" s="14"/>
    </row>
    <row r="313" ht="15" customHeight="1">
      <c r="B313" s="13"/>
      <c r="C313" s="22" t="s">
        <v>184</v>
      </c>
      <c r="D313" s="90" t="s">
        <v>784</v>
      </c>
      <c r="E313" s="122" t="s">
        <v>785</v>
      </c>
      <c r="F313" s="91" t="s">
        <v>8</v>
      </c>
      <c r="G313" s="91">
        <v>27316</v>
      </c>
      <c r="H313" s="90" t="s">
        <v>187</v>
      </c>
      <c r="I313" s="91" t="s">
        <v>21</v>
      </c>
      <c r="J313" s="91">
        <v>44454</v>
      </c>
      <c r="K313" s="121">
        <v>47</v>
      </c>
      <c r="L313" s="91">
        <v>44522</v>
      </c>
      <c r="M313" s="91"/>
      <c r="N313" s="125">
        <v>0</v>
      </c>
      <c r="O313" s="92">
        <v>1441.05</v>
      </c>
      <c r="Q313" s="14"/>
    </row>
    <row r="314" ht="15" customHeight="1">
      <c r="B314" s="13"/>
      <c r="C314" s="22" t="s">
        <v>200</v>
      </c>
      <c r="D314" s="90" t="s">
        <v>786</v>
      </c>
      <c r="E314" s="122" t="s">
        <v>787</v>
      </c>
      <c r="F314" s="91" t="s">
        <v>8</v>
      </c>
      <c r="G314" s="91">
        <v>24490</v>
      </c>
      <c r="H314" s="90" t="s">
        <v>197</v>
      </c>
      <c r="I314" s="91" t="s">
        <v>21</v>
      </c>
      <c r="J314" s="91">
        <v>44217</v>
      </c>
      <c r="K314" s="121">
        <v>54</v>
      </c>
      <c r="L314" s="91">
        <v>44261</v>
      </c>
      <c r="M314" s="91">
        <v>44261</v>
      </c>
      <c r="N314" s="125">
        <v>44</v>
      </c>
      <c r="O314" s="92">
        <v>1063.05</v>
      </c>
      <c r="Q314" s="14"/>
    </row>
    <row r="315" ht="15" customHeight="1">
      <c r="B315" s="13"/>
      <c r="C315" s="22" t="s">
        <v>184</v>
      </c>
      <c r="D315" s="90" t="s">
        <v>788</v>
      </c>
      <c r="E315" s="122" t="s">
        <v>789</v>
      </c>
      <c r="F315" s="91" t="s">
        <v>8</v>
      </c>
      <c r="G315" s="91">
        <v>22574</v>
      </c>
      <c r="H315" s="90" t="s">
        <v>187</v>
      </c>
      <c r="I315" s="91" t="s">
        <v>21</v>
      </c>
      <c r="J315" s="91">
        <v>43976</v>
      </c>
      <c r="K315" s="121">
        <v>59</v>
      </c>
      <c r="L315" s="91">
        <v>44297</v>
      </c>
      <c r="M315" s="91"/>
      <c r="N315" s="125">
        <v>0</v>
      </c>
      <c r="O315" s="92">
        <v>2941.5299999999997</v>
      </c>
      <c r="Q315" s="14"/>
    </row>
    <row r="316" ht="15" customHeight="1">
      <c r="B316" s="13"/>
      <c r="C316" s="22" t="s">
        <v>184</v>
      </c>
      <c r="D316" s="90" t="s">
        <v>790</v>
      </c>
      <c r="E316" s="122" t="s">
        <v>791</v>
      </c>
      <c r="F316" s="91" t="s">
        <v>10</v>
      </c>
      <c r="G316" s="91">
        <v>25742</v>
      </c>
      <c r="H316" s="90" t="s">
        <v>187</v>
      </c>
      <c r="I316" s="91" t="s">
        <v>21</v>
      </c>
      <c r="J316" s="91">
        <v>44126</v>
      </c>
      <c r="K316" s="121">
        <v>50</v>
      </c>
      <c r="L316" s="91">
        <v>44530</v>
      </c>
      <c r="M316" s="91"/>
      <c r="N316" s="125">
        <v>0</v>
      </c>
      <c r="O316" s="92">
        <v>8310</v>
      </c>
      <c r="Q316" s="14"/>
    </row>
    <row r="317" ht="15" customHeight="1">
      <c r="B317" s="13"/>
      <c r="C317" s="22" t="s">
        <v>184</v>
      </c>
      <c r="D317" s="90" t="s">
        <v>792</v>
      </c>
      <c r="E317" s="122" t="s">
        <v>793</v>
      </c>
      <c r="F317" s="91" t="s">
        <v>8</v>
      </c>
      <c r="G317" s="91">
        <v>26744</v>
      </c>
      <c r="H317" s="90" t="s">
        <v>197</v>
      </c>
      <c r="I317" s="91" t="s">
        <v>21</v>
      </c>
      <c r="J317" s="91">
        <v>44127</v>
      </c>
      <c r="K317" s="121">
        <v>47</v>
      </c>
      <c r="L317" s="91">
        <v>44172</v>
      </c>
      <c r="M317" s="91">
        <v>44172</v>
      </c>
      <c r="N317" s="125">
        <v>45</v>
      </c>
      <c r="O317" s="92">
        <v>1017.6</v>
      </c>
      <c r="Q317" s="14"/>
    </row>
    <row r="318" ht="15" customHeight="1">
      <c r="B318" s="13"/>
      <c r="C318" s="22" t="s">
        <v>184</v>
      </c>
      <c r="D318" s="90" t="s">
        <v>794</v>
      </c>
      <c r="E318" s="122" t="s">
        <v>795</v>
      </c>
      <c r="F318" s="91" t="s">
        <v>8</v>
      </c>
      <c r="G318" s="91">
        <v>26750</v>
      </c>
      <c r="H318" s="90" t="s">
        <v>187</v>
      </c>
      <c r="I318" s="91" t="s">
        <v>21</v>
      </c>
      <c r="J318" s="91">
        <v>44021</v>
      </c>
      <c r="K318" s="121">
        <v>47</v>
      </c>
      <c r="L318" s="91">
        <v>44318</v>
      </c>
      <c r="M318" s="91">
        <v>44318</v>
      </c>
      <c r="N318" s="125">
        <v>297</v>
      </c>
      <c r="O318" s="92">
        <v>2855.06</v>
      </c>
      <c r="Q318" s="14"/>
    </row>
    <row r="319" ht="15" customHeight="1">
      <c r="B319" s="13"/>
      <c r="C319" s="22" t="s">
        <v>184</v>
      </c>
      <c r="D319" s="90" t="s">
        <v>796</v>
      </c>
      <c r="E319" s="122" t="s">
        <v>797</v>
      </c>
      <c r="F319" s="91" t="s">
        <v>8</v>
      </c>
      <c r="G319" s="91">
        <v>23528</v>
      </c>
      <c r="H319" s="90" t="s">
        <v>187</v>
      </c>
      <c r="I319" s="91" t="s">
        <v>21</v>
      </c>
      <c r="J319" s="91">
        <v>44428</v>
      </c>
      <c r="K319" s="121">
        <v>57</v>
      </c>
      <c r="L319" s="91">
        <v>44516</v>
      </c>
      <c r="M319" s="91">
        <v>44516</v>
      </c>
      <c r="N319" s="125">
        <v>88</v>
      </c>
      <c r="O319" s="92">
        <v>699.15000000000009</v>
      </c>
      <c r="Q319" s="14"/>
    </row>
    <row r="320" ht="15" customHeight="1">
      <c r="B320" s="13"/>
      <c r="C320" s="22" t="s">
        <v>561</v>
      </c>
      <c r="D320" s="90" t="s">
        <v>798</v>
      </c>
      <c r="E320" s="122" t="s">
        <v>799</v>
      </c>
      <c r="F320" s="91" t="s">
        <v>8</v>
      </c>
      <c r="G320" s="91">
        <v>20771</v>
      </c>
      <c r="H320" s="90" t="s">
        <v>197</v>
      </c>
      <c r="I320" s="91" t="s">
        <v>21</v>
      </c>
      <c r="J320" s="91">
        <v>44203</v>
      </c>
      <c r="K320" s="121">
        <v>65</v>
      </c>
      <c r="L320" s="91">
        <v>44262</v>
      </c>
      <c r="M320" s="91">
        <v>44262</v>
      </c>
      <c r="N320" s="125">
        <v>59</v>
      </c>
      <c r="O320" s="92">
        <v>4159.35</v>
      </c>
      <c r="Q320" s="14"/>
    </row>
    <row r="321" ht="15" customHeight="1">
      <c r="B321" s="13"/>
      <c r="C321" s="22" t="s">
        <v>184</v>
      </c>
      <c r="D321" s="90" t="s">
        <v>800</v>
      </c>
      <c r="E321" s="122" t="s">
        <v>801</v>
      </c>
      <c r="F321" s="91" t="s">
        <v>8</v>
      </c>
      <c r="G321" s="91">
        <v>26159</v>
      </c>
      <c r="H321" s="90" t="s">
        <v>187</v>
      </c>
      <c r="I321" s="91" t="s">
        <v>21</v>
      </c>
      <c r="J321" s="91">
        <v>44347</v>
      </c>
      <c r="K321" s="121">
        <v>50</v>
      </c>
      <c r="L321" s="91">
        <v>44377</v>
      </c>
      <c r="M321" s="91">
        <v>44377</v>
      </c>
      <c r="N321" s="125">
        <v>30</v>
      </c>
      <c r="O321" s="92">
        <v>24.73</v>
      </c>
      <c r="Q321" s="14"/>
    </row>
    <row r="322" ht="15" customHeight="1">
      <c r="B322" s="13"/>
      <c r="C322" s="22" t="s">
        <v>184</v>
      </c>
      <c r="D322" s="90" t="s">
        <v>802</v>
      </c>
      <c r="E322" s="122" t="s">
        <v>803</v>
      </c>
      <c r="F322" s="91" t="s">
        <v>8</v>
      </c>
      <c r="G322" s="91">
        <v>25081</v>
      </c>
      <c r="H322" s="90" t="s">
        <v>187</v>
      </c>
      <c r="I322" s="91" t="s">
        <v>21</v>
      </c>
      <c r="J322" s="91">
        <v>43851</v>
      </c>
      <c r="K322" s="121">
        <v>52</v>
      </c>
      <c r="L322" s="91">
        <v>44269</v>
      </c>
      <c r="M322" s="91">
        <v>44284</v>
      </c>
      <c r="N322" s="125">
        <v>433</v>
      </c>
      <c r="O322" s="92">
        <v>4291.87</v>
      </c>
      <c r="Q322" s="14"/>
    </row>
    <row r="323" ht="15" customHeight="1">
      <c r="B323" s="13"/>
      <c r="C323" s="22" t="s">
        <v>135</v>
      </c>
      <c r="D323" s="90" t="s">
        <v>804</v>
      </c>
      <c r="E323" s="122" t="s">
        <v>805</v>
      </c>
      <c r="F323" s="91" t="s">
        <v>8</v>
      </c>
      <c r="G323" s="91">
        <v>21464</v>
      </c>
      <c r="H323" s="90" t="s">
        <v>187</v>
      </c>
      <c r="I323" s="91" t="s">
        <v>21</v>
      </c>
      <c r="J323" s="91">
        <v>44476</v>
      </c>
      <c r="K323" s="121">
        <v>63</v>
      </c>
      <c r="L323" s="91">
        <v>44537</v>
      </c>
      <c r="M323" s="91"/>
      <c r="N323" s="125">
        <v>0</v>
      </c>
      <c r="O323" s="92">
        <v>2219.84</v>
      </c>
      <c r="Q323" s="14"/>
    </row>
    <row r="324" ht="15" customHeight="1">
      <c r="B324" s="13"/>
      <c r="C324" s="22" t="s">
        <v>184</v>
      </c>
      <c r="D324" s="90" t="s">
        <v>806</v>
      </c>
      <c r="E324" s="122" t="s">
        <v>807</v>
      </c>
      <c r="F324" s="91" t="s">
        <v>10</v>
      </c>
      <c r="G324" s="91">
        <v>22704</v>
      </c>
      <c r="H324" s="90" t="s">
        <v>187</v>
      </c>
      <c r="I324" s="91" t="s">
        <v>21</v>
      </c>
      <c r="J324" s="91">
        <v>44075</v>
      </c>
      <c r="K324" s="121">
        <v>58</v>
      </c>
      <c r="L324" s="91">
        <v>44199</v>
      </c>
      <c r="M324" s="91">
        <v>44199</v>
      </c>
      <c r="N324" s="125">
        <v>124</v>
      </c>
      <c r="O324" s="92">
        <v>1829.1</v>
      </c>
      <c r="Q324" s="14"/>
    </row>
    <row r="325" ht="15" customHeight="1">
      <c r="B325" s="13"/>
      <c r="C325" s="22" t="s">
        <v>184</v>
      </c>
      <c r="D325" s="90" t="s">
        <v>808</v>
      </c>
      <c r="E325" s="122" t="s">
        <v>809</v>
      </c>
      <c r="F325" s="91" t="s">
        <v>8</v>
      </c>
      <c r="G325" s="91">
        <v>28612</v>
      </c>
      <c r="H325" s="90" t="s">
        <v>187</v>
      </c>
      <c r="I325" s="91" t="s">
        <v>21</v>
      </c>
      <c r="J325" s="91">
        <v>44411</v>
      </c>
      <c r="K325" s="121">
        <v>43</v>
      </c>
      <c r="L325" s="91">
        <v>44500</v>
      </c>
      <c r="M325" s="91"/>
      <c r="N325" s="125">
        <v>0</v>
      </c>
      <c r="O325" s="92">
        <v>1108.8</v>
      </c>
      <c r="Q325" s="14"/>
    </row>
    <row r="326" ht="15" customHeight="1">
      <c r="B326" s="13"/>
      <c r="C326" s="22" t="s">
        <v>184</v>
      </c>
      <c r="D326" s="90" t="s">
        <v>810</v>
      </c>
      <c r="E326" s="122" t="s">
        <v>811</v>
      </c>
      <c r="F326" s="91" t="s">
        <v>8</v>
      </c>
      <c r="G326" s="91">
        <v>24887</v>
      </c>
      <c r="H326" s="90" t="s">
        <v>187</v>
      </c>
      <c r="I326" s="91" t="s">
        <v>21</v>
      </c>
      <c r="J326" s="91">
        <v>43866</v>
      </c>
      <c r="K326" s="121">
        <v>52</v>
      </c>
      <c r="L326" s="91">
        <v>44204</v>
      </c>
      <c r="M326" s="91">
        <v>44204</v>
      </c>
      <c r="N326" s="125">
        <v>338</v>
      </c>
      <c r="O326" s="92">
        <v>623.77</v>
      </c>
      <c r="Q326" s="14"/>
    </row>
    <row r="327" ht="15" customHeight="1">
      <c r="B327" s="13"/>
      <c r="C327" s="22" t="s">
        <v>184</v>
      </c>
      <c r="D327" s="90" t="s">
        <v>812</v>
      </c>
      <c r="E327" s="122" t="s">
        <v>813</v>
      </c>
      <c r="F327" s="91" t="s">
        <v>8</v>
      </c>
      <c r="G327" s="91">
        <v>26930</v>
      </c>
      <c r="H327" s="90" t="s">
        <v>187</v>
      </c>
      <c r="I327" s="91" t="s">
        <v>21</v>
      </c>
      <c r="J327" s="91">
        <v>44460</v>
      </c>
      <c r="K327" s="121">
        <v>48</v>
      </c>
      <c r="L327" s="91">
        <v>44512</v>
      </c>
      <c r="M327" s="91"/>
      <c r="N327" s="125">
        <v>0</v>
      </c>
      <c r="O327" s="92">
        <v>849.16</v>
      </c>
      <c r="Q327" s="14"/>
    </row>
    <row r="328" ht="15" customHeight="1">
      <c r="B328" s="13"/>
      <c r="C328" s="22" t="s">
        <v>184</v>
      </c>
      <c r="D328" s="90" t="s">
        <v>814</v>
      </c>
      <c r="E328" s="122" t="s">
        <v>815</v>
      </c>
      <c r="F328" s="91" t="s">
        <v>10</v>
      </c>
      <c r="G328" s="91">
        <v>23888</v>
      </c>
      <c r="H328" s="90" t="s">
        <v>197</v>
      </c>
      <c r="I328" s="91" t="s">
        <v>21</v>
      </c>
      <c r="J328" s="91">
        <v>43900</v>
      </c>
      <c r="K328" s="121">
        <v>55</v>
      </c>
      <c r="L328" s="91">
        <v>44537</v>
      </c>
      <c r="M328" s="91"/>
      <c r="N328" s="125">
        <v>0</v>
      </c>
      <c r="O328" s="92">
        <v>75237.119999999981</v>
      </c>
      <c r="Q328" s="14"/>
    </row>
    <row r="329" ht="15" customHeight="1">
      <c r="B329" s="13"/>
      <c r="C329" s="22" t="s">
        <v>184</v>
      </c>
      <c r="D329" s="90" t="s">
        <v>816</v>
      </c>
      <c r="E329" s="122" t="s">
        <v>817</v>
      </c>
      <c r="F329" s="91" t="s">
        <v>8</v>
      </c>
      <c r="G329" s="91">
        <v>23788</v>
      </c>
      <c r="H329" s="90" t="s">
        <v>187</v>
      </c>
      <c r="I329" s="91" t="s">
        <v>21</v>
      </c>
      <c r="J329" s="91">
        <v>43962</v>
      </c>
      <c r="K329" s="121">
        <v>55</v>
      </c>
      <c r="L329" s="91">
        <v>44238</v>
      </c>
      <c r="M329" s="91">
        <v>44238</v>
      </c>
      <c r="N329" s="125">
        <v>276</v>
      </c>
      <c r="O329" s="92">
        <v>2834.37</v>
      </c>
      <c r="Q329" s="14"/>
    </row>
    <row r="330" ht="15" customHeight="1">
      <c r="B330" s="13"/>
      <c r="C330" s="22" t="s">
        <v>184</v>
      </c>
      <c r="D330" s="90" t="s">
        <v>818</v>
      </c>
      <c r="E330" s="122" t="s">
        <v>819</v>
      </c>
      <c r="F330" s="91" t="s">
        <v>8</v>
      </c>
      <c r="G330" s="91">
        <v>26847</v>
      </c>
      <c r="H330" s="90" t="s">
        <v>187</v>
      </c>
      <c r="I330" s="91" t="s">
        <v>21</v>
      </c>
      <c r="J330" s="91">
        <v>44180</v>
      </c>
      <c r="K330" s="121">
        <v>47</v>
      </c>
      <c r="L330" s="91">
        <v>44241</v>
      </c>
      <c r="M330" s="91">
        <v>44241</v>
      </c>
      <c r="N330" s="125">
        <v>61</v>
      </c>
      <c r="O330" s="92">
        <v>475.52</v>
      </c>
      <c r="Q330" s="14"/>
    </row>
    <row r="331" ht="15" customHeight="1">
      <c r="B331" s="13"/>
      <c r="C331" s="22" t="s">
        <v>184</v>
      </c>
      <c r="D331" s="90" t="s">
        <v>820</v>
      </c>
      <c r="E331" s="122" t="s">
        <v>821</v>
      </c>
      <c r="F331" s="91" t="s">
        <v>8</v>
      </c>
      <c r="G331" s="91">
        <v>26997</v>
      </c>
      <c r="H331" s="90" t="s">
        <v>187</v>
      </c>
      <c r="I331" s="91" t="s">
        <v>21</v>
      </c>
      <c r="J331" s="91">
        <v>44432</v>
      </c>
      <c r="K331" s="121">
        <v>48</v>
      </c>
      <c r="L331" s="91">
        <v>44517</v>
      </c>
      <c r="M331" s="91"/>
      <c r="N331" s="125">
        <v>0</v>
      </c>
      <c r="O331" s="92">
        <v>1136.24</v>
      </c>
      <c r="Q331" s="14"/>
    </row>
    <row r="332" ht="15" customHeight="1">
      <c r="B332" s="13"/>
      <c r="C332" s="22" t="s">
        <v>135</v>
      </c>
      <c r="D332" s="90" t="s">
        <v>822</v>
      </c>
      <c r="E332" s="122" t="s">
        <v>823</v>
      </c>
      <c r="F332" s="91" t="s">
        <v>8</v>
      </c>
      <c r="G332" s="91">
        <v>28085</v>
      </c>
      <c r="H332" s="90" t="s">
        <v>197</v>
      </c>
      <c r="I332" s="91" t="s">
        <v>21</v>
      </c>
      <c r="J332" s="91">
        <v>44256</v>
      </c>
      <c r="K332" s="121">
        <v>45</v>
      </c>
      <c r="L332" s="91">
        <v>44292</v>
      </c>
      <c r="M332" s="91">
        <v>44292</v>
      </c>
      <c r="N332" s="125">
        <v>36</v>
      </c>
      <c r="O332" s="92">
        <v>474.04</v>
      </c>
      <c r="Q332" s="14"/>
    </row>
    <row r="333" ht="15" customHeight="1">
      <c r="B333" s="13"/>
      <c r="C333" s="22" t="s">
        <v>184</v>
      </c>
      <c r="D333" s="90" t="s">
        <v>824</v>
      </c>
      <c r="E333" s="122" t="s">
        <v>825</v>
      </c>
      <c r="F333" s="91" t="s">
        <v>8</v>
      </c>
      <c r="G333" s="91">
        <v>25924</v>
      </c>
      <c r="H333" s="90" t="s">
        <v>187</v>
      </c>
      <c r="I333" s="91" t="s">
        <v>21</v>
      </c>
      <c r="J333" s="91">
        <v>44168</v>
      </c>
      <c r="K333" s="121">
        <v>50</v>
      </c>
      <c r="L333" s="91">
        <v>44532</v>
      </c>
      <c r="M333" s="91"/>
      <c r="N333" s="125">
        <v>0</v>
      </c>
      <c r="O333" s="92">
        <v>6475.5499999999984</v>
      </c>
      <c r="Q333" s="14"/>
    </row>
    <row r="334" ht="15" customHeight="1">
      <c r="B334" s="13"/>
      <c r="C334" s="22" t="s">
        <v>184</v>
      </c>
      <c r="D334" s="90" t="s">
        <v>826</v>
      </c>
      <c r="E334" s="122" t="s">
        <v>827</v>
      </c>
      <c r="F334" s="91" t="s">
        <v>8</v>
      </c>
      <c r="G334" s="91">
        <v>26122</v>
      </c>
      <c r="H334" s="90" t="s">
        <v>187</v>
      </c>
      <c r="I334" s="91" t="s">
        <v>21</v>
      </c>
      <c r="J334" s="91">
        <v>44154</v>
      </c>
      <c r="K334" s="121">
        <v>49</v>
      </c>
      <c r="L334" s="91">
        <v>44349</v>
      </c>
      <c r="M334" s="91">
        <v>44349</v>
      </c>
      <c r="N334" s="125">
        <v>195</v>
      </c>
      <c r="O334" s="92">
        <v>3585.6000000000004</v>
      </c>
      <c r="Q334" s="14"/>
    </row>
    <row r="335" ht="15" customHeight="1">
      <c r="B335" s="13"/>
      <c r="C335" s="22" t="s">
        <v>184</v>
      </c>
      <c r="D335" s="90" t="s">
        <v>828</v>
      </c>
      <c r="E335" s="122" t="s">
        <v>829</v>
      </c>
      <c r="F335" s="91" t="s">
        <v>8</v>
      </c>
      <c r="G335" s="91">
        <v>25010</v>
      </c>
      <c r="H335" s="90" t="s">
        <v>187</v>
      </c>
      <c r="I335" s="91" t="s">
        <v>21</v>
      </c>
      <c r="J335" s="91">
        <v>44065</v>
      </c>
      <c r="K335" s="121">
        <v>52</v>
      </c>
      <c r="L335" s="91">
        <v>44254</v>
      </c>
      <c r="M335" s="91">
        <v>44255</v>
      </c>
      <c r="N335" s="125">
        <v>190</v>
      </c>
      <c r="O335" s="92">
        <v>1940.8500000000001</v>
      </c>
      <c r="Q335" s="14"/>
    </row>
    <row r="336" ht="15" customHeight="1">
      <c r="B336" s="13"/>
      <c r="C336" s="22" t="s">
        <v>184</v>
      </c>
      <c r="D336" s="90" t="s">
        <v>830</v>
      </c>
      <c r="E336" s="122" t="s">
        <v>831</v>
      </c>
      <c r="F336" s="91" t="s">
        <v>8</v>
      </c>
      <c r="G336" s="91">
        <v>25547</v>
      </c>
      <c r="H336" s="90" t="s">
        <v>187</v>
      </c>
      <c r="I336" s="91" t="s">
        <v>21</v>
      </c>
      <c r="J336" s="91">
        <v>44045</v>
      </c>
      <c r="K336" s="121">
        <v>51</v>
      </c>
      <c r="L336" s="91">
        <v>44162</v>
      </c>
      <c r="M336" s="91">
        <v>44162</v>
      </c>
      <c r="N336" s="125">
        <v>117</v>
      </c>
      <c r="O336" s="92">
        <v>145.88</v>
      </c>
      <c r="Q336" s="14"/>
    </row>
    <row r="337" ht="15" customHeight="1">
      <c r="B337" s="13"/>
      <c r="C337" s="22" t="s">
        <v>184</v>
      </c>
      <c r="D337" s="90" t="s">
        <v>832</v>
      </c>
      <c r="E337" s="122" t="s">
        <v>833</v>
      </c>
      <c r="F337" s="91" t="s">
        <v>8</v>
      </c>
      <c r="G337" s="91">
        <v>22865</v>
      </c>
      <c r="H337" s="90" t="s">
        <v>187</v>
      </c>
      <c r="I337" s="91" t="s">
        <v>21</v>
      </c>
      <c r="J337" s="91">
        <v>44302</v>
      </c>
      <c r="K337" s="121">
        <v>59</v>
      </c>
      <c r="L337" s="91">
        <v>44367</v>
      </c>
      <c r="M337" s="91">
        <v>44367</v>
      </c>
      <c r="N337" s="125">
        <v>65</v>
      </c>
      <c r="O337" s="92">
        <v>1674</v>
      </c>
      <c r="Q337" s="14"/>
    </row>
    <row r="338" ht="15" customHeight="1">
      <c r="B338" s="13"/>
      <c r="C338" s="22" t="s">
        <v>184</v>
      </c>
      <c r="D338" s="90" t="s">
        <v>834</v>
      </c>
      <c r="E338" s="122" t="s">
        <v>835</v>
      </c>
      <c r="F338" s="91" t="s">
        <v>8</v>
      </c>
      <c r="G338" s="91">
        <v>25952</v>
      </c>
      <c r="H338" s="90" t="s">
        <v>197</v>
      </c>
      <c r="I338" s="91" t="s">
        <v>21</v>
      </c>
      <c r="J338" s="91">
        <v>44335</v>
      </c>
      <c r="K338" s="121">
        <v>50</v>
      </c>
      <c r="L338" s="91">
        <v>44537</v>
      </c>
      <c r="M338" s="91"/>
      <c r="N338" s="125">
        <v>0</v>
      </c>
      <c r="O338" s="92">
        <v>4406.31</v>
      </c>
      <c r="Q338" s="14"/>
    </row>
    <row r="339" ht="15" customHeight="1">
      <c r="B339" s="13"/>
      <c r="C339" s="22" t="s">
        <v>184</v>
      </c>
      <c r="D339" s="90" t="s">
        <v>836</v>
      </c>
      <c r="E339" s="122" t="s">
        <v>837</v>
      </c>
      <c r="F339" s="91" t="s">
        <v>8</v>
      </c>
      <c r="G339" s="91">
        <v>21757</v>
      </c>
      <c r="H339" s="90" t="s">
        <v>187</v>
      </c>
      <c r="I339" s="91" t="s">
        <v>21</v>
      </c>
      <c r="J339" s="91">
        <v>44187</v>
      </c>
      <c r="K339" s="121">
        <v>61</v>
      </c>
      <c r="L339" s="91">
        <v>44244</v>
      </c>
      <c r="M339" s="91">
        <v>44244</v>
      </c>
      <c r="N339" s="125">
        <v>57</v>
      </c>
      <c r="O339" s="92">
        <v>617.68000000000006</v>
      </c>
      <c r="Q339" s="14"/>
    </row>
    <row r="340" ht="15" customHeight="1">
      <c r="B340" s="13"/>
      <c r="C340" s="22" t="s">
        <v>400</v>
      </c>
      <c r="D340" s="90" t="s">
        <v>838</v>
      </c>
      <c r="E340" s="122" t="s">
        <v>839</v>
      </c>
      <c r="F340" s="91" t="s">
        <v>8</v>
      </c>
      <c r="G340" s="91">
        <v>24666</v>
      </c>
      <c r="H340" s="90" t="s">
        <v>197</v>
      </c>
      <c r="I340" s="91" t="s">
        <v>21</v>
      </c>
      <c r="J340" s="91">
        <v>44147</v>
      </c>
      <c r="K340" s="121">
        <v>53</v>
      </c>
      <c r="L340" s="91">
        <v>44216</v>
      </c>
      <c r="M340" s="91">
        <v>44216</v>
      </c>
      <c r="N340" s="125">
        <v>69</v>
      </c>
      <c r="O340" s="92">
        <v>2853.2</v>
      </c>
      <c r="Q340" s="14"/>
    </row>
    <row r="341" ht="15" customHeight="1">
      <c r="B341" s="13"/>
      <c r="C341" s="22" t="s">
        <v>184</v>
      </c>
      <c r="D341" s="90" t="s">
        <v>840</v>
      </c>
      <c r="E341" s="122" t="s">
        <v>841</v>
      </c>
      <c r="F341" s="91" t="s">
        <v>8</v>
      </c>
      <c r="G341" s="91">
        <v>25970</v>
      </c>
      <c r="H341" s="90" t="s">
        <v>187</v>
      </c>
      <c r="I341" s="91" t="s">
        <v>21</v>
      </c>
      <c r="J341" s="91">
        <v>44480</v>
      </c>
      <c r="K341" s="121">
        <v>50</v>
      </c>
      <c r="L341" s="91">
        <v>44522</v>
      </c>
      <c r="M341" s="91"/>
      <c r="N341" s="125">
        <v>0</v>
      </c>
      <c r="O341" s="92">
        <v>618.41</v>
      </c>
      <c r="Q341" s="14"/>
    </row>
    <row r="342" ht="15" customHeight="1">
      <c r="B342" s="13"/>
      <c r="C342" s="22" t="s">
        <v>184</v>
      </c>
      <c r="D342" s="90" t="s">
        <v>842</v>
      </c>
      <c r="E342" s="122" t="s">
        <v>843</v>
      </c>
      <c r="F342" s="91" t="s">
        <v>8</v>
      </c>
      <c r="G342" s="91">
        <v>25264</v>
      </c>
      <c r="H342" s="90" t="s">
        <v>187</v>
      </c>
      <c r="I342" s="91" t="s">
        <v>21</v>
      </c>
      <c r="J342" s="91">
        <v>44243</v>
      </c>
      <c r="K342" s="121">
        <v>52</v>
      </c>
      <c r="L342" s="91">
        <v>44311</v>
      </c>
      <c r="M342" s="91">
        <v>44311</v>
      </c>
      <c r="N342" s="125">
        <v>68</v>
      </c>
      <c r="O342" s="92">
        <v>1113.84</v>
      </c>
      <c r="Q342" s="14"/>
    </row>
    <row r="343" ht="15" customHeight="1">
      <c r="B343" s="13"/>
      <c r="C343" s="22" t="s">
        <v>135</v>
      </c>
      <c r="D343" s="90" t="s">
        <v>844</v>
      </c>
      <c r="E343" s="122" t="s">
        <v>845</v>
      </c>
      <c r="F343" s="91" t="s">
        <v>8</v>
      </c>
      <c r="G343" s="91">
        <v>28542</v>
      </c>
      <c r="H343" s="90" t="s">
        <v>187</v>
      </c>
      <c r="I343" s="91" t="s">
        <v>21</v>
      </c>
      <c r="J343" s="91">
        <v>44245</v>
      </c>
      <c r="K343" s="121">
        <v>43</v>
      </c>
      <c r="L343" s="91">
        <v>44377</v>
      </c>
      <c r="M343" s="91">
        <v>44377</v>
      </c>
      <c r="N343" s="125">
        <v>132</v>
      </c>
      <c r="O343" s="92">
        <v>3922.24</v>
      </c>
      <c r="Q343" s="14"/>
    </row>
    <row r="344" ht="15" customHeight="1">
      <c r="B344" s="13"/>
      <c r="C344" s="22" t="s">
        <v>184</v>
      </c>
      <c r="D344" s="90" t="s">
        <v>846</v>
      </c>
      <c r="E344" s="122" t="s">
        <v>847</v>
      </c>
      <c r="F344" s="91" t="s">
        <v>8</v>
      </c>
      <c r="G344" s="91">
        <v>26299</v>
      </c>
      <c r="H344" s="90" t="s">
        <v>197</v>
      </c>
      <c r="I344" s="91" t="s">
        <v>21</v>
      </c>
      <c r="J344" s="91">
        <v>44110</v>
      </c>
      <c r="K344" s="121">
        <v>48</v>
      </c>
      <c r="L344" s="91">
        <v>44255</v>
      </c>
      <c r="M344" s="91">
        <v>44256</v>
      </c>
      <c r="N344" s="125">
        <v>146</v>
      </c>
      <c r="O344" s="92">
        <v>2474.2799999999997</v>
      </c>
      <c r="Q344" s="14"/>
    </row>
    <row r="345" ht="15" customHeight="1">
      <c r="B345" s="13"/>
      <c r="C345" s="22" t="s">
        <v>184</v>
      </c>
      <c r="D345" s="90" t="s">
        <v>848</v>
      </c>
      <c r="E345" s="122" t="s">
        <v>849</v>
      </c>
      <c r="F345" s="91" t="s">
        <v>8</v>
      </c>
      <c r="G345" s="91">
        <v>26358</v>
      </c>
      <c r="H345" s="90" t="s">
        <v>187</v>
      </c>
      <c r="I345" s="91" t="s">
        <v>21</v>
      </c>
      <c r="J345" s="91">
        <v>44117</v>
      </c>
      <c r="K345" s="121">
        <v>48</v>
      </c>
      <c r="L345" s="91">
        <v>44305</v>
      </c>
      <c r="M345" s="91">
        <v>44305</v>
      </c>
      <c r="N345" s="125">
        <v>188</v>
      </c>
      <c r="O345" s="92">
        <v>2385</v>
      </c>
      <c r="Q345" s="14"/>
    </row>
    <row r="346" ht="15" customHeight="1">
      <c r="B346" s="13"/>
      <c r="C346" s="22" t="s">
        <v>184</v>
      </c>
      <c r="D346" s="90" t="s">
        <v>850</v>
      </c>
      <c r="E346" s="122" t="s">
        <v>851</v>
      </c>
      <c r="F346" s="91" t="s">
        <v>8</v>
      </c>
      <c r="G346" s="91">
        <v>28394</v>
      </c>
      <c r="H346" s="90" t="s">
        <v>187</v>
      </c>
      <c r="I346" s="91" t="s">
        <v>21</v>
      </c>
      <c r="J346" s="91">
        <v>44482</v>
      </c>
      <c r="K346" s="121">
        <v>44</v>
      </c>
      <c r="L346" s="91">
        <v>44522</v>
      </c>
      <c r="M346" s="91"/>
      <c r="N346" s="125">
        <v>0</v>
      </c>
      <c r="O346" s="92">
        <v>262.02</v>
      </c>
      <c r="Q346" s="14"/>
    </row>
    <row r="347" ht="15" customHeight="1">
      <c r="B347" s="13"/>
      <c r="C347" s="22" t="s">
        <v>184</v>
      </c>
      <c r="D347" s="90" t="s">
        <v>852</v>
      </c>
      <c r="E347" s="122" t="s">
        <v>853</v>
      </c>
      <c r="F347" s="91" t="s">
        <v>8</v>
      </c>
      <c r="G347" s="91">
        <v>27531</v>
      </c>
      <c r="H347" s="90" t="s">
        <v>187</v>
      </c>
      <c r="I347" s="91" t="s">
        <v>21</v>
      </c>
      <c r="J347" s="91">
        <v>44288</v>
      </c>
      <c r="K347" s="121">
        <v>46</v>
      </c>
      <c r="L347" s="91">
        <v>44526</v>
      </c>
      <c r="M347" s="91">
        <v>44529</v>
      </c>
      <c r="N347" s="125">
        <v>241</v>
      </c>
      <c r="O347" s="92">
        <v>5346.2200000000012</v>
      </c>
      <c r="Q347" s="14"/>
    </row>
    <row r="348" ht="15" customHeight="1">
      <c r="B348" s="13"/>
      <c r="C348" s="22" t="s">
        <v>184</v>
      </c>
      <c r="D348" s="90" t="s">
        <v>854</v>
      </c>
      <c r="E348" s="122" t="s">
        <v>855</v>
      </c>
      <c r="F348" s="91" t="s">
        <v>8</v>
      </c>
      <c r="G348" s="91">
        <v>26667</v>
      </c>
      <c r="H348" s="90" t="s">
        <v>187</v>
      </c>
      <c r="I348" s="91" t="s">
        <v>21</v>
      </c>
      <c r="J348" s="91">
        <v>43997</v>
      </c>
      <c r="K348" s="121">
        <v>47</v>
      </c>
      <c r="L348" s="91">
        <v>44467</v>
      </c>
      <c r="M348" s="91">
        <v>44467</v>
      </c>
      <c r="N348" s="125">
        <v>470</v>
      </c>
      <c r="O348" s="92">
        <v>8377.08</v>
      </c>
      <c r="Q348" s="14"/>
    </row>
    <row r="349" ht="15" customHeight="1">
      <c r="B349" s="13"/>
      <c r="C349" s="22" t="s">
        <v>184</v>
      </c>
      <c r="D349" s="90" t="s">
        <v>856</v>
      </c>
      <c r="E349" s="122" t="s">
        <v>857</v>
      </c>
      <c r="F349" s="91" t="s">
        <v>8</v>
      </c>
      <c r="G349" s="91">
        <v>25748</v>
      </c>
      <c r="H349" s="90" t="s">
        <v>197</v>
      </c>
      <c r="I349" s="91" t="s">
        <v>21</v>
      </c>
      <c r="J349" s="91">
        <v>44335</v>
      </c>
      <c r="K349" s="121">
        <v>51</v>
      </c>
      <c r="L349" s="91">
        <v>44457</v>
      </c>
      <c r="M349" s="91"/>
      <c r="N349" s="125">
        <v>0</v>
      </c>
      <c r="O349" s="92">
        <v>4875.06</v>
      </c>
      <c r="Q349" s="14"/>
    </row>
    <row r="350" ht="15" customHeight="1">
      <c r="B350" s="13"/>
      <c r="C350" s="22" t="s">
        <v>184</v>
      </c>
      <c r="D350" s="90" t="s">
        <v>858</v>
      </c>
      <c r="E350" s="122" t="s">
        <v>859</v>
      </c>
      <c r="F350" s="91" t="s">
        <v>8</v>
      </c>
      <c r="G350" s="91">
        <v>23272</v>
      </c>
      <c r="H350" s="90" t="s">
        <v>197</v>
      </c>
      <c r="I350" s="91" t="s">
        <v>21</v>
      </c>
      <c r="J350" s="91">
        <v>44325</v>
      </c>
      <c r="K350" s="121">
        <v>58</v>
      </c>
      <c r="L350" s="91">
        <v>44522</v>
      </c>
      <c r="M350" s="91"/>
      <c r="N350" s="125">
        <v>0</v>
      </c>
      <c r="O350" s="92">
        <v>13794.480000000001</v>
      </c>
      <c r="Q350" s="14"/>
    </row>
    <row r="351" ht="15" customHeight="1">
      <c r="B351" s="13"/>
      <c r="C351" s="22" t="s">
        <v>184</v>
      </c>
      <c r="D351" s="90" t="s">
        <v>860</v>
      </c>
      <c r="E351" s="122" t="s">
        <v>861</v>
      </c>
      <c r="F351" s="91" t="s">
        <v>8</v>
      </c>
      <c r="G351" s="91">
        <v>23377</v>
      </c>
      <c r="H351" s="90" t="s">
        <v>187</v>
      </c>
      <c r="I351" s="91" t="s">
        <v>21</v>
      </c>
      <c r="J351" s="91">
        <v>44343</v>
      </c>
      <c r="K351" s="121">
        <v>57</v>
      </c>
      <c r="L351" s="91">
        <v>44446</v>
      </c>
      <c r="M351" s="91"/>
      <c r="N351" s="125">
        <v>0</v>
      </c>
      <c r="O351" s="92">
        <v>956.82</v>
      </c>
      <c r="Q351" s="14"/>
    </row>
    <row r="352" ht="15" customHeight="1">
      <c r="B352" s="13"/>
      <c r="C352" s="22" t="s">
        <v>184</v>
      </c>
      <c r="D352" s="90" t="s">
        <v>862</v>
      </c>
      <c r="E352" s="122" t="s">
        <v>863</v>
      </c>
      <c r="F352" s="91" t="s">
        <v>10</v>
      </c>
      <c r="G352" s="91">
        <v>25929</v>
      </c>
      <c r="H352" s="90" t="s">
        <v>187</v>
      </c>
      <c r="I352" s="91" t="s">
        <v>21</v>
      </c>
      <c r="J352" s="91">
        <v>44456</v>
      </c>
      <c r="K352" s="121">
        <v>51</v>
      </c>
      <c r="L352" s="91">
        <v>44516</v>
      </c>
      <c r="M352" s="91">
        <v>44516</v>
      </c>
      <c r="N352" s="125">
        <v>60</v>
      </c>
      <c r="O352" s="92">
        <v>755.16000000000008</v>
      </c>
      <c r="Q352" s="14"/>
    </row>
    <row r="353" ht="15" customHeight="1">
      <c r="B353" s="13"/>
      <c r="C353" s="22" t="s">
        <v>184</v>
      </c>
      <c r="D353" s="90" t="s">
        <v>864</v>
      </c>
      <c r="E353" s="122" t="s">
        <v>865</v>
      </c>
      <c r="F353" s="91" t="s">
        <v>8</v>
      </c>
      <c r="G353" s="91">
        <v>23316</v>
      </c>
      <c r="H353" s="90" t="s">
        <v>187</v>
      </c>
      <c r="I353" s="91" t="s">
        <v>21</v>
      </c>
      <c r="J353" s="91">
        <v>44210</v>
      </c>
      <c r="K353" s="121">
        <v>58</v>
      </c>
      <c r="L353" s="91">
        <v>44498</v>
      </c>
      <c r="M353" s="91">
        <v>44498</v>
      </c>
      <c r="N353" s="125">
        <v>288</v>
      </c>
      <c r="O353" s="92">
        <v>357.41999999999996</v>
      </c>
      <c r="Q353" s="14"/>
    </row>
    <row r="354" ht="15" customHeight="1">
      <c r="B354" s="13"/>
      <c r="C354" s="22" t="s">
        <v>184</v>
      </c>
      <c r="D354" s="90" t="s">
        <v>866</v>
      </c>
      <c r="E354" s="122" t="s">
        <v>867</v>
      </c>
      <c r="F354" s="91" t="s">
        <v>8</v>
      </c>
      <c r="G354" s="91">
        <v>26626</v>
      </c>
      <c r="H354" s="90" t="s">
        <v>187</v>
      </c>
      <c r="I354" s="91" t="s">
        <v>21</v>
      </c>
      <c r="J354" s="91">
        <v>44105</v>
      </c>
      <c r="K354" s="121">
        <v>48</v>
      </c>
      <c r="L354" s="91">
        <v>44304</v>
      </c>
      <c r="M354" s="91">
        <v>44304</v>
      </c>
      <c r="N354" s="125">
        <v>199</v>
      </c>
      <c r="O354" s="92">
        <v>4496.5</v>
      </c>
      <c r="Q354" s="14"/>
    </row>
    <row r="355" ht="15" customHeight="1">
      <c r="B355" s="13"/>
      <c r="C355" s="22" t="s">
        <v>184</v>
      </c>
      <c r="D355" s="90" t="s">
        <v>868</v>
      </c>
      <c r="E355" s="122" t="s">
        <v>869</v>
      </c>
      <c r="F355" s="91" t="s">
        <v>8</v>
      </c>
      <c r="G355" s="91">
        <v>24720</v>
      </c>
      <c r="H355" s="90" t="s">
        <v>187</v>
      </c>
      <c r="I355" s="91" t="s">
        <v>21</v>
      </c>
      <c r="J355" s="91">
        <v>44223</v>
      </c>
      <c r="K355" s="121">
        <v>54</v>
      </c>
      <c r="L355" s="91">
        <v>44262</v>
      </c>
      <c r="M355" s="91">
        <v>44262</v>
      </c>
      <c r="N355" s="125">
        <v>39</v>
      </c>
      <c r="O355" s="92">
        <v>6.9</v>
      </c>
      <c r="Q355" s="14"/>
    </row>
    <row r="356" ht="15" customHeight="1">
      <c r="B356" s="13"/>
      <c r="C356" s="22" t="s">
        <v>184</v>
      </c>
      <c r="D356" s="90" t="s">
        <v>870</v>
      </c>
      <c r="E356" s="122" t="s">
        <v>871</v>
      </c>
      <c r="F356" s="91" t="s">
        <v>8</v>
      </c>
      <c r="G356" s="91">
        <v>27085</v>
      </c>
      <c r="H356" s="90" t="s">
        <v>187</v>
      </c>
      <c r="I356" s="91" t="s">
        <v>21</v>
      </c>
      <c r="J356" s="91">
        <v>44082</v>
      </c>
      <c r="K356" s="121">
        <v>46</v>
      </c>
      <c r="L356" s="91">
        <v>44516</v>
      </c>
      <c r="M356" s="91"/>
      <c r="N356" s="125">
        <v>0</v>
      </c>
      <c r="O356" s="92">
        <v>9086.9300000000021</v>
      </c>
      <c r="Q356" s="14"/>
    </row>
    <row r="357" ht="15" customHeight="1">
      <c r="B357" s="13"/>
      <c r="C357" s="22" t="s">
        <v>184</v>
      </c>
      <c r="D357" s="90" t="s">
        <v>872</v>
      </c>
      <c r="E357" s="122" t="s">
        <v>873</v>
      </c>
      <c r="F357" s="91" t="s">
        <v>8</v>
      </c>
      <c r="G357" s="91">
        <v>22213</v>
      </c>
      <c r="H357" s="90" t="s">
        <v>187</v>
      </c>
      <c r="I357" s="91" t="s">
        <v>21</v>
      </c>
      <c r="J357" s="91">
        <v>44200</v>
      </c>
      <c r="K357" s="121">
        <v>61</v>
      </c>
      <c r="L357" s="91">
        <v>44529</v>
      </c>
      <c r="M357" s="91"/>
      <c r="N357" s="125">
        <v>0</v>
      </c>
      <c r="O357" s="92">
        <v>8286</v>
      </c>
      <c r="Q357" s="14"/>
    </row>
    <row r="358" ht="15" customHeight="1">
      <c r="B358" s="13"/>
      <c r="C358" s="22" t="s">
        <v>184</v>
      </c>
      <c r="D358" s="90" t="s">
        <v>874</v>
      </c>
      <c r="E358" s="122" t="s">
        <v>875</v>
      </c>
      <c r="F358" s="91" t="s">
        <v>10</v>
      </c>
      <c r="G358" s="91">
        <v>25895</v>
      </c>
      <c r="H358" s="90" t="s">
        <v>187</v>
      </c>
      <c r="I358" s="91" t="s">
        <v>21</v>
      </c>
      <c r="J358" s="91">
        <v>44335</v>
      </c>
      <c r="K358" s="121">
        <v>51</v>
      </c>
      <c r="L358" s="91">
        <v>44469</v>
      </c>
      <c r="M358" s="91">
        <v>44469</v>
      </c>
      <c r="N358" s="125">
        <v>134</v>
      </c>
      <c r="O358" s="92">
        <v>405.3</v>
      </c>
      <c r="Q358" s="14"/>
    </row>
    <row r="359" ht="15" customHeight="1">
      <c r="B359" s="13"/>
      <c r="C359" s="22" t="s">
        <v>184</v>
      </c>
      <c r="D359" s="90" t="s">
        <v>876</v>
      </c>
      <c r="E359" s="122" t="s">
        <v>877</v>
      </c>
      <c r="F359" s="91" t="s">
        <v>8</v>
      </c>
      <c r="G359" s="91">
        <v>25585</v>
      </c>
      <c r="H359" s="90" t="s">
        <v>187</v>
      </c>
      <c r="I359" s="91" t="s">
        <v>21</v>
      </c>
      <c r="J359" s="91">
        <v>44438</v>
      </c>
      <c r="K359" s="121">
        <v>51</v>
      </c>
      <c r="L359" s="91">
        <v>44531</v>
      </c>
      <c r="M359" s="91"/>
      <c r="N359" s="125">
        <v>0</v>
      </c>
      <c r="O359" s="92">
        <v>1091.2</v>
      </c>
      <c r="Q359" s="14"/>
    </row>
    <row r="360" ht="15" customHeight="1">
      <c r="B360" s="13"/>
      <c r="C360" s="22" t="s">
        <v>184</v>
      </c>
      <c r="D360" s="90" t="s">
        <v>878</v>
      </c>
      <c r="E360" s="122" t="s">
        <v>879</v>
      </c>
      <c r="F360" s="91" t="s">
        <v>8</v>
      </c>
      <c r="G360" s="91">
        <v>24651</v>
      </c>
      <c r="H360" s="90" t="s">
        <v>187</v>
      </c>
      <c r="I360" s="91" t="s">
        <v>21</v>
      </c>
      <c r="J360" s="91">
        <v>44200</v>
      </c>
      <c r="K360" s="121">
        <v>54</v>
      </c>
      <c r="L360" s="91">
        <v>44502</v>
      </c>
      <c r="M360" s="91"/>
      <c r="N360" s="125">
        <v>0</v>
      </c>
      <c r="O360" s="92">
        <v>2481.57</v>
      </c>
      <c r="Q360" s="14"/>
    </row>
    <row r="361" ht="15" customHeight="1">
      <c r="B361" s="13"/>
      <c r="C361" s="22" t="s">
        <v>184</v>
      </c>
      <c r="D361" s="90" t="s">
        <v>880</v>
      </c>
      <c r="E361" s="122" t="s">
        <v>881</v>
      </c>
      <c r="F361" s="91" t="s">
        <v>10</v>
      </c>
      <c r="G361" s="91">
        <v>21757</v>
      </c>
      <c r="H361" s="90" t="s">
        <v>187</v>
      </c>
      <c r="I361" s="91" t="s">
        <v>21</v>
      </c>
      <c r="J361" s="91">
        <v>43990</v>
      </c>
      <c r="K361" s="121">
        <v>61</v>
      </c>
      <c r="L361" s="91">
        <v>44523</v>
      </c>
      <c r="M361" s="91"/>
      <c r="N361" s="125">
        <v>0</v>
      </c>
      <c r="O361" s="92">
        <v>13089.759999999998</v>
      </c>
      <c r="Q361" s="14"/>
    </row>
    <row r="362" ht="15" customHeight="1">
      <c r="B362" s="13"/>
      <c r="C362" s="22" t="s">
        <v>184</v>
      </c>
      <c r="D362" s="90" t="s">
        <v>882</v>
      </c>
      <c r="E362" s="122" t="s">
        <v>883</v>
      </c>
      <c r="F362" s="91" t="s">
        <v>8</v>
      </c>
      <c r="G362" s="91">
        <v>28402</v>
      </c>
      <c r="H362" s="90" t="s">
        <v>187</v>
      </c>
      <c r="I362" s="91" t="s">
        <v>21</v>
      </c>
      <c r="J362" s="91">
        <v>44284</v>
      </c>
      <c r="K362" s="121">
        <v>44</v>
      </c>
      <c r="L362" s="91">
        <v>44431</v>
      </c>
      <c r="M362" s="91">
        <v>44431</v>
      </c>
      <c r="N362" s="125">
        <v>147</v>
      </c>
      <c r="O362" s="92">
        <v>699.74000000000012</v>
      </c>
      <c r="Q362" s="14"/>
    </row>
    <row r="363" ht="15" customHeight="1">
      <c r="B363" s="13"/>
      <c r="C363" s="22" t="s">
        <v>184</v>
      </c>
      <c r="D363" s="90" t="s">
        <v>884</v>
      </c>
      <c r="E363" s="122" t="s">
        <v>883</v>
      </c>
      <c r="F363" s="91" t="s">
        <v>8</v>
      </c>
      <c r="G363" s="91">
        <v>28402</v>
      </c>
      <c r="H363" s="90" t="s">
        <v>187</v>
      </c>
      <c r="I363" s="91" t="s">
        <v>21</v>
      </c>
      <c r="J363" s="91">
        <v>44284</v>
      </c>
      <c r="K363" s="121">
        <v>44</v>
      </c>
      <c r="L363" s="91">
        <v>44431</v>
      </c>
      <c r="M363" s="91">
        <v>44431</v>
      </c>
      <c r="N363" s="125">
        <v>147</v>
      </c>
      <c r="O363" s="92">
        <v>0</v>
      </c>
      <c r="Q363" s="14"/>
    </row>
    <row r="364" ht="15" customHeight="1">
      <c r="B364" s="13"/>
      <c r="C364" s="22" t="s">
        <v>184</v>
      </c>
      <c r="D364" s="90" t="s">
        <v>885</v>
      </c>
      <c r="E364" s="122" t="s">
        <v>886</v>
      </c>
      <c r="F364" s="91" t="s">
        <v>8</v>
      </c>
      <c r="G364" s="91">
        <v>25695</v>
      </c>
      <c r="H364" s="90" t="s">
        <v>187</v>
      </c>
      <c r="I364" s="91" t="s">
        <v>21</v>
      </c>
      <c r="J364" s="91">
        <v>44141</v>
      </c>
      <c r="K364" s="121">
        <v>50</v>
      </c>
      <c r="L364" s="91">
        <v>44225</v>
      </c>
      <c r="M364" s="91">
        <v>44225</v>
      </c>
      <c r="N364" s="125">
        <v>84</v>
      </c>
      <c r="O364" s="92">
        <v>1225.4</v>
      </c>
      <c r="Q364" s="14"/>
    </row>
    <row r="365" ht="15" customHeight="1">
      <c r="B365" s="13"/>
      <c r="C365" s="22" t="s">
        <v>135</v>
      </c>
      <c r="D365" s="90" t="s">
        <v>887</v>
      </c>
      <c r="E365" s="122" t="s">
        <v>888</v>
      </c>
      <c r="F365" s="91" t="s">
        <v>8</v>
      </c>
      <c r="G365" s="91">
        <v>27337</v>
      </c>
      <c r="H365" s="90" t="s">
        <v>187</v>
      </c>
      <c r="I365" s="91" t="s">
        <v>21</v>
      </c>
      <c r="J365" s="91">
        <v>44075</v>
      </c>
      <c r="K365" s="121">
        <v>46</v>
      </c>
      <c r="L365" s="91">
        <v>44255</v>
      </c>
      <c r="M365" s="91">
        <v>44255</v>
      </c>
      <c r="N365" s="125">
        <v>180</v>
      </c>
      <c r="O365" s="92">
        <v>2402.48</v>
      </c>
      <c r="Q365" s="14"/>
    </row>
    <row r="366" ht="15" customHeight="1">
      <c r="B366" s="13"/>
      <c r="C366" s="22" t="s">
        <v>184</v>
      </c>
      <c r="D366" s="90" t="s">
        <v>889</v>
      </c>
      <c r="E366" s="122" t="s">
        <v>890</v>
      </c>
      <c r="F366" s="91" t="s">
        <v>10</v>
      </c>
      <c r="G366" s="91">
        <v>25085</v>
      </c>
      <c r="H366" s="90" t="s">
        <v>197</v>
      </c>
      <c r="I366" s="91" t="s">
        <v>21</v>
      </c>
      <c r="J366" s="91">
        <v>43913</v>
      </c>
      <c r="K366" s="121">
        <v>52</v>
      </c>
      <c r="L366" s="91">
        <v>44096</v>
      </c>
      <c r="M366" s="91">
        <v>44096</v>
      </c>
      <c r="N366" s="125">
        <v>183</v>
      </c>
      <c r="O366" s="92">
        <v>1794.1</v>
      </c>
      <c r="Q366" s="14"/>
    </row>
    <row r="367" ht="15" customHeight="1">
      <c r="B367" s="13"/>
      <c r="C367" s="22" t="s">
        <v>184</v>
      </c>
      <c r="D367" s="90" t="s">
        <v>891</v>
      </c>
      <c r="E367" s="122" t="s">
        <v>892</v>
      </c>
      <c r="F367" s="91" t="s">
        <v>8</v>
      </c>
      <c r="G367" s="91">
        <v>24990</v>
      </c>
      <c r="H367" s="90" t="s">
        <v>187</v>
      </c>
      <c r="I367" s="91" t="s">
        <v>21</v>
      </c>
      <c r="J367" s="91">
        <v>44280</v>
      </c>
      <c r="K367" s="121">
        <v>53</v>
      </c>
      <c r="L367" s="91">
        <v>44343</v>
      </c>
      <c r="M367" s="91">
        <v>44343</v>
      </c>
      <c r="N367" s="125">
        <v>63</v>
      </c>
      <c r="O367" s="92">
        <v>770.44</v>
      </c>
      <c r="Q367" s="14"/>
    </row>
    <row r="368" ht="15" customHeight="1">
      <c r="B368" s="13"/>
      <c r="C368" s="22" t="s">
        <v>184</v>
      </c>
      <c r="D368" s="90" t="s">
        <v>893</v>
      </c>
      <c r="E368" s="122" t="s">
        <v>894</v>
      </c>
      <c r="F368" s="91" t="s">
        <v>8</v>
      </c>
      <c r="G368" s="91">
        <v>24889</v>
      </c>
      <c r="H368" s="90" t="s">
        <v>187</v>
      </c>
      <c r="I368" s="91" t="s">
        <v>21</v>
      </c>
      <c r="J368" s="91">
        <v>43903</v>
      </c>
      <c r="K368" s="121">
        <v>52</v>
      </c>
      <c r="L368" s="91">
        <v>44201</v>
      </c>
      <c r="M368" s="91">
        <v>44201</v>
      </c>
      <c r="N368" s="125">
        <v>298</v>
      </c>
      <c r="O368" s="92">
        <v>8293.95</v>
      </c>
      <c r="Q368" s="14"/>
    </row>
    <row r="369" ht="15" customHeight="1">
      <c r="B369" s="13"/>
      <c r="C369" s="22" t="s">
        <v>184</v>
      </c>
      <c r="D369" s="90" t="s">
        <v>895</v>
      </c>
      <c r="E369" s="122" t="s">
        <v>896</v>
      </c>
      <c r="F369" s="91" t="s">
        <v>8</v>
      </c>
      <c r="G369" s="91">
        <v>25753</v>
      </c>
      <c r="H369" s="90" t="s">
        <v>187</v>
      </c>
      <c r="I369" s="91" t="s">
        <v>21</v>
      </c>
      <c r="J369" s="91">
        <v>44339</v>
      </c>
      <c r="K369" s="121">
        <v>51</v>
      </c>
      <c r="L369" s="91">
        <v>44489</v>
      </c>
      <c r="M369" s="91">
        <v>44489</v>
      </c>
      <c r="N369" s="125">
        <v>150</v>
      </c>
      <c r="O369" s="92">
        <v>2966.92</v>
      </c>
      <c r="Q369" s="14"/>
    </row>
    <row r="370" ht="15" customHeight="1">
      <c r="B370" s="13"/>
      <c r="C370" s="22" t="s">
        <v>184</v>
      </c>
      <c r="D370" s="90" t="s">
        <v>897</v>
      </c>
      <c r="E370" s="122" t="s">
        <v>898</v>
      </c>
      <c r="F370" s="91" t="s">
        <v>8</v>
      </c>
      <c r="G370" s="91">
        <v>29087</v>
      </c>
      <c r="H370" s="90" t="s">
        <v>187</v>
      </c>
      <c r="I370" s="91" t="s">
        <v>21</v>
      </c>
      <c r="J370" s="91">
        <v>44214</v>
      </c>
      <c r="K370" s="121">
        <v>42</v>
      </c>
      <c r="L370" s="91">
        <v>44516</v>
      </c>
      <c r="M370" s="91"/>
      <c r="N370" s="125">
        <v>0</v>
      </c>
      <c r="O370" s="92">
        <v>4062.2400000000002</v>
      </c>
      <c r="Q370" s="14"/>
    </row>
    <row r="371" ht="15" customHeight="1">
      <c r="B371" s="13"/>
      <c r="C371" s="22" t="s">
        <v>184</v>
      </c>
      <c r="D371" s="90" t="s">
        <v>899</v>
      </c>
      <c r="E371" s="122" t="s">
        <v>900</v>
      </c>
      <c r="F371" s="91" t="s">
        <v>8</v>
      </c>
      <c r="G371" s="91">
        <v>28856</v>
      </c>
      <c r="H371" s="90" t="s">
        <v>187</v>
      </c>
      <c r="I371" s="91" t="s">
        <v>21</v>
      </c>
      <c r="J371" s="91">
        <v>44202</v>
      </c>
      <c r="K371" s="121">
        <v>42</v>
      </c>
      <c r="L371" s="91">
        <v>44237</v>
      </c>
      <c r="M371" s="91">
        <v>44241</v>
      </c>
      <c r="N371" s="125">
        <v>39</v>
      </c>
      <c r="O371" s="92">
        <v>112.68</v>
      </c>
      <c r="Q371" s="14"/>
    </row>
    <row r="372" ht="15" customHeight="1">
      <c r="B372" s="13"/>
      <c r="C372" s="22" t="s">
        <v>184</v>
      </c>
      <c r="D372" s="90" t="s">
        <v>901</v>
      </c>
      <c r="E372" s="122" t="s">
        <v>902</v>
      </c>
      <c r="F372" s="91" t="s">
        <v>8</v>
      </c>
      <c r="G372" s="91">
        <v>27861</v>
      </c>
      <c r="H372" s="90" t="s">
        <v>187</v>
      </c>
      <c r="I372" s="91" t="s">
        <v>21</v>
      </c>
      <c r="J372" s="91">
        <v>44350</v>
      </c>
      <c r="K372" s="121">
        <v>45</v>
      </c>
      <c r="L372" s="91">
        <v>44418</v>
      </c>
      <c r="M372" s="91">
        <v>44418</v>
      </c>
      <c r="N372" s="125">
        <v>68</v>
      </c>
      <c r="O372" s="92">
        <v>1161.81</v>
      </c>
      <c r="Q372" s="14"/>
    </row>
    <row r="373" ht="15" customHeight="1">
      <c r="B373" s="13"/>
      <c r="C373" s="22" t="s">
        <v>184</v>
      </c>
      <c r="D373" s="90" t="s">
        <v>903</v>
      </c>
      <c r="E373" s="122" t="s">
        <v>904</v>
      </c>
      <c r="F373" s="91" t="s">
        <v>8</v>
      </c>
      <c r="G373" s="91">
        <v>24837</v>
      </c>
      <c r="H373" s="90" t="s">
        <v>187</v>
      </c>
      <c r="I373" s="91" t="s">
        <v>21</v>
      </c>
      <c r="J373" s="91">
        <v>44437</v>
      </c>
      <c r="K373" s="121">
        <v>54</v>
      </c>
      <c r="L373" s="91">
        <v>44523</v>
      </c>
      <c r="M373" s="91"/>
      <c r="N373" s="125">
        <v>0</v>
      </c>
      <c r="O373" s="92">
        <v>427.5</v>
      </c>
      <c r="Q373" s="14"/>
    </row>
    <row r="374" ht="15" customHeight="1">
      <c r="B374" s="13"/>
      <c r="C374" s="22" t="s">
        <v>184</v>
      </c>
      <c r="D374" s="90" t="s">
        <v>905</v>
      </c>
      <c r="E374" s="122" t="s">
        <v>904</v>
      </c>
      <c r="F374" s="91" t="s">
        <v>8</v>
      </c>
      <c r="G374" s="91">
        <v>24837</v>
      </c>
      <c r="H374" s="90" t="s">
        <v>187</v>
      </c>
      <c r="I374" s="91" t="s">
        <v>21</v>
      </c>
      <c r="J374" s="91">
        <v>44015</v>
      </c>
      <c r="K374" s="121">
        <v>53</v>
      </c>
      <c r="L374" s="91">
        <v>44053</v>
      </c>
      <c r="M374" s="91">
        <v>44053</v>
      </c>
      <c r="N374" s="125">
        <v>38</v>
      </c>
      <c r="O374" s="92">
        <v>92.43</v>
      </c>
      <c r="Q374" s="14"/>
    </row>
    <row r="375" ht="15" customHeight="1">
      <c r="B375" s="13"/>
      <c r="C375" s="22" t="s">
        <v>184</v>
      </c>
      <c r="D375" s="90" t="s">
        <v>906</v>
      </c>
      <c r="E375" s="122" t="s">
        <v>907</v>
      </c>
      <c r="F375" s="91" t="s">
        <v>8</v>
      </c>
      <c r="G375" s="91">
        <v>27211</v>
      </c>
      <c r="H375" s="90" t="s">
        <v>197</v>
      </c>
      <c r="I375" s="91" t="s">
        <v>21</v>
      </c>
      <c r="J375" s="91">
        <v>44205</v>
      </c>
      <c r="K375" s="121">
        <v>47</v>
      </c>
      <c r="L375" s="91">
        <v>44530</v>
      </c>
      <c r="M375" s="91"/>
      <c r="N375" s="125">
        <v>0</v>
      </c>
      <c r="O375" s="92">
        <v>19325.84</v>
      </c>
      <c r="Q375" s="14"/>
    </row>
    <row r="376" ht="15" customHeight="1">
      <c r="B376" s="13"/>
      <c r="C376" s="22" t="s">
        <v>184</v>
      </c>
      <c r="D376" s="90" t="s">
        <v>908</v>
      </c>
      <c r="E376" s="122" t="s">
        <v>909</v>
      </c>
      <c r="F376" s="91" t="s">
        <v>8</v>
      </c>
      <c r="G376" s="91">
        <v>25376</v>
      </c>
      <c r="H376" s="90" t="s">
        <v>187</v>
      </c>
      <c r="I376" s="91" t="s">
        <v>21</v>
      </c>
      <c r="J376" s="91">
        <v>44448</v>
      </c>
      <c r="K376" s="121">
        <v>52</v>
      </c>
      <c r="L376" s="91">
        <v>44513</v>
      </c>
      <c r="M376" s="91">
        <v>44513</v>
      </c>
      <c r="N376" s="125">
        <v>65</v>
      </c>
      <c r="O376" s="92">
        <v>751.32</v>
      </c>
      <c r="Q376" s="14"/>
    </row>
    <row r="377" ht="15" customHeight="1">
      <c r="B377" s="13"/>
      <c r="C377" s="22" t="s">
        <v>184</v>
      </c>
      <c r="D377" s="90" t="s">
        <v>910</v>
      </c>
      <c r="E377" s="122" t="s">
        <v>911</v>
      </c>
      <c r="F377" s="91" t="s">
        <v>8</v>
      </c>
      <c r="G377" s="91">
        <v>27385</v>
      </c>
      <c r="H377" s="90" t="s">
        <v>187</v>
      </c>
      <c r="I377" s="91" t="s">
        <v>21</v>
      </c>
      <c r="J377" s="91">
        <v>44081</v>
      </c>
      <c r="K377" s="121">
        <v>46</v>
      </c>
      <c r="L377" s="91">
        <v>44196</v>
      </c>
      <c r="M377" s="91">
        <v>44196</v>
      </c>
      <c r="N377" s="125">
        <v>115</v>
      </c>
      <c r="O377" s="92">
        <v>776.04</v>
      </c>
      <c r="Q377" s="14"/>
    </row>
    <row r="378" ht="15" customHeight="1">
      <c r="B378" s="13"/>
      <c r="C378" s="22" t="s">
        <v>184</v>
      </c>
      <c r="D378" s="90" t="s">
        <v>912</v>
      </c>
      <c r="E378" s="122" t="s">
        <v>913</v>
      </c>
      <c r="F378" s="91" t="s">
        <v>8</v>
      </c>
      <c r="G378" s="91">
        <v>28631</v>
      </c>
      <c r="H378" s="90" t="s">
        <v>197</v>
      </c>
      <c r="I378" s="91" t="s">
        <v>21</v>
      </c>
      <c r="J378" s="91">
        <v>43865</v>
      </c>
      <c r="K378" s="121">
        <v>42</v>
      </c>
      <c r="L378" s="91">
        <v>44377</v>
      </c>
      <c r="M378" s="91">
        <v>44377</v>
      </c>
      <c r="N378" s="125">
        <v>512</v>
      </c>
      <c r="O378" s="92">
        <v>0</v>
      </c>
      <c r="Q378" s="14"/>
    </row>
    <row r="379" ht="15" customHeight="1">
      <c r="B379" s="13"/>
      <c r="C379" s="22" t="s">
        <v>184</v>
      </c>
      <c r="D379" s="90" t="s">
        <v>914</v>
      </c>
      <c r="E379" s="122" t="s">
        <v>915</v>
      </c>
      <c r="F379" s="91" t="s">
        <v>8</v>
      </c>
      <c r="G379" s="91">
        <v>28829</v>
      </c>
      <c r="H379" s="90" t="s">
        <v>187</v>
      </c>
      <c r="I379" s="91" t="s">
        <v>21</v>
      </c>
      <c r="J379" s="91">
        <v>44039</v>
      </c>
      <c r="K379" s="121">
        <v>42</v>
      </c>
      <c r="L379" s="91">
        <v>44530</v>
      </c>
      <c r="M379" s="91"/>
      <c r="N379" s="125">
        <v>0</v>
      </c>
      <c r="O379" s="92">
        <v>12672.660000000009</v>
      </c>
      <c r="Q379" s="14"/>
    </row>
    <row r="380" ht="15" customHeight="1">
      <c r="B380" s="13"/>
      <c r="C380" s="22" t="s">
        <v>779</v>
      </c>
      <c r="D380" s="90" t="s">
        <v>916</v>
      </c>
      <c r="E380" s="122" t="s">
        <v>917</v>
      </c>
      <c r="F380" s="91" t="s">
        <v>8</v>
      </c>
      <c r="G380" s="91">
        <v>24908</v>
      </c>
      <c r="H380" s="90" t="s">
        <v>187</v>
      </c>
      <c r="I380" s="91" t="s">
        <v>21</v>
      </c>
      <c r="J380" s="91">
        <v>44083</v>
      </c>
      <c r="K380" s="121">
        <v>52</v>
      </c>
      <c r="L380" s="91">
        <v>44141</v>
      </c>
      <c r="M380" s="91">
        <v>44141</v>
      </c>
      <c r="N380" s="125">
        <v>58</v>
      </c>
      <c r="O380" s="92">
        <v>2034.35</v>
      </c>
      <c r="Q380" s="14"/>
    </row>
    <row r="381" ht="15" customHeight="1">
      <c r="B381" s="13"/>
      <c r="C381" s="22" t="s">
        <v>200</v>
      </c>
      <c r="D381" s="90" t="s">
        <v>918</v>
      </c>
      <c r="E381" s="122" t="s">
        <v>919</v>
      </c>
      <c r="F381" s="91" t="s">
        <v>10</v>
      </c>
      <c r="G381" s="91">
        <v>24859</v>
      </c>
      <c r="H381" s="90" t="s">
        <v>197</v>
      </c>
      <c r="I381" s="91" t="s">
        <v>21</v>
      </c>
      <c r="J381" s="91">
        <v>44232</v>
      </c>
      <c r="K381" s="121">
        <v>53</v>
      </c>
      <c r="L381" s="91">
        <v>44270</v>
      </c>
      <c r="M381" s="91">
        <v>44270</v>
      </c>
      <c r="N381" s="125">
        <v>38</v>
      </c>
      <c r="O381" s="92">
        <v>641.61</v>
      </c>
      <c r="Q381" s="14"/>
    </row>
    <row r="382" ht="15" customHeight="1">
      <c r="B382" s="13"/>
      <c r="C382" s="22" t="s">
        <v>184</v>
      </c>
      <c r="D382" s="90" t="s">
        <v>920</v>
      </c>
      <c r="E382" s="122" t="s">
        <v>921</v>
      </c>
      <c r="F382" s="91" t="s">
        <v>8</v>
      </c>
      <c r="G382" s="91">
        <v>22431</v>
      </c>
      <c r="H382" s="90" t="s">
        <v>187</v>
      </c>
      <c r="I382" s="91" t="s">
        <v>21</v>
      </c>
      <c r="J382" s="91">
        <v>44218</v>
      </c>
      <c r="K382" s="121">
        <v>60</v>
      </c>
      <c r="L382" s="91">
        <v>44263</v>
      </c>
      <c r="M382" s="91">
        <v>44263</v>
      </c>
      <c r="N382" s="125">
        <v>45</v>
      </c>
      <c r="O382" s="92">
        <v>1070.08</v>
      </c>
      <c r="Q382" s="14"/>
    </row>
    <row r="383" ht="15" customHeight="1">
      <c r="B383" s="13"/>
      <c r="C383" s="22" t="s">
        <v>135</v>
      </c>
      <c r="D383" s="90" t="s">
        <v>922</v>
      </c>
      <c r="E383" s="122" t="s">
        <v>923</v>
      </c>
      <c r="F383" s="91" t="s">
        <v>8</v>
      </c>
      <c r="G383" s="91">
        <v>26810</v>
      </c>
      <c r="H383" s="90" t="s">
        <v>197</v>
      </c>
      <c r="I383" s="91" t="s">
        <v>21</v>
      </c>
      <c r="J383" s="91">
        <v>44151</v>
      </c>
      <c r="K383" s="121">
        <v>47</v>
      </c>
      <c r="L383" s="91">
        <v>44242</v>
      </c>
      <c r="M383" s="91">
        <v>44242</v>
      </c>
      <c r="N383" s="125">
        <v>91</v>
      </c>
      <c r="O383" s="92">
        <v>6847.9</v>
      </c>
      <c r="Q383" s="14"/>
    </row>
    <row r="384" ht="15" customHeight="1">
      <c r="B384" s="13"/>
      <c r="C384" s="22" t="s">
        <v>779</v>
      </c>
      <c r="D384" s="90" t="s">
        <v>924</v>
      </c>
      <c r="E384" s="122" t="s">
        <v>925</v>
      </c>
      <c r="F384" s="91" t="s">
        <v>8</v>
      </c>
      <c r="G384" s="91">
        <v>26413</v>
      </c>
      <c r="H384" s="90" t="s">
        <v>187</v>
      </c>
      <c r="I384" s="91" t="s">
        <v>21</v>
      </c>
      <c r="J384" s="91">
        <v>44018</v>
      </c>
      <c r="K384" s="121">
        <v>48</v>
      </c>
      <c r="L384" s="91">
        <v>44120</v>
      </c>
      <c r="M384" s="91">
        <v>44120</v>
      </c>
      <c r="N384" s="125">
        <v>102</v>
      </c>
      <c r="O384" s="92">
        <v>2125.03</v>
      </c>
      <c r="Q384" s="14"/>
    </row>
    <row r="385" ht="15" customHeight="1">
      <c r="B385" s="13"/>
      <c r="C385" s="22" t="s">
        <v>184</v>
      </c>
      <c r="D385" s="90" t="s">
        <v>926</v>
      </c>
      <c r="E385" s="122" t="s">
        <v>927</v>
      </c>
      <c r="F385" s="91" t="s">
        <v>8</v>
      </c>
      <c r="G385" s="91">
        <v>28283</v>
      </c>
      <c r="H385" s="90" t="s">
        <v>197</v>
      </c>
      <c r="I385" s="91" t="s">
        <v>21</v>
      </c>
      <c r="J385" s="91">
        <v>44215</v>
      </c>
      <c r="K385" s="121">
        <v>44</v>
      </c>
      <c r="L385" s="91">
        <v>44258</v>
      </c>
      <c r="M385" s="91">
        <v>44258</v>
      </c>
      <c r="N385" s="125">
        <v>43</v>
      </c>
      <c r="O385" s="92">
        <v>432.74</v>
      </c>
      <c r="Q385" s="14"/>
    </row>
    <row r="386" ht="15" customHeight="1">
      <c r="B386" s="13"/>
      <c r="C386" s="22" t="s">
        <v>135</v>
      </c>
      <c r="D386" s="90" t="s">
        <v>928</v>
      </c>
      <c r="E386" s="122" t="s">
        <v>929</v>
      </c>
      <c r="F386" s="91" t="s">
        <v>8</v>
      </c>
      <c r="G386" s="91">
        <v>23227</v>
      </c>
      <c r="H386" s="90" t="s">
        <v>197</v>
      </c>
      <c r="I386" s="91" t="s">
        <v>21</v>
      </c>
      <c r="J386" s="91">
        <v>43879</v>
      </c>
      <c r="K386" s="121">
        <v>57</v>
      </c>
      <c r="L386" s="91">
        <v>44526</v>
      </c>
      <c r="M386" s="91"/>
      <c r="N386" s="125">
        <v>0</v>
      </c>
      <c r="O386" s="92">
        <v>29557.44</v>
      </c>
      <c r="Q386" s="14"/>
    </row>
    <row r="387" ht="15" customHeight="1">
      <c r="B387" s="13"/>
      <c r="C387" s="22" t="s">
        <v>184</v>
      </c>
      <c r="D387" s="90" t="s">
        <v>930</v>
      </c>
      <c r="E387" s="122" t="s">
        <v>931</v>
      </c>
      <c r="F387" s="91" t="s">
        <v>8</v>
      </c>
      <c r="G387" s="91">
        <v>28894</v>
      </c>
      <c r="H387" s="90" t="s">
        <v>187</v>
      </c>
      <c r="I387" s="91" t="s">
        <v>21</v>
      </c>
      <c r="J387" s="91">
        <v>44081</v>
      </c>
      <c r="K387" s="121">
        <v>41</v>
      </c>
      <c r="L387" s="91">
        <v>44160</v>
      </c>
      <c r="M387" s="91">
        <v>44160</v>
      </c>
      <c r="N387" s="125">
        <v>79</v>
      </c>
      <c r="O387" s="92">
        <v>636.5</v>
      </c>
      <c r="Q387" s="14"/>
    </row>
    <row r="388" ht="15" customHeight="1">
      <c r="B388" s="13"/>
      <c r="C388" s="22" t="s">
        <v>184</v>
      </c>
      <c r="D388" s="90" t="s">
        <v>932</v>
      </c>
      <c r="E388" s="122" t="s">
        <v>933</v>
      </c>
      <c r="F388" s="91" t="s">
        <v>8</v>
      </c>
      <c r="G388" s="91">
        <v>23104</v>
      </c>
      <c r="H388" s="90" t="s">
        <v>187</v>
      </c>
      <c r="I388" s="91" t="s">
        <v>21</v>
      </c>
      <c r="J388" s="91">
        <v>44220</v>
      </c>
      <c r="K388" s="121">
        <v>58</v>
      </c>
      <c r="L388" s="91">
        <v>44305</v>
      </c>
      <c r="M388" s="91">
        <v>44305</v>
      </c>
      <c r="N388" s="125">
        <v>85</v>
      </c>
      <c r="O388" s="92">
        <v>0</v>
      </c>
      <c r="Q388" s="14"/>
    </row>
    <row r="389" ht="15" customHeight="1">
      <c r="B389" s="13"/>
      <c r="C389" s="22" t="s">
        <v>184</v>
      </c>
      <c r="D389" s="90" t="s">
        <v>934</v>
      </c>
      <c r="E389" s="122" t="s">
        <v>935</v>
      </c>
      <c r="F389" s="91" t="s">
        <v>8</v>
      </c>
      <c r="G389" s="91">
        <v>21118</v>
      </c>
      <c r="H389" s="90" t="s">
        <v>187</v>
      </c>
      <c r="I389" s="91" t="s">
        <v>21</v>
      </c>
      <c r="J389" s="91">
        <v>44077</v>
      </c>
      <c r="K389" s="121">
        <v>63</v>
      </c>
      <c r="L389" s="91">
        <v>44369</v>
      </c>
      <c r="M389" s="91">
        <v>44369</v>
      </c>
      <c r="N389" s="125">
        <v>292</v>
      </c>
      <c r="O389" s="92">
        <v>1251.88</v>
      </c>
      <c r="Q389" s="14"/>
    </row>
    <row r="390" ht="15" customHeight="1">
      <c r="B390" s="13"/>
      <c r="C390" s="22" t="s">
        <v>135</v>
      </c>
      <c r="D390" s="90" t="s">
        <v>936</v>
      </c>
      <c r="E390" s="122" t="s">
        <v>937</v>
      </c>
      <c r="F390" s="91" t="s">
        <v>8</v>
      </c>
      <c r="G390" s="91">
        <v>23414</v>
      </c>
      <c r="H390" s="90" t="s">
        <v>187</v>
      </c>
      <c r="I390" s="91" t="s">
        <v>21</v>
      </c>
      <c r="J390" s="91">
        <v>43847</v>
      </c>
      <c r="K390" s="121">
        <v>56</v>
      </c>
      <c r="L390" s="91">
        <v>44502</v>
      </c>
      <c r="M390" s="91"/>
      <c r="N390" s="125">
        <v>0</v>
      </c>
      <c r="O390" s="92">
        <v>9818.56</v>
      </c>
      <c r="Q390" s="14"/>
    </row>
    <row r="391" ht="15" customHeight="1">
      <c r="B391" s="13"/>
      <c r="C391" s="22" t="s">
        <v>184</v>
      </c>
      <c r="D391" s="90" t="s">
        <v>938</v>
      </c>
      <c r="E391" s="122" t="s">
        <v>939</v>
      </c>
      <c r="F391" s="91" t="s">
        <v>8</v>
      </c>
      <c r="G391" s="91">
        <v>19217</v>
      </c>
      <c r="H391" s="90" t="s">
        <v>187</v>
      </c>
      <c r="I391" s="91" t="s">
        <v>21</v>
      </c>
      <c r="J391" s="91">
        <v>44128</v>
      </c>
      <c r="K391" s="121">
        <v>68</v>
      </c>
      <c r="L391" s="91">
        <v>44496</v>
      </c>
      <c r="M391" s="91">
        <v>44496</v>
      </c>
      <c r="N391" s="125">
        <v>368</v>
      </c>
      <c r="O391" s="92">
        <v>657.66000000000008</v>
      </c>
      <c r="Q391" s="14"/>
    </row>
    <row r="392" ht="15" customHeight="1">
      <c r="B392" s="13"/>
      <c r="C392" s="22" t="s">
        <v>184</v>
      </c>
      <c r="D392" s="90" t="s">
        <v>940</v>
      </c>
      <c r="E392" s="122" t="s">
        <v>941</v>
      </c>
      <c r="F392" s="91" t="s">
        <v>8</v>
      </c>
      <c r="G392" s="91">
        <v>23859</v>
      </c>
      <c r="H392" s="90" t="s">
        <v>187</v>
      </c>
      <c r="I392" s="91" t="s">
        <v>21</v>
      </c>
      <c r="J392" s="91">
        <v>44347</v>
      </c>
      <c r="K392" s="121">
        <v>56</v>
      </c>
      <c r="L392" s="91">
        <v>44530</v>
      </c>
      <c r="M392" s="91">
        <v>44530</v>
      </c>
      <c r="N392" s="125">
        <v>183</v>
      </c>
      <c r="O392" s="92">
        <v>2933.21</v>
      </c>
      <c r="Q392" s="14"/>
    </row>
    <row r="393" ht="15" customHeight="1">
      <c r="B393" s="13"/>
      <c r="C393" s="22" t="s">
        <v>184</v>
      </c>
      <c r="D393" s="90" t="s">
        <v>942</v>
      </c>
      <c r="E393" s="122" t="s">
        <v>943</v>
      </c>
      <c r="F393" s="91" t="s">
        <v>8</v>
      </c>
      <c r="G393" s="91">
        <v>25574</v>
      </c>
      <c r="H393" s="90" t="s">
        <v>187</v>
      </c>
      <c r="I393" s="91" t="s">
        <v>21</v>
      </c>
      <c r="J393" s="91">
        <v>44223</v>
      </c>
      <c r="K393" s="121">
        <v>51</v>
      </c>
      <c r="L393" s="91">
        <v>44314</v>
      </c>
      <c r="M393" s="91">
        <v>44314</v>
      </c>
      <c r="N393" s="125">
        <v>91</v>
      </c>
      <c r="O393" s="92">
        <v>882.88</v>
      </c>
      <c r="Q393" s="14"/>
    </row>
    <row r="394" ht="15" customHeight="1">
      <c r="B394" s="13"/>
      <c r="C394" s="22" t="s">
        <v>200</v>
      </c>
      <c r="D394" s="90" t="s">
        <v>944</v>
      </c>
      <c r="E394" s="122" t="s">
        <v>945</v>
      </c>
      <c r="F394" s="91" t="s">
        <v>10</v>
      </c>
      <c r="G394" s="91">
        <v>22714</v>
      </c>
      <c r="H394" s="90" t="s">
        <v>187</v>
      </c>
      <c r="I394" s="91" t="s">
        <v>21</v>
      </c>
      <c r="J394" s="91">
        <v>44235</v>
      </c>
      <c r="K394" s="121">
        <v>59</v>
      </c>
      <c r="L394" s="91">
        <v>44292</v>
      </c>
      <c r="M394" s="91">
        <v>44292</v>
      </c>
      <c r="N394" s="125">
        <v>57</v>
      </c>
      <c r="O394" s="92">
        <v>1918.28</v>
      </c>
      <c r="Q394" s="14"/>
    </row>
    <row r="395" ht="15" customHeight="1">
      <c r="B395" s="13"/>
      <c r="C395" s="22" t="s">
        <v>184</v>
      </c>
      <c r="D395" s="90" t="s">
        <v>946</v>
      </c>
      <c r="E395" s="122" t="s">
        <v>947</v>
      </c>
      <c r="F395" s="91" t="s">
        <v>8</v>
      </c>
      <c r="G395" s="91">
        <v>27182</v>
      </c>
      <c r="H395" s="90" t="s">
        <v>187</v>
      </c>
      <c r="I395" s="91" t="s">
        <v>21</v>
      </c>
      <c r="J395" s="91">
        <v>44278</v>
      </c>
      <c r="K395" s="121">
        <v>47</v>
      </c>
      <c r="L395" s="91">
        <v>44332</v>
      </c>
      <c r="M395" s="91">
        <v>44332</v>
      </c>
      <c r="N395" s="125">
        <v>54</v>
      </c>
      <c r="O395" s="92">
        <v>430.75</v>
      </c>
      <c r="Q395" s="14"/>
    </row>
    <row r="396" ht="15" customHeight="1">
      <c r="B396" s="13"/>
      <c r="C396" s="22" t="s">
        <v>184</v>
      </c>
      <c r="D396" s="90" t="s">
        <v>948</v>
      </c>
      <c r="E396" s="122" t="s">
        <v>949</v>
      </c>
      <c r="F396" s="91" t="s">
        <v>8</v>
      </c>
      <c r="G396" s="91">
        <v>27212</v>
      </c>
      <c r="H396" s="90" t="s">
        <v>187</v>
      </c>
      <c r="I396" s="91" t="s">
        <v>21</v>
      </c>
      <c r="J396" s="91">
        <v>44033</v>
      </c>
      <c r="K396" s="121">
        <v>46</v>
      </c>
      <c r="L396" s="91">
        <v>44143</v>
      </c>
      <c r="M396" s="91">
        <v>44143</v>
      </c>
      <c r="N396" s="125">
        <v>110</v>
      </c>
      <c r="O396" s="92">
        <v>1986.48</v>
      </c>
      <c r="Q396" s="14"/>
    </row>
    <row r="397" ht="15" customHeight="1">
      <c r="B397" s="13"/>
      <c r="C397" s="22" t="s">
        <v>184</v>
      </c>
      <c r="D397" s="90" t="s">
        <v>950</v>
      </c>
      <c r="E397" s="122" t="s">
        <v>951</v>
      </c>
      <c r="F397" s="91" t="s">
        <v>10</v>
      </c>
      <c r="G397" s="91">
        <v>23400</v>
      </c>
      <c r="H397" s="90" t="s">
        <v>197</v>
      </c>
      <c r="I397" s="91" t="s">
        <v>21</v>
      </c>
      <c r="J397" s="91">
        <v>43846</v>
      </c>
      <c r="K397" s="121">
        <v>56</v>
      </c>
      <c r="L397" s="91">
        <v>44253</v>
      </c>
      <c r="M397" s="91">
        <v>44253</v>
      </c>
      <c r="N397" s="125">
        <v>407</v>
      </c>
      <c r="O397" s="92">
        <v>18678.760000000002</v>
      </c>
      <c r="Q397" s="14"/>
    </row>
    <row r="398" ht="15" customHeight="1">
      <c r="B398" s="13"/>
      <c r="C398" s="22" t="s">
        <v>184</v>
      </c>
      <c r="D398" s="90" t="s">
        <v>952</v>
      </c>
      <c r="E398" s="122" t="s">
        <v>953</v>
      </c>
      <c r="F398" s="91" t="s">
        <v>8</v>
      </c>
      <c r="G398" s="91">
        <v>26950</v>
      </c>
      <c r="H398" s="90" t="s">
        <v>187</v>
      </c>
      <c r="I398" s="91" t="s">
        <v>21</v>
      </c>
      <c r="J398" s="91">
        <v>44253</v>
      </c>
      <c r="K398" s="121">
        <v>48</v>
      </c>
      <c r="L398" s="91">
        <v>44290</v>
      </c>
      <c r="M398" s="91">
        <v>44290</v>
      </c>
      <c r="N398" s="125">
        <v>37</v>
      </c>
      <c r="O398" s="92">
        <v>198.08</v>
      </c>
      <c r="Q398" s="14"/>
    </row>
    <row r="399" ht="15" customHeight="1">
      <c r="B399" s="13"/>
      <c r="C399" s="22" t="s">
        <v>184</v>
      </c>
      <c r="D399" s="90" t="s">
        <v>954</v>
      </c>
      <c r="E399" s="122" t="s">
        <v>955</v>
      </c>
      <c r="F399" s="91" t="s">
        <v>8</v>
      </c>
      <c r="G399" s="91">
        <v>27425</v>
      </c>
      <c r="H399" s="90" t="s">
        <v>187</v>
      </c>
      <c r="I399" s="91" t="s">
        <v>21</v>
      </c>
      <c r="J399" s="91">
        <v>44074</v>
      </c>
      <c r="K399" s="121">
        <v>45</v>
      </c>
      <c r="L399" s="91">
        <v>44136</v>
      </c>
      <c r="M399" s="91">
        <v>44136</v>
      </c>
      <c r="N399" s="125">
        <v>62</v>
      </c>
      <c r="O399" s="92">
        <v>543.51</v>
      </c>
      <c r="Q399" s="14"/>
    </row>
    <row r="400" ht="15" customHeight="1">
      <c r="B400" s="13"/>
      <c r="C400" s="22" t="s">
        <v>184</v>
      </c>
      <c r="D400" s="90" t="s">
        <v>956</v>
      </c>
      <c r="E400" s="122" t="s">
        <v>957</v>
      </c>
      <c r="F400" s="91" t="s">
        <v>8</v>
      </c>
      <c r="G400" s="91">
        <v>20886</v>
      </c>
      <c r="H400" s="90" t="s">
        <v>187</v>
      </c>
      <c r="I400" s="91" t="s">
        <v>21</v>
      </c>
      <c r="J400" s="91">
        <v>43845</v>
      </c>
      <c r="K400" s="121">
        <v>63</v>
      </c>
      <c r="L400" s="91">
        <v>44524</v>
      </c>
      <c r="M400" s="91"/>
      <c r="N400" s="125">
        <v>0</v>
      </c>
      <c r="O400" s="92">
        <v>20092.75</v>
      </c>
      <c r="Q400" s="14"/>
    </row>
    <row r="401" ht="15" customHeight="1">
      <c r="B401" s="13"/>
      <c r="C401" s="22" t="s">
        <v>184</v>
      </c>
      <c r="D401" s="90" t="s">
        <v>958</v>
      </c>
      <c r="E401" s="122" t="s">
        <v>959</v>
      </c>
      <c r="F401" s="91" t="s">
        <v>8</v>
      </c>
      <c r="G401" s="91">
        <v>29143</v>
      </c>
      <c r="H401" s="90" t="s">
        <v>187</v>
      </c>
      <c r="I401" s="91" t="s">
        <v>21</v>
      </c>
      <c r="J401" s="91">
        <v>44047</v>
      </c>
      <c r="K401" s="121">
        <v>41</v>
      </c>
      <c r="L401" s="91">
        <v>44218</v>
      </c>
      <c r="M401" s="91">
        <v>44218</v>
      </c>
      <c r="N401" s="125">
        <v>171</v>
      </c>
      <c r="O401" s="92">
        <v>1548.75</v>
      </c>
      <c r="Q401" s="14"/>
    </row>
    <row r="402" ht="15" customHeight="1">
      <c r="B402" s="13"/>
      <c r="C402" s="22" t="s">
        <v>135</v>
      </c>
      <c r="D402" s="90" t="s">
        <v>960</v>
      </c>
      <c r="E402" s="122" t="s">
        <v>961</v>
      </c>
      <c r="F402" s="91" t="s">
        <v>8</v>
      </c>
      <c r="G402" s="91">
        <v>25492</v>
      </c>
      <c r="H402" s="90" t="s">
        <v>187</v>
      </c>
      <c r="I402" s="91" t="s">
        <v>21</v>
      </c>
      <c r="J402" s="91">
        <v>44229</v>
      </c>
      <c r="K402" s="121">
        <v>52</v>
      </c>
      <c r="L402" s="91">
        <v>44391</v>
      </c>
      <c r="M402" s="91">
        <v>44391</v>
      </c>
      <c r="N402" s="125">
        <v>162</v>
      </c>
      <c r="O402" s="92">
        <v>3444.7</v>
      </c>
      <c r="Q402" s="14"/>
    </row>
    <row r="403" ht="15" customHeight="1">
      <c r="B403" s="13"/>
      <c r="C403" s="22" t="s">
        <v>135</v>
      </c>
      <c r="D403" s="90" t="s">
        <v>962</v>
      </c>
      <c r="E403" s="122" t="s">
        <v>963</v>
      </c>
      <c r="F403" s="91" t="s">
        <v>8</v>
      </c>
      <c r="G403" s="91">
        <v>26425</v>
      </c>
      <c r="H403" s="90" t="s">
        <v>187</v>
      </c>
      <c r="I403" s="91" t="s">
        <v>21</v>
      </c>
      <c r="J403" s="91">
        <v>44200</v>
      </c>
      <c r="K403" s="121">
        <v>49</v>
      </c>
      <c r="L403" s="91">
        <v>44529</v>
      </c>
      <c r="M403" s="91"/>
      <c r="N403" s="125">
        <v>0</v>
      </c>
      <c r="O403" s="92">
        <v>18126</v>
      </c>
      <c r="Q403" s="14"/>
    </row>
    <row r="404" ht="15" customHeight="1">
      <c r="B404" s="13"/>
      <c r="C404" s="22" t="s">
        <v>184</v>
      </c>
      <c r="D404" s="90" t="s">
        <v>964</v>
      </c>
      <c r="E404" s="122" t="s">
        <v>965</v>
      </c>
      <c r="F404" s="91" t="s">
        <v>8</v>
      </c>
      <c r="G404" s="91">
        <v>27529</v>
      </c>
      <c r="H404" s="90" t="s">
        <v>187</v>
      </c>
      <c r="I404" s="91" t="s">
        <v>21</v>
      </c>
      <c r="J404" s="91">
        <v>44264</v>
      </c>
      <c r="K404" s="121">
        <v>46</v>
      </c>
      <c r="L404" s="91">
        <v>44342</v>
      </c>
      <c r="M404" s="91">
        <v>44342</v>
      </c>
      <c r="N404" s="125">
        <v>78</v>
      </c>
      <c r="O404" s="92">
        <v>1222.55</v>
      </c>
      <c r="Q404" s="14"/>
    </row>
    <row r="405" ht="15" customHeight="1">
      <c r="B405" s="13"/>
      <c r="C405" s="22" t="s">
        <v>184</v>
      </c>
      <c r="D405" s="90" t="s">
        <v>966</v>
      </c>
      <c r="E405" s="122" t="s">
        <v>967</v>
      </c>
      <c r="F405" s="91" t="s">
        <v>8</v>
      </c>
      <c r="G405" s="91">
        <v>29190</v>
      </c>
      <c r="H405" s="90" t="s">
        <v>187</v>
      </c>
      <c r="I405" s="91" t="s">
        <v>21</v>
      </c>
      <c r="J405" s="91">
        <v>44301</v>
      </c>
      <c r="K405" s="121">
        <v>42</v>
      </c>
      <c r="L405" s="91">
        <v>44381</v>
      </c>
      <c r="M405" s="91">
        <v>44381</v>
      </c>
      <c r="N405" s="125">
        <v>80</v>
      </c>
      <c r="O405" s="92">
        <v>1210.74</v>
      </c>
      <c r="Q405" s="14"/>
    </row>
    <row r="406" ht="15" customHeight="1">
      <c r="B406" s="13"/>
      <c r="C406" s="22" t="s">
        <v>184</v>
      </c>
      <c r="D406" s="90" t="s">
        <v>968</v>
      </c>
      <c r="E406" s="122" t="s">
        <v>969</v>
      </c>
      <c r="F406" s="91" t="s">
        <v>8</v>
      </c>
      <c r="G406" s="91">
        <v>27693</v>
      </c>
      <c r="H406" s="90" t="s">
        <v>197</v>
      </c>
      <c r="I406" s="91" t="s">
        <v>21</v>
      </c>
      <c r="J406" s="91">
        <v>44187</v>
      </c>
      <c r="K406" s="121">
        <v>45</v>
      </c>
      <c r="L406" s="91">
        <v>44269</v>
      </c>
      <c r="M406" s="91">
        <v>44269</v>
      </c>
      <c r="N406" s="125">
        <v>82</v>
      </c>
      <c r="O406" s="92">
        <v>2575.27</v>
      </c>
      <c r="Q406" s="14"/>
    </row>
    <row r="407" ht="15" customHeight="1">
      <c r="B407" s="13"/>
      <c r="C407" s="22" t="s">
        <v>245</v>
      </c>
      <c r="D407" s="90" t="s">
        <v>970</v>
      </c>
      <c r="E407" s="122" t="s">
        <v>971</v>
      </c>
      <c r="F407" s="91" t="s">
        <v>8</v>
      </c>
      <c r="G407" s="91">
        <v>23838</v>
      </c>
      <c r="H407" s="90" t="s">
        <v>197</v>
      </c>
      <c r="I407" s="91" t="s">
        <v>21</v>
      </c>
      <c r="J407" s="91">
        <v>44011</v>
      </c>
      <c r="K407" s="121">
        <v>55</v>
      </c>
      <c r="L407" s="91">
        <v>44059</v>
      </c>
      <c r="M407" s="91">
        <v>44059</v>
      </c>
      <c r="N407" s="125">
        <v>48</v>
      </c>
      <c r="O407" s="92">
        <v>647.52</v>
      </c>
      <c r="Q407" s="14"/>
    </row>
    <row r="408" ht="15" customHeight="1">
      <c r="B408" s="13"/>
      <c r="C408" s="22" t="s">
        <v>184</v>
      </c>
      <c r="D408" s="90" t="s">
        <v>972</v>
      </c>
      <c r="E408" s="122" t="s">
        <v>973</v>
      </c>
      <c r="F408" s="91" t="s">
        <v>8</v>
      </c>
      <c r="G408" s="91">
        <v>25518</v>
      </c>
      <c r="H408" s="90" t="s">
        <v>187</v>
      </c>
      <c r="I408" s="91" t="s">
        <v>21</v>
      </c>
      <c r="J408" s="91">
        <v>43902</v>
      </c>
      <c r="K408" s="121">
        <v>51</v>
      </c>
      <c r="L408" s="91">
        <v>43982</v>
      </c>
      <c r="M408" s="91">
        <v>43982</v>
      </c>
      <c r="N408" s="125">
        <v>80</v>
      </c>
      <c r="O408" s="92">
        <v>1322.94</v>
      </c>
      <c r="Q408" s="14"/>
    </row>
    <row r="409" ht="15" customHeight="1">
      <c r="B409" s="13"/>
      <c r="C409" s="22" t="s">
        <v>184</v>
      </c>
      <c r="D409" s="90" t="s">
        <v>974</v>
      </c>
      <c r="E409" s="122" t="s">
        <v>973</v>
      </c>
      <c r="F409" s="91" t="s">
        <v>8</v>
      </c>
      <c r="G409" s="91">
        <v>25518</v>
      </c>
      <c r="H409" s="90" t="s">
        <v>197</v>
      </c>
      <c r="I409" s="91" t="s">
        <v>21</v>
      </c>
      <c r="J409" s="91">
        <v>44117</v>
      </c>
      <c r="K409" s="121">
        <v>51</v>
      </c>
      <c r="L409" s="91">
        <v>44196</v>
      </c>
      <c r="M409" s="91">
        <v>44196</v>
      </c>
      <c r="N409" s="125">
        <v>79</v>
      </c>
      <c r="O409" s="92">
        <v>1320</v>
      </c>
      <c r="Q409" s="14"/>
    </row>
    <row r="410" ht="15" customHeight="1">
      <c r="B410" s="13"/>
      <c r="C410" s="22" t="s">
        <v>184</v>
      </c>
      <c r="D410" s="90" t="s">
        <v>975</v>
      </c>
      <c r="E410" s="122" t="s">
        <v>976</v>
      </c>
      <c r="F410" s="91" t="s">
        <v>8</v>
      </c>
      <c r="G410" s="91">
        <v>24563</v>
      </c>
      <c r="H410" s="90" t="s">
        <v>187</v>
      </c>
      <c r="I410" s="91" t="s">
        <v>21</v>
      </c>
      <c r="J410" s="91">
        <v>44362</v>
      </c>
      <c r="K410" s="121">
        <v>54</v>
      </c>
      <c r="L410" s="91">
        <v>44481</v>
      </c>
      <c r="M410" s="91">
        <v>44481</v>
      </c>
      <c r="N410" s="125">
        <v>119</v>
      </c>
      <c r="O410" s="92">
        <v>2872.7999999999997</v>
      </c>
      <c r="Q410" s="14"/>
    </row>
    <row r="411" ht="15" customHeight="1">
      <c r="B411" s="13"/>
      <c r="C411" s="22" t="s">
        <v>184</v>
      </c>
      <c r="D411" s="90" t="s">
        <v>977</v>
      </c>
      <c r="E411" s="122" t="s">
        <v>978</v>
      </c>
      <c r="F411" s="91" t="s">
        <v>8</v>
      </c>
      <c r="G411" s="91">
        <v>21697</v>
      </c>
      <c r="H411" s="90" t="s">
        <v>187</v>
      </c>
      <c r="I411" s="91" t="s">
        <v>21</v>
      </c>
      <c r="J411" s="91">
        <v>43852</v>
      </c>
      <c r="K411" s="121">
        <v>61</v>
      </c>
      <c r="L411" s="91">
        <v>44118</v>
      </c>
      <c r="M411" s="91">
        <v>44118</v>
      </c>
      <c r="N411" s="125">
        <v>266</v>
      </c>
      <c r="O411" s="92">
        <v>1144.5</v>
      </c>
      <c r="Q411" s="14"/>
    </row>
    <row r="412" ht="15" customHeight="1">
      <c r="B412" s="13"/>
      <c r="C412" s="22" t="s">
        <v>184</v>
      </c>
      <c r="D412" s="90" t="s">
        <v>979</v>
      </c>
      <c r="E412" s="122" t="s">
        <v>980</v>
      </c>
      <c r="F412" s="91" t="s">
        <v>8</v>
      </c>
      <c r="G412" s="91">
        <v>24777</v>
      </c>
      <c r="H412" s="90" t="s">
        <v>197</v>
      </c>
      <c r="I412" s="91" t="s">
        <v>21</v>
      </c>
      <c r="J412" s="91">
        <v>43912</v>
      </c>
      <c r="K412" s="121">
        <v>53</v>
      </c>
      <c r="L412" s="91">
        <v>43959</v>
      </c>
      <c r="M412" s="91">
        <v>43959</v>
      </c>
      <c r="N412" s="125">
        <v>47</v>
      </c>
      <c r="O412" s="92">
        <v>596.88</v>
      </c>
      <c r="Q412" s="14"/>
    </row>
    <row r="413" ht="15" customHeight="1">
      <c r="B413" s="13"/>
      <c r="C413" s="22" t="s">
        <v>184</v>
      </c>
      <c r="D413" s="90" t="s">
        <v>981</v>
      </c>
      <c r="E413" s="122" t="s">
        <v>980</v>
      </c>
      <c r="F413" s="91" t="s">
        <v>8</v>
      </c>
      <c r="G413" s="91">
        <v>24777</v>
      </c>
      <c r="H413" s="90" t="s">
        <v>197</v>
      </c>
      <c r="I413" s="91" t="s">
        <v>21</v>
      </c>
      <c r="J413" s="91">
        <v>44222</v>
      </c>
      <c r="K413" s="121">
        <v>54</v>
      </c>
      <c r="L413" s="91">
        <v>44281</v>
      </c>
      <c r="M413" s="91">
        <v>44281</v>
      </c>
      <c r="N413" s="125">
        <v>59</v>
      </c>
      <c r="O413" s="92">
        <v>1007.4</v>
      </c>
      <c r="Q413" s="14"/>
    </row>
    <row r="414" ht="15" customHeight="1">
      <c r="B414" s="13"/>
      <c r="C414" s="22" t="s">
        <v>184</v>
      </c>
      <c r="D414" s="90" t="s">
        <v>982</v>
      </c>
      <c r="E414" s="122" t="s">
        <v>980</v>
      </c>
      <c r="F414" s="91" t="s">
        <v>8</v>
      </c>
      <c r="G414" s="91">
        <v>24777</v>
      </c>
      <c r="H414" s="90" t="s">
        <v>197</v>
      </c>
      <c r="I414" s="91" t="s">
        <v>21</v>
      </c>
      <c r="J414" s="91">
        <v>44309</v>
      </c>
      <c r="K414" s="121">
        <v>54</v>
      </c>
      <c r="L414" s="91">
        <v>44381</v>
      </c>
      <c r="M414" s="91">
        <v>44381</v>
      </c>
      <c r="N414" s="125">
        <v>72</v>
      </c>
      <c r="O414" s="92">
        <v>1384.6</v>
      </c>
      <c r="Q414" s="14"/>
    </row>
    <row r="415" ht="15" customHeight="1">
      <c r="B415" s="13"/>
      <c r="C415" s="22" t="s">
        <v>184</v>
      </c>
      <c r="D415" s="90" t="s">
        <v>983</v>
      </c>
      <c r="E415" s="122" t="s">
        <v>984</v>
      </c>
      <c r="F415" s="91" t="s">
        <v>8</v>
      </c>
      <c r="G415" s="91">
        <v>29876</v>
      </c>
      <c r="H415" s="90" t="s">
        <v>187</v>
      </c>
      <c r="I415" s="91" t="s">
        <v>21</v>
      </c>
      <c r="J415" s="91">
        <v>44390</v>
      </c>
      <c r="K415" s="121">
        <v>40</v>
      </c>
      <c r="L415" s="91">
        <v>44432</v>
      </c>
      <c r="M415" s="91">
        <v>44432</v>
      </c>
      <c r="N415" s="125">
        <v>42</v>
      </c>
      <c r="O415" s="92">
        <v>284.83</v>
      </c>
      <c r="Q415" s="14"/>
    </row>
    <row r="416" ht="15" customHeight="1">
      <c r="B416" s="13"/>
      <c r="C416" s="22" t="s">
        <v>184</v>
      </c>
      <c r="D416" s="90" t="s">
        <v>985</v>
      </c>
      <c r="E416" s="122" t="s">
        <v>986</v>
      </c>
      <c r="F416" s="91" t="s">
        <v>8</v>
      </c>
      <c r="G416" s="91">
        <v>20859</v>
      </c>
      <c r="H416" s="90" t="s">
        <v>197</v>
      </c>
      <c r="I416" s="91" t="s">
        <v>21</v>
      </c>
      <c r="J416" s="91">
        <v>44274</v>
      </c>
      <c r="K416" s="121">
        <v>64</v>
      </c>
      <c r="L416" s="91">
        <v>44318</v>
      </c>
      <c r="M416" s="91">
        <v>44318</v>
      </c>
      <c r="N416" s="125">
        <v>44</v>
      </c>
      <c r="O416" s="92">
        <v>380.4</v>
      </c>
      <c r="Q416" s="14"/>
    </row>
    <row r="417" ht="15" customHeight="1">
      <c r="B417" s="13"/>
      <c r="C417" s="22" t="s">
        <v>184</v>
      </c>
      <c r="D417" s="90" t="s">
        <v>987</v>
      </c>
      <c r="E417" s="122" t="s">
        <v>988</v>
      </c>
      <c r="F417" s="91" t="s">
        <v>8</v>
      </c>
      <c r="G417" s="91">
        <v>26443</v>
      </c>
      <c r="H417" s="90" t="s">
        <v>187</v>
      </c>
      <c r="I417" s="91" t="s">
        <v>21</v>
      </c>
      <c r="J417" s="91">
        <v>43903</v>
      </c>
      <c r="K417" s="121">
        <v>48</v>
      </c>
      <c r="L417" s="91">
        <v>44227</v>
      </c>
      <c r="M417" s="91">
        <v>44227</v>
      </c>
      <c r="N417" s="125">
        <v>324</v>
      </c>
      <c r="O417" s="92">
        <v>2465.12</v>
      </c>
      <c r="Q417" s="14"/>
    </row>
    <row r="418" ht="15" customHeight="1">
      <c r="B418" s="13"/>
      <c r="C418" s="22" t="s">
        <v>184</v>
      </c>
      <c r="D418" s="90" t="s">
        <v>989</v>
      </c>
      <c r="E418" s="122" t="s">
        <v>990</v>
      </c>
      <c r="F418" s="91" t="s">
        <v>8</v>
      </c>
      <c r="G418" s="91">
        <v>21763</v>
      </c>
      <c r="H418" s="90" t="s">
        <v>187</v>
      </c>
      <c r="I418" s="91" t="s">
        <v>21</v>
      </c>
      <c r="J418" s="91">
        <v>44058</v>
      </c>
      <c r="K418" s="121">
        <v>61</v>
      </c>
      <c r="L418" s="91">
        <v>44435</v>
      </c>
      <c r="M418" s="91">
        <v>44435</v>
      </c>
      <c r="N418" s="125">
        <v>377</v>
      </c>
      <c r="O418" s="92">
        <v>12782.04</v>
      </c>
      <c r="Q418" s="14"/>
    </row>
    <row r="419" ht="15" customHeight="1">
      <c r="B419" s="13"/>
      <c r="C419" s="22" t="s">
        <v>184</v>
      </c>
      <c r="D419" s="90" t="s">
        <v>991</v>
      </c>
      <c r="E419" s="122" t="s">
        <v>992</v>
      </c>
      <c r="F419" s="91" t="s">
        <v>8</v>
      </c>
      <c r="G419" s="91">
        <v>29233</v>
      </c>
      <c r="H419" s="90" t="s">
        <v>197</v>
      </c>
      <c r="I419" s="91" t="s">
        <v>21</v>
      </c>
      <c r="J419" s="91">
        <v>44078</v>
      </c>
      <c r="K419" s="121">
        <v>40</v>
      </c>
      <c r="L419" s="91">
        <v>44202</v>
      </c>
      <c r="M419" s="91">
        <v>44202</v>
      </c>
      <c r="N419" s="125">
        <v>124</v>
      </c>
      <c r="O419" s="92">
        <v>5882.03</v>
      </c>
      <c r="Q419" s="14"/>
    </row>
    <row r="420" ht="15" customHeight="1">
      <c r="B420" s="13"/>
      <c r="C420" s="22" t="s">
        <v>184</v>
      </c>
      <c r="D420" s="90" t="s">
        <v>993</v>
      </c>
      <c r="E420" s="122" t="s">
        <v>994</v>
      </c>
      <c r="F420" s="91" t="s">
        <v>8</v>
      </c>
      <c r="G420" s="91">
        <v>24641</v>
      </c>
      <c r="H420" s="90" t="s">
        <v>187</v>
      </c>
      <c r="I420" s="91" t="s">
        <v>21</v>
      </c>
      <c r="J420" s="91">
        <v>44284</v>
      </c>
      <c r="K420" s="121">
        <v>54</v>
      </c>
      <c r="L420" s="91">
        <v>44437</v>
      </c>
      <c r="M420" s="91">
        <v>44438</v>
      </c>
      <c r="N420" s="125">
        <v>154</v>
      </c>
      <c r="O420" s="92">
        <v>2574.24</v>
      </c>
      <c r="Q420" s="14"/>
    </row>
    <row r="421" ht="15" customHeight="1">
      <c r="B421" s="13"/>
      <c r="C421" s="22" t="s">
        <v>184</v>
      </c>
      <c r="D421" s="90" t="s">
        <v>995</v>
      </c>
      <c r="E421" s="122" t="s">
        <v>996</v>
      </c>
      <c r="F421" s="91" t="s">
        <v>8</v>
      </c>
      <c r="G421" s="91">
        <v>25104</v>
      </c>
      <c r="H421" s="90" t="s">
        <v>197</v>
      </c>
      <c r="I421" s="91" t="s">
        <v>21</v>
      </c>
      <c r="J421" s="91">
        <v>43882</v>
      </c>
      <c r="K421" s="121">
        <v>52</v>
      </c>
      <c r="L421" s="91">
        <v>44351</v>
      </c>
      <c r="M421" s="91">
        <v>44351</v>
      </c>
      <c r="N421" s="125">
        <v>469</v>
      </c>
      <c r="O421" s="92">
        <v>1312.66</v>
      </c>
      <c r="Q421" s="14"/>
    </row>
    <row r="422" ht="15" customHeight="1">
      <c r="B422" s="13"/>
      <c r="C422" s="22" t="s">
        <v>184</v>
      </c>
      <c r="D422" s="90" t="s">
        <v>997</v>
      </c>
      <c r="E422" s="122" t="s">
        <v>998</v>
      </c>
      <c r="F422" s="91" t="s">
        <v>8</v>
      </c>
      <c r="G422" s="91">
        <v>20069</v>
      </c>
      <c r="H422" s="90" t="s">
        <v>187</v>
      </c>
      <c r="I422" s="91" t="s">
        <v>21</v>
      </c>
      <c r="J422" s="91">
        <v>44349</v>
      </c>
      <c r="K422" s="121">
        <v>67</v>
      </c>
      <c r="L422" s="91">
        <v>44386</v>
      </c>
      <c r="M422" s="91">
        <v>44386</v>
      </c>
      <c r="N422" s="125">
        <v>37</v>
      </c>
      <c r="O422" s="92">
        <v>385.28</v>
      </c>
      <c r="Q422" s="14"/>
    </row>
    <row r="423" ht="15" customHeight="1">
      <c r="B423" s="13"/>
      <c r="C423" s="22" t="s">
        <v>999</v>
      </c>
      <c r="D423" s="90" t="s">
        <v>1000</v>
      </c>
      <c r="E423" s="122" t="s">
        <v>1001</v>
      </c>
      <c r="F423" s="91" t="s">
        <v>8</v>
      </c>
      <c r="G423" s="91">
        <v>26573</v>
      </c>
      <c r="H423" s="90" t="s">
        <v>187</v>
      </c>
      <c r="I423" s="91" t="s">
        <v>21</v>
      </c>
      <c r="J423" s="91">
        <v>44355</v>
      </c>
      <c r="K423" s="121">
        <v>49</v>
      </c>
      <c r="L423" s="91">
        <v>44476</v>
      </c>
      <c r="M423" s="91">
        <v>44476</v>
      </c>
      <c r="N423" s="125">
        <v>121</v>
      </c>
      <c r="O423" s="92">
        <v>10948.24</v>
      </c>
      <c r="Q423" s="14"/>
    </row>
    <row r="424" ht="15" customHeight="1">
      <c r="B424" s="13"/>
      <c r="C424" s="22" t="s">
        <v>184</v>
      </c>
      <c r="D424" s="90" t="s">
        <v>1002</v>
      </c>
      <c r="E424" s="122" t="s">
        <v>1003</v>
      </c>
      <c r="F424" s="91" t="s">
        <v>8</v>
      </c>
      <c r="G424" s="91">
        <v>24239</v>
      </c>
      <c r="H424" s="90" t="s">
        <v>187</v>
      </c>
      <c r="I424" s="91" t="s">
        <v>21</v>
      </c>
      <c r="J424" s="91">
        <v>44069</v>
      </c>
      <c r="K424" s="121">
        <v>54</v>
      </c>
      <c r="L424" s="91">
        <v>44134</v>
      </c>
      <c r="M424" s="91">
        <v>44134</v>
      </c>
      <c r="N424" s="125">
        <v>65</v>
      </c>
      <c r="O424" s="92">
        <v>1213.92</v>
      </c>
      <c r="Q424" s="14"/>
    </row>
    <row r="425" ht="15" customHeight="1">
      <c r="B425" s="13"/>
      <c r="C425" s="22" t="s">
        <v>200</v>
      </c>
      <c r="D425" s="90" t="s">
        <v>1004</v>
      </c>
      <c r="E425" s="122" t="s">
        <v>1005</v>
      </c>
      <c r="F425" s="91" t="s">
        <v>8</v>
      </c>
      <c r="G425" s="91">
        <v>24770</v>
      </c>
      <c r="H425" s="90" t="s">
        <v>187</v>
      </c>
      <c r="I425" s="91" t="s">
        <v>21</v>
      </c>
      <c r="J425" s="91">
        <v>44257</v>
      </c>
      <c r="K425" s="121">
        <v>54</v>
      </c>
      <c r="L425" s="91">
        <v>44439</v>
      </c>
      <c r="M425" s="91">
        <v>44491</v>
      </c>
      <c r="N425" s="125">
        <v>234</v>
      </c>
      <c r="O425" s="92">
        <v>4118.09</v>
      </c>
      <c r="Q425" s="14"/>
    </row>
    <row r="426" ht="15" customHeight="1">
      <c r="B426" s="13"/>
      <c r="C426" s="22" t="s">
        <v>184</v>
      </c>
      <c r="D426" s="90" t="s">
        <v>1006</v>
      </c>
      <c r="E426" s="122" t="s">
        <v>1007</v>
      </c>
      <c r="F426" s="91" t="s">
        <v>8</v>
      </c>
      <c r="G426" s="91">
        <v>26911</v>
      </c>
      <c r="H426" s="90" t="s">
        <v>197</v>
      </c>
      <c r="I426" s="91" t="s">
        <v>21</v>
      </c>
      <c r="J426" s="91">
        <v>44369</v>
      </c>
      <c r="K426" s="121">
        <v>48</v>
      </c>
      <c r="L426" s="91">
        <v>44516</v>
      </c>
      <c r="M426" s="91"/>
      <c r="N426" s="125">
        <v>0</v>
      </c>
      <c r="O426" s="92">
        <v>9358.65</v>
      </c>
      <c r="Q426" s="14"/>
    </row>
    <row r="427" ht="15" customHeight="1">
      <c r="B427" s="13"/>
      <c r="C427" s="22" t="s">
        <v>184</v>
      </c>
      <c r="D427" s="90" t="s">
        <v>1008</v>
      </c>
      <c r="E427" s="122" t="s">
        <v>1009</v>
      </c>
      <c r="F427" s="91" t="s">
        <v>8</v>
      </c>
      <c r="G427" s="91">
        <v>24929</v>
      </c>
      <c r="H427" s="90" t="s">
        <v>197</v>
      </c>
      <c r="I427" s="91" t="s">
        <v>21</v>
      </c>
      <c r="J427" s="91">
        <v>44439</v>
      </c>
      <c r="K427" s="121">
        <v>53</v>
      </c>
      <c r="L427" s="91">
        <v>44494</v>
      </c>
      <c r="M427" s="91">
        <v>44494</v>
      </c>
      <c r="N427" s="125">
        <v>55</v>
      </c>
      <c r="O427" s="92">
        <v>648.18</v>
      </c>
      <c r="Q427" s="14"/>
    </row>
    <row r="428" ht="15" customHeight="1">
      <c r="B428" s="13"/>
      <c r="C428" s="22" t="s">
        <v>184</v>
      </c>
      <c r="D428" s="90" t="s">
        <v>1010</v>
      </c>
      <c r="E428" s="122" t="s">
        <v>1011</v>
      </c>
      <c r="F428" s="91" t="s">
        <v>8</v>
      </c>
      <c r="G428" s="91">
        <v>23698</v>
      </c>
      <c r="H428" s="90" t="s">
        <v>197</v>
      </c>
      <c r="I428" s="91" t="s">
        <v>21</v>
      </c>
      <c r="J428" s="91">
        <v>44011</v>
      </c>
      <c r="K428" s="121">
        <v>56</v>
      </c>
      <c r="L428" s="91">
        <v>44165</v>
      </c>
      <c r="M428" s="91">
        <v>44165</v>
      </c>
      <c r="N428" s="125">
        <v>154</v>
      </c>
      <c r="O428" s="92">
        <v>4181.03</v>
      </c>
      <c r="Q428" s="14"/>
    </row>
    <row r="429" ht="15" customHeight="1">
      <c r="B429" s="13"/>
      <c r="C429" s="22" t="s">
        <v>184</v>
      </c>
      <c r="D429" s="90" t="s">
        <v>1012</v>
      </c>
      <c r="E429" s="122" t="s">
        <v>1013</v>
      </c>
      <c r="F429" s="91" t="s">
        <v>10</v>
      </c>
      <c r="G429" s="91">
        <v>12907</v>
      </c>
      <c r="H429" s="90" t="s">
        <v>197</v>
      </c>
      <c r="I429" s="91" t="s">
        <v>21</v>
      </c>
      <c r="J429" s="91">
        <v>44021</v>
      </c>
      <c r="K429" s="121">
        <v>85</v>
      </c>
      <c r="L429" s="91">
        <v>44431</v>
      </c>
      <c r="M429" s="91">
        <v>44431</v>
      </c>
      <c r="N429" s="125">
        <v>410</v>
      </c>
      <c r="O429" s="92">
        <v>3469.55</v>
      </c>
      <c r="Q429" s="14"/>
    </row>
    <row r="430" ht="15" customHeight="1">
      <c r="B430" s="13"/>
      <c r="C430" s="22" t="s">
        <v>184</v>
      </c>
      <c r="D430" s="90" t="s">
        <v>1014</v>
      </c>
      <c r="E430" s="122" t="s">
        <v>1015</v>
      </c>
      <c r="F430" s="91" t="s">
        <v>8</v>
      </c>
      <c r="G430" s="91">
        <v>28126</v>
      </c>
      <c r="H430" s="90" t="s">
        <v>187</v>
      </c>
      <c r="I430" s="91" t="s">
        <v>21</v>
      </c>
      <c r="J430" s="91">
        <v>43963</v>
      </c>
      <c r="K430" s="121">
        <v>43</v>
      </c>
      <c r="L430" s="91">
        <v>44360</v>
      </c>
      <c r="M430" s="91">
        <v>44360</v>
      </c>
      <c r="N430" s="125">
        <v>397</v>
      </c>
      <c r="O430" s="92">
        <v>2251.2</v>
      </c>
      <c r="Q430" s="14"/>
    </row>
    <row r="431" ht="15" customHeight="1">
      <c r="B431" s="13"/>
      <c r="C431" s="22" t="s">
        <v>184</v>
      </c>
      <c r="D431" s="90" t="s">
        <v>1016</v>
      </c>
      <c r="E431" s="122" t="s">
        <v>1017</v>
      </c>
      <c r="F431" s="91" t="s">
        <v>8</v>
      </c>
      <c r="G431" s="91">
        <v>29383</v>
      </c>
      <c r="H431" s="90" t="s">
        <v>187</v>
      </c>
      <c r="I431" s="91" t="s">
        <v>21</v>
      </c>
      <c r="J431" s="91">
        <v>43906</v>
      </c>
      <c r="K431" s="121">
        <v>40</v>
      </c>
      <c r="L431" s="91">
        <v>43948</v>
      </c>
      <c r="M431" s="91">
        <v>43948</v>
      </c>
      <c r="N431" s="125">
        <v>42</v>
      </c>
      <c r="O431" s="92">
        <v>149.63</v>
      </c>
      <c r="Q431" s="14"/>
    </row>
    <row r="432" ht="15" customHeight="1">
      <c r="B432" s="13"/>
      <c r="C432" s="22" t="s">
        <v>184</v>
      </c>
      <c r="D432" s="90" t="s">
        <v>1018</v>
      </c>
      <c r="E432" s="122" t="s">
        <v>1019</v>
      </c>
      <c r="F432" s="91" t="s">
        <v>8</v>
      </c>
      <c r="G432" s="91">
        <v>25583</v>
      </c>
      <c r="H432" s="90" t="s">
        <v>197</v>
      </c>
      <c r="I432" s="91" t="s">
        <v>21</v>
      </c>
      <c r="J432" s="91">
        <v>44438</v>
      </c>
      <c r="K432" s="121">
        <v>51</v>
      </c>
      <c r="L432" s="91">
        <v>44503</v>
      </c>
      <c r="M432" s="91"/>
      <c r="N432" s="125">
        <v>0</v>
      </c>
      <c r="O432" s="92">
        <v>1749.24</v>
      </c>
      <c r="Q432" s="14"/>
    </row>
    <row r="433" ht="15" customHeight="1">
      <c r="B433" s="13"/>
      <c r="C433" s="22" t="s">
        <v>184</v>
      </c>
      <c r="D433" s="90" t="s">
        <v>1020</v>
      </c>
      <c r="E433" s="122" t="s">
        <v>1021</v>
      </c>
      <c r="F433" s="91" t="s">
        <v>8</v>
      </c>
      <c r="G433" s="91">
        <v>23359</v>
      </c>
      <c r="H433" s="90" t="s">
        <v>187</v>
      </c>
      <c r="I433" s="91" t="s">
        <v>21</v>
      </c>
      <c r="J433" s="91">
        <v>44180</v>
      </c>
      <c r="K433" s="121">
        <v>57</v>
      </c>
      <c r="L433" s="91">
        <v>44469</v>
      </c>
      <c r="M433" s="91">
        <v>44262</v>
      </c>
      <c r="N433" s="125">
        <v>82</v>
      </c>
      <c r="O433" s="92">
        <v>1368.99</v>
      </c>
      <c r="Q433" s="14"/>
    </row>
    <row r="434" ht="15" customHeight="1">
      <c r="B434" s="13"/>
      <c r="C434" s="22" t="s">
        <v>184</v>
      </c>
      <c r="D434" s="90" t="s">
        <v>1022</v>
      </c>
      <c r="E434" s="122" t="s">
        <v>1023</v>
      </c>
      <c r="F434" s="91" t="s">
        <v>8</v>
      </c>
      <c r="G434" s="91">
        <v>21059</v>
      </c>
      <c r="H434" s="90" t="s">
        <v>187</v>
      </c>
      <c r="I434" s="91" t="s">
        <v>21</v>
      </c>
      <c r="J434" s="91">
        <v>44336</v>
      </c>
      <c r="K434" s="121">
        <v>64</v>
      </c>
      <c r="L434" s="91">
        <v>44456</v>
      </c>
      <c r="M434" s="91">
        <v>44456</v>
      </c>
      <c r="N434" s="125">
        <v>120</v>
      </c>
      <c r="O434" s="92">
        <v>1533.35</v>
      </c>
      <c r="Q434" s="14"/>
    </row>
    <row r="435" ht="15" customHeight="1">
      <c r="B435" s="13"/>
      <c r="C435" s="22" t="s">
        <v>184</v>
      </c>
      <c r="D435" s="90" t="s">
        <v>1024</v>
      </c>
      <c r="E435" s="122" t="s">
        <v>1025</v>
      </c>
      <c r="F435" s="91" t="s">
        <v>8</v>
      </c>
      <c r="G435" s="91">
        <v>27889</v>
      </c>
      <c r="H435" s="90" t="s">
        <v>187</v>
      </c>
      <c r="I435" s="91" t="s">
        <v>21</v>
      </c>
      <c r="J435" s="91">
        <v>44238</v>
      </c>
      <c r="K435" s="121">
        <v>45</v>
      </c>
      <c r="L435" s="91">
        <v>44418</v>
      </c>
      <c r="M435" s="91">
        <v>44418</v>
      </c>
      <c r="N435" s="125">
        <v>180</v>
      </c>
      <c r="O435" s="92">
        <v>0</v>
      </c>
      <c r="Q435" s="14"/>
    </row>
    <row r="436" ht="15" customHeight="1">
      <c r="B436" s="13"/>
      <c r="C436" s="22" t="s">
        <v>184</v>
      </c>
      <c r="D436" s="90" t="s">
        <v>1026</v>
      </c>
      <c r="E436" s="122" t="s">
        <v>1027</v>
      </c>
      <c r="F436" s="91" t="s">
        <v>8</v>
      </c>
      <c r="G436" s="91">
        <v>24624</v>
      </c>
      <c r="H436" s="90" t="s">
        <v>187</v>
      </c>
      <c r="I436" s="91" t="s">
        <v>21</v>
      </c>
      <c r="J436" s="91">
        <v>44326</v>
      </c>
      <c r="K436" s="121">
        <v>54</v>
      </c>
      <c r="L436" s="91">
        <v>44524</v>
      </c>
      <c r="M436" s="91"/>
      <c r="N436" s="125">
        <v>0</v>
      </c>
      <c r="O436" s="92">
        <v>1855.6200000000001</v>
      </c>
      <c r="Q436" s="14"/>
    </row>
    <row r="437" ht="15" customHeight="1">
      <c r="B437" s="13"/>
      <c r="C437" s="22" t="s">
        <v>483</v>
      </c>
      <c r="D437" s="90" t="s">
        <v>1028</v>
      </c>
      <c r="E437" s="122" t="s">
        <v>1029</v>
      </c>
      <c r="F437" s="91" t="s">
        <v>8</v>
      </c>
      <c r="G437" s="91">
        <v>28458</v>
      </c>
      <c r="H437" s="90" t="s">
        <v>187</v>
      </c>
      <c r="I437" s="91" t="s">
        <v>21</v>
      </c>
      <c r="J437" s="91">
        <v>44474</v>
      </c>
      <c r="K437" s="121">
        <v>44</v>
      </c>
      <c r="L437" s="91">
        <v>44491</v>
      </c>
      <c r="M437" s="91">
        <v>44491</v>
      </c>
      <c r="N437" s="125">
        <v>17</v>
      </c>
      <c r="O437" s="92">
        <v>67.26</v>
      </c>
      <c r="Q437" s="14"/>
    </row>
    <row r="438" ht="15" customHeight="1">
      <c r="B438" s="13"/>
      <c r="C438" s="22" t="s">
        <v>400</v>
      </c>
      <c r="D438" s="90" t="s">
        <v>1030</v>
      </c>
      <c r="E438" s="122" t="s">
        <v>1031</v>
      </c>
      <c r="F438" s="91" t="s">
        <v>8</v>
      </c>
      <c r="G438" s="91">
        <v>25834</v>
      </c>
      <c r="H438" s="90" t="s">
        <v>197</v>
      </c>
      <c r="I438" s="91" t="s">
        <v>21</v>
      </c>
      <c r="J438" s="91">
        <v>43859</v>
      </c>
      <c r="K438" s="121">
        <v>50</v>
      </c>
      <c r="L438" s="91">
        <v>44538</v>
      </c>
      <c r="M438" s="91"/>
      <c r="N438" s="125">
        <v>0</v>
      </c>
      <c r="O438" s="92">
        <v>11287.01</v>
      </c>
      <c r="Q438" s="14"/>
    </row>
    <row r="439" ht="15" customHeight="1">
      <c r="B439" s="13"/>
      <c r="C439" s="22" t="s">
        <v>184</v>
      </c>
      <c r="D439" s="90" t="s">
        <v>1032</v>
      </c>
      <c r="E439" s="122" t="s">
        <v>1033</v>
      </c>
      <c r="F439" s="91" t="s">
        <v>8</v>
      </c>
      <c r="G439" s="91">
        <v>28035</v>
      </c>
      <c r="H439" s="90" t="s">
        <v>187</v>
      </c>
      <c r="I439" s="91" t="s">
        <v>21</v>
      </c>
      <c r="J439" s="91">
        <v>44215</v>
      </c>
      <c r="K439" s="121">
        <v>45</v>
      </c>
      <c r="L439" s="91">
        <v>44469</v>
      </c>
      <c r="M439" s="91">
        <v>44469</v>
      </c>
      <c r="N439" s="125">
        <v>254</v>
      </c>
      <c r="O439" s="92">
        <v>7269.75</v>
      </c>
      <c r="Q439" s="14"/>
    </row>
    <row r="440" ht="15" customHeight="1">
      <c r="B440" s="13"/>
      <c r="C440" s="22" t="s">
        <v>135</v>
      </c>
      <c r="D440" s="90" t="s">
        <v>1034</v>
      </c>
      <c r="E440" s="122" t="s">
        <v>1035</v>
      </c>
      <c r="F440" s="91" t="s">
        <v>10</v>
      </c>
      <c r="G440" s="91">
        <v>25698</v>
      </c>
      <c r="H440" s="90" t="s">
        <v>187</v>
      </c>
      <c r="I440" s="91" t="s">
        <v>21</v>
      </c>
      <c r="J440" s="91">
        <v>43935</v>
      </c>
      <c r="K440" s="121">
        <v>50</v>
      </c>
      <c r="L440" s="91">
        <v>44530</v>
      </c>
      <c r="M440" s="91"/>
      <c r="N440" s="125">
        <v>0</v>
      </c>
      <c r="O440" s="92">
        <v>31724.239999999991</v>
      </c>
      <c r="Q440" s="14"/>
    </row>
    <row r="441" ht="15" customHeight="1">
      <c r="B441" s="13"/>
      <c r="C441" s="22" t="s">
        <v>184</v>
      </c>
      <c r="D441" s="90" t="s">
        <v>1036</v>
      </c>
      <c r="E441" s="122" t="s">
        <v>1037</v>
      </c>
      <c r="F441" s="91" t="s">
        <v>8</v>
      </c>
      <c r="G441" s="91">
        <v>25680</v>
      </c>
      <c r="H441" s="90" t="s">
        <v>187</v>
      </c>
      <c r="I441" s="91" t="s">
        <v>21</v>
      </c>
      <c r="J441" s="91">
        <v>44436</v>
      </c>
      <c r="K441" s="121">
        <v>51</v>
      </c>
      <c r="L441" s="91">
        <v>44495</v>
      </c>
      <c r="M441" s="91">
        <v>44495</v>
      </c>
      <c r="N441" s="125">
        <v>59</v>
      </c>
      <c r="O441" s="92">
        <v>562.5</v>
      </c>
      <c r="Q441" s="14"/>
    </row>
    <row r="442" ht="15" customHeight="1">
      <c r="B442" s="13"/>
      <c r="C442" s="22" t="s">
        <v>184</v>
      </c>
      <c r="D442" s="90" t="s">
        <v>1038</v>
      </c>
      <c r="E442" s="122" t="s">
        <v>1039</v>
      </c>
      <c r="F442" s="91" t="s">
        <v>8</v>
      </c>
      <c r="G442" s="91">
        <v>26733</v>
      </c>
      <c r="H442" s="90" t="s">
        <v>187</v>
      </c>
      <c r="I442" s="91" t="s">
        <v>21</v>
      </c>
      <c r="J442" s="91">
        <v>44293</v>
      </c>
      <c r="K442" s="121">
        <v>48</v>
      </c>
      <c r="L442" s="91">
        <v>44393</v>
      </c>
      <c r="M442" s="91">
        <v>44393</v>
      </c>
      <c r="N442" s="125">
        <v>100</v>
      </c>
      <c r="O442" s="92">
        <v>839.93000000000006</v>
      </c>
      <c r="Q442" s="14"/>
    </row>
    <row r="443" ht="15" customHeight="1">
      <c r="B443" s="13"/>
      <c r="C443" s="22" t="s">
        <v>184</v>
      </c>
      <c r="D443" s="90" t="s">
        <v>1040</v>
      </c>
      <c r="E443" s="122" t="s">
        <v>1041</v>
      </c>
      <c r="F443" s="91" t="s">
        <v>8</v>
      </c>
      <c r="G443" s="91">
        <v>28765</v>
      </c>
      <c r="H443" s="90" t="s">
        <v>197</v>
      </c>
      <c r="I443" s="91" t="s">
        <v>21</v>
      </c>
      <c r="J443" s="91">
        <v>44202</v>
      </c>
      <c r="K443" s="121">
        <v>43</v>
      </c>
      <c r="L443" s="91">
        <v>44318</v>
      </c>
      <c r="M443" s="91">
        <v>44318</v>
      </c>
      <c r="N443" s="125">
        <v>116</v>
      </c>
      <c r="O443" s="92">
        <v>2459.63</v>
      </c>
      <c r="Q443" s="14"/>
    </row>
    <row r="444" ht="15" customHeight="1">
      <c r="B444" s="13"/>
      <c r="C444" s="22" t="s">
        <v>184</v>
      </c>
      <c r="D444" s="90" t="s">
        <v>1042</v>
      </c>
      <c r="E444" s="122" t="s">
        <v>1043</v>
      </c>
      <c r="F444" s="91" t="s">
        <v>8</v>
      </c>
      <c r="G444" s="91">
        <v>28524</v>
      </c>
      <c r="H444" s="90" t="s">
        <v>187</v>
      </c>
      <c r="I444" s="91" t="s">
        <v>21</v>
      </c>
      <c r="J444" s="91">
        <v>43913</v>
      </c>
      <c r="K444" s="121">
        <v>42</v>
      </c>
      <c r="L444" s="91">
        <v>43951</v>
      </c>
      <c r="M444" s="91">
        <v>43951</v>
      </c>
      <c r="N444" s="125">
        <v>38</v>
      </c>
      <c r="O444" s="92">
        <v>157.68</v>
      </c>
      <c r="Q444" s="14"/>
    </row>
    <row r="445" ht="15" customHeight="1">
      <c r="B445" s="13"/>
      <c r="C445" s="22" t="s">
        <v>184</v>
      </c>
      <c r="D445" s="90" t="s">
        <v>1044</v>
      </c>
      <c r="E445" s="122" t="s">
        <v>1045</v>
      </c>
      <c r="F445" s="91" t="s">
        <v>8</v>
      </c>
      <c r="G445" s="91">
        <v>26056</v>
      </c>
      <c r="H445" s="90" t="s">
        <v>187</v>
      </c>
      <c r="I445" s="91" t="s">
        <v>21</v>
      </c>
      <c r="J445" s="91">
        <v>44214</v>
      </c>
      <c r="K445" s="121">
        <v>50</v>
      </c>
      <c r="L445" s="91">
        <v>44461</v>
      </c>
      <c r="M445" s="91">
        <v>44461</v>
      </c>
      <c r="N445" s="125">
        <v>247</v>
      </c>
      <c r="O445" s="92">
        <v>9411.06</v>
      </c>
      <c r="Q445" s="14"/>
    </row>
    <row r="446" ht="15" customHeight="1">
      <c r="B446" s="13"/>
      <c r="C446" s="22" t="s">
        <v>400</v>
      </c>
      <c r="D446" s="90" t="s">
        <v>1046</v>
      </c>
      <c r="E446" s="122" t="s">
        <v>1047</v>
      </c>
      <c r="F446" s="91" t="s">
        <v>8</v>
      </c>
      <c r="G446" s="91">
        <v>25615</v>
      </c>
      <c r="H446" s="90" t="s">
        <v>197</v>
      </c>
      <c r="I446" s="91" t="s">
        <v>21</v>
      </c>
      <c r="J446" s="91">
        <v>44158</v>
      </c>
      <c r="K446" s="121">
        <v>50</v>
      </c>
      <c r="L446" s="91">
        <v>44202</v>
      </c>
      <c r="M446" s="91">
        <v>44202</v>
      </c>
      <c r="N446" s="125">
        <v>44</v>
      </c>
      <c r="O446" s="92">
        <v>519.3</v>
      </c>
      <c r="Q446" s="14"/>
    </row>
    <row r="447" ht="15" customHeight="1">
      <c r="B447" s="13"/>
      <c r="C447" s="22" t="s">
        <v>184</v>
      </c>
      <c r="D447" s="90" t="s">
        <v>1048</v>
      </c>
      <c r="E447" s="122" t="s">
        <v>1049</v>
      </c>
      <c r="F447" s="91" t="s">
        <v>8</v>
      </c>
      <c r="G447" s="91">
        <v>23963</v>
      </c>
      <c r="H447" s="90" t="s">
        <v>187</v>
      </c>
      <c r="I447" s="91" t="s">
        <v>21</v>
      </c>
      <c r="J447" s="91">
        <v>44267</v>
      </c>
      <c r="K447" s="121">
        <v>56</v>
      </c>
      <c r="L447" s="91">
        <v>44369</v>
      </c>
      <c r="M447" s="91"/>
      <c r="N447" s="125">
        <v>0</v>
      </c>
      <c r="O447" s="92">
        <v>1113.25</v>
      </c>
      <c r="Q447" s="14"/>
    </row>
    <row r="448" ht="15" customHeight="1">
      <c r="B448" s="13"/>
      <c r="C448" s="22" t="s">
        <v>184</v>
      </c>
      <c r="D448" s="90" t="s">
        <v>1050</v>
      </c>
      <c r="E448" s="122" t="s">
        <v>1051</v>
      </c>
      <c r="F448" s="91" t="s">
        <v>8</v>
      </c>
      <c r="G448" s="91">
        <v>25191</v>
      </c>
      <c r="H448" s="90" t="s">
        <v>187</v>
      </c>
      <c r="I448" s="91" t="s">
        <v>21</v>
      </c>
      <c r="J448" s="91">
        <v>44197</v>
      </c>
      <c r="K448" s="121">
        <v>53</v>
      </c>
      <c r="L448" s="91">
        <v>44351</v>
      </c>
      <c r="M448" s="91">
        <v>44353</v>
      </c>
      <c r="N448" s="125">
        <v>156</v>
      </c>
      <c r="O448" s="92">
        <v>2127.5</v>
      </c>
      <c r="Q448" s="14"/>
    </row>
    <row r="449" ht="15" customHeight="1">
      <c r="B449" s="13"/>
      <c r="C449" s="22" t="s">
        <v>184</v>
      </c>
      <c r="D449" s="90" t="s">
        <v>1052</v>
      </c>
      <c r="E449" s="122" t="s">
        <v>1053</v>
      </c>
      <c r="F449" s="91" t="s">
        <v>8</v>
      </c>
      <c r="G449" s="91">
        <v>29942</v>
      </c>
      <c r="H449" s="90" t="s">
        <v>187</v>
      </c>
      <c r="I449" s="91" t="s">
        <v>21</v>
      </c>
      <c r="J449" s="91">
        <v>44025</v>
      </c>
      <c r="K449" s="121">
        <v>39</v>
      </c>
      <c r="L449" s="91">
        <v>44351</v>
      </c>
      <c r="M449" s="91">
        <v>44351</v>
      </c>
      <c r="N449" s="125">
        <v>326</v>
      </c>
      <c r="O449" s="92">
        <v>5622.29</v>
      </c>
      <c r="Q449" s="14"/>
    </row>
    <row r="450" ht="15" customHeight="1">
      <c r="B450" s="13"/>
      <c r="C450" s="22" t="s">
        <v>184</v>
      </c>
      <c r="D450" s="90" t="s">
        <v>1054</v>
      </c>
      <c r="E450" s="122" t="s">
        <v>1055</v>
      </c>
      <c r="F450" s="91" t="s">
        <v>8</v>
      </c>
      <c r="G450" s="91">
        <v>23222</v>
      </c>
      <c r="H450" s="90" t="s">
        <v>187</v>
      </c>
      <c r="I450" s="91" t="s">
        <v>21</v>
      </c>
      <c r="J450" s="91">
        <v>44200</v>
      </c>
      <c r="K450" s="121">
        <v>58</v>
      </c>
      <c r="L450" s="91">
        <v>44398</v>
      </c>
      <c r="M450" s="91">
        <v>44398</v>
      </c>
      <c r="N450" s="125">
        <v>198</v>
      </c>
      <c r="O450" s="92">
        <v>3908.9700000000003</v>
      </c>
      <c r="Q450" s="14"/>
    </row>
    <row r="451" ht="15" customHeight="1">
      <c r="B451" s="13"/>
      <c r="C451" s="22" t="s">
        <v>184</v>
      </c>
      <c r="D451" s="90" t="s">
        <v>1056</v>
      </c>
      <c r="E451" s="122" t="s">
        <v>1057</v>
      </c>
      <c r="F451" s="91" t="s">
        <v>8</v>
      </c>
      <c r="G451" s="91">
        <v>28706</v>
      </c>
      <c r="H451" s="90" t="s">
        <v>187</v>
      </c>
      <c r="I451" s="91" t="s">
        <v>21</v>
      </c>
      <c r="J451" s="91">
        <v>44119</v>
      </c>
      <c r="K451" s="121">
        <v>42</v>
      </c>
      <c r="L451" s="91">
        <v>44283</v>
      </c>
      <c r="M451" s="91">
        <v>44283</v>
      </c>
      <c r="N451" s="125">
        <v>164</v>
      </c>
      <c r="O451" s="92">
        <v>13.2</v>
      </c>
      <c r="Q451" s="14"/>
    </row>
    <row r="452" ht="15" customHeight="1">
      <c r="B452" s="13"/>
      <c r="C452" s="22" t="s">
        <v>184</v>
      </c>
      <c r="D452" s="90" t="s">
        <v>1058</v>
      </c>
      <c r="E452" s="122" t="s">
        <v>1059</v>
      </c>
      <c r="F452" s="91" t="s">
        <v>8</v>
      </c>
      <c r="G452" s="91">
        <v>23686</v>
      </c>
      <c r="H452" s="90" t="s">
        <v>187</v>
      </c>
      <c r="I452" s="91" t="s">
        <v>21</v>
      </c>
      <c r="J452" s="91">
        <v>44149</v>
      </c>
      <c r="K452" s="121">
        <v>56</v>
      </c>
      <c r="L452" s="91">
        <v>44192</v>
      </c>
      <c r="M452" s="91">
        <v>44192</v>
      </c>
      <c r="N452" s="125">
        <v>43</v>
      </c>
      <c r="O452" s="92">
        <v>363.44000000000005</v>
      </c>
      <c r="Q452" s="14"/>
    </row>
    <row r="453" ht="15" customHeight="1">
      <c r="B453" s="13"/>
      <c r="C453" s="22" t="s">
        <v>184</v>
      </c>
      <c r="D453" s="90" t="s">
        <v>1060</v>
      </c>
      <c r="E453" s="122" t="s">
        <v>1061</v>
      </c>
      <c r="F453" s="91" t="s">
        <v>8</v>
      </c>
      <c r="G453" s="91">
        <v>29661</v>
      </c>
      <c r="H453" s="90" t="s">
        <v>187</v>
      </c>
      <c r="I453" s="91" t="s">
        <v>21</v>
      </c>
      <c r="J453" s="91">
        <v>43998</v>
      </c>
      <c r="K453" s="121">
        <v>39</v>
      </c>
      <c r="L453" s="91">
        <v>44255</v>
      </c>
      <c r="M453" s="91">
        <v>44255</v>
      </c>
      <c r="N453" s="125">
        <v>257</v>
      </c>
      <c r="O453" s="92">
        <v>7025.8499999999995</v>
      </c>
      <c r="Q453" s="14"/>
    </row>
    <row r="454" ht="15" customHeight="1">
      <c r="B454" s="13"/>
      <c r="C454" s="22" t="s">
        <v>184</v>
      </c>
      <c r="D454" s="90" t="s">
        <v>1062</v>
      </c>
      <c r="E454" s="122" t="s">
        <v>1063</v>
      </c>
      <c r="F454" s="91" t="s">
        <v>8</v>
      </c>
      <c r="G454" s="91">
        <v>28413</v>
      </c>
      <c r="H454" s="90" t="s">
        <v>187</v>
      </c>
      <c r="I454" s="91" t="s">
        <v>21</v>
      </c>
      <c r="J454" s="91">
        <v>43907</v>
      </c>
      <c r="K454" s="121">
        <v>43</v>
      </c>
      <c r="L454" s="91">
        <v>43941</v>
      </c>
      <c r="M454" s="91">
        <v>43941</v>
      </c>
      <c r="N454" s="125">
        <v>34</v>
      </c>
      <c r="O454" s="92">
        <v>141.1</v>
      </c>
      <c r="Q454" s="14"/>
    </row>
    <row r="455" ht="15" customHeight="1">
      <c r="B455" s="13"/>
      <c r="C455" s="22" t="s">
        <v>184</v>
      </c>
      <c r="D455" s="90" t="s">
        <v>1064</v>
      </c>
      <c r="E455" s="122" t="s">
        <v>1065</v>
      </c>
      <c r="F455" s="91" t="s">
        <v>8</v>
      </c>
      <c r="G455" s="91">
        <v>29688</v>
      </c>
      <c r="H455" s="90" t="s">
        <v>187</v>
      </c>
      <c r="I455" s="91" t="s">
        <v>21</v>
      </c>
      <c r="J455" s="91">
        <v>44350</v>
      </c>
      <c r="K455" s="121">
        <v>40</v>
      </c>
      <c r="L455" s="91">
        <v>44508</v>
      </c>
      <c r="M455" s="91">
        <v>44508</v>
      </c>
      <c r="N455" s="125">
        <v>158</v>
      </c>
      <c r="O455" s="92">
        <v>5321.25</v>
      </c>
      <c r="Q455" s="14"/>
    </row>
    <row r="456" ht="15" customHeight="1">
      <c r="B456" s="13"/>
      <c r="C456" s="22" t="s">
        <v>184</v>
      </c>
      <c r="D456" s="90" t="s">
        <v>1066</v>
      </c>
      <c r="E456" s="122" t="s">
        <v>1067</v>
      </c>
      <c r="F456" s="91" t="s">
        <v>8</v>
      </c>
      <c r="G456" s="91">
        <v>25592</v>
      </c>
      <c r="H456" s="90" t="s">
        <v>187</v>
      </c>
      <c r="I456" s="91" t="s">
        <v>21</v>
      </c>
      <c r="J456" s="91">
        <v>44267</v>
      </c>
      <c r="K456" s="121">
        <v>51</v>
      </c>
      <c r="L456" s="91">
        <v>44424</v>
      </c>
      <c r="M456" s="91">
        <v>44424</v>
      </c>
      <c r="N456" s="125">
        <v>157</v>
      </c>
      <c r="O456" s="92">
        <v>527.36</v>
      </c>
      <c r="Q456" s="14"/>
    </row>
    <row r="457" ht="15" customHeight="1">
      <c r="B457" s="13"/>
      <c r="C457" s="22" t="s">
        <v>184</v>
      </c>
      <c r="D457" s="90" t="s">
        <v>1068</v>
      </c>
      <c r="E457" s="122" t="s">
        <v>1069</v>
      </c>
      <c r="F457" s="91" t="s">
        <v>8</v>
      </c>
      <c r="G457" s="91">
        <v>29625</v>
      </c>
      <c r="H457" s="90" t="s">
        <v>187</v>
      </c>
      <c r="I457" s="91" t="s">
        <v>21</v>
      </c>
      <c r="J457" s="91">
        <v>44420</v>
      </c>
      <c r="K457" s="121">
        <v>40</v>
      </c>
      <c r="L457" s="91">
        <v>44530</v>
      </c>
      <c r="M457" s="91"/>
      <c r="N457" s="125">
        <v>0</v>
      </c>
      <c r="O457" s="92">
        <v>584.00999999999988</v>
      </c>
      <c r="Q457" s="14"/>
    </row>
    <row r="458" ht="15" customHeight="1">
      <c r="B458" s="13"/>
      <c r="C458" s="22" t="s">
        <v>184</v>
      </c>
      <c r="D458" s="90" t="s">
        <v>1070</v>
      </c>
      <c r="E458" s="122" t="s">
        <v>1071</v>
      </c>
      <c r="F458" s="91" t="s">
        <v>8</v>
      </c>
      <c r="G458" s="91">
        <v>19986</v>
      </c>
      <c r="H458" s="90" t="s">
        <v>187</v>
      </c>
      <c r="I458" s="91" t="s">
        <v>21</v>
      </c>
      <c r="J458" s="91">
        <v>43913</v>
      </c>
      <c r="K458" s="121">
        <v>66</v>
      </c>
      <c r="L458" s="91">
        <v>43958</v>
      </c>
      <c r="M458" s="91">
        <v>43958</v>
      </c>
      <c r="N458" s="125">
        <v>45</v>
      </c>
      <c r="O458" s="92">
        <v>687.52</v>
      </c>
      <c r="Q458" s="14"/>
    </row>
    <row r="459" ht="15" customHeight="1">
      <c r="B459" s="13"/>
      <c r="C459" s="22" t="s">
        <v>184</v>
      </c>
      <c r="D459" s="90" t="s">
        <v>1072</v>
      </c>
      <c r="E459" s="122" t="s">
        <v>1073</v>
      </c>
      <c r="F459" s="91" t="s">
        <v>8</v>
      </c>
      <c r="G459" s="91">
        <v>29216</v>
      </c>
      <c r="H459" s="90" t="s">
        <v>187</v>
      </c>
      <c r="I459" s="91" t="s">
        <v>21</v>
      </c>
      <c r="J459" s="91">
        <v>43906</v>
      </c>
      <c r="K459" s="121">
        <v>41</v>
      </c>
      <c r="L459" s="91">
        <v>44141</v>
      </c>
      <c r="M459" s="91">
        <v>44141</v>
      </c>
      <c r="N459" s="125">
        <v>235</v>
      </c>
      <c r="O459" s="92">
        <v>2656.56</v>
      </c>
      <c r="Q459" s="14"/>
    </row>
    <row r="460" ht="15" customHeight="1">
      <c r="B460" s="13"/>
      <c r="C460" s="22" t="s">
        <v>184</v>
      </c>
      <c r="D460" s="90" t="s">
        <v>1074</v>
      </c>
      <c r="E460" s="122" t="s">
        <v>1075</v>
      </c>
      <c r="F460" s="91" t="s">
        <v>8</v>
      </c>
      <c r="G460" s="91">
        <v>30488</v>
      </c>
      <c r="H460" s="90" t="s">
        <v>187</v>
      </c>
      <c r="I460" s="91" t="s">
        <v>21</v>
      </c>
      <c r="J460" s="91">
        <v>43906</v>
      </c>
      <c r="K460" s="121">
        <v>37</v>
      </c>
      <c r="L460" s="91">
        <v>43951</v>
      </c>
      <c r="M460" s="91">
        <v>43951</v>
      </c>
      <c r="N460" s="125">
        <v>45</v>
      </c>
      <c r="O460" s="92">
        <v>28.27</v>
      </c>
      <c r="Q460" s="14"/>
    </row>
    <row r="461" ht="15" customHeight="1">
      <c r="B461" s="13"/>
      <c r="C461" s="22" t="s">
        <v>184</v>
      </c>
      <c r="D461" s="90" t="s">
        <v>1076</v>
      </c>
      <c r="E461" s="122" t="s">
        <v>1077</v>
      </c>
      <c r="F461" s="91" t="s">
        <v>8</v>
      </c>
      <c r="G461" s="91">
        <v>28432</v>
      </c>
      <c r="H461" s="90" t="s">
        <v>187</v>
      </c>
      <c r="I461" s="91" t="s">
        <v>21</v>
      </c>
      <c r="J461" s="91">
        <v>43962</v>
      </c>
      <c r="K461" s="121">
        <v>43</v>
      </c>
      <c r="L461" s="91">
        <v>44167</v>
      </c>
      <c r="M461" s="91">
        <v>44167</v>
      </c>
      <c r="N461" s="125">
        <v>205</v>
      </c>
      <c r="O461" s="92">
        <v>440.64</v>
      </c>
      <c r="Q461" s="14"/>
    </row>
    <row r="462" ht="15" customHeight="1">
      <c r="B462" s="13"/>
      <c r="C462" s="22" t="s">
        <v>184</v>
      </c>
      <c r="D462" s="90" t="s">
        <v>1078</v>
      </c>
      <c r="E462" s="122" t="s">
        <v>1079</v>
      </c>
      <c r="F462" s="91" t="s">
        <v>8</v>
      </c>
      <c r="G462" s="91">
        <v>24350</v>
      </c>
      <c r="H462" s="90" t="s">
        <v>187</v>
      </c>
      <c r="I462" s="91" t="s">
        <v>21</v>
      </c>
      <c r="J462" s="91">
        <v>44330</v>
      </c>
      <c r="K462" s="121">
        <v>55</v>
      </c>
      <c r="L462" s="91">
        <v>44513</v>
      </c>
      <c r="M462" s="91"/>
      <c r="N462" s="125">
        <v>0</v>
      </c>
      <c r="O462" s="92">
        <v>4686.2199999999993</v>
      </c>
      <c r="Q462" s="14"/>
    </row>
    <row r="463" ht="15" customHeight="1">
      <c r="B463" s="13"/>
      <c r="C463" s="22" t="s">
        <v>184</v>
      </c>
      <c r="D463" s="90" t="s">
        <v>1080</v>
      </c>
      <c r="E463" s="122" t="s">
        <v>1081</v>
      </c>
      <c r="F463" s="91" t="s">
        <v>8</v>
      </c>
      <c r="G463" s="91">
        <v>29860</v>
      </c>
      <c r="H463" s="90" t="s">
        <v>187</v>
      </c>
      <c r="I463" s="91" t="s">
        <v>21</v>
      </c>
      <c r="J463" s="91">
        <v>44144</v>
      </c>
      <c r="K463" s="121">
        <v>39</v>
      </c>
      <c r="L463" s="91">
        <v>44238</v>
      </c>
      <c r="M463" s="91">
        <v>44238</v>
      </c>
      <c r="N463" s="125">
        <v>94</v>
      </c>
      <c r="O463" s="92">
        <v>1251.25</v>
      </c>
      <c r="Q463" s="14"/>
    </row>
    <row r="464" ht="15" customHeight="1">
      <c r="B464" s="13"/>
      <c r="C464" s="22" t="s">
        <v>184</v>
      </c>
      <c r="D464" s="90" t="s">
        <v>1082</v>
      </c>
      <c r="E464" s="122" t="s">
        <v>1083</v>
      </c>
      <c r="F464" s="91" t="s">
        <v>8</v>
      </c>
      <c r="G464" s="91">
        <v>30008</v>
      </c>
      <c r="H464" s="90" t="s">
        <v>187</v>
      </c>
      <c r="I464" s="91" t="s">
        <v>21</v>
      </c>
      <c r="J464" s="91">
        <v>44116</v>
      </c>
      <c r="K464" s="121">
        <v>38</v>
      </c>
      <c r="L464" s="91">
        <v>44273</v>
      </c>
      <c r="M464" s="91">
        <v>44273</v>
      </c>
      <c r="N464" s="125">
        <v>157</v>
      </c>
      <c r="O464" s="92">
        <v>2877.3599999999997</v>
      </c>
      <c r="Q464" s="14"/>
    </row>
    <row r="465" ht="15" customHeight="1">
      <c r="B465" s="13"/>
      <c r="C465" s="22" t="s">
        <v>184</v>
      </c>
      <c r="D465" s="90" t="s">
        <v>1084</v>
      </c>
      <c r="E465" s="122" t="s">
        <v>1085</v>
      </c>
      <c r="F465" s="91" t="s">
        <v>8</v>
      </c>
      <c r="G465" s="91">
        <v>29910</v>
      </c>
      <c r="H465" s="90" t="s">
        <v>197</v>
      </c>
      <c r="I465" s="91" t="s">
        <v>21</v>
      </c>
      <c r="J465" s="91">
        <v>44166</v>
      </c>
      <c r="K465" s="121">
        <v>39</v>
      </c>
      <c r="L465" s="91">
        <v>44280</v>
      </c>
      <c r="M465" s="91">
        <v>44280</v>
      </c>
      <c r="N465" s="125">
        <v>114</v>
      </c>
      <c r="O465" s="92">
        <v>2560.32</v>
      </c>
      <c r="Q465" s="14"/>
    </row>
    <row r="466" ht="15" customHeight="1">
      <c r="B466" s="13"/>
      <c r="C466" s="22" t="s">
        <v>245</v>
      </c>
      <c r="D466" s="90" t="s">
        <v>1086</v>
      </c>
      <c r="E466" s="122" t="s">
        <v>1087</v>
      </c>
      <c r="F466" s="91" t="s">
        <v>8</v>
      </c>
      <c r="G466" s="91">
        <v>29309</v>
      </c>
      <c r="H466" s="90" t="s">
        <v>187</v>
      </c>
      <c r="I466" s="91" t="s">
        <v>21</v>
      </c>
      <c r="J466" s="91">
        <v>44113</v>
      </c>
      <c r="K466" s="121">
        <v>40</v>
      </c>
      <c r="L466" s="91">
        <v>44537</v>
      </c>
      <c r="M466" s="91"/>
      <c r="N466" s="125">
        <v>0</v>
      </c>
      <c r="O466" s="92">
        <v>7145.5499999999993</v>
      </c>
      <c r="Q466" s="14"/>
    </row>
    <row r="467" ht="15" customHeight="1">
      <c r="B467" s="13"/>
      <c r="C467" s="22" t="s">
        <v>184</v>
      </c>
      <c r="D467" s="90" t="s">
        <v>1088</v>
      </c>
      <c r="E467" s="122" t="s">
        <v>1089</v>
      </c>
      <c r="F467" s="91" t="s">
        <v>8</v>
      </c>
      <c r="G467" s="91">
        <v>29163</v>
      </c>
      <c r="H467" s="90" t="s">
        <v>187</v>
      </c>
      <c r="I467" s="91" t="s">
        <v>21</v>
      </c>
      <c r="J467" s="91">
        <v>43858</v>
      </c>
      <c r="K467" s="121">
        <v>41</v>
      </c>
      <c r="L467" s="91">
        <v>44183</v>
      </c>
      <c r="M467" s="91">
        <v>44183</v>
      </c>
      <c r="N467" s="125">
        <v>325</v>
      </c>
      <c r="O467" s="92">
        <v>8766.81</v>
      </c>
      <c r="Q467" s="14"/>
    </row>
    <row r="468" ht="15" customHeight="1">
      <c r="B468" s="13"/>
      <c r="C468" s="22" t="s">
        <v>184</v>
      </c>
      <c r="D468" s="90" t="s">
        <v>1090</v>
      </c>
      <c r="E468" s="122" t="s">
        <v>1091</v>
      </c>
      <c r="F468" s="91" t="s">
        <v>8</v>
      </c>
      <c r="G468" s="91">
        <v>30049</v>
      </c>
      <c r="H468" s="90" t="s">
        <v>187</v>
      </c>
      <c r="I468" s="91" t="s">
        <v>21</v>
      </c>
      <c r="J468" s="91">
        <v>43888</v>
      </c>
      <c r="K468" s="121">
        <v>38</v>
      </c>
      <c r="L468" s="91">
        <v>44245</v>
      </c>
      <c r="M468" s="91"/>
      <c r="N468" s="125">
        <v>0</v>
      </c>
      <c r="O468" s="92">
        <v>4075.8500000000004</v>
      </c>
      <c r="Q468" s="14"/>
    </row>
    <row r="469" ht="15" customHeight="1">
      <c r="B469" s="13"/>
      <c r="C469" s="22" t="s">
        <v>184</v>
      </c>
      <c r="D469" s="90" t="s">
        <v>1092</v>
      </c>
      <c r="E469" s="122" t="s">
        <v>1093</v>
      </c>
      <c r="F469" s="91" t="s">
        <v>8</v>
      </c>
      <c r="G469" s="91">
        <v>24566</v>
      </c>
      <c r="H469" s="90" t="s">
        <v>197</v>
      </c>
      <c r="I469" s="91" t="s">
        <v>21</v>
      </c>
      <c r="J469" s="91">
        <v>43895</v>
      </c>
      <c r="K469" s="121">
        <v>53</v>
      </c>
      <c r="L469" s="91">
        <v>44151</v>
      </c>
      <c r="M469" s="91">
        <v>44151</v>
      </c>
      <c r="N469" s="125">
        <v>256</v>
      </c>
      <c r="O469" s="92">
        <v>3204</v>
      </c>
      <c r="Q469" s="14"/>
    </row>
    <row r="470" ht="15" customHeight="1">
      <c r="B470" s="13"/>
      <c r="C470" s="22" t="s">
        <v>184</v>
      </c>
      <c r="D470" s="90" t="s">
        <v>1094</v>
      </c>
      <c r="E470" s="122" t="s">
        <v>1095</v>
      </c>
      <c r="F470" s="91" t="s">
        <v>8</v>
      </c>
      <c r="G470" s="91">
        <v>26032</v>
      </c>
      <c r="H470" s="90" t="s">
        <v>187</v>
      </c>
      <c r="I470" s="91" t="s">
        <v>21</v>
      </c>
      <c r="J470" s="91">
        <v>44233</v>
      </c>
      <c r="K470" s="121">
        <v>50</v>
      </c>
      <c r="L470" s="91">
        <v>44526</v>
      </c>
      <c r="M470" s="91">
        <v>44530</v>
      </c>
      <c r="N470" s="125">
        <v>297</v>
      </c>
      <c r="O470" s="92">
        <v>6122.1599999999989</v>
      </c>
      <c r="Q470" s="14"/>
    </row>
    <row r="471" ht="15" customHeight="1">
      <c r="B471" s="13"/>
      <c r="C471" s="22" t="s">
        <v>184</v>
      </c>
      <c r="D471" s="90" t="s">
        <v>1096</v>
      </c>
      <c r="E471" s="122" t="s">
        <v>1097</v>
      </c>
      <c r="F471" s="91" t="s">
        <v>8</v>
      </c>
      <c r="G471" s="91">
        <v>28273</v>
      </c>
      <c r="H471" s="90" t="s">
        <v>187</v>
      </c>
      <c r="I471" s="91" t="s">
        <v>21</v>
      </c>
      <c r="J471" s="91">
        <v>43885</v>
      </c>
      <c r="K471" s="121">
        <v>43</v>
      </c>
      <c r="L471" s="91">
        <v>44227</v>
      </c>
      <c r="M471" s="91">
        <v>44227</v>
      </c>
      <c r="N471" s="125">
        <v>342</v>
      </c>
      <c r="O471" s="92">
        <v>12395.74</v>
      </c>
      <c r="Q471" s="14"/>
    </row>
    <row r="472" ht="15" customHeight="1">
      <c r="B472" s="13"/>
      <c r="C472" s="22" t="s">
        <v>135</v>
      </c>
      <c r="D472" s="90" t="s">
        <v>1098</v>
      </c>
      <c r="E472" s="122" t="s">
        <v>1099</v>
      </c>
      <c r="F472" s="91" t="s">
        <v>8</v>
      </c>
      <c r="G472" s="91">
        <v>29840</v>
      </c>
      <c r="H472" s="90" t="s">
        <v>187</v>
      </c>
      <c r="I472" s="91" t="s">
        <v>21</v>
      </c>
      <c r="J472" s="91">
        <v>44243</v>
      </c>
      <c r="K472" s="121">
        <v>40</v>
      </c>
      <c r="L472" s="91">
        <v>44533</v>
      </c>
      <c r="M472" s="91"/>
      <c r="N472" s="125">
        <v>0</v>
      </c>
      <c r="O472" s="92">
        <v>15495.570000000002</v>
      </c>
      <c r="Q472" s="14"/>
    </row>
    <row r="473" ht="15" customHeight="1">
      <c r="B473" s="13"/>
      <c r="C473" s="22" t="s">
        <v>184</v>
      </c>
      <c r="D473" s="90" t="s">
        <v>1100</v>
      </c>
      <c r="E473" s="122" t="s">
        <v>1101</v>
      </c>
      <c r="F473" s="91" t="s">
        <v>8</v>
      </c>
      <c r="G473" s="91">
        <v>31249</v>
      </c>
      <c r="H473" s="90" t="s">
        <v>187</v>
      </c>
      <c r="I473" s="91" t="s">
        <v>21</v>
      </c>
      <c r="J473" s="91">
        <v>44228</v>
      </c>
      <c r="K473" s="121">
        <v>36</v>
      </c>
      <c r="L473" s="91">
        <v>44426</v>
      </c>
      <c r="M473" s="91">
        <v>44426</v>
      </c>
      <c r="N473" s="125">
        <v>198</v>
      </c>
      <c r="O473" s="92">
        <v>4179.3700000000008</v>
      </c>
      <c r="Q473" s="14"/>
    </row>
    <row r="474" ht="15" customHeight="1">
      <c r="B474" s="13"/>
      <c r="C474" s="22" t="s">
        <v>184</v>
      </c>
      <c r="D474" s="90" t="s">
        <v>1102</v>
      </c>
      <c r="E474" s="122" t="s">
        <v>1103</v>
      </c>
      <c r="F474" s="91" t="s">
        <v>8</v>
      </c>
      <c r="G474" s="91">
        <v>29165</v>
      </c>
      <c r="H474" s="90" t="s">
        <v>187</v>
      </c>
      <c r="I474" s="91" t="s">
        <v>21</v>
      </c>
      <c r="J474" s="91">
        <v>44250</v>
      </c>
      <c r="K474" s="121">
        <v>42</v>
      </c>
      <c r="L474" s="91">
        <v>44408</v>
      </c>
      <c r="M474" s="91">
        <v>44408</v>
      </c>
      <c r="N474" s="125">
        <v>158</v>
      </c>
      <c r="O474" s="92">
        <v>3581.04</v>
      </c>
      <c r="Q474" s="14"/>
    </row>
    <row r="475" ht="15" customHeight="1">
      <c r="B475" s="13"/>
      <c r="C475" s="22" t="s">
        <v>1104</v>
      </c>
      <c r="D475" s="90" t="s">
        <v>1105</v>
      </c>
      <c r="E475" s="122" t="s">
        <v>1106</v>
      </c>
      <c r="F475" s="91" t="s">
        <v>8</v>
      </c>
      <c r="G475" s="91">
        <v>26919</v>
      </c>
      <c r="H475" s="90" t="s">
        <v>187</v>
      </c>
      <c r="I475" s="91" t="s">
        <v>21</v>
      </c>
      <c r="J475" s="91">
        <v>43906</v>
      </c>
      <c r="K475" s="121">
        <v>47</v>
      </c>
      <c r="L475" s="91">
        <v>43951</v>
      </c>
      <c r="M475" s="91">
        <v>43951</v>
      </c>
      <c r="N475" s="125">
        <v>45</v>
      </c>
      <c r="O475" s="92">
        <v>281.76</v>
      </c>
      <c r="Q475" s="14"/>
    </row>
    <row r="476" ht="15" customHeight="1">
      <c r="B476" s="13"/>
      <c r="C476" s="22" t="s">
        <v>184</v>
      </c>
      <c r="D476" s="90" t="s">
        <v>1107</v>
      </c>
      <c r="E476" s="122" t="s">
        <v>1108</v>
      </c>
      <c r="F476" s="91" t="s">
        <v>8</v>
      </c>
      <c r="G476" s="91">
        <v>29527</v>
      </c>
      <c r="H476" s="90" t="s">
        <v>187</v>
      </c>
      <c r="I476" s="91" t="s">
        <v>21</v>
      </c>
      <c r="J476" s="91">
        <v>43857</v>
      </c>
      <c r="K476" s="121">
        <v>40</v>
      </c>
      <c r="L476" s="91">
        <v>44286</v>
      </c>
      <c r="M476" s="91">
        <v>44347</v>
      </c>
      <c r="N476" s="125">
        <v>490</v>
      </c>
      <c r="O476" s="92">
        <v>2437.3099999999995</v>
      </c>
      <c r="Q476" s="14"/>
    </row>
    <row r="477" ht="15" customHeight="1">
      <c r="B477" s="13"/>
      <c r="C477" s="22" t="s">
        <v>184</v>
      </c>
      <c r="D477" s="90" t="s">
        <v>1109</v>
      </c>
      <c r="E477" s="122" t="s">
        <v>1110</v>
      </c>
      <c r="F477" s="91" t="s">
        <v>8</v>
      </c>
      <c r="G477" s="91">
        <v>27560</v>
      </c>
      <c r="H477" s="90" t="s">
        <v>187</v>
      </c>
      <c r="I477" s="91" t="s">
        <v>21</v>
      </c>
      <c r="J477" s="91">
        <v>44305</v>
      </c>
      <c r="K477" s="121">
        <v>46</v>
      </c>
      <c r="L477" s="91">
        <v>44439</v>
      </c>
      <c r="M477" s="91">
        <v>44439</v>
      </c>
      <c r="N477" s="125">
        <v>134</v>
      </c>
      <c r="O477" s="92">
        <v>3666.6000000000004</v>
      </c>
      <c r="Q477" s="14"/>
    </row>
    <row r="478" ht="15" customHeight="1">
      <c r="B478" s="13"/>
      <c r="C478" s="22" t="s">
        <v>184</v>
      </c>
      <c r="D478" s="90" t="s">
        <v>1111</v>
      </c>
      <c r="E478" s="122" t="s">
        <v>1112</v>
      </c>
      <c r="F478" s="91" t="s">
        <v>8</v>
      </c>
      <c r="G478" s="91">
        <v>23930</v>
      </c>
      <c r="H478" s="90" t="s">
        <v>187</v>
      </c>
      <c r="I478" s="91" t="s">
        <v>21</v>
      </c>
      <c r="J478" s="91">
        <v>43990</v>
      </c>
      <c r="K478" s="121">
        <v>55</v>
      </c>
      <c r="L478" s="91">
        <v>44516</v>
      </c>
      <c r="M478" s="91"/>
      <c r="N478" s="125">
        <v>0</v>
      </c>
      <c r="O478" s="92">
        <v>7512.380000000001</v>
      </c>
      <c r="Q478" s="14"/>
    </row>
    <row r="479" ht="15" customHeight="1">
      <c r="B479" s="13"/>
      <c r="C479" s="22" t="s">
        <v>184</v>
      </c>
      <c r="D479" s="90" t="s">
        <v>1113</v>
      </c>
      <c r="E479" s="122" t="s">
        <v>1114</v>
      </c>
      <c r="F479" s="91" t="s">
        <v>10</v>
      </c>
      <c r="G479" s="91">
        <v>25771</v>
      </c>
      <c r="H479" s="90" t="s">
        <v>197</v>
      </c>
      <c r="I479" s="91" t="s">
        <v>21</v>
      </c>
      <c r="J479" s="91">
        <v>44090</v>
      </c>
      <c r="K479" s="121">
        <v>50</v>
      </c>
      <c r="L479" s="91">
        <v>44176</v>
      </c>
      <c r="M479" s="91">
        <v>44176</v>
      </c>
      <c r="N479" s="125">
        <v>86</v>
      </c>
      <c r="O479" s="92">
        <v>3093.39</v>
      </c>
      <c r="Q479" s="14"/>
    </row>
    <row r="480" ht="15" customHeight="1">
      <c r="B480" s="13"/>
      <c r="C480" s="22" t="s">
        <v>184</v>
      </c>
      <c r="D480" s="90" t="s">
        <v>1115</v>
      </c>
      <c r="E480" s="122" t="s">
        <v>1114</v>
      </c>
      <c r="F480" s="91" t="s">
        <v>10</v>
      </c>
      <c r="G480" s="91">
        <v>25771</v>
      </c>
      <c r="H480" s="90" t="s">
        <v>197</v>
      </c>
      <c r="I480" s="91" t="s">
        <v>21</v>
      </c>
      <c r="J480" s="91">
        <v>44253</v>
      </c>
      <c r="K480" s="121">
        <v>51</v>
      </c>
      <c r="L480" s="91">
        <v>44502</v>
      </c>
      <c r="M480" s="91"/>
      <c r="N480" s="125">
        <v>0</v>
      </c>
      <c r="O480" s="92">
        <v>8401.8</v>
      </c>
      <c r="Q480" s="14"/>
    </row>
    <row r="481" ht="15" customHeight="1">
      <c r="B481" s="13"/>
      <c r="C481" s="22" t="s">
        <v>184</v>
      </c>
      <c r="D481" s="90" t="s">
        <v>1116</v>
      </c>
      <c r="E481" s="122" t="s">
        <v>1117</v>
      </c>
      <c r="F481" s="91" t="s">
        <v>8</v>
      </c>
      <c r="G481" s="91">
        <v>24250</v>
      </c>
      <c r="H481" s="90" t="s">
        <v>187</v>
      </c>
      <c r="I481" s="91" t="s">
        <v>21</v>
      </c>
      <c r="J481" s="91">
        <v>44113</v>
      </c>
      <c r="K481" s="121">
        <v>54</v>
      </c>
      <c r="L481" s="91">
        <v>44198</v>
      </c>
      <c r="M481" s="91">
        <v>44198</v>
      </c>
      <c r="N481" s="125">
        <v>85</v>
      </c>
      <c r="O481" s="92">
        <v>192.64</v>
      </c>
      <c r="Q481" s="14"/>
    </row>
    <row r="482" ht="15" customHeight="1">
      <c r="B482" s="13"/>
      <c r="C482" s="22" t="s">
        <v>184</v>
      </c>
      <c r="D482" s="90" t="s">
        <v>1118</v>
      </c>
      <c r="E482" s="122" t="s">
        <v>1119</v>
      </c>
      <c r="F482" s="91" t="s">
        <v>8</v>
      </c>
      <c r="G482" s="91">
        <v>25561</v>
      </c>
      <c r="H482" s="90" t="s">
        <v>187</v>
      </c>
      <c r="I482" s="91" t="s">
        <v>21</v>
      </c>
      <c r="J482" s="91">
        <v>44277</v>
      </c>
      <c r="K482" s="121">
        <v>52</v>
      </c>
      <c r="L482" s="91">
        <v>44488</v>
      </c>
      <c r="M482" s="91">
        <v>44488</v>
      </c>
      <c r="N482" s="125">
        <v>211</v>
      </c>
      <c r="O482" s="92">
        <v>2176.72</v>
      </c>
      <c r="Q482" s="14"/>
    </row>
    <row r="483" ht="15" customHeight="1">
      <c r="B483" s="13"/>
      <c r="C483" s="22" t="s">
        <v>184</v>
      </c>
      <c r="D483" s="90" t="s">
        <v>1120</v>
      </c>
      <c r="E483" s="122" t="s">
        <v>1121</v>
      </c>
      <c r="F483" s="91" t="s">
        <v>8</v>
      </c>
      <c r="G483" s="91">
        <v>27957</v>
      </c>
      <c r="H483" s="90" t="s">
        <v>187</v>
      </c>
      <c r="I483" s="91" t="s">
        <v>21</v>
      </c>
      <c r="J483" s="91">
        <v>44098</v>
      </c>
      <c r="K483" s="121">
        <v>44</v>
      </c>
      <c r="L483" s="91">
        <v>44133</v>
      </c>
      <c r="M483" s="91">
        <v>44133</v>
      </c>
      <c r="N483" s="125">
        <v>35</v>
      </c>
      <c r="O483" s="92">
        <v>7.86</v>
      </c>
      <c r="Q483" s="14"/>
    </row>
    <row r="484" ht="15" customHeight="1">
      <c r="B484" s="13"/>
      <c r="C484" s="22" t="s">
        <v>184</v>
      </c>
      <c r="D484" s="90" t="s">
        <v>1122</v>
      </c>
      <c r="E484" s="122" t="s">
        <v>1121</v>
      </c>
      <c r="F484" s="91" t="s">
        <v>8</v>
      </c>
      <c r="G484" s="91">
        <v>27957</v>
      </c>
      <c r="H484" s="90" t="s">
        <v>187</v>
      </c>
      <c r="I484" s="91" t="s">
        <v>21</v>
      </c>
      <c r="J484" s="91">
        <v>44250</v>
      </c>
      <c r="K484" s="121">
        <v>45</v>
      </c>
      <c r="L484" s="91">
        <v>44403</v>
      </c>
      <c r="M484" s="91">
        <v>44403</v>
      </c>
      <c r="N484" s="125">
        <v>153</v>
      </c>
      <c r="O484" s="92">
        <v>239.32</v>
      </c>
      <c r="Q484" s="14"/>
    </row>
    <row r="485" ht="15" customHeight="1">
      <c r="B485" s="13"/>
      <c r="C485" s="22" t="s">
        <v>184</v>
      </c>
      <c r="D485" s="90" t="s">
        <v>1123</v>
      </c>
      <c r="E485" s="122" t="s">
        <v>1124</v>
      </c>
      <c r="F485" s="91" t="s">
        <v>8</v>
      </c>
      <c r="G485" s="91">
        <v>24935</v>
      </c>
      <c r="H485" s="90" t="s">
        <v>187</v>
      </c>
      <c r="I485" s="91" t="s">
        <v>21</v>
      </c>
      <c r="J485" s="91">
        <v>44010</v>
      </c>
      <c r="K485" s="121">
        <v>52</v>
      </c>
      <c r="L485" s="91">
        <v>44162</v>
      </c>
      <c r="M485" s="91">
        <v>44162</v>
      </c>
      <c r="N485" s="125">
        <v>152</v>
      </c>
      <c r="O485" s="92">
        <v>1620.84</v>
      </c>
      <c r="Q485" s="14"/>
    </row>
    <row r="486" ht="15" customHeight="1">
      <c r="B486" s="13"/>
      <c r="C486" s="22" t="s">
        <v>135</v>
      </c>
      <c r="D486" s="90" t="s">
        <v>1125</v>
      </c>
      <c r="E486" s="122" t="s">
        <v>1126</v>
      </c>
      <c r="F486" s="91" t="s">
        <v>8</v>
      </c>
      <c r="G486" s="91">
        <v>24631</v>
      </c>
      <c r="H486" s="90" t="s">
        <v>187</v>
      </c>
      <c r="I486" s="91" t="s">
        <v>21</v>
      </c>
      <c r="J486" s="91">
        <v>44167</v>
      </c>
      <c r="K486" s="121">
        <v>53</v>
      </c>
      <c r="L486" s="91">
        <v>44197</v>
      </c>
      <c r="M486" s="91">
        <v>44197</v>
      </c>
      <c r="N486" s="125">
        <v>30</v>
      </c>
      <c r="O486" s="92">
        <v>13.16</v>
      </c>
      <c r="Q486" s="14"/>
    </row>
    <row r="487" ht="15" customHeight="1">
      <c r="B487" s="13"/>
      <c r="C487" s="22" t="s">
        <v>135</v>
      </c>
      <c r="D487" s="90" t="s">
        <v>1127</v>
      </c>
      <c r="E487" s="122" t="s">
        <v>1128</v>
      </c>
      <c r="F487" s="91" t="s">
        <v>8</v>
      </c>
      <c r="G487" s="91">
        <v>28797</v>
      </c>
      <c r="H487" s="90" t="s">
        <v>197</v>
      </c>
      <c r="I487" s="91" t="s">
        <v>21</v>
      </c>
      <c r="J487" s="91">
        <v>44245</v>
      </c>
      <c r="K487" s="121">
        <v>43</v>
      </c>
      <c r="L487" s="91">
        <v>44292</v>
      </c>
      <c r="M487" s="91">
        <v>44292</v>
      </c>
      <c r="N487" s="125">
        <v>47</v>
      </c>
      <c r="O487" s="92">
        <v>1181.34</v>
      </c>
      <c r="Q487" s="14"/>
    </row>
    <row r="488" ht="15" customHeight="1">
      <c r="B488" s="13"/>
      <c r="C488" s="22" t="s">
        <v>184</v>
      </c>
      <c r="D488" s="90" t="s">
        <v>1129</v>
      </c>
      <c r="E488" s="122" t="s">
        <v>1130</v>
      </c>
      <c r="F488" s="91" t="s">
        <v>8</v>
      </c>
      <c r="G488" s="91">
        <v>29082</v>
      </c>
      <c r="H488" s="90" t="s">
        <v>187</v>
      </c>
      <c r="I488" s="91" t="s">
        <v>21</v>
      </c>
      <c r="J488" s="91">
        <v>43962</v>
      </c>
      <c r="K488" s="121">
        <v>41</v>
      </c>
      <c r="L488" s="91">
        <v>44537</v>
      </c>
      <c r="M488" s="91"/>
      <c r="N488" s="125">
        <v>0</v>
      </c>
      <c r="O488" s="92">
        <v>7665.84</v>
      </c>
      <c r="Q488" s="14"/>
    </row>
    <row r="489" ht="15" customHeight="1">
      <c r="B489" s="13"/>
      <c r="C489" s="22" t="s">
        <v>135</v>
      </c>
      <c r="D489" s="90" t="s">
        <v>1131</v>
      </c>
      <c r="E489" s="122" t="s">
        <v>1132</v>
      </c>
      <c r="F489" s="91" t="s">
        <v>8</v>
      </c>
      <c r="G489" s="91">
        <v>29705</v>
      </c>
      <c r="H489" s="90" t="s">
        <v>197</v>
      </c>
      <c r="I489" s="91" t="s">
        <v>21</v>
      </c>
      <c r="J489" s="91">
        <v>44091</v>
      </c>
      <c r="K489" s="121">
        <v>39</v>
      </c>
      <c r="L489" s="91">
        <v>44342</v>
      </c>
      <c r="M489" s="91">
        <v>44342</v>
      </c>
      <c r="N489" s="125">
        <v>251</v>
      </c>
      <c r="O489" s="92">
        <v>4138.58</v>
      </c>
      <c r="Q489" s="14"/>
    </row>
    <row r="490" ht="15" customHeight="1">
      <c r="B490" s="13"/>
      <c r="C490" s="22" t="s">
        <v>184</v>
      </c>
      <c r="D490" s="90" t="s">
        <v>1133</v>
      </c>
      <c r="E490" s="122" t="s">
        <v>1134</v>
      </c>
      <c r="F490" s="91" t="s">
        <v>8</v>
      </c>
      <c r="G490" s="91">
        <v>22767</v>
      </c>
      <c r="H490" s="90" t="s">
        <v>187</v>
      </c>
      <c r="I490" s="91" t="s">
        <v>21</v>
      </c>
      <c r="J490" s="91">
        <v>44502</v>
      </c>
      <c r="K490" s="121">
        <v>59</v>
      </c>
      <c r="L490" s="91">
        <v>44532</v>
      </c>
      <c r="M490" s="91"/>
      <c r="N490" s="125">
        <v>0</v>
      </c>
      <c r="O490" s="92">
        <v>11.44</v>
      </c>
      <c r="Q490" s="14"/>
    </row>
    <row r="491" ht="15" customHeight="1">
      <c r="B491" s="13"/>
      <c r="C491" s="22" t="s">
        <v>184</v>
      </c>
      <c r="D491" s="90" t="s">
        <v>1135</v>
      </c>
      <c r="E491" s="122" t="s">
        <v>1136</v>
      </c>
      <c r="F491" s="91" t="s">
        <v>8</v>
      </c>
      <c r="G491" s="91">
        <v>28695</v>
      </c>
      <c r="H491" s="90" t="s">
        <v>187</v>
      </c>
      <c r="I491" s="91" t="s">
        <v>21</v>
      </c>
      <c r="J491" s="91">
        <v>44207</v>
      </c>
      <c r="K491" s="121">
        <v>43</v>
      </c>
      <c r="L491" s="91">
        <v>44537</v>
      </c>
      <c r="M491" s="91"/>
      <c r="N491" s="125">
        <v>0</v>
      </c>
      <c r="O491" s="92">
        <v>6230.7</v>
      </c>
      <c r="Q491" s="14"/>
    </row>
    <row r="492" ht="15" customHeight="1">
      <c r="B492" s="13"/>
      <c r="C492" s="22" t="s">
        <v>184</v>
      </c>
      <c r="D492" s="90" t="s">
        <v>1137</v>
      </c>
      <c r="E492" s="122" t="s">
        <v>1138</v>
      </c>
      <c r="F492" s="91" t="s">
        <v>8</v>
      </c>
      <c r="G492" s="91">
        <v>28395</v>
      </c>
      <c r="H492" s="90" t="s">
        <v>187</v>
      </c>
      <c r="I492" s="91" t="s">
        <v>21</v>
      </c>
      <c r="J492" s="91">
        <v>43906</v>
      </c>
      <c r="K492" s="121">
        <v>43</v>
      </c>
      <c r="L492" s="91">
        <v>43951</v>
      </c>
      <c r="M492" s="91">
        <v>43951</v>
      </c>
      <c r="N492" s="125">
        <v>45</v>
      </c>
      <c r="O492" s="92">
        <v>479.36</v>
      </c>
      <c r="Q492" s="14"/>
    </row>
    <row r="493" ht="15" customHeight="1">
      <c r="B493" s="13"/>
      <c r="C493" s="22" t="s">
        <v>184</v>
      </c>
      <c r="D493" s="90" t="s">
        <v>1139</v>
      </c>
      <c r="E493" s="122" t="s">
        <v>1140</v>
      </c>
      <c r="F493" s="91" t="s">
        <v>8</v>
      </c>
      <c r="G493" s="91">
        <v>22306</v>
      </c>
      <c r="H493" s="90" t="s">
        <v>187</v>
      </c>
      <c r="I493" s="91" t="s">
        <v>21</v>
      </c>
      <c r="J493" s="91">
        <v>44090</v>
      </c>
      <c r="K493" s="121">
        <v>59</v>
      </c>
      <c r="L493" s="91">
        <v>44538</v>
      </c>
      <c r="M493" s="91"/>
      <c r="N493" s="125">
        <v>0</v>
      </c>
      <c r="O493" s="92">
        <v>7583.4400000000023</v>
      </c>
      <c r="Q493" s="14"/>
    </row>
    <row r="494" ht="15" customHeight="1">
      <c r="B494" s="13"/>
      <c r="C494" s="22" t="s">
        <v>184</v>
      </c>
      <c r="D494" s="90" t="s">
        <v>1141</v>
      </c>
      <c r="E494" s="122" t="s">
        <v>1142</v>
      </c>
      <c r="F494" s="91" t="s">
        <v>8</v>
      </c>
      <c r="G494" s="91">
        <v>27050</v>
      </c>
      <c r="H494" s="90" t="s">
        <v>187</v>
      </c>
      <c r="I494" s="91" t="s">
        <v>21</v>
      </c>
      <c r="J494" s="91">
        <v>44315</v>
      </c>
      <c r="K494" s="121">
        <v>47</v>
      </c>
      <c r="L494" s="91">
        <v>44488</v>
      </c>
      <c r="M494" s="91">
        <v>44488</v>
      </c>
      <c r="N494" s="125">
        <v>173</v>
      </c>
      <c r="O494" s="92">
        <v>961.0200000000001</v>
      </c>
      <c r="Q494" s="14"/>
    </row>
    <row r="495" ht="15" customHeight="1">
      <c r="B495" s="13"/>
      <c r="C495" s="22" t="s">
        <v>184</v>
      </c>
      <c r="D495" s="90" t="s">
        <v>1143</v>
      </c>
      <c r="E495" s="122" t="s">
        <v>1144</v>
      </c>
      <c r="F495" s="91" t="s">
        <v>8</v>
      </c>
      <c r="G495" s="91">
        <v>29310</v>
      </c>
      <c r="H495" s="90" t="s">
        <v>187</v>
      </c>
      <c r="I495" s="91" t="s">
        <v>21</v>
      </c>
      <c r="J495" s="91">
        <v>44067</v>
      </c>
      <c r="K495" s="121">
        <v>40</v>
      </c>
      <c r="L495" s="91">
        <v>44134</v>
      </c>
      <c r="M495" s="91">
        <v>44134</v>
      </c>
      <c r="N495" s="125">
        <v>67</v>
      </c>
      <c r="O495" s="92">
        <v>1092.88</v>
      </c>
      <c r="Q495" s="14"/>
    </row>
    <row r="496" ht="15" customHeight="1">
      <c r="B496" s="13"/>
      <c r="C496" s="22" t="s">
        <v>184</v>
      </c>
      <c r="D496" s="90" t="s">
        <v>1145</v>
      </c>
      <c r="E496" s="122" t="s">
        <v>1146</v>
      </c>
      <c r="F496" s="91" t="s">
        <v>8</v>
      </c>
      <c r="G496" s="91">
        <v>24984</v>
      </c>
      <c r="H496" s="90" t="s">
        <v>197</v>
      </c>
      <c r="I496" s="91" t="s">
        <v>21</v>
      </c>
      <c r="J496" s="91">
        <v>44280</v>
      </c>
      <c r="K496" s="121">
        <v>53</v>
      </c>
      <c r="L496" s="91">
        <v>44533</v>
      </c>
      <c r="M496" s="91"/>
      <c r="N496" s="125">
        <v>0</v>
      </c>
      <c r="O496" s="92">
        <v>8695.6799999999985</v>
      </c>
      <c r="Q496" s="14"/>
    </row>
    <row r="497" ht="15" customHeight="1">
      <c r="B497" s="13"/>
      <c r="C497" s="22" t="s">
        <v>184</v>
      </c>
      <c r="D497" s="90" t="s">
        <v>1147</v>
      </c>
      <c r="E497" s="122" t="s">
        <v>1148</v>
      </c>
      <c r="F497" s="91" t="s">
        <v>8</v>
      </c>
      <c r="G497" s="91">
        <v>28008</v>
      </c>
      <c r="H497" s="90" t="s">
        <v>197</v>
      </c>
      <c r="I497" s="91" t="s">
        <v>21</v>
      </c>
      <c r="J497" s="91">
        <v>44316</v>
      </c>
      <c r="K497" s="121">
        <v>45</v>
      </c>
      <c r="L497" s="91">
        <v>44387</v>
      </c>
      <c r="M497" s="91">
        <v>44387</v>
      </c>
      <c r="N497" s="125">
        <v>71</v>
      </c>
      <c r="O497" s="92">
        <v>1586.76</v>
      </c>
      <c r="Q497" s="14"/>
    </row>
    <row r="498" ht="15" customHeight="1">
      <c r="B498" s="13"/>
      <c r="C498" s="22" t="s">
        <v>184</v>
      </c>
      <c r="D498" s="90" t="s">
        <v>1149</v>
      </c>
      <c r="E498" s="122" t="s">
        <v>1150</v>
      </c>
      <c r="F498" s="91" t="s">
        <v>8</v>
      </c>
      <c r="G498" s="91">
        <v>28839</v>
      </c>
      <c r="H498" s="90" t="s">
        <v>187</v>
      </c>
      <c r="I498" s="91" t="s">
        <v>21</v>
      </c>
      <c r="J498" s="91">
        <v>43907</v>
      </c>
      <c r="K498" s="121">
        <v>42</v>
      </c>
      <c r="L498" s="91">
        <v>43939</v>
      </c>
      <c r="M498" s="91">
        <v>43939</v>
      </c>
      <c r="N498" s="125">
        <v>32</v>
      </c>
      <c r="O498" s="92">
        <v>87.27</v>
      </c>
      <c r="Q498" s="14"/>
    </row>
    <row r="499" ht="15" customHeight="1">
      <c r="B499" s="13"/>
      <c r="C499" s="22" t="s">
        <v>184</v>
      </c>
      <c r="D499" s="90" t="s">
        <v>1151</v>
      </c>
      <c r="E499" s="122" t="s">
        <v>1152</v>
      </c>
      <c r="F499" s="91" t="s">
        <v>8</v>
      </c>
      <c r="G499" s="91">
        <v>30424</v>
      </c>
      <c r="H499" s="90" t="s">
        <v>197</v>
      </c>
      <c r="I499" s="91" t="s">
        <v>21</v>
      </c>
      <c r="J499" s="91">
        <v>44312</v>
      </c>
      <c r="K499" s="121">
        <v>38</v>
      </c>
      <c r="L499" s="91">
        <v>44344</v>
      </c>
      <c r="M499" s="91">
        <v>44344</v>
      </c>
      <c r="N499" s="125">
        <v>32</v>
      </c>
      <c r="O499" s="92">
        <v>118.08</v>
      </c>
      <c r="Q499" s="14"/>
    </row>
    <row r="500" ht="15" customHeight="1">
      <c r="B500" s="13"/>
      <c r="C500" s="22" t="s">
        <v>184</v>
      </c>
      <c r="D500" s="90" t="s">
        <v>1153</v>
      </c>
      <c r="E500" s="122" t="s">
        <v>1154</v>
      </c>
      <c r="F500" s="91" t="s">
        <v>8</v>
      </c>
      <c r="G500" s="91">
        <v>28307</v>
      </c>
      <c r="H500" s="90" t="s">
        <v>187</v>
      </c>
      <c r="I500" s="91" t="s">
        <v>21</v>
      </c>
      <c r="J500" s="91">
        <v>44075</v>
      </c>
      <c r="K500" s="121">
        <v>43</v>
      </c>
      <c r="L500" s="91">
        <v>44217</v>
      </c>
      <c r="M500" s="91">
        <v>44227</v>
      </c>
      <c r="N500" s="125">
        <v>152</v>
      </c>
      <c r="O500" s="92">
        <v>4607.01</v>
      </c>
      <c r="Q500" s="14"/>
    </row>
    <row r="501" ht="15" customHeight="1">
      <c r="B501" s="13"/>
      <c r="C501" s="22" t="s">
        <v>184</v>
      </c>
      <c r="D501" s="90" t="s">
        <v>1155</v>
      </c>
      <c r="E501" s="122" t="s">
        <v>1156</v>
      </c>
      <c r="F501" s="91" t="s">
        <v>8</v>
      </c>
      <c r="G501" s="91">
        <v>22716</v>
      </c>
      <c r="H501" s="90" t="s">
        <v>187</v>
      </c>
      <c r="I501" s="91" t="s">
        <v>21</v>
      </c>
      <c r="J501" s="91">
        <v>44089</v>
      </c>
      <c r="K501" s="121">
        <v>58</v>
      </c>
      <c r="L501" s="91">
        <v>44163</v>
      </c>
      <c r="M501" s="91">
        <v>44163</v>
      </c>
      <c r="N501" s="125">
        <v>74</v>
      </c>
      <c r="O501" s="92">
        <v>7.65</v>
      </c>
      <c r="Q501" s="14"/>
    </row>
    <row r="502" ht="15" customHeight="1">
      <c r="B502" s="13"/>
      <c r="C502" s="22" t="s">
        <v>184</v>
      </c>
      <c r="D502" s="90" t="s">
        <v>1157</v>
      </c>
      <c r="E502" s="122" t="s">
        <v>1158</v>
      </c>
      <c r="F502" s="91" t="s">
        <v>8</v>
      </c>
      <c r="G502" s="91">
        <v>24146</v>
      </c>
      <c r="H502" s="90" t="s">
        <v>187</v>
      </c>
      <c r="I502" s="91" t="s">
        <v>21</v>
      </c>
      <c r="J502" s="91">
        <v>43986</v>
      </c>
      <c r="K502" s="121">
        <v>54</v>
      </c>
      <c r="L502" s="91">
        <v>44472</v>
      </c>
      <c r="M502" s="91">
        <v>44472</v>
      </c>
      <c r="N502" s="125">
        <v>486</v>
      </c>
      <c r="O502" s="92">
        <v>1363</v>
      </c>
      <c r="Q502" s="14"/>
    </row>
    <row r="503" ht="15" customHeight="1">
      <c r="B503" s="13"/>
      <c r="C503" s="22" t="s">
        <v>184</v>
      </c>
      <c r="D503" s="90" t="s">
        <v>1159</v>
      </c>
      <c r="E503" s="122" t="s">
        <v>1160</v>
      </c>
      <c r="F503" s="91" t="s">
        <v>8</v>
      </c>
      <c r="G503" s="91">
        <v>20766</v>
      </c>
      <c r="H503" s="90" t="s">
        <v>187</v>
      </c>
      <c r="I503" s="91" t="s">
        <v>21</v>
      </c>
      <c r="J503" s="91">
        <v>44348</v>
      </c>
      <c r="K503" s="121">
        <v>65</v>
      </c>
      <c r="L503" s="91">
        <v>44469</v>
      </c>
      <c r="M503" s="91">
        <v>44469</v>
      </c>
      <c r="N503" s="125">
        <v>121</v>
      </c>
      <c r="O503" s="92">
        <v>101.2</v>
      </c>
      <c r="Q503" s="14"/>
    </row>
    <row r="504" ht="15" customHeight="1">
      <c r="B504" s="13"/>
      <c r="C504" s="22" t="s">
        <v>135</v>
      </c>
      <c r="D504" s="90" t="s">
        <v>1161</v>
      </c>
      <c r="E504" s="122" t="s">
        <v>1162</v>
      </c>
      <c r="F504" s="91" t="s">
        <v>8</v>
      </c>
      <c r="G504" s="91">
        <v>21794</v>
      </c>
      <c r="H504" s="90" t="s">
        <v>197</v>
      </c>
      <c r="I504" s="91" t="s">
        <v>21</v>
      </c>
      <c r="J504" s="91">
        <v>44217</v>
      </c>
      <c r="K504" s="121">
        <v>62</v>
      </c>
      <c r="L504" s="91">
        <v>44373</v>
      </c>
      <c r="M504" s="91">
        <v>44373</v>
      </c>
      <c r="N504" s="125">
        <v>156</v>
      </c>
      <c r="O504" s="92">
        <v>2758.44</v>
      </c>
      <c r="Q504" s="14"/>
    </row>
    <row r="505" ht="15" customHeight="1">
      <c r="B505" s="13"/>
      <c r="C505" s="22" t="s">
        <v>245</v>
      </c>
      <c r="D505" s="90" t="s">
        <v>1163</v>
      </c>
      <c r="E505" s="122" t="s">
        <v>1164</v>
      </c>
      <c r="F505" s="91" t="s">
        <v>8</v>
      </c>
      <c r="G505" s="91">
        <v>24701</v>
      </c>
      <c r="H505" s="90" t="s">
        <v>197</v>
      </c>
      <c r="I505" s="91" t="s">
        <v>21</v>
      </c>
      <c r="J505" s="91">
        <v>44346</v>
      </c>
      <c r="K505" s="121">
        <v>54</v>
      </c>
      <c r="L505" s="91">
        <v>44462</v>
      </c>
      <c r="M505" s="91">
        <v>44462</v>
      </c>
      <c r="N505" s="125">
        <v>116</v>
      </c>
      <c r="O505" s="92">
        <v>5161.83</v>
      </c>
      <c r="Q505" s="14"/>
    </row>
    <row r="506" ht="15" customHeight="1">
      <c r="B506" s="13"/>
      <c r="C506" s="22" t="s">
        <v>184</v>
      </c>
      <c r="D506" s="90" t="s">
        <v>1165</v>
      </c>
      <c r="E506" s="122" t="s">
        <v>1166</v>
      </c>
      <c r="F506" s="91" t="s">
        <v>8</v>
      </c>
      <c r="G506" s="91">
        <v>30326</v>
      </c>
      <c r="H506" s="90" t="s">
        <v>197</v>
      </c>
      <c r="I506" s="91" t="s">
        <v>21</v>
      </c>
      <c r="J506" s="91">
        <v>44341</v>
      </c>
      <c r="K506" s="121">
        <v>38</v>
      </c>
      <c r="L506" s="91">
        <v>44377</v>
      </c>
      <c r="M506" s="91">
        <v>44377</v>
      </c>
      <c r="N506" s="125">
        <v>36</v>
      </c>
      <c r="O506" s="92">
        <v>311.85</v>
      </c>
      <c r="Q506" s="14"/>
    </row>
    <row r="507" ht="15" customHeight="1">
      <c r="B507" s="13"/>
      <c r="C507" s="22" t="s">
        <v>184</v>
      </c>
      <c r="D507" s="90" t="s">
        <v>1167</v>
      </c>
      <c r="E507" s="122" t="s">
        <v>1168</v>
      </c>
      <c r="F507" s="91" t="s">
        <v>8</v>
      </c>
      <c r="G507" s="91">
        <v>29500</v>
      </c>
      <c r="H507" s="90" t="s">
        <v>187</v>
      </c>
      <c r="I507" s="91" t="s">
        <v>21</v>
      </c>
      <c r="J507" s="91">
        <v>44264</v>
      </c>
      <c r="K507" s="121">
        <v>41</v>
      </c>
      <c r="L507" s="91">
        <v>44328</v>
      </c>
      <c r="M507" s="91">
        <v>44328</v>
      </c>
      <c r="N507" s="125">
        <v>64</v>
      </c>
      <c r="O507" s="92">
        <v>1115.1</v>
      </c>
      <c r="Q507" s="14"/>
    </row>
    <row r="508" ht="15" customHeight="1">
      <c r="B508" s="13"/>
      <c r="C508" s="22" t="s">
        <v>184</v>
      </c>
      <c r="D508" s="90" t="s">
        <v>1169</v>
      </c>
      <c r="E508" s="122" t="s">
        <v>1170</v>
      </c>
      <c r="F508" s="91" t="s">
        <v>8</v>
      </c>
      <c r="G508" s="91">
        <v>22671</v>
      </c>
      <c r="H508" s="90" t="s">
        <v>187</v>
      </c>
      <c r="I508" s="91" t="s">
        <v>21</v>
      </c>
      <c r="J508" s="91">
        <v>44104</v>
      </c>
      <c r="K508" s="121">
        <v>58</v>
      </c>
      <c r="L508" s="91">
        <v>44193</v>
      </c>
      <c r="M508" s="91">
        <v>44193</v>
      </c>
      <c r="N508" s="125">
        <v>89</v>
      </c>
      <c r="O508" s="92">
        <v>70.8</v>
      </c>
      <c r="Q508" s="14"/>
    </row>
    <row r="509" ht="15" customHeight="1">
      <c r="B509" s="13"/>
      <c r="C509" s="22" t="s">
        <v>135</v>
      </c>
      <c r="D509" s="90" t="s">
        <v>1171</v>
      </c>
      <c r="E509" s="122" t="s">
        <v>1172</v>
      </c>
      <c r="F509" s="91" t="s">
        <v>8</v>
      </c>
      <c r="G509" s="91">
        <v>26975</v>
      </c>
      <c r="H509" s="90" t="s">
        <v>187</v>
      </c>
      <c r="I509" s="91" t="s">
        <v>21</v>
      </c>
      <c r="J509" s="91">
        <v>43906</v>
      </c>
      <c r="K509" s="121">
        <v>47</v>
      </c>
      <c r="L509" s="91">
        <v>43951</v>
      </c>
      <c r="M509" s="91">
        <v>43951</v>
      </c>
      <c r="N509" s="125">
        <v>45</v>
      </c>
      <c r="O509" s="92">
        <v>1046.88</v>
      </c>
      <c r="Q509" s="14"/>
    </row>
    <row r="510" ht="15" customHeight="1">
      <c r="B510" s="13"/>
      <c r="C510" s="22" t="s">
        <v>184</v>
      </c>
      <c r="D510" s="90" t="s">
        <v>1173</v>
      </c>
      <c r="E510" s="122" t="s">
        <v>1174</v>
      </c>
      <c r="F510" s="91" t="s">
        <v>8</v>
      </c>
      <c r="G510" s="91">
        <v>23071</v>
      </c>
      <c r="H510" s="90" t="s">
        <v>187</v>
      </c>
      <c r="I510" s="91" t="s">
        <v>21</v>
      </c>
      <c r="J510" s="91">
        <v>44231</v>
      </c>
      <c r="K510" s="121">
        <v>58</v>
      </c>
      <c r="L510" s="91">
        <v>44336</v>
      </c>
      <c r="M510" s="91">
        <v>44336</v>
      </c>
      <c r="N510" s="125">
        <v>105</v>
      </c>
      <c r="O510" s="92">
        <v>842.84</v>
      </c>
      <c r="Q510" s="14"/>
    </row>
    <row r="511" ht="15" customHeight="1">
      <c r="B511" s="13"/>
      <c r="C511" s="22" t="s">
        <v>184</v>
      </c>
      <c r="D511" s="90" t="s">
        <v>1175</v>
      </c>
      <c r="E511" s="122" t="s">
        <v>1176</v>
      </c>
      <c r="F511" s="91" t="s">
        <v>8</v>
      </c>
      <c r="G511" s="91">
        <v>26547</v>
      </c>
      <c r="H511" s="90" t="s">
        <v>187</v>
      </c>
      <c r="I511" s="91" t="s">
        <v>21</v>
      </c>
      <c r="J511" s="91">
        <v>43922</v>
      </c>
      <c r="K511" s="121">
        <v>48</v>
      </c>
      <c r="L511" s="91">
        <v>44113</v>
      </c>
      <c r="M511" s="91">
        <v>44114</v>
      </c>
      <c r="N511" s="125">
        <v>192</v>
      </c>
      <c r="O511" s="92">
        <v>2816.5</v>
      </c>
      <c r="Q511" s="14"/>
    </row>
    <row r="512" ht="15" customHeight="1">
      <c r="B512" s="13"/>
      <c r="C512" s="22" t="s">
        <v>184</v>
      </c>
      <c r="D512" s="90" t="s">
        <v>1177</v>
      </c>
      <c r="E512" s="122" t="s">
        <v>1178</v>
      </c>
      <c r="F512" s="91" t="s">
        <v>8</v>
      </c>
      <c r="G512" s="91">
        <v>29050</v>
      </c>
      <c r="H512" s="90" t="s">
        <v>197</v>
      </c>
      <c r="I512" s="91" t="s">
        <v>21</v>
      </c>
      <c r="J512" s="91">
        <v>44431</v>
      </c>
      <c r="K512" s="121">
        <v>42</v>
      </c>
      <c r="L512" s="91">
        <v>44517</v>
      </c>
      <c r="M512" s="91"/>
      <c r="N512" s="125">
        <v>0</v>
      </c>
      <c r="O512" s="92">
        <v>4734.42</v>
      </c>
      <c r="Q512" s="14"/>
    </row>
    <row r="513" ht="15" customHeight="1">
      <c r="B513" s="13"/>
      <c r="C513" s="22" t="s">
        <v>184</v>
      </c>
      <c r="D513" s="90" t="s">
        <v>1179</v>
      </c>
      <c r="E513" s="122" t="s">
        <v>1180</v>
      </c>
      <c r="F513" s="91" t="s">
        <v>8</v>
      </c>
      <c r="G513" s="91">
        <v>22354</v>
      </c>
      <c r="H513" s="90" t="s">
        <v>187</v>
      </c>
      <c r="I513" s="91" t="s">
        <v>21</v>
      </c>
      <c r="J513" s="91">
        <v>43845</v>
      </c>
      <c r="K513" s="121">
        <v>59</v>
      </c>
      <c r="L513" s="91">
        <v>44462</v>
      </c>
      <c r="M513" s="91">
        <v>44462</v>
      </c>
      <c r="N513" s="125">
        <v>617</v>
      </c>
      <c r="O513" s="92">
        <v>500.97999999999996</v>
      </c>
      <c r="Q513" s="14"/>
    </row>
    <row r="514" ht="15" customHeight="1">
      <c r="B514" s="13"/>
      <c r="C514" s="22" t="s">
        <v>184</v>
      </c>
      <c r="D514" s="90" t="s">
        <v>1181</v>
      </c>
      <c r="E514" s="122" t="s">
        <v>1182</v>
      </c>
      <c r="F514" s="91" t="s">
        <v>8</v>
      </c>
      <c r="G514" s="91">
        <v>25769</v>
      </c>
      <c r="H514" s="90" t="s">
        <v>197</v>
      </c>
      <c r="I514" s="91" t="s">
        <v>21</v>
      </c>
      <c r="J514" s="91">
        <v>44369</v>
      </c>
      <c r="K514" s="121">
        <v>51</v>
      </c>
      <c r="L514" s="91">
        <v>44463</v>
      </c>
      <c r="M514" s="91">
        <v>44463</v>
      </c>
      <c r="N514" s="125">
        <v>94</v>
      </c>
      <c r="O514" s="92">
        <v>1927.9</v>
      </c>
      <c r="Q514" s="14"/>
    </row>
    <row r="515" ht="15" customHeight="1">
      <c r="B515" s="13"/>
      <c r="C515" s="22" t="s">
        <v>400</v>
      </c>
      <c r="D515" s="90" t="s">
        <v>1183</v>
      </c>
      <c r="E515" s="122" t="s">
        <v>1184</v>
      </c>
      <c r="F515" s="91" t="s">
        <v>8</v>
      </c>
      <c r="G515" s="91">
        <v>26446</v>
      </c>
      <c r="H515" s="90" t="s">
        <v>197</v>
      </c>
      <c r="I515" s="91" t="s">
        <v>21</v>
      </c>
      <c r="J515" s="91">
        <v>44170</v>
      </c>
      <c r="K515" s="121">
        <v>48</v>
      </c>
      <c r="L515" s="91">
        <v>44540</v>
      </c>
      <c r="M515" s="91"/>
      <c r="N515" s="125">
        <v>0</v>
      </c>
      <c r="O515" s="92">
        <v>18888.22</v>
      </c>
      <c r="Q515" s="14"/>
    </row>
    <row r="516" ht="15" customHeight="1">
      <c r="B516" s="13"/>
      <c r="C516" s="22" t="s">
        <v>184</v>
      </c>
      <c r="D516" s="90" t="s">
        <v>1185</v>
      </c>
      <c r="E516" s="122" t="s">
        <v>1186</v>
      </c>
      <c r="F516" s="91" t="s">
        <v>8</v>
      </c>
      <c r="G516" s="91">
        <v>31192</v>
      </c>
      <c r="H516" s="90" t="s">
        <v>197</v>
      </c>
      <c r="I516" s="91" t="s">
        <v>21</v>
      </c>
      <c r="J516" s="91">
        <v>43858</v>
      </c>
      <c r="K516" s="121">
        <v>35</v>
      </c>
      <c r="L516" s="91">
        <v>44526</v>
      </c>
      <c r="M516" s="91"/>
      <c r="N516" s="125">
        <v>0</v>
      </c>
      <c r="O516" s="92">
        <v>7648.55</v>
      </c>
      <c r="Q516" s="14"/>
    </row>
    <row r="517" ht="15" customHeight="1">
      <c r="B517" s="13"/>
      <c r="C517" s="22" t="s">
        <v>184</v>
      </c>
      <c r="D517" s="90" t="s">
        <v>1187</v>
      </c>
      <c r="E517" s="122" t="s">
        <v>1188</v>
      </c>
      <c r="F517" s="91" t="s">
        <v>8</v>
      </c>
      <c r="G517" s="91">
        <v>30501</v>
      </c>
      <c r="H517" s="90" t="s">
        <v>187</v>
      </c>
      <c r="I517" s="91" t="s">
        <v>21</v>
      </c>
      <c r="J517" s="91">
        <v>44376</v>
      </c>
      <c r="K517" s="121">
        <v>38</v>
      </c>
      <c r="L517" s="91">
        <v>44505</v>
      </c>
      <c r="M517" s="91">
        <v>44505</v>
      </c>
      <c r="N517" s="125">
        <v>129</v>
      </c>
      <c r="O517" s="92">
        <v>2860.6600000000003</v>
      </c>
      <c r="Q517" s="14"/>
    </row>
    <row r="518" ht="15" customHeight="1">
      <c r="B518" s="13"/>
      <c r="C518" s="22" t="s">
        <v>184</v>
      </c>
      <c r="D518" s="90" t="s">
        <v>1189</v>
      </c>
      <c r="E518" s="122" t="s">
        <v>1190</v>
      </c>
      <c r="F518" s="91" t="s">
        <v>10</v>
      </c>
      <c r="G518" s="91">
        <v>29675</v>
      </c>
      <c r="H518" s="90" t="s">
        <v>197</v>
      </c>
      <c r="I518" s="91" t="s">
        <v>21</v>
      </c>
      <c r="J518" s="91">
        <v>44314</v>
      </c>
      <c r="K518" s="121">
        <v>40</v>
      </c>
      <c r="L518" s="91">
        <v>44451</v>
      </c>
      <c r="M518" s="91">
        <v>44451</v>
      </c>
      <c r="N518" s="125">
        <v>137</v>
      </c>
      <c r="O518" s="92">
        <v>11140.2</v>
      </c>
      <c r="Q518" s="14"/>
    </row>
    <row r="519" ht="15" customHeight="1">
      <c r="B519" s="13"/>
      <c r="C519" s="22" t="s">
        <v>184</v>
      </c>
      <c r="D519" s="90" t="s">
        <v>1191</v>
      </c>
      <c r="E519" s="122" t="s">
        <v>1192</v>
      </c>
      <c r="F519" s="91" t="s">
        <v>8</v>
      </c>
      <c r="G519" s="91">
        <v>26128</v>
      </c>
      <c r="H519" s="90" t="s">
        <v>187</v>
      </c>
      <c r="I519" s="91" t="s">
        <v>21</v>
      </c>
      <c r="J519" s="91">
        <v>43907</v>
      </c>
      <c r="K519" s="121">
        <v>49</v>
      </c>
      <c r="L519" s="91">
        <v>44190</v>
      </c>
      <c r="M519" s="91">
        <v>44190</v>
      </c>
      <c r="N519" s="125">
        <v>283</v>
      </c>
      <c r="O519" s="92">
        <v>967.45</v>
      </c>
      <c r="Q519" s="14"/>
    </row>
    <row r="520" ht="15" customHeight="1">
      <c r="B520" s="13"/>
      <c r="C520" s="22" t="s">
        <v>184</v>
      </c>
      <c r="D520" s="90" t="s">
        <v>1193</v>
      </c>
      <c r="E520" s="122" t="s">
        <v>1194</v>
      </c>
      <c r="F520" s="91" t="s">
        <v>8</v>
      </c>
      <c r="G520" s="91">
        <v>31703</v>
      </c>
      <c r="H520" s="90" t="s">
        <v>187</v>
      </c>
      <c r="I520" s="91" t="s">
        <v>21</v>
      </c>
      <c r="J520" s="91">
        <v>44322</v>
      </c>
      <c r="K520" s="121">
        <v>35</v>
      </c>
      <c r="L520" s="91">
        <v>44379</v>
      </c>
      <c r="M520" s="91">
        <v>44379</v>
      </c>
      <c r="N520" s="125">
        <v>57</v>
      </c>
      <c r="O520" s="92">
        <v>577.64</v>
      </c>
      <c r="Q520" s="14"/>
    </row>
    <row r="521" ht="15" customHeight="1">
      <c r="B521" s="13"/>
      <c r="C521" s="22" t="s">
        <v>184</v>
      </c>
      <c r="D521" s="90" t="s">
        <v>1195</v>
      </c>
      <c r="E521" s="122" t="s">
        <v>1196</v>
      </c>
      <c r="F521" s="91" t="s">
        <v>8</v>
      </c>
      <c r="G521" s="91">
        <v>30184</v>
      </c>
      <c r="H521" s="90" t="s">
        <v>197</v>
      </c>
      <c r="I521" s="91" t="s">
        <v>21</v>
      </c>
      <c r="J521" s="91">
        <v>44095</v>
      </c>
      <c r="K521" s="121">
        <v>38</v>
      </c>
      <c r="L521" s="91">
        <v>44207</v>
      </c>
      <c r="M521" s="91">
        <v>44207</v>
      </c>
      <c r="N521" s="125">
        <v>112</v>
      </c>
      <c r="O521" s="92">
        <v>3938.9000000000005</v>
      </c>
      <c r="Q521" s="14"/>
    </row>
    <row r="522" ht="15" customHeight="1">
      <c r="B522" s="13"/>
      <c r="C522" s="22" t="s">
        <v>184</v>
      </c>
      <c r="D522" s="90" t="s">
        <v>1197</v>
      </c>
      <c r="E522" s="122" t="s">
        <v>1198</v>
      </c>
      <c r="F522" s="91" t="s">
        <v>8</v>
      </c>
      <c r="G522" s="91">
        <v>29522</v>
      </c>
      <c r="H522" s="90" t="s">
        <v>187</v>
      </c>
      <c r="I522" s="91" t="s">
        <v>21</v>
      </c>
      <c r="J522" s="91">
        <v>44083</v>
      </c>
      <c r="K522" s="121">
        <v>40</v>
      </c>
      <c r="L522" s="91">
        <v>44377</v>
      </c>
      <c r="M522" s="91">
        <v>44377</v>
      </c>
      <c r="N522" s="125">
        <v>294</v>
      </c>
      <c r="O522" s="92">
        <v>4202.24</v>
      </c>
      <c r="Q522" s="14"/>
    </row>
    <row r="523" ht="15" customHeight="1">
      <c r="B523" s="13"/>
      <c r="C523" s="22" t="s">
        <v>184</v>
      </c>
      <c r="D523" s="90" t="s">
        <v>1199</v>
      </c>
      <c r="E523" s="122" t="s">
        <v>1200</v>
      </c>
      <c r="F523" s="91" t="s">
        <v>10</v>
      </c>
      <c r="G523" s="91">
        <v>26299</v>
      </c>
      <c r="H523" s="90" t="s">
        <v>187</v>
      </c>
      <c r="I523" s="91" t="s">
        <v>21</v>
      </c>
      <c r="J523" s="91">
        <v>44162</v>
      </c>
      <c r="K523" s="121">
        <v>48</v>
      </c>
      <c r="L523" s="91">
        <v>44255</v>
      </c>
      <c r="M523" s="91">
        <v>44255</v>
      </c>
      <c r="N523" s="125">
        <v>93</v>
      </c>
      <c r="O523" s="92">
        <v>1342.08</v>
      </c>
      <c r="Q523" s="14"/>
    </row>
    <row r="524" ht="15" customHeight="1">
      <c r="B524" s="13"/>
      <c r="C524" s="22" t="s">
        <v>184</v>
      </c>
      <c r="D524" s="90" t="s">
        <v>1201</v>
      </c>
      <c r="E524" s="122" t="s">
        <v>1202</v>
      </c>
      <c r="F524" s="91" t="s">
        <v>8</v>
      </c>
      <c r="G524" s="91">
        <v>20180</v>
      </c>
      <c r="H524" s="90" t="s">
        <v>187</v>
      </c>
      <c r="I524" s="91" t="s">
        <v>21</v>
      </c>
      <c r="J524" s="91">
        <v>44273</v>
      </c>
      <c r="K524" s="121">
        <v>66</v>
      </c>
      <c r="L524" s="91">
        <v>44474</v>
      </c>
      <c r="M524" s="91">
        <v>44474</v>
      </c>
      <c r="N524" s="125">
        <v>201</v>
      </c>
      <c r="O524" s="92">
        <v>0</v>
      </c>
      <c r="Q524" s="14"/>
    </row>
    <row r="525" ht="15" customHeight="1">
      <c r="B525" s="13"/>
      <c r="C525" s="22" t="s">
        <v>184</v>
      </c>
      <c r="D525" s="90" t="s">
        <v>1203</v>
      </c>
      <c r="E525" s="122" t="s">
        <v>1204</v>
      </c>
      <c r="F525" s="91" t="s">
        <v>8</v>
      </c>
      <c r="G525" s="91">
        <v>23447</v>
      </c>
      <c r="H525" s="90" t="s">
        <v>187</v>
      </c>
      <c r="I525" s="91" t="s">
        <v>21</v>
      </c>
      <c r="J525" s="91">
        <v>43957</v>
      </c>
      <c r="K525" s="121">
        <v>56</v>
      </c>
      <c r="L525" s="91">
        <v>44530</v>
      </c>
      <c r="M525" s="91"/>
      <c r="N525" s="125">
        <v>0</v>
      </c>
      <c r="O525" s="92">
        <v>13566.380000000001</v>
      </c>
      <c r="Q525" s="14"/>
    </row>
    <row r="526" ht="15" customHeight="1">
      <c r="B526" s="13"/>
      <c r="C526" s="22" t="s">
        <v>184</v>
      </c>
      <c r="D526" s="90" t="s">
        <v>1205</v>
      </c>
      <c r="E526" s="122" t="s">
        <v>1206</v>
      </c>
      <c r="F526" s="91" t="s">
        <v>8</v>
      </c>
      <c r="G526" s="91">
        <v>24151</v>
      </c>
      <c r="H526" s="90" t="s">
        <v>187</v>
      </c>
      <c r="I526" s="91" t="s">
        <v>21</v>
      </c>
      <c r="J526" s="91">
        <v>44317</v>
      </c>
      <c r="K526" s="121">
        <v>55</v>
      </c>
      <c r="L526" s="91">
        <v>44469</v>
      </c>
      <c r="M526" s="91">
        <v>44469</v>
      </c>
      <c r="N526" s="125">
        <v>152</v>
      </c>
      <c r="O526" s="92">
        <v>3695.3299999999995</v>
      </c>
      <c r="Q526" s="14"/>
    </row>
    <row r="527" ht="15" customHeight="1">
      <c r="B527" s="13"/>
      <c r="C527" s="22" t="s">
        <v>184</v>
      </c>
      <c r="D527" s="90" t="s">
        <v>1207</v>
      </c>
      <c r="E527" s="122" t="s">
        <v>1208</v>
      </c>
      <c r="F527" s="91" t="s">
        <v>8</v>
      </c>
      <c r="G527" s="91">
        <v>28500</v>
      </c>
      <c r="H527" s="90" t="s">
        <v>187</v>
      </c>
      <c r="I527" s="91" t="s">
        <v>21</v>
      </c>
      <c r="J527" s="91">
        <v>44067</v>
      </c>
      <c r="K527" s="121">
        <v>42</v>
      </c>
      <c r="L527" s="91">
        <v>44497</v>
      </c>
      <c r="M527" s="91">
        <v>44497</v>
      </c>
      <c r="N527" s="125">
        <v>430</v>
      </c>
      <c r="O527" s="92">
        <v>18261.540000000005</v>
      </c>
      <c r="Q527" s="14"/>
    </row>
    <row r="528" ht="15" customHeight="1">
      <c r="B528" s="13"/>
      <c r="C528" s="22" t="s">
        <v>135</v>
      </c>
      <c r="D528" s="90" t="s">
        <v>1209</v>
      </c>
      <c r="E528" s="122" t="s">
        <v>1210</v>
      </c>
      <c r="F528" s="91" t="s">
        <v>8</v>
      </c>
      <c r="G528" s="91">
        <v>29914</v>
      </c>
      <c r="H528" s="90" t="s">
        <v>187</v>
      </c>
      <c r="I528" s="91" t="s">
        <v>21</v>
      </c>
      <c r="J528" s="91">
        <v>44286</v>
      </c>
      <c r="K528" s="121">
        <v>40</v>
      </c>
      <c r="L528" s="91">
        <v>44351</v>
      </c>
      <c r="M528" s="91">
        <v>44351</v>
      </c>
      <c r="N528" s="125">
        <v>65</v>
      </c>
      <c r="O528" s="92">
        <v>888.84</v>
      </c>
      <c r="Q528" s="14"/>
    </row>
    <row r="529" ht="15" customHeight="1">
      <c r="B529" s="13"/>
      <c r="C529" s="22" t="s">
        <v>184</v>
      </c>
      <c r="D529" s="90" t="s">
        <v>1211</v>
      </c>
      <c r="E529" s="122" t="s">
        <v>1212</v>
      </c>
      <c r="F529" s="91" t="s">
        <v>8</v>
      </c>
      <c r="G529" s="91">
        <v>30921</v>
      </c>
      <c r="H529" s="90" t="s">
        <v>187</v>
      </c>
      <c r="I529" s="91" t="s">
        <v>21</v>
      </c>
      <c r="J529" s="91">
        <v>44326</v>
      </c>
      <c r="K529" s="121">
        <v>37</v>
      </c>
      <c r="L529" s="91">
        <v>44442</v>
      </c>
      <c r="M529" s="91">
        <v>44442</v>
      </c>
      <c r="N529" s="125">
        <v>116</v>
      </c>
      <c r="O529" s="92">
        <v>0</v>
      </c>
      <c r="Q529" s="14"/>
    </row>
    <row r="530" ht="15" customHeight="1">
      <c r="B530" s="13"/>
      <c r="C530" s="22" t="s">
        <v>184</v>
      </c>
      <c r="D530" s="90" t="s">
        <v>1213</v>
      </c>
      <c r="E530" s="122" t="s">
        <v>1214</v>
      </c>
      <c r="F530" s="91" t="s">
        <v>8</v>
      </c>
      <c r="G530" s="91">
        <v>31291</v>
      </c>
      <c r="H530" s="90" t="s">
        <v>187</v>
      </c>
      <c r="I530" s="91" t="s">
        <v>21</v>
      </c>
      <c r="J530" s="91">
        <v>43999</v>
      </c>
      <c r="K530" s="121">
        <v>35</v>
      </c>
      <c r="L530" s="91">
        <v>44134</v>
      </c>
      <c r="M530" s="91">
        <v>44134</v>
      </c>
      <c r="N530" s="125">
        <v>135</v>
      </c>
      <c r="O530" s="92">
        <v>589</v>
      </c>
      <c r="Q530" s="14"/>
    </row>
    <row r="531" ht="15" customHeight="1">
      <c r="B531" s="13"/>
      <c r="C531" s="22" t="s">
        <v>184</v>
      </c>
      <c r="D531" s="90" t="s">
        <v>1215</v>
      </c>
      <c r="E531" s="122" t="s">
        <v>1216</v>
      </c>
      <c r="F531" s="91" t="s">
        <v>8</v>
      </c>
      <c r="G531" s="91">
        <v>23999</v>
      </c>
      <c r="H531" s="90" t="s">
        <v>187</v>
      </c>
      <c r="I531" s="91" t="s">
        <v>21</v>
      </c>
      <c r="J531" s="91">
        <v>43973</v>
      </c>
      <c r="K531" s="121">
        <v>55</v>
      </c>
      <c r="L531" s="91">
        <v>44057</v>
      </c>
      <c r="M531" s="91">
        <v>44057</v>
      </c>
      <c r="N531" s="125">
        <v>84</v>
      </c>
      <c r="O531" s="92">
        <v>100.1</v>
      </c>
      <c r="Q531" s="14"/>
    </row>
    <row r="532" ht="15" customHeight="1">
      <c r="B532" s="13"/>
      <c r="C532" s="22" t="s">
        <v>483</v>
      </c>
      <c r="D532" s="90" t="s">
        <v>1217</v>
      </c>
      <c r="E532" s="122" t="s">
        <v>1218</v>
      </c>
      <c r="F532" s="91" t="s">
        <v>8</v>
      </c>
      <c r="G532" s="91">
        <v>28481</v>
      </c>
      <c r="H532" s="90" t="s">
        <v>187</v>
      </c>
      <c r="I532" s="91" t="s">
        <v>21</v>
      </c>
      <c r="J532" s="91">
        <v>44482</v>
      </c>
      <c r="K532" s="121">
        <v>44</v>
      </c>
      <c r="L532" s="91">
        <v>44507</v>
      </c>
      <c r="M532" s="91">
        <v>44507</v>
      </c>
      <c r="N532" s="125">
        <v>25</v>
      </c>
      <c r="O532" s="92">
        <v>244.97</v>
      </c>
      <c r="Q532" s="14"/>
    </row>
    <row r="533" ht="15" customHeight="1">
      <c r="B533" s="13"/>
      <c r="C533" s="22" t="s">
        <v>184</v>
      </c>
      <c r="D533" s="90" t="s">
        <v>1219</v>
      </c>
      <c r="E533" s="122" t="s">
        <v>1220</v>
      </c>
      <c r="F533" s="91" t="s">
        <v>8</v>
      </c>
      <c r="G533" s="91">
        <v>22313</v>
      </c>
      <c r="H533" s="90" t="s">
        <v>187</v>
      </c>
      <c r="I533" s="91" t="s">
        <v>21</v>
      </c>
      <c r="J533" s="91">
        <v>43908</v>
      </c>
      <c r="K533" s="121">
        <v>59</v>
      </c>
      <c r="L533" s="91">
        <v>44487</v>
      </c>
      <c r="M533" s="91"/>
      <c r="N533" s="125">
        <v>0</v>
      </c>
      <c r="O533" s="92">
        <v>7084.1400000000012</v>
      </c>
      <c r="Q533" s="14"/>
    </row>
    <row r="534" ht="15" customHeight="1">
      <c r="B534" s="13"/>
      <c r="C534" s="22" t="s">
        <v>184</v>
      </c>
      <c r="D534" s="90" t="s">
        <v>1221</v>
      </c>
      <c r="E534" s="122" t="s">
        <v>1222</v>
      </c>
      <c r="F534" s="91" t="s">
        <v>8</v>
      </c>
      <c r="G534" s="91">
        <v>30797</v>
      </c>
      <c r="H534" s="90" t="s">
        <v>187</v>
      </c>
      <c r="I534" s="91" t="s">
        <v>21</v>
      </c>
      <c r="J534" s="91">
        <v>44112</v>
      </c>
      <c r="K534" s="121">
        <v>36</v>
      </c>
      <c r="L534" s="91">
        <v>44481</v>
      </c>
      <c r="M534" s="91"/>
      <c r="N534" s="125">
        <v>0</v>
      </c>
      <c r="O534" s="92">
        <v>6976.7999999999993</v>
      </c>
      <c r="Q534" s="14"/>
    </row>
    <row r="535" ht="15" customHeight="1">
      <c r="B535" s="13"/>
      <c r="C535" s="22" t="s">
        <v>184</v>
      </c>
      <c r="D535" s="90" t="s">
        <v>1223</v>
      </c>
      <c r="E535" s="122" t="s">
        <v>1224</v>
      </c>
      <c r="F535" s="91" t="s">
        <v>8</v>
      </c>
      <c r="G535" s="91">
        <v>30483</v>
      </c>
      <c r="H535" s="90" t="s">
        <v>187</v>
      </c>
      <c r="I535" s="91" t="s">
        <v>21</v>
      </c>
      <c r="J535" s="91">
        <v>44369</v>
      </c>
      <c r="K535" s="121">
        <v>38</v>
      </c>
      <c r="L535" s="91">
        <v>44439</v>
      </c>
      <c r="M535" s="91">
        <v>44439</v>
      </c>
      <c r="N535" s="125">
        <v>70</v>
      </c>
      <c r="O535" s="92">
        <v>1234.92</v>
      </c>
      <c r="Q535" s="14"/>
    </row>
    <row r="536" ht="15" customHeight="1">
      <c r="B536" s="13"/>
      <c r="C536" s="22" t="s">
        <v>184</v>
      </c>
      <c r="D536" s="90" t="s">
        <v>1225</v>
      </c>
      <c r="E536" s="122" t="s">
        <v>1226</v>
      </c>
      <c r="F536" s="91" t="s">
        <v>8</v>
      </c>
      <c r="G536" s="91">
        <v>30832</v>
      </c>
      <c r="H536" s="90" t="s">
        <v>187</v>
      </c>
      <c r="I536" s="91" t="s">
        <v>21</v>
      </c>
      <c r="J536" s="91">
        <v>44299</v>
      </c>
      <c r="K536" s="121">
        <v>37</v>
      </c>
      <c r="L536" s="91">
        <v>44339</v>
      </c>
      <c r="M536" s="91">
        <v>44339</v>
      </c>
      <c r="N536" s="125">
        <v>40</v>
      </c>
      <c r="O536" s="92">
        <v>0</v>
      </c>
      <c r="Q536" s="14"/>
    </row>
    <row r="537" ht="15" customHeight="1">
      <c r="B537" s="13"/>
      <c r="C537" s="22" t="s">
        <v>184</v>
      </c>
      <c r="D537" s="90" t="s">
        <v>1227</v>
      </c>
      <c r="E537" s="122" t="s">
        <v>1228</v>
      </c>
      <c r="F537" s="91" t="s">
        <v>8</v>
      </c>
      <c r="G537" s="91">
        <v>29669</v>
      </c>
      <c r="H537" s="90" t="s">
        <v>187</v>
      </c>
      <c r="I537" s="91" t="s">
        <v>21</v>
      </c>
      <c r="J537" s="91">
        <v>44292</v>
      </c>
      <c r="K537" s="121">
        <v>40</v>
      </c>
      <c r="L537" s="91">
        <v>44530</v>
      </c>
      <c r="M537" s="91"/>
      <c r="N537" s="125">
        <v>0</v>
      </c>
      <c r="O537" s="92">
        <v>6485.27</v>
      </c>
      <c r="Q537" s="14"/>
    </row>
    <row r="538" ht="15" customHeight="1">
      <c r="B538" s="13"/>
      <c r="C538" s="22" t="s">
        <v>184</v>
      </c>
      <c r="D538" s="90" t="s">
        <v>1229</v>
      </c>
      <c r="E538" s="122" t="s">
        <v>1230</v>
      </c>
      <c r="F538" s="91" t="s">
        <v>8</v>
      </c>
      <c r="G538" s="91">
        <v>21889</v>
      </c>
      <c r="H538" s="90" t="s">
        <v>187</v>
      </c>
      <c r="I538" s="91" t="s">
        <v>21</v>
      </c>
      <c r="J538" s="91">
        <v>44372</v>
      </c>
      <c r="K538" s="121">
        <v>62</v>
      </c>
      <c r="L538" s="91">
        <v>44409</v>
      </c>
      <c r="M538" s="91">
        <v>44409</v>
      </c>
      <c r="N538" s="125">
        <v>37</v>
      </c>
      <c r="O538" s="92">
        <v>51.12</v>
      </c>
      <c r="Q538" s="14"/>
    </row>
    <row r="539" ht="15" customHeight="1">
      <c r="B539" s="13"/>
      <c r="C539" s="22" t="s">
        <v>184</v>
      </c>
      <c r="D539" s="90" t="s">
        <v>1231</v>
      </c>
      <c r="E539" s="122" t="s">
        <v>1230</v>
      </c>
      <c r="F539" s="91" t="s">
        <v>8</v>
      </c>
      <c r="G539" s="91">
        <v>21889</v>
      </c>
      <c r="H539" s="90" t="s">
        <v>187</v>
      </c>
      <c r="I539" s="91" t="s">
        <v>21</v>
      </c>
      <c r="J539" s="91">
        <v>44372</v>
      </c>
      <c r="K539" s="121">
        <v>62</v>
      </c>
      <c r="L539" s="91">
        <v>44409</v>
      </c>
      <c r="M539" s="91">
        <v>44409</v>
      </c>
      <c r="N539" s="125">
        <v>37</v>
      </c>
      <c r="O539" s="92">
        <v>53.84</v>
      </c>
      <c r="Q539" s="14"/>
    </row>
    <row r="540" ht="15" customHeight="1">
      <c r="B540" s="13"/>
      <c r="C540" s="22" t="s">
        <v>184</v>
      </c>
      <c r="D540" s="90" t="s">
        <v>1232</v>
      </c>
      <c r="E540" s="122" t="s">
        <v>1233</v>
      </c>
      <c r="F540" s="91" t="s">
        <v>8</v>
      </c>
      <c r="G540" s="91">
        <v>24807</v>
      </c>
      <c r="H540" s="90" t="s">
        <v>187</v>
      </c>
      <c r="I540" s="91" t="s">
        <v>21</v>
      </c>
      <c r="J540" s="91">
        <v>44116</v>
      </c>
      <c r="K540" s="121">
        <v>53</v>
      </c>
      <c r="L540" s="91">
        <v>44261</v>
      </c>
      <c r="M540" s="91">
        <v>44261</v>
      </c>
      <c r="N540" s="125">
        <v>145</v>
      </c>
      <c r="O540" s="92">
        <v>301.6</v>
      </c>
      <c r="Q540" s="14"/>
    </row>
    <row r="541" ht="15" customHeight="1">
      <c r="B541" s="13"/>
      <c r="C541" s="22" t="s">
        <v>184</v>
      </c>
      <c r="D541" s="90" t="s">
        <v>1234</v>
      </c>
      <c r="E541" s="122" t="s">
        <v>1235</v>
      </c>
      <c r="F541" s="91" t="s">
        <v>8</v>
      </c>
      <c r="G541" s="91">
        <v>28329</v>
      </c>
      <c r="H541" s="90" t="s">
        <v>187</v>
      </c>
      <c r="I541" s="91" t="s">
        <v>21</v>
      </c>
      <c r="J541" s="91">
        <v>44230</v>
      </c>
      <c r="K541" s="121">
        <v>44</v>
      </c>
      <c r="L541" s="91">
        <v>44435</v>
      </c>
      <c r="M541" s="91">
        <v>44435</v>
      </c>
      <c r="N541" s="125">
        <v>205</v>
      </c>
      <c r="O541" s="92">
        <v>10334.720000000001</v>
      </c>
      <c r="Q541" s="14"/>
    </row>
    <row r="542" ht="15" customHeight="1">
      <c r="B542" s="13"/>
      <c r="C542" s="22" t="s">
        <v>184</v>
      </c>
      <c r="D542" s="90" t="s">
        <v>1236</v>
      </c>
      <c r="E542" s="122" t="s">
        <v>1237</v>
      </c>
      <c r="F542" s="91" t="s">
        <v>8</v>
      </c>
      <c r="G542" s="91">
        <v>25471</v>
      </c>
      <c r="H542" s="90" t="s">
        <v>197</v>
      </c>
      <c r="I542" s="91" t="s">
        <v>21</v>
      </c>
      <c r="J542" s="91">
        <v>44375</v>
      </c>
      <c r="K542" s="121">
        <v>52</v>
      </c>
      <c r="L542" s="91">
        <v>44524</v>
      </c>
      <c r="M542" s="91"/>
      <c r="N542" s="125">
        <v>0</v>
      </c>
      <c r="O542" s="92">
        <v>5358</v>
      </c>
      <c r="Q542" s="14"/>
    </row>
    <row r="543" ht="15" customHeight="1">
      <c r="B543" s="13"/>
      <c r="C543" s="22" t="s">
        <v>184</v>
      </c>
      <c r="D543" s="90" t="s">
        <v>1238</v>
      </c>
      <c r="E543" s="122" t="s">
        <v>1239</v>
      </c>
      <c r="F543" s="91" t="s">
        <v>8</v>
      </c>
      <c r="G543" s="91">
        <v>29305</v>
      </c>
      <c r="H543" s="90" t="s">
        <v>187</v>
      </c>
      <c r="I543" s="91" t="s">
        <v>21</v>
      </c>
      <c r="J543" s="91">
        <v>44302</v>
      </c>
      <c r="K543" s="121">
        <v>41</v>
      </c>
      <c r="L543" s="91">
        <v>44480</v>
      </c>
      <c r="M543" s="91">
        <v>44480</v>
      </c>
      <c r="N543" s="125">
        <v>178</v>
      </c>
      <c r="O543" s="92">
        <v>4125.9400000000005</v>
      </c>
      <c r="Q543" s="14"/>
    </row>
    <row r="544" ht="15" customHeight="1">
      <c r="B544" s="13"/>
      <c r="C544" s="22" t="s">
        <v>245</v>
      </c>
      <c r="D544" s="90" t="s">
        <v>1240</v>
      </c>
      <c r="E544" s="122" t="s">
        <v>1241</v>
      </c>
      <c r="F544" s="91" t="s">
        <v>8</v>
      </c>
      <c r="G544" s="91">
        <v>29647</v>
      </c>
      <c r="H544" s="90" t="s">
        <v>197</v>
      </c>
      <c r="I544" s="91" t="s">
        <v>21</v>
      </c>
      <c r="J544" s="91">
        <v>44121</v>
      </c>
      <c r="K544" s="121">
        <v>39</v>
      </c>
      <c r="L544" s="91">
        <v>44186</v>
      </c>
      <c r="M544" s="91">
        <v>44186</v>
      </c>
      <c r="N544" s="125">
        <v>65</v>
      </c>
      <c r="O544" s="92">
        <v>920.22</v>
      </c>
      <c r="Q544" s="14"/>
    </row>
    <row r="545" ht="15" customHeight="1">
      <c r="B545" s="13"/>
      <c r="C545" s="22" t="s">
        <v>779</v>
      </c>
      <c r="D545" s="90" t="s">
        <v>1242</v>
      </c>
      <c r="E545" s="122" t="s">
        <v>1243</v>
      </c>
      <c r="F545" s="91" t="s">
        <v>8</v>
      </c>
      <c r="G545" s="91">
        <v>24848</v>
      </c>
      <c r="H545" s="90" t="s">
        <v>197</v>
      </c>
      <c r="I545" s="91" t="s">
        <v>21</v>
      </c>
      <c r="J545" s="91">
        <v>44210</v>
      </c>
      <c r="K545" s="121">
        <v>53</v>
      </c>
      <c r="L545" s="91">
        <v>44264</v>
      </c>
      <c r="M545" s="91">
        <v>44264</v>
      </c>
      <c r="N545" s="125">
        <v>54</v>
      </c>
      <c r="O545" s="92">
        <v>1527.25</v>
      </c>
      <c r="Q545" s="14"/>
    </row>
    <row r="546" ht="15" customHeight="1">
      <c r="B546" s="13"/>
      <c r="C546" s="22" t="s">
        <v>184</v>
      </c>
      <c r="D546" s="90" t="s">
        <v>1244</v>
      </c>
      <c r="E546" s="122" t="s">
        <v>1245</v>
      </c>
      <c r="F546" s="91" t="s">
        <v>8</v>
      </c>
      <c r="G546" s="91">
        <v>27607</v>
      </c>
      <c r="H546" s="90" t="s">
        <v>187</v>
      </c>
      <c r="I546" s="91" t="s">
        <v>21</v>
      </c>
      <c r="J546" s="91">
        <v>44365</v>
      </c>
      <c r="K546" s="121">
        <v>46</v>
      </c>
      <c r="L546" s="91">
        <v>44425</v>
      </c>
      <c r="M546" s="91">
        <v>44425</v>
      </c>
      <c r="N546" s="125">
        <v>60</v>
      </c>
      <c r="O546" s="92">
        <v>678.59</v>
      </c>
      <c r="Q546" s="14"/>
    </row>
    <row r="547" ht="15" customHeight="1">
      <c r="B547" s="13"/>
      <c r="C547" s="22" t="s">
        <v>184</v>
      </c>
      <c r="D547" s="90" t="s">
        <v>1246</v>
      </c>
      <c r="E547" s="122" t="s">
        <v>1247</v>
      </c>
      <c r="F547" s="91" t="s">
        <v>8</v>
      </c>
      <c r="G547" s="91">
        <v>32320</v>
      </c>
      <c r="H547" s="90" t="s">
        <v>187</v>
      </c>
      <c r="I547" s="91" t="s">
        <v>21</v>
      </c>
      <c r="J547" s="91">
        <v>44302</v>
      </c>
      <c r="K547" s="121">
        <v>33</v>
      </c>
      <c r="L547" s="91">
        <v>44409</v>
      </c>
      <c r="M547" s="91">
        <v>44409</v>
      </c>
      <c r="N547" s="125">
        <v>107</v>
      </c>
      <c r="O547" s="92">
        <v>2255.7599999999998</v>
      </c>
      <c r="Q547" s="14"/>
    </row>
    <row r="548" ht="15" customHeight="1">
      <c r="B548" s="13"/>
      <c r="C548" s="22" t="s">
        <v>200</v>
      </c>
      <c r="D548" s="90" t="s">
        <v>1248</v>
      </c>
      <c r="E548" s="122" t="s">
        <v>1249</v>
      </c>
      <c r="F548" s="91" t="s">
        <v>8</v>
      </c>
      <c r="G548" s="91">
        <v>28254</v>
      </c>
      <c r="H548" s="90" t="s">
        <v>197</v>
      </c>
      <c r="I548" s="91" t="s">
        <v>21</v>
      </c>
      <c r="J548" s="91">
        <v>44358</v>
      </c>
      <c r="K548" s="121">
        <v>44</v>
      </c>
      <c r="L548" s="91">
        <v>44418</v>
      </c>
      <c r="M548" s="91">
        <v>44418</v>
      </c>
      <c r="N548" s="125">
        <v>60</v>
      </c>
      <c r="O548" s="92">
        <v>2151.71</v>
      </c>
      <c r="Q548" s="14"/>
    </row>
    <row r="549" ht="15" customHeight="1">
      <c r="B549" s="13"/>
      <c r="C549" s="22" t="s">
        <v>184</v>
      </c>
      <c r="D549" s="90" t="s">
        <v>1250</v>
      </c>
      <c r="E549" s="122" t="s">
        <v>1251</v>
      </c>
      <c r="F549" s="91" t="s">
        <v>8</v>
      </c>
      <c r="G549" s="91">
        <v>22920</v>
      </c>
      <c r="H549" s="90" t="s">
        <v>187</v>
      </c>
      <c r="I549" s="91" t="s">
        <v>21</v>
      </c>
      <c r="J549" s="91">
        <v>44224</v>
      </c>
      <c r="K549" s="121">
        <v>59</v>
      </c>
      <c r="L549" s="91">
        <v>44445</v>
      </c>
      <c r="M549" s="91">
        <v>44445</v>
      </c>
      <c r="N549" s="125">
        <v>221</v>
      </c>
      <c r="O549" s="92">
        <v>6113.28</v>
      </c>
      <c r="Q549" s="14"/>
    </row>
    <row r="550" ht="15" customHeight="1">
      <c r="B550" s="13"/>
      <c r="C550" s="22" t="s">
        <v>184</v>
      </c>
      <c r="D550" s="90" t="s">
        <v>1252</v>
      </c>
      <c r="E550" s="122" t="s">
        <v>1253</v>
      </c>
      <c r="F550" s="91" t="s">
        <v>8</v>
      </c>
      <c r="G550" s="91">
        <v>30084</v>
      </c>
      <c r="H550" s="90" t="s">
        <v>187</v>
      </c>
      <c r="I550" s="91" t="s">
        <v>21</v>
      </c>
      <c r="J550" s="91">
        <v>44181</v>
      </c>
      <c r="K550" s="121">
        <v>38</v>
      </c>
      <c r="L550" s="91">
        <v>44267</v>
      </c>
      <c r="M550" s="91">
        <v>44267</v>
      </c>
      <c r="N550" s="125">
        <v>86</v>
      </c>
      <c r="O550" s="92">
        <v>1037.4</v>
      </c>
      <c r="Q550" s="14"/>
    </row>
    <row r="551" ht="15" customHeight="1">
      <c r="B551" s="13"/>
      <c r="C551" s="22" t="s">
        <v>200</v>
      </c>
      <c r="D551" s="90" t="s">
        <v>1254</v>
      </c>
      <c r="E551" s="122" t="s">
        <v>1255</v>
      </c>
      <c r="F551" s="91" t="s">
        <v>8</v>
      </c>
      <c r="G551" s="91">
        <v>28023</v>
      </c>
      <c r="H551" s="90" t="s">
        <v>197</v>
      </c>
      <c r="I551" s="91" t="s">
        <v>21</v>
      </c>
      <c r="J551" s="91">
        <v>44277</v>
      </c>
      <c r="K551" s="121">
        <v>45</v>
      </c>
      <c r="L551" s="91">
        <v>44326</v>
      </c>
      <c r="M551" s="91">
        <v>44326</v>
      </c>
      <c r="N551" s="125">
        <v>49</v>
      </c>
      <c r="O551" s="92">
        <v>809.6</v>
      </c>
      <c r="Q551" s="14"/>
    </row>
    <row r="552" ht="15" customHeight="1">
      <c r="B552" s="13"/>
      <c r="C552" s="22" t="s">
        <v>184</v>
      </c>
      <c r="D552" s="90" t="s">
        <v>1256</v>
      </c>
      <c r="E552" s="122" t="s">
        <v>1257</v>
      </c>
      <c r="F552" s="91" t="s">
        <v>8</v>
      </c>
      <c r="G552" s="91">
        <v>31329</v>
      </c>
      <c r="H552" s="90" t="s">
        <v>187</v>
      </c>
      <c r="I552" s="91" t="s">
        <v>21</v>
      </c>
      <c r="J552" s="91">
        <v>44260</v>
      </c>
      <c r="K552" s="121">
        <v>36</v>
      </c>
      <c r="L552" s="91">
        <v>44408</v>
      </c>
      <c r="M552" s="91">
        <v>44408</v>
      </c>
      <c r="N552" s="125">
        <v>148</v>
      </c>
      <c r="O552" s="92">
        <v>976.64</v>
      </c>
      <c r="Q552" s="14"/>
    </row>
    <row r="553" ht="15" customHeight="1">
      <c r="B553" s="13"/>
      <c r="C553" s="22" t="s">
        <v>184</v>
      </c>
      <c r="D553" s="90" t="s">
        <v>1258</v>
      </c>
      <c r="E553" s="122" t="s">
        <v>1259</v>
      </c>
      <c r="F553" s="91" t="s">
        <v>8</v>
      </c>
      <c r="G553" s="91">
        <v>26035</v>
      </c>
      <c r="H553" s="90" t="s">
        <v>197</v>
      </c>
      <c r="I553" s="91" t="s">
        <v>21</v>
      </c>
      <c r="J553" s="91">
        <v>44089</v>
      </c>
      <c r="K553" s="121">
        <v>49</v>
      </c>
      <c r="L553" s="91">
        <v>44460</v>
      </c>
      <c r="M553" s="91">
        <v>44460</v>
      </c>
      <c r="N553" s="125">
        <v>371</v>
      </c>
      <c r="O553" s="92">
        <v>1938.44</v>
      </c>
      <c r="Q553" s="14"/>
    </row>
    <row r="554" ht="15" customHeight="1">
      <c r="B554" s="13"/>
      <c r="C554" s="22" t="s">
        <v>184</v>
      </c>
      <c r="D554" s="90" t="s">
        <v>1260</v>
      </c>
      <c r="E554" s="122" t="s">
        <v>1261</v>
      </c>
      <c r="F554" s="91" t="s">
        <v>8</v>
      </c>
      <c r="G554" s="91">
        <v>31854</v>
      </c>
      <c r="H554" s="90" t="s">
        <v>187</v>
      </c>
      <c r="I554" s="91" t="s">
        <v>21</v>
      </c>
      <c r="J554" s="91">
        <v>43888</v>
      </c>
      <c r="K554" s="121">
        <v>33</v>
      </c>
      <c r="L554" s="91">
        <v>44272</v>
      </c>
      <c r="M554" s="91">
        <v>44272</v>
      </c>
      <c r="N554" s="125">
        <v>384</v>
      </c>
      <c r="O554" s="92">
        <v>401.7</v>
      </c>
      <c r="Q554" s="14"/>
    </row>
    <row r="555" ht="15" customHeight="1">
      <c r="B555" s="13"/>
      <c r="C555" s="22" t="s">
        <v>184</v>
      </c>
      <c r="D555" s="90" t="s">
        <v>1262</v>
      </c>
      <c r="E555" s="122" t="s">
        <v>1263</v>
      </c>
      <c r="F555" s="91" t="s">
        <v>8</v>
      </c>
      <c r="G555" s="91">
        <v>28259</v>
      </c>
      <c r="H555" s="90" t="s">
        <v>187</v>
      </c>
      <c r="I555" s="91" t="s">
        <v>21</v>
      </c>
      <c r="J555" s="91">
        <v>43980</v>
      </c>
      <c r="K555" s="121">
        <v>43</v>
      </c>
      <c r="L555" s="91">
        <v>44067</v>
      </c>
      <c r="M555" s="91">
        <v>44067</v>
      </c>
      <c r="N555" s="125">
        <v>87</v>
      </c>
      <c r="O555" s="92">
        <v>841.58</v>
      </c>
      <c r="Q555" s="14"/>
    </row>
    <row r="556" ht="15" customHeight="1">
      <c r="B556" s="13"/>
      <c r="C556" s="22" t="s">
        <v>184</v>
      </c>
      <c r="D556" s="90" t="s">
        <v>1264</v>
      </c>
      <c r="E556" s="122" t="s">
        <v>1265</v>
      </c>
      <c r="F556" s="91" t="s">
        <v>8</v>
      </c>
      <c r="G556" s="91">
        <v>24052</v>
      </c>
      <c r="H556" s="90" t="s">
        <v>187</v>
      </c>
      <c r="I556" s="91" t="s">
        <v>21</v>
      </c>
      <c r="J556" s="91">
        <v>44166</v>
      </c>
      <c r="K556" s="121">
        <v>55</v>
      </c>
      <c r="L556" s="91">
        <v>44234</v>
      </c>
      <c r="M556" s="91">
        <v>44234</v>
      </c>
      <c r="N556" s="125">
        <v>68</v>
      </c>
      <c r="O556" s="92">
        <v>681.33</v>
      </c>
      <c r="Q556" s="14"/>
    </row>
    <row r="557" ht="15" customHeight="1">
      <c r="B557" s="13"/>
      <c r="C557" s="22" t="s">
        <v>400</v>
      </c>
      <c r="D557" s="90" t="s">
        <v>1266</v>
      </c>
      <c r="E557" s="122" t="s">
        <v>1265</v>
      </c>
      <c r="F557" s="91" t="s">
        <v>8</v>
      </c>
      <c r="G557" s="91">
        <v>24052</v>
      </c>
      <c r="H557" s="90" t="s">
        <v>187</v>
      </c>
      <c r="I557" s="91" t="s">
        <v>21</v>
      </c>
      <c r="J557" s="91">
        <v>44166</v>
      </c>
      <c r="K557" s="121">
        <v>55</v>
      </c>
      <c r="L557" s="91">
        <v>44234</v>
      </c>
      <c r="M557" s="91">
        <v>44234</v>
      </c>
      <c r="N557" s="125">
        <v>68</v>
      </c>
      <c r="O557" s="92">
        <v>216.06</v>
      </c>
      <c r="Q557" s="14"/>
    </row>
    <row r="558" ht="15" customHeight="1">
      <c r="B558" s="13"/>
      <c r="C558" s="22" t="s">
        <v>245</v>
      </c>
      <c r="D558" s="90" t="s">
        <v>1267</v>
      </c>
      <c r="E558" s="122" t="s">
        <v>1268</v>
      </c>
      <c r="F558" s="91" t="s">
        <v>10</v>
      </c>
      <c r="G558" s="91">
        <v>24039</v>
      </c>
      <c r="H558" s="90" t="s">
        <v>197</v>
      </c>
      <c r="I558" s="91" t="s">
        <v>21</v>
      </c>
      <c r="J558" s="91">
        <v>44249</v>
      </c>
      <c r="K558" s="121">
        <v>56</v>
      </c>
      <c r="L558" s="91">
        <v>44470</v>
      </c>
      <c r="M558" s="91">
        <v>44470</v>
      </c>
      <c r="N558" s="125">
        <v>221</v>
      </c>
      <c r="O558" s="92">
        <v>12933.119999999999</v>
      </c>
      <c r="Q558" s="14"/>
    </row>
    <row r="559" ht="15" customHeight="1">
      <c r="B559" s="13"/>
      <c r="C559" s="22" t="s">
        <v>245</v>
      </c>
      <c r="D559" s="90" t="s">
        <v>1269</v>
      </c>
      <c r="E559" s="122" t="s">
        <v>1270</v>
      </c>
      <c r="F559" s="91" t="s">
        <v>10</v>
      </c>
      <c r="G559" s="91">
        <v>30268</v>
      </c>
      <c r="H559" s="90" t="s">
        <v>197</v>
      </c>
      <c r="I559" s="91" t="s">
        <v>21</v>
      </c>
      <c r="J559" s="91">
        <v>43847</v>
      </c>
      <c r="K559" s="121">
        <v>38</v>
      </c>
      <c r="L559" s="91">
        <v>44509</v>
      </c>
      <c r="M559" s="91"/>
      <c r="N559" s="125">
        <v>0</v>
      </c>
      <c r="O559" s="92">
        <v>17071.6</v>
      </c>
      <c r="Q559" s="14"/>
    </row>
    <row r="560" ht="15" customHeight="1">
      <c r="B560" s="13"/>
      <c r="C560" s="22" t="s">
        <v>184</v>
      </c>
      <c r="D560" s="90" t="s">
        <v>1271</v>
      </c>
      <c r="E560" s="122" t="s">
        <v>1272</v>
      </c>
      <c r="F560" s="91" t="s">
        <v>8</v>
      </c>
      <c r="G560" s="91">
        <v>22369</v>
      </c>
      <c r="H560" s="90" t="s">
        <v>187</v>
      </c>
      <c r="I560" s="91" t="s">
        <v>21</v>
      </c>
      <c r="J560" s="91">
        <v>43984</v>
      </c>
      <c r="K560" s="121">
        <v>59</v>
      </c>
      <c r="L560" s="91">
        <v>44469</v>
      </c>
      <c r="M560" s="91">
        <v>44469</v>
      </c>
      <c r="N560" s="125">
        <v>485</v>
      </c>
      <c r="O560" s="92">
        <v>10460.64</v>
      </c>
      <c r="Q560" s="14"/>
    </row>
    <row r="561" ht="15" customHeight="1">
      <c r="B561" s="13"/>
      <c r="C561" s="22" t="s">
        <v>184</v>
      </c>
      <c r="D561" s="90" t="s">
        <v>1273</v>
      </c>
      <c r="E561" s="122" t="s">
        <v>1274</v>
      </c>
      <c r="F561" s="91" t="s">
        <v>8</v>
      </c>
      <c r="G561" s="91">
        <v>26625</v>
      </c>
      <c r="H561" s="90" t="s">
        <v>197</v>
      </c>
      <c r="I561" s="91" t="s">
        <v>21</v>
      </c>
      <c r="J561" s="91">
        <v>43839</v>
      </c>
      <c r="K561" s="121">
        <v>48</v>
      </c>
      <c r="L561" s="91">
        <v>44510</v>
      </c>
      <c r="M561" s="91"/>
      <c r="N561" s="125">
        <v>0</v>
      </c>
      <c r="O561" s="92">
        <v>29881.46</v>
      </c>
      <c r="Q561" s="14"/>
    </row>
    <row r="562" ht="15" customHeight="1">
      <c r="B562" s="13"/>
      <c r="C562" s="22" t="s">
        <v>200</v>
      </c>
      <c r="D562" s="90" t="s">
        <v>1275</v>
      </c>
      <c r="E562" s="122" t="s">
        <v>1276</v>
      </c>
      <c r="F562" s="91" t="s">
        <v>8</v>
      </c>
      <c r="G562" s="91">
        <v>27771</v>
      </c>
      <c r="H562" s="90" t="s">
        <v>197</v>
      </c>
      <c r="I562" s="91" t="s">
        <v>21</v>
      </c>
      <c r="J562" s="91">
        <v>44481</v>
      </c>
      <c r="K562" s="121">
        <v>45</v>
      </c>
      <c r="L562" s="91">
        <v>44523</v>
      </c>
      <c r="M562" s="91"/>
      <c r="N562" s="125">
        <v>0</v>
      </c>
      <c r="O562" s="92">
        <v>497.77</v>
      </c>
      <c r="Q562" s="14"/>
    </row>
    <row r="563" ht="15" customHeight="1">
      <c r="B563" s="13"/>
      <c r="C563" s="22" t="s">
        <v>184</v>
      </c>
      <c r="D563" s="90" t="s">
        <v>1277</v>
      </c>
      <c r="E563" s="122" t="s">
        <v>1278</v>
      </c>
      <c r="F563" s="91" t="s">
        <v>8</v>
      </c>
      <c r="G563" s="91">
        <v>28232</v>
      </c>
      <c r="H563" s="90" t="s">
        <v>197</v>
      </c>
      <c r="I563" s="91" t="s">
        <v>21</v>
      </c>
      <c r="J563" s="91">
        <v>44273</v>
      </c>
      <c r="K563" s="121">
        <v>44</v>
      </c>
      <c r="L563" s="91">
        <v>44316</v>
      </c>
      <c r="M563" s="91">
        <v>44316</v>
      </c>
      <c r="N563" s="125">
        <v>43</v>
      </c>
      <c r="O563" s="92">
        <v>465.78</v>
      </c>
      <c r="Q563" s="14"/>
    </row>
    <row r="564" ht="15" customHeight="1">
      <c r="B564" s="13"/>
      <c r="C564" s="22" t="s">
        <v>184</v>
      </c>
      <c r="D564" s="90" t="s">
        <v>1279</v>
      </c>
      <c r="E564" s="122" t="s">
        <v>1280</v>
      </c>
      <c r="F564" s="91" t="s">
        <v>8</v>
      </c>
      <c r="G564" s="91">
        <v>28530</v>
      </c>
      <c r="H564" s="90" t="s">
        <v>197</v>
      </c>
      <c r="I564" s="91" t="s">
        <v>21</v>
      </c>
      <c r="J564" s="91">
        <v>43990</v>
      </c>
      <c r="K564" s="121">
        <v>42</v>
      </c>
      <c r="L564" s="91">
        <v>44516</v>
      </c>
      <c r="M564" s="91"/>
      <c r="N564" s="125">
        <v>0</v>
      </c>
      <c r="O564" s="92">
        <v>15668.15</v>
      </c>
      <c r="Q564" s="14"/>
    </row>
    <row r="565" ht="15" customHeight="1">
      <c r="B565" s="13"/>
      <c r="C565" s="22" t="s">
        <v>135</v>
      </c>
      <c r="D565" s="90" t="s">
        <v>1281</v>
      </c>
      <c r="E565" s="122" t="s">
        <v>1282</v>
      </c>
      <c r="F565" s="91" t="s">
        <v>8</v>
      </c>
      <c r="G565" s="91">
        <v>32344</v>
      </c>
      <c r="H565" s="90" t="s">
        <v>187</v>
      </c>
      <c r="I565" s="91" t="s">
        <v>21</v>
      </c>
      <c r="J565" s="91">
        <v>44224</v>
      </c>
      <c r="K565" s="121">
        <v>33</v>
      </c>
      <c r="L565" s="91">
        <v>44291</v>
      </c>
      <c r="M565" s="91">
        <v>44291</v>
      </c>
      <c r="N565" s="125">
        <v>67</v>
      </c>
      <c r="O565" s="92">
        <v>379.24</v>
      </c>
      <c r="Q565" s="14"/>
    </row>
    <row r="566" ht="15" customHeight="1">
      <c r="B566" s="13"/>
      <c r="C566" s="22" t="s">
        <v>184</v>
      </c>
      <c r="D566" s="90" t="s">
        <v>1283</v>
      </c>
      <c r="E566" s="122" t="s">
        <v>1284</v>
      </c>
      <c r="F566" s="91" t="s">
        <v>8</v>
      </c>
      <c r="G566" s="91">
        <v>28642</v>
      </c>
      <c r="H566" s="90" t="s">
        <v>187</v>
      </c>
      <c r="I566" s="91" t="s">
        <v>21</v>
      </c>
      <c r="J566" s="91">
        <v>44046</v>
      </c>
      <c r="K566" s="121">
        <v>42</v>
      </c>
      <c r="L566" s="91">
        <v>44374</v>
      </c>
      <c r="M566" s="91">
        <v>44374</v>
      </c>
      <c r="N566" s="125">
        <v>328</v>
      </c>
      <c r="O566" s="92">
        <v>1856.2899999999997</v>
      </c>
      <c r="Q566" s="14"/>
    </row>
    <row r="567" ht="15" customHeight="1">
      <c r="B567" s="13"/>
      <c r="C567" s="22" t="s">
        <v>184</v>
      </c>
      <c r="D567" s="90" t="s">
        <v>1285</v>
      </c>
      <c r="E567" s="122" t="s">
        <v>1286</v>
      </c>
      <c r="F567" s="91" t="s">
        <v>10</v>
      </c>
      <c r="G567" s="91">
        <v>30528</v>
      </c>
      <c r="H567" s="90" t="s">
        <v>187</v>
      </c>
      <c r="I567" s="91" t="s">
        <v>21</v>
      </c>
      <c r="J567" s="91">
        <v>44251</v>
      </c>
      <c r="K567" s="121">
        <v>38</v>
      </c>
      <c r="L567" s="91">
        <v>44316</v>
      </c>
      <c r="M567" s="91">
        <v>44316</v>
      </c>
      <c r="N567" s="125">
        <v>65</v>
      </c>
      <c r="O567" s="92">
        <v>1062.72</v>
      </c>
      <c r="Q567" s="14"/>
    </row>
    <row r="568" ht="15" customHeight="1">
      <c r="B568" s="13"/>
      <c r="C568" s="22" t="s">
        <v>184</v>
      </c>
      <c r="D568" s="90" t="s">
        <v>1287</v>
      </c>
      <c r="E568" s="122" t="s">
        <v>1288</v>
      </c>
      <c r="F568" s="91" t="s">
        <v>8</v>
      </c>
      <c r="G568" s="91">
        <v>22930</v>
      </c>
      <c r="H568" s="90" t="s">
        <v>187</v>
      </c>
      <c r="I568" s="91" t="s">
        <v>21</v>
      </c>
      <c r="J568" s="91">
        <v>43921</v>
      </c>
      <c r="K568" s="121">
        <v>58</v>
      </c>
      <c r="L568" s="91">
        <v>44182</v>
      </c>
      <c r="M568" s="91">
        <v>44182</v>
      </c>
      <c r="N568" s="125">
        <v>261</v>
      </c>
      <c r="O568" s="92">
        <v>187.17</v>
      </c>
      <c r="Q568" s="14"/>
    </row>
    <row r="569" ht="15" customHeight="1">
      <c r="B569" s="13"/>
      <c r="C569" s="22" t="s">
        <v>184</v>
      </c>
      <c r="D569" s="90" t="s">
        <v>1289</v>
      </c>
      <c r="E569" s="122" t="s">
        <v>1290</v>
      </c>
      <c r="F569" s="91" t="s">
        <v>8</v>
      </c>
      <c r="G569" s="91">
        <v>29122</v>
      </c>
      <c r="H569" s="90" t="s">
        <v>187</v>
      </c>
      <c r="I569" s="91" t="s">
        <v>21</v>
      </c>
      <c r="J569" s="91">
        <v>44000</v>
      </c>
      <c r="K569" s="121">
        <v>41</v>
      </c>
      <c r="L569" s="91">
        <v>44239</v>
      </c>
      <c r="M569" s="91">
        <v>44239</v>
      </c>
      <c r="N569" s="125">
        <v>239</v>
      </c>
      <c r="O569" s="92">
        <v>1617</v>
      </c>
      <c r="Q569" s="14"/>
    </row>
    <row r="570" ht="15" customHeight="1">
      <c r="B570" s="13"/>
      <c r="C570" s="22" t="s">
        <v>184</v>
      </c>
      <c r="D570" s="90" t="s">
        <v>1291</v>
      </c>
      <c r="E570" s="122" t="s">
        <v>1292</v>
      </c>
      <c r="F570" s="91" t="s">
        <v>8</v>
      </c>
      <c r="G570" s="91">
        <v>31655</v>
      </c>
      <c r="H570" s="90" t="s">
        <v>187</v>
      </c>
      <c r="I570" s="91" t="s">
        <v>21</v>
      </c>
      <c r="J570" s="91">
        <v>43910</v>
      </c>
      <c r="K570" s="121">
        <v>34</v>
      </c>
      <c r="L570" s="91">
        <v>43961</v>
      </c>
      <c r="M570" s="91">
        <v>43961</v>
      </c>
      <c r="N570" s="125">
        <v>51</v>
      </c>
      <c r="O570" s="92">
        <v>102.08</v>
      </c>
      <c r="Q570" s="14"/>
    </row>
    <row r="571" ht="15" customHeight="1">
      <c r="B571" s="13"/>
      <c r="C571" s="22" t="s">
        <v>184</v>
      </c>
      <c r="D571" s="90" t="s">
        <v>1293</v>
      </c>
      <c r="E571" s="122" t="s">
        <v>1294</v>
      </c>
      <c r="F571" s="91" t="s">
        <v>8</v>
      </c>
      <c r="G571" s="91">
        <v>24081</v>
      </c>
      <c r="H571" s="90" t="s">
        <v>187</v>
      </c>
      <c r="I571" s="91" t="s">
        <v>21</v>
      </c>
      <c r="J571" s="91">
        <v>44062</v>
      </c>
      <c r="K571" s="121">
        <v>55</v>
      </c>
      <c r="L571" s="91">
        <v>44221</v>
      </c>
      <c r="M571" s="91">
        <v>44221</v>
      </c>
      <c r="N571" s="125">
        <v>159</v>
      </c>
      <c r="O571" s="92">
        <v>2941.8999999999996</v>
      </c>
      <c r="Q571" s="14"/>
    </row>
    <row r="572" ht="15" customHeight="1">
      <c r="B572" s="13"/>
      <c r="C572" s="22" t="s">
        <v>184</v>
      </c>
      <c r="D572" s="90" t="s">
        <v>1295</v>
      </c>
      <c r="E572" s="122" t="s">
        <v>1296</v>
      </c>
      <c r="F572" s="91" t="s">
        <v>8</v>
      </c>
      <c r="G572" s="91">
        <v>22834</v>
      </c>
      <c r="H572" s="90" t="s">
        <v>187</v>
      </c>
      <c r="I572" s="91" t="s">
        <v>21</v>
      </c>
      <c r="J572" s="91">
        <v>44104</v>
      </c>
      <c r="K572" s="121">
        <v>58</v>
      </c>
      <c r="L572" s="91">
        <v>44224</v>
      </c>
      <c r="M572" s="91"/>
      <c r="N572" s="125">
        <v>0</v>
      </c>
      <c r="O572" s="92">
        <v>250.25</v>
      </c>
      <c r="Q572" s="14"/>
    </row>
    <row r="573" ht="15" customHeight="1">
      <c r="B573" s="13"/>
      <c r="C573" s="22" t="s">
        <v>245</v>
      </c>
      <c r="D573" s="90" t="s">
        <v>1297</v>
      </c>
      <c r="E573" s="122" t="s">
        <v>1298</v>
      </c>
      <c r="F573" s="91" t="s">
        <v>8</v>
      </c>
      <c r="G573" s="91">
        <v>25196</v>
      </c>
      <c r="H573" s="90" t="s">
        <v>187</v>
      </c>
      <c r="I573" s="91" t="s">
        <v>21</v>
      </c>
      <c r="J573" s="91">
        <v>44315</v>
      </c>
      <c r="K573" s="121">
        <v>53</v>
      </c>
      <c r="L573" s="91">
        <v>44358</v>
      </c>
      <c r="M573" s="91">
        <v>44358</v>
      </c>
      <c r="N573" s="125">
        <v>43</v>
      </c>
      <c r="O573" s="92">
        <v>641.34</v>
      </c>
      <c r="Q573" s="14"/>
    </row>
    <row r="574" ht="15" customHeight="1">
      <c r="B574" s="13"/>
      <c r="C574" s="22" t="s">
        <v>184</v>
      </c>
      <c r="D574" s="90" t="s">
        <v>1299</v>
      </c>
      <c r="E574" s="122" t="s">
        <v>1300</v>
      </c>
      <c r="F574" s="91" t="s">
        <v>8</v>
      </c>
      <c r="G574" s="91">
        <v>26175</v>
      </c>
      <c r="H574" s="90" t="s">
        <v>187</v>
      </c>
      <c r="I574" s="91" t="s">
        <v>21</v>
      </c>
      <c r="J574" s="91">
        <v>43843</v>
      </c>
      <c r="K574" s="121">
        <v>49</v>
      </c>
      <c r="L574" s="91">
        <v>44444</v>
      </c>
      <c r="M574" s="91">
        <v>44444</v>
      </c>
      <c r="N574" s="125">
        <v>601</v>
      </c>
      <c r="O574" s="92">
        <v>8513.9399999999987</v>
      </c>
      <c r="Q574" s="14"/>
    </row>
    <row r="575" ht="15" customHeight="1">
      <c r="B575" s="13"/>
      <c r="C575" s="22" t="s">
        <v>245</v>
      </c>
      <c r="D575" s="90" t="s">
        <v>1301</v>
      </c>
      <c r="E575" s="122" t="s">
        <v>1302</v>
      </c>
      <c r="F575" s="91" t="s">
        <v>10</v>
      </c>
      <c r="G575" s="91">
        <v>23078</v>
      </c>
      <c r="H575" s="90" t="s">
        <v>197</v>
      </c>
      <c r="I575" s="91" t="s">
        <v>21</v>
      </c>
      <c r="J575" s="91">
        <v>44299</v>
      </c>
      <c r="K575" s="121">
        <v>58</v>
      </c>
      <c r="L575" s="91">
        <v>44340</v>
      </c>
      <c r="M575" s="91">
        <v>44340</v>
      </c>
      <c r="N575" s="125">
        <v>41</v>
      </c>
      <c r="O575" s="92">
        <v>1472.04</v>
      </c>
      <c r="Q575" s="14"/>
    </row>
    <row r="576" ht="15" customHeight="1">
      <c r="B576" s="13"/>
      <c r="C576" s="22" t="s">
        <v>184</v>
      </c>
      <c r="D576" s="90" t="s">
        <v>1303</v>
      </c>
      <c r="E576" s="122" t="s">
        <v>1304</v>
      </c>
      <c r="F576" s="91" t="s">
        <v>8</v>
      </c>
      <c r="G576" s="91">
        <v>30277</v>
      </c>
      <c r="H576" s="90" t="s">
        <v>187</v>
      </c>
      <c r="I576" s="91" t="s">
        <v>21</v>
      </c>
      <c r="J576" s="91">
        <v>44109</v>
      </c>
      <c r="K576" s="121">
        <v>38</v>
      </c>
      <c r="L576" s="91">
        <v>44155</v>
      </c>
      <c r="M576" s="91">
        <v>44155</v>
      </c>
      <c r="N576" s="125">
        <v>46</v>
      </c>
      <c r="O576" s="92">
        <v>403.58</v>
      </c>
      <c r="Q576" s="14"/>
    </row>
    <row r="577" ht="15" customHeight="1">
      <c r="B577" s="13"/>
      <c r="C577" s="22" t="s">
        <v>135</v>
      </c>
      <c r="D577" s="90" t="s">
        <v>1305</v>
      </c>
      <c r="E577" s="122" t="s">
        <v>1306</v>
      </c>
      <c r="F577" s="91" t="s">
        <v>8</v>
      </c>
      <c r="G577" s="91">
        <v>27642</v>
      </c>
      <c r="H577" s="90" t="s">
        <v>197</v>
      </c>
      <c r="I577" s="91" t="s">
        <v>21</v>
      </c>
      <c r="J577" s="91">
        <v>44236</v>
      </c>
      <c r="K577" s="121">
        <v>46</v>
      </c>
      <c r="L577" s="91">
        <v>44538</v>
      </c>
      <c r="M577" s="91"/>
      <c r="N577" s="125">
        <v>0</v>
      </c>
      <c r="O577" s="92">
        <v>8757.840000000002</v>
      </c>
      <c r="Q577" s="14"/>
    </row>
    <row r="578" ht="15" customHeight="1">
      <c r="B578" s="13"/>
      <c r="C578" s="22" t="s">
        <v>779</v>
      </c>
      <c r="D578" s="90" t="s">
        <v>1307</v>
      </c>
      <c r="E578" s="122" t="s">
        <v>1308</v>
      </c>
      <c r="F578" s="91" t="s">
        <v>8</v>
      </c>
      <c r="G578" s="91">
        <v>24313</v>
      </c>
      <c r="H578" s="90" t="s">
        <v>187</v>
      </c>
      <c r="I578" s="91" t="s">
        <v>21</v>
      </c>
      <c r="J578" s="91">
        <v>44292</v>
      </c>
      <c r="K578" s="121">
        <v>55</v>
      </c>
      <c r="L578" s="91">
        <v>44518</v>
      </c>
      <c r="M578" s="91"/>
      <c r="N578" s="125">
        <v>0</v>
      </c>
      <c r="O578" s="92">
        <v>3791.56</v>
      </c>
      <c r="Q578" s="14"/>
    </row>
    <row r="579" ht="15" customHeight="1">
      <c r="B579" s="13"/>
      <c r="C579" s="22" t="s">
        <v>184</v>
      </c>
      <c r="D579" s="90" t="s">
        <v>1309</v>
      </c>
      <c r="E579" s="122" t="s">
        <v>1310</v>
      </c>
      <c r="F579" s="91" t="s">
        <v>8</v>
      </c>
      <c r="G579" s="91">
        <v>32440</v>
      </c>
      <c r="H579" s="90" t="s">
        <v>187</v>
      </c>
      <c r="I579" s="91" t="s">
        <v>21</v>
      </c>
      <c r="J579" s="91">
        <v>44343</v>
      </c>
      <c r="K579" s="121">
        <v>33</v>
      </c>
      <c r="L579" s="91">
        <v>44373</v>
      </c>
      <c r="M579" s="91">
        <v>44412</v>
      </c>
      <c r="N579" s="125">
        <v>69</v>
      </c>
      <c r="O579" s="92">
        <v>45.05</v>
      </c>
      <c r="Q579" s="14"/>
    </row>
    <row r="580" ht="15" customHeight="1">
      <c r="B580" s="13"/>
      <c r="C580" s="22" t="s">
        <v>184</v>
      </c>
      <c r="D580" s="90" t="s">
        <v>1311</v>
      </c>
      <c r="E580" s="122" t="s">
        <v>1312</v>
      </c>
      <c r="F580" s="91" t="s">
        <v>8</v>
      </c>
      <c r="G580" s="91">
        <v>31609</v>
      </c>
      <c r="H580" s="90" t="s">
        <v>197</v>
      </c>
      <c r="I580" s="91" t="s">
        <v>21</v>
      </c>
      <c r="J580" s="91">
        <v>44473</v>
      </c>
      <c r="K580" s="121">
        <v>35</v>
      </c>
      <c r="L580" s="91">
        <v>44508</v>
      </c>
      <c r="M580" s="91"/>
      <c r="N580" s="125">
        <v>0</v>
      </c>
      <c r="O580" s="92">
        <v>233.88</v>
      </c>
      <c r="Q580" s="14"/>
    </row>
    <row r="581" ht="15" customHeight="1">
      <c r="B581" s="13"/>
      <c r="C581" s="22" t="s">
        <v>184</v>
      </c>
      <c r="D581" s="90" t="s">
        <v>1313</v>
      </c>
      <c r="E581" s="122" t="s">
        <v>1314</v>
      </c>
      <c r="F581" s="91" t="s">
        <v>8</v>
      </c>
      <c r="G581" s="91">
        <v>31837</v>
      </c>
      <c r="H581" s="90" t="s">
        <v>187</v>
      </c>
      <c r="I581" s="91" t="s">
        <v>21</v>
      </c>
      <c r="J581" s="91">
        <v>44139</v>
      </c>
      <c r="K581" s="121">
        <v>33</v>
      </c>
      <c r="L581" s="91">
        <v>44525</v>
      </c>
      <c r="M581" s="91">
        <v>44525</v>
      </c>
      <c r="N581" s="125">
        <v>386</v>
      </c>
      <c r="O581" s="92">
        <v>5355</v>
      </c>
      <c r="Q581" s="14"/>
    </row>
    <row r="582" ht="15" customHeight="1">
      <c r="B582" s="13"/>
      <c r="C582" s="22" t="s">
        <v>184</v>
      </c>
      <c r="D582" s="90" t="s">
        <v>1315</v>
      </c>
      <c r="E582" s="122" t="s">
        <v>1316</v>
      </c>
      <c r="F582" s="91" t="s">
        <v>8</v>
      </c>
      <c r="G582" s="91">
        <v>24426</v>
      </c>
      <c r="H582" s="90" t="s">
        <v>197</v>
      </c>
      <c r="I582" s="91" t="s">
        <v>21</v>
      </c>
      <c r="J582" s="91">
        <v>44040</v>
      </c>
      <c r="K582" s="121">
        <v>54</v>
      </c>
      <c r="L582" s="91">
        <v>44502</v>
      </c>
      <c r="M582" s="91">
        <v>44502</v>
      </c>
      <c r="N582" s="125">
        <v>462</v>
      </c>
      <c r="O582" s="92">
        <v>8710.8000000000029</v>
      </c>
      <c r="Q582" s="14"/>
    </row>
    <row r="583" ht="15" customHeight="1">
      <c r="B583" s="13"/>
      <c r="C583" s="22" t="s">
        <v>135</v>
      </c>
      <c r="D583" s="90" t="s">
        <v>1317</v>
      </c>
      <c r="E583" s="122" t="s">
        <v>1318</v>
      </c>
      <c r="F583" s="91" t="s">
        <v>8</v>
      </c>
      <c r="G583" s="91">
        <v>29780</v>
      </c>
      <c r="H583" s="90" t="s">
        <v>187</v>
      </c>
      <c r="I583" s="91" t="s">
        <v>21</v>
      </c>
      <c r="J583" s="91">
        <v>44361</v>
      </c>
      <c r="K583" s="121">
        <v>40</v>
      </c>
      <c r="L583" s="91">
        <v>44395</v>
      </c>
      <c r="M583" s="91">
        <v>44395</v>
      </c>
      <c r="N583" s="125">
        <v>34</v>
      </c>
      <c r="O583" s="92">
        <v>135</v>
      </c>
      <c r="Q583" s="14"/>
    </row>
    <row r="584" ht="15" customHeight="1">
      <c r="B584" s="13"/>
      <c r="C584" s="22" t="s">
        <v>184</v>
      </c>
      <c r="D584" s="90" t="s">
        <v>1319</v>
      </c>
      <c r="E584" s="122" t="s">
        <v>1320</v>
      </c>
      <c r="F584" s="91" t="s">
        <v>8</v>
      </c>
      <c r="G584" s="91">
        <v>29947</v>
      </c>
      <c r="H584" s="90" t="s">
        <v>187</v>
      </c>
      <c r="I584" s="91" t="s">
        <v>21</v>
      </c>
      <c r="J584" s="91">
        <v>43907</v>
      </c>
      <c r="K584" s="121">
        <v>39</v>
      </c>
      <c r="L584" s="91">
        <v>43951</v>
      </c>
      <c r="M584" s="91">
        <v>43951</v>
      </c>
      <c r="N584" s="125">
        <v>44</v>
      </c>
      <c r="O584" s="92">
        <v>417</v>
      </c>
      <c r="Q584" s="14"/>
    </row>
    <row r="585" ht="15" customHeight="1">
      <c r="B585" s="13"/>
      <c r="C585" s="22" t="s">
        <v>184</v>
      </c>
      <c r="D585" s="90" t="s">
        <v>1321</v>
      </c>
      <c r="E585" s="122" t="s">
        <v>1322</v>
      </c>
      <c r="F585" s="91" t="s">
        <v>8</v>
      </c>
      <c r="G585" s="91">
        <v>31872</v>
      </c>
      <c r="H585" s="90" t="s">
        <v>187</v>
      </c>
      <c r="I585" s="91" t="s">
        <v>21</v>
      </c>
      <c r="J585" s="91">
        <v>44299</v>
      </c>
      <c r="K585" s="121">
        <v>34</v>
      </c>
      <c r="L585" s="91">
        <v>44500</v>
      </c>
      <c r="M585" s="91"/>
      <c r="N585" s="125">
        <v>0</v>
      </c>
      <c r="O585" s="92">
        <v>3283.48</v>
      </c>
      <c r="Q585" s="14"/>
    </row>
    <row r="586" ht="15" customHeight="1">
      <c r="B586" s="13"/>
      <c r="C586" s="22" t="s">
        <v>184</v>
      </c>
      <c r="D586" s="90" t="s">
        <v>1323</v>
      </c>
      <c r="E586" s="122" t="s">
        <v>1324</v>
      </c>
      <c r="F586" s="91" t="s">
        <v>8</v>
      </c>
      <c r="G586" s="91">
        <v>27851</v>
      </c>
      <c r="H586" s="90" t="s">
        <v>187</v>
      </c>
      <c r="I586" s="91" t="s">
        <v>21</v>
      </c>
      <c r="J586" s="91">
        <v>44208</v>
      </c>
      <c r="K586" s="121">
        <v>45</v>
      </c>
      <c r="L586" s="91">
        <v>44239</v>
      </c>
      <c r="M586" s="91">
        <v>44239</v>
      </c>
      <c r="N586" s="125">
        <v>31</v>
      </c>
      <c r="O586" s="92">
        <v>19.2</v>
      </c>
      <c r="Q586" s="14"/>
    </row>
    <row r="587" ht="15" customHeight="1">
      <c r="B587" s="13"/>
      <c r="C587" s="22" t="s">
        <v>335</v>
      </c>
      <c r="D587" s="90" t="s">
        <v>1325</v>
      </c>
      <c r="E587" s="122" t="s">
        <v>1326</v>
      </c>
      <c r="F587" s="91" t="s">
        <v>8</v>
      </c>
      <c r="G587" s="91">
        <v>30054</v>
      </c>
      <c r="H587" s="90" t="s">
        <v>187</v>
      </c>
      <c r="I587" s="91" t="s">
        <v>21</v>
      </c>
      <c r="J587" s="91">
        <v>43922</v>
      </c>
      <c r="K587" s="121">
        <v>38</v>
      </c>
      <c r="L587" s="91">
        <v>44010</v>
      </c>
      <c r="M587" s="91">
        <v>44010</v>
      </c>
      <c r="N587" s="125">
        <v>88</v>
      </c>
      <c r="O587" s="92">
        <v>0</v>
      </c>
      <c r="Q587" s="14"/>
    </row>
    <row r="588" ht="15" customHeight="1">
      <c r="B588" s="13"/>
      <c r="C588" s="22" t="s">
        <v>135</v>
      </c>
      <c r="D588" s="90" t="s">
        <v>1327</v>
      </c>
      <c r="E588" s="122" t="s">
        <v>1328</v>
      </c>
      <c r="F588" s="91" t="s">
        <v>8</v>
      </c>
      <c r="G588" s="91">
        <v>27806</v>
      </c>
      <c r="H588" s="90" t="s">
        <v>187</v>
      </c>
      <c r="I588" s="91" t="s">
        <v>21</v>
      </c>
      <c r="J588" s="91">
        <v>44035</v>
      </c>
      <c r="K588" s="121">
        <v>44</v>
      </c>
      <c r="L588" s="91">
        <v>44356</v>
      </c>
      <c r="M588" s="91">
        <v>44356</v>
      </c>
      <c r="N588" s="125">
        <v>321</v>
      </c>
      <c r="O588" s="92">
        <v>9052</v>
      </c>
      <c r="Q588" s="14"/>
    </row>
    <row r="589" ht="15" customHeight="1">
      <c r="B589" s="13"/>
      <c r="C589" s="22" t="s">
        <v>184</v>
      </c>
      <c r="D589" s="90" t="s">
        <v>1329</v>
      </c>
      <c r="E589" s="122" t="s">
        <v>1330</v>
      </c>
      <c r="F589" s="91" t="s">
        <v>8</v>
      </c>
      <c r="G589" s="91">
        <v>27516</v>
      </c>
      <c r="H589" s="90" t="s">
        <v>187</v>
      </c>
      <c r="I589" s="91" t="s">
        <v>21</v>
      </c>
      <c r="J589" s="91">
        <v>43836</v>
      </c>
      <c r="K589" s="121">
        <v>45</v>
      </c>
      <c r="L589" s="91">
        <v>44471</v>
      </c>
      <c r="M589" s="91">
        <v>44471</v>
      </c>
      <c r="N589" s="125">
        <v>635</v>
      </c>
      <c r="O589" s="92">
        <v>3568.55</v>
      </c>
      <c r="Q589" s="14"/>
    </row>
    <row r="590" ht="15" customHeight="1">
      <c r="B590" s="13"/>
      <c r="C590" s="22" t="s">
        <v>184</v>
      </c>
      <c r="D590" s="90" t="s">
        <v>1331</v>
      </c>
      <c r="E590" s="122" t="s">
        <v>1332</v>
      </c>
      <c r="F590" s="91" t="s">
        <v>8</v>
      </c>
      <c r="G590" s="91">
        <v>27471</v>
      </c>
      <c r="H590" s="90" t="s">
        <v>187</v>
      </c>
      <c r="I590" s="91" t="s">
        <v>21</v>
      </c>
      <c r="J590" s="91">
        <v>44277</v>
      </c>
      <c r="K590" s="121">
        <v>46</v>
      </c>
      <c r="L590" s="91">
        <v>44533</v>
      </c>
      <c r="M590" s="91"/>
      <c r="N590" s="125">
        <v>0</v>
      </c>
      <c r="O590" s="92">
        <v>4791.97</v>
      </c>
      <c r="Q590" s="14"/>
    </row>
    <row r="591" ht="15" customHeight="1">
      <c r="B591" s="13"/>
      <c r="C591" s="22" t="s">
        <v>184</v>
      </c>
      <c r="D591" s="90" t="s">
        <v>1333</v>
      </c>
      <c r="E591" s="122" t="s">
        <v>1334</v>
      </c>
      <c r="F591" s="91" t="s">
        <v>8</v>
      </c>
      <c r="G591" s="91">
        <v>26293</v>
      </c>
      <c r="H591" s="90" t="s">
        <v>187</v>
      </c>
      <c r="I591" s="91" t="s">
        <v>21</v>
      </c>
      <c r="J591" s="91">
        <v>44033</v>
      </c>
      <c r="K591" s="121">
        <v>49</v>
      </c>
      <c r="L591" s="91">
        <v>44220</v>
      </c>
      <c r="M591" s="91">
        <v>44220</v>
      </c>
      <c r="N591" s="125">
        <v>187</v>
      </c>
      <c r="O591" s="92">
        <v>2879.34</v>
      </c>
      <c r="Q591" s="14"/>
    </row>
    <row r="592" ht="15" customHeight="1">
      <c r="B592" s="13"/>
      <c r="C592" s="22" t="s">
        <v>184</v>
      </c>
      <c r="D592" s="90" t="s">
        <v>1335</v>
      </c>
      <c r="E592" s="122" t="s">
        <v>1336</v>
      </c>
      <c r="F592" s="91" t="s">
        <v>8</v>
      </c>
      <c r="G592" s="91">
        <v>22848</v>
      </c>
      <c r="H592" s="90" t="s">
        <v>187</v>
      </c>
      <c r="I592" s="91" t="s">
        <v>21</v>
      </c>
      <c r="J592" s="91">
        <v>44046</v>
      </c>
      <c r="K592" s="121">
        <v>58</v>
      </c>
      <c r="L592" s="91">
        <v>44227</v>
      </c>
      <c r="M592" s="91">
        <v>44227</v>
      </c>
      <c r="N592" s="125">
        <v>181</v>
      </c>
      <c r="O592" s="92">
        <v>3486.92</v>
      </c>
      <c r="Q592" s="14"/>
    </row>
    <row r="593" ht="15" customHeight="1">
      <c r="B593" s="13"/>
      <c r="C593" s="22" t="s">
        <v>184</v>
      </c>
      <c r="D593" s="90" t="s">
        <v>1337</v>
      </c>
      <c r="E593" s="122" t="s">
        <v>1338</v>
      </c>
      <c r="F593" s="91" t="s">
        <v>8</v>
      </c>
      <c r="G593" s="91">
        <v>22786</v>
      </c>
      <c r="H593" s="90" t="s">
        <v>197</v>
      </c>
      <c r="I593" s="91" t="s">
        <v>21</v>
      </c>
      <c r="J593" s="91">
        <v>44459</v>
      </c>
      <c r="K593" s="121">
        <v>59</v>
      </c>
      <c r="L593" s="91">
        <v>44531</v>
      </c>
      <c r="M593" s="91"/>
      <c r="N593" s="125">
        <v>0</v>
      </c>
      <c r="O593" s="92">
        <v>1431.47</v>
      </c>
      <c r="Q593" s="14"/>
    </row>
    <row r="594" ht="15" customHeight="1">
      <c r="B594" s="13"/>
      <c r="C594" s="22" t="s">
        <v>184</v>
      </c>
      <c r="D594" s="90" t="s">
        <v>1339</v>
      </c>
      <c r="E594" s="122" t="s">
        <v>1340</v>
      </c>
      <c r="F594" s="91" t="s">
        <v>8</v>
      </c>
      <c r="G594" s="91">
        <v>25172</v>
      </c>
      <c r="H594" s="90" t="s">
        <v>187</v>
      </c>
      <c r="I594" s="91" t="s">
        <v>21</v>
      </c>
      <c r="J594" s="91">
        <v>44404</v>
      </c>
      <c r="K594" s="121">
        <v>53</v>
      </c>
      <c r="L594" s="91">
        <v>44526</v>
      </c>
      <c r="M594" s="91"/>
      <c r="N594" s="125">
        <v>0</v>
      </c>
      <c r="O594" s="92">
        <v>829.56</v>
      </c>
      <c r="Q594" s="14"/>
    </row>
    <row r="595" ht="15" customHeight="1">
      <c r="B595" s="13"/>
      <c r="C595" s="22" t="s">
        <v>184</v>
      </c>
      <c r="D595" s="90" t="s">
        <v>1341</v>
      </c>
      <c r="E595" s="122" t="s">
        <v>1342</v>
      </c>
      <c r="F595" s="91" t="s">
        <v>8</v>
      </c>
      <c r="G595" s="91">
        <v>30216</v>
      </c>
      <c r="H595" s="90" t="s">
        <v>187</v>
      </c>
      <c r="I595" s="91" t="s">
        <v>21</v>
      </c>
      <c r="J595" s="91">
        <v>44275</v>
      </c>
      <c r="K595" s="121">
        <v>39</v>
      </c>
      <c r="L595" s="91">
        <v>44540</v>
      </c>
      <c r="M595" s="91"/>
      <c r="N595" s="125">
        <v>0</v>
      </c>
      <c r="O595" s="92">
        <v>7575.5999999999985</v>
      </c>
      <c r="Q595" s="14"/>
    </row>
    <row r="596" ht="15" customHeight="1">
      <c r="B596" s="13"/>
      <c r="C596" s="22" t="s">
        <v>184</v>
      </c>
      <c r="D596" s="90" t="s">
        <v>1343</v>
      </c>
      <c r="E596" s="122" t="s">
        <v>1344</v>
      </c>
      <c r="F596" s="91" t="s">
        <v>8</v>
      </c>
      <c r="G596" s="91">
        <v>32455</v>
      </c>
      <c r="H596" s="90" t="s">
        <v>187</v>
      </c>
      <c r="I596" s="91" t="s">
        <v>21</v>
      </c>
      <c r="J596" s="91">
        <v>44155</v>
      </c>
      <c r="K596" s="121">
        <v>32</v>
      </c>
      <c r="L596" s="91">
        <v>44232</v>
      </c>
      <c r="M596" s="91">
        <v>44232</v>
      </c>
      <c r="N596" s="125">
        <v>77</v>
      </c>
      <c r="O596" s="92">
        <v>1244.16</v>
      </c>
      <c r="Q596" s="14"/>
    </row>
    <row r="597" ht="15" customHeight="1">
      <c r="B597" s="13"/>
      <c r="C597" s="22" t="s">
        <v>184</v>
      </c>
      <c r="D597" s="90" t="s">
        <v>1345</v>
      </c>
      <c r="E597" s="122" t="s">
        <v>1346</v>
      </c>
      <c r="F597" s="91" t="s">
        <v>8</v>
      </c>
      <c r="G597" s="91">
        <v>25317</v>
      </c>
      <c r="H597" s="90" t="s">
        <v>187</v>
      </c>
      <c r="I597" s="91" t="s">
        <v>21</v>
      </c>
      <c r="J597" s="91">
        <v>44159</v>
      </c>
      <c r="K597" s="121">
        <v>51</v>
      </c>
      <c r="L597" s="91">
        <v>44519</v>
      </c>
      <c r="M597" s="91"/>
      <c r="N597" s="125">
        <v>0</v>
      </c>
      <c r="O597" s="92">
        <v>2627.49</v>
      </c>
      <c r="Q597" s="14"/>
    </row>
    <row r="598" ht="15" customHeight="1">
      <c r="B598" s="13"/>
      <c r="C598" s="22" t="s">
        <v>184</v>
      </c>
      <c r="D598" s="90" t="s">
        <v>1347</v>
      </c>
      <c r="E598" s="122" t="s">
        <v>1348</v>
      </c>
      <c r="F598" s="91" t="s">
        <v>8</v>
      </c>
      <c r="G598" s="91">
        <v>22189</v>
      </c>
      <c r="H598" s="90" t="s">
        <v>187</v>
      </c>
      <c r="I598" s="91" t="s">
        <v>21</v>
      </c>
      <c r="J598" s="91">
        <v>44001</v>
      </c>
      <c r="K598" s="121">
        <v>60</v>
      </c>
      <c r="L598" s="91">
        <v>44283</v>
      </c>
      <c r="M598" s="91">
        <v>44283</v>
      </c>
      <c r="N598" s="125">
        <v>282</v>
      </c>
      <c r="O598" s="92">
        <v>0</v>
      </c>
      <c r="Q598" s="14"/>
    </row>
    <row r="599" ht="15" customHeight="1">
      <c r="B599" s="13"/>
      <c r="C599" s="22" t="s">
        <v>184</v>
      </c>
      <c r="D599" s="90" t="s">
        <v>1349</v>
      </c>
      <c r="E599" s="122" t="s">
        <v>1350</v>
      </c>
      <c r="F599" s="91" t="s">
        <v>10</v>
      </c>
      <c r="G599" s="91">
        <v>22376</v>
      </c>
      <c r="H599" s="90" t="s">
        <v>187</v>
      </c>
      <c r="I599" s="91" t="s">
        <v>21</v>
      </c>
      <c r="J599" s="91">
        <v>44359</v>
      </c>
      <c r="K599" s="121">
        <v>60</v>
      </c>
      <c r="L599" s="91">
        <v>44525</v>
      </c>
      <c r="M599" s="91"/>
      <c r="N599" s="125">
        <v>0</v>
      </c>
      <c r="O599" s="92">
        <v>1526.1799999999998</v>
      </c>
      <c r="Q599" s="14"/>
    </row>
    <row r="600" ht="15" customHeight="1">
      <c r="B600" s="13"/>
      <c r="C600" s="22" t="s">
        <v>135</v>
      </c>
      <c r="D600" s="90" t="s">
        <v>1351</v>
      </c>
      <c r="E600" s="122" t="s">
        <v>1352</v>
      </c>
      <c r="F600" s="91" t="s">
        <v>10</v>
      </c>
      <c r="G600" s="91">
        <v>22469</v>
      </c>
      <c r="H600" s="90" t="s">
        <v>187</v>
      </c>
      <c r="I600" s="91" t="s">
        <v>21</v>
      </c>
      <c r="J600" s="91">
        <v>44355</v>
      </c>
      <c r="K600" s="121">
        <v>60</v>
      </c>
      <c r="L600" s="91">
        <v>44397</v>
      </c>
      <c r="M600" s="91">
        <v>44398</v>
      </c>
      <c r="N600" s="125">
        <v>43</v>
      </c>
      <c r="O600" s="92">
        <v>650.13</v>
      </c>
      <c r="Q600" s="14"/>
    </row>
    <row r="601" ht="15" customHeight="1">
      <c r="B601" s="13"/>
      <c r="C601" s="22" t="s">
        <v>135</v>
      </c>
      <c r="D601" s="90" t="s">
        <v>1353</v>
      </c>
      <c r="E601" s="122" t="s">
        <v>1354</v>
      </c>
      <c r="F601" s="91" t="s">
        <v>8</v>
      </c>
      <c r="G601" s="91">
        <v>28694</v>
      </c>
      <c r="H601" s="90" t="s">
        <v>187</v>
      </c>
      <c r="I601" s="91" t="s">
        <v>21</v>
      </c>
      <c r="J601" s="91">
        <v>43924</v>
      </c>
      <c r="K601" s="121">
        <v>42</v>
      </c>
      <c r="L601" s="91">
        <v>43958</v>
      </c>
      <c r="M601" s="91">
        <v>43958</v>
      </c>
      <c r="N601" s="125">
        <v>34</v>
      </c>
      <c r="O601" s="92">
        <v>55.35</v>
      </c>
      <c r="Q601" s="14"/>
    </row>
    <row r="602" ht="15" customHeight="1">
      <c r="B602" s="13"/>
      <c r="C602" s="22" t="s">
        <v>135</v>
      </c>
      <c r="D602" s="90" t="s">
        <v>1355</v>
      </c>
      <c r="E602" s="122" t="s">
        <v>1354</v>
      </c>
      <c r="F602" s="91" t="s">
        <v>8</v>
      </c>
      <c r="G602" s="91">
        <v>28694</v>
      </c>
      <c r="H602" s="90" t="s">
        <v>187</v>
      </c>
      <c r="I602" s="91" t="s">
        <v>21</v>
      </c>
      <c r="J602" s="91">
        <v>44078</v>
      </c>
      <c r="K602" s="121">
        <v>42</v>
      </c>
      <c r="L602" s="91">
        <v>44124</v>
      </c>
      <c r="M602" s="91">
        <v>44124</v>
      </c>
      <c r="N602" s="125">
        <v>46</v>
      </c>
      <c r="O602" s="92">
        <v>134.47</v>
      </c>
      <c r="Q602" s="14"/>
    </row>
    <row r="603" ht="15" customHeight="1">
      <c r="B603" s="13"/>
      <c r="C603" s="22" t="s">
        <v>184</v>
      </c>
      <c r="D603" s="90" t="s">
        <v>1356</v>
      </c>
      <c r="E603" s="122" t="s">
        <v>1357</v>
      </c>
      <c r="F603" s="91" t="s">
        <v>8</v>
      </c>
      <c r="G603" s="91">
        <v>29173</v>
      </c>
      <c r="H603" s="90" t="s">
        <v>187</v>
      </c>
      <c r="I603" s="91" t="s">
        <v>21</v>
      </c>
      <c r="J603" s="91">
        <v>44320</v>
      </c>
      <c r="K603" s="121">
        <v>42</v>
      </c>
      <c r="L603" s="91">
        <v>44540</v>
      </c>
      <c r="M603" s="91"/>
      <c r="N603" s="125">
        <v>0</v>
      </c>
      <c r="O603" s="92">
        <v>4330.88</v>
      </c>
      <c r="Q603" s="14"/>
    </row>
    <row r="604" ht="15" customHeight="1">
      <c r="B604" s="13"/>
      <c r="C604" s="22" t="s">
        <v>184</v>
      </c>
      <c r="D604" s="90" t="s">
        <v>1358</v>
      </c>
      <c r="E604" s="122" t="s">
        <v>1359</v>
      </c>
      <c r="F604" s="91" t="s">
        <v>8</v>
      </c>
      <c r="G604" s="91">
        <v>32600</v>
      </c>
      <c r="H604" s="90" t="s">
        <v>187</v>
      </c>
      <c r="I604" s="91" t="s">
        <v>21</v>
      </c>
      <c r="J604" s="91">
        <v>44302</v>
      </c>
      <c r="K604" s="121">
        <v>32</v>
      </c>
      <c r="L604" s="91">
        <v>44384</v>
      </c>
      <c r="M604" s="91">
        <v>44355</v>
      </c>
      <c r="N604" s="125">
        <v>53</v>
      </c>
      <c r="O604" s="92">
        <v>550.07999999999993</v>
      </c>
      <c r="Q604" s="14"/>
    </row>
    <row r="605" ht="15" customHeight="1">
      <c r="B605" s="13"/>
      <c r="C605" s="22" t="s">
        <v>184</v>
      </c>
      <c r="D605" s="90" t="s">
        <v>1360</v>
      </c>
      <c r="E605" s="122" t="s">
        <v>1361</v>
      </c>
      <c r="F605" s="91" t="s">
        <v>8</v>
      </c>
      <c r="G605" s="91">
        <v>28029</v>
      </c>
      <c r="H605" s="90" t="s">
        <v>187</v>
      </c>
      <c r="I605" s="91" t="s">
        <v>21</v>
      </c>
      <c r="J605" s="91">
        <v>44470</v>
      </c>
      <c r="K605" s="121">
        <v>45</v>
      </c>
      <c r="L605" s="91">
        <v>44522</v>
      </c>
      <c r="M605" s="91"/>
      <c r="N605" s="125">
        <v>0</v>
      </c>
      <c r="O605" s="92">
        <v>398.13</v>
      </c>
      <c r="Q605" s="14"/>
    </row>
    <row r="606" ht="15" customHeight="1">
      <c r="B606" s="13"/>
      <c r="C606" s="22" t="s">
        <v>184</v>
      </c>
      <c r="D606" s="90" t="s">
        <v>1362</v>
      </c>
      <c r="E606" s="122" t="s">
        <v>1363</v>
      </c>
      <c r="F606" s="91" t="s">
        <v>8</v>
      </c>
      <c r="G606" s="91">
        <v>30743</v>
      </c>
      <c r="H606" s="90" t="s">
        <v>187</v>
      </c>
      <c r="I606" s="91" t="s">
        <v>21</v>
      </c>
      <c r="J606" s="91">
        <v>44307</v>
      </c>
      <c r="K606" s="121">
        <v>37</v>
      </c>
      <c r="L606" s="91">
        <v>44439</v>
      </c>
      <c r="M606" s="91">
        <v>44439</v>
      </c>
      <c r="N606" s="125">
        <v>132</v>
      </c>
      <c r="O606" s="92">
        <v>2659.46</v>
      </c>
      <c r="Q606" s="14"/>
    </row>
    <row r="607" ht="15" customHeight="1">
      <c r="B607" s="13"/>
      <c r="C607" s="22" t="s">
        <v>184</v>
      </c>
      <c r="D607" s="90" t="s">
        <v>1364</v>
      </c>
      <c r="E607" s="122" t="s">
        <v>1365</v>
      </c>
      <c r="F607" s="91" t="s">
        <v>8</v>
      </c>
      <c r="G607" s="91">
        <v>32693</v>
      </c>
      <c r="H607" s="90" t="s">
        <v>187</v>
      </c>
      <c r="I607" s="91" t="s">
        <v>21</v>
      </c>
      <c r="J607" s="91">
        <v>44130</v>
      </c>
      <c r="K607" s="121">
        <v>31</v>
      </c>
      <c r="L607" s="91">
        <v>44529</v>
      </c>
      <c r="M607" s="91"/>
      <c r="N607" s="125">
        <v>0</v>
      </c>
      <c r="O607" s="92">
        <v>6815.6</v>
      </c>
      <c r="Q607" s="14"/>
    </row>
    <row r="608" ht="15" customHeight="1">
      <c r="B608" s="13"/>
      <c r="C608" s="22" t="s">
        <v>184</v>
      </c>
      <c r="D608" s="90" t="s">
        <v>1366</v>
      </c>
      <c r="E608" s="122" t="s">
        <v>1367</v>
      </c>
      <c r="F608" s="91" t="s">
        <v>8</v>
      </c>
      <c r="G608" s="91">
        <v>28593</v>
      </c>
      <c r="H608" s="90" t="s">
        <v>197</v>
      </c>
      <c r="I608" s="91" t="s">
        <v>21</v>
      </c>
      <c r="J608" s="91">
        <v>44264</v>
      </c>
      <c r="K608" s="121">
        <v>43</v>
      </c>
      <c r="L608" s="91">
        <v>44297</v>
      </c>
      <c r="M608" s="91">
        <v>44297</v>
      </c>
      <c r="N608" s="125">
        <v>33</v>
      </c>
      <c r="O608" s="92">
        <v>161.12</v>
      </c>
      <c r="Q608" s="14"/>
    </row>
    <row r="609" ht="15" customHeight="1">
      <c r="B609" s="13"/>
      <c r="C609" s="22" t="s">
        <v>184</v>
      </c>
      <c r="D609" s="90" t="s">
        <v>1368</v>
      </c>
      <c r="E609" s="122" t="s">
        <v>1369</v>
      </c>
      <c r="F609" s="91" t="s">
        <v>8</v>
      </c>
      <c r="G609" s="91">
        <v>32079</v>
      </c>
      <c r="H609" s="90" t="s">
        <v>187</v>
      </c>
      <c r="I609" s="91" t="s">
        <v>21</v>
      </c>
      <c r="J609" s="91">
        <v>43957</v>
      </c>
      <c r="K609" s="121">
        <v>33</v>
      </c>
      <c r="L609" s="91">
        <v>44015</v>
      </c>
      <c r="M609" s="91">
        <v>44015</v>
      </c>
      <c r="N609" s="125">
        <v>58</v>
      </c>
      <c r="O609" s="92">
        <v>0</v>
      </c>
      <c r="Q609" s="14"/>
    </row>
    <row r="610" ht="15" customHeight="1">
      <c r="B610" s="13"/>
      <c r="C610" s="22" t="s">
        <v>184</v>
      </c>
      <c r="D610" s="90" t="s">
        <v>1370</v>
      </c>
      <c r="E610" s="122" t="s">
        <v>1369</v>
      </c>
      <c r="F610" s="91" t="s">
        <v>8</v>
      </c>
      <c r="G610" s="91">
        <v>32079</v>
      </c>
      <c r="H610" s="90" t="s">
        <v>187</v>
      </c>
      <c r="I610" s="91" t="s">
        <v>21</v>
      </c>
      <c r="J610" s="91">
        <v>44124</v>
      </c>
      <c r="K610" s="121">
        <v>33</v>
      </c>
      <c r="L610" s="91">
        <v>44280</v>
      </c>
      <c r="M610" s="91">
        <v>44280</v>
      </c>
      <c r="N610" s="125">
        <v>156</v>
      </c>
      <c r="O610" s="92">
        <v>2071.44</v>
      </c>
      <c r="Q610" s="14"/>
    </row>
    <row r="611" ht="15" customHeight="1">
      <c r="B611" s="13"/>
      <c r="C611" s="22" t="s">
        <v>184</v>
      </c>
      <c r="D611" s="90" t="s">
        <v>1371</v>
      </c>
      <c r="E611" s="122" t="s">
        <v>1372</v>
      </c>
      <c r="F611" s="91" t="s">
        <v>8</v>
      </c>
      <c r="G611" s="91">
        <v>30073</v>
      </c>
      <c r="H611" s="90" t="s">
        <v>187</v>
      </c>
      <c r="I611" s="91" t="s">
        <v>21</v>
      </c>
      <c r="J611" s="91">
        <v>44298</v>
      </c>
      <c r="K611" s="121">
        <v>39</v>
      </c>
      <c r="L611" s="91">
        <v>44342</v>
      </c>
      <c r="M611" s="91">
        <v>44342</v>
      </c>
      <c r="N611" s="125">
        <v>44</v>
      </c>
      <c r="O611" s="92">
        <v>395.1</v>
      </c>
      <c r="Q611" s="14"/>
    </row>
    <row r="612" ht="15" customHeight="1">
      <c r="B612" s="13"/>
      <c r="C612" s="22" t="s">
        <v>184</v>
      </c>
      <c r="D612" s="90" t="s">
        <v>1373</v>
      </c>
      <c r="E612" s="122" t="s">
        <v>1374</v>
      </c>
      <c r="F612" s="91" t="s">
        <v>8</v>
      </c>
      <c r="G612" s="91">
        <v>18862</v>
      </c>
      <c r="H612" s="90" t="s">
        <v>187</v>
      </c>
      <c r="I612" s="91" t="s">
        <v>21</v>
      </c>
      <c r="J612" s="91">
        <v>43936</v>
      </c>
      <c r="K612" s="121">
        <v>69</v>
      </c>
      <c r="L612" s="91">
        <v>44210</v>
      </c>
      <c r="M612" s="91">
        <v>44210</v>
      </c>
      <c r="N612" s="125">
        <v>274</v>
      </c>
      <c r="O612" s="92">
        <v>4780.8799999999992</v>
      </c>
      <c r="Q612" s="14"/>
    </row>
    <row r="613" ht="15" customHeight="1">
      <c r="B613" s="13"/>
      <c r="C613" s="22" t="s">
        <v>184</v>
      </c>
      <c r="D613" s="90" t="s">
        <v>1375</v>
      </c>
      <c r="E613" s="122" t="s">
        <v>1376</v>
      </c>
      <c r="F613" s="91" t="s">
        <v>8</v>
      </c>
      <c r="G613" s="91">
        <v>31498</v>
      </c>
      <c r="H613" s="90" t="s">
        <v>187</v>
      </c>
      <c r="I613" s="91" t="s">
        <v>21</v>
      </c>
      <c r="J613" s="91">
        <v>44089</v>
      </c>
      <c r="K613" s="121">
        <v>34</v>
      </c>
      <c r="L613" s="91">
        <v>44122</v>
      </c>
      <c r="M613" s="91">
        <v>44122</v>
      </c>
      <c r="N613" s="125">
        <v>33</v>
      </c>
      <c r="O613" s="92">
        <v>95.72</v>
      </c>
      <c r="Q613" s="14"/>
    </row>
    <row r="614" ht="15" customHeight="1">
      <c r="B614" s="13"/>
      <c r="C614" s="22" t="s">
        <v>184</v>
      </c>
      <c r="D614" s="90" t="s">
        <v>1377</v>
      </c>
      <c r="E614" s="122" t="s">
        <v>1378</v>
      </c>
      <c r="F614" s="91" t="s">
        <v>10</v>
      </c>
      <c r="G614" s="91">
        <v>21156</v>
      </c>
      <c r="H614" s="90" t="s">
        <v>187</v>
      </c>
      <c r="I614" s="91" t="s">
        <v>21</v>
      </c>
      <c r="J614" s="91">
        <v>44051</v>
      </c>
      <c r="K614" s="121">
        <v>63</v>
      </c>
      <c r="L614" s="91">
        <v>44530</v>
      </c>
      <c r="M614" s="91"/>
      <c r="N614" s="125">
        <v>0</v>
      </c>
      <c r="O614" s="92">
        <v>6300</v>
      </c>
      <c r="Q614" s="14"/>
    </row>
    <row r="615" ht="15" customHeight="1">
      <c r="B615" s="13"/>
      <c r="C615" s="22" t="s">
        <v>184</v>
      </c>
      <c r="D615" s="90" t="s">
        <v>1379</v>
      </c>
      <c r="E615" s="122" t="s">
        <v>1380</v>
      </c>
      <c r="F615" s="91" t="s">
        <v>8</v>
      </c>
      <c r="G615" s="91">
        <v>23296</v>
      </c>
      <c r="H615" s="90" t="s">
        <v>197</v>
      </c>
      <c r="I615" s="91" t="s">
        <v>21</v>
      </c>
      <c r="J615" s="91">
        <v>44137</v>
      </c>
      <c r="K615" s="121">
        <v>57</v>
      </c>
      <c r="L615" s="91">
        <v>44255</v>
      </c>
      <c r="M615" s="91">
        <v>44255</v>
      </c>
      <c r="N615" s="125">
        <v>118</v>
      </c>
      <c r="O615" s="92">
        <v>11812.08</v>
      </c>
      <c r="Q615" s="14"/>
    </row>
    <row r="616" ht="15" customHeight="1">
      <c r="B616" s="13"/>
      <c r="C616" s="22" t="s">
        <v>135</v>
      </c>
      <c r="D616" s="90" t="s">
        <v>1381</v>
      </c>
      <c r="E616" s="122" t="s">
        <v>1382</v>
      </c>
      <c r="F616" s="91" t="s">
        <v>8</v>
      </c>
      <c r="G616" s="91">
        <v>26371</v>
      </c>
      <c r="H616" s="90" t="s">
        <v>187</v>
      </c>
      <c r="I616" s="91" t="s">
        <v>21</v>
      </c>
      <c r="J616" s="91">
        <v>44487</v>
      </c>
      <c r="K616" s="121">
        <v>49</v>
      </c>
      <c r="L616" s="91">
        <v>44532</v>
      </c>
      <c r="M616" s="91"/>
      <c r="N616" s="125">
        <v>0</v>
      </c>
      <c r="O616" s="92">
        <v>507.20000000000005</v>
      </c>
      <c r="Q616" s="14"/>
    </row>
    <row r="617" ht="15" customHeight="1">
      <c r="B617" s="13"/>
      <c r="C617" s="22" t="s">
        <v>135</v>
      </c>
      <c r="D617" s="90" t="s">
        <v>1383</v>
      </c>
      <c r="E617" s="122" t="s">
        <v>1384</v>
      </c>
      <c r="F617" s="91" t="s">
        <v>8</v>
      </c>
      <c r="G617" s="91">
        <v>30370</v>
      </c>
      <c r="H617" s="90" t="s">
        <v>187</v>
      </c>
      <c r="I617" s="91" t="s">
        <v>21</v>
      </c>
      <c r="J617" s="91">
        <v>43853</v>
      </c>
      <c r="K617" s="121">
        <v>37</v>
      </c>
      <c r="L617" s="91">
        <v>43961</v>
      </c>
      <c r="M617" s="91">
        <v>43961</v>
      </c>
      <c r="N617" s="125">
        <v>108</v>
      </c>
      <c r="O617" s="92">
        <v>190.39</v>
      </c>
      <c r="Q617" s="14"/>
    </row>
    <row r="618" ht="15" customHeight="1">
      <c r="B618" s="13"/>
      <c r="C618" s="22" t="s">
        <v>135</v>
      </c>
      <c r="D618" s="90" t="s">
        <v>1385</v>
      </c>
      <c r="E618" s="122" t="s">
        <v>1384</v>
      </c>
      <c r="F618" s="91" t="s">
        <v>8</v>
      </c>
      <c r="G618" s="91">
        <v>30370</v>
      </c>
      <c r="H618" s="90" t="s">
        <v>187</v>
      </c>
      <c r="I618" s="91" t="s">
        <v>21</v>
      </c>
      <c r="J618" s="91">
        <v>44295</v>
      </c>
      <c r="K618" s="121">
        <v>38</v>
      </c>
      <c r="L618" s="91">
        <v>44346</v>
      </c>
      <c r="M618" s="91">
        <v>44346</v>
      </c>
      <c r="N618" s="125">
        <v>51</v>
      </c>
      <c r="O618" s="92">
        <v>919.16</v>
      </c>
      <c r="Q618" s="14"/>
    </row>
    <row r="619" ht="15" customHeight="1">
      <c r="B619" s="13"/>
      <c r="C619" s="22" t="s">
        <v>184</v>
      </c>
      <c r="D619" s="90" t="s">
        <v>1386</v>
      </c>
      <c r="E619" s="122" t="s">
        <v>1387</v>
      </c>
      <c r="F619" s="91" t="s">
        <v>8</v>
      </c>
      <c r="G619" s="91">
        <v>31619</v>
      </c>
      <c r="H619" s="90" t="s">
        <v>187</v>
      </c>
      <c r="I619" s="91" t="s">
        <v>21</v>
      </c>
      <c r="J619" s="91">
        <v>43893</v>
      </c>
      <c r="K619" s="121">
        <v>34</v>
      </c>
      <c r="L619" s="91">
        <v>44524</v>
      </c>
      <c r="M619" s="91"/>
      <c r="N619" s="125">
        <v>0</v>
      </c>
      <c r="O619" s="92">
        <v>14807.470000000003</v>
      </c>
      <c r="Q619" s="14"/>
    </row>
    <row r="620" ht="15" customHeight="1">
      <c r="B620" s="13"/>
      <c r="C620" s="22" t="s">
        <v>561</v>
      </c>
      <c r="D620" s="90" t="s">
        <v>1388</v>
      </c>
      <c r="E620" s="122" t="s">
        <v>1389</v>
      </c>
      <c r="F620" s="91" t="s">
        <v>8</v>
      </c>
      <c r="G620" s="91">
        <v>32478</v>
      </c>
      <c r="H620" s="90" t="s">
        <v>187</v>
      </c>
      <c r="I620" s="91" t="s">
        <v>21</v>
      </c>
      <c r="J620" s="91">
        <v>44016</v>
      </c>
      <c r="K620" s="121">
        <v>32</v>
      </c>
      <c r="L620" s="91">
        <v>44107</v>
      </c>
      <c r="M620" s="91">
        <v>44107</v>
      </c>
      <c r="N620" s="125">
        <v>91</v>
      </c>
      <c r="O620" s="92">
        <v>-404.52</v>
      </c>
      <c r="Q620" s="14"/>
    </row>
    <row r="621" ht="15" customHeight="1">
      <c r="B621" s="13"/>
      <c r="C621" s="22" t="s">
        <v>184</v>
      </c>
      <c r="D621" s="90" t="s">
        <v>1390</v>
      </c>
      <c r="E621" s="122" t="s">
        <v>1391</v>
      </c>
      <c r="F621" s="91" t="s">
        <v>8</v>
      </c>
      <c r="G621" s="91">
        <v>33188</v>
      </c>
      <c r="H621" s="90" t="s">
        <v>187</v>
      </c>
      <c r="I621" s="91" t="s">
        <v>21</v>
      </c>
      <c r="J621" s="91">
        <v>44134</v>
      </c>
      <c r="K621" s="121">
        <v>30</v>
      </c>
      <c r="L621" s="91">
        <v>44168</v>
      </c>
      <c r="M621" s="91">
        <v>44168</v>
      </c>
      <c r="N621" s="125">
        <v>34</v>
      </c>
      <c r="O621" s="92">
        <v>94.65</v>
      </c>
      <c r="Q621" s="14"/>
    </row>
    <row r="622" ht="15" customHeight="1">
      <c r="B622" s="13"/>
      <c r="C622" s="22" t="s">
        <v>200</v>
      </c>
      <c r="D622" s="90" t="s">
        <v>1392</v>
      </c>
      <c r="E622" s="122" t="s">
        <v>1393</v>
      </c>
      <c r="F622" s="91" t="s">
        <v>8</v>
      </c>
      <c r="G622" s="91">
        <v>31850</v>
      </c>
      <c r="H622" s="90" t="s">
        <v>197</v>
      </c>
      <c r="I622" s="91" t="s">
        <v>21</v>
      </c>
      <c r="J622" s="91">
        <v>44261</v>
      </c>
      <c r="K622" s="121">
        <v>34</v>
      </c>
      <c r="L622" s="91">
        <v>44513</v>
      </c>
      <c r="M622" s="91"/>
      <c r="N622" s="125">
        <v>0</v>
      </c>
      <c r="O622" s="92">
        <v>5064.33</v>
      </c>
      <c r="Q622" s="14"/>
    </row>
    <row r="623" ht="15" customHeight="1">
      <c r="B623" s="13"/>
      <c r="C623" s="22" t="s">
        <v>184</v>
      </c>
      <c r="D623" s="90" t="s">
        <v>1394</v>
      </c>
      <c r="E623" s="122" t="s">
        <v>1395</v>
      </c>
      <c r="F623" s="91" t="s">
        <v>8</v>
      </c>
      <c r="G623" s="91">
        <v>29702</v>
      </c>
      <c r="H623" s="90" t="s">
        <v>187</v>
      </c>
      <c r="I623" s="91" t="s">
        <v>21</v>
      </c>
      <c r="J623" s="91">
        <v>44288</v>
      </c>
      <c r="K623" s="121">
        <v>40</v>
      </c>
      <c r="L623" s="91">
        <v>44367</v>
      </c>
      <c r="M623" s="91">
        <v>44367</v>
      </c>
      <c r="N623" s="125">
        <v>79</v>
      </c>
      <c r="O623" s="92">
        <v>1040</v>
      </c>
      <c r="Q623" s="14"/>
    </row>
    <row r="624" ht="15" customHeight="1">
      <c r="B624" s="13"/>
      <c r="C624" s="22" t="s">
        <v>184</v>
      </c>
      <c r="D624" s="90" t="s">
        <v>1396</v>
      </c>
      <c r="E624" s="122" t="s">
        <v>1397</v>
      </c>
      <c r="F624" s="91" t="s">
        <v>8</v>
      </c>
      <c r="G624" s="91">
        <v>31110</v>
      </c>
      <c r="H624" s="90" t="s">
        <v>187</v>
      </c>
      <c r="I624" s="91" t="s">
        <v>21</v>
      </c>
      <c r="J624" s="91">
        <v>44431</v>
      </c>
      <c r="K624" s="121">
        <v>36</v>
      </c>
      <c r="L624" s="91">
        <v>44477</v>
      </c>
      <c r="M624" s="91">
        <v>44477</v>
      </c>
      <c r="N624" s="125">
        <v>46</v>
      </c>
      <c r="O624" s="92">
        <v>549.44</v>
      </c>
      <c r="Q624" s="14"/>
    </row>
    <row r="625" ht="15" customHeight="1">
      <c r="B625" s="13"/>
      <c r="C625" s="22" t="s">
        <v>184</v>
      </c>
      <c r="D625" s="90" t="s">
        <v>1398</v>
      </c>
      <c r="E625" s="122" t="s">
        <v>1399</v>
      </c>
      <c r="F625" s="91" t="s">
        <v>8</v>
      </c>
      <c r="G625" s="91">
        <v>24414</v>
      </c>
      <c r="H625" s="90" t="s">
        <v>197</v>
      </c>
      <c r="I625" s="91" t="s">
        <v>21</v>
      </c>
      <c r="J625" s="91">
        <v>44279</v>
      </c>
      <c r="K625" s="121">
        <v>55</v>
      </c>
      <c r="L625" s="91">
        <v>44357</v>
      </c>
      <c r="M625" s="91">
        <v>44357</v>
      </c>
      <c r="N625" s="125">
        <v>78</v>
      </c>
      <c r="O625" s="92">
        <v>750.68</v>
      </c>
      <c r="Q625" s="14"/>
    </row>
    <row r="626" ht="15" customHeight="1">
      <c r="B626" s="13"/>
      <c r="C626" s="22" t="s">
        <v>184</v>
      </c>
      <c r="D626" s="90" t="s">
        <v>1400</v>
      </c>
      <c r="E626" s="122" t="s">
        <v>1401</v>
      </c>
      <c r="F626" s="91" t="s">
        <v>8</v>
      </c>
      <c r="G626" s="91">
        <v>23802</v>
      </c>
      <c r="H626" s="90" t="s">
        <v>197</v>
      </c>
      <c r="I626" s="91" t="s">
        <v>21</v>
      </c>
      <c r="J626" s="91">
        <v>44258</v>
      </c>
      <c r="K626" s="121">
        <v>56</v>
      </c>
      <c r="L626" s="91">
        <v>44469</v>
      </c>
      <c r="M626" s="91">
        <v>44347</v>
      </c>
      <c r="N626" s="125">
        <v>89</v>
      </c>
      <c r="O626" s="92">
        <v>1567.2</v>
      </c>
      <c r="Q626" s="14"/>
    </row>
    <row r="627" ht="15" customHeight="1">
      <c r="B627" s="13"/>
      <c r="C627" s="22" t="s">
        <v>184</v>
      </c>
      <c r="D627" s="90" t="s">
        <v>1402</v>
      </c>
      <c r="E627" s="122" t="s">
        <v>1403</v>
      </c>
      <c r="F627" s="91" t="s">
        <v>8</v>
      </c>
      <c r="G627" s="91">
        <v>22928</v>
      </c>
      <c r="H627" s="90" t="s">
        <v>187</v>
      </c>
      <c r="I627" s="91" t="s">
        <v>21</v>
      </c>
      <c r="J627" s="91">
        <v>44117</v>
      </c>
      <c r="K627" s="121">
        <v>58</v>
      </c>
      <c r="L627" s="91">
        <v>44533</v>
      </c>
      <c r="M627" s="91"/>
      <c r="N627" s="125">
        <v>0</v>
      </c>
      <c r="O627" s="92">
        <v>6348.4599999999991</v>
      </c>
      <c r="Q627" s="14"/>
    </row>
    <row r="628" ht="15" customHeight="1">
      <c r="B628" s="13"/>
      <c r="C628" s="22" t="s">
        <v>135</v>
      </c>
      <c r="D628" s="90" t="s">
        <v>1404</v>
      </c>
      <c r="E628" s="122" t="s">
        <v>1405</v>
      </c>
      <c r="F628" s="91" t="s">
        <v>8</v>
      </c>
      <c r="G628" s="91">
        <v>24056</v>
      </c>
      <c r="H628" s="90" t="s">
        <v>187</v>
      </c>
      <c r="I628" s="91" t="s">
        <v>21</v>
      </c>
      <c r="J628" s="91">
        <v>43899</v>
      </c>
      <c r="K628" s="121">
        <v>55</v>
      </c>
      <c r="L628" s="91">
        <v>43951</v>
      </c>
      <c r="M628" s="91">
        <v>43951</v>
      </c>
      <c r="N628" s="125">
        <v>52</v>
      </c>
      <c r="O628" s="92">
        <v>745.89</v>
      </c>
      <c r="Q628" s="14"/>
    </row>
    <row r="629" ht="15" customHeight="1">
      <c r="B629" s="13"/>
      <c r="C629" s="22" t="s">
        <v>184</v>
      </c>
      <c r="D629" s="90" t="s">
        <v>1406</v>
      </c>
      <c r="E629" s="122" t="s">
        <v>1407</v>
      </c>
      <c r="F629" s="91" t="s">
        <v>8</v>
      </c>
      <c r="G629" s="91">
        <v>25791</v>
      </c>
      <c r="H629" s="90" t="s">
        <v>187</v>
      </c>
      <c r="I629" s="91" t="s">
        <v>21</v>
      </c>
      <c r="J629" s="91">
        <v>44364</v>
      </c>
      <c r="K629" s="121">
        <v>51</v>
      </c>
      <c r="L629" s="91">
        <v>44413</v>
      </c>
      <c r="M629" s="91">
        <v>44439</v>
      </c>
      <c r="N629" s="125">
        <v>75</v>
      </c>
      <c r="O629" s="92">
        <v>20.8</v>
      </c>
      <c r="Q629" s="14"/>
    </row>
    <row r="630" ht="15" customHeight="1">
      <c r="B630" s="13"/>
      <c r="C630" s="22" t="s">
        <v>184</v>
      </c>
      <c r="D630" s="90" t="s">
        <v>1408</v>
      </c>
      <c r="E630" s="122" t="s">
        <v>1409</v>
      </c>
      <c r="F630" s="91" t="s">
        <v>8</v>
      </c>
      <c r="G630" s="91">
        <v>29613</v>
      </c>
      <c r="H630" s="90" t="s">
        <v>187</v>
      </c>
      <c r="I630" s="91" t="s">
        <v>21</v>
      </c>
      <c r="J630" s="91">
        <v>44018</v>
      </c>
      <c r="K630" s="121">
        <v>39</v>
      </c>
      <c r="L630" s="91">
        <v>44355</v>
      </c>
      <c r="M630" s="91">
        <v>44355</v>
      </c>
      <c r="N630" s="125">
        <v>337</v>
      </c>
      <c r="O630" s="92">
        <v>13183.279999999999</v>
      </c>
      <c r="Q630" s="14"/>
    </row>
    <row r="631" ht="15" customHeight="1">
      <c r="B631" s="13"/>
      <c r="C631" s="22" t="s">
        <v>184</v>
      </c>
      <c r="D631" s="90" t="s">
        <v>1410</v>
      </c>
      <c r="E631" s="122" t="s">
        <v>1411</v>
      </c>
      <c r="F631" s="91" t="s">
        <v>8</v>
      </c>
      <c r="G631" s="91">
        <v>28758</v>
      </c>
      <c r="H631" s="90" t="s">
        <v>187</v>
      </c>
      <c r="I631" s="91" t="s">
        <v>21</v>
      </c>
      <c r="J631" s="91">
        <v>44149</v>
      </c>
      <c r="K631" s="121">
        <v>42</v>
      </c>
      <c r="L631" s="91">
        <v>44183</v>
      </c>
      <c r="M631" s="91">
        <v>44183</v>
      </c>
      <c r="N631" s="125">
        <v>34</v>
      </c>
      <c r="O631" s="92">
        <v>122.2</v>
      </c>
      <c r="Q631" s="14"/>
    </row>
    <row r="632" ht="15" customHeight="1">
      <c r="B632" s="13"/>
      <c r="C632" s="22" t="s">
        <v>184</v>
      </c>
      <c r="D632" s="90" t="s">
        <v>1412</v>
      </c>
      <c r="E632" s="122" t="s">
        <v>1413</v>
      </c>
      <c r="F632" s="91" t="s">
        <v>8</v>
      </c>
      <c r="G632" s="91">
        <v>32024</v>
      </c>
      <c r="H632" s="90" t="s">
        <v>187</v>
      </c>
      <c r="I632" s="91" t="s">
        <v>21</v>
      </c>
      <c r="J632" s="91">
        <v>43853</v>
      </c>
      <c r="K632" s="121">
        <v>33</v>
      </c>
      <c r="L632" s="91">
        <v>43954</v>
      </c>
      <c r="M632" s="91">
        <v>43954</v>
      </c>
      <c r="N632" s="125">
        <v>101</v>
      </c>
      <c r="O632" s="92">
        <v>99.36</v>
      </c>
      <c r="Q632" s="14"/>
    </row>
    <row r="633" ht="15" customHeight="1">
      <c r="B633" s="13"/>
      <c r="C633" s="22" t="s">
        <v>184</v>
      </c>
      <c r="D633" s="90" t="s">
        <v>1414</v>
      </c>
      <c r="E633" s="122" t="s">
        <v>1415</v>
      </c>
      <c r="F633" s="91" t="s">
        <v>10</v>
      </c>
      <c r="G633" s="91">
        <v>22040</v>
      </c>
      <c r="H633" s="90" t="s">
        <v>187</v>
      </c>
      <c r="I633" s="91" t="s">
        <v>21</v>
      </c>
      <c r="J633" s="91">
        <v>44156</v>
      </c>
      <c r="K633" s="121">
        <v>60</v>
      </c>
      <c r="L633" s="91">
        <v>44316</v>
      </c>
      <c r="M633" s="91">
        <v>44316</v>
      </c>
      <c r="N633" s="125">
        <v>160</v>
      </c>
      <c r="O633" s="92">
        <v>3672.31</v>
      </c>
      <c r="Q633" s="14"/>
    </row>
    <row r="634" ht="15" customHeight="1">
      <c r="B634" s="13"/>
      <c r="C634" s="22" t="s">
        <v>184</v>
      </c>
      <c r="D634" s="90" t="s">
        <v>1416</v>
      </c>
      <c r="E634" s="122" t="s">
        <v>1417</v>
      </c>
      <c r="F634" s="91" t="s">
        <v>8</v>
      </c>
      <c r="G634" s="91">
        <v>21976</v>
      </c>
      <c r="H634" s="90" t="s">
        <v>187</v>
      </c>
      <c r="I634" s="91" t="s">
        <v>21</v>
      </c>
      <c r="J634" s="91">
        <v>43855</v>
      </c>
      <c r="K634" s="121">
        <v>60</v>
      </c>
      <c r="L634" s="91">
        <v>44320</v>
      </c>
      <c r="M634" s="91">
        <v>44320</v>
      </c>
      <c r="N634" s="125">
        <v>465</v>
      </c>
      <c r="O634" s="92">
        <v>2188.7200000000003</v>
      </c>
      <c r="Q634" s="14"/>
    </row>
    <row r="635" ht="15" customHeight="1">
      <c r="B635" s="13"/>
      <c r="C635" s="22" t="s">
        <v>184</v>
      </c>
      <c r="D635" s="90" t="s">
        <v>1418</v>
      </c>
      <c r="E635" s="122" t="s">
        <v>1419</v>
      </c>
      <c r="F635" s="91" t="s">
        <v>8</v>
      </c>
      <c r="G635" s="91">
        <v>31506</v>
      </c>
      <c r="H635" s="90" t="s">
        <v>187</v>
      </c>
      <c r="I635" s="91" t="s">
        <v>21</v>
      </c>
      <c r="J635" s="91">
        <v>44078</v>
      </c>
      <c r="K635" s="121">
        <v>34</v>
      </c>
      <c r="L635" s="91">
        <v>44517</v>
      </c>
      <c r="M635" s="91"/>
      <c r="N635" s="125">
        <v>0</v>
      </c>
      <c r="O635" s="92">
        <v>8555.73</v>
      </c>
      <c r="Q635" s="14"/>
    </row>
    <row r="636" ht="15" customHeight="1">
      <c r="B636" s="13"/>
      <c r="C636" s="22" t="s">
        <v>184</v>
      </c>
      <c r="D636" s="90" t="s">
        <v>1420</v>
      </c>
      <c r="E636" s="122" t="s">
        <v>1421</v>
      </c>
      <c r="F636" s="91" t="s">
        <v>10</v>
      </c>
      <c r="G636" s="91">
        <v>25220</v>
      </c>
      <c r="H636" s="90" t="s">
        <v>187</v>
      </c>
      <c r="I636" s="91" t="s">
        <v>21</v>
      </c>
      <c r="J636" s="91">
        <v>44428</v>
      </c>
      <c r="K636" s="121">
        <v>52</v>
      </c>
      <c r="L636" s="91">
        <v>44468</v>
      </c>
      <c r="M636" s="91">
        <v>44468</v>
      </c>
      <c r="N636" s="125">
        <v>40</v>
      </c>
      <c r="O636" s="92">
        <v>18.26</v>
      </c>
      <c r="Q636" s="14"/>
    </row>
    <row r="637" ht="15" customHeight="1">
      <c r="B637" s="13"/>
      <c r="C637" s="22" t="s">
        <v>184</v>
      </c>
      <c r="D637" s="90" t="s">
        <v>1422</v>
      </c>
      <c r="E637" s="122" t="s">
        <v>1423</v>
      </c>
      <c r="F637" s="91" t="s">
        <v>8</v>
      </c>
      <c r="G637" s="91">
        <v>28528</v>
      </c>
      <c r="H637" s="90" t="s">
        <v>187</v>
      </c>
      <c r="I637" s="91" t="s">
        <v>21</v>
      </c>
      <c r="J637" s="91">
        <v>44011</v>
      </c>
      <c r="K637" s="121">
        <v>42</v>
      </c>
      <c r="L637" s="91">
        <v>44522</v>
      </c>
      <c r="M637" s="91"/>
      <c r="N637" s="125">
        <v>0</v>
      </c>
      <c r="O637" s="92">
        <v>3333.7000000000003</v>
      </c>
      <c r="Q637" s="14"/>
    </row>
    <row r="638" ht="15" customHeight="1">
      <c r="B638" s="13"/>
      <c r="C638" s="22" t="s">
        <v>184</v>
      </c>
      <c r="D638" s="90" t="s">
        <v>1424</v>
      </c>
      <c r="E638" s="122" t="s">
        <v>1423</v>
      </c>
      <c r="F638" s="91" t="s">
        <v>8</v>
      </c>
      <c r="G638" s="91">
        <v>28528</v>
      </c>
      <c r="H638" s="90" t="s">
        <v>187</v>
      </c>
      <c r="I638" s="91" t="s">
        <v>21</v>
      </c>
      <c r="J638" s="91">
        <v>43907</v>
      </c>
      <c r="K638" s="121">
        <v>42</v>
      </c>
      <c r="L638" s="91">
        <v>44522</v>
      </c>
      <c r="M638" s="91"/>
      <c r="N638" s="125">
        <v>0</v>
      </c>
      <c r="O638" s="92">
        <v>3267.1000000000004</v>
      </c>
      <c r="Q638" s="14"/>
    </row>
    <row r="639" ht="15" customHeight="1">
      <c r="B639" s="13"/>
      <c r="C639" s="22" t="s">
        <v>184</v>
      </c>
      <c r="D639" s="90" t="s">
        <v>1425</v>
      </c>
      <c r="E639" s="122" t="s">
        <v>1426</v>
      </c>
      <c r="F639" s="91" t="s">
        <v>8</v>
      </c>
      <c r="G639" s="91">
        <v>30081</v>
      </c>
      <c r="H639" s="90" t="s">
        <v>197</v>
      </c>
      <c r="I639" s="91" t="s">
        <v>21</v>
      </c>
      <c r="J639" s="91">
        <v>44014</v>
      </c>
      <c r="K639" s="121">
        <v>38</v>
      </c>
      <c r="L639" s="91">
        <v>44336</v>
      </c>
      <c r="M639" s="91">
        <v>44336</v>
      </c>
      <c r="N639" s="125">
        <v>322</v>
      </c>
      <c r="O639" s="92">
        <v>5455.1399999999994</v>
      </c>
      <c r="Q639" s="14"/>
    </row>
    <row r="640" ht="15" customHeight="1">
      <c r="B640" s="13"/>
      <c r="C640" s="22" t="s">
        <v>1427</v>
      </c>
      <c r="D640" s="90" t="s">
        <v>1428</v>
      </c>
      <c r="E640" s="122" t="s">
        <v>1429</v>
      </c>
      <c r="F640" s="91" t="s">
        <v>8</v>
      </c>
      <c r="G640" s="91">
        <v>33403</v>
      </c>
      <c r="H640" s="90" t="s">
        <v>187</v>
      </c>
      <c r="I640" s="91" t="s">
        <v>21</v>
      </c>
      <c r="J640" s="91">
        <v>44298</v>
      </c>
      <c r="K640" s="121">
        <v>30</v>
      </c>
      <c r="L640" s="91">
        <v>44316</v>
      </c>
      <c r="M640" s="91">
        <v>44316</v>
      </c>
      <c r="N640" s="125">
        <v>18</v>
      </c>
      <c r="O640" s="92">
        <v>167.16</v>
      </c>
      <c r="Q640" s="14"/>
    </row>
    <row r="641" ht="15" customHeight="1">
      <c r="B641" s="13"/>
      <c r="C641" s="22" t="s">
        <v>184</v>
      </c>
      <c r="D641" s="90" t="s">
        <v>1430</v>
      </c>
      <c r="E641" s="122" t="s">
        <v>1431</v>
      </c>
      <c r="F641" s="91" t="s">
        <v>8</v>
      </c>
      <c r="G641" s="91">
        <v>32576</v>
      </c>
      <c r="H641" s="90" t="s">
        <v>187</v>
      </c>
      <c r="I641" s="91" t="s">
        <v>21</v>
      </c>
      <c r="J641" s="91">
        <v>44287</v>
      </c>
      <c r="K641" s="121">
        <v>32</v>
      </c>
      <c r="L641" s="91">
        <v>44372</v>
      </c>
      <c r="M641" s="91">
        <v>44372</v>
      </c>
      <c r="N641" s="125">
        <v>85</v>
      </c>
      <c r="O641" s="92">
        <v>1298.08</v>
      </c>
      <c r="Q641" s="14"/>
    </row>
    <row r="642" ht="15" customHeight="1">
      <c r="B642" s="13"/>
      <c r="C642" s="22" t="s">
        <v>184</v>
      </c>
      <c r="D642" s="90" t="s">
        <v>1432</v>
      </c>
      <c r="E642" s="122" t="s">
        <v>1433</v>
      </c>
      <c r="F642" s="91" t="s">
        <v>8</v>
      </c>
      <c r="G642" s="91">
        <v>28052</v>
      </c>
      <c r="H642" s="90" t="s">
        <v>187</v>
      </c>
      <c r="I642" s="91" t="s">
        <v>21</v>
      </c>
      <c r="J642" s="91">
        <v>43901</v>
      </c>
      <c r="K642" s="121">
        <v>44</v>
      </c>
      <c r="L642" s="91">
        <v>44350</v>
      </c>
      <c r="M642" s="91">
        <v>44350</v>
      </c>
      <c r="N642" s="125">
        <v>449</v>
      </c>
      <c r="O642" s="92">
        <v>2549.85</v>
      </c>
      <c r="Q642" s="14"/>
    </row>
    <row r="643" ht="15" customHeight="1">
      <c r="B643" s="13"/>
      <c r="C643" s="22" t="s">
        <v>184</v>
      </c>
      <c r="D643" s="90" t="s">
        <v>1434</v>
      </c>
      <c r="E643" s="122" t="s">
        <v>1435</v>
      </c>
      <c r="F643" s="91" t="s">
        <v>8</v>
      </c>
      <c r="G643" s="91">
        <v>35024</v>
      </c>
      <c r="H643" s="90" t="s">
        <v>187</v>
      </c>
      <c r="I643" s="91" t="s">
        <v>21</v>
      </c>
      <c r="J643" s="91">
        <v>44277</v>
      </c>
      <c r="K643" s="121">
        <v>26</v>
      </c>
      <c r="L643" s="91">
        <v>44383</v>
      </c>
      <c r="M643" s="91">
        <v>44457</v>
      </c>
      <c r="N643" s="125">
        <v>180</v>
      </c>
      <c r="O643" s="92">
        <v>1023.3299999999999</v>
      </c>
      <c r="Q643" s="14"/>
    </row>
    <row r="644" ht="15" customHeight="1">
      <c r="B644" s="13"/>
      <c r="C644" s="22" t="s">
        <v>184</v>
      </c>
      <c r="D644" s="90" t="s">
        <v>1436</v>
      </c>
      <c r="E644" s="122" t="s">
        <v>1437</v>
      </c>
      <c r="F644" s="91" t="s">
        <v>8</v>
      </c>
      <c r="G644" s="91">
        <v>23767</v>
      </c>
      <c r="H644" s="90" t="s">
        <v>187</v>
      </c>
      <c r="I644" s="91" t="s">
        <v>21</v>
      </c>
      <c r="J644" s="91">
        <v>44414</v>
      </c>
      <c r="K644" s="121">
        <v>56</v>
      </c>
      <c r="L644" s="91">
        <v>44533</v>
      </c>
      <c r="M644" s="91"/>
      <c r="N644" s="125">
        <v>0</v>
      </c>
      <c r="O644" s="92">
        <v>226.8</v>
      </c>
      <c r="Q644" s="14"/>
    </row>
    <row r="645" ht="15" customHeight="1">
      <c r="B645" s="13"/>
      <c r="C645" s="22" t="s">
        <v>184</v>
      </c>
      <c r="D645" s="90" t="s">
        <v>1438</v>
      </c>
      <c r="E645" s="122" t="s">
        <v>1439</v>
      </c>
      <c r="F645" s="91" t="s">
        <v>8</v>
      </c>
      <c r="G645" s="91">
        <v>32829</v>
      </c>
      <c r="H645" s="90" t="s">
        <v>187</v>
      </c>
      <c r="I645" s="91" t="s">
        <v>21</v>
      </c>
      <c r="J645" s="91">
        <v>44100</v>
      </c>
      <c r="K645" s="121">
        <v>31</v>
      </c>
      <c r="L645" s="91">
        <v>44169</v>
      </c>
      <c r="M645" s="91">
        <v>44169</v>
      </c>
      <c r="N645" s="125">
        <v>69</v>
      </c>
      <c r="O645" s="92">
        <v>639.6</v>
      </c>
      <c r="Q645" s="14"/>
    </row>
    <row r="646" ht="15" customHeight="1">
      <c r="B646" s="13"/>
      <c r="C646" s="22" t="s">
        <v>135</v>
      </c>
      <c r="D646" s="90" t="s">
        <v>1440</v>
      </c>
      <c r="E646" s="122" t="s">
        <v>1441</v>
      </c>
      <c r="F646" s="91" t="s">
        <v>8</v>
      </c>
      <c r="G646" s="91">
        <v>29551</v>
      </c>
      <c r="H646" s="90" t="s">
        <v>187</v>
      </c>
      <c r="I646" s="91" t="s">
        <v>21</v>
      </c>
      <c r="J646" s="91">
        <v>43931</v>
      </c>
      <c r="K646" s="121">
        <v>40</v>
      </c>
      <c r="L646" s="91">
        <v>44060</v>
      </c>
      <c r="M646" s="91">
        <v>44060</v>
      </c>
      <c r="N646" s="125">
        <v>129</v>
      </c>
      <c r="O646" s="92">
        <v>5218</v>
      </c>
      <c r="Q646" s="14"/>
    </row>
    <row r="647" ht="15" customHeight="1">
      <c r="B647" s="13"/>
      <c r="C647" s="22" t="s">
        <v>184</v>
      </c>
      <c r="D647" s="90" t="s">
        <v>1442</v>
      </c>
      <c r="E647" s="122" t="s">
        <v>1443</v>
      </c>
      <c r="F647" s="91" t="s">
        <v>8</v>
      </c>
      <c r="G647" s="91">
        <v>32089</v>
      </c>
      <c r="H647" s="90" t="s">
        <v>197</v>
      </c>
      <c r="I647" s="91" t="s">
        <v>21</v>
      </c>
      <c r="J647" s="91">
        <v>44256</v>
      </c>
      <c r="K647" s="121">
        <v>34</v>
      </c>
      <c r="L647" s="91">
        <v>44358</v>
      </c>
      <c r="M647" s="91">
        <v>44358</v>
      </c>
      <c r="N647" s="125">
        <v>102</v>
      </c>
      <c r="O647" s="92">
        <v>2451.34</v>
      </c>
      <c r="Q647" s="14"/>
    </row>
    <row r="648" ht="15" customHeight="1">
      <c r="B648" s="13"/>
      <c r="C648" s="22" t="s">
        <v>184</v>
      </c>
      <c r="D648" s="90" t="s">
        <v>1444</v>
      </c>
      <c r="E648" s="122" t="s">
        <v>1445</v>
      </c>
      <c r="F648" s="91" t="s">
        <v>8</v>
      </c>
      <c r="G648" s="91">
        <v>32899</v>
      </c>
      <c r="H648" s="90" t="s">
        <v>187</v>
      </c>
      <c r="I648" s="91" t="s">
        <v>21</v>
      </c>
      <c r="J648" s="91">
        <v>44323</v>
      </c>
      <c r="K648" s="121">
        <v>31</v>
      </c>
      <c r="L648" s="91">
        <v>44387</v>
      </c>
      <c r="M648" s="91">
        <v>44387</v>
      </c>
      <c r="N648" s="125">
        <v>64</v>
      </c>
      <c r="O648" s="92">
        <v>921.55</v>
      </c>
      <c r="Q648" s="14"/>
    </row>
    <row r="649" ht="15" customHeight="1">
      <c r="B649" s="13"/>
      <c r="C649" s="22" t="s">
        <v>184</v>
      </c>
      <c r="D649" s="90" t="s">
        <v>1446</v>
      </c>
      <c r="E649" s="122" t="s">
        <v>1447</v>
      </c>
      <c r="F649" s="91" t="s">
        <v>8</v>
      </c>
      <c r="G649" s="91">
        <v>32346</v>
      </c>
      <c r="H649" s="90" t="s">
        <v>187</v>
      </c>
      <c r="I649" s="91" t="s">
        <v>21</v>
      </c>
      <c r="J649" s="91">
        <v>43906</v>
      </c>
      <c r="K649" s="121">
        <v>32</v>
      </c>
      <c r="L649" s="91">
        <v>43945</v>
      </c>
      <c r="M649" s="91">
        <v>43945</v>
      </c>
      <c r="N649" s="125">
        <v>39</v>
      </c>
      <c r="O649" s="92">
        <v>197.1</v>
      </c>
      <c r="Q649" s="14"/>
    </row>
    <row r="650" ht="15" customHeight="1">
      <c r="B650" s="13"/>
      <c r="C650" s="22" t="s">
        <v>135</v>
      </c>
      <c r="D650" s="90" t="s">
        <v>1448</v>
      </c>
      <c r="E650" s="122" t="s">
        <v>1449</v>
      </c>
      <c r="F650" s="91" t="s">
        <v>8</v>
      </c>
      <c r="G650" s="91">
        <v>27856</v>
      </c>
      <c r="H650" s="90" t="s">
        <v>187</v>
      </c>
      <c r="I650" s="91" t="s">
        <v>21</v>
      </c>
      <c r="J650" s="91">
        <v>44250</v>
      </c>
      <c r="K650" s="121">
        <v>45</v>
      </c>
      <c r="L650" s="91">
        <v>44317</v>
      </c>
      <c r="M650" s="91">
        <v>44317</v>
      </c>
      <c r="N650" s="125">
        <v>67</v>
      </c>
      <c r="O650" s="92">
        <v>996.74</v>
      </c>
      <c r="Q650" s="14"/>
    </row>
    <row r="651" ht="15" customHeight="1">
      <c r="B651" s="13"/>
      <c r="C651" s="22" t="s">
        <v>184</v>
      </c>
      <c r="D651" s="90" t="s">
        <v>1450</v>
      </c>
      <c r="E651" s="122" t="s">
        <v>1451</v>
      </c>
      <c r="F651" s="91" t="s">
        <v>8</v>
      </c>
      <c r="G651" s="91">
        <v>26518</v>
      </c>
      <c r="H651" s="90" t="s">
        <v>187</v>
      </c>
      <c r="I651" s="91" t="s">
        <v>21</v>
      </c>
      <c r="J651" s="91">
        <v>44194</v>
      </c>
      <c r="K651" s="121">
        <v>48</v>
      </c>
      <c r="L651" s="91">
        <v>44535</v>
      </c>
      <c r="M651" s="91"/>
      <c r="N651" s="125">
        <v>0</v>
      </c>
      <c r="O651" s="92">
        <v>177.83999999999995</v>
      </c>
      <c r="Q651" s="14"/>
    </row>
    <row r="652" ht="15" customHeight="1">
      <c r="B652" s="13"/>
      <c r="C652" s="22" t="s">
        <v>184</v>
      </c>
      <c r="D652" s="90" t="s">
        <v>1452</v>
      </c>
      <c r="E652" s="122" t="s">
        <v>1453</v>
      </c>
      <c r="F652" s="91" t="s">
        <v>8</v>
      </c>
      <c r="G652" s="91">
        <v>26828</v>
      </c>
      <c r="H652" s="90" t="s">
        <v>197</v>
      </c>
      <c r="I652" s="91" t="s">
        <v>21</v>
      </c>
      <c r="J652" s="91">
        <v>44377</v>
      </c>
      <c r="K652" s="121">
        <v>48</v>
      </c>
      <c r="L652" s="91">
        <v>44465</v>
      </c>
      <c r="M652" s="91">
        <v>44465</v>
      </c>
      <c r="N652" s="125">
        <v>88</v>
      </c>
      <c r="O652" s="92">
        <v>4122.33</v>
      </c>
      <c r="Q652" s="14"/>
    </row>
    <row r="653" ht="15" customHeight="1">
      <c r="B653" s="13"/>
      <c r="C653" s="22" t="s">
        <v>184</v>
      </c>
      <c r="D653" s="90" t="s">
        <v>1454</v>
      </c>
      <c r="E653" s="122" t="s">
        <v>1455</v>
      </c>
      <c r="F653" s="91" t="s">
        <v>8</v>
      </c>
      <c r="G653" s="91">
        <v>32155</v>
      </c>
      <c r="H653" s="90" t="s">
        <v>187</v>
      </c>
      <c r="I653" s="91" t="s">
        <v>21</v>
      </c>
      <c r="J653" s="91">
        <v>44361</v>
      </c>
      <c r="K653" s="121">
        <v>33</v>
      </c>
      <c r="L653" s="91">
        <v>44407</v>
      </c>
      <c r="M653" s="91">
        <v>44407</v>
      </c>
      <c r="N653" s="125">
        <v>46</v>
      </c>
      <c r="O653" s="92">
        <v>438.09</v>
      </c>
      <c r="Q653" s="14"/>
    </row>
    <row r="654" ht="15" customHeight="1">
      <c r="B654" s="13"/>
      <c r="C654" s="22" t="s">
        <v>184</v>
      </c>
      <c r="D654" s="90" t="s">
        <v>1456</v>
      </c>
      <c r="E654" s="122" t="s">
        <v>1457</v>
      </c>
      <c r="F654" s="91" t="s">
        <v>8</v>
      </c>
      <c r="G654" s="91">
        <v>23218</v>
      </c>
      <c r="H654" s="90" t="s">
        <v>187</v>
      </c>
      <c r="I654" s="91" t="s">
        <v>21</v>
      </c>
      <c r="J654" s="91">
        <v>44083</v>
      </c>
      <c r="K654" s="121">
        <v>57</v>
      </c>
      <c r="L654" s="91">
        <v>44516</v>
      </c>
      <c r="M654" s="91"/>
      <c r="N654" s="125">
        <v>0</v>
      </c>
      <c r="O654" s="92">
        <v>8851.64</v>
      </c>
      <c r="Q654" s="14"/>
    </row>
    <row r="655" ht="15" customHeight="1">
      <c r="B655" s="13"/>
      <c r="C655" s="22" t="s">
        <v>184</v>
      </c>
      <c r="D655" s="90" t="s">
        <v>1458</v>
      </c>
      <c r="E655" s="122" t="s">
        <v>1459</v>
      </c>
      <c r="F655" s="91" t="s">
        <v>8</v>
      </c>
      <c r="G655" s="91">
        <v>33944</v>
      </c>
      <c r="H655" s="90" t="s">
        <v>197</v>
      </c>
      <c r="I655" s="91" t="s">
        <v>21</v>
      </c>
      <c r="J655" s="91">
        <v>44239</v>
      </c>
      <c r="K655" s="121">
        <v>29</v>
      </c>
      <c r="L655" s="91">
        <v>44309</v>
      </c>
      <c r="M655" s="91">
        <v>44309</v>
      </c>
      <c r="N655" s="125">
        <v>70</v>
      </c>
      <c r="O655" s="92">
        <v>1328.4</v>
      </c>
      <c r="Q655" s="14"/>
    </row>
    <row r="656" ht="15" customHeight="1">
      <c r="B656" s="13"/>
      <c r="C656" s="22" t="s">
        <v>184</v>
      </c>
      <c r="D656" s="90" t="s">
        <v>1460</v>
      </c>
      <c r="E656" s="122" t="s">
        <v>1461</v>
      </c>
      <c r="F656" s="91" t="s">
        <v>8</v>
      </c>
      <c r="G656" s="91">
        <v>31827</v>
      </c>
      <c r="H656" s="90" t="s">
        <v>197</v>
      </c>
      <c r="I656" s="91" t="s">
        <v>21</v>
      </c>
      <c r="J656" s="91">
        <v>44351</v>
      </c>
      <c r="K656" s="121">
        <v>34</v>
      </c>
      <c r="L656" s="91">
        <v>44404</v>
      </c>
      <c r="M656" s="91">
        <v>44404</v>
      </c>
      <c r="N656" s="125">
        <v>53</v>
      </c>
      <c r="O656" s="92">
        <v>967.92</v>
      </c>
      <c r="Q656" s="14"/>
    </row>
    <row r="657" ht="15" customHeight="1">
      <c r="B657" s="13"/>
      <c r="C657" s="22" t="s">
        <v>184</v>
      </c>
      <c r="D657" s="90" t="s">
        <v>1462</v>
      </c>
      <c r="E657" s="122" t="s">
        <v>1463</v>
      </c>
      <c r="F657" s="91" t="s">
        <v>8</v>
      </c>
      <c r="G657" s="91">
        <v>31273</v>
      </c>
      <c r="H657" s="90" t="s">
        <v>197</v>
      </c>
      <c r="I657" s="91" t="s">
        <v>21</v>
      </c>
      <c r="J657" s="91">
        <v>44235</v>
      </c>
      <c r="K657" s="121">
        <v>36</v>
      </c>
      <c r="L657" s="91">
        <v>44317</v>
      </c>
      <c r="M657" s="91">
        <v>44317</v>
      </c>
      <c r="N657" s="125">
        <v>82</v>
      </c>
      <c r="O657" s="92">
        <v>771.68000000000006</v>
      </c>
      <c r="Q657" s="14"/>
    </row>
    <row r="658" ht="15" customHeight="1">
      <c r="B658" s="13"/>
      <c r="C658" s="22" t="s">
        <v>135</v>
      </c>
      <c r="D658" s="90" t="s">
        <v>1464</v>
      </c>
      <c r="E658" s="122" t="s">
        <v>1465</v>
      </c>
      <c r="F658" s="91" t="s">
        <v>8</v>
      </c>
      <c r="G658" s="91">
        <v>31442</v>
      </c>
      <c r="H658" s="90" t="s">
        <v>187</v>
      </c>
      <c r="I658" s="91" t="s">
        <v>21</v>
      </c>
      <c r="J658" s="91">
        <v>44397</v>
      </c>
      <c r="K658" s="121">
        <v>35</v>
      </c>
      <c r="L658" s="91">
        <v>44451</v>
      </c>
      <c r="M658" s="91">
        <v>44451</v>
      </c>
      <c r="N658" s="125">
        <v>54</v>
      </c>
      <c r="O658" s="92">
        <v>1317.75</v>
      </c>
      <c r="Q658" s="14"/>
    </row>
    <row r="659" ht="15" customHeight="1">
      <c r="B659" s="13"/>
      <c r="C659" s="22" t="s">
        <v>184</v>
      </c>
      <c r="D659" s="90" t="s">
        <v>1466</v>
      </c>
      <c r="E659" s="122" t="s">
        <v>1467</v>
      </c>
      <c r="F659" s="91" t="s">
        <v>8</v>
      </c>
      <c r="G659" s="91">
        <v>31131</v>
      </c>
      <c r="H659" s="90" t="s">
        <v>187</v>
      </c>
      <c r="I659" s="91" t="s">
        <v>21</v>
      </c>
      <c r="J659" s="91">
        <v>44354</v>
      </c>
      <c r="K659" s="121">
        <v>36</v>
      </c>
      <c r="L659" s="91">
        <v>44407</v>
      </c>
      <c r="M659" s="91">
        <v>44407</v>
      </c>
      <c r="N659" s="125">
        <v>53</v>
      </c>
      <c r="O659" s="92">
        <v>578.16</v>
      </c>
      <c r="Q659" s="14"/>
    </row>
    <row r="660" ht="15" customHeight="1">
      <c r="B660" s="13"/>
      <c r="C660" s="22" t="s">
        <v>184</v>
      </c>
      <c r="D660" s="90" t="s">
        <v>1468</v>
      </c>
      <c r="E660" s="122" t="s">
        <v>1469</v>
      </c>
      <c r="F660" s="91" t="s">
        <v>8</v>
      </c>
      <c r="G660" s="91">
        <v>26572</v>
      </c>
      <c r="H660" s="90" t="s">
        <v>187</v>
      </c>
      <c r="I660" s="91" t="s">
        <v>21</v>
      </c>
      <c r="J660" s="91">
        <v>44450</v>
      </c>
      <c r="K660" s="121">
        <v>49</v>
      </c>
      <c r="L660" s="91">
        <v>44505</v>
      </c>
      <c r="M660" s="91"/>
      <c r="N660" s="125">
        <v>0</v>
      </c>
      <c r="O660" s="92">
        <v>542.36</v>
      </c>
      <c r="Q660" s="14"/>
    </row>
    <row r="661" ht="15" customHeight="1">
      <c r="B661" s="13"/>
      <c r="C661" s="22" t="s">
        <v>200</v>
      </c>
      <c r="D661" s="90" t="s">
        <v>1470</v>
      </c>
      <c r="E661" s="122" t="s">
        <v>1471</v>
      </c>
      <c r="F661" s="91" t="s">
        <v>8</v>
      </c>
      <c r="G661" s="91">
        <v>32704</v>
      </c>
      <c r="H661" s="90" t="s">
        <v>187</v>
      </c>
      <c r="I661" s="91" t="s">
        <v>21</v>
      </c>
      <c r="J661" s="91">
        <v>44021</v>
      </c>
      <c r="K661" s="121">
        <v>31</v>
      </c>
      <c r="L661" s="91">
        <v>44311</v>
      </c>
      <c r="M661" s="91">
        <v>44311</v>
      </c>
      <c r="N661" s="125">
        <v>290</v>
      </c>
      <c r="O661" s="92">
        <v>-1224.7900000000002</v>
      </c>
      <c r="Q661" s="14"/>
    </row>
    <row r="662" ht="15" customHeight="1">
      <c r="B662" s="13"/>
      <c r="C662" s="22" t="s">
        <v>184</v>
      </c>
      <c r="D662" s="90" t="s">
        <v>1472</v>
      </c>
      <c r="E662" s="122" t="s">
        <v>1473</v>
      </c>
      <c r="F662" s="91" t="s">
        <v>8</v>
      </c>
      <c r="G662" s="91">
        <v>22455</v>
      </c>
      <c r="H662" s="90" t="s">
        <v>187</v>
      </c>
      <c r="I662" s="91" t="s">
        <v>21</v>
      </c>
      <c r="J662" s="91">
        <v>44232</v>
      </c>
      <c r="K662" s="121">
        <v>60</v>
      </c>
      <c r="L662" s="91">
        <v>44270</v>
      </c>
      <c r="M662" s="91">
        <v>44270</v>
      </c>
      <c r="N662" s="125">
        <v>38</v>
      </c>
      <c r="O662" s="92">
        <v>256.77</v>
      </c>
      <c r="Q662" s="14"/>
    </row>
    <row r="663" ht="15" customHeight="1">
      <c r="B663" s="13"/>
      <c r="C663" s="22" t="s">
        <v>400</v>
      </c>
      <c r="D663" s="90" t="s">
        <v>1474</v>
      </c>
      <c r="E663" s="122" t="s">
        <v>1475</v>
      </c>
      <c r="F663" s="91" t="s">
        <v>8</v>
      </c>
      <c r="G663" s="91">
        <v>30575</v>
      </c>
      <c r="H663" s="90" t="s">
        <v>187</v>
      </c>
      <c r="I663" s="91" t="s">
        <v>21</v>
      </c>
      <c r="J663" s="91">
        <v>43907</v>
      </c>
      <c r="K663" s="121">
        <v>37</v>
      </c>
      <c r="L663" s="91">
        <v>43951</v>
      </c>
      <c r="M663" s="91">
        <v>43951</v>
      </c>
      <c r="N663" s="125">
        <v>44</v>
      </c>
      <c r="O663" s="92">
        <v>342.9</v>
      </c>
      <c r="Q663" s="14"/>
    </row>
    <row r="664" ht="15" customHeight="1">
      <c r="B664" s="13"/>
      <c r="C664" s="22" t="s">
        <v>184</v>
      </c>
      <c r="D664" s="90" t="s">
        <v>1476</v>
      </c>
      <c r="E664" s="122" t="s">
        <v>1477</v>
      </c>
      <c r="F664" s="91" t="s">
        <v>8</v>
      </c>
      <c r="G664" s="91">
        <v>24845</v>
      </c>
      <c r="H664" s="90" t="s">
        <v>187</v>
      </c>
      <c r="I664" s="91" t="s">
        <v>21</v>
      </c>
      <c r="J664" s="91">
        <v>44299</v>
      </c>
      <c r="K664" s="121">
        <v>53</v>
      </c>
      <c r="L664" s="91">
        <v>44365</v>
      </c>
      <c r="M664" s="91">
        <v>44365</v>
      </c>
      <c r="N664" s="125">
        <v>66</v>
      </c>
      <c r="O664" s="92">
        <v>4.44</v>
      </c>
      <c r="Q664" s="14"/>
    </row>
    <row r="665" ht="15" customHeight="1">
      <c r="B665" s="13"/>
      <c r="C665" s="22" t="s">
        <v>184</v>
      </c>
      <c r="D665" s="90" t="s">
        <v>1478</v>
      </c>
      <c r="E665" s="122" t="s">
        <v>1479</v>
      </c>
      <c r="F665" s="91" t="s">
        <v>8</v>
      </c>
      <c r="G665" s="91">
        <v>23381</v>
      </c>
      <c r="H665" s="90" t="s">
        <v>187</v>
      </c>
      <c r="I665" s="91" t="s">
        <v>21</v>
      </c>
      <c r="J665" s="91">
        <v>44141</v>
      </c>
      <c r="K665" s="121">
        <v>56</v>
      </c>
      <c r="L665" s="91">
        <v>44501</v>
      </c>
      <c r="M665" s="91"/>
      <c r="N665" s="125">
        <v>0</v>
      </c>
      <c r="O665" s="92">
        <v>6724.1399999999994</v>
      </c>
      <c r="Q665" s="14"/>
    </row>
    <row r="666" ht="15" customHeight="1">
      <c r="B666" s="13"/>
      <c r="C666" s="22" t="s">
        <v>184</v>
      </c>
      <c r="D666" s="90" t="s">
        <v>1480</v>
      </c>
      <c r="E666" s="122" t="s">
        <v>1481</v>
      </c>
      <c r="F666" s="91" t="s">
        <v>8</v>
      </c>
      <c r="G666" s="91">
        <v>29425</v>
      </c>
      <c r="H666" s="90" t="s">
        <v>187</v>
      </c>
      <c r="I666" s="91" t="s">
        <v>21</v>
      </c>
      <c r="J666" s="91">
        <v>44488</v>
      </c>
      <c r="K666" s="121">
        <v>41</v>
      </c>
      <c r="L666" s="91">
        <v>44522</v>
      </c>
      <c r="M666" s="91"/>
      <c r="N666" s="125">
        <v>0</v>
      </c>
      <c r="O666" s="92">
        <v>109.1</v>
      </c>
      <c r="Q666" s="14"/>
    </row>
    <row r="667" ht="15" customHeight="1">
      <c r="B667" s="13"/>
      <c r="C667" s="22" t="s">
        <v>184</v>
      </c>
      <c r="D667" s="90" t="s">
        <v>1482</v>
      </c>
      <c r="E667" s="122" t="s">
        <v>1483</v>
      </c>
      <c r="F667" s="91" t="s">
        <v>8</v>
      </c>
      <c r="G667" s="91">
        <v>32496</v>
      </c>
      <c r="H667" s="90" t="s">
        <v>187</v>
      </c>
      <c r="I667" s="91" t="s">
        <v>21</v>
      </c>
      <c r="J667" s="91">
        <v>44120</v>
      </c>
      <c r="K667" s="121">
        <v>32</v>
      </c>
      <c r="L667" s="91">
        <v>44317</v>
      </c>
      <c r="M667" s="91">
        <v>44317</v>
      </c>
      <c r="N667" s="125">
        <v>197</v>
      </c>
      <c r="O667" s="92">
        <v>3475.9199999999996</v>
      </c>
      <c r="Q667" s="14"/>
    </row>
    <row r="668" ht="15" customHeight="1">
      <c r="B668" s="13"/>
      <c r="C668" s="22" t="s">
        <v>184</v>
      </c>
      <c r="D668" s="90" t="s">
        <v>1484</v>
      </c>
      <c r="E668" s="122" t="s">
        <v>1485</v>
      </c>
      <c r="F668" s="91" t="s">
        <v>8</v>
      </c>
      <c r="G668" s="91">
        <v>26393</v>
      </c>
      <c r="H668" s="90" t="s">
        <v>187</v>
      </c>
      <c r="I668" s="91" t="s">
        <v>21</v>
      </c>
      <c r="J668" s="91">
        <v>44258</v>
      </c>
      <c r="K668" s="121">
        <v>49</v>
      </c>
      <c r="L668" s="91">
        <v>44526</v>
      </c>
      <c r="M668" s="91"/>
      <c r="N668" s="125">
        <v>0</v>
      </c>
      <c r="O668" s="92">
        <v>10112.09</v>
      </c>
      <c r="Q668" s="14"/>
    </row>
    <row r="669" ht="15" customHeight="1">
      <c r="B669" s="13"/>
      <c r="C669" s="22" t="s">
        <v>184</v>
      </c>
      <c r="D669" s="90" t="s">
        <v>1486</v>
      </c>
      <c r="E669" s="122" t="s">
        <v>1487</v>
      </c>
      <c r="F669" s="91" t="s">
        <v>8</v>
      </c>
      <c r="G669" s="91">
        <v>27667</v>
      </c>
      <c r="H669" s="90" t="s">
        <v>187</v>
      </c>
      <c r="I669" s="91" t="s">
        <v>21</v>
      </c>
      <c r="J669" s="91">
        <v>44418</v>
      </c>
      <c r="K669" s="121">
        <v>46</v>
      </c>
      <c r="L669" s="91">
        <v>44484</v>
      </c>
      <c r="M669" s="91">
        <v>44484</v>
      </c>
      <c r="N669" s="125">
        <v>66</v>
      </c>
      <c r="O669" s="92">
        <v>194.62</v>
      </c>
      <c r="Q669" s="14"/>
    </row>
    <row r="670" ht="15" customHeight="1">
      <c r="B670" s="13"/>
      <c r="C670" s="22" t="s">
        <v>184</v>
      </c>
      <c r="D670" s="90" t="s">
        <v>1488</v>
      </c>
      <c r="E670" s="122" t="s">
        <v>1489</v>
      </c>
      <c r="F670" s="91" t="s">
        <v>8</v>
      </c>
      <c r="G670" s="91">
        <v>29737</v>
      </c>
      <c r="H670" s="90" t="s">
        <v>187</v>
      </c>
      <c r="I670" s="91" t="s">
        <v>21</v>
      </c>
      <c r="J670" s="91">
        <v>44231</v>
      </c>
      <c r="K670" s="121">
        <v>40</v>
      </c>
      <c r="L670" s="91">
        <v>44519</v>
      </c>
      <c r="M670" s="91"/>
      <c r="N670" s="125">
        <v>0</v>
      </c>
      <c r="O670" s="92">
        <v>5765.34</v>
      </c>
      <c r="Q670" s="14"/>
    </row>
    <row r="671" ht="15" customHeight="1">
      <c r="B671" s="13"/>
      <c r="C671" s="22" t="s">
        <v>184</v>
      </c>
      <c r="D671" s="90" t="s">
        <v>1490</v>
      </c>
      <c r="E671" s="122" t="s">
        <v>1491</v>
      </c>
      <c r="F671" s="91" t="s">
        <v>8</v>
      </c>
      <c r="G671" s="91">
        <v>32289</v>
      </c>
      <c r="H671" s="90" t="s">
        <v>197</v>
      </c>
      <c r="I671" s="91" t="s">
        <v>21</v>
      </c>
      <c r="J671" s="91">
        <v>44347</v>
      </c>
      <c r="K671" s="121">
        <v>33</v>
      </c>
      <c r="L671" s="91">
        <v>44467</v>
      </c>
      <c r="M671" s="91">
        <v>44467</v>
      </c>
      <c r="N671" s="125">
        <v>120</v>
      </c>
      <c r="O671" s="92">
        <v>3703.7</v>
      </c>
      <c r="Q671" s="14"/>
    </row>
    <row r="672" ht="15" customHeight="1">
      <c r="B672" s="13"/>
      <c r="C672" s="22" t="s">
        <v>184</v>
      </c>
      <c r="D672" s="90" t="s">
        <v>1492</v>
      </c>
      <c r="E672" s="122" t="s">
        <v>1493</v>
      </c>
      <c r="F672" s="91" t="s">
        <v>8</v>
      </c>
      <c r="G672" s="91">
        <v>30328</v>
      </c>
      <c r="H672" s="90" t="s">
        <v>197</v>
      </c>
      <c r="I672" s="91" t="s">
        <v>21</v>
      </c>
      <c r="J672" s="91">
        <v>44364</v>
      </c>
      <c r="K672" s="121">
        <v>38</v>
      </c>
      <c r="L672" s="91">
        <v>44449</v>
      </c>
      <c r="M672" s="91">
        <v>44449</v>
      </c>
      <c r="N672" s="125">
        <v>85</v>
      </c>
      <c r="O672" s="92">
        <v>2282.56</v>
      </c>
      <c r="Q672" s="14"/>
    </row>
    <row r="673" ht="15" customHeight="1">
      <c r="B673" s="13"/>
      <c r="C673" s="22" t="s">
        <v>184</v>
      </c>
      <c r="D673" s="90" t="s">
        <v>1494</v>
      </c>
      <c r="E673" s="122" t="s">
        <v>1495</v>
      </c>
      <c r="F673" s="91" t="s">
        <v>10</v>
      </c>
      <c r="G673" s="91">
        <v>29173</v>
      </c>
      <c r="H673" s="90" t="s">
        <v>197</v>
      </c>
      <c r="I673" s="91" t="s">
        <v>21</v>
      </c>
      <c r="J673" s="91">
        <v>43941</v>
      </c>
      <c r="K673" s="121">
        <v>41</v>
      </c>
      <c r="L673" s="91">
        <v>44465</v>
      </c>
      <c r="M673" s="91">
        <v>44465</v>
      </c>
      <c r="N673" s="125">
        <v>524</v>
      </c>
      <c r="O673" s="92">
        <v>25482.1</v>
      </c>
      <c r="Q673" s="14"/>
    </row>
    <row r="674" ht="15" customHeight="1">
      <c r="B674" s="13"/>
      <c r="C674" s="22" t="s">
        <v>184</v>
      </c>
      <c r="D674" s="90" t="s">
        <v>1496</v>
      </c>
      <c r="E674" s="122" t="s">
        <v>1497</v>
      </c>
      <c r="F674" s="91" t="s">
        <v>8</v>
      </c>
      <c r="G674" s="91">
        <v>27973</v>
      </c>
      <c r="H674" s="90" t="s">
        <v>197</v>
      </c>
      <c r="I674" s="91" t="s">
        <v>21</v>
      </c>
      <c r="J674" s="91">
        <v>44318</v>
      </c>
      <c r="K674" s="121">
        <v>45</v>
      </c>
      <c r="L674" s="91">
        <v>44533</v>
      </c>
      <c r="M674" s="91"/>
      <c r="N674" s="125">
        <v>0</v>
      </c>
      <c r="O674" s="92">
        <v>2732.3399999999997</v>
      </c>
      <c r="Q674" s="14"/>
    </row>
    <row r="675" ht="15" customHeight="1">
      <c r="B675" s="13"/>
      <c r="C675" s="22" t="s">
        <v>184</v>
      </c>
      <c r="D675" s="90" t="s">
        <v>1498</v>
      </c>
      <c r="E675" s="122" t="s">
        <v>1499</v>
      </c>
      <c r="F675" s="91" t="s">
        <v>10</v>
      </c>
      <c r="G675" s="91">
        <v>29545</v>
      </c>
      <c r="H675" s="90" t="s">
        <v>187</v>
      </c>
      <c r="I675" s="91" t="s">
        <v>21</v>
      </c>
      <c r="J675" s="91">
        <v>44158</v>
      </c>
      <c r="K675" s="121">
        <v>40</v>
      </c>
      <c r="L675" s="91">
        <v>44495</v>
      </c>
      <c r="M675" s="91"/>
      <c r="N675" s="125">
        <v>0</v>
      </c>
      <c r="O675" s="92">
        <v>8442.2799999999988</v>
      </c>
      <c r="Q675" s="14"/>
    </row>
    <row r="676" ht="15" customHeight="1">
      <c r="B676" s="13"/>
      <c r="C676" s="22" t="s">
        <v>184</v>
      </c>
      <c r="D676" s="90" t="s">
        <v>1500</v>
      </c>
      <c r="E676" s="122" t="s">
        <v>1501</v>
      </c>
      <c r="F676" s="91" t="s">
        <v>8</v>
      </c>
      <c r="G676" s="91">
        <v>22882</v>
      </c>
      <c r="H676" s="90" t="s">
        <v>187</v>
      </c>
      <c r="I676" s="91" t="s">
        <v>21</v>
      </c>
      <c r="J676" s="91">
        <v>43913</v>
      </c>
      <c r="K676" s="121">
        <v>58</v>
      </c>
      <c r="L676" s="91">
        <v>44540</v>
      </c>
      <c r="M676" s="91"/>
      <c r="N676" s="125">
        <v>0</v>
      </c>
      <c r="O676" s="92">
        <v>10407.600000000002</v>
      </c>
      <c r="Q676" s="14"/>
    </row>
    <row r="677" ht="15" customHeight="1">
      <c r="B677" s="13"/>
      <c r="C677" s="22" t="s">
        <v>184</v>
      </c>
      <c r="D677" s="90" t="s">
        <v>1502</v>
      </c>
      <c r="E677" s="122" t="s">
        <v>1503</v>
      </c>
      <c r="F677" s="91" t="s">
        <v>8</v>
      </c>
      <c r="G677" s="91">
        <v>24013</v>
      </c>
      <c r="H677" s="90" t="s">
        <v>187</v>
      </c>
      <c r="I677" s="91" t="s">
        <v>21</v>
      </c>
      <c r="J677" s="91">
        <v>44286</v>
      </c>
      <c r="K677" s="121">
        <v>56</v>
      </c>
      <c r="L677" s="91">
        <v>44405</v>
      </c>
      <c r="M677" s="91">
        <v>44405</v>
      </c>
      <c r="N677" s="125">
        <v>119</v>
      </c>
      <c r="O677" s="92">
        <v>1530</v>
      </c>
      <c r="Q677" s="14"/>
    </row>
    <row r="678" ht="15" customHeight="1">
      <c r="B678" s="13"/>
      <c r="C678" s="22" t="s">
        <v>184</v>
      </c>
      <c r="D678" s="90" t="s">
        <v>1504</v>
      </c>
      <c r="E678" s="122" t="s">
        <v>1505</v>
      </c>
      <c r="F678" s="91" t="s">
        <v>10</v>
      </c>
      <c r="G678" s="91">
        <v>32028</v>
      </c>
      <c r="H678" s="90" t="s">
        <v>197</v>
      </c>
      <c r="I678" s="91" t="s">
        <v>21</v>
      </c>
      <c r="J678" s="91">
        <v>44418</v>
      </c>
      <c r="K678" s="121">
        <v>34</v>
      </c>
      <c r="L678" s="91">
        <v>44525</v>
      </c>
      <c r="M678" s="91"/>
      <c r="N678" s="125">
        <v>0</v>
      </c>
      <c r="O678" s="92">
        <v>3930.42</v>
      </c>
      <c r="Q678" s="14"/>
    </row>
    <row r="679" ht="15" customHeight="1">
      <c r="B679" s="13"/>
      <c r="C679" s="22" t="s">
        <v>184</v>
      </c>
      <c r="D679" s="90" t="s">
        <v>1506</v>
      </c>
      <c r="E679" s="122" t="s">
        <v>1507</v>
      </c>
      <c r="F679" s="91" t="s">
        <v>8</v>
      </c>
      <c r="G679" s="91">
        <v>19302</v>
      </c>
      <c r="H679" s="90" t="s">
        <v>187</v>
      </c>
      <c r="I679" s="91" t="s">
        <v>21</v>
      </c>
      <c r="J679" s="91">
        <v>44129</v>
      </c>
      <c r="K679" s="121">
        <v>68</v>
      </c>
      <c r="L679" s="91">
        <v>44192</v>
      </c>
      <c r="M679" s="91">
        <v>44192</v>
      </c>
      <c r="N679" s="125">
        <v>63</v>
      </c>
      <c r="O679" s="92">
        <v>303.28</v>
      </c>
      <c r="Q679" s="14"/>
    </row>
    <row r="680" ht="15" customHeight="1">
      <c r="B680" s="13"/>
      <c r="C680" s="22" t="s">
        <v>184</v>
      </c>
      <c r="D680" s="90" t="s">
        <v>1508</v>
      </c>
      <c r="E680" s="122" t="s">
        <v>1509</v>
      </c>
      <c r="F680" s="91" t="s">
        <v>8</v>
      </c>
      <c r="G680" s="91">
        <v>29091</v>
      </c>
      <c r="H680" s="90" t="s">
        <v>187</v>
      </c>
      <c r="I680" s="91" t="s">
        <v>21</v>
      </c>
      <c r="J680" s="91">
        <v>43920</v>
      </c>
      <c r="K680" s="121">
        <v>41</v>
      </c>
      <c r="L680" s="91">
        <v>43994</v>
      </c>
      <c r="M680" s="91">
        <v>43994</v>
      </c>
      <c r="N680" s="125">
        <v>74</v>
      </c>
      <c r="O680" s="92">
        <v>1070.7</v>
      </c>
      <c r="Q680" s="14"/>
    </row>
    <row r="681" ht="15" customHeight="1">
      <c r="B681" s="13"/>
      <c r="C681" s="22" t="s">
        <v>184</v>
      </c>
      <c r="D681" s="90" t="s">
        <v>1510</v>
      </c>
      <c r="E681" s="122" t="s">
        <v>1511</v>
      </c>
      <c r="F681" s="91" t="s">
        <v>8</v>
      </c>
      <c r="G681" s="91">
        <v>25173</v>
      </c>
      <c r="H681" s="90" t="s">
        <v>187</v>
      </c>
      <c r="I681" s="91" t="s">
        <v>21</v>
      </c>
      <c r="J681" s="91">
        <v>44145</v>
      </c>
      <c r="K681" s="121">
        <v>52</v>
      </c>
      <c r="L681" s="91">
        <v>44271</v>
      </c>
      <c r="M681" s="91">
        <v>44271</v>
      </c>
      <c r="N681" s="125">
        <v>126</v>
      </c>
      <c r="O681" s="92">
        <v>273.96</v>
      </c>
      <c r="Q681" s="14"/>
    </row>
    <row r="682" ht="15" customHeight="1">
      <c r="B682" s="13"/>
      <c r="C682" s="22" t="s">
        <v>245</v>
      </c>
      <c r="D682" s="90" t="s">
        <v>1512</v>
      </c>
      <c r="E682" s="122" t="s">
        <v>1513</v>
      </c>
      <c r="F682" s="91" t="s">
        <v>8</v>
      </c>
      <c r="G682" s="91">
        <v>32016</v>
      </c>
      <c r="H682" s="90" t="s">
        <v>197</v>
      </c>
      <c r="I682" s="91" t="s">
        <v>21</v>
      </c>
      <c r="J682" s="91">
        <v>44326</v>
      </c>
      <c r="K682" s="121">
        <v>34</v>
      </c>
      <c r="L682" s="91">
        <v>44477</v>
      </c>
      <c r="M682" s="91">
        <v>44477</v>
      </c>
      <c r="N682" s="125">
        <v>151</v>
      </c>
      <c r="O682" s="92">
        <v>2813.3199999999997</v>
      </c>
      <c r="Q682" s="14"/>
    </row>
    <row r="683" ht="15" customHeight="1">
      <c r="B683" s="13"/>
      <c r="C683" s="22" t="s">
        <v>184</v>
      </c>
      <c r="D683" s="90" t="s">
        <v>1514</v>
      </c>
      <c r="E683" s="122" t="s">
        <v>1515</v>
      </c>
      <c r="F683" s="91" t="s">
        <v>8</v>
      </c>
      <c r="G683" s="91">
        <v>33272</v>
      </c>
      <c r="H683" s="90" t="s">
        <v>187</v>
      </c>
      <c r="I683" s="91" t="s">
        <v>21</v>
      </c>
      <c r="J683" s="91">
        <v>44401</v>
      </c>
      <c r="K683" s="121">
        <v>30</v>
      </c>
      <c r="L683" s="91">
        <v>44486</v>
      </c>
      <c r="M683" s="91">
        <v>44486</v>
      </c>
      <c r="N683" s="125">
        <v>85</v>
      </c>
      <c r="O683" s="92">
        <v>1464.96</v>
      </c>
      <c r="Q683" s="14"/>
    </row>
    <row r="684" ht="15" customHeight="1">
      <c r="B684" s="13"/>
      <c r="C684" s="22" t="s">
        <v>184</v>
      </c>
      <c r="D684" s="90" t="s">
        <v>1516</v>
      </c>
      <c r="E684" s="122" t="s">
        <v>1517</v>
      </c>
      <c r="F684" s="91" t="s">
        <v>8</v>
      </c>
      <c r="G684" s="91">
        <v>25410</v>
      </c>
      <c r="H684" s="90" t="s">
        <v>187</v>
      </c>
      <c r="I684" s="91" t="s">
        <v>21</v>
      </c>
      <c r="J684" s="91">
        <v>44370</v>
      </c>
      <c r="K684" s="121">
        <v>52</v>
      </c>
      <c r="L684" s="91">
        <v>44482</v>
      </c>
      <c r="M684" s="91">
        <v>44482</v>
      </c>
      <c r="N684" s="125">
        <v>112</v>
      </c>
      <c r="O684" s="92">
        <v>196.71</v>
      </c>
      <c r="Q684" s="14"/>
    </row>
    <row r="685" ht="15" customHeight="1">
      <c r="B685" s="13"/>
      <c r="C685" s="22" t="s">
        <v>184</v>
      </c>
      <c r="D685" s="90" t="s">
        <v>1518</v>
      </c>
      <c r="E685" s="122" t="s">
        <v>1519</v>
      </c>
      <c r="F685" s="91" t="s">
        <v>8</v>
      </c>
      <c r="G685" s="91">
        <v>21272</v>
      </c>
      <c r="H685" s="90" t="s">
        <v>187</v>
      </c>
      <c r="I685" s="91" t="s">
        <v>21</v>
      </c>
      <c r="J685" s="91">
        <v>43916</v>
      </c>
      <c r="K685" s="121">
        <v>62</v>
      </c>
      <c r="L685" s="91">
        <v>44030</v>
      </c>
      <c r="M685" s="91">
        <v>44030</v>
      </c>
      <c r="N685" s="125">
        <v>114</v>
      </c>
      <c r="O685" s="92">
        <v>337.45</v>
      </c>
      <c r="Q685" s="14"/>
    </row>
    <row r="686" ht="15" customHeight="1">
      <c r="B686" s="13"/>
      <c r="C686" s="22" t="s">
        <v>135</v>
      </c>
      <c r="D686" s="90" t="s">
        <v>1520</v>
      </c>
      <c r="E686" s="122" t="s">
        <v>1521</v>
      </c>
      <c r="F686" s="91" t="s">
        <v>8</v>
      </c>
      <c r="G686" s="91">
        <v>28014</v>
      </c>
      <c r="H686" s="90" t="s">
        <v>197</v>
      </c>
      <c r="I686" s="91" t="s">
        <v>21</v>
      </c>
      <c r="J686" s="91">
        <v>43981</v>
      </c>
      <c r="K686" s="121">
        <v>44</v>
      </c>
      <c r="L686" s="91">
        <v>44306</v>
      </c>
      <c r="M686" s="91">
        <v>44306</v>
      </c>
      <c r="N686" s="125">
        <v>325</v>
      </c>
      <c r="O686" s="92">
        <v>11060.74</v>
      </c>
      <c r="Q686" s="14"/>
    </row>
    <row r="687" ht="15" customHeight="1">
      <c r="B687" s="13"/>
      <c r="C687" s="22" t="s">
        <v>184</v>
      </c>
      <c r="D687" s="90" t="s">
        <v>1522</v>
      </c>
      <c r="E687" s="122" t="s">
        <v>1523</v>
      </c>
      <c r="F687" s="91" t="s">
        <v>8</v>
      </c>
      <c r="G687" s="91">
        <v>31524</v>
      </c>
      <c r="H687" s="90" t="s">
        <v>187</v>
      </c>
      <c r="I687" s="91" t="s">
        <v>21</v>
      </c>
      <c r="J687" s="91">
        <v>43888</v>
      </c>
      <c r="K687" s="121">
        <v>34</v>
      </c>
      <c r="L687" s="91">
        <v>44218</v>
      </c>
      <c r="M687" s="91">
        <v>44218</v>
      </c>
      <c r="N687" s="125">
        <v>330</v>
      </c>
      <c r="O687" s="92">
        <v>6261.12</v>
      </c>
      <c r="Q687" s="14"/>
    </row>
    <row r="688" ht="15" customHeight="1">
      <c r="B688" s="13"/>
      <c r="C688" s="22" t="s">
        <v>184</v>
      </c>
      <c r="D688" s="90" t="s">
        <v>1524</v>
      </c>
      <c r="E688" s="122" t="s">
        <v>1525</v>
      </c>
      <c r="F688" s="91" t="s">
        <v>8</v>
      </c>
      <c r="G688" s="91">
        <v>29408</v>
      </c>
      <c r="H688" s="90" t="s">
        <v>187</v>
      </c>
      <c r="I688" s="91" t="s">
        <v>21</v>
      </c>
      <c r="J688" s="91">
        <v>44083</v>
      </c>
      <c r="K688" s="121">
        <v>40</v>
      </c>
      <c r="L688" s="91">
        <v>44121</v>
      </c>
      <c r="M688" s="91">
        <v>44121</v>
      </c>
      <c r="N688" s="125">
        <v>38</v>
      </c>
      <c r="O688" s="92">
        <v>241.65</v>
      </c>
      <c r="Q688" s="14"/>
    </row>
    <row r="689" ht="15" customHeight="1">
      <c r="B689" s="13"/>
      <c r="C689" s="22" t="s">
        <v>184</v>
      </c>
      <c r="D689" s="90" t="s">
        <v>1526</v>
      </c>
      <c r="E689" s="122" t="s">
        <v>1527</v>
      </c>
      <c r="F689" s="91" t="s">
        <v>8</v>
      </c>
      <c r="G689" s="91">
        <v>24585</v>
      </c>
      <c r="H689" s="90" t="s">
        <v>187</v>
      </c>
      <c r="I689" s="91" t="s">
        <v>21</v>
      </c>
      <c r="J689" s="91">
        <v>43896</v>
      </c>
      <c r="K689" s="121">
        <v>53</v>
      </c>
      <c r="L689" s="91">
        <v>44316</v>
      </c>
      <c r="M689" s="91">
        <v>44269</v>
      </c>
      <c r="N689" s="125">
        <v>373</v>
      </c>
      <c r="O689" s="92">
        <v>1072.0199999999998</v>
      </c>
      <c r="Q689" s="14"/>
    </row>
    <row r="690" ht="15" customHeight="1">
      <c r="B690" s="13"/>
      <c r="C690" s="22" t="s">
        <v>135</v>
      </c>
      <c r="D690" s="90" t="s">
        <v>1528</v>
      </c>
      <c r="E690" s="122" t="s">
        <v>1529</v>
      </c>
      <c r="F690" s="91" t="s">
        <v>8</v>
      </c>
      <c r="G690" s="91">
        <v>29889</v>
      </c>
      <c r="H690" s="90" t="s">
        <v>197</v>
      </c>
      <c r="I690" s="91" t="s">
        <v>21</v>
      </c>
      <c r="J690" s="91">
        <v>44161</v>
      </c>
      <c r="K690" s="121">
        <v>39</v>
      </c>
      <c r="L690" s="91">
        <v>44202</v>
      </c>
      <c r="M690" s="91">
        <v>44202</v>
      </c>
      <c r="N690" s="125">
        <v>41</v>
      </c>
      <c r="O690" s="92">
        <v>866.76</v>
      </c>
      <c r="Q690" s="14"/>
    </row>
    <row r="691" ht="15" customHeight="1">
      <c r="B691" s="13"/>
      <c r="C691" s="22" t="s">
        <v>184</v>
      </c>
      <c r="D691" s="90" t="s">
        <v>1530</v>
      </c>
      <c r="E691" s="122" t="s">
        <v>1531</v>
      </c>
      <c r="F691" s="91" t="s">
        <v>8</v>
      </c>
      <c r="G691" s="91">
        <v>30444</v>
      </c>
      <c r="H691" s="90" t="s">
        <v>187</v>
      </c>
      <c r="I691" s="91" t="s">
        <v>21</v>
      </c>
      <c r="J691" s="91">
        <v>44300</v>
      </c>
      <c r="K691" s="121">
        <v>38</v>
      </c>
      <c r="L691" s="91">
        <v>44530</v>
      </c>
      <c r="M691" s="91"/>
      <c r="N691" s="125">
        <v>0</v>
      </c>
      <c r="O691" s="92">
        <v>5519.46</v>
      </c>
      <c r="Q691" s="14"/>
    </row>
    <row r="692" ht="15" customHeight="1">
      <c r="B692" s="13"/>
      <c r="C692" s="22" t="s">
        <v>184</v>
      </c>
      <c r="D692" s="90" t="s">
        <v>1532</v>
      </c>
      <c r="E692" s="122" t="s">
        <v>1533</v>
      </c>
      <c r="F692" s="91" t="s">
        <v>10</v>
      </c>
      <c r="G692" s="91">
        <v>26306</v>
      </c>
      <c r="H692" s="90" t="s">
        <v>187</v>
      </c>
      <c r="I692" s="91" t="s">
        <v>21</v>
      </c>
      <c r="J692" s="91">
        <v>44210</v>
      </c>
      <c r="K692" s="121">
        <v>49</v>
      </c>
      <c r="L692" s="91">
        <v>44269</v>
      </c>
      <c r="M692" s="91">
        <v>44269</v>
      </c>
      <c r="N692" s="125">
        <v>59</v>
      </c>
      <c r="O692" s="92">
        <v>101.1</v>
      </c>
      <c r="Q692" s="14"/>
    </row>
    <row r="693" ht="15" customHeight="1">
      <c r="B693" s="13"/>
      <c r="C693" s="22" t="s">
        <v>245</v>
      </c>
      <c r="D693" s="90" t="s">
        <v>1534</v>
      </c>
      <c r="E693" s="122" t="s">
        <v>1535</v>
      </c>
      <c r="F693" s="91" t="s">
        <v>8</v>
      </c>
      <c r="G693" s="91">
        <v>24175</v>
      </c>
      <c r="H693" s="90" t="s">
        <v>187</v>
      </c>
      <c r="I693" s="91" t="s">
        <v>21</v>
      </c>
      <c r="J693" s="91">
        <v>44131</v>
      </c>
      <c r="K693" s="121">
        <v>54</v>
      </c>
      <c r="L693" s="91">
        <v>44458</v>
      </c>
      <c r="M693" s="91">
        <v>44458</v>
      </c>
      <c r="N693" s="125">
        <v>327</v>
      </c>
      <c r="O693" s="92">
        <v>17242.28</v>
      </c>
      <c r="Q693" s="14"/>
    </row>
    <row r="694" ht="15" customHeight="1">
      <c r="B694" s="13"/>
      <c r="C694" s="22" t="s">
        <v>184</v>
      </c>
      <c r="D694" s="90" t="s">
        <v>1536</v>
      </c>
      <c r="E694" s="122" t="s">
        <v>1537</v>
      </c>
      <c r="F694" s="91" t="s">
        <v>8</v>
      </c>
      <c r="G694" s="91">
        <v>33497</v>
      </c>
      <c r="H694" s="90" t="s">
        <v>187</v>
      </c>
      <c r="I694" s="91" t="s">
        <v>21</v>
      </c>
      <c r="J694" s="91">
        <v>43872</v>
      </c>
      <c r="K694" s="121">
        <v>29</v>
      </c>
      <c r="L694" s="91">
        <v>43922</v>
      </c>
      <c r="M694" s="91">
        <v>43922</v>
      </c>
      <c r="N694" s="125">
        <v>50</v>
      </c>
      <c r="O694" s="92">
        <v>449.61</v>
      </c>
      <c r="Q694" s="14"/>
    </row>
    <row r="695" ht="15" customHeight="1">
      <c r="B695" s="13"/>
      <c r="C695" s="22" t="s">
        <v>184</v>
      </c>
      <c r="D695" s="90" t="s">
        <v>1538</v>
      </c>
      <c r="E695" s="122" t="s">
        <v>1539</v>
      </c>
      <c r="F695" s="91" t="s">
        <v>8</v>
      </c>
      <c r="G695" s="91">
        <v>26539</v>
      </c>
      <c r="H695" s="90" t="s">
        <v>187</v>
      </c>
      <c r="I695" s="91" t="s">
        <v>21</v>
      </c>
      <c r="J695" s="91">
        <v>44091</v>
      </c>
      <c r="K695" s="121">
        <v>48</v>
      </c>
      <c r="L695" s="91">
        <v>44199</v>
      </c>
      <c r="M695" s="91">
        <v>44199</v>
      </c>
      <c r="N695" s="125">
        <v>108</v>
      </c>
      <c r="O695" s="92">
        <v>3135.51</v>
      </c>
      <c r="Q695" s="14"/>
    </row>
    <row r="696" ht="15" customHeight="1">
      <c r="B696" s="13"/>
      <c r="C696" s="22" t="s">
        <v>184</v>
      </c>
      <c r="D696" s="90" t="s">
        <v>1540</v>
      </c>
      <c r="E696" s="122" t="s">
        <v>1541</v>
      </c>
      <c r="F696" s="91" t="s">
        <v>8</v>
      </c>
      <c r="G696" s="91">
        <v>29537</v>
      </c>
      <c r="H696" s="90" t="s">
        <v>187</v>
      </c>
      <c r="I696" s="91" t="s">
        <v>21</v>
      </c>
      <c r="J696" s="91">
        <v>44280</v>
      </c>
      <c r="K696" s="121">
        <v>41</v>
      </c>
      <c r="L696" s="91">
        <v>44433</v>
      </c>
      <c r="M696" s="91">
        <v>44433</v>
      </c>
      <c r="N696" s="125">
        <v>153</v>
      </c>
      <c r="O696" s="92">
        <v>0</v>
      </c>
      <c r="Q696" s="14"/>
    </row>
    <row r="697" ht="15" customHeight="1">
      <c r="B697" s="13"/>
      <c r="C697" s="22" t="s">
        <v>184</v>
      </c>
      <c r="D697" s="90" t="s">
        <v>1542</v>
      </c>
      <c r="E697" s="122" t="s">
        <v>1543</v>
      </c>
      <c r="F697" s="91" t="s">
        <v>8</v>
      </c>
      <c r="G697" s="91">
        <v>33850</v>
      </c>
      <c r="H697" s="90" t="s">
        <v>197</v>
      </c>
      <c r="I697" s="91" t="s">
        <v>21</v>
      </c>
      <c r="J697" s="91">
        <v>44362</v>
      </c>
      <c r="K697" s="121">
        <v>29</v>
      </c>
      <c r="L697" s="91">
        <v>44498</v>
      </c>
      <c r="M697" s="91">
        <v>44498</v>
      </c>
      <c r="N697" s="125">
        <v>136</v>
      </c>
      <c r="O697" s="92">
        <v>3849.86</v>
      </c>
      <c r="Q697" s="14"/>
    </row>
    <row r="698" ht="15" customHeight="1">
      <c r="B698" s="13"/>
      <c r="C698" s="22" t="s">
        <v>184</v>
      </c>
      <c r="D698" s="90" t="s">
        <v>1544</v>
      </c>
      <c r="E698" s="122" t="s">
        <v>1545</v>
      </c>
      <c r="F698" s="91" t="s">
        <v>8</v>
      </c>
      <c r="G698" s="91">
        <v>31905</v>
      </c>
      <c r="H698" s="90" t="s">
        <v>187</v>
      </c>
      <c r="I698" s="91" t="s">
        <v>21</v>
      </c>
      <c r="J698" s="91">
        <v>44006</v>
      </c>
      <c r="K698" s="121">
        <v>33</v>
      </c>
      <c r="L698" s="91">
        <v>44481</v>
      </c>
      <c r="M698" s="91">
        <v>44481</v>
      </c>
      <c r="N698" s="125">
        <v>475</v>
      </c>
      <c r="O698" s="92">
        <v>12111.33</v>
      </c>
      <c r="Q698" s="14"/>
    </row>
    <row r="699" ht="15" customHeight="1">
      <c r="B699" s="13"/>
      <c r="C699" s="22" t="s">
        <v>245</v>
      </c>
      <c r="D699" s="90" t="s">
        <v>1546</v>
      </c>
      <c r="E699" s="122" t="s">
        <v>1547</v>
      </c>
      <c r="F699" s="91" t="s">
        <v>10</v>
      </c>
      <c r="G699" s="91">
        <v>25878</v>
      </c>
      <c r="H699" s="90" t="s">
        <v>197</v>
      </c>
      <c r="I699" s="91" t="s">
        <v>21</v>
      </c>
      <c r="J699" s="91">
        <v>44347</v>
      </c>
      <c r="K699" s="121">
        <v>51</v>
      </c>
      <c r="L699" s="91">
        <v>44388</v>
      </c>
      <c r="M699" s="91">
        <v>44388</v>
      </c>
      <c r="N699" s="125">
        <v>41</v>
      </c>
      <c r="O699" s="92">
        <v>1462.92</v>
      </c>
      <c r="Q699" s="14"/>
    </row>
    <row r="700" ht="15" customHeight="1">
      <c r="B700" s="13"/>
      <c r="C700" s="22" t="s">
        <v>184</v>
      </c>
      <c r="D700" s="90" t="s">
        <v>1548</v>
      </c>
      <c r="E700" s="122" t="s">
        <v>1549</v>
      </c>
      <c r="F700" s="91" t="s">
        <v>8</v>
      </c>
      <c r="G700" s="91">
        <v>26016</v>
      </c>
      <c r="H700" s="90" t="s">
        <v>187</v>
      </c>
      <c r="I700" s="91" t="s">
        <v>21</v>
      </c>
      <c r="J700" s="91">
        <v>44069</v>
      </c>
      <c r="K700" s="121">
        <v>49</v>
      </c>
      <c r="L700" s="91">
        <v>44160</v>
      </c>
      <c r="M700" s="91">
        <v>44160</v>
      </c>
      <c r="N700" s="125">
        <v>91</v>
      </c>
      <c r="O700" s="92">
        <v>595.2</v>
      </c>
      <c r="Q700" s="14"/>
    </row>
    <row r="701" ht="15" customHeight="1">
      <c r="B701" s="13"/>
      <c r="C701" s="22" t="s">
        <v>184</v>
      </c>
      <c r="D701" s="90" t="s">
        <v>1550</v>
      </c>
      <c r="E701" s="122" t="s">
        <v>1551</v>
      </c>
      <c r="F701" s="91" t="s">
        <v>10</v>
      </c>
      <c r="G701" s="91">
        <v>27135</v>
      </c>
      <c r="H701" s="90" t="s">
        <v>187</v>
      </c>
      <c r="I701" s="91" t="s">
        <v>21</v>
      </c>
      <c r="J701" s="91">
        <v>44089</v>
      </c>
      <c r="K701" s="121">
        <v>46</v>
      </c>
      <c r="L701" s="91">
        <v>44454</v>
      </c>
      <c r="M701" s="91">
        <v>44454</v>
      </c>
      <c r="N701" s="125">
        <v>365</v>
      </c>
      <c r="O701" s="92">
        <v>12580.919999999995</v>
      </c>
      <c r="Q701" s="14"/>
    </row>
    <row r="702" ht="15" customHeight="1">
      <c r="B702" s="13"/>
      <c r="C702" s="22" t="s">
        <v>184</v>
      </c>
      <c r="D702" s="90" t="s">
        <v>1552</v>
      </c>
      <c r="E702" s="122" t="s">
        <v>1553</v>
      </c>
      <c r="F702" s="91" t="s">
        <v>10</v>
      </c>
      <c r="G702" s="91">
        <v>33254</v>
      </c>
      <c r="H702" s="90" t="s">
        <v>187</v>
      </c>
      <c r="I702" s="91" t="s">
        <v>21</v>
      </c>
      <c r="J702" s="91">
        <v>44433</v>
      </c>
      <c r="K702" s="121">
        <v>30</v>
      </c>
      <c r="L702" s="91">
        <v>44517</v>
      </c>
      <c r="M702" s="91"/>
      <c r="N702" s="125">
        <v>0</v>
      </c>
      <c r="O702" s="92">
        <v>3157.55</v>
      </c>
      <c r="Q702" s="14"/>
    </row>
    <row r="703" ht="15" customHeight="1">
      <c r="B703" s="13"/>
      <c r="C703" s="22" t="s">
        <v>200</v>
      </c>
      <c r="D703" s="90" t="s">
        <v>1554</v>
      </c>
      <c r="E703" s="122" t="s">
        <v>1555</v>
      </c>
      <c r="F703" s="91" t="s">
        <v>8</v>
      </c>
      <c r="G703" s="91">
        <v>27889</v>
      </c>
      <c r="H703" s="90" t="s">
        <v>197</v>
      </c>
      <c r="I703" s="91" t="s">
        <v>21</v>
      </c>
      <c r="J703" s="91">
        <v>44087</v>
      </c>
      <c r="K703" s="121">
        <v>44</v>
      </c>
      <c r="L703" s="91">
        <v>44216</v>
      </c>
      <c r="M703" s="91">
        <v>44216</v>
      </c>
      <c r="N703" s="125">
        <v>129</v>
      </c>
      <c r="O703" s="92">
        <v>2605.2</v>
      </c>
      <c r="Q703" s="14"/>
    </row>
    <row r="704" ht="15" customHeight="1">
      <c r="B704" s="13"/>
      <c r="C704" s="22" t="s">
        <v>184</v>
      </c>
      <c r="D704" s="90" t="s">
        <v>1556</v>
      </c>
      <c r="E704" s="122" t="s">
        <v>1557</v>
      </c>
      <c r="F704" s="91" t="s">
        <v>8</v>
      </c>
      <c r="G704" s="91">
        <v>32021</v>
      </c>
      <c r="H704" s="90" t="s">
        <v>187</v>
      </c>
      <c r="I704" s="91" t="s">
        <v>21</v>
      </c>
      <c r="J704" s="91">
        <v>44359</v>
      </c>
      <c r="K704" s="121">
        <v>34</v>
      </c>
      <c r="L704" s="91">
        <v>44406</v>
      </c>
      <c r="M704" s="91">
        <v>44406</v>
      </c>
      <c r="N704" s="125">
        <v>47</v>
      </c>
      <c r="O704" s="92">
        <v>374.94</v>
      </c>
      <c r="Q704" s="14"/>
    </row>
    <row r="705" ht="15" customHeight="1">
      <c r="B705" s="13"/>
      <c r="C705" s="22" t="s">
        <v>400</v>
      </c>
      <c r="D705" s="90" t="s">
        <v>1558</v>
      </c>
      <c r="E705" s="122" t="s">
        <v>1559</v>
      </c>
      <c r="F705" s="91" t="s">
        <v>8</v>
      </c>
      <c r="G705" s="91">
        <v>32297</v>
      </c>
      <c r="H705" s="90" t="s">
        <v>187</v>
      </c>
      <c r="I705" s="91" t="s">
        <v>21</v>
      </c>
      <c r="J705" s="91">
        <v>44467</v>
      </c>
      <c r="K705" s="121">
        <v>33</v>
      </c>
      <c r="L705" s="91">
        <v>44533</v>
      </c>
      <c r="M705" s="91"/>
      <c r="N705" s="125">
        <v>0</v>
      </c>
      <c r="O705" s="92">
        <v>755.54</v>
      </c>
      <c r="Q705" s="14"/>
    </row>
    <row r="706" ht="15" customHeight="1">
      <c r="B706" s="13"/>
      <c r="C706" s="22" t="s">
        <v>135</v>
      </c>
      <c r="D706" s="90" t="s">
        <v>1560</v>
      </c>
      <c r="E706" s="122" t="s">
        <v>1561</v>
      </c>
      <c r="F706" s="91" t="s">
        <v>8</v>
      </c>
      <c r="G706" s="91">
        <v>33353</v>
      </c>
      <c r="H706" s="90" t="s">
        <v>187</v>
      </c>
      <c r="I706" s="91" t="s">
        <v>21</v>
      </c>
      <c r="J706" s="91">
        <v>44267</v>
      </c>
      <c r="K706" s="121">
        <v>30</v>
      </c>
      <c r="L706" s="91">
        <v>44343</v>
      </c>
      <c r="M706" s="91">
        <v>44344</v>
      </c>
      <c r="N706" s="125">
        <v>77</v>
      </c>
      <c r="O706" s="92">
        <v>2117.82</v>
      </c>
      <c r="Q706" s="14"/>
    </row>
    <row r="707" ht="15" customHeight="1">
      <c r="B707" s="13"/>
      <c r="C707" s="22" t="s">
        <v>184</v>
      </c>
      <c r="D707" s="90" t="s">
        <v>1562</v>
      </c>
      <c r="E707" s="122" t="s">
        <v>1563</v>
      </c>
      <c r="F707" s="91" t="s">
        <v>8</v>
      </c>
      <c r="G707" s="91">
        <v>34147</v>
      </c>
      <c r="H707" s="90" t="s">
        <v>187</v>
      </c>
      <c r="I707" s="91" t="s">
        <v>21</v>
      </c>
      <c r="J707" s="91">
        <v>43909</v>
      </c>
      <c r="K707" s="121">
        <v>27</v>
      </c>
      <c r="L707" s="91">
        <v>44065</v>
      </c>
      <c r="M707" s="91">
        <v>44065</v>
      </c>
      <c r="N707" s="125">
        <v>156</v>
      </c>
      <c r="O707" s="92">
        <v>2933.7</v>
      </c>
      <c r="Q707" s="14"/>
    </row>
    <row r="708" ht="15" customHeight="1">
      <c r="B708" s="13"/>
      <c r="C708" s="22" t="s">
        <v>184</v>
      </c>
      <c r="D708" s="90" t="s">
        <v>1564</v>
      </c>
      <c r="E708" s="122" t="s">
        <v>1565</v>
      </c>
      <c r="F708" s="91" t="s">
        <v>8</v>
      </c>
      <c r="G708" s="91">
        <v>29199</v>
      </c>
      <c r="H708" s="90" t="s">
        <v>187</v>
      </c>
      <c r="I708" s="91" t="s">
        <v>21</v>
      </c>
      <c r="J708" s="91">
        <v>44111</v>
      </c>
      <c r="K708" s="121">
        <v>41</v>
      </c>
      <c r="L708" s="91">
        <v>44530</v>
      </c>
      <c r="M708" s="91"/>
      <c r="N708" s="125">
        <v>0</v>
      </c>
      <c r="O708" s="92">
        <v>7913.4299999999985</v>
      </c>
      <c r="Q708" s="14"/>
    </row>
    <row r="709" ht="15" customHeight="1">
      <c r="B709" s="13"/>
      <c r="C709" s="22" t="s">
        <v>184</v>
      </c>
      <c r="D709" s="90" t="s">
        <v>1566</v>
      </c>
      <c r="E709" s="122" t="s">
        <v>1567</v>
      </c>
      <c r="F709" s="91" t="s">
        <v>10</v>
      </c>
      <c r="G709" s="91">
        <v>32603</v>
      </c>
      <c r="H709" s="90" t="s">
        <v>197</v>
      </c>
      <c r="I709" s="91" t="s">
        <v>21</v>
      </c>
      <c r="J709" s="91">
        <v>44239</v>
      </c>
      <c r="K709" s="121">
        <v>32</v>
      </c>
      <c r="L709" s="91">
        <v>44341</v>
      </c>
      <c r="M709" s="91">
        <v>44341</v>
      </c>
      <c r="N709" s="125">
        <v>102</v>
      </c>
      <c r="O709" s="92">
        <v>1702.36</v>
      </c>
      <c r="Q709" s="14"/>
    </row>
    <row r="710" ht="15" customHeight="1">
      <c r="B710" s="13"/>
      <c r="C710" s="22" t="s">
        <v>184</v>
      </c>
      <c r="D710" s="90" t="s">
        <v>1568</v>
      </c>
      <c r="E710" s="122" t="s">
        <v>1569</v>
      </c>
      <c r="F710" s="91" t="s">
        <v>8</v>
      </c>
      <c r="G710" s="91">
        <v>25908</v>
      </c>
      <c r="H710" s="90" t="s">
        <v>187</v>
      </c>
      <c r="I710" s="91" t="s">
        <v>21</v>
      </c>
      <c r="J710" s="91">
        <v>44223</v>
      </c>
      <c r="K710" s="121">
        <v>51</v>
      </c>
      <c r="L710" s="91">
        <v>44469</v>
      </c>
      <c r="M710" s="91">
        <v>44469</v>
      </c>
      <c r="N710" s="125">
        <v>246</v>
      </c>
      <c r="O710" s="92">
        <v>5955.84</v>
      </c>
      <c r="Q710" s="14"/>
    </row>
    <row r="711" ht="15" customHeight="1">
      <c r="B711" s="13"/>
      <c r="C711" s="22" t="s">
        <v>184</v>
      </c>
      <c r="D711" s="90" t="s">
        <v>1570</v>
      </c>
      <c r="E711" s="122" t="s">
        <v>1571</v>
      </c>
      <c r="F711" s="91" t="s">
        <v>8</v>
      </c>
      <c r="G711" s="91">
        <v>28223</v>
      </c>
      <c r="H711" s="90" t="s">
        <v>187</v>
      </c>
      <c r="I711" s="91" t="s">
        <v>21</v>
      </c>
      <c r="J711" s="91">
        <v>44070</v>
      </c>
      <c r="K711" s="121">
        <v>43</v>
      </c>
      <c r="L711" s="91">
        <v>44379</v>
      </c>
      <c r="M711" s="91">
        <v>44380</v>
      </c>
      <c r="N711" s="125">
        <v>310</v>
      </c>
      <c r="O711" s="92">
        <v>10484.320000000002</v>
      </c>
      <c r="Q711" s="14"/>
    </row>
    <row r="712" ht="15" customHeight="1">
      <c r="B712" s="13"/>
      <c r="C712" s="22" t="s">
        <v>184</v>
      </c>
      <c r="D712" s="90" t="s">
        <v>1572</v>
      </c>
      <c r="E712" s="122" t="s">
        <v>1573</v>
      </c>
      <c r="F712" s="91" t="s">
        <v>8</v>
      </c>
      <c r="G712" s="91">
        <v>23822</v>
      </c>
      <c r="H712" s="90" t="s">
        <v>187</v>
      </c>
      <c r="I712" s="91" t="s">
        <v>21</v>
      </c>
      <c r="J712" s="91">
        <v>43959</v>
      </c>
      <c r="K712" s="121">
        <v>55</v>
      </c>
      <c r="L712" s="91">
        <v>44029</v>
      </c>
      <c r="M712" s="91">
        <v>44029</v>
      </c>
      <c r="N712" s="125">
        <v>70</v>
      </c>
      <c r="O712" s="92">
        <v>910.2</v>
      </c>
      <c r="Q712" s="14"/>
    </row>
    <row r="713" ht="15" customHeight="1">
      <c r="B713" s="13"/>
      <c r="C713" s="22" t="s">
        <v>184</v>
      </c>
      <c r="D713" s="90" t="s">
        <v>1574</v>
      </c>
      <c r="E713" s="122" t="s">
        <v>1575</v>
      </c>
      <c r="F713" s="91" t="s">
        <v>8</v>
      </c>
      <c r="G713" s="91">
        <v>33069</v>
      </c>
      <c r="H713" s="90" t="s">
        <v>187</v>
      </c>
      <c r="I713" s="91" t="s">
        <v>21</v>
      </c>
      <c r="J713" s="91">
        <v>44243</v>
      </c>
      <c r="K713" s="121">
        <v>31</v>
      </c>
      <c r="L713" s="91">
        <v>44299</v>
      </c>
      <c r="M713" s="91">
        <v>44299</v>
      </c>
      <c r="N713" s="125">
        <v>56</v>
      </c>
      <c r="O713" s="92">
        <v>1886.49</v>
      </c>
      <c r="Q713" s="14"/>
    </row>
    <row r="714" ht="15" customHeight="1">
      <c r="B714" s="13"/>
      <c r="C714" s="22" t="s">
        <v>184</v>
      </c>
      <c r="D714" s="90" t="s">
        <v>1576</v>
      </c>
      <c r="E714" s="122" t="s">
        <v>1577</v>
      </c>
      <c r="F714" s="91" t="s">
        <v>8</v>
      </c>
      <c r="G714" s="91">
        <v>29017</v>
      </c>
      <c r="H714" s="90" t="s">
        <v>197</v>
      </c>
      <c r="I714" s="91" t="s">
        <v>21</v>
      </c>
      <c r="J714" s="91">
        <v>44062</v>
      </c>
      <c r="K714" s="121">
        <v>41</v>
      </c>
      <c r="L714" s="91">
        <v>44123</v>
      </c>
      <c r="M714" s="91">
        <v>44123</v>
      </c>
      <c r="N714" s="125">
        <v>61</v>
      </c>
      <c r="O714" s="92">
        <v>1226.24</v>
      </c>
      <c r="Q714" s="14"/>
    </row>
    <row r="715" ht="15" customHeight="1">
      <c r="B715" s="13"/>
      <c r="C715" s="22" t="s">
        <v>135</v>
      </c>
      <c r="D715" s="90" t="s">
        <v>1578</v>
      </c>
      <c r="E715" s="122" t="s">
        <v>1579</v>
      </c>
      <c r="F715" s="91" t="s">
        <v>8</v>
      </c>
      <c r="G715" s="91">
        <v>32034</v>
      </c>
      <c r="H715" s="90" t="s">
        <v>187</v>
      </c>
      <c r="I715" s="91" t="s">
        <v>21</v>
      </c>
      <c r="J715" s="91">
        <v>44095</v>
      </c>
      <c r="K715" s="121">
        <v>33</v>
      </c>
      <c r="L715" s="91">
        <v>44148</v>
      </c>
      <c r="M715" s="91">
        <v>44148</v>
      </c>
      <c r="N715" s="125">
        <v>53</v>
      </c>
      <c r="O715" s="92">
        <v>326.88</v>
      </c>
      <c r="Q715" s="14"/>
    </row>
    <row r="716" ht="15" customHeight="1">
      <c r="B716" s="13"/>
      <c r="C716" s="22" t="s">
        <v>135</v>
      </c>
      <c r="D716" s="90" t="s">
        <v>1580</v>
      </c>
      <c r="E716" s="122" t="s">
        <v>1579</v>
      </c>
      <c r="F716" s="91" t="s">
        <v>8</v>
      </c>
      <c r="G716" s="91">
        <v>32034</v>
      </c>
      <c r="H716" s="90" t="s">
        <v>187</v>
      </c>
      <c r="I716" s="91" t="s">
        <v>21</v>
      </c>
      <c r="J716" s="91">
        <v>44344</v>
      </c>
      <c r="K716" s="121">
        <v>34</v>
      </c>
      <c r="L716" s="91">
        <v>44453</v>
      </c>
      <c r="M716" s="91">
        <v>44453</v>
      </c>
      <c r="N716" s="125">
        <v>109</v>
      </c>
      <c r="O716" s="92">
        <v>1027.2</v>
      </c>
      <c r="Q716" s="14"/>
    </row>
    <row r="717" ht="15" customHeight="1">
      <c r="B717" s="13"/>
      <c r="C717" s="22" t="s">
        <v>184</v>
      </c>
      <c r="D717" s="90" t="s">
        <v>1581</v>
      </c>
      <c r="E717" s="122" t="s">
        <v>1582</v>
      </c>
      <c r="F717" s="91" t="s">
        <v>8</v>
      </c>
      <c r="G717" s="91">
        <v>32609</v>
      </c>
      <c r="H717" s="90" t="s">
        <v>187</v>
      </c>
      <c r="I717" s="91" t="s">
        <v>21</v>
      </c>
      <c r="J717" s="91">
        <v>44375</v>
      </c>
      <c r="K717" s="121">
        <v>32</v>
      </c>
      <c r="L717" s="91">
        <v>44496</v>
      </c>
      <c r="M717" s="91">
        <v>44496</v>
      </c>
      <c r="N717" s="125">
        <v>121</v>
      </c>
      <c r="O717" s="92">
        <v>2184.08</v>
      </c>
      <c r="Q717" s="14"/>
    </row>
    <row r="718" ht="15" customHeight="1">
      <c r="B718" s="13"/>
      <c r="C718" s="22" t="s">
        <v>184</v>
      </c>
      <c r="D718" s="90" t="s">
        <v>1583</v>
      </c>
      <c r="E718" s="122" t="s">
        <v>1584</v>
      </c>
      <c r="F718" s="91" t="s">
        <v>8</v>
      </c>
      <c r="G718" s="91">
        <v>30713</v>
      </c>
      <c r="H718" s="90" t="s">
        <v>197</v>
      </c>
      <c r="I718" s="91" t="s">
        <v>21</v>
      </c>
      <c r="J718" s="91">
        <v>44055</v>
      </c>
      <c r="K718" s="121">
        <v>36</v>
      </c>
      <c r="L718" s="91">
        <v>44095</v>
      </c>
      <c r="M718" s="91">
        <v>44095</v>
      </c>
      <c r="N718" s="125">
        <v>40</v>
      </c>
      <c r="O718" s="92">
        <v>652.96</v>
      </c>
      <c r="Q718" s="14"/>
    </row>
    <row r="719" ht="15" customHeight="1">
      <c r="B719" s="13"/>
      <c r="C719" s="22" t="s">
        <v>184</v>
      </c>
      <c r="D719" s="90" t="s">
        <v>1585</v>
      </c>
      <c r="E719" s="122" t="s">
        <v>1586</v>
      </c>
      <c r="F719" s="91" t="s">
        <v>10</v>
      </c>
      <c r="G719" s="91">
        <v>29001</v>
      </c>
      <c r="H719" s="90" t="s">
        <v>187</v>
      </c>
      <c r="I719" s="91" t="s">
        <v>21</v>
      </c>
      <c r="J719" s="91">
        <v>44315</v>
      </c>
      <c r="K719" s="121">
        <v>42</v>
      </c>
      <c r="L719" s="91">
        <v>44494</v>
      </c>
      <c r="M719" s="91">
        <v>44494</v>
      </c>
      <c r="N719" s="125">
        <v>179</v>
      </c>
      <c r="O719" s="92">
        <v>1615.5</v>
      </c>
      <c r="Q719" s="14"/>
    </row>
    <row r="720" ht="15" customHeight="1">
      <c r="B720" s="13"/>
      <c r="C720" s="22" t="s">
        <v>184</v>
      </c>
      <c r="D720" s="90" t="s">
        <v>1587</v>
      </c>
      <c r="E720" s="122" t="s">
        <v>1588</v>
      </c>
      <c r="F720" s="91" t="s">
        <v>8</v>
      </c>
      <c r="G720" s="91">
        <v>25829</v>
      </c>
      <c r="H720" s="90" t="s">
        <v>187</v>
      </c>
      <c r="I720" s="91" t="s">
        <v>21</v>
      </c>
      <c r="J720" s="91">
        <v>43907</v>
      </c>
      <c r="K720" s="121">
        <v>50</v>
      </c>
      <c r="L720" s="91">
        <v>43951</v>
      </c>
      <c r="M720" s="91">
        <v>43951</v>
      </c>
      <c r="N720" s="125">
        <v>44</v>
      </c>
      <c r="O720" s="92">
        <v>51.75</v>
      </c>
      <c r="Q720" s="14"/>
    </row>
    <row r="721" ht="15" customHeight="1">
      <c r="B721" s="13"/>
      <c r="C721" s="22" t="s">
        <v>184</v>
      </c>
      <c r="D721" s="90" t="s">
        <v>1589</v>
      </c>
      <c r="E721" s="122" t="s">
        <v>1590</v>
      </c>
      <c r="F721" s="91" t="s">
        <v>8</v>
      </c>
      <c r="G721" s="91">
        <v>30376</v>
      </c>
      <c r="H721" s="90" t="s">
        <v>187</v>
      </c>
      <c r="I721" s="91" t="s">
        <v>21</v>
      </c>
      <c r="J721" s="91">
        <v>44208</v>
      </c>
      <c r="K721" s="121">
        <v>38</v>
      </c>
      <c r="L721" s="91">
        <v>44255</v>
      </c>
      <c r="M721" s="91">
        <v>44255</v>
      </c>
      <c r="N721" s="125">
        <v>47</v>
      </c>
      <c r="O721" s="92">
        <v>381.42</v>
      </c>
      <c r="Q721" s="14"/>
    </row>
    <row r="722" ht="15" customHeight="1">
      <c r="B722" s="13"/>
      <c r="C722" s="22" t="s">
        <v>184</v>
      </c>
      <c r="D722" s="90" t="s">
        <v>1591</v>
      </c>
      <c r="E722" s="122" t="s">
        <v>1592</v>
      </c>
      <c r="F722" s="91" t="s">
        <v>8</v>
      </c>
      <c r="G722" s="91">
        <v>30829</v>
      </c>
      <c r="H722" s="90" t="s">
        <v>187</v>
      </c>
      <c r="I722" s="91" t="s">
        <v>21</v>
      </c>
      <c r="J722" s="91">
        <v>44200</v>
      </c>
      <c r="K722" s="121">
        <v>37</v>
      </c>
      <c r="L722" s="91">
        <v>44346</v>
      </c>
      <c r="M722" s="91">
        <v>44346</v>
      </c>
      <c r="N722" s="125">
        <v>146</v>
      </c>
      <c r="O722" s="92">
        <v>2921.4900000000002</v>
      </c>
      <c r="Q722" s="14"/>
    </row>
    <row r="723" ht="15" customHeight="1">
      <c r="B723" s="13"/>
      <c r="C723" s="22" t="s">
        <v>184</v>
      </c>
      <c r="D723" s="90" t="s">
        <v>1593</v>
      </c>
      <c r="E723" s="122" t="s">
        <v>1594</v>
      </c>
      <c r="F723" s="91" t="s">
        <v>8</v>
      </c>
      <c r="G723" s="91">
        <v>31219</v>
      </c>
      <c r="H723" s="90" t="s">
        <v>187</v>
      </c>
      <c r="I723" s="91" t="s">
        <v>21</v>
      </c>
      <c r="J723" s="91">
        <v>44112</v>
      </c>
      <c r="K723" s="121">
        <v>35</v>
      </c>
      <c r="L723" s="91">
        <v>44348</v>
      </c>
      <c r="M723" s="91">
        <v>44348</v>
      </c>
      <c r="N723" s="125">
        <v>236</v>
      </c>
      <c r="O723" s="92">
        <v>2825.55</v>
      </c>
      <c r="Q723" s="14"/>
    </row>
    <row r="724" ht="15" customHeight="1">
      <c r="B724" s="13"/>
      <c r="C724" s="22" t="s">
        <v>184</v>
      </c>
      <c r="D724" s="90" t="s">
        <v>1595</v>
      </c>
      <c r="E724" s="122" t="s">
        <v>1596</v>
      </c>
      <c r="F724" s="91" t="s">
        <v>8</v>
      </c>
      <c r="G724" s="91">
        <v>31087</v>
      </c>
      <c r="H724" s="90" t="s">
        <v>187</v>
      </c>
      <c r="I724" s="91" t="s">
        <v>21</v>
      </c>
      <c r="J724" s="91">
        <v>44356</v>
      </c>
      <c r="K724" s="121">
        <v>36</v>
      </c>
      <c r="L724" s="91">
        <v>44529</v>
      </c>
      <c r="M724" s="91"/>
      <c r="N724" s="125">
        <v>0</v>
      </c>
      <c r="O724" s="92">
        <v>4145.22</v>
      </c>
      <c r="Q724" s="14"/>
    </row>
    <row r="725" ht="15" customHeight="1">
      <c r="B725" s="13"/>
      <c r="C725" s="22" t="s">
        <v>184</v>
      </c>
      <c r="D725" s="90" t="s">
        <v>1597</v>
      </c>
      <c r="E725" s="122" t="s">
        <v>1598</v>
      </c>
      <c r="F725" s="91" t="s">
        <v>8</v>
      </c>
      <c r="G725" s="91">
        <v>32986</v>
      </c>
      <c r="H725" s="90" t="s">
        <v>187</v>
      </c>
      <c r="I725" s="91" t="s">
        <v>21</v>
      </c>
      <c r="J725" s="91">
        <v>44460</v>
      </c>
      <c r="K725" s="121">
        <v>31</v>
      </c>
      <c r="L725" s="91">
        <v>44515</v>
      </c>
      <c r="M725" s="91"/>
      <c r="N725" s="125">
        <v>0</v>
      </c>
      <c r="O725" s="92">
        <v>602.16000000000008</v>
      </c>
      <c r="Q725" s="14"/>
    </row>
    <row r="726" ht="15" customHeight="1">
      <c r="B726" s="13"/>
      <c r="C726" s="22" t="s">
        <v>184</v>
      </c>
      <c r="D726" s="90" t="s">
        <v>1599</v>
      </c>
      <c r="E726" s="122" t="s">
        <v>1600</v>
      </c>
      <c r="F726" s="91" t="s">
        <v>8</v>
      </c>
      <c r="G726" s="91">
        <v>29282</v>
      </c>
      <c r="H726" s="90" t="s">
        <v>187</v>
      </c>
      <c r="I726" s="91" t="s">
        <v>21</v>
      </c>
      <c r="J726" s="91">
        <v>44371</v>
      </c>
      <c r="K726" s="121">
        <v>41</v>
      </c>
      <c r="L726" s="91">
        <v>44419</v>
      </c>
      <c r="M726" s="91">
        <v>44419</v>
      </c>
      <c r="N726" s="125">
        <v>48</v>
      </c>
      <c r="O726" s="92">
        <v>427.69</v>
      </c>
      <c r="Q726" s="14"/>
    </row>
    <row r="727" ht="15" customHeight="1">
      <c r="B727" s="13"/>
      <c r="C727" s="22" t="s">
        <v>184</v>
      </c>
      <c r="D727" s="90" t="s">
        <v>1601</v>
      </c>
      <c r="E727" s="122" t="s">
        <v>1602</v>
      </c>
      <c r="F727" s="91" t="s">
        <v>8</v>
      </c>
      <c r="G727" s="91">
        <v>27643</v>
      </c>
      <c r="H727" s="90" t="s">
        <v>187</v>
      </c>
      <c r="I727" s="91" t="s">
        <v>21</v>
      </c>
      <c r="J727" s="91">
        <v>44446</v>
      </c>
      <c r="K727" s="121">
        <v>46</v>
      </c>
      <c r="L727" s="91">
        <v>44533</v>
      </c>
      <c r="M727" s="91"/>
      <c r="N727" s="125">
        <v>0</v>
      </c>
      <c r="O727" s="92">
        <v>737.18</v>
      </c>
      <c r="Q727" s="14"/>
    </row>
    <row r="728" ht="15" customHeight="1">
      <c r="B728" s="13"/>
      <c r="C728" s="22" t="s">
        <v>184</v>
      </c>
      <c r="D728" s="90" t="s">
        <v>1603</v>
      </c>
      <c r="E728" s="122" t="s">
        <v>1604</v>
      </c>
      <c r="F728" s="91" t="s">
        <v>8</v>
      </c>
      <c r="G728" s="91">
        <v>34805</v>
      </c>
      <c r="H728" s="90" t="s">
        <v>187</v>
      </c>
      <c r="I728" s="91" t="s">
        <v>21</v>
      </c>
      <c r="J728" s="91">
        <v>43913</v>
      </c>
      <c r="K728" s="121">
        <v>25</v>
      </c>
      <c r="L728" s="91">
        <v>43959</v>
      </c>
      <c r="M728" s="91">
        <v>43959</v>
      </c>
      <c r="N728" s="125">
        <v>46</v>
      </c>
      <c r="O728" s="92">
        <v>347.14</v>
      </c>
      <c r="Q728" s="14"/>
    </row>
    <row r="729" ht="15" customHeight="1">
      <c r="B729" s="13"/>
      <c r="C729" s="22" t="s">
        <v>184</v>
      </c>
      <c r="D729" s="90" t="s">
        <v>1605</v>
      </c>
      <c r="E729" s="122" t="s">
        <v>1606</v>
      </c>
      <c r="F729" s="91" t="s">
        <v>8</v>
      </c>
      <c r="G729" s="91">
        <v>26442</v>
      </c>
      <c r="H729" s="90" t="s">
        <v>187</v>
      </c>
      <c r="I729" s="91" t="s">
        <v>21</v>
      </c>
      <c r="J729" s="91">
        <v>43985</v>
      </c>
      <c r="K729" s="121">
        <v>48</v>
      </c>
      <c r="L729" s="91">
        <v>44374</v>
      </c>
      <c r="M729" s="91">
        <v>44374</v>
      </c>
      <c r="N729" s="125">
        <v>389</v>
      </c>
      <c r="O729" s="92">
        <v>1958.4</v>
      </c>
      <c r="Q729" s="14"/>
    </row>
    <row r="730" ht="15" customHeight="1">
      <c r="B730" s="13"/>
      <c r="C730" s="22" t="s">
        <v>184</v>
      </c>
      <c r="D730" s="90" t="s">
        <v>1607</v>
      </c>
      <c r="E730" s="122" t="s">
        <v>1608</v>
      </c>
      <c r="F730" s="91" t="s">
        <v>8</v>
      </c>
      <c r="G730" s="91">
        <v>21473</v>
      </c>
      <c r="H730" s="90" t="s">
        <v>187</v>
      </c>
      <c r="I730" s="91" t="s">
        <v>21</v>
      </c>
      <c r="J730" s="91">
        <v>44309</v>
      </c>
      <c r="K730" s="121">
        <v>63</v>
      </c>
      <c r="L730" s="91">
        <v>44428</v>
      </c>
      <c r="M730" s="91">
        <v>44428</v>
      </c>
      <c r="N730" s="125">
        <v>119</v>
      </c>
      <c r="O730" s="92">
        <v>153.9</v>
      </c>
      <c r="Q730" s="14"/>
    </row>
    <row r="731" ht="15" customHeight="1">
      <c r="B731" s="13"/>
      <c r="C731" s="22" t="s">
        <v>184</v>
      </c>
      <c r="D731" s="90" t="s">
        <v>1609</v>
      </c>
      <c r="E731" s="122" t="s">
        <v>1610</v>
      </c>
      <c r="F731" s="91" t="s">
        <v>8</v>
      </c>
      <c r="G731" s="91">
        <v>23916</v>
      </c>
      <c r="H731" s="90" t="s">
        <v>187</v>
      </c>
      <c r="I731" s="91" t="s">
        <v>21</v>
      </c>
      <c r="J731" s="91">
        <v>44209</v>
      </c>
      <c r="K731" s="121">
        <v>56</v>
      </c>
      <c r="L731" s="91">
        <v>44304</v>
      </c>
      <c r="M731" s="91">
        <v>44304</v>
      </c>
      <c r="N731" s="125">
        <v>95</v>
      </c>
      <c r="O731" s="92">
        <v>1365.54</v>
      </c>
      <c r="Q731" s="14"/>
    </row>
    <row r="732" ht="15" customHeight="1">
      <c r="B732" s="13"/>
      <c r="C732" s="22" t="s">
        <v>184</v>
      </c>
      <c r="D732" s="90" t="s">
        <v>1611</v>
      </c>
      <c r="E732" s="122" t="s">
        <v>1612</v>
      </c>
      <c r="F732" s="91" t="s">
        <v>8</v>
      </c>
      <c r="G732" s="91">
        <v>27919</v>
      </c>
      <c r="H732" s="90" t="s">
        <v>187</v>
      </c>
      <c r="I732" s="91" t="s">
        <v>21</v>
      </c>
      <c r="J732" s="91">
        <v>44095</v>
      </c>
      <c r="K732" s="121">
        <v>44</v>
      </c>
      <c r="L732" s="91">
        <v>44230</v>
      </c>
      <c r="M732" s="91">
        <v>44230</v>
      </c>
      <c r="N732" s="125">
        <v>135</v>
      </c>
      <c r="O732" s="92">
        <v>967.78</v>
      </c>
      <c r="Q732" s="14"/>
    </row>
    <row r="733" ht="15" customHeight="1">
      <c r="B733" s="13"/>
      <c r="C733" s="22" t="s">
        <v>184</v>
      </c>
      <c r="D733" s="90" t="s">
        <v>1613</v>
      </c>
      <c r="E733" s="122" t="s">
        <v>1614</v>
      </c>
      <c r="F733" s="91" t="s">
        <v>8</v>
      </c>
      <c r="G733" s="91">
        <v>31403</v>
      </c>
      <c r="H733" s="90" t="s">
        <v>187</v>
      </c>
      <c r="I733" s="91" t="s">
        <v>21</v>
      </c>
      <c r="J733" s="91">
        <v>44280</v>
      </c>
      <c r="K733" s="121">
        <v>36</v>
      </c>
      <c r="L733" s="91">
        <v>44372</v>
      </c>
      <c r="M733" s="91">
        <v>44372</v>
      </c>
      <c r="N733" s="125">
        <v>92</v>
      </c>
      <c r="O733" s="92">
        <v>3650.22</v>
      </c>
      <c r="Q733" s="14"/>
    </row>
    <row r="734" ht="15" customHeight="1">
      <c r="B734" s="13"/>
      <c r="C734" s="22" t="s">
        <v>184</v>
      </c>
      <c r="D734" s="90" t="s">
        <v>1615</v>
      </c>
      <c r="E734" s="122" t="s">
        <v>1616</v>
      </c>
      <c r="F734" s="91" t="s">
        <v>8</v>
      </c>
      <c r="G734" s="91">
        <v>31476</v>
      </c>
      <c r="H734" s="90" t="s">
        <v>197</v>
      </c>
      <c r="I734" s="91" t="s">
        <v>21</v>
      </c>
      <c r="J734" s="91">
        <v>44117</v>
      </c>
      <c r="K734" s="121">
        <v>34</v>
      </c>
      <c r="L734" s="91">
        <v>44162</v>
      </c>
      <c r="M734" s="91">
        <v>44162</v>
      </c>
      <c r="N734" s="125">
        <v>45</v>
      </c>
      <c r="O734" s="92">
        <v>681.92</v>
      </c>
      <c r="Q734" s="14"/>
    </row>
    <row r="735" ht="15" customHeight="1">
      <c r="B735" s="13"/>
      <c r="C735" s="22" t="s">
        <v>184</v>
      </c>
      <c r="D735" s="90" t="s">
        <v>1617</v>
      </c>
      <c r="E735" s="122" t="s">
        <v>1618</v>
      </c>
      <c r="F735" s="91" t="s">
        <v>8</v>
      </c>
      <c r="G735" s="91">
        <v>33370</v>
      </c>
      <c r="H735" s="90" t="s">
        <v>197</v>
      </c>
      <c r="I735" s="91" t="s">
        <v>21</v>
      </c>
      <c r="J735" s="91">
        <v>44252</v>
      </c>
      <c r="K735" s="121">
        <v>30</v>
      </c>
      <c r="L735" s="91">
        <v>44340</v>
      </c>
      <c r="M735" s="91">
        <v>44340</v>
      </c>
      <c r="N735" s="125">
        <v>88</v>
      </c>
      <c r="O735" s="92">
        <v>1604.8</v>
      </c>
      <c r="Q735" s="14"/>
    </row>
    <row r="736" ht="15" customHeight="1">
      <c r="B736" s="13"/>
      <c r="C736" s="22" t="s">
        <v>184</v>
      </c>
      <c r="D736" s="90" t="s">
        <v>1619</v>
      </c>
      <c r="E736" s="122" t="s">
        <v>1620</v>
      </c>
      <c r="F736" s="91" t="s">
        <v>8</v>
      </c>
      <c r="G736" s="91">
        <v>34043</v>
      </c>
      <c r="H736" s="90" t="s">
        <v>197</v>
      </c>
      <c r="I736" s="91" t="s">
        <v>21</v>
      </c>
      <c r="J736" s="91">
        <v>44463</v>
      </c>
      <c r="K736" s="121">
        <v>28</v>
      </c>
      <c r="L736" s="91">
        <v>44519</v>
      </c>
      <c r="M736" s="91"/>
      <c r="N736" s="125">
        <v>0</v>
      </c>
      <c r="O736" s="92">
        <v>1246.86</v>
      </c>
      <c r="Q736" s="14"/>
    </row>
    <row r="737" ht="15" customHeight="1">
      <c r="B737" s="13"/>
      <c r="C737" s="22" t="s">
        <v>184</v>
      </c>
      <c r="D737" s="90" t="s">
        <v>1621</v>
      </c>
      <c r="E737" s="122" t="s">
        <v>1622</v>
      </c>
      <c r="F737" s="91" t="s">
        <v>8</v>
      </c>
      <c r="G737" s="91">
        <v>27437</v>
      </c>
      <c r="H737" s="90" t="s">
        <v>187</v>
      </c>
      <c r="I737" s="91" t="s">
        <v>21</v>
      </c>
      <c r="J737" s="91">
        <v>44351</v>
      </c>
      <c r="K737" s="121">
        <v>46</v>
      </c>
      <c r="L737" s="91">
        <v>44516</v>
      </c>
      <c r="M737" s="91"/>
      <c r="N737" s="125">
        <v>0</v>
      </c>
      <c r="O737" s="92">
        <v>3325.22</v>
      </c>
      <c r="Q737" s="14"/>
    </row>
    <row r="738" ht="15" customHeight="1">
      <c r="B738" s="13"/>
      <c r="C738" s="22" t="s">
        <v>184</v>
      </c>
      <c r="D738" s="90" t="s">
        <v>1623</v>
      </c>
      <c r="E738" s="122" t="s">
        <v>1624</v>
      </c>
      <c r="F738" s="91" t="s">
        <v>8</v>
      </c>
      <c r="G738" s="91">
        <v>29806</v>
      </c>
      <c r="H738" s="90" t="s">
        <v>187</v>
      </c>
      <c r="I738" s="91" t="s">
        <v>21</v>
      </c>
      <c r="J738" s="91">
        <v>43847</v>
      </c>
      <c r="K738" s="121">
        <v>39</v>
      </c>
      <c r="L738" s="91">
        <v>44363</v>
      </c>
      <c r="M738" s="91">
        <v>44364</v>
      </c>
      <c r="N738" s="125">
        <v>517</v>
      </c>
      <c r="O738" s="92">
        <v>4562.46</v>
      </c>
      <c r="Q738" s="14"/>
    </row>
    <row r="739" ht="15" customHeight="1">
      <c r="B739" s="13"/>
      <c r="C739" s="22" t="s">
        <v>184</v>
      </c>
      <c r="D739" s="90" t="s">
        <v>1625</v>
      </c>
      <c r="E739" s="122" t="s">
        <v>1626</v>
      </c>
      <c r="F739" s="91" t="s">
        <v>8</v>
      </c>
      <c r="G739" s="91">
        <v>33329</v>
      </c>
      <c r="H739" s="90" t="s">
        <v>197</v>
      </c>
      <c r="I739" s="91" t="s">
        <v>21</v>
      </c>
      <c r="J739" s="91">
        <v>44172</v>
      </c>
      <c r="K739" s="121">
        <v>29</v>
      </c>
      <c r="L739" s="91">
        <v>44309</v>
      </c>
      <c r="M739" s="91">
        <v>44309</v>
      </c>
      <c r="N739" s="125">
        <v>137</v>
      </c>
      <c r="O739" s="92">
        <v>3421.44</v>
      </c>
      <c r="Q739" s="14"/>
    </row>
    <row r="740" ht="15" customHeight="1">
      <c r="B740" s="13"/>
      <c r="C740" s="22" t="s">
        <v>245</v>
      </c>
      <c r="D740" s="90" t="s">
        <v>1627</v>
      </c>
      <c r="E740" s="122" t="s">
        <v>1628</v>
      </c>
      <c r="F740" s="91" t="s">
        <v>8</v>
      </c>
      <c r="G740" s="91">
        <v>28957</v>
      </c>
      <c r="H740" s="90" t="s">
        <v>197</v>
      </c>
      <c r="I740" s="91" t="s">
        <v>21</v>
      </c>
      <c r="J740" s="91">
        <v>44110</v>
      </c>
      <c r="K740" s="121">
        <v>41</v>
      </c>
      <c r="L740" s="91">
        <v>44200</v>
      </c>
      <c r="M740" s="91">
        <v>44200</v>
      </c>
      <c r="N740" s="125">
        <v>90</v>
      </c>
      <c r="O740" s="92">
        <v>2590.35</v>
      </c>
      <c r="Q740" s="14"/>
    </row>
    <row r="741" ht="15" customHeight="1">
      <c r="B741" s="13"/>
      <c r="C741" s="22" t="s">
        <v>184</v>
      </c>
      <c r="D741" s="90" t="s">
        <v>1629</v>
      </c>
      <c r="E741" s="122" t="s">
        <v>1630</v>
      </c>
      <c r="F741" s="91" t="s">
        <v>8</v>
      </c>
      <c r="G741" s="91">
        <v>30298</v>
      </c>
      <c r="H741" s="90" t="s">
        <v>197</v>
      </c>
      <c r="I741" s="91" t="s">
        <v>21</v>
      </c>
      <c r="J741" s="91">
        <v>44026</v>
      </c>
      <c r="K741" s="121">
        <v>38</v>
      </c>
      <c r="L741" s="91">
        <v>44182</v>
      </c>
      <c r="M741" s="91">
        <v>44182</v>
      </c>
      <c r="N741" s="125">
        <v>156</v>
      </c>
      <c r="O741" s="92">
        <v>0</v>
      </c>
      <c r="Q741" s="14"/>
    </row>
    <row r="742" ht="15" customHeight="1">
      <c r="B742" s="13"/>
      <c r="C742" s="22" t="s">
        <v>184</v>
      </c>
      <c r="D742" s="90" t="s">
        <v>1631</v>
      </c>
      <c r="E742" s="122" t="s">
        <v>1632</v>
      </c>
      <c r="F742" s="91" t="s">
        <v>8</v>
      </c>
      <c r="G742" s="91">
        <v>22942</v>
      </c>
      <c r="H742" s="90" t="s">
        <v>187</v>
      </c>
      <c r="I742" s="91" t="s">
        <v>21</v>
      </c>
      <c r="J742" s="91">
        <v>44163</v>
      </c>
      <c r="K742" s="121">
        <v>58</v>
      </c>
      <c r="L742" s="91">
        <v>44239</v>
      </c>
      <c r="M742" s="91">
        <v>44239</v>
      </c>
      <c r="N742" s="125">
        <v>76</v>
      </c>
      <c r="O742" s="92">
        <v>103.87</v>
      </c>
      <c r="Q742" s="14"/>
    </row>
    <row r="743" ht="15" customHeight="1">
      <c r="B743" s="13"/>
      <c r="C743" s="22" t="s">
        <v>184</v>
      </c>
      <c r="D743" s="90" t="s">
        <v>1633</v>
      </c>
      <c r="E743" s="122" t="s">
        <v>1634</v>
      </c>
      <c r="F743" s="91" t="s">
        <v>8</v>
      </c>
      <c r="G743" s="91">
        <v>32417</v>
      </c>
      <c r="H743" s="90" t="s">
        <v>197</v>
      </c>
      <c r="I743" s="91" t="s">
        <v>21</v>
      </c>
      <c r="J743" s="91">
        <v>44278</v>
      </c>
      <c r="K743" s="121">
        <v>33</v>
      </c>
      <c r="L743" s="91">
        <v>44339</v>
      </c>
      <c r="M743" s="91">
        <v>44339</v>
      </c>
      <c r="N743" s="125">
        <v>61</v>
      </c>
      <c r="O743" s="92">
        <v>963.2</v>
      </c>
      <c r="Q743" s="14"/>
    </row>
    <row r="744" ht="15" customHeight="1">
      <c r="B744" s="13"/>
      <c r="C744" s="22" t="s">
        <v>184</v>
      </c>
      <c r="D744" s="90" t="s">
        <v>1635</v>
      </c>
      <c r="E744" s="122" t="s">
        <v>1636</v>
      </c>
      <c r="F744" s="91" t="s">
        <v>8</v>
      </c>
      <c r="G744" s="91">
        <v>35877</v>
      </c>
      <c r="H744" s="90" t="s">
        <v>187</v>
      </c>
      <c r="I744" s="91" t="s">
        <v>21</v>
      </c>
      <c r="J744" s="91">
        <v>44287</v>
      </c>
      <c r="K744" s="121">
        <v>23</v>
      </c>
      <c r="L744" s="91">
        <v>44406</v>
      </c>
      <c r="M744" s="91">
        <v>44406</v>
      </c>
      <c r="N744" s="125">
        <v>119</v>
      </c>
      <c r="O744" s="92">
        <v>1948.5</v>
      </c>
      <c r="Q744" s="14"/>
    </row>
    <row r="745" ht="15" customHeight="1">
      <c r="B745" s="13"/>
      <c r="C745" s="22" t="s">
        <v>184</v>
      </c>
      <c r="D745" s="90" t="s">
        <v>1637</v>
      </c>
      <c r="E745" s="122" t="s">
        <v>1638</v>
      </c>
      <c r="F745" s="91" t="s">
        <v>8</v>
      </c>
      <c r="G745" s="91">
        <v>27116</v>
      </c>
      <c r="H745" s="90" t="s">
        <v>187</v>
      </c>
      <c r="I745" s="91" t="s">
        <v>21</v>
      </c>
      <c r="J745" s="91">
        <v>44261</v>
      </c>
      <c r="K745" s="121">
        <v>47</v>
      </c>
      <c r="L745" s="91">
        <v>44369</v>
      </c>
      <c r="M745" s="91">
        <v>44369</v>
      </c>
      <c r="N745" s="125">
        <v>108</v>
      </c>
      <c r="O745" s="92">
        <v>1719.83</v>
      </c>
      <c r="Q745" s="14"/>
    </row>
    <row r="746" ht="15" customHeight="1">
      <c r="B746" s="13"/>
      <c r="C746" s="22" t="s">
        <v>184</v>
      </c>
      <c r="D746" s="90" t="s">
        <v>1639</v>
      </c>
      <c r="E746" s="122" t="s">
        <v>1640</v>
      </c>
      <c r="F746" s="91" t="s">
        <v>8</v>
      </c>
      <c r="G746" s="91">
        <v>30335</v>
      </c>
      <c r="H746" s="90" t="s">
        <v>197</v>
      </c>
      <c r="I746" s="91" t="s">
        <v>21</v>
      </c>
      <c r="J746" s="91">
        <v>44372</v>
      </c>
      <c r="K746" s="121">
        <v>38</v>
      </c>
      <c r="L746" s="91">
        <v>44417</v>
      </c>
      <c r="M746" s="91">
        <v>44417</v>
      </c>
      <c r="N746" s="125">
        <v>45</v>
      </c>
      <c r="O746" s="92">
        <v>467.04</v>
      </c>
      <c r="Q746" s="14"/>
    </row>
    <row r="747" ht="15" customHeight="1">
      <c r="B747" s="13"/>
      <c r="C747" s="22" t="s">
        <v>184</v>
      </c>
      <c r="D747" s="90" t="s">
        <v>1641</v>
      </c>
      <c r="E747" s="122" t="s">
        <v>1642</v>
      </c>
      <c r="F747" s="91" t="s">
        <v>8</v>
      </c>
      <c r="G747" s="91">
        <v>31475</v>
      </c>
      <c r="H747" s="90" t="s">
        <v>187</v>
      </c>
      <c r="I747" s="91" t="s">
        <v>21</v>
      </c>
      <c r="J747" s="91">
        <v>44069</v>
      </c>
      <c r="K747" s="121">
        <v>34</v>
      </c>
      <c r="L747" s="91">
        <v>44195</v>
      </c>
      <c r="M747" s="91">
        <v>44195</v>
      </c>
      <c r="N747" s="125">
        <v>126</v>
      </c>
      <c r="O747" s="92">
        <v>839.2</v>
      </c>
      <c r="Q747" s="14"/>
    </row>
    <row r="748" ht="15" customHeight="1">
      <c r="B748" s="13"/>
      <c r="C748" s="22" t="s">
        <v>184</v>
      </c>
      <c r="D748" s="90" t="s">
        <v>1643</v>
      </c>
      <c r="E748" s="122" t="s">
        <v>1644</v>
      </c>
      <c r="F748" s="91" t="s">
        <v>8</v>
      </c>
      <c r="G748" s="91">
        <v>32201</v>
      </c>
      <c r="H748" s="90" t="s">
        <v>187</v>
      </c>
      <c r="I748" s="91" t="s">
        <v>21</v>
      </c>
      <c r="J748" s="91">
        <v>43900</v>
      </c>
      <c r="K748" s="121">
        <v>32</v>
      </c>
      <c r="L748" s="91">
        <v>44493</v>
      </c>
      <c r="M748" s="91">
        <v>44493</v>
      </c>
      <c r="N748" s="125">
        <v>593</v>
      </c>
      <c r="O748" s="92">
        <v>9206.34</v>
      </c>
      <c r="Q748" s="14"/>
    </row>
    <row r="749" ht="15" customHeight="1">
      <c r="B749" s="13"/>
      <c r="C749" s="22" t="s">
        <v>135</v>
      </c>
      <c r="D749" s="90" t="s">
        <v>1645</v>
      </c>
      <c r="E749" s="122" t="s">
        <v>1646</v>
      </c>
      <c r="F749" s="91" t="s">
        <v>8</v>
      </c>
      <c r="G749" s="91">
        <v>32561</v>
      </c>
      <c r="H749" s="90" t="s">
        <v>187</v>
      </c>
      <c r="I749" s="91" t="s">
        <v>21</v>
      </c>
      <c r="J749" s="91">
        <v>44281</v>
      </c>
      <c r="K749" s="121">
        <v>32</v>
      </c>
      <c r="L749" s="91">
        <v>44315</v>
      </c>
      <c r="M749" s="91">
        <v>44315</v>
      </c>
      <c r="N749" s="125">
        <v>34</v>
      </c>
      <c r="O749" s="92">
        <v>105.5</v>
      </c>
      <c r="Q749" s="14"/>
    </row>
    <row r="750" ht="15" customHeight="1">
      <c r="B750" s="13"/>
      <c r="C750" s="22" t="s">
        <v>184</v>
      </c>
      <c r="D750" s="90" t="s">
        <v>1647</v>
      </c>
      <c r="E750" s="122" t="s">
        <v>1648</v>
      </c>
      <c r="F750" s="91" t="s">
        <v>8</v>
      </c>
      <c r="G750" s="91">
        <v>34150</v>
      </c>
      <c r="H750" s="90" t="s">
        <v>187</v>
      </c>
      <c r="I750" s="91" t="s">
        <v>21</v>
      </c>
      <c r="J750" s="91">
        <v>43879</v>
      </c>
      <c r="K750" s="121">
        <v>27</v>
      </c>
      <c r="L750" s="91">
        <v>44486</v>
      </c>
      <c r="M750" s="91">
        <v>44486</v>
      </c>
      <c r="N750" s="125">
        <v>607</v>
      </c>
      <c r="O750" s="92">
        <v>4066.1400000000003</v>
      </c>
      <c r="Q750" s="14"/>
    </row>
    <row r="751" ht="15" customHeight="1">
      <c r="B751" s="13"/>
      <c r="C751" s="22" t="s">
        <v>184</v>
      </c>
      <c r="D751" s="90" t="s">
        <v>1649</v>
      </c>
      <c r="E751" s="122" t="s">
        <v>1650</v>
      </c>
      <c r="F751" s="91" t="s">
        <v>8</v>
      </c>
      <c r="G751" s="91">
        <v>31678</v>
      </c>
      <c r="H751" s="90" t="s">
        <v>187</v>
      </c>
      <c r="I751" s="91" t="s">
        <v>21</v>
      </c>
      <c r="J751" s="91">
        <v>44250</v>
      </c>
      <c r="K751" s="121">
        <v>35</v>
      </c>
      <c r="L751" s="91">
        <v>44286</v>
      </c>
      <c r="M751" s="91">
        <v>44286</v>
      </c>
      <c r="N751" s="125">
        <v>36</v>
      </c>
      <c r="O751" s="92">
        <v>17.64</v>
      </c>
      <c r="Q751" s="14"/>
    </row>
    <row r="752" ht="15" customHeight="1">
      <c r="B752" s="13"/>
      <c r="C752" s="22" t="s">
        <v>184</v>
      </c>
      <c r="D752" s="90" t="s">
        <v>1651</v>
      </c>
      <c r="E752" s="122" t="s">
        <v>1652</v>
      </c>
      <c r="F752" s="91" t="s">
        <v>8</v>
      </c>
      <c r="G752" s="91">
        <v>32436</v>
      </c>
      <c r="H752" s="90" t="s">
        <v>187</v>
      </c>
      <c r="I752" s="91" t="s">
        <v>21</v>
      </c>
      <c r="J752" s="91">
        <v>44349</v>
      </c>
      <c r="K752" s="121">
        <v>33</v>
      </c>
      <c r="L752" s="91">
        <v>44420</v>
      </c>
      <c r="M752" s="91">
        <v>44420</v>
      </c>
      <c r="N752" s="125">
        <v>71</v>
      </c>
      <c r="O752" s="92">
        <v>1088.64</v>
      </c>
      <c r="Q752" s="14"/>
    </row>
    <row r="753" ht="15" customHeight="1">
      <c r="B753" s="13"/>
      <c r="C753" s="22" t="s">
        <v>184</v>
      </c>
      <c r="D753" s="90" t="s">
        <v>1653</v>
      </c>
      <c r="E753" s="122" t="s">
        <v>1654</v>
      </c>
      <c r="F753" s="91" t="s">
        <v>8</v>
      </c>
      <c r="G753" s="91">
        <v>34824</v>
      </c>
      <c r="H753" s="90" t="s">
        <v>187</v>
      </c>
      <c r="I753" s="91" t="s">
        <v>21</v>
      </c>
      <c r="J753" s="91">
        <v>44273</v>
      </c>
      <c r="K753" s="121">
        <v>26</v>
      </c>
      <c r="L753" s="91">
        <v>44332</v>
      </c>
      <c r="M753" s="91">
        <v>44332</v>
      </c>
      <c r="N753" s="125">
        <v>59</v>
      </c>
      <c r="O753" s="92">
        <v>540.6</v>
      </c>
      <c r="Q753" s="14"/>
    </row>
    <row r="754" ht="15" customHeight="1">
      <c r="B754" s="13"/>
      <c r="C754" s="22" t="s">
        <v>184</v>
      </c>
      <c r="D754" s="90" t="s">
        <v>1655</v>
      </c>
      <c r="E754" s="122" t="s">
        <v>1656</v>
      </c>
      <c r="F754" s="91" t="s">
        <v>8</v>
      </c>
      <c r="G754" s="91">
        <v>20920</v>
      </c>
      <c r="H754" s="90" t="s">
        <v>187</v>
      </c>
      <c r="I754" s="91" t="s">
        <v>21</v>
      </c>
      <c r="J754" s="91">
        <v>44313</v>
      </c>
      <c r="K754" s="121">
        <v>64</v>
      </c>
      <c r="L754" s="91">
        <v>44384</v>
      </c>
      <c r="M754" s="91">
        <v>44384</v>
      </c>
      <c r="N754" s="125">
        <v>71</v>
      </c>
      <c r="O754" s="92">
        <v>149.94</v>
      </c>
      <c r="Q754" s="14"/>
    </row>
    <row r="755" ht="15" customHeight="1">
      <c r="B755" s="13"/>
      <c r="C755" s="22" t="s">
        <v>184</v>
      </c>
      <c r="D755" s="90" t="s">
        <v>1657</v>
      </c>
      <c r="E755" s="122" t="s">
        <v>1658</v>
      </c>
      <c r="F755" s="91" t="s">
        <v>8</v>
      </c>
      <c r="G755" s="91">
        <v>22816</v>
      </c>
      <c r="H755" s="90" t="s">
        <v>187</v>
      </c>
      <c r="I755" s="91" t="s">
        <v>21</v>
      </c>
      <c r="J755" s="91">
        <v>44331</v>
      </c>
      <c r="K755" s="121">
        <v>59</v>
      </c>
      <c r="L755" s="91">
        <v>44468</v>
      </c>
      <c r="M755" s="91">
        <v>44468</v>
      </c>
      <c r="N755" s="125">
        <v>137</v>
      </c>
      <c r="O755" s="92">
        <v>281.88</v>
      </c>
      <c r="Q755" s="14"/>
    </row>
    <row r="756" ht="15" customHeight="1">
      <c r="B756" s="13"/>
      <c r="C756" s="22" t="s">
        <v>184</v>
      </c>
      <c r="D756" s="90" t="s">
        <v>1659</v>
      </c>
      <c r="E756" s="122" t="s">
        <v>1660</v>
      </c>
      <c r="F756" s="91" t="s">
        <v>8</v>
      </c>
      <c r="G756" s="91">
        <v>24949</v>
      </c>
      <c r="H756" s="90" t="s">
        <v>187</v>
      </c>
      <c r="I756" s="91" t="s">
        <v>21</v>
      </c>
      <c r="J756" s="91">
        <v>43846</v>
      </c>
      <c r="K756" s="121">
        <v>52</v>
      </c>
      <c r="L756" s="91">
        <v>44017</v>
      </c>
      <c r="M756" s="91">
        <v>44017</v>
      </c>
      <c r="N756" s="125">
        <v>171</v>
      </c>
      <c r="O756" s="92">
        <v>368.22</v>
      </c>
      <c r="Q756" s="14"/>
    </row>
    <row r="757" ht="15" customHeight="1">
      <c r="B757" s="13"/>
      <c r="C757" s="22" t="s">
        <v>184</v>
      </c>
      <c r="D757" s="90" t="s">
        <v>1661</v>
      </c>
      <c r="E757" s="122" t="s">
        <v>1660</v>
      </c>
      <c r="F757" s="91" t="s">
        <v>8</v>
      </c>
      <c r="G757" s="91">
        <v>24949</v>
      </c>
      <c r="H757" s="90" t="s">
        <v>187</v>
      </c>
      <c r="I757" s="91" t="s">
        <v>21</v>
      </c>
      <c r="J757" s="91">
        <v>44019</v>
      </c>
      <c r="K757" s="121">
        <v>52</v>
      </c>
      <c r="L757" s="91">
        <v>44050</v>
      </c>
      <c r="M757" s="91">
        <v>44050</v>
      </c>
      <c r="N757" s="125">
        <v>31</v>
      </c>
      <c r="O757" s="92">
        <v>38.22</v>
      </c>
      <c r="Q757" s="14"/>
    </row>
    <row r="758" ht="15" customHeight="1">
      <c r="B758" s="13"/>
      <c r="C758" s="22" t="s">
        <v>184</v>
      </c>
      <c r="D758" s="90" t="s">
        <v>1662</v>
      </c>
      <c r="E758" s="122" t="s">
        <v>1663</v>
      </c>
      <c r="F758" s="91" t="s">
        <v>8</v>
      </c>
      <c r="G758" s="91">
        <v>25555</v>
      </c>
      <c r="H758" s="90" t="s">
        <v>197</v>
      </c>
      <c r="I758" s="91" t="s">
        <v>21</v>
      </c>
      <c r="J758" s="91">
        <v>44424</v>
      </c>
      <c r="K758" s="121">
        <v>52</v>
      </c>
      <c r="L758" s="91">
        <v>44461</v>
      </c>
      <c r="M758" s="91">
        <v>44461</v>
      </c>
      <c r="N758" s="125">
        <v>37</v>
      </c>
      <c r="O758" s="92">
        <v>211.36</v>
      </c>
      <c r="Q758" s="14"/>
    </row>
    <row r="759" ht="15" customHeight="1">
      <c r="B759" s="13"/>
      <c r="C759" s="22" t="s">
        <v>184</v>
      </c>
      <c r="D759" s="90" t="s">
        <v>1664</v>
      </c>
      <c r="E759" s="122" t="s">
        <v>1665</v>
      </c>
      <c r="F759" s="91" t="s">
        <v>8</v>
      </c>
      <c r="G759" s="91">
        <v>27297</v>
      </c>
      <c r="H759" s="90" t="s">
        <v>187</v>
      </c>
      <c r="I759" s="91" t="s">
        <v>21</v>
      </c>
      <c r="J759" s="91">
        <v>44217</v>
      </c>
      <c r="K759" s="121">
        <v>47</v>
      </c>
      <c r="L759" s="91">
        <v>44508</v>
      </c>
      <c r="M759" s="91"/>
      <c r="N759" s="125">
        <v>0</v>
      </c>
      <c r="O759" s="92">
        <v>4826.04</v>
      </c>
      <c r="Q759" s="14"/>
    </row>
    <row r="760" ht="15" customHeight="1">
      <c r="B760" s="13"/>
      <c r="C760" s="22" t="s">
        <v>184</v>
      </c>
      <c r="D760" s="90" t="s">
        <v>1666</v>
      </c>
      <c r="E760" s="122" t="s">
        <v>1667</v>
      </c>
      <c r="F760" s="91" t="s">
        <v>8</v>
      </c>
      <c r="G760" s="91">
        <v>27454</v>
      </c>
      <c r="H760" s="90" t="s">
        <v>197</v>
      </c>
      <c r="I760" s="91" t="s">
        <v>21</v>
      </c>
      <c r="J760" s="91">
        <v>43979</v>
      </c>
      <c r="K760" s="121">
        <v>45</v>
      </c>
      <c r="L760" s="91">
        <v>44511</v>
      </c>
      <c r="M760" s="91"/>
      <c r="N760" s="125">
        <v>0</v>
      </c>
      <c r="O760" s="92">
        <v>20506.410000000003</v>
      </c>
      <c r="Q760" s="14"/>
    </row>
    <row r="761" ht="15" customHeight="1">
      <c r="B761" s="13"/>
      <c r="C761" s="22" t="s">
        <v>184</v>
      </c>
      <c r="D761" s="90" t="s">
        <v>1668</v>
      </c>
      <c r="E761" s="122" t="s">
        <v>1669</v>
      </c>
      <c r="F761" s="91" t="s">
        <v>8</v>
      </c>
      <c r="G761" s="91">
        <v>33301</v>
      </c>
      <c r="H761" s="90" t="s">
        <v>187</v>
      </c>
      <c r="I761" s="91" t="s">
        <v>21</v>
      </c>
      <c r="J761" s="91">
        <v>44431</v>
      </c>
      <c r="K761" s="121">
        <v>30</v>
      </c>
      <c r="L761" s="91">
        <v>44483</v>
      </c>
      <c r="M761" s="91">
        <v>44483</v>
      </c>
      <c r="N761" s="125">
        <v>52</v>
      </c>
      <c r="O761" s="92">
        <v>341.32</v>
      </c>
      <c r="Q761" s="14"/>
    </row>
    <row r="762" ht="15" customHeight="1">
      <c r="B762" s="13"/>
      <c r="C762" s="22" t="s">
        <v>184</v>
      </c>
      <c r="D762" s="90" t="s">
        <v>1670</v>
      </c>
      <c r="E762" s="122" t="s">
        <v>1671</v>
      </c>
      <c r="F762" s="91" t="s">
        <v>8</v>
      </c>
      <c r="G762" s="91">
        <v>34302</v>
      </c>
      <c r="H762" s="90" t="s">
        <v>187</v>
      </c>
      <c r="I762" s="91" t="s">
        <v>21</v>
      </c>
      <c r="J762" s="91">
        <v>44028</v>
      </c>
      <c r="K762" s="121">
        <v>27</v>
      </c>
      <c r="L762" s="91">
        <v>44109</v>
      </c>
      <c r="M762" s="91">
        <v>44109</v>
      </c>
      <c r="N762" s="125">
        <v>81</v>
      </c>
      <c r="O762" s="92">
        <v>1211.6</v>
      </c>
      <c r="Q762" s="14"/>
    </row>
    <row r="763" ht="15" customHeight="1">
      <c r="B763" s="13"/>
      <c r="C763" s="22" t="s">
        <v>184</v>
      </c>
      <c r="D763" s="90" t="s">
        <v>1672</v>
      </c>
      <c r="E763" s="122" t="s">
        <v>1673</v>
      </c>
      <c r="F763" s="91" t="s">
        <v>8</v>
      </c>
      <c r="G763" s="91">
        <v>23294</v>
      </c>
      <c r="H763" s="90" t="s">
        <v>197</v>
      </c>
      <c r="I763" s="91" t="s">
        <v>21</v>
      </c>
      <c r="J763" s="91">
        <v>43906</v>
      </c>
      <c r="K763" s="121">
        <v>57</v>
      </c>
      <c r="L763" s="91">
        <v>44538</v>
      </c>
      <c r="M763" s="91"/>
      <c r="N763" s="125">
        <v>0</v>
      </c>
      <c r="O763" s="92">
        <v>16130.400000000005</v>
      </c>
      <c r="Q763" s="14"/>
    </row>
    <row r="764" ht="15" customHeight="1">
      <c r="B764" s="13"/>
      <c r="C764" s="22" t="s">
        <v>135</v>
      </c>
      <c r="D764" s="90" t="s">
        <v>1674</v>
      </c>
      <c r="E764" s="122" t="s">
        <v>1675</v>
      </c>
      <c r="F764" s="91" t="s">
        <v>8</v>
      </c>
      <c r="G764" s="91">
        <v>27608</v>
      </c>
      <c r="H764" s="90" t="s">
        <v>187</v>
      </c>
      <c r="I764" s="91" t="s">
        <v>21</v>
      </c>
      <c r="J764" s="91">
        <v>44130</v>
      </c>
      <c r="K764" s="121">
        <v>45</v>
      </c>
      <c r="L764" s="91">
        <v>44274</v>
      </c>
      <c r="M764" s="91">
        <v>44274</v>
      </c>
      <c r="N764" s="125">
        <v>144</v>
      </c>
      <c r="O764" s="92">
        <v>2299.2200000000003</v>
      </c>
      <c r="Q764" s="14"/>
    </row>
    <row r="765" ht="15" customHeight="1">
      <c r="B765" s="13"/>
      <c r="C765" s="22" t="s">
        <v>184</v>
      </c>
      <c r="D765" s="90" t="s">
        <v>1676</v>
      </c>
      <c r="E765" s="122" t="s">
        <v>1677</v>
      </c>
      <c r="F765" s="91" t="s">
        <v>8</v>
      </c>
      <c r="G765" s="91">
        <v>33823</v>
      </c>
      <c r="H765" s="90" t="s">
        <v>187</v>
      </c>
      <c r="I765" s="91" t="s">
        <v>21</v>
      </c>
      <c r="J765" s="91">
        <v>44274</v>
      </c>
      <c r="K765" s="121">
        <v>29</v>
      </c>
      <c r="L765" s="91">
        <v>44381</v>
      </c>
      <c r="M765" s="91">
        <v>44381</v>
      </c>
      <c r="N765" s="125">
        <v>107</v>
      </c>
      <c r="O765" s="92">
        <v>1638.7800000000002</v>
      </c>
      <c r="Q765" s="14"/>
    </row>
    <row r="766" ht="15" customHeight="1">
      <c r="B766" s="13"/>
      <c r="C766" s="22" t="s">
        <v>135</v>
      </c>
      <c r="D766" s="90" t="s">
        <v>1678</v>
      </c>
      <c r="E766" s="122" t="s">
        <v>1679</v>
      </c>
      <c r="F766" s="91" t="s">
        <v>10</v>
      </c>
      <c r="G766" s="91">
        <v>34200</v>
      </c>
      <c r="H766" s="90" t="s">
        <v>187</v>
      </c>
      <c r="I766" s="91" t="s">
        <v>21</v>
      </c>
      <c r="J766" s="91">
        <v>44074</v>
      </c>
      <c r="K766" s="121">
        <v>27</v>
      </c>
      <c r="L766" s="91">
        <v>44318</v>
      </c>
      <c r="M766" s="91">
        <v>44318</v>
      </c>
      <c r="N766" s="125">
        <v>244</v>
      </c>
      <c r="O766" s="92">
        <v>3430.35</v>
      </c>
      <c r="Q766" s="14"/>
    </row>
    <row r="767" ht="15" customHeight="1">
      <c r="B767" s="13"/>
      <c r="C767" s="22" t="s">
        <v>184</v>
      </c>
      <c r="D767" s="90" t="s">
        <v>1680</v>
      </c>
      <c r="E767" s="122" t="s">
        <v>1681</v>
      </c>
      <c r="F767" s="91" t="s">
        <v>8</v>
      </c>
      <c r="G767" s="91">
        <v>32675</v>
      </c>
      <c r="H767" s="90" t="s">
        <v>187</v>
      </c>
      <c r="I767" s="91" t="s">
        <v>21</v>
      </c>
      <c r="J767" s="91">
        <v>43995</v>
      </c>
      <c r="K767" s="121">
        <v>31</v>
      </c>
      <c r="L767" s="91">
        <v>44159</v>
      </c>
      <c r="M767" s="91">
        <v>44159</v>
      </c>
      <c r="N767" s="125">
        <v>164</v>
      </c>
      <c r="O767" s="92">
        <v>615.96</v>
      </c>
      <c r="Q767" s="14"/>
    </row>
    <row r="768" ht="15" customHeight="1">
      <c r="B768" s="13"/>
      <c r="C768" s="22" t="s">
        <v>135</v>
      </c>
      <c r="D768" s="90" t="s">
        <v>1682</v>
      </c>
      <c r="E768" s="122" t="s">
        <v>1683</v>
      </c>
      <c r="F768" s="91" t="s">
        <v>8</v>
      </c>
      <c r="G768" s="91">
        <v>33225</v>
      </c>
      <c r="H768" s="90" t="s">
        <v>187</v>
      </c>
      <c r="I768" s="91" t="s">
        <v>21</v>
      </c>
      <c r="J768" s="91">
        <v>44484</v>
      </c>
      <c r="K768" s="121">
        <v>31</v>
      </c>
      <c r="L768" s="91">
        <v>44526</v>
      </c>
      <c r="M768" s="91"/>
      <c r="N768" s="125">
        <v>0</v>
      </c>
      <c r="O768" s="92">
        <v>554.31999999999994</v>
      </c>
      <c r="Q768" s="14"/>
    </row>
    <row r="769" ht="15" customHeight="1">
      <c r="B769" s="13"/>
      <c r="C769" s="22" t="s">
        <v>400</v>
      </c>
      <c r="D769" s="90" t="s">
        <v>1684</v>
      </c>
      <c r="E769" s="122" t="s">
        <v>1685</v>
      </c>
      <c r="F769" s="91" t="s">
        <v>8</v>
      </c>
      <c r="G769" s="91">
        <v>28736</v>
      </c>
      <c r="H769" s="90" t="s">
        <v>187</v>
      </c>
      <c r="I769" s="91" t="s">
        <v>21</v>
      </c>
      <c r="J769" s="91">
        <v>44149</v>
      </c>
      <c r="K769" s="121">
        <v>42</v>
      </c>
      <c r="L769" s="91">
        <v>44260</v>
      </c>
      <c r="M769" s="91">
        <v>44284</v>
      </c>
      <c r="N769" s="125">
        <v>135</v>
      </c>
      <c r="O769" s="92">
        <v>912.66000000000008</v>
      </c>
      <c r="Q769" s="14"/>
    </row>
    <row r="770" ht="15" customHeight="1">
      <c r="B770" s="13"/>
      <c r="C770" s="22" t="s">
        <v>400</v>
      </c>
      <c r="D770" s="90" t="s">
        <v>1686</v>
      </c>
      <c r="E770" s="122" t="s">
        <v>1687</v>
      </c>
      <c r="F770" s="91" t="s">
        <v>8</v>
      </c>
      <c r="G770" s="91">
        <v>33714</v>
      </c>
      <c r="H770" s="90" t="s">
        <v>187</v>
      </c>
      <c r="I770" s="91" t="s">
        <v>21</v>
      </c>
      <c r="J770" s="91">
        <v>44343</v>
      </c>
      <c r="K770" s="121">
        <v>29</v>
      </c>
      <c r="L770" s="91">
        <v>44399</v>
      </c>
      <c r="M770" s="91">
        <v>44399</v>
      </c>
      <c r="N770" s="125">
        <v>56</v>
      </c>
      <c r="O770" s="92">
        <v>508.95</v>
      </c>
      <c r="Q770" s="14"/>
    </row>
    <row r="771" ht="15" customHeight="1">
      <c r="B771" s="13"/>
      <c r="C771" s="22" t="s">
        <v>184</v>
      </c>
      <c r="D771" s="90" t="s">
        <v>1688</v>
      </c>
      <c r="E771" s="122" t="s">
        <v>1689</v>
      </c>
      <c r="F771" s="91" t="s">
        <v>10</v>
      </c>
      <c r="G771" s="91">
        <v>34381</v>
      </c>
      <c r="H771" s="90" t="s">
        <v>187</v>
      </c>
      <c r="I771" s="91" t="s">
        <v>21</v>
      </c>
      <c r="J771" s="91">
        <v>44292</v>
      </c>
      <c r="K771" s="121">
        <v>27</v>
      </c>
      <c r="L771" s="91">
        <v>44489</v>
      </c>
      <c r="M771" s="91">
        <v>44489</v>
      </c>
      <c r="N771" s="125">
        <v>197</v>
      </c>
      <c r="O771" s="92">
        <v>4626.7199999999993</v>
      </c>
      <c r="Q771" s="14"/>
    </row>
    <row r="772" ht="15" customHeight="1">
      <c r="B772" s="13"/>
      <c r="C772" s="22" t="s">
        <v>184</v>
      </c>
      <c r="D772" s="90" t="s">
        <v>1690</v>
      </c>
      <c r="E772" s="122" t="s">
        <v>1691</v>
      </c>
      <c r="F772" s="91" t="s">
        <v>8</v>
      </c>
      <c r="G772" s="91">
        <v>34363</v>
      </c>
      <c r="H772" s="90" t="s">
        <v>187</v>
      </c>
      <c r="I772" s="91" t="s">
        <v>21</v>
      </c>
      <c r="J772" s="91">
        <v>44148</v>
      </c>
      <c r="K772" s="121">
        <v>26</v>
      </c>
      <c r="L772" s="91">
        <v>44532</v>
      </c>
      <c r="M772" s="91"/>
      <c r="N772" s="125">
        <v>0</v>
      </c>
      <c r="O772" s="92">
        <v>15694.550000000003</v>
      </c>
      <c r="Q772" s="14"/>
    </row>
    <row r="773" ht="15" customHeight="1">
      <c r="B773" s="13"/>
      <c r="C773" s="22" t="s">
        <v>184</v>
      </c>
      <c r="D773" s="90" t="s">
        <v>1692</v>
      </c>
      <c r="E773" s="122" t="s">
        <v>1693</v>
      </c>
      <c r="F773" s="91" t="s">
        <v>8</v>
      </c>
      <c r="G773" s="91">
        <v>23246</v>
      </c>
      <c r="H773" s="90" t="s">
        <v>187</v>
      </c>
      <c r="I773" s="91" t="s">
        <v>21</v>
      </c>
      <c r="J773" s="91">
        <v>43858</v>
      </c>
      <c r="K773" s="121">
        <v>57</v>
      </c>
      <c r="L773" s="91">
        <v>44469</v>
      </c>
      <c r="M773" s="91">
        <v>44469</v>
      </c>
      <c r="N773" s="125">
        <v>611</v>
      </c>
      <c r="O773" s="92">
        <v>5485.23</v>
      </c>
      <c r="Q773" s="14"/>
    </row>
    <row r="774" ht="15" customHeight="1">
      <c r="B774" s="13"/>
      <c r="C774" s="22" t="s">
        <v>184</v>
      </c>
      <c r="D774" s="90" t="s">
        <v>1694</v>
      </c>
      <c r="E774" s="122" t="s">
        <v>1695</v>
      </c>
      <c r="F774" s="91" t="s">
        <v>8</v>
      </c>
      <c r="G774" s="91">
        <v>34220</v>
      </c>
      <c r="H774" s="90" t="s">
        <v>187</v>
      </c>
      <c r="I774" s="91" t="s">
        <v>21</v>
      </c>
      <c r="J774" s="91">
        <v>44095</v>
      </c>
      <c r="K774" s="121">
        <v>27</v>
      </c>
      <c r="L774" s="91">
        <v>44196</v>
      </c>
      <c r="M774" s="91">
        <v>44196</v>
      </c>
      <c r="N774" s="125">
        <v>101</v>
      </c>
      <c r="O774" s="92">
        <v>14.4</v>
      </c>
      <c r="Q774" s="14"/>
    </row>
    <row r="775" ht="15" customHeight="1">
      <c r="B775" s="13"/>
      <c r="C775" s="22" t="s">
        <v>184</v>
      </c>
      <c r="D775" s="90" t="s">
        <v>1696</v>
      </c>
      <c r="E775" s="122" t="s">
        <v>1697</v>
      </c>
      <c r="F775" s="91" t="s">
        <v>8</v>
      </c>
      <c r="G775" s="91">
        <v>23727</v>
      </c>
      <c r="H775" s="90" t="s">
        <v>187</v>
      </c>
      <c r="I775" s="91" t="s">
        <v>21</v>
      </c>
      <c r="J775" s="91">
        <v>44456</v>
      </c>
      <c r="K775" s="121">
        <v>57</v>
      </c>
      <c r="L775" s="91">
        <v>44514</v>
      </c>
      <c r="M775" s="91"/>
      <c r="N775" s="125">
        <v>0</v>
      </c>
      <c r="O775" s="92">
        <v>322.47999999999996</v>
      </c>
      <c r="Q775" s="14"/>
    </row>
    <row r="776" ht="15" customHeight="1">
      <c r="B776" s="13"/>
      <c r="C776" s="22" t="s">
        <v>184</v>
      </c>
      <c r="D776" s="90" t="s">
        <v>1698</v>
      </c>
      <c r="E776" s="122" t="s">
        <v>1699</v>
      </c>
      <c r="F776" s="91" t="s">
        <v>8</v>
      </c>
      <c r="G776" s="91">
        <v>28741</v>
      </c>
      <c r="H776" s="90" t="s">
        <v>187</v>
      </c>
      <c r="I776" s="91" t="s">
        <v>21</v>
      </c>
      <c r="J776" s="91">
        <v>44372</v>
      </c>
      <c r="K776" s="121">
        <v>43</v>
      </c>
      <c r="L776" s="91">
        <v>44486</v>
      </c>
      <c r="M776" s="91">
        <v>44486</v>
      </c>
      <c r="N776" s="125">
        <v>114</v>
      </c>
      <c r="O776" s="92">
        <v>2140.2999999999997</v>
      </c>
      <c r="Q776" s="14"/>
    </row>
    <row r="777" ht="15" customHeight="1">
      <c r="B777" s="13"/>
      <c r="C777" s="22" t="s">
        <v>184</v>
      </c>
      <c r="D777" s="90" t="s">
        <v>1700</v>
      </c>
      <c r="E777" s="122" t="s">
        <v>1701</v>
      </c>
      <c r="F777" s="91" t="s">
        <v>8</v>
      </c>
      <c r="G777" s="91">
        <v>31846</v>
      </c>
      <c r="H777" s="90" t="s">
        <v>197</v>
      </c>
      <c r="I777" s="91" t="s">
        <v>21</v>
      </c>
      <c r="J777" s="91">
        <v>44312</v>
      </c>
      <c r="K777" s="121">
        <v>34</v>
      </c>
      <c r="L777" s="91">
        <v>44407</v>
      </c>
      <c r="M777" s="91">
        <v>44407</v>
      </c>
      <c r="N777" s="125">
        <v>95</v>
      </c>
      <c r="O777" s="92">
        <v>1917.3</v>
      </c>
      <c r="Q777" s="14"/>
    </row>
    <row r="778" ht="15" customHeight="1">
      <c r="B778" s="13"/>
      <c r="C778" s="22" t="s">
        <v>1702</v>
      </c>
      <c r="D778" s="90" t="s">
        <v>1703</v>
      </c>
      <c r="E778" s="122" t="s">
        <v>1704</v>
      </c>
      <c r="F778" s="91" t="s">
        <v>8</v>
      </c>
      <c r="G778" s="91">
        <v>34755</v>
      </c>
      <c r="H778" s="90" t="s">
        <v>187</v>
      </c>
      <c r="I778" s="91" t="s">
        <v>21</v>
      </c>
      <c r="J778" s="91">
        <v>43977</v>
      </c>
      <c r="K778" s="121">
        <v>25</v>
      </c>
      <c r="L778" s="91">
        <v>44052</v>
      </c>
      <c r="M778" s="91">
        <v>44052</v>
      </c>
      <c r="N778" s="125">
        <v>75</v>
      </c>
      <c r="O778" s="92">
        <v>467.26</v>
      </c>
      <c r="Q778" s="14"/>
    </row>
    <row r="779" ht="15" customHeight="1">
      <c r="B779" s="13"/>
      <c r="C779" s="22" t="s">
        <v>184</v>
      </c>
      <c r="D779" s="90" t="s">
        <v>1705</v>
      </c>
      <c r="E779" s="122" t="s">
        <v>1706</v>
      </c>
      <c r="F779" s="91" t="s">
        <v>8</v>
      </c>
      <c r="G779" s="91">
        <v>24198</v>
      </c>
      <c r="H779" s="90" t="s">
        <v>187</v>
      </c>
      <c r="I779" s="91" t="s">
        <v>21</v>
      </c>
      <c r="J779" s="91">
        <v>44286</v>
      </c>
      <c r="K779" s="121">
        <v>55</v>
      </c>
      <c r="L779" s="91">
        <v>44520</v>
      </c>
      <c r="M779" s="91"/>
      <c r="N779" s="125">
        <v>0</v>
      </c>
      <c r="O779" s="92">
        <v>3806.8499999999995</v>
      </c>
      <c r="Q779" s="14"/>
    </row>
    <row r="780" ht="15" customHeight="1">
      <c r="B780" s="13"/>
      <c r="C780" s="22" t="s">
        <v>184</v>
      </c>
      <c r="D780" s="90" t="s">
        <v>1707</v>
      </c>
      <c r="E780" s="122" t="s">
        <v>1708</v>
      </c>
      <c r="F780" s="91" t="s">
        <v>8</v>
      </c>
      <c r="G780" s="91">
        <v>31225</v>
      </c>
      <c r="H780" s="90" t="s">
        <v>197</v>
      </c>
      <c r="I780" s="91" t="s">
        <v>21</v>
      </c>
      <c r="J780" s="91">
        <v>43915</v>
      </c>
      <c r="K780" s="121">
        <v>35</v>
      </c>
      <c r="L780" s="91">
        <v>44120</v>
      </c>
      <c r="M780" s="91">
        <v>44120</v>
      </c>
      <c r="N780" s="125">
        <v>205</v>
      </c>
      <c r="O780" s="92">
        <v>4593.15</v>
      </c>
      <c r="Q780" s="14"/>
    </row>
    <row r="781" ht="15" customHeight="1">
      <c r="B781" s="13"/>
      <c r="C781" s="22" t="s">
        <v>184</v>
      </c>
      <c r="D781" s="90" t="s">
        <v>1709</v>
      </c>
      <c r="E781" s="122" t="s">
        <v>1710</v>
      </c>
      <c r="F781" s="91" t="s">
        <v>8</v>
      </c>
      <c r="G781" s="91">
        <v>33826</v>
      </c>
      <c r="H781" s="90" t="s">
        <v>187</v>
      </c>
      <c r="I781" s="91" t="s">
        <v>21</v>
      </c>
      <c r="J781" s="91">
        <v>44209</v>
      </c>
      <c r="K781" s="121">
        <v>29</v>
      </c>
      <c r="L781" s="91">
        <v>44288</v>
      </c>
      <c r="M781" s="91">
        <v>44288</v>
      </c>
      <c r="N781" s="125">
        <v>79</v>
      </c>
      <c r="O781" s="92">
        <v>0</v>
      </c>
      <c r="Q781" s="14"/>
    </row>
    <row r="782" ht="15" customHeight="1">
      <c r="B782" s="13"/>
      <c r="C782" s="22" t="s">
        <v>184</v>
      </c>
      <c r="D782" s="90" t="s">
        <v>1711</v>
      </c>
      <c r="E782" s="122" t="s">
        <v>1712</v>
      </c>
      <c r="F782" s="91" t="s">
        <v>8</v>
      </c>
      <c r="G782" s="91">
        <v>27809</v>
      </c>
      <c r="H782" s="90" t="s">
        <v>187</v>
      </c>
      <c r="I782" s="91" t="s">
        <v>21</v>
      </c>
      <c r="J782" s="91">
        <v>44015</v>
      </c>
      <c r="K782" s="121">
        <v>44</v>
      </c>
      <c r="L782" s="91">
        <v>44500</v>
      </c>
      <c r="M782" s="91"/>
      <c r="N782" s="125">
        <v>0</v>
      </c>
      <c r="O782" s="92">
        <v>4889.4000000000005</v>
      </c>
      <c r="Q782" s="14"/>
    </row>
    <row r="783" ht="15" customHeight="1">
      <c r="B783" s="13"/>
      <c r="C783" s="22" t="s">
        <v>184</v>
      </c>
      <c r="D783" s="90" t="s">
        <v>1713</v>
      </c>
      <c r="E783" s="122" t="s">
        <v>1714</v>
      </c>
      <c r="F783" s="91" t="s">
        <v>8</v>
      </c>
      <c r="G783" s="91">
        <v>28111</v>
      </c>
      <c r="H783" s="90" t="s">
        <v>187</v>
      </c>
      <c r="I783" s="91" t="s">
        <v>21</v>
      </c>
      <c r="J783" s="91">
        <v>44284</v>
      </c>
      <c r="K783" s="121">
        <v>45</v>
      </c>
      <c r="L783" s="91">
        <v>44331</v>
      </c>
      <c r="M783" s="91">
        <v>44331</v>
      </c>
      <c r="N783" s="125">
        <v>47</v>
      </c>
      <c r="O783" s="92">
        <v>556.56</v>
      </c>
      <c r="Q783" s="14"/>
    </row>
    <row r="784" ht="15" customHeight="1">
      <c r="B784" s="13"/>
      <c r="C784" s="22" t="s">
        <v>184</v>
      </c>
      <c r="D784" s="90" t="s">
        <v>1715</v>
      </c>
      <c r="E784" s="122" t="s">
        <v>1716</v>
      </c>
      <c r="F784" s="91" t="s">
        <v>8</v>
      </c>
      <c r="G784" s="91">
        <v>32280</v>
      </c>
      <c r="H784" s="90" t="s">
        <v>187</v>
      </c>
      <c r="I784" s="91" t="s">
        <v>21</v>
      </c>
      <c r="J784" s="91">
        <v>44216</v>
      </c>
      <c r="K784" s="121">
        <v>33</v>
      </c>
      <c r="L784" s="91">
        <v>44365</v>
      </c>
      <c r="M784" s="91">
        <v>44365</v>
      </c>
      <c r="N784" s="125">
        <v>149</v>
      </c>
      <c r="O784" s="92">
        <v>631.19999999999993</v>
      </c>
      <c r="Q784" s="14"/>
    </row>
    <row r="785" ht="15" customHeight="1">
      <c r="B785" s="13"/>
      <c r="C785" s="22" t="s">
        <v>184</v>
      </c>
      <c r="D785" s="90" t="s">
        <v>1717</v>
      </c>
      <c r="E785" s="122" t="s">
        <v>1718</v>
      </c>
      <c r="F785" s="91" t="s">
        <v>8</v>
      </c>
      <c r="G785" s="91">
        <v>24385</v>
      </c>
      <c r="H785" s="90" t="s">
        <v>187</v>
      </c>
      <c r="I785" s="91" t="s">
        <v>21</v>
      </c>
      <c r="J785" s="91">
        <v>44155</v>
      </c>
      <c r="K785" s="121">
        <v>54</v>
      </c>
      <c r="L785" s="91">
        <v>44200</v>
      </c>
      <c r="M785" s="91">
        <v>44200</v>
      </c>
      <c r="N785" s="125">
        <v>45</v>
      </c>
      <c r="O785" s="92">
        <v>154.08</v>
      </c>
      <c r="Q785" s="14"/>
    </row>
    <row r="786" ht="15" customHeight="1">
      <c r="B786" s="13"/>
      <c r="C786" s="22" t="s">
        <v>184</v>
      </c>
      <c r="D786" s="90" t="s">
        <v>1719</v>
      </c>
      <c r="E786" s="122" t="s">
        <v>1720</v>
      </c>
      <c r="F786" s="91" t="s">
        <v>8</v>
      </c>
      <c r="G786" s="91">
        <v>26682</v>
      </c>
      <c r="H786" s="90" t="s">
        <v>187</v>
      </c>
      <c r="I786" s="91" t="s">
        <v>21</v>
      </c>
      <c r="J786" s="91">
        <v>44141</v>
      </c>
      <c r="K786" s="121">
        <v>47</v>
      </c>
      <c r="L786" s="91">
        <v>44418</v>
      </c>
      <c r="M786" s="91">
        <v>44418</v>
      </c>
      <c r="N786" s="125">
        <v>277</v>
      </c>
      <c r="O786" s="92">
        <v>4250.72</v>
      </c>
      <c r="Q786" s="14"/>
    </row>
    <row r="787" ht="15" customHeight="1">
      <c r="B787" s="13"/>
      <c r="C787" s="22" t="s">
        <v>184</v>
      </c>
      <c r="D787" s="90" t="s">
        <v>1721</v>
      </c>
      <c r="E787" s="122" t="s">
        <v>1722</v>
      </c>
      <c r="F787" s="91" t="s">
        <v>8</v>
      </c>
      <c r="G787" s="91">
        <v>28873</v>
      </c>
      <c r="H787" s="90" t="s">
        <v>187</v>
      </c>
      <c r="I787" s="91" t="s">
        <v>21</v>
      </c>
      <c r="J787" s="91">
        <v>44244</v>
      </c>
      <c r="K787" s="121">
        <v>42</v>
      </c>
      <c r="L787" s="91">
        <v>44406</v>
      </c>
      <c r="M787" s="91">
        <v>44406</v>
      </c>
      <c r="N787" s="125">
        <v>162</v>
      </c>
      <c r="O787" s="92">
        <v>170.23999999999998</v>
      </c>
      <c r="Q787" s="14"/>
    </row>
    <row r="788" ht="15" customHeight="1">
      <c r="B788" s="13"/>
      <c r="C788" s="22" t="s">
        <v>184</v>
      </c>
      <c r="D788" s="90" t="s">
        <v>1723</v>
      </c>
      <c r="E788" s="122" t="s">
        <v>1724</v>
      </c>
      <c r="F788" s="91" t="s">
        <v>8</v>
      </c>
      <c r="G788" s="91">
        <v>23058</v>
      </c>
      <c r="H788" s="90" t="s">
        <v>187</v>
      </c>
      <c r="I788" s="91" t="s">
        <v>21</v>
      </c>
      <c r="J788" s="91">
        <v>44351</v>
      </c>
      <c r="K788" s="121">
        <v>58</v>
      </c>
      <c r="L788" s="91">
        <v>44438</v>
      </c>
      <c r="M788" s="91">
        <v>44438</v>
      </c>
      <c r="N788" s="125">
        <v>87</v>
      </c>
      <c r="O788" s="92">
        <v>67.28</v>
      </c>
      <c r="Q788" s="14"/>
    </row>
    <row r="789" ht="15" customHeight="1">
      <c r="B789" s="13"/>
      <c r="C789" s="22" t="s">
        <v>718</v>
      </c>
      <c r="D789" s="90" t="s">
        <v>1725</v>
      </c>
      <c r="E789" s="122" t="s">
        <v>1726</v>
      </c>
      <c r="F789" s="91" t="s">
        <v>8</v>
      </c>
      <c r="G789" s="91">
        <v>22551</v>
      </c>
      <c r="H789" s="90" t="s">
        <v>187</v>
      </c>
      <c r="I789" s="91" t="s">
        <v>21</v>
      </c>
      <c r="J789" s="91">
        <v>44091</v>
      </c>
      <c r="K789" s="121">
        <v>59</v>
      </c>
      <c r="L789" s="91">
        <v>44147</v>
      </c>
      <c r="M789" s="91">
        <v>44147</v>
      </c>
      <c r="N789" s="125">
        <v>56</v>
      </c>
      <c r="O789" s="92">
        <v>1294.11</v>
      </c>
      <c r="Q789" s="14"/>
    </row>
    <row r="790" ht="15" customHeight="1">
      <c r="B790" s="13"/>
      <c r="C790" s="22" t="s">
        <v>184</v>
      </c>
      <c r="D790" s="90" t="s">
        <v>1727</v>
      </c>
      <c r="E790" s="122" t="s">
        <v>1728</v>
      </c>
      <c r="F790" s="91" t="s">
        <v>8</v>
      </c>
      <c r="G790" s="91">
        <v>30326</v>
      </c>
      <c r="H790" s="90" t="s">
        <v>197</v>
      </c>
      <c r="I790" s="91" t="s">
        <v>21</v>
      </c>
      <c r="J790" s="91">
        <v>44001</v>
      </c>
      <c r="K790" s="121">
        <v>37</v>
      </c>
      <c r="L790" s="91">
        <v>44316</v>
      </c>
      <c r="M790" s="91">
        <v>44316</v>
      </c>
      <c r="N790" s="125">
        <v>315</v>
      </c>
      <c r="O790" s="92">
        <v>10269.52</v>
      </c>
      <c r="Q790" s="14"/>
    </row>
    <row r="791" ht="15" customHeight="1">
      <c r="B791" s="13"/>
      <c r="C791" s="22" t="s">
        <v>184</v>
      </c>
      <c r="D791" s="90" t="s">
        <v>1729</v>
      </c>
      <c r="E791" s="122" t="s">
        <v>1730</v>
      </c>
      <c r="F791" s="91" t="s">
        <v>8</v>
      </c>
      <c r="G791" s="91">
        <v>32404</v>
      </c>
      <c r="H791" s="90" t="s">
        <v>187</v>
      </c>
      <c r="I791" s="91" t="s">
        <v>21</v>
      </c>
      <c r="J791" s="91">
        <v>44281</v>
      </c>
      <c r="K791" s="121">
        <v>33</v>
      </c>
      <c r="L791" s="91">
        <v>44347</v>
      </c>
      <c r="M791" s="91">
        <v>44347</v>
      </c>
      <c r="N791" s="125">
        <v>66</v>
      </c>
      <c r="O791" s="92">
        <v>533.17</v>
      </c>
      <c r="Q791" s="14"/>
    </row>
    <row r="792" ht="15" customHeight="1">
      <c r="B792" s="13"/>
      <c r="C792" s="22" t="s">
        <v>184</v>
      </c>
      <c r="D792" s="90" t="s">
        <v>1731</v>
      </c>
      <c r="E792" s="122" t="s">
        <v>1732</v>
      </c>
      <c r="F792" s="91" t="s">
        <v>8</v>
      </c>
      <c r="G792" s="91">
        <v>24271</v>
      </c>
      <c r="H792" s="90" t="s">
        <v>187</v>
      </c>
      <c r="I792" s="91" t="s">
        <v>21</v>
      </c>
      <c r="J792" s="91">
        <v>44202</v>
      </c>
      <c r="K792" s="121">
        <v>55</v>
      </c>
      <c r="L792" s="91">
        <v>44255</v>
      </c>
      <c r="M792" s="91">
        <v>44255</v>
      </c>
      <c r="N792" s="125">
        <v>53</v>
      </c>
      <c r="O792" s="92">
        <v>699.36</v>
      </c>
      <c r="Q792" s="14"/>
    </row>
    <row r="793" ht="15" customHeight="1">
      <c r="B793" s="13"/>
      <c r="C793" s="22" t="s">
        <v>184</v>
      </c>
      <c r="D793" s="90" t="s">
        <v>1733</v>
      </c>
      <c r="E793" s="122" t="s">
        <v>1734</v>
      </c>
      <c r="F793" s="91" t="s">
        <v>8</v>
      </c>
      <c r="G793" s="91">
        <v>31082</v>
      </c>
      <c r="H793" s="90" t="s">
        <v>187</v>
      </c>
      <c r="I793" s="91" t="s">
        <v>21</v>
      </c>
      <c r="J793" s="91">
        <v>44201</v>
      </c>
      <c r="K793" s="121">
        <v>36</v>
      </c>
      <c r="L793" s="91">
        <v>44416</v>
      </c>
      <c r="M793" s="91">
        <v>44416</v>
      </c>
      <c r="N793" s="125">
        <v>215</v>
      </c>
      <c r="O793" s="92">
        <v>1309.4399999999998</v>
      </c>
      <c r="Q793" s="14"/>
    </row>
    <row r="794" ht="15" customHeight="1">
      <c r="B794" s="13"/>
      <c r="C794" s="22" t="s">
        <v>184</v>
      </c>
      <c r="D794" s="90" t="s">
        <v>1735</v>
      </c>
      <c r="E794" s="122" t="s">
        <v>1736</v>
      </c>
      <c r="F794" s="91" t="s">
        <v>10</v>
      </c>
      <c r="G794" s="91">
        <v>34139</v>
      </c>
      <c r="H794" s="90" t="s">
        <v>187</v>
      </c>
      <c r="I794" s="91" t="s">
        <v>21</v>
      </c>
      <c r="J794" s="91">
        <v>44328</v>
      </c>
      <c r="K794" s="121">
        <v>28</v>
      </c>
      <c r="L794" s="91">
        <v>44459</v>
      </c>
      <c r="M794" s="91">
        <v>44459</v>
      </c>
      <c r="N794" s="125">
        <v>131</v>
      </c>
      <c r="O794" s="92">
        <v>1620.24</v>
      </c>
      <c r="Q794" s="14"/>
    </row>
    <row r="795" ht="15" customHeight="1">
      <c r="B795" s="13"/>
      <c r="C795" s="22" t="s">
        <v>184</v>
      </c>
      <c r="D795" s="90" t="s">
        <v>1737</v>
      </c>
      <c r="E795" s="122" t="s">
        <v>1738</v>
      </c>
      <c r="F795" s="91" t="s">
        <v>8</v>
      </c>
      <c r="G795" s="91">
        <v>32806</v>
      </c>
      <c r="H795" s="90" t="s">
        <v>187</v>
      </c>
      <c r="I795" s="91" t="s">
        <v>21</v>
      </c>
      <c r="J795" s="91">
        <v>44302</v>
      </c>
      <c r="K795" s="121">
        <v>32</v>
      </c>
      <c r="L795" s="91">
        <v>44364</v>
      </c>
      <c r="M795" s="91">
        <v>44364</v>
      </c>
      <c r="N795" s="125">
        <v>62</v>
      </c>
      <c r="O795" s="92">
        <v>313.5</v>
      </c>
      <c r="Q795" s="14"/>
    </row>
    <row r="796" ht="15" customHeight="1">
      <c r="B796" s="13"/>
      <c r="C796" s="22" t="s">
        <v>184</v>
      </c>
      <c r="D796" s="90" t="s">
        <v>1739</v>
      </c>
      <c r="E796" s="122" t="s">
        <v>1740</v>
      </c>
      <c r="F796" s="91" t="s">
        <v>10</v>
      </c>
      <c r="G796" s="91">
        <v>30590</v>
      </c>
      <c r="H796" s="90" t="s">
        <v>187</v>
      </c>
      <c r="I796" s="91" t="s">
        <v>21</v>
      </c>
      <c r="J796" s="91">
        <v>44383</v>
      </c>
      <c r="K796" s="121">
        <v>38</v>
      </c>
      <c r="L796" s="91">
        <v>44508</v>
      </c>
      <c r="M796" s="91"/>
      <c r="N796" s="125">
        <v>0</v>
      </c>
      <c r="O796" s="92">
        <v>3005.76</v>
      </c>
      <c r="Q796" s="14"/>
    </row>
    <row r="797" ht="15" customHeight="1">
      <c r="B797" s="13"/>
      <c r="C797" s="22" t="s">
        <v>184</v>
      </c>
      <c r="D797" s="90" t="s">
        <v>1741</v>
      </c>
      <c r="E797" s="122" t="s">
        <v>1742</v>
      </c>
      <c r="F797" s="91" t="s">
        <v>8</v>
      </c>
      <c r="G797" s="91">
        <v>30075</v>
      </c>
      <c r="H797" s="90" t="s">
        <v>187</v>
      </c>
      <c r="I797" s="91" t="s">
        <v>21</v>
      </c>
      <c r="J797" s="91">
        <v>44132</v>
      </c>
      <c r="K797" s="121">
        <v>38</v>
      </c>
      <c r="L797" s="91">
        <v>44213</v>
      </c>
      <c r="M797" s="91">
        <v>44213</v>
      </c>
      <c r="N797" s="125">
        <v>81</v>
      </c>
      <c r="O797" s="92">
        <v>1191.32</v>
      </c>
      <c r="Q797" s="14"/>
    </row>
    <row r="798" ht="15" customHeight="1">
      <c r="B798" s="13"/>
      <c r="C798" s="22" t="s">
        <v>184</v>
      </c>
      <c r="D798" s="90" t="s">
        <v>1743</v>
      </c>
      <c r="E798" s="122" t="s">
        <v>1744</v>
      </c>
      <c r="F798" s="91" t="s">
        <v>8</v>
      </c>
      <c r="G798" s="91">
        <v>27619</v>
      </c>
      <c r="H798" s="90" t="s">
        <v>187</v>
      </c>
      <c r="I798" s="91" t="s">
        <v>21</v>
      </c>
      <c r="J798" s="91">
        <v>44168</v>
      </c>
      <c r="K798" s="121">
        <v>45</v>
      </c>
      <c r="L798" s="91">
        <v>44206</v>
      </c>
      <c r="M798" s="91">
        <v>44206</v>
      </c>
      <c r="N798" s="125">
        <v>38</v>
      </c>
      <c r="O798" s="92">
        <v>131.04</v>
      </c>
      <c r="Q798" s="14"/>
    </row>
    <row r="799" ht="15" customHeight="1">
      <c r="B799" s="13"/>
      <c r="C799" s="22" t="s">
        <v>184</v>
      </c>
      <c r="D799" s="90" t="s">
        <v>1745</v>
      </c>
      <c r="E799" s="122" t="s">
        <v>1746</v>
      </c>
      <c r="F799" s="91" t="s">
        <v>10</v>
      </c>
      <c r="G799" s="91">
        <v>29061</v>
      </c>
      <c r="H799" s="90" t="s">
        <v>187</v>
      </c>
      <c r="I799" s="91" t="s">
        <v>21</v>
      </c>
      <c r="J799" s="91">
        <v>44071</v>
      </c>
      <c r="K799" s="121">
        <v>41</v>
      </c>
      <c r="L799" s="91">
        <v>44129</v>
      </c>
      <c r="M799" s="91">
        <v>44129</v>
      </c>
      <c r="N799" s="125">
        <v>58</v>
      </c>
      <c r="O799" s="92">
        <v>120.93</v>
      </c>
      <c r="Q799" s="14"/>
    </row>
    <row r="800" ht="15" customHeight="1">
      <c r="B800" s="13"/>
      <c r="C800" s="22" t="s">
        <v>184</v>
      </c>
      <c r="D800" s="90" t="s">
        <v>1747</v>
      </c>
      <c r="E800" s="122" t="s">
        <v>1748</v>
      </c>
      <c r="F800" s="91" t="s">
        <v>8</v>
      </c>
      <c r="G800" s="91">
        <v>21962</v>
      </c>
      <c r="H800" s="90" t="s">
        <v>187</v>
      </c>
      <c r="I800" s="91" t="s">
        <v>21</v>
      </c>
      <c r="J800" s="91">
        <v>44254</v>
      </c>
      <c r="K800" s="121">
        <v>61</v>
      </c>
      <c r="L800" s="91">
        <v>44314</v>
      </c>
      <c r="M800" s="91">
        <v>44314</v>
      </c>
      <c r="N800" s="125">
        <v>60</v>
      </c>
      <c r="O800" s="92">
        <v>45.26</v>
      </c>
      <c r="Q800" s="14"/>
    </row>
    <row r="801" ht="15" customHeight="1">
      <c r="B801" s="13"/>
      <c r="C801" s="22" t="s">
        <v>184</v>
      </c>
      <c r="D801" s="90" t="s">
        <v>1749</v>
      </c>
      <c r="E801" s="122" t="s">
        <v>1750</v>
      </c>
      <c r="F801" s="91" t="s">
        <v>8</v>
      </c>
      <c r="G801" s="91">
        <v>31758</v>
      </c>
      <c r="H801" s="90" t="s">
        <v>187</v>
      </c>
      <c r="I801" s="91" t="s">
        <v>21</v>
      </c>
      <c r="J801" s="91">
        <v>44158</v>
      </c>
      <c r="K801" s="121">
        <v>34</v>
      </c>
      <c r="L801" s="91">
        <v>44273</v>
      </c>
      <c r="M801" s="91">
        <v>44273</v>
      </c>
      <c r="N801" s="125">
        <v>115</v>
      </c>
      <c r="O801" s="92">
        <v>994.16</v>
      </c>
      <c r="Q801" s="14"/>
    </row>
    <row r="802" ht="15" customHeight="1">
      <c r="B802" s="13"/>
      <c r="C802" s="22" t="s">
        <v>184</v>
      </c>
      <c r="D802" s="90" t="s">
        <v>1751</v>
      </c>
      <c r="E802" s="122" t="s">
        <v>1752</v>
      </c>
      <c r="F802" s="91" t="s">
        <v>8</v>
      </c>
      <c r="G802" s="91">
        <v>31730</v>
      </c>
      <c r="H802" s="90" t="s">
        <v>187</v>
      </c>
      <c r="I802" s="91" t="s">
        <v>21</v>
      </c>
      <c r="J802" s="91">
        <v>43991</v>
      </c>
      <c r="K802" s="121">
        <v>34</v>
      </c>
      <c r="L802" s="91">
        <v>44071</v>
      </c>
      <c r="M802" s="91">
        <v>44071</v>
      </c>
      <c r="N802" s="125">
        <v>80</v>
      </c>
      <c r="O802" s="92">
        <v>1371.9</v>
      </c>
      <c r="Q802" s="14"/>
    </row>
    <row r="803" ht="15" customHeight="1">
      <c r="B803" s="13"/>
      <c r="C803" s="22" t="s">
        <v>400</v>
      </c>
      <c r="D803" s="90" t="s">
        <v>1753</v>
      </c>
      <c r="E803" s="122" t="s">
        <v>1754</v>
      </c>
      <c r="F803" s="91" t="s">
        <v>8</v>
      </c>
      <c r="G803" s="91">
        <v>31892</v>
      </c>
      <c r="H803" s="90" t="s">
        <v>187</v>
      </c>
      <c r="I803" s="91" t="s">
        <v>21</v>
      </c>
      <c r="J803" s="91">
        <v>43906</v>
      </c>
      <c r="K803" s="121">
        <v>33</v>
      </c>
      <c r="L803" s="91">
        <v>43940</v>
      </c>
      <c r="M803" s="91">
        <v>43940</v>
      </c>
      <c r="N803" s="125">
        <v>34</v>
      </c>
      <c r="O803" s="92">
        <v>65.4</v>
      </c>
      <c r="Q803" s="14"/>
    </row>
    <row r="804" ht="15" customHeight="1">
      <c r="B804" s="13"/>
      <c r="C804" s="22" t="s">
        <v>184</v>
      </c>
      <c r="D804" s="90" t="s">
        <v>1755</v>
      </c>
      <c r="E804" s="122" t="s">
        <v>1756</v>
      </c>
      <c r="F804" s="91" t="s">
        <v>8</v>
      </c>
      <c r="G804" s="91">
        <v>23193</v>
      </c>
      <c r="H804" s="90" t="s">
        <v>187</v>
      </c>
      <c r="I804" s="91" t="s">
        <v>21</v>
      </c>
      <c r="J804" s="91">
        <v>44329</v>
      </c>
      <c r="K804" s="121">
        <v>58</v>
      </c>
      <c r="L804" s="91">
        <v>44372</v>
      </c>
      <c r="M804" s="91">
        <v>44372</v>
      </c>
      <c r="N804" s="125">
        <v>43</v>
      </c>
      <c r="O804" s="92">
        <v>145.88</v>
      </c>
      <c r="Q804" s="14"/>
    </row>
    <row r="805" ht="15" customHeight="1">
      <c r="B805" s="13"/>
      <c r="C805" s="22" t="s">
        <v>184</v>
      </c>
      <c r="D805" s="90" t="s">
        <v>1757</v>
      </c>
      <c r="E805" s="122" t="s">
        <v>1758</v>
      </c>
      <c r="F805" s="91" t="s">
        <v>8</v>
      </c>
      <c r="G805" s="91">
        <v>35979</v>
      </c>
      <c r="H805" s="90" t="s">
        <v>187</v>
      </c>
      <c r="I805" s="91" t="s">
        <v>21</v>
      </c>
      <c r="J805" s="91">
        <v>43976</v>
      </c>
      <c r="K805" s="121">
        <v>22</v>
      </c>
      <c r="L805" s="91">
        <v>44018</v>
      </c>
      <c r="M805" s="91">
        <v>44018</v>
      </c>
      <c r="N805" s="125">
        <v>42</v>
      </c>
      <c r="O805" s="92">
        <v>104.91</v>
      </c>
      <c r="Q805" s="14"/>
    </row>
    <row r="806" ht="15" customHeight="1">
      <c r="B806" s="13"/>
      <c r="C806" s="22" t="s">
        <v>184</v>
      </c>
      <c r="D806" s="90" t="s">
        <v>1759</v>
      </c>
      <c r="E806" s="122" t="s">
        <v>1760</v>
      </c>
      <c r="F806" s="91" t="s">
        <v>10</v>
      </c>
      <c r="G806" s="91">
        <v>26051</v>
      </c>
      <c r="H806" s="90" t="s">
        <v>187</v>
      </c>
      <c r="I806" s="91" t="s">
        <v>21</v>
      </c>
      <c r="J806" s="91">
        <v>43901</v>
      </c>
      <c r="K806" s="121">
        <v>49</v>
      </c>
      <c r="L806" s="91">
        <v>44061</v>
      </c>
      <c r="M806" s="91">
        <v>44061</v>
      </c>
      <c r="N806" s="125">
        <v>160</v>
      </c>
      <c r="O806" s="92">
        <v>2605.59</v>
      </c>
      <c r="Q806" s="14"/>
    </row>
    <row r="807" ht="15" customHeight="1">
      <c r="B807" s="13"/>
      <c r="C807" s="22" t="s">
        <v>184</v>
      </c>
      <c r="D807" s="90" t="s">
        <v>1761</v>
      </c>
      <c r="E807" s="122" t="s">
        <v>1760</v>
      </c>
      <c r="F807" s="91" t="s">
        <v>10</v>
      </c>
      <c r="G807" s="91">
        <v>26051</v>
      </c>
      <c r="H807" s="90" t="s">
        <v>187</v>
      </c>
      <c r="I807" s="91" t="s">
        <v>21</v>
      </c>
      <c r="J807" s="91">
        <v>44075</v>
      </c>
      <c r="K807" s="121">
        <v>49</v>
      </c>
      <c r="L807" s="91">
        <v>44122</v>
      </c>
      <c r="M807" s="91">
        <v>44122</v>
      </c>
      <c r="N807" s="125">
        <v>47</v>
      </c>
      <c r="O807" s="92">
        <v>471.42</v>
      </c>
      <c r="Q807" s="14"/>
    </row>
    <row r="808" ht="15" customHeight="1">
      <c r="B808" s="13"/>
      <c r="C808" s="22" t="s">
        <v>184</v>
      </c>
      <c r="D808" s="90" t="s">
        <v>1762</v>
      </c>
      <c r="E808" s="122" t="s">
        <v>1760</v>
      </c>
      <c r="F808" s="91" t="s">
        <v>10</v>
      </c>
      <c r="G808" s="91">
        <v>26051</v>
      </c>
      <c r="H808" s="90" t="s">
        <v>187</v>
      </c>
      <c r="I808" s="91" t="s">
        <v>21</v>
      </c>
      <c r="J808" s="91">
        <v>44130</v>
      </c>
      <c r="K808" s="121">
        <v>49</v>
      </c>
      <c r="L808" s="91">
        <v>44519</v>
      </c>
      <c r="M808" s="91"/>
      <c r="N808" s="125">
        <v>0</v>
      </c>
      <c r="O808" s="92">
        <v>7175.58</v>
      </c>
      <c r="Q808" s="14"/>
    </row>
    <row r="809" ht="15" customHeight="1">
      <c r="B809" s="13"/>
      <c r="C809" s="22" t="s">
        <v>184</v>
      </c>
      <c r="D809" s="90" t="s">
        <v>1763</v>
      </c>
      <c r="E809" s="122" t="s">
        <v>1764</v>
      </c>
      <c r="F809" s="91" t="s">
        <v>8</v>
      </c>
      <c r="G809" s="91">
        <v>26650</v>
      </c>
      <c r="H809" s="90" t="s">
        <v>187</v>
      </c>
      <c r="I809" s="91" t="s">
        <v>21</v>
      </c>
      <c r="J809" s="91">
        <v>44477</v>
      </c>
      <c r="K809" s="121">
        <v>49</v>
      </c>
      <c r="L809" s="91">
        <v>44521</v>
      </c>
      <c r="M809" s="91">
        <v>44521</v>
      </c>
      <c r="N809" s="125">
        <v>44</v>
      </c>
      <c r="O809" s="92">
        <v>588.9</v>
      </c>
      <c r="Q809" s="14"/>
    </row>
    <row r="810" ht="15" customHeight="1">
      <c r="B810" s="13"/>
      <c r="C810" s="22" t="s">
        <v>184</v>
      </c>
      <c r="D810" s="90" t="s">
        <v>1765</v>
      </c>
      <c r="E810" s="122" t="s">
        <v>1766</v>
      </c>
      <c r="F810" s="91" t="s">
        <v>8</v>
      </c>
      <c r="G810" s="91">
        <v>35966</v>
      </c>
      <c r="H810" s="90" t="s">
        <v>187</v>
      </c>
      <c r="I810" s="91" t="s">
        <v>21</v>
      </c>
      <c r="J810" s="91">
        <v>44333</v>
      </c>
      <c r="K810" s="121">
        <v>23</v>
      </c>
      <c r="L810" s="91">
        <v>44408</v>
      </c>
      <c r="M810" s="91">
        <v>44408</v>
      </c>
      <c r="N810" s="125">
        <v>75</v>
      </c>
      <c r="O810" s="92">
        <v>506.92</v>
      </c>
      <c r="Q810" s="14"/>
    </row>
    <row r="811" ht="15" customHeight="1">
      <c r="B811" s="13"/>
      <c r="C811" s="22" t="s">
        <v>184</v>
      </c>
      <c r="D811" s="90" t="s">
        <v>1767</v>
      </c>
      <c r="E811" s="122" t="s">
        <v>1768</v>
      </c>
      <c r="F811" s="91" t="s">
        <v>8</v>
      </c>
      <c r="G811" s="91">
        <v>29665</v>
      </c>
      <c r="H811" s="90" t="s">
        <v>187</v>
      </c>
      <c r="I811" s="91" t="s">
        <v>21</v>
      </c>
      <c r="J811" s="91">
        <v>44211</v>
      </c>
      <c r="K811" s="121">
        <v>40</v>
      </c>
      <c r="L811" s="91">
        <v>44351</v>
      </c>
      <c r="M811" s="91">
        <v>44351</v>
      </c>
      <c r="N811" s="125">
        <v>140</v>
      </c>
      <c r="O811" s="92">
        <v>4055.9399999999996</v>
      </c>
      <c r="Q811" s="14"/>
    </row>
    <row r="812" ht="15" customHeight="1">
      <c r="B812" s="13"/>
      <c r="C812" s="22" t="s">
        <v>184</v>
      </c>
      <c r="D812" s="90" t="s">
        <v>1769</v>
      </c>
      <c r="E812" s="122" t="s">
        <v>1770</v>
      </c>
      <c r="F812" s="91" t="s">
        <v>8</v>
      </c>
      <c r="G812" s="91">
        <v>28258</v>
      </c>
      <c r="H812" s="90" t="s">
        <v>187</v>
      </c>
      <c r="I812" s="91" t="s">
        <v>21</v>
      </c>
      <c r="J812" s="91">
        <v>43908</v>
      </c>
      <c r="K812" s="121">
        <v>43</v>
      </c>
      <c r="L812" s="91">
        <v>43948</v>
      </c>
      <c r="M812" s="91">
        <v>43948</v>
      </c>
      <c r="N812" s="125">
        <v>40</v>
      </c>
      <c r="O812" s="92">
        <v>39.16</v>
      </c>
      <c r="Q812" s="14"/>
    </row>
    <row r="813" ht="15" customHeight="1">
      <c r="B813" s="13"/>
      <c r="C813" s="22" t="s">
        <v>184</v>
      </c>
      <c r="D813" s="90" t="s">
        <v>1771</v>
      </c>
      <c r="E813" s="122" t="s">
        <v>1772</v>
      </c>
      <c r="F813" s="91" t="s">
        <v>8</v>
      </c>
      <c r="G813" s="91">
        <v>28265</v>
      </c>
      <c r="H813" s="90" t="s">
        <v>187</v>
      </c>
      <c r="I813" s="91" t="s">
        <v>21</v>
      </c>
      <c r="J813" s="91">
        <v>43906</v>
      </c>
      <c r="K813" s="121">
        <v>43</v>
      </c>
      <c r="L813" s="91">
        <v>43950</v>
      </c>
      <c r="M813" s="91">
        <v>43950</v>
      </c>
      <c r="N813" s="125">
        <v>44</v>
      </c>
      <c r="O813" s="92">
        <v>336.45</v>
      </c>
      <c r="Q813" s="14"/>
    </row>
    <row r="814" ht="15" customHeight="1">
      <c r="B814" s="13"/>
      <c r="C814" s="22" t="s">
        <v>184</v>
      </c>
      <c r="D814" s="90" t="s">
        <v>1773</v>
      </c>
      <c r="E814" s="122" t="s">
        <v>1774</v>
      </c>
      <c r="F814" s="91" t="s">
        <v>8</v>
      </c>
      <c r="G814" s="91">
        <v>25000</v>
      </c>
      <c r="H814" s="90" t="s">
        <v>187</v>
      </c>
      <c r="I814" s="91" t="s">
        <v>21</v>
      </c>
      <c r="J814" s="91">
        <v>43907</v>
      </c>
      <c r="K814" s="121">
        <v>52</v>
      </c>
      <c r="L814" s="91">
        <v>43992</v>
      </c>
      <c r="M814" s="91">
        <v>43992</v>
      </c>
      <c r="N814" s="125">
        <v>85</v>
      </c>
      <c r="O814" s="92">
        <v>743.68999999999994</v>
      </c>
      <c r="Q814" s="14"/>
    </row>
    <row r="815" ht="15" customHeight="1">
      <c r="B815" s="13"/>
      <c r="C815" s="22" t="s">
        <v>184</v>
      </c>
      <c r="D815" s="90" t="s">
        <v>1775</v>
      </c>
      <c r="E815" s="122" t="s">
        <v>1776</v>
      </c>
      <c r="F815" s="91" t="s">
        <v>8</v>
      </c>
      <c r="G815" s="91">
        <v>25826</v>
      </c>
      <c r="H815" s="90" t="s">
        <v>187</v>
      </c>
      <c r="I815" s="91" t="s">
        <v>21</v>
      </c>
      <c r="J815" s="91">
        <v>43910</v>
      </c>
      <c r="K815" s="121">
        <v>50</v>
      </c>
      <c r="L815" s="91">
        <v>43984</v>
      </c>
      <c r="M815" s="91">
        <v>43984</v>
      </c>
      <c r="N815" s="125">
        <v>74</v>
      </c>
      <c r="O815" s="92">
        <v>477.45</v>
      </c>
      <c r="Q815" s="14"/>
    </row>
    <row r="816" ht="15" customHeight="1">
      <c r="B816" s="13"/>
      <c r="C816" s="22" t="s">
        <v>135</v>
      </c>
      <c r="D816" s="90" t="s">
        <v>1777</v>
      </c>
      <c r="E816" s="122" t="s">
        <v>1778</v>
      </c>
      <c r="F816" s="91" t="s">
        <v>8</v>
      </c>
      <c r="G816" s="91">
        <v>32696</v>
      </c>
      <c r="H816" s="90" t="s">
        <v>187</v>
      </c>
      <c r="I816" s="91" t="s">
        <v>21</v>
      </c>
      <c r="J816" s="91">
        <v>44055</v>
      </c>
      <c r="K816" s="121">
        <v>31</v>
      </c>
      <c r="L816" s="91">
        <v>44194</v>
      </c>
      <c r="M816" s="91">
        <v>44194</v>
      </c>
      <c r="N816" s="125">
        <v>139</v>
      </c>
      <c r="O816" s="92">
        <v>2613.6</v>
      </c>
      <c r="Q816" s="14"/>
    </row>
    <row r="817" ht="15" customHeight="1">
      <c r="B817" s="13"/>
      <c r="C817" s="22" t="s">
        <v>184</v>
      </c>
      <c r="D817" s="90" t="s">
        <v>1779</v>
      </c>
      <c r="E817" s="122" t="s">
        <v>1780</v>
      </c>
      <c r="F817" s="91" t="s">
        <v>8</v>
      </c>
      <c r="G817" s="91">
        <v>31402</v>
      </c>
      <c r="H817" s="90" t="s">
        <v>187</v>
      </c>
      <c r="I817" s="91" t="s">
        <v>21</v>
      </c>
      <c r="J817" s="91">
        <v>44182</v>
      </c>
      <c r="K817" s="121">
        <v>35</v>
      </c>
      <c r="L817" s="91">
        <v>44229</v>
      </c>
      <c r="M817" s="91">
        <v>44229</v>
      </c>
      <c r="N817" s="125">
        <v>47</v>
      </c>
      <c r="O817" s="92">
        <v>246.06</v>
      </c>
      <c r="Q817" s="14"/>
    </row>
    <row r="818" ht="15" customHeight="1">
      <c r="B818" s="13"/>
      <c r="C818" s="22" t="s">
        <v>184</v>
      </c>
      <c r="D818" s="90" t="s">
        <v>1781</v>
      </c>
      <c r="E818" s="122" t="s">
        <v>1782</v>
      </c>
      <c r="F818" s="91" t="s">
        <v>10</v>
      </c>
      <c r="G818" s="91">
        <v>31420</v>
      </c>
      <c r="H818" s="90" t="s">
        <v>187</v>
      </c>
      <c r="I818" s="91" t="s">
        <v>21</v>
      </c>
      <c r="J818" s="91">
        <v>44299</v>
      </c>
      <c r="K818" s="121">
        <v>35</v>
      </c>
      <c r="L818" s="91">
        <v>44331</v>
      </c>
      <c r="M818" s="91">
        <v>44331</v>
      </c>
      <c r="N818" s="125">
        <v>32</v>
      </c>
      <c r="O818" s="92">
        <v>2.94</v>
      </c>
      <c r="Q818" s="14"/>
    </row>
    <row r="819" ht="15" customHeight="1">
      <c r="B819" s="13"/>
      <c r="C819" s="22" t="s">
        <v>184</v>
      </c>
      <c r="D819" s="90" t="s">
        <v>1783</v>
      </c>
      <c r="E819" s="122" t="s">
        <v>1782</v>
      </c>
      <c r="F819" s="91" t="s">
        <v>10</v>
      </c>
      <c r="G819" s="91">
        <v>31420</v>
      </c>
      <c r="H819" s="90" t="s">
        <v>187</v>
      </c>
      <c r="I819" s="91" t="s">
        <v>21</v>
      </c>
      <c r="J819" s="91">
        <v>44299</v>
      </c>
      <c r="K819" s="121">
        <v>35</v>
      </c>
      <c r="L819" s="91">
        <v>44331</v>
      </c>
      <c r="M819" s="91">
        <v>44331</v>
      </c>
      <c r="N819" s="125">
        <v>32</v>
      </c>
      <c r="O819" s="92">
        <v>1.08</v>
      </c>
      <c r="Q819" s="14"/>
    </row>
    <row r="820" ht="15" customHeight="1">
      <c r="B820" s="13"/>
      <c r="C820" s="22" t="s">
        <v>184</v>
      </c>
      <c r="D820" s="90" t="s">
        <v>1784</v>
      </c>
      <c r="E820" s="122" t="s">
        <v>1785</v>
      </c>
      <c r="F820" s="91" t="s">
        <v>8</v>
      </c>
      <c r="G820" s="91">
        <v>27468</v>
      </c>
      <c r="H820" s="90" t="s">
        <v>187</v>
      </c>
      <c r="I820" s="91" t="s">
        <v>21</v>
      </c>
      <c r="J820" s="91">
        <v>44467</v>
      </c>
      <c r="K820" s="121">
        <v>46</v>
      </c>
      <c r="L820" s="91">
        <v>44499</v>
      </c>
      <c r="M820" s="91">
        <v>44499</v>
      </c>
      <c r="N820" s="125">
        <v>32</v>
      </c>
      <c r="O820" s="92">
        <v>57.78</v>
      </c>
      <c r="Q820" s="14"/>
    </row>
    <row r="821" ht="15" customHeight="1">
      <c r="B821" s="13"/>
      <c r="C821" s="22" t="s">
        <v>184</v>
      </c>
      <c r="D821" s="90" t="s">
        <v>1786</v>
      </c>
      <c r="E821" s="122" t="s">
        <v>1787</v>
      </c>
      <c r="F821" s="91" t="s">
        <v>8</v>
      </c>
      <c r="G821" s="91">
        <v>34425</v>
      </c>
      <c r="H821" s="90" t="s">
        <v>187</v>
      </c>
      <c r="I821" s="91" t="s">
        <v>21</v>
      </c>
      <c r="J821" s="91">
        <v>44117</v>
      </c>
      <c r="K821" s="121">
        <v>26</v>
      </c>
      <c r="L821" s="91">
        <v>44148</v>
      </c>
      <c r="M821" s="91">
        <v>44148</v>
      </c>
      <c r="N821" s="125">
        <v>31</v>
      </c>
      <c r="O821" s="92">
        <v>43.14</v>
      </c>
      <c r="Q821" s="14"/>
    </row>
    <row r="822" ht="15" customHeight="1">
      <c r="B822" s="13"/>
      <c r="C822" s="22" t="s">
        <v>184</v>
      </c>
      <c r="D822" s="90" t="s">
        <v>1788</v>
      </c>
      <c r="E822" s="122" t="s">
        <v>1789</v>
      </c>
      <c r="F822" s="91" t="s">
        <v>8</v>
      </c>
      <c r="G822" s="91">
        <v>33029</v>
      </c>
      <c r="H822" s="90" t="s">
        <v>187</v>
      </c>
      <c r="I822" s="91" t="s">
        <v>21</v>
      </c>
      <c r="J822" s="91">
        <v>44162</v>
      </c>
      <c r="K822" s="121">
        <v>30</v>
      </c>
      <c r="L822" s="91">
        <v>44255</v>
      </c>
      <c r="M822" s="91">
        <v>44255</v>
      </c>
      <c r="N822" s="125">
        <v>93</v>
      </c>
      <c r="O822" s="92">
        <v>1527.6799999999998</v>
      </c>
      <c r="Q822" s="14"/>
    </row>
    <row r="823" ht="15" customHeight="1">
      <c r="B823" s="13"/>
      <c r="C823" s="22" t="s">
        <v>184</v>
      </c>
      <c r="D823" s="90" t="s">
        <v>1790</v>
      </c>
      <c r="E823" s="122" t="s">
        <v>1791</v>
      </c>
      <c r="F823" s="91" t="s">
        <v>10</v>
      </c>
      <c r="G823" s="91">
        <v>26187</v>
      </c>
      <c r="H823" s="90" t="s">
        <v>187</v>
      </c>
      <c r="I823" s="91" t="s">
        <v>21</v>
      </c>
      <c r="J823" s="91">
        <v>44277</v>
      </c>
      <c r="K823" s="121">
        <v>50</v>
      </c>
      <c r="L823" s="91">
        <v>44334</v>
      </c>
      <c r="M823" s="91">
        <v>44334</v>
      </c>
      <c r="N823" s="125">
        <v>57</v>
      </c>
      <c r="O823" s="92">
        <v>1390.48</v>
      </c>
      <c r="Q823" s="14"/>
    </row>
    <row r="824" ht="15" customHeight="1">
      <c r="B824" s="13"/>
      <c r="C824" s="22" t="s">
        <v>400</v>
      </c>
      <c r="D824" s="90" t="s">
        <v>1792</v>
      </c>
      <c r="E824" s="122" t="s">
        <v>1793</v>
      </c>
      <c r="F824" s="91" t="s">
        <v>8</v>
      </c>
      <c r="G824" s="91">
        <v>24918</v>
      </c>
      <c r="H824" s="90" t="s">
        <v>187</v>
      </c>
      <c r="I824" s="91" t="s">
        <v>21</v>
      </c>
      <c r="J824" s="91">
        <v>44007</v>
      </c>
      <c r="K824" s="121">
        <v>52</v>
      </c>
      <c r="L824" s="91">
        <v>44526</v>
      </c>
      <c r="M824" s="91"/>
      <c r="N824" s="125">
        <v>0</v>
      </c>
      <c r="O824" s="92">
        <v>9336.1099999999988</v>
      </c>
      <c r="Q824" s="14"/>
    </row>
    <row r="825" ht="15" customHeight="1">
      <c r="B825" s="13"/>
      <c r="C825" s="22" t="s">
        <v>400</v>
      </c>
      <c r="D825" s="90" t="s">
        <v>1794</v>
      </c>
      <c r="E825" s="122" t="s">
        <v>1795</v>
      </c>
      <c r="F825" s="91" t="s">
        <v>8</v>
      </c>
      <c r="G825" s="91">
        <v>28657</v>
      </c>
      <c r="H825" s="90" t="s">
        <v>187</v>
      </c>
      <c r="I825" s="91" t="s">
        <v>21</v>
      </c>
      <c r="J825" s="91">
        <v>43907</v>
      </c>
      <c r="K825" s="121">
        <v>42</v>
      </c>
      <c r="L825" s="91">
        <v>43955</v>
      </c>
      <c r="M825" s="91">
        <v>43955</v>
      </c>
      <c r="N825" s="125">
        <v>48</v>
      </c>
      <c r="O825" s="92">
        <v>284.43</v>
      </c>
      <c r="Q825" s="14"/>
    </row>
    <row r="826" ht="15" customHeight="1">
      <c r="B826" s="13"/>
      <c r="C826" s="22" t="s">
        <v>245</v>
      </c>
      <c r="D826" s="90" t="s">
        <v>1796</v>
      </c>
      <c r="E826" s="122" t="s">
        <v>1797</v>
      </c>
      <c r="F826" s="91" t="s">
        <v>8</v>
      </c>
      <c r="G826" s="91">
        <v>33080</v>
      </c>
      <c r="H826" s="90" t="s">
        <v>187</v>
      </c>
      <c r="I826" s="91" t="s">
        <v>21</v>
      </c>
      <c r="J826" s="91">
        <v>44247</v>
      </c>
      <c r="K826" s="121">
        <v>31</v>
      </c>
      <c r="L826" s="91">
        <v>44503</v>
      </c>
      <c r="M826" s="91"/>
      <c r="N826" s="125">
        <v>0</v>
      </c>
      <c r="O826" s="92">
        <v>5098.42</v>
      </c>
      <c r="Q826" s="14"/>
    </row>
    <row r="827" ht="15" customHeight="1">
      <c r="B827" s="13"/>
      <c r="C827" s="22" t="s">
        <v>184</v>
      </c>
      <c r="D827" s="90" t="s">
        <v>1798</v>
      </c>
      <c r="E827" s="122" t="s">
        <v>1799</v>
      </c>
      <c r="F827" s="91" t="s">
        <v>8</v>
      </c>
      <c r="G827" s="91">
        <v>23671</v>
      </c>
      <c r="H827" s="90" t="s">
        <v>187</v>
      </c>
      <c r="I827" s="91" t="s">
        <v>21</v>
      </c>
      <c r="J827" s="91">
        <v>44016</v>
      </c>
      <c r="K827" s="121">
        <v>56</v>
      </c>
      <c r="L827" s="91">
        <v>44134</v>
      </c>
      <c r="M827" s="91">
        <v>44134</v>
      </c>
      <c r="N827" s="125">
        <v>118</v>
      </c>
      <c r="O827" s="92">
        <v>1662.8600000000001</v>
      </c>
      <c r="Q827" s="14"/>
    </row>
    <row r="828" ht="15" customHeight="1">
      <c r="B828" s="13"/>
      <c r="C828" s="22" t="s">
        <v>184</v>
      </c>
      <c r="D828" s="90" t="s">
        <v>1800</v>
      </c>
      <c r="E828" s="122" t="s">
        <v>1801</v>
      </c>
      <c r="F828" s="91" t="s">
        <v>8</v>
      </c>
      <c r="G828" s="91">
        <v>35365</v>
      </c>
      <c r="H828" s="90" t="s">
        <v>187</v>
      </c>
      <c r="I828" s="91" t="s">
        <v>21</v>
      </c>
      <c r="J828" s="91">
        <v>44181</v>
      </c>
      <c r="K828" s="121">
        <v>24</v>
      </c>
      <c r="L828" s="91">
        <v>44244</v>
      </c>
      <c r="M828" s="91">
        <v>44244</v>
      </c>
      <c r="N828" s="125">
        <v>63</v>
      </c>
      <c r="O828" s="92">
        <v>621.86</v>
      </c>
      <c r="Q828" s="14"/>
    </row>
    <row r="829" ht="15" customHeight="1">
      <c r="B829" s="13"/>
      <c r="C829" s="22" t="s">
        <v>674</v>
      </c>
      <c r="D829" s="90" t="s">
        <v>1802</v>
      </c>
      <c r="E829" s="122" t="s">
        <v>1803</v>
      </c>
      <c r="F829" s="91" t="s">
        <v>8</v>
      </c>
      <c r="G829" s="91">
        <v>35332</v>
      </c>
      <c r="H829" s="90" t="s">
        <v>187</v>
      </c>
      <c r="I829" s="91" t="s">
        <v>21</v>
      </c>
      <c r="J829" s="91">
        <v>44098</v>
      </c>
      <c r="K829" s="121">
        <v>24</v>
      </c>
      <c r="L829" s="91">
        <v>44130</v>
      </c>
      <c r="M829" s="91">
        <v>44130</v>
      </c>
      <c r="N829" s="125">
        <v>32</v>
      </c>
      <c r="O829" s="92">
        <v>393.12</v>
      </c>
      <c r="Q829" s="14"/>
    </row>
    <row r="830" ht="15" customHeight="1">
      <c r="B830" s="13"/>
      <c r="C830" s="22" t="s">
        <v>184</v>
      </c>
      <c r="D830" s="90" t="s">
        <v>1804</v>
      </c>
      <c r="E830" s="122" t="s">
        <v>1805</v>
      </c>
      <c r="F830" s="91" t="s">
        <v>8</v>
      </c>
      <c r="G830" s="91">
        <v>33654</v>
      </c>
      <c r="H830" s="90" t="s">
        <v>187</v>
      </c>
      <c r="I830" s="91" t="s">
        <v>21</v>
      </c>
      <c r="J830" s="91">
        <v>44335</v>
      </c>
      <c r="K830" s="121">
        <v>29</v>
      </c>
      <c r="L830" s="91">
        <v>44408</v>
      </c>
      <c r="M830" s="91">
        <v>44408</v>
      </c>
      <c r="N830" s="125">
        <v>73</v>
      </c>
      <c r="O830" s="92">
        <v>1007.5999999999999</v>
      </c>
      <c r="Q830" s="14"/>
    </row>
    <row r="831" ht="15" customHeight="1">
      <c r="B831" s="13"/>
      <c r="C831" s="22" t="s">
        <v>184</v>
      </c>
      <c r="D831" s="90" t="s">
        <v>1806</v>
      </c>
      <c r="E831" s="122" t="s">
        <v>1807</v>
      </c>
      <c r="F831" s="91" t="s">
        <v>8</v>
      </c>
      <c r="G831" s="91">
        <v>24386</v>
      </c>
      <c r="H831" s="90" t="s">
        <v>187</v>
      </c>
      <c r="I831" s="91" t="s">
        <v>21</v>
      </c>
      <c r="J831" s="91">
        <v>44082</v>
      </c>
      <c r="K831" s="121">
        <v>54</v>
      </c>
      <c r="L831" s="91">
        <v>44178</v>
      </c>
      <c r="M831" s="91">
        <v>44178</v>
      </c>
      <c r="N831" s="125">
        <v>96</v>
      </c>
      <c r="O831" s="92">
        <v>44.89</v>
      </c>
      <c r="Q831" s="14"/>
    </row>
    <row r="832" ht="15" customHeight="1">
      <c r="B832" s="13"/>
      <c r="C832" s="22" t="s">
        <v>200</v>
      </c>
      <c r="D832" s="90" t="s">
        <v>1808</v>
      </c>
      <c r="E832" s="122" t="s">
        <v>1809</v>
      </c>
      <c r="F832" s="91" t="s">
        <v>8</v>
      </c>
      <c r="G832" s="91">
        <v>27920</v>
      </c>
      <c r="H832" s="90" t="s">
        <v>197</v>
      </c>
      <c r="I832" s="91" t="s">
        <v>21</v>
      </c>
      <c r="J832" s="91">
        <v>43955</v>
      </c>
      <c r="K832" s="121">
        <v>44</v>
      </c>
      <c r="L832" s="91">
        <v>44326</v>
      </c>
      <c r="M832" s="91">
        <v>44326</v>
      </c>
      <c r="N832" s="125">
        <v>371</v>
      </c>
      <c r="O832" s="92">
        <v>13572.960000000001</v>
      </c>
      <c r="Q832" s="14"/>
    </row>
    <row r="833" ht="15" customHeight="1">
      <c r="B833" s="13"/>
      <c r="C833" s="22" t="s">
        <v>184</v>
      </c>
      <c r="D833" s="90" t="s">
        <v>1810</v>
      </c>
      <c r="E833" s="122" t="s">
        <v>1811</v>
      </c>
      <c r="F833" s="91" t="s">
        <v>8</v>
      </c>
      <c r="G833" s="91">
        <v>25500</v>
      </c>
      <c r="H833" s="90" t="s">
        <v>187</v>
      </c>
      <c r="I833" s="91" t="s">
        <v>21</v>
      </c>
      <c r="J833" s="91">
        <v>44348</v>
      </c>
      <c r="K833" s="121">
        <v>52</v>
      </c>
      <c r="L833" s="91">
        <v>44442</v>
      </c>
      <c r="M833" s="91">
        <v>44442</v>
      </c>
      <c r="N833" s="125">
        <v>94</v>
      </c>
      <c r="O833" s="92">
        <v>1015.3000000000001</v>
      </c>
      <c r="Q833" s="14"/>
    </row>
    <row r="834" ht="15" customHeight="1">
      <c r="B834" s="13"/>
      <c r="C834" s="22" t="s">
        <v>184</v>
      </c>
      <c r="D834" s="90" t="s">
        <v>1812</v>
      </c>
      <c r="E834" s="122" t="s">
        <v>1813</v>
      </c>
      <c r="F834" s="91" t="s">
        <v>8</v>
      </c>
      <c r="G834" s="91">
        <v>31915</v>
      </c>
      <c r="H834" s="90" t="s">
        <v>197</v>
      </c>
      <c r="I834" s="91" t="s">
        <v>21</v>
      </c>
      <c r="J834" s="91">
        <v>44218</v>
      </c>
      <c r="K834" s="121">
        <v>34</v>
      </c>
      <c r="L834" s="91">
        <v>44281</v>
      </c>
      <c r="M834" s="91">
        <v>44281</v>
      </c>
      <c r="N834" s="125">
        <v>63</v>
      </c>
      <c r="O834" s="92">
        <v>1032.24</v>
      </c>
      <c r="Q834" s="14"/>
    </row>
    <row r="835" ht="15" customHeight="1">
      <c r="B835" s="13"/>
      <c r="C835" s="22" t="s">
        <v>184</v>
      </c>
      <c r="D835" s="90" t="s">
        <v>1814</v>
      </c>
      <c r="E835" s="122" t="s">
        <v>1815</v>
      </c>
      <c r="F835" s="91" t="s">
        <v>8</v>
      </c>
      <c r="G835" s="91">
        <v>33561</v>
      </c>
      <c r="H835" s="90" t="s">
        <v>197</v>
      </c>
      <c r="I835" s="91" t="s">
        <v>21</v>
      </c>
      <c r="J835" s="91">
        <v>44298</v>
      </c>
      <c r="K835" s="121">
        <v>30</v>
      </c>
      <c r="L835" s="91">
        <v>44330</v>
      </c>
      <c r="M835" s="91">
        <v>44330</v>
      </c>
      <c r="N835" s="125">
        <v>32</v>
      </c>
      <c r="O835" s="92">
        <v>147.09</v>
      </c>
      <c r="Q835" s="14"/>
    </row>
    <row r="836" ht="15" customHeight="1">
      <c r="B836" s="13"/>
      <c r="C836" s="22" t="s">
        <v>135</v>
      </c>
      <c r="D836" s="90" t="s">
        <v>1816</v>
      </c>
      <c r="E836" s="122" t="s">
        <v>1817</v>
      </c>
      <c r="F836" s="91" t="s">
        <v>8</v>
      </c>
      <c r="G836" s="91">
        <v>33033</v>
      </c>
      <c r="H836" s="90" t="s">
        <v>187</v>
      </c>
      <c r="I836" s="91" t="s">
        <v>21</v>
      </c>
      <c r="J836" s="91">
        <v>44386</v>
      </c>
      <c r="K836" s="121">
        <v>31</v>
      </c>
      <c r="L836" s="91">
        <v>44499</v>
      </c>
      <c r="M836" s="91"/>
      <c r="N836" s="125">
        <v>0</v>
      </c>
      <c r="O836" s="92">
        <v>2440.2</v>
      </c>
      <c r="Q836" s="14"/>
    </row>
    <row r="837" ht="15" customHeight="1">
      <c r="B837" s="13"/>
      <c r="C837" s="22" t="s">
        <v>184</v>
      </c>
      <c r="D837" s="90" t="s">
        <v>1818</v>
      </c>
      <c r="E837" s="122" t="s">
        <v>1819</v>
      </c>
      <c r="F837" s="91" t="s">
        <v>8</v>
      </c>
      <c r="G837" s="91">
        <v>30522</v>
      </c>
      <c r="H837" s="90" t="s">
        <v>197</v>
      </c>
      <c r="I837" s="91" t="s">
        <v>21</v>
      </c>
      <c r="J837" s="91">
        <v>44371</v>
      </c>
      <c r="K837" s="121">
        <v>38</v>
      </c>
      <c r="L837" s="91">
        <v>44429</v>
      </c>
      <c r="M837" s="91">
        <v>44429</v>
      </c>
      <c r="N837" s="125">
        <v>58</v>
      </c>
      <c r="O837" s="92">
        <v>849.12</v>
      </c>
      <c r="Q837" s="14"/>
    </row>
    <row r="838" ht="15" customHeight="1">
      <c r="B838" s="13"/>
      <c r="C838" s="22" t="s">
        <v>184</v>
      </c>
      <c r="D838" s="90" t="s">
        <v>1820</v>
      </c>
      <c r="E838" s="122" t="s">
        <v>1821</v>
      </c>
      <c r="F838" s="91" t="s">
        <v>8</v>
      </c>
      <c r="G838" s="91">
        <v>29728</v>
      </c>
      <c r="H838" s="90" t="s">
        <v>187</v>
      </c>
      <c r="I838" s="91" t="s">
        <v>21</v>
      </c>
      <c r="J838" s="91">
        <v>44120</v>
      </c>
      <c r="K838" s="121">
        <v>39</v>
      </c>
      <c r="L838" s="91">
        <v>44164</v>
      </c>
      <c r="M838" s="91">
        <v>44164</v>
      </c>
      <c r="N838" s="125">
        <v>44</v>
      </c>
      <c r="O838" s="92">
        <v>228.15</v>
      </c>
      <c r="Q838" s="14"/>
    </row>
    <row r="839" ht="15" customHeight="1">
      <c r="B839" s="13"/>
      <c r="C839" s="22" t="s">
        <v>245</v>
      </c>
      <c r="D839" s="90" t="s">
        <v>1822</v>
      </c>
      <c r="E839" s="122" t="s">
        <v>1823</v>
      </c>
      <c r="F839" s="91" t="s">
        <v>8</v>
      </c>
      <c r="G839" s="91">
        <v>34321</v>
      </c>
      <c r="H839" s="90" t="s">
        <v>187</v>
      </c>
      <c r="I839" s="91" t="s">
        <v>21</v>
      </c>
      <c r="J839" s="91">
        <v>44169</v>
      </c>
      <c r="K839" s="121">
        <v>27</v>
      </c>
      <c r="L839" s="91">
        <v>44369</v>
      </c>
      <c r="M839" s="91">
        <v>44369</v>
      </c>
      <c r="N839" s="125">
        <v>200</v>
      </c>
      <c r="O839" s="92">
        <v>730.17000000000007</v>
      </c>
      <c r="Q839" s="14"/>
    </row>
    <row r="840" ht="15" customHeight="1">
      <c r="B840" s="13"/>
      <c r="C840" s="22" t="s">
        <v>184</v>
      </c>
      <c r="D840" s="90" t="s">
        <v>1824</v>
      </c>
      <c r="E840" s="122" t="s">
        <v>1825</v>
      </c>
      <c r="F840" s="91" t="s">
        <v>8</v>
      </c>
      <c r="G840" s="91">
        <v>28125</v>
      </c>
      <c r="H840" s="90" t="s">
        <v>187</v>
      </c>
      <c r="I840" s="91" t="s">
        <v>21</v>
      </c>
      <c r="J840" s="91">
        <v>44130</v>
      </c>
      <c r="K840" s="121">
        <v>44</v>
      </c>
      <c r="L840" s="91">
        <v>44161</v>
      </c>
      <c r="M840" s="91">
        <v>44161</v>
      </c>
      <c r="N840" s="125">
        <v>31</v>
      </c>
      <c r="O840" s="92">
        <v>12.48</v>
      </c>
      <c r="Q840" s="14"/>
    </row>
    <row r="841" ht="15" customHeight="1">
      <c r="B841" s="13"/>
      <c r="C841" s="22" t="s">
        <v>184</v>
      </c>
      <c r="D841" s="90" t="s">
        <v>1826</v>
      </c>
      <c r="E841" s="122" t="s">
        <v>1827</v>
      </c>
      <c r="F841" s="91" t="s">
        <v>8</v>
      </c>
      <c r="G841" s="91">
        <v>28495</v>
      </c>
      <c r="H841" s="90" t="s">
        <v>187</v>
      </c>
      <c r="I841" s="91" t="s">
        <v>21</v>
      </c>
      <c r="J841" s="91">
        <v>44400</v>
      </c>
      <c r="K841" s="121">
        <v>43</v>
      </c>
      <c r="L841" s="91">
        <v>44440</v>
      </c>
      <c r="M841" s="91">
        <v>44440</v>
      </c>
      <c r="N841" s="125">
        <v>40</v>
      </c>
      <c r="O841" s="92">
        <v>0</v>
      </c>
      <c r="Q841" s="14"/>
    </row>
    <row r="842" ht="15" customHeight="1">
      <c r="B842" s="13"/>
      <c r="C842" s="22" t="s">
        <v>184</v>
      </c>
      <c r="D842" s="90" t="s">
        <v>1828</v>
      </c>
      <c r="E842" s="122" t="s">
        <v>1829</v>
      </c>
      <c r="F842" s="91" t="s">
        <v>8</v>
      </c>
      <c r="G842" s="91">
        <v>29382</v>
      </c>
      <c r="H842" s="90" t="s">
        <v>187</v>
      </c>
      <c r="I842" s="91" t="s">
        <v>21</v>
      </c>
      <c r="J842" s="91">
        <v>44280</v>
      </c>
      <c r="K842" s="121">
        <v>41</v>
      </c>
      <c r="L842" s="91">
        <v>44311</v>
      </c>
      <c r="M842" s="91">
        <v>44311</v>
      </c>
      <c r="N842" s="125">
        <v>31</v>
      </c>
      <c r="O842" s="92">
        <v>29.26</v>
      </c>
      <c r="Q842" s="14"/>
    </row>
    <row r="843" ht="15" customHeight="1">
      <c r="B843" s="13"/>
      <c r="C843" s="22" t="s">
        <v>184</v>
      </c>
      <c r="D843" s="90" t="s">
        <v>1830</v>
      </c>
      <c r="E843" s="122" t="s">
        <v>1831</v>
      </c>
      <c r="F843" s="91" t="s">
        <v>10</v>
      </c>
      <c r="G843" s="91">
        <v>28804</v>
      </c>
      <c r="H843" s="90" t="s">
        <v>187</v>
      </c>
      <c r="I843" s="91" t="s">
        <v>21</v>
      </c>
      <c r="J843" s="91">
        <v>44250</v>
      </c>
      <c r="K843" s="121">
        <v>43</v>
      </c>
      <c r="L843" s="91">
        <v>44316</v>
      </c>
      <c r="M843" s="91">
        <v>44316</v>
      </c>
      <c r="N843" s="125">
        <v>66</v>
      </c>
      <c r="O843" s="92">
        <v>79.92</v>
      </c>
      <c r="Q843" s="14"/>
    </row>
    <row r="844" ht="15" customHeight="1">
      <c r="B844" s="13"/>
      <c r="C844" s="22" t="s">
        <v>184</v>
      </c>
      <c r="D844" s="90" t="s">
        <v>1832</v>
      </c>
      <c r="E844" s="122" t="s">
        <v>1833</v>
      </c>
      <c r="F844" s="91" t="s">
        <v>8</v>
      </c>
      <c r="G844" s="91">
        <v>32051</v>
      </c>
      <c r="H844" s="90" t="s">
        <v>187</v>
      </c>
      <c r="I844" s="91" t="s">
        <v>21</v>
      </c>
      <c r="J844" s="91">
        <v>43909</v>
      </c>
      <c r="K844" s="121">
        <v>33</v>
      </c>
      <c r="L844" s="91">
        <v>44214</v>
      </c>
      <c r="M844" s="91">
        <v>44214</v>
      </c>
      <c r="N844" s="125">
        <v>305</v>
      </c>
      <c r="O844" s="92">
        <v>3532.08</v>
      </c>
      <c r="Q844" s="14"/>
    </row>
    <row r="845" ht="15" customHeight="1">
      <c r="B845" s="13"/>
      <c r="C845" s="22" t="s">
        <v>184</v>
      </c>
      <c r="D845" s="90" t="s">
        <v>1834</v>
      </c>
      <c r="E845" s="122" t="s">
        <v>1835</v>
      </c>
      <c r="F845" s="91" t="s">
        <v>8</v>
      </c>
      <c r="G845" s="91">
        <v>34384</v>
      </c>
      <c r="H845" s="90" t="s">
        <v>187</v>
      </c>
      <c r="I845" s="91" t="s">
        <v>21</v>
      </c>
      <c r="J845" s="91">
        <v>44124</v>
      </c>
      <c r="K845" s="121">
        <v>26</v>
      </c>
      <c r="L845" s="91">
        <v>44169</v>
      </c>
      <c r="M845" s="91">
        <v>44169</v>
      </c>
      <c r="N845" s="125">
        <v>45</v>
      </c>
      <c r="O845" s="92">
        <v>154.56</v>
      </c>
      <c r="Q845" s="14"/>
    </row>
    <row r="846" ht="15" customHeight="1">
      <c r="B846" s="13"/>
      <c r="C846" s="22" t="s">
        <v>135</v>
      </c>
      <c r="D846" s="90" t="s">
        <v>1836</v>
      </c>
      <c r="E846" s="122" t="s">
        <v>1837</v>
      </c>
      <c r="F846" s="91" t="s">
        <v>8</v>
      </c>
      <c r="G846" s="91">
        <v>35501</v>
      </c>
      <c r="H846" s="90" t="s">
        <v>187</v>
      </c>
      <c r="I846" s="91" t="s">
        <v>21</v>
      </c>
      <c r="J846" s="91">
        <v>44348</v>
      </c>
      <c r="K846" s="121">
        <v>24</v>
      </c>
      <c r="L846" s="91">
        <v>44382</v>
      </c>
      <c r="M846" s="91">
        <v>44382</v>
      </c>
      <c r="N846" s="125">
        <v>34</v>
      </c>
      <c r="O846" s="92">
        <v>161.25</v>
      </c>
      <c r="Q846" s="14"/>
    </row>
    <row r="847" ht="15" customHeight="1">
      <c r="B847" s="13"/>
      <c r="C847" s="22" t="s">
        <v>245</v>
      </c>
      <c r="D847" s="90" t="s">
        <v>1838</v>
      </c>
      <c r="E847" s="122" t="s">
        <v>1839</v>
      </c>
      <c r="F847" s="91" t="s">
        <v>10</v>
      </c>
      <c r="G847" s="91">
        <v>29079</v>
      </c>
      <c r="H847" s="90" t="s">
        <v>197</v>
      </c>
      <c r="I847" s="91" t="s">
        <v>21</v>
      </c>
      <c r="J847" s="91">
        <v>44281</v>
      </c>
      <c r="K847" s="121">
        <v>42</v>
      </c>
      <c r="L847" s="91">
        <v>44323</v>
      </c>
      <c r="M847" s="91">
        <v>44323</v>
      </c>
      <c r="N847" s="125">
        <v>42</v>
      </c>
      <c r="O847" s="92">
        <v>2556.58</v>
      </c>
      <c r="Q847" s="14"/>
    </row>
    <row r="848" ht="15" customHeight="1">
      <c r="B848" s="13"/>
      <c r="C848" s="22" t="s">
        <v>184</v>
      </c>
      <c r="D848" s="90" t="s">
        <v>1840</v>
      </c>
      <c r="E848" s="122" t="s">
        <v>1841</v>
      </c>
      <c r="F848" s="91" t="s">
        <v>8</v>
      </c>
      <c r="G848" s="91">
        <v>25543</v>
      </c>
      <c r="H848" s="90" t="s">
        <v>187</v>
      </c>
      <c r="I848" s="91" t="s">
        <v>21</v>
      </c>
      <c r="J848" s="91">
        <v>44198</v>
      </c>
      <c r="K848" s="121">
        <v>52</v>
      </c>
      <c r="L848" s="91">
        <v>44269</v>
      </c>
      <c r="M848" s="91">
        <v>44269</v>
      </c>
      <c r="N848" s="125">
        <v>71</v>
      </c>
      <c r="O848" s="92">
        <v>1066.8</v>
      </c>
      <c r="Q848" s="14"/>
    </row>
    <row r="849" ht="15" customHeight="1">
      <c r="B849" s="13"/>
      <c r="C849" s="22" t="s">
        <v>184</v>
      </c>
      <c r="D849" s="90" t="s">
        <v>1842</v>
      </c>
      <c r="E849" s="122" t="s">
        <v>1843</v>
      </c>
      <c r="F849" s="91" t="s">
        <v>8</v>
      </c>
      <c r="G849" s="91">
        <v>33669</v>
      </c>
      <c r="H849" s="90" t="s">
        <v>187</v>
      </c>
      <c r="I849" s="91" t="s">
        <v>21</v>
      </c>
      <c r="J849" s="91">
        <v>44294</v>
      </c>
      <c r="K849" s="121">
        <v>29</v>
      </c>
      <c r="L849" s="91">
        <v>44399</v>
      </c>
      <c r="M849" s="91">
        <v>44399</v>
      </c>
      <c r="N849" s="125">
        <v>105</v>
      </c>
      <c r="O849" s="92">
        <v>1828.56</v>
      </c>
      <c r="Q849" s="14"/>
    </row>
    <row r="850" ht="15" customHeight="1">
      <c r="B850" s="13"/>
      <c r="C850" s="22" t="s">
        <v>184</v>
      </c>
      <c r="D850" s="90" t="s">
        <v>1844</v>
      </c>
      <c r="E850" s="122" t="s">
        <v>1845</v>
      </c>
      <c r="F850" s="91" t="s">
        <v>8</v>
      </c>
      <c r="G850" s="91">
        <v>30459</v>
      </c>
      <c r="H850" s="90" t="s">
        <v>187</v>
      </c>
      <c r="I850" s="91" t="s">
        <v>21</v>
      </c>
      <c r="J850" s="91">
        <v>44438</v>
      </c>
      <c r="K850" s="121">
        <v>38</v>
      </c>
      <c r="L850" s="91">
        <v>44524</v>
      </c>
      <c r="M850" s="91"/>
      <c r="N850" s="125">
        <v>0</v>
      </c>
      <c r="O850" s="92">
        <v>1512.21</v>
      </c>
      <c r="Q850" s="14"/>
    </row>
    <row r="851" ht="15" customHeight="1">
      <c r="B851" s="13"/>
      <c r="C851" s="22" t="s">
        <v>184</v>
      </c>
      <c r="D851" s="90" t="s">
        <v>1846</v>
      </c>
      <c r="E851" s="122" t="s">
        <v>1847</v>
      </c>
      <c r="F851" s="91" t="s">
        <v>8</v>
      </c>
      <c r="G851" s="91">
        <v>23691</v>
      </c>
      <c r="H851" s="90" t="s">
        <v>187</v>
      </c>
      <c r="I851" s="91" t="s">
        <v>21</v>
      </c>
      <c r="J851" s="91">
        <v>44126</v>
      </c>
      <c r="K851" s="121">
        <v>56</v>
      </c>
      <c r="L851" s="91">
        <v>44169</v>
      </c>
      <c r="M851" s="91">
        <v>44169</v>
      </c>
      <c r="N851" s="125">
        <v>43</v>
      </c>
      <c r="O851" s="92">
        <v>294</v>
      </c>
      <c r="Q851" s="14"/>
    </row>
    <row r="852" ht="15" customHeight="1">
      <c r="B852" s="13"/>
      <c r="C852" s="22" t="s">
        <v>184</v>
      </c>
      <c r="D852" s="90" t="s">
        <v>1848</v>
      </c>
      <c r="E852" s="122" t="s">
        <v>1849</v>
      </c>
      <c r="F852" s="91" t="s">
        <v>8</v>
      </c>
      <c r="G852" s="91">
        <v>26379</v>
      </c>
      <c r="H852" s="90" t="s">
        <v>187</v>
      </c>
      <c r="I852" s="91" t="s">
        <v>21</v>
      </c>
      <c r="J852" s="91">
        <v>44012</v>
      </c>
      <c r="K852" s="121">
        <v>48</v>
      </c>
      <c r="L852" s="91">
        <v>44227</v>
      </c>
      <c r="M852" s="91">
        <v>44227</v>
      </c>
      <c r="N852" s="125">
        <v>215</v>
      </c>
      <c r="O852" s="92">
        <v>8050.08</v>
      </c>
      <c r="Q852" s="14"/>
    </row>
    <row r="853" ht="15" customHeight="1">
      <c r="B853" s="13"/>
      <c r="C853" s="22" t="s">
        <v>184</v>
      </c>
      <c r="D853" s="90" t="s">
        <v>1850</v>
      </c>
      <c r="E853" s="122" t="s">
        <v>1851</v>
      </c>
      <c r="F853" s="91" t="s">
        <v>8</v>
      </c>
      <c r="G853" s="91">
        <v>25839</v>
      </c>
      <c r="H853" s="90" t="s">
        <v>187</v>
      </c>
      <c r="I853" s="91" t="s">
        <v>21</v>
      </c>
      <c r="J853" s="91">
        <v>44221</v>
      </c>
      <c r="K853" s="121">
        <v>51</v>
      </c>
      <c r="L853" s="91">
        <v>44385</v>
      </c>
      <c r="M853" s="91">
        <v>44385</v>
      </c>
      <c r="N853" s="125">
        <v>164</v>
      </c>
      <c r="O853" s="92">
        <v>1105.65</v>
      </c>
      <c r="Q853" s="14"/>
    </row>
    <row r="854" ht="15" customHeight="1">
      <c r="B854" s="13"/>
      <c r="C854" s="22" t="s">
        <v>184</v>
      </c>
      <c r="D854" s="90" t="s">
        <v>1852</v>
      </c>
      <c r="E854" s="122" t="s">
        <v>1853</v>
      </c>
      <c r="F854" s="91" t="s">
        <v>8</v>
      </c>
      <c r="G854" s="91">
        <v>33363</v>
      </c>
      <c r="H854" s="90" t="s">
        <v>187</v>
      </c>
      <c r="I854" s="91" t="s">
        <v>21</v>
      </c>
      <c r="J854" s="91">
        <v>44114</v>
      </c>
      <c r="K854" s="121">
        <v>29</v>
      </c>
      <c r="L854" s="91">
        <v>44155</v>
      </c>
      <c r="M854" s="91">
        <v>44155</v>
      </c>
      <c r="N854" s="125">
        <v>41</v>
      </c>
      <c r="O854" s="92">
        <v>288.48</v>
      </c>
      <c r="Q854" s="14"/>
    </row>
    <row r="855" ht="15" customHeight="1">
      <c r="B855" s="13"/>
      <c r="C855" s="22" t="s">
        <v>184</v>
      </c>
      <c r="D855" s="90" t="s">
        <v>1854</v>
      </c>
      <c r="E855" s="122" t="s">
        <v>1855</v>
      </c>
      <c r="F855" s="91" t="s">
        <v>8</v>
      </c>
      <c r="G855" s="91">
        <v>23711</v>
      </c>
      <c r="H855" s="90" t="s">
        <v>187</v>
      </c>
      <c r="I855" s="91" t="s">
        <v>21</v>
      </c>
      <c r="J855" s="91">
        <v>44160</v>
      </c>
      <c r="K855" s="121">
        <v>56</v>
      </c>
      <c r="L855" s="91">
        <v>44267</v>
      </c>
      <c r="M855" s="91">
        <v>44267</v>
      </c>
      <c r="N855" s="125">
        <v>107</v>
      </c>
      <c r="O855" s="92">
        <v>312</v>
      </c>
      <c r="Q855" s="14"/>
    </row>
    <row r="856" ht="15" customHeight="1">
      <c r="B856" s="13"/>
      <c r="C856" s="22" t="s">
        <v>184</v>
      </c>
      <c r="D856" s="90" t="s">
        <v>1856</v>
      </c>
      <c r="E856" s="122" t="s">
        <v>1857</v>
      </c>
      <c r="F856" s="91" t="s">
        <v>8</v>
      </c>
      <c r="G856" s="91">
        <v>29517</v>
      </c>
      <c r="H856" s="90" t="s">
        <v>187</v>
      </c>
      <c r="I856" s="91" t="s">
        <v>21</v>
      </c>
      <c r="J856" s="91">
        <v>43908</v>
      </c>
      <c r="K856" s="121">
        <v>40</v>
      </c>
      <c r="L856" s="91">
        <v>43952</v>
      </c>
      <c r="M856" s="91">
        <v>43952</v>
      </c>
      <c r="N856" s="125">
        <v>44</v>
      </c>
      <c r="O856" s="92">
        <v>203.1</v>
      </c>
      <c r="Q856" s="14"/>
    </row>
    <row r="857" ht="15" customHeight="1">
      <c r="B857" s="13"/>
      <c r="C857" s="22" t="s">
        <v>184</v>
      </c>
      <c r="D857" s="90" t="s">
        <v>1858</v>
      </c>
      <c r="E857" s="122" t="s">
        <v>1859</v>
      </c>
      <c r="F857" s="91" t="s">
        <v>8</v>
      </c>
      <c r="G857" s="91">
        <v>32133</v>
      </c>
      <c r="H857" s="90" t="s">
        <v>187</v>
      </c>
      <c r="I857" s="91" t="s">
        <v>21</v>
      </c>
      <c r="J857" s="91">
        <v>43895</v>
      </c>
      <c r="K857" s="121">
        <v>33</v>
      </c>
      <c r="L857" s="91">
        <v>44141</v>
      </c>
      <c r="M857" s="91">
        <v>44141</v>
      </c>
      <c r="N857" s="125">
        <v>246</v>
      </c>
      <c r="O857" s="92">
        <v>5863.34</v>
      </c>
      <c r="Q857" s="14"/>
    </row>
    <row r="858" ht="15" customHeight="1">
      <c r="B858" s="13"/>
      <c r="C858" s="22" t="s">
        <v>184</v>
      </c>
      <c r="D858" s="90" t="s">
        <v>1860</v>
      </c>
      <c r="E858" s="122" t="s">
        <v>1861</v>
      </c>
      <c r="F858" s="91" t="s">
        <v>8</v>
      </c>
      <c r="G858" s="91">
        <v>31167</v>
      </c>
      <c r="H858" s="90" t="s">
        <v>187</v>
      </c>
      <c r="I858" s="91" t="s">
        <v>21</v>
      </c>
      <c r="J858" s="91">
        <v>44378</v>
      </c>
      <c r="K858" s="121">
        <v>36</v>
      </c>
      <c r="L858" s="91">
        <v>44409</v>
      </c>
      <c r="M858" s="91">
        <v>44409</v>
      </c>
      <c r="N858" s="125">
        <v>31</v>
      </c>
      <c r="O858" s="92">
        <v>74.82</v>
      </c>
      <c r="Q858" s="14"/>
    </row>
    <row r="859" ht="15" customHeight="1">
      <c r="B859" s="13"/>
      <c r="C859" s="22" t="s">
        <v>184</v>
      </c>
      <c r="D859" s="90" t="s">
        <v>1862</v>
      </c>
      <c r="E859" s="122" t="s">
        <v>1863</v>
      </c>
      <c r="F859" s="91" t="s">
        <v>8</v>
      </c>
      <c r="G859" s="91">
        <v>26435</v>
      </c>
      <c r="H859" s="90" t="s">
        <v>187</v>
      </c>
      <c r="I859" s="91" t="s">
        <v>21</v>
      </c>
      <c r="J859" s="91">
        <v>44363</v>
      </c>
      <c r="K859" s="121">
        <v>49</v>
      </c>
      <c r="L859" s="91">
        <v>44413</v>
      </c>
      <c r="M859" s="91">
        <v>44413</v>
      </c>
      <c r="N859" s="125">
        <v>50</v>
      </c>
      <c r="O859" s="92">
        <v>111.93</v>
      </c>
      <c r="Q859" s="14"/>
    </row>
    <row r="860" ht="15" customHeight="1">
      <c r="B860" s="13"/>
      <c r="C860" s="22" t="s">
        <v>184</v>
      </c>
      <c r="D860" s="90" t="s">
        <v>1864</v>
      </c>
      <c r="E860" s="122" t="s">
        <v>1865</v>
      </c>
      <c r="F860" s="91" t="s">
        <v>8</v>
      </c>
      <c r="G860" s="91">
        <v>27875</v>
      </c>
      <c r="H860" s="90" t="s">
        <v>187</v>
      </c>
      <c r="I860" s="91" t="s">
        <v>21</v>
      </c>
      <c r="J860" s="91">
        <v>44503</v>
      </c>
      <c r="K860" s="121">
        <v>45</v>
      </c>
      <c r="L860" s="91">
        <v>44538</v>
      </c>
      <c r="M860" s="91"/>
      <c r="N860" s="125">
        <v>0</v>
      </c>
      <c r="O860" s="92">
        <v>127.02</v>
      </c>
      <c r="Q860" s="14"/>
    </row>
    <row r="861" ht="15" customHeight="1">
      <c r="B861" s="13"/>
      <c r="C861" s="22" t="s">
        <v>245</v>
      </c>
      <c r="D861" s="90" t="s">
        <v>1866</v>
      </c>
      <c r="E861" s="122" t="s">
        <v>1867</v>
      </c>
      <c r="F861" s="91" t="s">
        <v>8</v>
      </c>
      <c r="G861" s="91">
        <v>30597</v>
      </c>
      <c r="H861" s="90" t="s">
        <v>187</v>
      </c>
      <c r="I861" s="91" t="s">
        <v>21</v>
      </c>
      <c r="J861" s="91">
        <v>44064</v>
      </c>
      <c r="K861" s="121">
        <v>37</v>
      </c>
      <c r="L861" s="91">
        <v>44196</v>
      </c>
      <c r="M861" s="91">
        <v>44196</v>
      </c>
      <c r="N861" s="125">
        <v>132</v>
      </c>
      <c r="O861" s="92">
        <v>1785.3</v>
      </c>
      <c r="Q861" s="14"/>
    </row>
    <row r="862" ht="15" customHeight="1">
      <c r="B862" s="13"/>
      <c r="C862" s="22" t="s">
        <v>184</v>
      </c>
      <c r="D862" s="90" t="s">
        <v>1868</v>
      </c>
      <c r="E862" s="122" t="s">
        <v>1869</v>
      </c>
      <c r="F862" s="91" t="s">
        <v>8</v>
      </c>
      <c r="G862" s="91">
        <v>26117</v>
      </c>
      <c r="H862" s="90" t="s">
        <v>187</v>
      </c>
      <c r="I862" s="91" t="s">
        <v>21</v>
      </c>
      <c r="J862" s="91">
        <v>44333</v>
      </c>
      <c r="K862" s="121">
        <v>50</v>
      </c>
      <c r="L862" s="91">
        <v>44539</v>
      </c>
      <c r="M862" s="91"/>
      <c r="N862" s="125">
        <v>0</v>
      </c>
      <c r="O862" s="92">
        <v>1727.5199999999993</v>
      </c>
      <c r="Q862" s="14"/>
    </row>
    <row r="863" ht="15" customHeight="1">
      <c r="B863" s="13"/>
      <c r="C863" s="22" t="s">
        <v>184</v>
      </c>
      <c r="D863" s="90" t="s">
        <v>1870</v>
      </c>
      <c r="E863" s="122" t="s">
        <v>1871</v>
      </c>
      <c r="F863" s="91" t="s">
        <v>8</v>
      </c>
      <c r="G863" s="91">
        <v>35240</v>
      </c>
      <c r="H863" s="90" t="s">
        <v>187</v>
      </c>
      <c r="I863" s="91" t="s">
        <v>21</v>
      </c>
      <c r="J863" s="91">
        <v>44437</v>
      </c>
      <c r="K863" s="121">
        <v>25</v>
      </c>
      <c r="L863" s="91">
        <v>44531</v>
      </c>
      <c r="M863" s="91"/>
      <c r="N863" s="125">
        <v>0</v>
      </c>
      <c r="O863" s="92">
        <v>1952.6</v>
      </c>
      <c r="Q863" s="14"/>
    </row>
    <row r="864" ht="15" customHeight="1">
      <c r="B864" s="13"/>
      <c r="C864" s="22" t="s">
        <v>184</v>
      </c>
      <c r="D864" s="90" t="s">
        <v>1872</v>
      </c>
      <c r="E864" s="122" t="s">
        <v>1873</v>
      </c>
      <c r="F864" s="91" t="s">
        <v>8</v>
      </c>
      <c r="G864" s="91">
        <v>32353</v>
      </c>
      <c r="H864" s="90" t="s">
        <v>187</v>
      </c>
      <c r="I864" s="91" t="s">
        <v>21</v>
      </c>
      <c r="J864" s="91">
        <v>44134</v>
      </c>
      <c r="K864" s="121">
        <v>32</v>
      </c>
      <c r="L864" s="91">
        <v>44235</v>
      </c>
      <c r="M864" s="91">
        <v>44235</v>
      </c>
      <c r="N864" s="125">
        <v>101</v>
      </c>
      <c r="O864" s="92">
        <v>1239.12</v>
      </c>
      <c r="Q864" s="14"/>
    </row>
    <row r="865" ht="15" customHeight="1">
      <c r="B865" s="13"/>
      <c r="C865" s="22" t="s">
        <v>674</v>
      </c>
      <c r="D865" s="90" t="s">
        <v>1874</v>
      </c>
      <c r="E865" s="122" t="s">
        <v>1875</v>
      </c>
      <c r="F865" s="91" t="s">
        <v>10</v>
      </c>
      <c r="G865" s="91">
        <v>30532</v>
      </c>
      <c r="H865" s="90" t="s">
        <v>187</v>
      </c>
      <c r="I865" s="91" t="s">
        <v>21</v>
      </c>
      <c r="J865" s="91">
        <v>43907</v>
      </c>
      <c r="K865" s="121">
        <v>37</v>
      </c>
      <c r="L865" s="91">
        <v>43951</v>
      </c>
      <c r="M865" s="91">
        <v>43951</v>
      </c>
      <c r="N865" s="125">
        <v>44</v>
      </c>
      <c r="O865" s="92">
        <v>711.3</v>
      </c>
      <c r="Q865" s="14"/>
    </row>
    <row r="866" ht="15" customHeight="1">
      <c r="B866" s="13"/>
      <c r="C866" s="22" t="s">
        <v>184</v>
      </c>
      <c r="D866" s="90" t="s">
        <v>1876</v>
      </c>
      <c r="E866" s="122" t="s">
        <v>1877</v>
      </c>
      <c r="F866" s="91" t="s">
        <v>8</v>
      </c>
      <c r="G866" s="91">
        <v>32321</v>
      </c>
      <c r="H866" s="90" t="s">
        <v>187</v>
      </c>
      <c r="I866" s="91" t="s">
        <v>21</v>
      </c>
      <c r="J866" s="91">
        <v>44097</v>
      </c>
      <c r="K866" s="121">
        <v>32</v>
      </c>
      <c r="L866" s="91">
        <v>44522</v>
      </c>
      <c r="M866" s="91"/>
      <c r="N866" s="125">
        <v>0</v>
      </c>
      <c r="O866" s="92">
        <v>5833.08</v>
      </c>
      <c r="Q866" s="14"/>
    </row>
    <row r="867" ht="15" customHeight="1">
      <c r="B867" s="13"/>
      <c r="C867" s="22" t="s">
        <v>184</v>
      </c>
      <c r="D867" s="90" t="s">
        <v>1878</v>
      </c>
      <c r="E867" s="122" t="s">
        <v>1879</v>
      </c>
      <c r="F867" s="91" t="s">
        <v>8</v>
      </c>
      <c r="G867" s="91">
        <v>27518</v>
      </c>
      <c r="H867" s="90" t="s">
        <v>187</v>
      </c>
      <c r="I867" s="91" t="s">
        <v>21</v>
      </c>
      <c r="J867" s="91">
        <v>44462</v>
      </c>
      <c r="K867" s="121">
        <v>46</v>
      </c>
      <c r="L867" s="91">
        <v>44498</v>
      </c>
      <c r="M867" s="91">
        <v>44498</v>
      </c>
      <c r="N867" s="125">
        <v>36</v>
      </c>
      <c r="O867" s="92">
        <v>119.35</v>
      </c>
      <c r="Q867" s="14"/>
    </row>
    <row r="868" ht="15" customHeight="1">
      <c r="B868" s="13"/>
      <c r="C868" s="22" t="s">
        <v>184</v>
      </c>
      <c r="D868" s="90" t="s">
        <v>1880</v>
      </c>
      <c r="E868" s="122" t="s">
        <v>1881</v>
      </c>
      <c r="F868" s="91" t="s">
        <v>8</v>
      </c>
      <c r="G868" s="91">
        <v>34001</v>
      </c>
      <c r="H868" s="90" t="s">
        <v>187</v>
      </c>
      <c r="I868" s="91" t="s">
        <v>21</v>
      </c>
      <c r="J868" s="91">
        <v>44160</v>
      </c>
      <c r="K868" s="121">
        <v>27</v>
      </c>
      <c r="L868" s="91">
        <v>44270</v>
      </c>
      <c r="M868" s="91">
        <v>44270</v>
      </c>
      <c r="N868" s="125">
        <v>110</v>
      </c>
      <c r="O868" s="92">
        <v>1672.6499999999999</v>
      </c>
      <c r="Q868" s="14"/>
    </row>
    <row r="869" ht="15" customHeight="1">
      <c r="B869" s="13"/>
      <c r="C869" s="22" t="s">
        <v>184</v>
      </c>
      <c r="D869" s="90" t="s">
        <v>1882</v>
      </c>
      <c r="E869" s="122" t="s">
        <v>1883</v>
      </c>
      <c r="F869" s="91" t="s">
        <v>8</v>
      </c>
      <c r="G869" s="91">
        <v>31170</v>
      </c>
      <c r="H869" s="90" t="s">
        <v>187</v>
      </c>
      <c r="I869" s="91" t="s">
        <v>21</v>
      </c>
      <c r="J869" s="91">
        <v>44337</v>
      </c>
      <c r="K869" s="121">
        <v>36</v>
      </c>
      <c r="L869" s="91">
        <v>44452</v>
      </c>
      <c r="M869" s="91">
        <v>44452</v>
      </c>
      <c r="N869" s="125">
        <v>115</v>
      </c>
      <c r="O869" s="92">
        <v>945.14</v>
      </c>
      <c r="Q869" s="14"/>
    </row>
    <row r="870" ht="15" customHeight="1">
      <c r="B870" s="13"/>
      <c r="C870" s="22" t="s">
        <v>184</v>
      </c>
      <c r="D870" s="90" t="s">
        <v>1884</v>
      </c>
      <c r="E870" s="122" t="s">
        <v>1885</v>
      </c>
      <c r="F870" s="91" t="s">
        <v>8</v>
      </c>
      <c r="G870" s="91">
        <v>31985</v>
      </c>
      <c r="H870" s="90" t="s">
        <v>197</v>
      </c>
      <c r="I870" s="91" t="s">
        <v>21</v>
      </c>
      <c r="J870" s="91">
        <v>44452</v>
      </c>
      <c r="K870" s="121">
        <v>34</v>
      </c>
      <c r="L870" s="91">
        <v>44487</v>
      </c>
      <c r="M870" s="91">
        <v>44487</v>
      </c>
      <c r="N870" s="125">
        <v>35</v>
      </c>
      <c r="O870" s="92">
        <v>176.7</v>
      </c>
      <c r="Q870" s="14"/>
    </row>
    <row r="871" ht="15" customHeight="1">
      <c r="B871" s="13"/>
      <c r="C871" s="22" t="s">
        <v>184</v>
      </c>
      <c r="D871" s="90" t="s">
        <v>1886</v>
      </c>
      <c r="E871" s="122" t="s">
        <v>1887</v>
      </c>
      <c r="F871" s="91" t="s">
        <v>8</v>
      </c>
      <c r="G871" s="91">
        <v>33147</v>
      </c>
      <c r="H871" s="90" t="s">
        <v>187</v>
      </c>
      <c r="I871" s="91" t="s">
        <v>21</v>
      </c>
      <c r="J871" s="91">
        <v>43859</v>
      </c>
      <c r="K871" s="121">
        <v>30</v>
      </c>
      <c r="L871" s="91">
        <v>44218</v>
      </c>
      <c r="M871" s="91">
        <v>44218</v>
      </c>
      <c r="N871" s="125">
        <v>359</v>
      </c>
      <c r="O871" s="92">
        <v>1144</v>
      </c>
      <c r="Q871" s="14"/>
    </row>
    <row r="872" ht="15" customHeight="1">
      <c r="B872" s="13"/>
      <c r="C872" s="22" t="s">
        <v>184</v>
      </c>
      <c r="D872" s="90" t="s">
        <v>1888</v>
      </c>
      <c r="E872" s="122" t="s">
        <v>1889</v>
      </c>
      <c r="F872" s="91" t="s">
        <v>8</v>
      </c>
      <c r="G872" s="91">
        <v>31570</v>
      </c>
      <c r="H872" s="90" t="s">
        <v>187</v>
      </c>
      <c r="I872" s="91" t="s">
        <v>21</v>
      </c>
      <c r="J872" s="91">
        <v>44410</v>
      </c>
      <c r="K872" s="121">
        <v>35</v>
      </c>
      <c r="L872" s="91">
        <v>44452</v>
      </c>
      <c r="M872" s="91">
        <v>44452</v>
      </c>
      <c r="N872" s="125">
        <v>42</v>
      </c>
      <c r="O872" s="92">
        <v>86.84</v>
      </c>
      <c r="Q872" s="14"/>
    </row>
    <row r="873" ht="15" customHeight="1">
      <c r="B873" s="13"/>
      <c r="C873" s="22" t="s">
        <v>184</v>
      </c>
      <c r="D873" s="90" t="s">
        <v>1890</v>
      </c>
      <c r="E873" s="122" t="s">
        <v>1891</v>
      </c>
      <c r="F873" s="91" t="s">
        <v>10</v>
      </c>
      <c r="G873" s="91">
        <v>21563</v>
      </c>
      <c r="H873" s="90" t="s">
        <v>187</v>
      </c>
      <c r="I873" s="91" t="s">
        <v>21</v>
      </c>
      <c r="J873" s="91">
        <v>44168</v>
      </c>
      <c r="K873" s="121">
        <v>61</v>
      </c>
      <c r="L873" s="91">
        <v>44439</v>
      </c>
      <c r="M873" s="91">
        <v>44439</v>
      </c>
      <c r="N873" s="125">
        <v>271</v>
      </c>
      <c r="O873" s="92">
        <v>0</v>
      </c>
      <c r="Q873" s="14"/>
    </row>
    <row r="874" ht="15" customHeight="1">
      <c r="B874" s="13"/>
      <c r="C874" s="22" t="s">
        <v>184</v>
      </c>
      <c r="D874" s="90" t="s">
        <v>1892</v>
      </c>
      <c r="E874" s="122" t="s">
        <v>1893</v>
      </c>
      <c r="F874" s="91" t="s">
        <v>8</v>
      </c>
      <c r="G874" s="91">
        <v>30304</v>
      </c>
      <c r="H874" s="90" t="s">
        <v>187</v>
      </c>
      <c r="I874" s="91" t="s">
        <v>21</v>
      </c>
      <c r="J874" s="91">
        <v>44120</v>
      </c>
      <c r="K874" s="121">
        <v>38</v>
      </c>
      <c r="L874" s="91">
        <v>44152</v>
      </c>
      <c r="M874" s="91">
        <v>44152</v>
      </c>
      <c r="N874" s="125">
        <v>32</v>
      </c>
      <c r="O874" s="92">
        <v>48.93</v>
      </c>
      <c r="Q874" s="14"/>
    </row>
    <row r="875" ht="15" customHeight="1">
      <c r="B875" s="13"/>
      <c r="C875" s="22" t="s">
        <v>184</v>
      </c>
      <c r="D875" s="90" t="s">
        <v>1894</v>
      </c>
      <c r="E875" s="122" t="s">
        <v>1895</v>
      </c>
      <c r="F875" s="91" t="s">
        <v>8</v>
      </c>
      <c r="G875" s="91">
        <v>33143</v>
      </c>
      <c r="H875" s="90" t="s">
        <v>187</v>
      </c>
      <c r="I875" s="91" t="s">
        <v>21</v>
      </c>
      <c r="J875" s="91">
        <v>44083</v>
      </c>
      <c r="K875" s="121">
        <v>30</v>
      </c>
      <c r="L875" s="91">
        <v>44240</v>
      </c>
      <c r="M875" s="91">
        <v>44240</v>
      </c>
      <c r="N875" s="125">
        <v>157</v>
      </c>
      <c r="O875" s="92">
        <v>1499.8999999999999</v>
      </c>
      <c r="Q875" s="14"/>
    </row>
    <row r="876" ht="15" customHeight="1">
      <c r="B876" s="13"/>
      <c r="C876" s="22" t="s">
        <v>184</v>
      </c>
      <c r="D876" s="90" t="s">
        <v>1896</v>
      </c>
      <c r="E876" s="122" t="s">
        <v>1897</v>
      </c>
      <c r="F876" s="91" t="s">
        <v>8</v>
      </c>
      <c r="G876" s="91">
        <v>32968</v>
      </c>
      <c r="H876" s="90" t="s">
        <v>187</v>
      </c>
      <c r="I876" s="91" t="s">
        <v>21</v>
      </c>
      <c r="J876" s="91">
        <v>44096</v>
      </c>
      <c r="K876" s="121">
        <v>30</v>
      </c>
      <c r="L876" s="91">
        <v>44156</v>
      </c>
      <c r="M876" s="91">
        <v>44156</v>
      </c>
      <c r="N876" s="125">
        <v>60</v>
      </c>
      <c r="O876" s="92">
        <v>35.96</v>
      </c>
      <c r="Q876" s="14"/>
    </row>
    <row r="877" ht="15" customHeight="1">
      <c r="B877" s="13"/>
      <c r="C877" s="22" t="s">
        <v>184</v>
      </c>
      <c r="D877" s="90" t="s">
        <v>1898</v>
      </c>
      <c r="E877" s="122" t="s">
        <v>1899</v>
      </c>
      <c r="F877" s="91" t="s">
        <v>10</v>
      </c>
      <c r="G877" s="91">
        <v>33754</v>
      </c>
      <c r="H877" s="90" t="s">
        <v>187</v>
      </c>
      <c r="I877" s="91" t="s">
        <v>21</v>
      </c>
      <c r="J877" s="91">
        <v>44333</v>
      </c>
      <c r="K877" s="121">
        <v>29</v>
      </c>
      <c r="L877" s="91">
        <v>44410</v>
      </c>
      <c r="M877" s="91">
        <v>44410</v>
      </c>
      <c r="N877" s="125">
        <v>77</v>
      </c>
      <c r="O877" s="92">
        <v>870.72</v>
      </c>
      <c r="Q877" s="14"/>
    </row>
    <row r="878" ht="15" customHeight="1">
      <c r="B878" s="13"/>
      <c r="C878" s="22" t="s">
        <v>184</v>
      </c>
      <c r="D878" s="90" t="s">
        <v>1900</v>
      </c>
      <c r="E878" s="122" t="s">
        <v>1901</v>
      </c>
      <c r="F878" s="91" t="s">
        <v>8</v>
      </c>
      <c r="G878" s="91">
        <v>28893</v>
      </c>
      <c r="H878" s="90" t="s">
        <v>187</v>
      </c>
      <c r="I878" s="91" t="s">
        <v>21</v>
      </c>
      <c r="J878" s="91">
        <v>44476</v>
      </c>
      <c r="K878" s="121">
        <v>42</v>
      </c>
      <c r="L878" s="91">
        <v>44523</v>
      </c>
      <c r="M878" s="91"/>
      <c r="N878" s="125">
        <v>0</v>
      </c>
      <c r="O878" s="92">
        <v>154.8</v>
      </c>
      <c r="Q878" s="14"/>
    </row>
    <row r="879" ht="15" customHeight="1">
      <c r="B879" s="13"/>
      <c r="C879" s="22" t="s">
        <v>184</v>
      </c>
      <c r="D879" s="90" t="s">
        <v>1902</v>
      </c>
      <c r="E879" s="122" t="s">
        <v>1903</v>
      </c>
      <c r="F879" s="91" t="s">
        <v>8</v>
      </c>
      <c r="G879" s="91">
        <v>34815</v>
      </c>
      <c r="H879" s="90" t="s">
        <v>187</v>
      </c>
      <c r="I879" s="91" t="s">
        <v>21</v>
      </c>
      <c r="J879" s="91">
        <v>44191</v>
      </c>
      <c r="K879" s="121">
        <v>25</v>
      </c>
      <c r="L879" s="91">
        <v>44241</v>
      </c>
      <c r="M879" s="91">
        <v>44241</v>
      </c>
      <c r="N879" s="125">
        <v>50</v>
      </c>
      <c r="O879" s="92">
        <v>294.42</v>
      </c>
      <c r="Q879" s="14"/>
    </row>
    <row r="880" ht="15" customHeight="1">
      <c r="B880" s="13"/>
      <c r="C880" s="22" t="s">
        <v>184</v>
      </c>
      <c r="D880" s="90" t="s">
        <v>1904</v>
      </c>
      <c r="E880" s="122" t="s">
        <v>1905</v>
      </c>
      <c r="F880" s="91" t="s">
        <v>8</v>
      </c>
      <c r="G880" s="91">
        <v>30471</v>
      </c>
      <c r="H880" s="90" t="s">
        <v>187</v>
      </c>
      <c r="I880" s="91" t="s">
        <v>21</v>
      </c>
      <c r="J880" s="91">
        <v>44438</v>
      </c>
      <c r="K880" s="121">
        <v>38</v>
      </c>
      <c r="L880" s="91">
        <v>44486</v>
      </c>
      <c r="M880" s="91">
        <v>44486</v>
      </c>
      <c r="N880" s="125">
        <v>48</v>
      </c>
      <c r="O880" s="92">
        <v>365.37</v>
      </c>
      <c r="Q880" s="14"/>
    </row>
    <row r="881" ht="15" customHeight="1">
      <c r="B881" s="13"/>
      <c r="C881" s="22" t="s">
        <v>184</v>
      </c>
      <c r="D881" s="90" t="s">
        <v>1906</v>
      </c>
      <c r="E881" s="122" t="s">
        <v>1907</v>
      </c>
      <c r="F881" s="91" t="s">
        <v>8</v>
      </c>
      <c r="G881" s="91">
        <v>36718</v>
      </c>
      <c r="H881" s="90" t="s">
        <v>187</v>
      </c>
      <c r="I881" s="91" t="s">
        <v>21</v>
      </c>
      <c r="J881" s="91">
        <v>44368</v>
      </c>
      <c r="K881" s="121">
        <v>21</v>
      </c>
      <c r="L881" s="91">
        <v>44462</v>
      </c>
      <c r="M881" s="91">
        <v>44462</v>
      </c>
      <c r="N881" s="125">
        <v>94</v>
      </c>
      <c r="O881" s="92">
        <v>1373.45</v>
      </c>
      <c r="Q881" s="14"/>
    </row>
    <row r="882" ht="15" customHeight="1">
      <c r="B882" s="13"/>
      <c r="C882" s="22" t="s">
        <v>184</v>
      </c>
      <c r="D882" s="90" t="s">
        <v>1908</v>
      </c>
      <c r="E882" s="122" t="s">
        <v>1909</v>
      </c>
      <c r="F882" s="91" t="s">
        <v>8</v>
      </c>
      <c r="G882" s="91">
        <v>34640</v>
      </c>
      <c r="H882" s="90" t="s">
        <v>187</v>
      </c>
      <c r="I882" s="91" t="s">
        <v>21</v>
      </c>
      <c r="J882" s="91">
        <v>44225</v>
      </c>
      <c r="K882" s="121">
        <v>27</v>
      </c>
      <c r="L882" s="91">
        <v>44274</v>
      </c>
      <c r="M882" s="91">
        <v>44274</v>
      </c>
      <c r="N882" s="125">
        <v>49</v>
      </c>
      <c r="O882" s="92">
        <v>260.2</v>
      </c>
      <c r="Q882" s="14"/>
    </row>
    <row r="883" ht="15" customHeight="1">
      <c r="B883" s="13"/>
      <c r="C883" s="22" t="s">
        <v>184</v>
      </c>
      <c r="D883" s="90" t="s">
        <v>1910</v>
      </c>
      <c r="E883" s="122" t="s">
        <v>1911</v>
      </c>
      <c r="F883" s="91" t="s">
        <v>8</v>
      </c>
      <c r="G883" s="91">
        <v>34751</v>
      </c>
      <c r="H883" s="90" t="s">
        <v>187</v>
      </c>
      <c r="I883" s="91" t="s">
        <v>21</v>
      </c>
      <c r="J883" s="91">
        <v>44211</v>
      </c>
      <c r="K883" s="121">
        <v>26</v>
      </c>
      <c r="L883" s="91">
        <v>44390</v>
      </c>
      <c r="M883" s="91">
        <v>44390</v>
      </c>
      <c r="N883" s="125">
        <v>179</v>
      </c>
      <c r="O883" s="92">
        <v>3512.15</v>
      </c>
      <c r="Q883" s="14"/>
    </row>
    <row r="884" ht="15" customHeight="1">
      <c r="B884" s="13"/>
      <c r="C884" s="22" t="s">
        <v>184</v>
      </c>
      <c r="D884" s="90" t="s">
        <v>1912</v>
      </c>
      <c r="E884" s="122" t="s">
        <v>1913</v>
      </c>
      <c r="F884" s="91" t="s">
        <v>8</v>
      </c>
      <c r="G884" s="91">
        <v>35054</v>
      </c>
      <c r="H884" s="90" t="s">
        <v>187</v>
      </c>
      <c r="I884" s="91" t="s">
        <v>21</v>
      </c>
      <c r="J884" s="91">
        <v>43922</v>
      </c>
      <c r="K884" s="121">
        <v>25</v>
      </c>
      <c r="L884" s="91">
        <v>44283</v>
      </c>
      <c r="M884" s="91">
        <v>44283</v>
      </c>
      <c r="N884" s="125">
        <v>361</v>
      </c>
      <c r="O884" s="92">
        <v>2583.04</v>
      </c>
      <c r="Q884" s="14"/>
    </row>
    <row r="885" ht="15" customHeight="1">
      <c r="B885" s="13"/>
      <c r="C885" s="22" t="s">
        <v>184</v>
      </c>
      <c r="D885" s="90" t="s">
        <v>1914</v>
      </c>
      <c r="E885" s="122" t="s">
        <v>1915</v>
      </c>
      <c r="F885" s="91" t="s">
        <v>8</v>
      </c>
      <c r="G885" s="91">
        <v>23352</v>
      </c>
      <c r="H885" s="90" t="s">
        <v>187</v>
      </c>
      <c r="I885" s="91" t="s">
        <v>21</v>
      </c>
      <c r="J885" s="91">
        <v>44445</v>
      </c>
      <c r="K885" s="121">
        <v>58</v>
      </c>
      <c r="L885" s="91">
        <v>44500</v>
      </c>
      <c r="M885" s="91"/>
      <c r="N885" s="125">
        <v>0</v>
      </c>
      <c r="O885" s="92">
        <v>509.08</v>
      </c>
      <c r="Q885" s="14"/>
    </row>
    <row r="886" ht="15" customHeight="1">
      <c r="B886" s="13"/>
      <c r="C886" s="22" t="s">
        <v>184</v>
      </c>
      <c r="D886" s="90" t="s">
        <v>1916</v>
      </c>
      <c r="E886" s="122" t="s">
        <v>1917</v>
      </c>
      <c r="F886" s="91" t="s">
        <v>8</v>
      </c>
      <c r="G886" s="91">
        <v>31137</v>
      </c>
      <c r="H886" s="90" t="s">
        <v>187</v>
      </c>
      <c r="I886" s="91" t="s">
        <v>21</v>
      </c>
      <c r="J886" s="91">
        <v>44371</v>
      </c>
      <c r="K886" s="121">
        <v>36</v>
      </c>
      <c r="L886" s="91">
        <v>44538</v>
      </c>
      <c r="M886" s="91"/>
      <c r="N886" s="125">
        <v>0</v>
      </c>
      <c r="O886" s="92">
        <v>2040.3</v>
      </c>
      <c r="Q886" s="14"/>
    </row>
    <row r="887" ht="15" customHeight="1">
      <c r="B887" s="13"/>
      <c r="C887" s="22" t="s">
        <v>184</v>
      </c>
      <c r="D887" s="90" t="s">
        <v>1918</v>
      </c>
      <c r="E887" s="122" t="s">
        <v>1919</v>
      </c>
      <c r="F887" s="91" t="s">
        <v>8</v>
      </c>
      <c r="G887" s="91">
        <v>24549</v>
      </c>
      <c r="H887" s="90" t="s">
        <v>187</v>
      </c>
      <c r="I887" s="91" t="s">
        <v>21</v>
      </c>
      <c r="J887" s="91">
        <v>43892</v>
      </c>
      <c r="K887" s="121">
        <v>53</v>
      </c>
      <c r="L887" s="91">
        <v>44504</v>
      </c>
      <c r="M887" s="91"/>
      <c r="N887" s="125">
        <v>0</v>
      </c>
      <c r="O887" s="92">
        <v>860.18</v>
      </c>
      <c r="Q887" s="14"/>
    </row>
    <row r="888" ht="15" customHeight="1">
      <c r="B888" s="13"/>
      <c r="C888" s="22" t="s">
        <v>184</v>
      </c>
      <c r="D888" s="90" t="s">
        <v>1920</v>
      </c>
      <c r="E888" s="122" t="s">
        <v>1921</v>
      </c>
      <c r="F888" s="91" t="s">
        <v>10</v>
      </c>
      <c r="G888" s="91">
        <v>28947</v>
      </c>
      <c r="H888" s="90" t="s">
        <v>187</v>
      </c>
      <c r="I888" s="91" t="s">
        <v>21</v>
      </c>
      <c r="J888" s="91">
        <v>44385</v>
      </c>
      <c r="K888" s="121">
        <v>42</v>
      </c>
      <c r="L888" s="91">
        <v>44531</v>
      </c>
      <c r="M888" s="91"/>
      <c r="N888" s="125">
        <v>0</v>
      </c>
      <c r="O888" s="92">
        <v>3052.5299999999997</v>
      </c>
      <c r="Q888" s="14"/>
    </row>
    <row r="889" ht="15" customHeight="1">
      <c r="B889" s="13"/>
      <c r="C889" s="22" t="s">
        <v>184</v>
      </c>
      <c r="D889" s="90" t="s">
        <v>1922</v>
      </c>
      <c r="E889" s="122" t="s">
        <v>1923</v>
      </c>
      <c r="F889" s="91" t="s">
        <v>8</v>
      </c>
      <c r="G889" s="91">
        <v>22546</v>
      </c>
      <c r="H889" s="90" t="s">
        <v>187</v>
      </c>
      <c r="I889" s="91" t="s">
        <v>21</v>
      </c>
      <c r="J889" s="91">
        <v>44155</v>
      </c>
      <c r="K889" s="121">
        <v>59</v>
      </c>
      <c r="L889" s="91">
        <v>44202</v>
      </c>
      <c r="M889" s="91">
        <v>44202</v>
      </c>
      <c r="N889" s="125">
        <v>47</v>
      </c>
      <c r="O889" s="92">
        <v>116.82</v>
      </c>
      <c r="Q889" s="14"/>
    </row>
    <row r="890" ht="15" customHeight="1">
      <c r="B890" s="13"/>
      <c r="C890" s="22" t="s">
        <v>184</v>
      </c>
      <c r="D890" s="90" t="s">
        <v>1924</v>
      </c>
      <c r="E890" s="122" t="s">
        <v>1925</v>
      </c>
      <c r="F890" s="91" t="s">
        <v>8</v>
      </c>
      <c r="G890" s="91">
        <v>32192</v>
      </c>
      <c r="H890" s="90" t="s">
        <v>187</v>
      </c>
      <c r="I890" s="91" t="s">
        <v>21</v>
      </c>
      <c r="J890" s="91">
        <v>44214</v>
      </c>
      <c r="K890" s="121">
        <v>33</v>
      </c>
      <c r="L890" s="91">
        <v>44315</v>
      </c>
      <c r="M890" s="91">
        <v>44315</v>
      </c>
      <c r="N890" s="125">
        <v>101</v>
      </c>
      <c r="O890" s="92">
        <v>1477.0299999999998</v>
      </c>
      <c r="Q890" s="14"/>
    </row>
    <row r="891" ht="15" customHeight="1">
      <c r="B891" s="13"/>
      <c r="C891" s="22" t="s">
        <v>184</v>
      </c>
      <c r="D891" s="90" t="s">
        <v>1926</v>
      </c>
      <c r="E891" s="122" t="s">
        <v>1927</v>
      </c>
      <c r="F891" s="91" t="s">
        <v>8</v>
      </c>
      <c r="G891" s="91">
        <v>7028</v>
      </c>
      <c r="H891" s="90" t="s">
        <v>187</v>
      </c>
      <c r="I891" s="91" t="s">
        <v>21</v>
      </c>
      <c r="J891" s="91">
        <v>44438</v>
      </c>
      <c r="K891" s="121">
        <v>102</v>
      </c>
      <c r="L891" s="91">
        <v>44532</v>
      </c>
      <c r="M891" s="91">
        <v>44537</v>
      </c>
      <c r="N891" s="125">
        <v>99</v>
      </c>
      <c r="O891" s="92">
        <v>985.4</v>
      </c>
      <c r="Q891" s="14"/>
    </row>
    <row r="892" ht="15" customHeight="1">
      <c r="B892" s="13"/>
      <c r="C892" s="22" t="s">
        <v>779</v>
      </c>
      <c r="D892" s="90" t="s">
        <v>1928</v>
      </c>
      <c r="E892" s="122" t="s">
        <v>1929</v>
      </c>
      <c r="F892" s="91" t="s">
        <v>8</v>
      </c>
      <c r="G892" s="91">
        <v>33250</v>
      </c>
      <c r="H892" s="90" t="s">
        <v>197</v>
      </c>
      <c r="I892" s="91" t="s">
        <v>21</v>
      </c>
      <c r="J892" s="91">
        <v>44099</v>
      </c>
      <c r="K892" s="121">
        <v>29</v>
      </c>
      <c r="L892" s="91">
        <v>44267</v>
      </c>
      <c r="M892" s="91">
        <v>44267</v>
      </c>
      <c r="N892" s="125">
        <v>168</v>
      </c>
      <c r="O892" s="92">
        <v>9940.14</v>
      </c>
      <c r="Q892" s="14"/>
    </row>
    <row r="893" ht="15" customHeight="1">
      <c r="B893" s="13"/>
      <c r="C893" s="22" t="s">
        <v>184</v>
      </c>
      <c r="D893" s="90" t="s">
        <v>1930</v>
      </c>
      <c r="E893" s="122" t="s">
        <v>1931</v>
      </c>
      <c r="F893" s="91" t="s">
        <v>8</v>
      </c>
      <c r="G893" s="91">
        <v>35372</v>
      </c>
      <c r="H893" s="90" t="s">
        <v>197</v>
      </c>
      <c r="I893" s="91" t="s">
        <v>21</v>
      </c>
      <c r="J893" s="91">
        <v>43948</v>
      </c>
      <c r="K893" s="121">
        <v>24</v>
      </c>
      <c r="L893" s="91">
        <v>44117</v>
      </c>
      <c r="M893" s="91">
        <v>44117</v>
      </c>
      <c r="N893" s="125">
        <v>169</v>
      </c>
      <c r="O893" s="92">
        <v>266.38</v>
      </c>
      <c r="Q893" s="14"/>
    </row>
    <row r="894" ht="15" customHeight="1">
      <c r="B894" s="13"/>
      <c r="C894" s="22" t="s">
        <v>184</v>
      </c>
      <c r="D894" s="90" t="s">
        <v>1932</v>
      </c>
      <c r="E894" s="122" t="s">
        <v>1933</v>
      </c>
      <c r="F894" s="91" t="s">
        <v>8</v>
      </c>
      <c r="G894" s="91">
        <v>28620</v>
      </c>
      <c r="H894" s="90" t="s">
        <v>187</v>
      </c>
      <c r="I894" s="91" t="s">
        <v>21</v>
      </c>
      <c r="J894" s="91">
        <v>44277</v>
      </c>
      <c r="K894" s="121">
        <v>43</v>
      </c>
      <c r="L894" s="91">
        <v>44386</v>
      </c>
      <c r="M894" s="91">
        <v>44386</v>
      </c>
      <c r="N894" s="125">
        <v>109</v>
      </c>
      <c r="O894" s="92">
        <v>1524.24</v>
      </c>
      <c r="Q894" s="14"/>
    </row>
    <row r="895" ht="15" customHeight="1">
      <c r="B895" s="13"/>
      <c r="C895" s="22" t="s">
        <v>184</v>
      </c>
      <c r="D895" s="90" t="s">
        <v>1934</v>
      </c>
      <c r="E895" s="122" t="s">
        <v>1935</v>
      </c>
      <c r="F895" s="91" t="s">
        <v>8</v>
      </c>
      <c r="G895" s="91">
        <v>35324</v>
      </c>
      <c r="H895" s="90" t="s">
        <v>197</v>
      </c>
      <c r="I895" s="91" t="s">
        <v>21</v>
      </c>
      <c r="J895" s="91">
        <v>44347</v>
      </c>
      <c r="K895" s="121">
        <v>25</v>
      </c>
      <c r="L895" s="91">
        <v>44444</v>
      </c>
      <c r="M895" s="91"/>
      <c r="N895" s="125">
        <v>0</v>
      </c>
      <c r="O895" s="92">
        <v>1674.4</v>
      </c>
      <c r="Q895" s="14"/>
    </row>
    <row r="896" ht="15" customHeight="1">
      <c r="B896" s="13"/>
      <c r="C896" s="22" t="s">
        <v>184</v>
      </c>
      <c r="D896" s="90" t="s">
        <v>1936</v>
      </c>
      <c r="E896" s="122" t="s">
        <v>1937</v>
      </c>
      <c r="F896" s="91" t="s">
        <v>10</v>
      </c>
      <c r="G896" s="91">
        <v>25479</v>
      </c>
      <c r="H896" s="90" t="s">
        <v>187</v>
      </c>
      <c r="I896" s="91" t="s">
        <v>21</v>
      </c>
      <c r="J896" s="91">
        <v>44224</v>
      </c>
      <c r="K896" s="121">
        <v>52</v>
      </c>
      <c r="L896" s="91">
        <v>44307</v>
      </c>
      <c r="M896" s="91">
        <v>44307</v>
      </c>
      <c r="N896" s="125">
        <v>83</v>
      </c>
      <c r="O896" s="92">
        <v>412.02</v>
      </c>
      <c r="Q896" s="14"/>
    </row>
    <row r="897" ht="15" customHeight="1">
      <c r="B897" s="13"/>
      <c r="C897" s="22" t="s">
        <v>184</v>
      </c>
      <c r="D897" s="90" t="s">
        <v>1938</v>
      </c>
      <c r="E897" s="122" t="s">
        <v>1937</v>
      </c>
      <c r="F897" s="91" t="s">
        <v>10</v>
      </c>
      <c r="G897" s="91">
        <v>25479</v>
      </c>
      <c r="H897" s="90" t="s">
        <v>187</v>
      </c>
      <c r="I897" s="91" t="s">
        <v>21</v>
      </c>
      <c r="J897" s="91">
        <v>44224</v>
      </c>
      <c r="K897" s="121">
        <v>52</v>
      </c>
      <c r="L897" s="91">
        <v>44307</v>
      </c>
      <c r="M897" s="91">
        <v>44307</v>
      </c>
      <c r="N897" s="125">
        <v>83</v>
      </c>
      <c r="O897" s="92">
        <v>724.68</v>
      </c>
      <c r="Q897" s="14"/>
    </row>
    <row r="898" ht="15" customHeight="1">
      <c r="B898" s="13"/>
      <c r="C898" s="22" t="s">
        <v>184</v>
      </c>
      <c r="D898" s="90" t="s">
        <v>1939</v>
      </c>
      <c r="E898" s="122" t="s">
        <v>1940</v>
      </c>
      <c r="F898" s="91" t="s">
        <v>8</v>
      </c>
      <c r="G898" s="91">
        <v>34409</v>
      </c>
      <c r="H898" s="90" t="s">
        <v>187</v>
      </c>
      <c r="I898" s="91" t="s">
        <v>21</v>
      </c>
      <c r="J898" s="91">
        <v>44284</v>
      </c>
      <c r="K898" s="121">
        <v>27</v>
      </c>
      <c r="L898" s="91">
        <v>44328</v>
      </c>
      <c r="M898" s="91">
        <v>44328</v>
      </c>
      <c r="N898" s="125">
        <v>44</v>
      </c>
      <c r="O898" s="92">
        <v>259.5</v>
      </c>
      <c r="Q898" s="14"/>
    </row>
    <row r="899" ht="15" customHeight="1">
      <c r="B899" s="13"/>
      <c r="C899" s="22" t="s">
        <v>184</v>
      </c>
      <c r="D899" s="90" t="s">
        <v>1941</v>
      </c>
      <c r="E899" s="122" t="s">
        <v>1942</v>
      </c>
      <c r="F899" s="91" t="s">
        <v>8</v>
      </c>
      <c r="G899" s="91">
        <v>27394</v>
      </c>
      <c r="H899" s="90" t="s">
        <v>187</v>
      </c>
      <c r="I899" s="91" t="s">
        <v>21</v>
      </c>
      <c r="J899" s="91">
        <v>43906</v>
      </c>
      <c r="K899" s="121">
        <v>46</v>
      </c>
      <c r="L899" s="91">
        <v>43951</v>
      </c>
      <c r="M899" s="91">
        <v>43951</v>
      </c>
      <c r="N899" s="125">
        <v>45</v>
      </c>
      <c r="O899" s="92">
        <v>293.76</v>
      </c>
      <c r="Q899" s="14"/>
    </row>
    <row r="900" ht="15" customHeight="1">
      <c r="B900" s="13"/>
      <c r="C900" s="22" t="s">
        <v>184</v>
      </c>
      <c r="D900" s="90" t="s">
        <v>1943</v>
      </c>
      <c r="E900" s="122" t="s">
        <v>1944</v>
      </c>
      <c r="F900" s="91" t="s">
        <v>8</v>
      </c>
      <c r="G900" s="91">
        <v>35186</v>
      </c>
      <c r="H900" s="90" t="s">
        <v>187</v>
      </c>
      <c r="I900" s="91" t="s">
        <v>21</v>
      </c>
      <c r="J900" s="91">
        <v>44303</v>
      </c>
      <c r="K900" s="121">
        <v>25</v>
      </c>
      <c r="L900" s="91">
        <v>44362</v>
      </c>
      <c r="M900" s="91">
        <v>44362</v>
      </c>
      <c r="N900" s="125">
        <v>59</v>
      </c>
      <c r="O900" s="92">
        <v>181.8</v>
      </c>
      <c r="Q900" s="14"/>
    </row>
    <row r="901" ht="15" customHeight="1">
      <c r="B901" s="13"/>
      <c r="C901" s="22" t="s">
        <v>184</v>
      </c>
      <c r="D901" s="90" t="s">
        <v>1945</v>
      </c>
      <c r="E901" s="122" t="s">
        <v>1946</v>
      </c>
      <c r="F901" s="91" t="s">
        <v>8</v>
      </c>
      <c r="G901" s="91">
        <v>33199</v>
      </c>
      <c r="H901" s="90" t="s">
        <v>187</v>
      </c>
      <c r="I901" s="91" t="s">
        <v>21</v>
      </c>
      <c r="J901" s="91">
        <v>44131</v>
      </c>
      <c r="K901" s="121">
        <v>30</v>
      </c>
      <c r="L901" s="91">
        <v>44370</v>
      </c>
      <c r="M901" s="91">
        <v>44370</v>
      </c>
      <c r="N901" s="125">
        <v>239</v>
      </c>
      <c r="O901" s="92">
        <v>205.79999999999998</v>
      </c>
      <c r="Q901" s="14"/>
    </row>
    <row r="902" ht="15" customHeight="1">
      <c r="B902" s="13"/>
      <c r="C902" s="22" t="s">
        <v>184</v>
      </c>
      <c r="D902" s="90" t="s">
        <v>1947</v>
      </c>
      <c r="E902" s="122" t="s">
        <v>1948</v>
      </c>
      <c r="F902" s="91" t="s">
        <v>8</v>
      </c>
      <c r="G902" s="91">
        <v>33037</v>
      </c>
      <c r="H902" s="90" t="s">
        <v>187</v>
      </c>
      <c r="I902" s="91" t="s">
        <v>21</v>
      </c>
      <c r="J902" s="91">
        <v>44092</v>
      </c>
      <c r="K902" s="121">
        <v>30</v>
      </c>
      <c r="L902" s="91">
        <v>44129</v>
      </c>
      <c r="M902" s="91">
        <v>44129</v>
      </c>
      <c r="N902" s="125">
        <v>37</v>
      </c>
      <c r="O902" s="92">
        <v>136.64</v>
      </c>
      <c r="Q902" s="14"/>
    </row>
    <row r="903" ht="15" customHeight="1">
      <c r="B903" s="13"/>
      <c r="C903" s="22" t="s">
        <v>184</v>
      </c>
      <c r="D903" s="90" t="s">
        <v>1949</v>
      </c>
      <c r="E903" s="122" t="s">
        <v>1950</v>
      </c>
      <c r="F903" s="91" t="s">
        <v>8</v>
      </c>
      <c r="G903" s="91">
        <v>25479</v>
      </c>
      <c r="H903" s="90" t="s">
        <v>187</v>
      </c>
      <c r="I903" s="91" t="s">
        <v>21</v>
      </c>
      <c r="J903" s="91">
        <v>44278</v>
      </c>
      <c r="K903" s="121">
        <v>52</v>
      </c>
      <c r="L903" s="91">
        <v>44361</v>
      </c>
      <c r="M903" s="91">
        <v>44363</v>
      </c>
      <c r="N903" s="125">
        <v>85</v>
      </c>
      <c r="O903" s="92">
        <v>207.9</v>
      </c>
      <c r="Q903" s="14"/>
    </row>
    <row r="904" ht="15" customHeight="1">
      <c r="B904" s="13"/>
      <c r="C904" s="22" t="s">
        <v>184</v>
      </c>
      <c r="D904" s="90" t="s">
        <v>1951</v>
      </c>
      <c r="E904" s="122" t="s">
        <v>1952</v>
      </c>
      <c r="F904" s="91" t="s">
        <v>10</v>
      </c>
      <c r="G904" s="91">
        <v>33835</v>
      </c>
      <c r="H904" s="90" t="s">
        <v>187</v>
      </c>
      <c r="I904" s="91" t="s">
        <v>21</v>
      </c>
      <c r="J904" s="91">
        <v>44271</v>
      </c>
      <c r="K904" s="121">
        <v>29</v>
      </c>
      <c r="L904" s="91">
        <v>44508</v>
      </c>
      <c r="M904" s="91"/>
      <c r="N904" s="125">
        <v>0</v>
      </c>
      <c r="O904" s="92">
        <v>3028.4799999999996</v>
      </c>
      <c r="Q904" s="14"/>
    </row>
    <row r="905" ht="15" customHeight="1">
      <c r="B905" s="13"/>
      <c r="C905" s="22" t="s">
        <v>184</v>
      </c>
      <c r="D905" s="90" t="s">
        <v>1953</v>
      </c>
      <c r="E905" s="122" t="s">
        <v>1954</v>
      </c>
      <c r="F905" s="91" t="s">
        <v>8</v>
      </c>
      <c r="G905" s="91">
        <v>32625</v>
      </c>
      <c r="H905" s="90" t="s">
        <v>187</v>
      </c>
      <c r="I905" s="91" t="s">
        <v>21</v>
      </c>
      <c r="J905" s="91">
        <v>44064</v>
      </c>
      <c r="K905" s="121">
        <v>31</v>
      </c>
      <c r="L905" s="91">
        <v>44221</v>
      </c>
      <c r="M905" s="91">
        <v>44221</v>
      </c>
      <c r="N905" s="125">
        <v>157</v>
      </c>
      <c r="O905" s="92">
        <v>1372.16</v>
      </c>
      <c r="Q905" s="14"/>
    </row>
    <row r="906" ht="15" customHeight="1">
      <c r="B906" s="13"/>
      <c r="C906" s="22" t="s">
        <v>184</v>
      </c>
      <c r="D906" s="90" t="s">
        <v>1955</v>
      </c>
      <c r="E906" s="122" t="s">
        <v>1956</v>
      </c>
      <c r="F906" s="91" t="s">
        <v>8</v>
      </c>
      <c r="G906" s="91">
        <v>28457</v>
      </c>
      <c r="H906" s="90" t="s">
        <v>187</v>
      </c>
      <c r="I906" s="91" t="s">
        <v>21</v>
      </c>
      <c r="J906" s="91">
        <v>44101</v>
      </c>
      <c r="K906" s="121">
        <v>43</v>
      </c>
      <c r="L906" s="91">
        <v>44337</v>
      </c>
      <c r="M906" s="91">
        <v>44337</v>
      </c>
      <c r="N906" s="125">
        <v>236</v>
      </c>
      <c r="O906" s="92">
        <v>492.65999999999997</v>
      </c>
      <c r="Q906" s="14"/>
    </row>
    <row r="907" ht="15" customHeight="1">
      <c r="B907" s="13"/>
      <c r="C907" s="22" t="s">
        <v>184</v>
      </c>
      <c r="D907" s="90" t="s">
        <v>1957</v>
      </c>
      <c r="E907" s="122" t="s">
        <v>1958</v>
      </c>
      <c r="F907" s="91" t="s">
        <v>10</v>
      </c>
      <c r="G907" s="91">
        <v>24078</v>
      </c>
      <c r="H907" s="90" t="s">
        <v>197</v>
      </c>
      <c r="I907" s="91" t="s">
        <v>21</v>
      </c>
      <c r="J907" s="91">
        <v>44344</v>
      </c>
      <c r="K907" s="121">
        <v>56</v>
      </c>
      <c r="L907" s="91">
        <v>44406</v>
      </c>
      <c r="M907" s="91">
        <v>44406</v>
      </c>
      <c r="N907" s="125">
        <v>62</v>
      </c>
      <c r="O907" s="92">
        <v>2114.97</v>
      </c>
      <c r="Q907" s="14"/>
    </row>
    <row r="908" ht="15" customHeight="1">
      <c r="B908" s="13"/>
      <c r="C908" s="22" t="s">
        <v>184</v>
      </c>
      <c r="D908" s="90" t="s">
        <v>1959</v>
      </c>
      <c r="E908" s="122" t="s">
        <v>1960</v>
      </c>
      <c r="F908" s="91" t="s">
        <v>8</v>
      </c>
      <c r="G908" s="91">
        <v>28352</v>
      </c>
      <c r="H908" s="90" t="s">
        <v>187</v>
      </c>
      <c r="I908" s="91" t="s">
        <v>21</v>
      </c>
      <c r="J908" s="91">
        <v>44217</v>
      </c>
      <c r="K908" s="121">
        <v>44</v>
      </c>
      <c r="L908" s="91">
        <v>44260</v>
      </c>
      <c r="M908" s="91">
        <v>44260</v>
      </c>
      <c r="N908" s="125">
        <v>43</v>
      </c>
      <c r="O908" s="92">
        <v>118.3</v>
      </c>
      <c r="Q908" s="14"/>
    </row>
    <row r="909" ht="15" customHeight="1">
      <c r="B909" s="13"/>
      <c r="C909" s="22" t="s">
        <v>184</v>
      </c>
      <c r="D909" s="90" t="s">
        <v>1961</v>
      </c>
      <c r="E909" s="122" t="s">
        <v>1962</v>
      </c>
      <c r="F909" s="91" t="s">
        <v>8</v>
      </c>
      <c r="G909" s="91">
        <v>25257</v>
      </c>
      <c r="H909" s="90" t="s">
        <v>187</v>
      </c>
      <c r="I909" s="91" t="s">
        <v>21</v>
      </c>
      <c r="J909" s="91">
        <v>44358</v>
      </c>
      <c r="K909" s="121">
        <v>52</v>
      </c>
      <c r="L909" s="91">
        <v>44433</v>
      </c>
      <c r="M909" s="91">
        <v>44433</v>
      </c>
      <c r="N909" s="125">
        <v>75</v>
      </c>
      <c r="O909" s="92">
        <v>820.64</v>
      </c>
      <c r="Q909" s="14"/>
    </row>
    <row r="910" ht="15" customHeight="1">
      <c r="B910" s="13"/>
      <c r="C910" s="22" t="s">
        <v>184</v>
      </c>
      <c r="D910" s="90" t="s">
        <v>1963</v>
      </c>
      <c r="E910" s="122" t="s">
        <v>1964</v>
      </c>
      <c r="F910" s="91" t="s">
        <v>8</v>
      </c>
      <c r="G910" s="91">
        <v>29541</v>
      </c>
      <c r="H910" s="90" t="s">
        <v>187</v>
      </c>
      <c r="I910" s="91" t="s">
        <v>21</v>
      </c>
      <c r="J910" s="91">
        <v>44145</v>
      </c>
      <c r="K910" s="121">
        <v>40</v>
      </c>
      <c r="L910" s="91">
        <v>44453</v>
      </c>
      <c r="M910" s="91"/>
      <c r="N910" s="125">
        <v>0</v>
      </c>
      <c r="O910" s="92">
        <v>931.86</v>
      </c>
      <c r="Q910" s="14"/>
    </row>
    <row r="911" ht="15" customHeight="1">
      <c r="B911" s="13"/>
      <c r="C911" s="22" t="s">
        <v>184</v>
      </c>
      <c r="D911" s="90" t="s">
        <v>1965</v>
      </c>
      <c r="E911" s="122" t="s">
        <v>1966</v>
      </c>
      <c r="F911" s="91" t="s">
        <v>10</v>
      </c>
      <c r="G911" s="91">
        <v>20175</v>
      </c>
      <c r="H911" s="90" t="s">
        <v>197</v>
      </c>
      <c r="I911" s="91" t="s">
        <v>21</v>
      </c>
      <c r="J911" s="91">
        <v>44149</v>
      </c>
      <c r="K911" s="121">
        <v>65</v>
      </c>
      <c r="L911" s="91">
        <v>44245</v>
      </c>
      <c r="M911" s="91">
        <v>44329</v>
      </c>
      <c r="N911" s="125">
        <v>180</v>
      </c>
      <c r="O911" s="92">
        <v>966.81000000000006</v>
      </c>
      <c r="Q911" s="14"/>
    </row>
    <row r="912" ht="15" customHeight="1">
      <c r="B912" s="13"/>
      <c r="C912" s="22" t="s">
        <v>184</v>
      </c>
      <c r="D912" s="90" t="s">
        <v>1967</v>
      </c>
      <c r="E912" s="122" t="s">
        <v>1968</v>
      </c>
      <c r="F912" s="91" t="s">
        <v>8</v>
      </c>
      <c r="G912" s="91">
        <v>35625</v>
      </c>
      <c r="H912" s="90" t="s">
        <v>187</v>
      </c>
      <c r="I912" s="91" t="s">
        <v>21</v>
      </c>
      <c r="J912" s="91">
        <v>44201</v>
      </c>
      <c r="K912" s="121">
        <v>24</v>
      </c>
      <c r="L912" s="91">
        <v>44243</v>
      </c>
      <c r="M912" s="91">
        <v>44243</v>
      </c>
      <c r="N912" s="125">
        <v>42</v>
      </c>
      <c r="O912" s="92">
        <v>156.78</v>
      </c>
      <c r="Q912" s="14"/>
    </row>
    <row r="913" ht="15" customHeight="1">
      <c r="B913" s="13"/>
      <c r="C913" s="22" t="s">
        <v>400</v>
      </c>
      <c r="D913" s="90" t="s">
        <v>1969</v>
      </c>
      <c r="E913" s="122" t="s">
        <v>1970</v>
      </c>
      <c r="F913" s="91" t="s">
        <v>8</v>
      </c>
      <c r="G913" s="91">
        <v>22392</v>
      </c>
      <c r="H913" s="90" t="s">
        <v>187</v>
      </c>
      <c r="I913" s="91" t="s">
        <v>21</v>
      </c>
      <c r="J913" s="91">
        <v>44111</v>
      </c>
      <c r="K913" s="121">
        <v>59</v>
      </c>
      <c r="L913" s="91">
        <v>44213</v>
      </c>
      <c r="M913" s="91">
        <v>44213</v>
      </c>
      <c r="N913" s="125">
        <v>102</v>
      </c>
      <c r="O913" s="92">
        <v>72.27</v>
      </c>
      <c r="Q913" s="14"/>
    </row>
    <row r="914" ht="15" customHeight="1">
      <c r="B914" s="13"/>
      <c r="C914" s="22" t="s">
        <v>184</v>
      </c>
      <c r="D914" s="90" t="s">
        <v>1971</v>
      </c>
      <c r="E914" s="122" t="s">
        <v>1972</v>
      </c>
      <c r="F914" s="91" t="s">
        <v>10</v>
      </c>
      <c r="G914" s="91">
        <v>23760</v>
      </c>
      <c r="H914" s="90" t="s">
        <v>187</v>
      </c>
      <c r="I914" s="91" t="s">
        <v>21</v>
      </c>
      <c r="J914" s="91">
        <v>44384</v>
      </c>
      <c r="K914" s="121">
        <v>56</v>
      </c>
      <c r="L914" s="91">
        <v>44536</v>
      </c>
      <c r="M914" s="91"/>
      <c r="N914" s="125">
        <v>0</v>
      </c>
      <c r="O914" s="92">
        <v>2345.61</v>
      </c>
      <c r="Q914" s="14"/>
    </row>
    <row r="915" ht="15" customHeight="1">
      <c r="B915" s="13"/>
      <c r="C915" s="22" t="s">
        <v>184</v>
      </c>
      <c r="D915" s="90" t="s">
        <v>1973</v>
      </c>
      <c r="E915" s="122" t="s">
        <v>1974</v>
      </c>
      <c r="F915" s="91" t="s">
        <v>8</v>
      </c>
      <c r="G915" s="91">
        <v>29235</v>
      </c>
      <c r="H915" s="90" t="s">
        <v>187</v>
      </c>
      <c r="I915" s="91" t="s">
        <v>21</v>
      </c>
      <c r="J915" s="91">
        <v>44210</v>
      </c>
      <c r="K915" s="121">
        <v>41</v>
      </c>
      <c r="L915" s="91">
        <v>44439</v>
      </c>
      <c r="M915" s="91">
        <v>44439</v>
      </c>
      <c r="N915" s="125">
        <v>229</v>
      </c>
      <c r="O915" s="92">
        <v>1290</v>
      </c>
      <c r="Q915" s="14"/>
    </row>
    <row r="916" ht="15" customHeight="1">
      <c r="B916" s="13"/>
      <c r="C916" s="22" t="s">
        <v>184</v>
      </c>
      <c r="D916" s="90" t="s">
        <v>1975</v>
      </c>
      <c r="E916" s="122" t="s">
        <v>1976</v>
      </c>
      <c r="F916" s="91" t="s">
        <v>8</v>
      </c>
      <c r="G916" s="91">
        <v>34155</v>
      </c>
      <c r="H916" s="90" t="s">
        <v>187</v>
      </c>
      <c r="I916" s="91" t="s">
        <v>21</v>
      </c>
      <c r="J916" s="91">
        <v>44350</v>
      </c>
      <c r="K916" s="121">
        <v>28</v>
      </c>
      <c r="L916" s="91">
        <v>44433</v>
      </c>
      <c r="M916" s="91">
        <v>44433</v>
      </c>
      <c r="N916" s="125">
        <v>83</v>
      </c>
      <c r="O916" s="92">
        <v>966.06000000000006</v>
      </c>
      <c r="Q916" s="14"/>
    </row>
    <row r="917" ht="15" customHeight="1">
      <c r="B917" s="13"/>
      <c r="C917" s="22" t="s">
        <v>400</v>
      </c>
      <c r="D917" s="90" t="s">
        <v>1977</v>
      </c>
      <c r="E917" s="122" t="s">
        <v>1978</v>
      </c>
      <c r="F917" s="91" t="s">
        <v>8</v>
      </c>
      <c r="G917" s="91">
        <v>26282</v>
      </c>
      <c r="H917" s="90" t="s">
        <v>187</v>
      </c>
      <c r="I917" s="91" t="s">
        <v>21</v>
      </c>
      <c r="J917" s="91">
        <v>44442</v>
      </c>
      <c r="K917" s="121">
        <v>50</v>
      </c>
      <c r="L917" s="91">
        <v>44537</v>
      </c>
      <c r="M917" s="91"/>
      <c r="N917" s="125">
        <v>0</v>
      </c>
      <c r="O917" s="92">
        <v>3362.04</v>
      </c>
      <c r="Q917" s="14"/>
    </row>
    <row r="918" ht="15" customHeight="1">
      <c r="B918" s="13"/>
      <c r="C918" s="22" t="s">
        <v>184</v>
      </c>
      <c r="D918" s="90" t="s">
        <v>1979</v>
      </c>
      <c r="E918" s="122" t="s">
        <v>1980</v>
      </c>
      <c r="F918" s="91" t="s">
        <v>8</v>
      </c>
      <c r="G918" s="91">
        <v>20394</v>
      </c>
      <c r="H918" s="90" t="s">
        <v>187</v>
      </c>
      <c r="I918" s="91" t="s">
        <v>21</v>
      </c>
      <c r="J918" s="91">
        <v>44093</v>
      </c>
      <c r="K918" s="121">
        <v>65</v>
      </c>
      <c r="L918" s="91">
        <v>44166</v>
      </c>
      <c r="M918" s="91">
        <v>44166</v>
      </c>
      <c r="N918" s="125">
        <v>73</v>
      </c>
      <c r="O918" s="92">
        <v>12.32</v>
      </c>
      <c r="Q918" s="14"/>
    </row>
    <row r="919" ht="15" customHeight="1">
      <c r="B919" s="13"/>
      <c r="C919" s="22" t="s">
        <v>1702</v>
      </c>
      <c r="D919" s="90" t="s">
        <v>1981</v>
      </c>
      <c r="E919" s="122" t="s">
        <v>1982</v>
      </c>
      <c r="F919" s="91" t="s">
        <v>8</v>
      </c>
      <c r="G919" s="91">
        <v>30037</v>
      </c>
      <c r="H919" s="90" t="s">
        <v>187</v>
      </c>
      <c r="I919" s="91" t="s">
        <v>21</v>
      </c>
      <c r="J919" s="91">
        <v>44292</v>
      </c>
      <c r="K919" s="121">
        <v>39</v>
      </c>
      <c r="L919" s="91">
        <v>44520</v>
      </c>
      <c r="M919" s="91">
        <v>44520</v>
      </c>
      <c r="N919" s="125">
        <v>228</v>
      </c>
      <c r="O919" s="92">
        <v>2945.23</v>
      </c>
      <c r="Q919" s="14"/>
    </row>
    <row r="920" ht="15" customHeight="1">
      <c r="B920" s="13"/>
      <c r="C920" s="22" t="s">
        <v>184</v>
      </c>
      <c r="D920" s="90" t="s">
        <v>1983</v>
      </c>
      <c r="E920" s="122" t="s">
        <v>1984</v>
      </c>
      <c r="F920" s="91" t="s">
        <v>8</v>
      </c>
      <c r="G920" s="91">
        <v>24296</v>
      </c>
      <c r="H920" s="90" t="s">
        <v>187</v>
      </c>
      <c r="I920" s="91" t="s">
        <v>21</v>
      </c>
      <c r="J920" s="91">
        <v>44243</v>
      </c>
      <c r="K920" s="121">
        <v>55</v>
      </c>
      <c r="L920" s="91">
        <v>44355</v>
      </c>
      <c r="M920" s="91">
        <v>44355</v>
      </c>
      <c r="N920" s="125">
        <v>112</v>
      </c>
      <c r="O920" s="92">
        <v>1376.1399999999999</v>
      </c>
      <c r="Q920" s="14"/>
    </row>
    <row r="921" ht="15" customHeight="1">
      <c r="B921" s="13"/>
      <c r="C921" s="22" t="s">
        <v>184</v>
      </c>
      <c r="D921" s="90" t="s">
        <v>1985</v>
      </c>
      <c r="E921" s="122" t="s">
        <v>1986</v>
      </c>
      <c r="F921" s="91" t="s">
        <v>8</v>
      </c>
      <c r="G921" s="91">
        <v>31986</v>
      </c>
      <c r="H921" s="90" t="s">
        <v>187</v>
      </c>
      <c r="I921" s="91" t="s">
        <v>21</v>
      </c>
      <c r="J921" s="91">
        <v>44482</v>
      </c>
      <c r="K921" s="121">
        <v>34</v>
      </c>
      <c r="L921" s="91">
        <v>44518</v>
      </c>
      <c r="M921" s="91"/>
      <c r="N921" s="125">
        <v>0</v>
      </c>
      <c r="O921" s="92">
        <v>144.27</v>
      </c>
      <c r="Q921" s="14"/>
    </row>
    <row r="922" ht="15" customHeight="1">
      <c r="B922" s="13"/>
      <c r="C922" s="22" t="s">
        <v>135</v>
      </c>
      <c r="D922" s="90" t="s">
        <v>1987</v>
      </c>
      <c r="E922" s="122" t="s">
        <v>1988</v>
      </c>
      <c r="F922" s="91" t="s">
        <v>10</v>
      </c>
      <c r="G922" s="91">
        <v>34823</v>
      </c>
      <c r="H922" s="90" t="s">
        <v>197</v>
      </c>
      <c r="I922" s="91" t="s">
        <v>21</v>
      </c>
      <c r="J922" s="91">
        <v>44365</v>
      </c>
      <c r="K922" s="121">
        <v>26</v>
      </c>
      <c r="L922" s="91">
        <v>44417</v>
      </c>
      <c r="M922" s="91">
        <v>44417</v>
      </c>
      <c r="N922" s="125">
        <v>52</v>
      </c>
      <c r="O922" s="92">
        <v>4813.21</v>
      </c>
      <c r="Q922" s="14"/>
    </row>
    <row r="923" ht="15" customHeight="1">
      <c r="B923" s="13"/>
      <c r="C923" s="22" t="s">
        <v>674</v>
      </c>
      <c r="D923" s="90" t="s">
        <v>1989</v>
      </c>
      <c r="E923" s="122" t="s">
        <v>1990</v>
      </c>
      <c r="F923" s="91" t="s">
        <v>8</v>
      </c>
      <c r="G923" s="91">
        <v>34291</v>
      </c>
      <c r="H923" s="90" t="s">
        <v>187</v>
      </c>
      <c r="I923" s="91" t="s">
        <v>21</v>
      </c>
      <c r="J923" s="91">
        <v>44276</v>
      </c>
      <c r="K923" s="121">
        <v>28</v>
      </c>
      <c r="L923" s="91">
        <v>44369</v>
      </c>
      <c r="M923" s="91">
        <v>44369</v>
      </c>
      <c r="N923" s="125">
        <v>93</v>
      </c>
      <c r="O923" s="92">
        <v>3014.64</v>
      </c>
      <c r="Q923" s="14"/>
    </row>
    <row r="924" ht="15" customHeight="1">
      <c r="B924" s="13"/>
      <c r="C924" s="22" t="s">
        <v>184</v>
      </c>
      <c r="D924" s="90" t="s">
        <v>1991</v>
      </c>
      <c r="E924" s="122" t="s">
        <v>1992</v>
      </c>
      <c r="F924" s="91" t="s">
        <v>8</v>
      </c>
      <c r="G924" s="91">
        <v>33295</v>
      </c>
      <c r="H924" s="90" t="s">
        <v>187</v>
      </c>
      <c r="I924" s="91" t="s">
        <v>21</v>
      </c>
      <c r="J924" s="91">
        <v>44448</v>
      </c>
      <c r="K924" s="121">
        <v>30</v>
      </c>
      <c r="L924" s="91">
        <v>44489</v>
      </c>
      <c r="M924" s="91"/>
      <c r="N924" s="125">
        <v>0</v>
      </c>
      <c r="O924" s="92">
        <v>260.76</v>
      </c>
      <c r="Q924" s="14"/>
    </row>
    <row r="925" ht="15" customHeight="1">
      <c r="B925" s="13"/>
      <c r="C925" s="22" t="s">
        <v>184</v>
      </c>
      <c r="D925" s="90" t="s">
        <v>1993</v>
      </c>
      <c r="E925" s="122" t="s">
        <v>1994</v>
      </c>
      <c r="F925" s="91" t="s">
        <v>8</v>
      </c>
      <c r="G925" s="91">
        <v>32056</v>
      </c>
      <c r="H925" s="90" t="s">
        <v>197</v>
      </c>
      <c r="I925" s="91" t="s">
        <v>21</v>
      </c>
      <c r="J925" s="91">
        <v>44280</v>
      </c>
      <c r="K925" s="121">
        <v>34</v>
      </c>
      <c r="L925" s="91">
        <v>44347</v>
      </c>
      <c r="M925" s="91">
        <v>44347</v>
      </c>
      <c r="N925" s="125">
        <v>67</v>
      </c>
      <c r="O925" s="92">
        <v>1284.38</v>
      </c>
      <c r="Q925" s="14"/>
    </row>
    <row r="926" ht="15" customHeight="1">
      <c r="B926" s="13"/>
      <c r="C926" s="22" t="s">
        <v>184</v>
      </c>
      <c r="D926" s="90" t="s">
        <v>1995</v>
      </c>
      <c r="E926" s="122" t="s">
        <v>1996</v>
      </c>
      <c r="F926" s="91" t="s">
        <v>8</v>
      </c>
      <c r="G926" s="91">
        <v>23559</v>
      </c>
      <c r="H926" s="90" t="s">
        <v>187</v>
      </c>
      <c r="I926" s="91" t="s">
        <v>21</v>
      </c>
      <c r="J926" s="91">
        <v>44295</v>
      </c>
      <c r="K926" s="121">
        <v>57</v>
      </c>
      <c r="L926" s="91">
        <v>44442</v>
      </c>
      <c r="M926" s="91">
        <v>44442</v>
      </c>
      <c r="N926" s="125">
        <v>147</v>
      </c>
      <c r="O926" s="92">
        <v>430.7</v>
      </c>
      <c r="Q926" s="14"/>
    </row>
    <row r="927" ht="15" customHeight="1">
      <c r="B927" s="13"/>
      <c r="C927" s="22" t="s">
        <v>184</v>
      </c>
      <c r="D927" s="90" t="s">
        <v>1997</v>
      </c>
      <c r="E927" s="122" t="s">
        <v>1998</v>
      </c>
      <c r="F927" s="91" t="s">
        <v>8</v>
      </c>
      <c r="G927" s="91">
        <v>28294</v>
      </c>
      <c r="H927" s="90" t="s">
        <v>187</v>
      </c>
      <c r="I927" s="91" t="s">
        <v>21</v>
      </c>
      <c r="J927" s="91">
        <v>44399</v>
      </c>
      <c r="K927" s="121">
        <v>44</v>
      </c>
      <c r="L927" s="91">
        <v>44445</v>
      </c>
      <c r="M927" s="91">
        <v>44445</v>
      </c>
      <c r="N927" s="125">
        <v>46</v>
      </c>
      <c r="O927" s="92">
        <v>524.11</v>
      </c>
      <c r="Q927" s="14"/>
    </row>
    <row r="928" ht="15" customHeight="1">
      <c r="B928" s="13"/>
      <c r="C928" s="22" t="s">
        <v>184</v>
      </c>
      <c r="D928" s="90" t="s">
        <v>1999</v>
      </c>
      <c r="E928" s="122" t="s">
        <v>1927</v>
      </c>
      <c r="F928" s="91" t="s">
        <v>10</v>
      </c>
      <c r="G928" s="91">
        <v>7028</v>
      </c>
      <c r="H928" s="90" t="s">
        <v>187</v>
      </c>
      <c r="I928" s="91" t="s">
        <v>21</v>
      </c>
      <c r="J928" s="91">
        <v>44438</v>
      </c>
      <c r="K928" s="121">
        <v>102</v>
      </c>
      <c r="L928" s="91">
        <v>44518</v>
      </c>
      <c r="M928" s="91"/>
      <c r="N928" s="125">
        <v>0</v>
      </c>
      <c r="O928" s="92">
        <v>545.18999999999994</v>
      </c>
      <c r="Q928" s="14"/>
    </row>
    <row r="929" ht="15" customHeight="1">
      <c r="B929" s="13"/>
      <c r="C929" s="22" t="s">
        <v>184</v>
      </c>
      <c r="D929" s="90" t="s">
        <v>2000</v>
      </c>
      <c r="E929" s="122" t="s">
        <v>2001</v>
      </c>
      <c r="F929" s="91" t="s">
        <v>8</v>
      </c>
      <c r="G929" s="91">
        <v>25720</v>
      </c>
      <c r="H929" s="90" t="s">
        <v>187</v>
      </c>
      <c r="I929" s="91" t="s">
        <v>21</v>
      </c>
      <c r="J929" s="91">
        <v>43979</v>
      </c>
      <c r="K929" s="121">
        <v>50</v>
      </c>
      <c r="L929" s="91">
        <v>44074</v>
      </c>
      <c r="M929" s="91">
        <v>44074</v>
      </c>
      <c r="N929" s="125">
        <v>95</v>
      </c>
      <c r="O929" s="92">
        <v>1456.62</v>
      </c>
      <c r="Q929" s="14"/>
    </row>
    <row r="930" ht="15" customHeight="1">
      <c r="B930" s="13"/>
      <c r="C930" s="22" t="s">
        <v>184</v>
      </c>
      <c r="D930" s="90" t="s">
        <v>2002</v>
      </c>
      <c r="E930" s="122" t="s">
        <v>2003</v>
      </c>
      <c r="F930" s="91" t="s">
        <v>8</v>
      </c>
      <c r="G930" s="91">
        <v>28037</v>
      </c>
      <c r="H930" s="90" t="s">
        <v>187</v>
      </c>
      <c r="I930" s="91" t="s">
        <v>21</v>
      </c>
      <c r="J930" s="91">
        <v>43865</v>
      </c>
      <c r="K930" s="121">
        <v>44</v>
      </c>
      <c r="L930" s="91">
        <v>44500</v>
      </c>
      <c r="M930" s="91">
        <v>44578</v>
      </c>
      <c r="N930" s="125">
        <v>713</v>
      </c>
      <c r="O930" s="92">
        <v>4629.15</v>
      </c>
      <c r="Q930" s="14"/>
    </row>
    <row r="931" ht="15" customHeight="1">
      <c r="B931" s="13"/>
      <c r="C931" s="166"/>
      <c r="D931" s="167"/>
      <c r="E931" s="168"/>
      <c r="F931" s="169"/>
      <c r="G931" s="169"/>
      <c r="H931" s="167"/>
      <c r="I931" s="169"/>
      <c r="J931" s="169"/>
      <c r="K931" s="170"/>
      <c r="L931" s="169"/>
      <c r="M931" s="169"/>
      <c r="N931" s="171"/>
      <c r="O931" s="172"/>
      <c r="Q931" s="14"/>
    </row>
    <row r="932" ht="15" customHeight="1">
      <c r="B932" s="13"/>
      <c r="E932" s="123"/>
      <c r="F932" s="119"/>
      <c r="G932" s="119"/>
      <c r="I932" s="119"/>
      <c r="J932" s="119"/>
      <c r="K932" s="124"/>
      <c r="L932" s="119"/>
      <c r="M932" s="119"/>
      <c r="N932" s="126"/>
      <c r="O932" s="120"/>
      <c r="Q932" s="14"/>
    </row>
    <row r="933" ht="15" customHeight="1">
      <c r="B933" s="13"/>
      <c r="E933" s="123"/>
      <c r="F933" s="119"/>
      <c r="G933" s="119"/>
      <c r="I933" s="119"/>
      <c r="J933" s="119"/>
      <c r="K933" s="124"/>
      <c r="L933" s="119"/>
      <c r="M933" s="119"/>
      <c r="N933" s="126"/>
      <c r="O933" s="120"/>
      <c r="Q933" s="14"/>
    </row>
    <row r="934" ht="15" customHeight="1">
      <c r="B934" s="13"/>
      <c r="E934" s="123"/>
      <c r="F934" s="119"/>
      <c r="G934" s="119"/>
      <c r="I934" s="119"/>
      <c r="J934" s="119"/>
      <c r="K934" s="124"/>
      <c r="L934" s="119"/>
      <c r="M934" s="119"/>
      <c r="N934" s="126"/>
      <c r="O934" s="120"/>
      <c r="Q934" s="14"/>
    </row>
    <row r="935" ht="15" customHeight="1">
      <c r="B935" s="13"/>
      <c r="E935" s="123"/>
      <c r="F935" s="119"/>
      <c r="G935" s="119"/>
      <c r="I935" s="119"/>
      <c r="J935" s="119"/>
      <c r="K935" s="124"/>
      <c r="L935" s="119"/>
      <c r="M935" s="119"/>
      <c r="N935" s="126"/>
      <c r="O935" s="120"/>
      <c r="Q935" s="14"/>
    </row>
    <row r="936" ht="15" customHeight="1">
      <c r="B936" s="13"/>
      <c r="E936" s="123"/>
      <c r="F936" s="119"/>
      <c r="G936" s="119"/>
      <c r="I936" s="119"/>
      <c r="J936" s="119"/>
      <c r="K936" s="124"/>
      <c r="L936" s="119"/>
      <c r="M936" s="119"/>
      <c r="N936" s="126"/>
      <c r="O936" s="120"/>
      <c r="Q936" s="14"/>
    </row>
    <row r="937" ht="15" customHeight="1">
      <c r="B937" s="13"/>
      <c r="E937" s="123"/>
      <c r="F937" s="119"/>
      <c r="G937" s="119"/>
      <c r="I937" s="119"/>
      <c r="J937" s="119"/>
      <c r="K937" s="124"/>
      <c r="L937" s="119"/>
      <c r="M937" s="119"/>
      <c r="N937" s="126"/>
      <c r="O937" s="120"/>
      <c r="Q937" s="14"/>
    </row>
    <row r="938" ht="15" customHeight="1">
      <c r="B938" s="13"/>
      <c r="E938" s="123"/>
      <c r="F938" s="119"/>
      <c r="G938" s="119"/>
      <c r="I938" s="119"/>
      <c r="J938" s="119"/>
      <c r="K938" s="124"/>
      <c r="L938" s="119"/>
      <c r="M938" s="119"/>
      <c r="N938" s="126"/>
      <c r="O938" s="120"/>
      <c r="Q938" s="14"/>
    </row>
    <row r="939" ht="15" customHeight="1">
      <c r="B939" s="13"/>
      <c r="E939" s="123"/>
      <c r="F939" s="119"/>
      <c r="G939" s="119"/>
      <c r="I939" s="119"/>
      <c r="J939" s="119"/>
      <c r="K939" s="124"/>
      <c r="L939" s="119"/>
      <c r="M939" s="119"/>
      <c r="N939" s="126"/>
      <c r="O939" s="120"/>
      <c r="Q939" s="14"/>
    </row>
    <row r="940" ht="15" customHeight="1">
      <c r="B940" s="13"/>
      <c r="E940" s="123"/>
      <c r="F940" s="119"/>
      <c r="G940" s="119"/>
      <c r="I940" s="119"/>
      <c r="J940" s="119"/>
      <c r="K940" s="124"/>
      <c r="L940" s="119"/>
      <c r="M940" s="119"/>
      <c r="N940" s="126"/>
      <c r="O940" s="120"/>
      <c r="Q940" s="14"/>
    </row>
    <row r="941" ht="15" customHeight="1">
      <c r="B941" s="13"/>
      <c r="E941" s="123"/>
      <c r="F941" s="119"/>
      <c r="G941" s="119"/>
      <c r="I941" s="119"/>
      <c r="J941" s="119"/>
      <c r="K941" s="124"/>
      <c r="L941" s="119"/>
      <c r="M941" s="119"/>
      <c r="N941" s="126"/>
      <c r="O941" s="120"/>
      <c r="Q941" s="14"/>
    </row>
    <row r="942" ht="15" customHeight="1">
      <c r="B942" s="13"/>
      <c r="E942" s="123"/>
      <c r="F942" s="119"/>
      <c r="G942" s="119"/>
      <c r="I942" s="119"/>
      <c r="J942" s="119"/>
      <c r="K942" s="124"/>
      <c r="L942" s="119"/>
      <c r="M942" s="119"/>
      <c r="N942" s="126"/>
      <c r="O942" s="120"/>
      <c r="Q942" s="14"/>
    </row>
    <row r="943" ht="15" customHeight="1">
      <c r="B943" s="13"/>
      <c r="E943" s="123"/>
      <c r="F943" s="119"/>
      <c r="G943" s="119"/>
      <c r="I943" s="119"/>
      <c r="J943" s="119"/>
      <c r="K943" s="124"/>
      <c r="L943" s="119"/>
      <c r="M943" s="119"/>
      <c r="N943" s="126"/>
      <c r="O943" s="120"/>
      <c r="Q943" s="14"/>
    </row>
    <row r="944" ht="15" customHeight="1">
      <c r="B944" s="13"/>
      <c r="E944" s="123"/>
      <c r="F944" s="119"/>
      <c r="G944" s="119"/>
      <c r="I944" s="119"/>
      <c r="J944" s="119"/>
      <c r="K944" s="124"/>
      <c r="L944" s="119"/>
      <c r="M944" s="119"/>
      <c r="N944" s="126"/>
      <c r="O944" s="120"/>
      <c r="Q944" s="14"/>
    </row>
    <row r="945" ht="15" customHeight="1">
      <c r="B945" s="13"/>
      <c r="E945" s="123"/>
      <c r="F945" s="119"/>
      <c r="G945" s="119"/>
      <c r="I945" s="119"/>
      <c r="J945" s="119"/>
      <c r="K945" s="124"/>
      <c r="L945" s="119"/>
      <c r="M945" s="119"/>
      <c r="N945" s="126"/>
      <c r="O945" s="120"/>
      <c r="Q945" s="14"/>
    </row>
    <row r="946" ht="15" customHeight="1">
      <c r="B946" s="13"/>
      <c r="E946" s="123"/>
      <c r="F946" s="119"/>
      <c r="G946" s="119"/>
      <c r="I946" s="119"/>
      <c r="J946" s="119"/>
      <c r="K946" s="124"/>
      <c r="L946" s="119"/>
      <c r="M946" s="119"/>
      <c r="N946" s="126"/>
      <c r="O946" s="120"/>
      <c r="Q946" s="14"/>
    </row>
    <row r="947" ht="15" customHeight="1">
      <c r="B947" s="13"/>
      <c r="E947" s="123"/>
      <c r="F947" s="119"/>
      <c r="G947" s="119"/>
      <c r="I947" s="119"/>
      <c r="J947" s="119"/>
      <c r="K947" s="124"/>
      <c r="L947" s="119"/>
      <c r="M947" s="119"/>
      <c r="N947" s="126"/>
      <c r="O947" s="120"/>
      <c r="Q947" s="14"/>
    </row>
    <row r="948" ht="15" customHeight="1">
      <c r="B948" s="13"/>
      <c r="E948" s="123"/>
      <c r="F948" s="119"/>
      <c r="G948" s="119"/>
      <c r="I948" s="119"/>
      <c r="J948" s="119"/>
      <c r="K948" s="124"/>
      <c r="L948" s="119"/>
      <c r="M948" s="119"/>
      <c r="N948" s="126"/>
      <c r="O948" s="120"/>
      <c r="Q948" s="14"/>
    </row>
    <row r="949" ht="15" customHeight="1">
      <c r="B949" s="13"/>
      <c r="E949" s="123"/>
      <c r="F949" s="119"/>
      <c r="G949" s="119"/>
      <c r="I949" s="119"/>
      <c r="J949" s="119"/>
      <c r="K949" s="124"/>
      <c r="L949" s="119"/>
      <c r="M949" s="119"/>
      <c r="N949" s="126"/>
      <c r="O949" s="120"/>
      <c r="Q949" s="14"/>
    </row>
    <row r="950" ht="15" customHeight="1">
      <c r="B950" s="13"/>
      <c r="E950" s="123"/>
      <c r="F950" s="119"/>
      <c r="G950" s="119"/>
      <c r="I950" s="119"/>
      <c r="J950" s="119"/>
      <c r="K950" s="124"/>
      <c r="L950" s="119"/>
      <c r="M950" s="119"/>
      <c r="N950" s="126"/>
      <c r="O950" s="120"/>
      <c r="Q950" s="14"/>
    </row>
    <row r="951" ht="15" customHeight="1">
      <c r="B951" s="13"/>
      <c r="E951" s="123"/>
      <c r="F951" s="119"/>
      <c r="G951" s="119"/>
      <c r="I951" s="119"/>
      <c r="J951" s="119"/>
      <c r="K951" s="124"/>
      <c r="L951" s="119"/>
      <c r="M951" s="119"/>
      <c r="N951" s="126"/>
      <c r="O951" s="120"/>
      <c r="Q951" s="14"/>
    </row>
    <row r="952" ht="15" customHeight="1">
      <c r="B952" s="13"/>
      <c r="E952" s="123"/>
      <c r="F952" s="119"/>
      <c r="G952" s="119"/>
      <c r="I952" s="119"/>
      <c r="J952" s="119"/>
      <c r="K952" s="124"/>
      <c r="L952" s="119"/>
      <c r="M952" s="119"/>
      <c r="N952" s="126"/>
      <c r="O952" s="120"/>
      <c r="Q952" s="14"/>
    </row>
    <row r="953" ht="15" customHeight="1">
      <c r="B953" s="13"/>
      <c r="E953" s="123"/>
      <c r="F953" s="119"/>
      <c r="G953" s="119"/>
      <c r="I953" s="119"/>
      <c r="J953" s="119"/>
      <c r="K953" s="124"/>
      <c r="L953" s="119"/>
      <c r="M953" s="119"/>
      <c r="N953" s="126"/>
      <c r="O953" s="120"/>
      <c r="Q953" s="14"/>
    </row>
    <row r="954" ht="15" customHeight="1">
      <c r="B954" s="13"/>
      <c r="E954" s="123"/>
      <c r="F954" s="119"/>
      <c r="G954" s="119"/>
      <c r="I954" s="119"/>
      <c r="J954" s="119"/>
      <c r="K954" s="124"/>
      <c r="L954" s="119"/>
      <c r="M954" s="119"/>
      <c r="N954" s="126"/>
      <c r="O954" s="120"/>
      <c r="Q954" s="14"/>
    </row>
    <row r="955" ht="15" customHeight="1">
      <c r="B955" s="13"/>
      <c r="E955" s="123"/>
      <c r="F955" s="119"/>
      <c r="G955" s="119"/>
      <c r="I955" s="119"/>
      <c r="J955" s="119"/>
      <c r="K955" s="124"/>
      <c r="L955" s="119"/>
      <c r="M955" s="119"/>
      <c r="N955" s="126"/>
      <c r="O955" s="120"/>
      <c r="Q955" s="14"/>
    </row>
    <row r="956" ht="15" customHeight="1">
      <c r="B956" s="13"/>
      <c r="E956" s="123"/>
      <c r="F956" s="119"/>
      <c r="G956" s="119"/>
      <c r="I956" s="119"/>
      <c r="J956" s="119"/>
      <c r="K956" s="124"/>
      <c r="L956" s="119"/>
      <c r="M956" s="119"/>
      <c r="N956" s="126"/>
      <c r="O956" s="120"/>
      <c r="Q956" s="14"/>
    </row>
    <row r="957" ht="15" customHeight="1">
      <c r="B957" s="13"/>
      <c r="E957" s="123"/>
      <c r="F957" s="119"/>
      <c r="G957" s="119"/>
      <c r="I957" s="119"/>
      <c r="J957" s="119"/>
      <c r="K957" s="124"/>
      <c r="L957" s="119"/>
      <c r="M957" s="119"/>
      <c r="N957" s="126"/>
      <c r="O957" s="120"/>
      <c r="Q957" s="14"/>
    </row>
    <row r="958" ht="15" customHeight="1">
      <c r="B958" s="13"/>
      <c r="E958" s="123"/>
      <c r="F958" s="119"/>
      <c r="G958" s="119"/>
      <c r="I958" s="119"/>
      <c r="J958" s="119"/>
      <c r="K958" s="124"/>
      <c r="L958" s="119"/>
      <c r="M958" s="119"/>
      <c r="N958" s="126"/>
      <c r="O958" s="120"/>
      <c r="Q958" s="14"/>
    </row>
    <row r="959" ht="15" customHeight="1">
      <c r="B959" s="13"/>
      <c r="E959" s="123"/>
      <c r="F959" s="119"/>
      <c r="G959" s="119"/>
      <c r="I959" s="119"/>
      <c r="J959" s="119"/>
      <c r="K959" s="124"/>
      <c r="L959" s="119"/>
      <c r="M959" s="119"/>
      <c r="N959" s="126"/>
      <c r="O959" s="120"/>
      <c r="Q959" s="14"/>
    </row>
    <row r="960" ht="15" customHeight="1">
      <c r="B960" s="13"/>
      <c r="E960" s="123"/>
      <c r="F960" s="119"/>
      <c r="G960" s="119"/>
      <c r="I960" s="119"/>
      <c r="J960" s="119"/>
      <c r="K960" s="124"/>
      <c r="L960" s="119"/>
      <c r="M960" s="119"/>
      <c r="N960" s="126"/>
      <c r="O960" s="120"/>
      <c r="Q960" s="14"/>
    </row>
    <row r="961" ht="15" customHeight="1">
      <c r="B961" s="13"/>
      <c r="E961" s="123"/>
      <c r="F961" s="119"/>
      <c r="G961" s="119"/>
      <c r="I961" s="119"/>
      <c r="J961" s="119"/>
      <c r="K961" s="124"/>
      <c r="L961" s="119"/>
      <c r="M961" s="119"/>
      <c r="N961" s="126"/>
      <c r="O961" s="120"/>
      <c r="Q961" s="14"/>
    </row>
    <row r="962" ht="15" customHeight="1">
      <c r="B962" s="13"/>
      <c r="E962" s="123"/>
      <c r="F962" s="119"/>
      <c r="G962" s="119"/>
      <c r="I962" s="119"/>
      <c r="J962" s="119"/>
      <c r="K962" s="124"/>
      <c r="L962" s="119"/>
      <c r="M962" s="119"/>
      <c r="N962" s="126"/>
      <c r="O962" s="120"/>
      <c r="Q962" s="14"/>
    </row>
    <row r="963" ht="15" customHeight="1">
      <c r="B963" s="13"/>
      <c r="E963" s="123"/>
      <c r="F963" s="119"/>
      <c r="G963" s="119"/>
      <c r="I963" s="119"/>
      <c r="J963" s="119"/>
      <c r="K963" s="124"/>
      <c r="L963" s="119"/>
      <c r="M963" s="119"/>
      <c r="N963" s="126"/>
      <c r="O963" s="120"/>
      <c r="Q963" s="14"/>
    </row>
    <row r="964" ht="15" customHeight="1">
      <c r="B964" s="13"/>
      <c r="E964" s="123"/>
      <c r="F964" s="119"/>
      <c r="G964" s="119"/>
      <c r="I964" s="119"/>
      <c r="J964" s="119"/>
      <c r="K964" s="124"/>
      <c r="L964" s="119"/>
      <c r="M964" s="119"/>
      <c r="N964" s="126"/>
      <c r="O964" s="120"/>
      <c r="Q964" s="14"/>
    </row>
    <row r="965" ht="15" customHeight="1">
      <c r="B965" s="13"/>
      <c r="E965" s="123"/>
      <c r="F965" s="119"/>
      <c r="G965" s="119"/>
      <c r="I965" s="119"/>
      <c r="J965" s="119"/>
      <c r="K965" s="124"/>
      <c r="L965" s="119"/>
      <c r="M965" s="119"/>
      <c r="N965" s="126"/>
      <c r="O965" s="120"/>
      <c r="Q965" s="14"/>
    </row>
    <row r="966" ht="15" customHeight="1">
      <c r="B966" s="13"/>
      <c r="E966" s="123"/>
      <c r="F966" s="119"/>
      <c r="G966" s="119"/>
      <c r="I966" s="119"/>
      <c r="J966" s="119"/>
      <c r="K966" s="124"/>
      <c r="L966" s="119"/>
      <c r="M966" s="119"/>
      <c r="N966" s="126"/>
      <c r="O966" s="120"/>
      <c r="Q966" s="14"/>
    </row>
    <row r="967" ht="15" customHeight="1">
      <c r="B967" s="13"/>
      <c r="E967" s="123"/>
      <c r="F967" s="119"/>
      <c r="G967" s="119"/>
      <c r="I967" s="119"/>
      <c r="J967" s="119"/>
      <c r="K967" s="124"/>
      <c r="L967" s="119"/>
      <c r="M967" s="119"/>
      <c r="N967" s="126"/>
      <c r="O967" s="120"/>
      <c r="Q967" s="14"/>
    </row>
    <row r="968" ht="15" customHeight="1">
      <c r="B968" s="13"/>
      <c r="E968" s="123"/>
      <c r="F968" s="119"/>
      <c r="G968" s="119"/>
      <c r="I968" s="119"/>
      <c r="J968" s="119"/>
      <c r="K968" s="124"/>
      <c r="L968" s="119"/>
      <c r="M968" s="119"/>
      <c r="N968" s="126"/>
      <c r="O968" s="120"/>
      <c r="Q968" s="14"/>
    </row>
    <row r="969" ht="15" customHeight="1">
      <c r="B969" s="13"/>
      <c r="E969" s="123"/>
      <c r="F969" s="119"/>
      <c r="G969" s="119"/>
      <c r="I969" s="119"/>
      <c r="J969" s="119"/>
      <c r="K969" s="124"/>
      <c r="L969" s="119"/>
      <c r="M969" s="119"/>
      <c r="N969" s="126"/>
      <c r="O969" s="120"/>
      <c r="Q969" s="14"/>
    </row>
    <row r="970" ht="15" customHeight="1">
      <c r="B970" s="13"/>
      <c r="E970" s="123"/>
      <c r="F970" s="119"/>
      <c r="G970" s="119"/>
      <c r="I970" s="119"/>
      <c r="J970" s="119"/>
      <c r="K970" s="124"/>
      <c r="L970" s="119"/>
      <c r="M970" s="119"/>
      <c r="N970" s="126"/>
      <c r="O970" s="120"/>
      <c r="Q970" s="14"/>
    </row>
    <row r="971" ht="15" customHeight="1">
      <c r="B971" s="13"/>
      <c r="E971" s="123"/>
      <c r="F971" s="119"/>
      <c r="G971" s="119"/>
      <c r="I971" s="119"/>
      <c r="J971" s="119"/>
      <c r="K971" s="124"/>
      <c r="L971" s="119"/>
      <c r="M971" s="119"/>
      <c r="N971" s="126"/>
      <c r="O971" s="120"/>
      <c r="Q971" s="14"/>
    </row>
    <row r="972" ht="15" customHeight="1">
      <c r="B972" s="13"/>
      <c r="E972" s="123"/>
      <c r="F972" s="119"/>
      <c r="G972" s="119"/>
      <c r="I972" s="119"/>
      <c r="J972" s="119"/>
      <c r="K972" s="124"/>
      <c r="L972" s="119"/>
      <c r="M972" s="119"/>
      <c r="N972" s="126"/>
      <c r="O972" s="120"/>
      <c r="Q972" s="14"/>
    </row>
    <row r="973" ht="15" customHeight="1">
      <c r="B973" s="13"/>
      <c r="E973" s="123"/>
      <c r="F973" s="119"/>
      <c r="G973" s="119"/>
      <c r="I973" s="119"/>
      <c r="J973" s="119"/>
      <c r="K973" s="124"/>
      <c r="L973" s="119"/>
      <c r="M973" s="119"/>
      <c r="N973" s="126"/>
      <c r="O973" s="120"/>
      <c r="Q973" s="14"/>
    </row>
    <row r="974" ht="15" customHeight="1">
      <c r="B974" s="13"/>
      <c r="E974" s="123"/>
      <c r="F974" s="119"/>
      <c r="G974" s="119"/>
      <c r="I974" s="119"/>
      <c r="J974" s="119"/>
      <c r="K974" s="124"/>
      <c r="L974" s="119"/>
      <c r="M974" s="119"/>
      <c r="N974" s="126"/>
      <c r="O974" s="120"/>
      <c r="Q974" s="14"/>
    </row>
    <row r="975" ht="15" customHeight="1">
      <c r="B975" s="13"/>
      <c r="E975" s="123"/>
      <c r="F975" s="119"/>
      <c r="G975" s="119"/>
      <c r="I975" s="119"/>
      <c r="J975" s="119"/>
      <c r="K975" s="124"/>
      <c r="L975" s="119"/>
      <c r="M975" s="119"/>
      <c r="N975" s="126"/>
      <c r="O975" s="120"/>
      <c r="Q975" s="14"/>
    </row>
    <row r="976" ht="15" customHeight="1">
      <c r="B976" s="13"/>
      <c r="E976" s="123"/>
      <c r="F976" s="119"/>
      <c r="G976" s="119"/>
      <c r="I976" s="119"/>
      <c r="J976" s="119"/>
      <c r="K976" s="124"/>
      <c r="L976" s="119"/>
      <c r="M976" s="119"/>
      <c r="N976" s="126"/>
      <c r="O976" s="120"/>
      <c r="Q976" s="14"/>
    </row>
    <row r="977" ht="15" customHeight="1">
      <c r="B977" s="13"/>
      <c r="E977" s="123"/>
      <c r="F977" s="119"/>
      <c r="G977" s="119"/>
      <c r="I977" s="119"/>
      <c r="J977" s="119"/>
      <c r="K977" s="124"/>
      <c r="L977" s="119"/>
      <c r="M977" s="119"/>
      <c r="N977" s="126"/>
      <c r="O977" s="120"/>
      <c r="Q977" s="14"/>
    </row>
    <row r="978" ht="15" customHeight="1">
      <c r="B978" s="13"/>
      <c r="E978" s="123"/>
      <c r="F978" s="119"/>
      <c r="G978" s="119"/>
      <c r="I978" s="119"/>
      <c r="J978" s="119"/>
      <c r="K978" s="124"/>
      <c r="L978" s="119"/>
      <c r="M978" s="119"/>
      <c r="N978" s="126"/>
      <c r="O978" s="120"/>
      <c r="Q978" s="14"/>
    </row>
    <row r="979" ht="15" customHeight="1">
      <c r="B979" s="13"/>
      <c r="E979" s="123"/>
      <c r="F979" s="119"/>
      <c r="G979" s="119"/>
      <c r="I979" s="119"/>
      <c r="J979" s="119"/>
      <c r="K979" s="124"/>
      <c r="L979" s="119"/>
      <c r="M979" s="119"/>
      <c r="N979" s="126"/>
      <c r="O979" s="120"/>
      <c r="Q979" s="14"/>
    </row>
    <row r="980" ht="15" customHeight="1">
      <c r="B980" s="13"/>
      <c r="E980" s="123"/>
      <c r="F980" s="119"/>
      <c r="G980" s="119"/>
      <c r="I980" s="119"/>
      <c r="J980" s="119"/>
      <c r="K980" s="124"/>
      <c r="L980" s="119"/>
      <c r="M980" s="119"/>
      <c r="N980" s="126"/>
      <c r="O980" s="120"/>
      <c r="Q980" s="14"/>
    </row>
    <row r="981" ht="15" customHeight="1">
      <c r="B981" s="13"/>
      <c r="E981" s="123"/>
      <c r="F981" s="119"/>
      <c r="G981" s="119"/>
      <c r="I981" s="119"/>
      <c r="J981" s="119"/>
      <c r="K981" s="124"/>
      <c r="L981" s="119"/>
      <c r="M981" s="119"/>
      <c r="N981" s="126"/>
      <c r="O981" s="120"/>
      <c r="Q981" s="14"/>
    </row>
    <row r="982" ht="15" customHeight="1">
      <c r="B982" s="13"/>
      <c r="E982" s="123"/>
      <c r="F982" s="119"/>
      <c r="G982" s="119"/>
      <c r="I982" s="119"/>
      <c r="J982" s="119"/>
      <c r="K982" s="124"/>
      <c r="L982" s="119"/>
      <c r="M982" s="119"/>
      <c r="N982" s="126"/>
      <c r="O982" s="120"/>
      <c r="Q982" s="14"/>
    </row>
    <row r="983" ht="15" customHeight="1">
      <c r="B983" s="13"/>
      <c r="E983" s="123"/>
      <c r="F983" s="119"/>
      <c r="G983" s="119"/>
      <c r="I983" s="119"/>
      <c r="J983" s="119"/>
      <c r="K983" s="124"/>
      <c r="L983" s="119"/>
      <c r="M983" s="119"/>
      <c r="N983" s="126"/>
      <c r="O983" s="120"/>
      <c r="Q983" s="14"/>
    </row>
    <row r="984" ht="15" customHeight="1">
      <c r="B984" s="13"/>
      <c r="E984" s="123"/>
      <c r="F984" s="119"/>
      <c r="G984" s="119"/>
      <c r="I984" s="119"/>
      <c r="J984" s="119"/>
      <c r="K984" s="124"/>
      <c r="L984" s="119"/>
      <c r="M984" s="119"/>
      <c r="N984" s="126"/>
      <c r="O984" s="120"/>
      <c r="Q984" s="14"/>
    </row>
    <row r="985" ht="15" customHeight="1">
      <c r="B985" s="13"/>
      <c r="E985" s="123"/>
      <c r="F985" s="119"/>
      <c r="G985" s="119"/>
      <c r="I985" s="119"/>
      <c r="J985" s="119"/>
      <c r="K985" s="124"/>
      <c r="L985" s="119"/>
      <c r="M985" s="119"/>
      <c r="N985" s="126"/>
      <c r="O985" s="120"/>
      <c r="Q985" s="14"/>
    </row>
    <row r="986" ht="15" customHeight="1">
      <c r="B986" s="13"/>
      <c r="E986" s="123"/>
      <c r="F986" s="119"/>
      <c r="G986" s="119"/>
      <c r="I986" s="119"/>
      <c r="J986" s="119"/>
      <c r="K986" s="124"/>
      <c r="L986" s="119"/>
      <c r="M986" s="119"/>
      <c r="N986" s="126"/>
      <c r="O986" s="120"/>
      <c r="Q986" s="14"/>
    </row>
    <row r="987" ht="15" customHeight="1">
      <c r="B987" s="13"/>
      <c r="E987" s="123"/>
      <c r="F987" s="119"/>
      <c r="G987" s="119"/>
      <c r="I987" s="119"/>
      <c r="J987" s="119"/>
      <c r="K987" s="124"/>
      <c r="L987" s="119"/>
      <c r="M987" s="119"/>
      <c r="N987" s="126"/>
      <c r="O987" s="120"/>
      <c r="Q987" s="14"/>
    </row>
    <row r="988" ht="15" customHeight="1">
      <c r="B988" s="13"/>
      <c r="E988" s="123"/>
      <c r="F988" s="119"/>
      <c r="G988" s="119"/>
      <c r="I988" s="119"/>
      <c r="J988" s="119"/>
      <c r="K988" s="124"/>
      <c r="L988" s="119"/>
      <c r="M988" s="119"/>
      <c r="N988" s="126"/>
      <c r="O988" s="120"/>
      <c r="Q988" s="14"/>
    </row>
    <row r="989" ht="15" customHeight="1">
      <c r="B989" s="13"/>
      <c r="E989" s="123"/>
      <c r="F989" s="119"/>
      <c r="G989" s="119"/>
      <c r="I989" s="119"/>
      <c r="J989" s="119"/>
      <c r="K989" s="124"/>
      <c r="L989" s="119"/>
      <c r="M989" s="119"/>
      <c r="N989" s="126"/>
      <c r="O989" s="120"/>
      <c r="Q989" s="14"/>
    </row>
    <row r="990" ht="15" customHeight="1">
      <c r="B990" s="13"/>
      <c r="E990" s="123"/>
      <c r="F990" s="119"/>
      <c r="G990" s="119"/>
      <c r="I990" s="119"/>
      <c r="J990" s="119"/>
      <c r="K990" s="124"/>
      <c r="L990" s="119"/>
      <c r="M990" s="119"/>
      <c r="N990" s="126"/>
      <c r="O990" s="120"/>
      <c r="Q990" s="14"/>
    </row>
    <row r="991" ht="15" customHeight="1">
      <c r="B991" s="13"/>
      <c r="E991" s="123"/>
      <c r="F991" s="119"/>
      <c r="G991" s="119"/>
      <c r="I991" s="119"/>
      <c r="J991" s="119"/>
      <c r="K991" s="124"/>
      <c r="L991" s="119"/>
      <c r="M991" s="119"/>
      <c r="N991" s="126"/>
      <c r="O991" s="120"/>
      <c r="Q991" s="14"/>
    </row>
    <row r="992" ht="15" customHeight="1">
      <c r="B992" s="13"/>
      <c r="E992" s="123"/>
      <c r="F992" s="119"/>
      <c r="G992" s="119"/>
      <c r="I992" s="119"/>
      <c r="J992" s="119"/>
      <c r="K992" s="124"/>
      <c r="L992" s="119"/>
      <c r="M992" s="119"/>
      <c r="N992" s="126"/>
      <c r="O992" s="120"/>
      <c r="Q992" s="14"/>
    </row>
    <row r="993">
      <c r="B993" s="13"/>
      <c r="Q993" s="14"/>
    </row>
    <row r="994">
      <c r="A994" s="117"/>
      <c r="B994" s="118"/>
      <c r="D994" s="116"/>
      <c r="P994" s="16"/>
      <c r="Q994" s="17"/>
    </row>
    <row r="995" ht="15" customHeight="1">
      <c r="C995" s="11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11"/>
      <c r="Q995" s="11"/>
      <c r="U99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  <pageSetUpPr fitToPage="1"/>
  </sheetPr>
  <dimension ref="A1:U46"/>
  <sheetViews>
    <sheetView showGridLines="0" topLeftCell="A7" zoomScale="85" zoomScaleNormal="85" workbookViewId="0">
      <selection activeCell="C8" sqref="C8:O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0</v>
      </c>
      <c r="K11" s="81" t="s">
        <v>2004</v>
      </c>
      <c r="Q11" s="14"/>
    </row>
    <row r="12" ht="13.5" customHeight="1">
      <c r="B12" s="13"/>
      <c r="Q12" s="14"/>
    </row>
    <row r="13" ht="45">
      <c r="B13" s="13"/>
      <c r="C13" s="83" t="s">
        <v>2</v>
      </c>
      <c r="D13" s="83" t="s">
        <v>2005</v>
      </c>
      <c r="E13" s="83" t="s">
        <v>2006</v>
      </c>
      <c r="F13" s="83" t="s">
        <v>2007</v>
      </c>
      <c r="K13" s="83" t="s">
        <v>6</v>
      </c>
      <c r="L13" s="83" t="s">
        <v>3</v>
      </c>
      <c r="M13" s="83" t="s">
        <v>7</v>
      </c>
      <c r="Q13" s="14"/>
    </row>
    <row r="14" ht="15" customHeight="1">
      <c r="B14" s="13"/>
      <c r="C14" s="93" t="s">
        <v>8</v>
      </c>
      <c r="D14" s="94">
        <v>3</v>
      </c>
      <c r="E14" s="95">
        <v>56.333333333333336</v>
      </c>
      <c r="F14" s="95">
        <v>0</v>
      </c>
      <c r="K14" s="93" t="s">
        <v>9</v>
      </c>
      <c r="L14" s="93">
        <v>0</v>
      </c>
      <c r="M14" s="97">
        <v>0</v>
      </c>
      <c r="Q14" s="14"/>
    </row>
    <row r="15" ht="15" customHeight="1">
      <c r="B15" s="13"/>
      <c r="C15" s="93" t="s">
        <v>10</v>
      </c>
      <c r="D15" s="94">
        <v>0</v>
      </c>
      <c r="E15" s="95"/>
      <c r="F15" s="95"/>
      <c r="K15" s="93" t="s">
        <v>11</v>
      </c>
      <c r="L15" s="93">
        <v>0</v>
      </c>
      <c r="M15" s="97">
        <v>0</v>
      </c>
      <c r="Q15" s="14"/>
    </row>
    <row r="16" ht="15" customHeight="1">
      <c r="B16" s="13"/>
      <c r="C16" s="83" t="s">
        <v>12</v>
      </c>
      <c r="D16" s="83">
        <v>3</v>
      </c>
      <c r="E16" s="96">
        <v>56.333333333333336</v>
      </c>
      <c r="F16" s="96">
        <v>0</v>
      </c>
      <c r="K16" s="93" t="s">
        <v>13</v>
      </c>
      <c r="L16" s="93">
        <v>0</v>
      </c>
      <c r="M16" s="97">
        <v>0</v>
      </c>
      <c r="Q16" s="14"/>
    </row>
    <row r="17" ht="15" customHeight="1">
      <c r="B17" s="13"/>
      <c r="K17" s="93" t="s">
        <v>14</v>
      </c>
      <c r="L17" s="93">
        <v>0</v>
      </c>
      <c r="M17" s="97">
        <v>0</v>
      </c>
      <c r="Q17" s="14"/>
    </row>
    <row r="18" ht="15" customHeight="1">
      <c r="B18" s="13"/>
      <c r="K18" s="93" t="s">
        <v>15</v>
      </c>
      <c r="L18" s="93">
        <v>0</v>
      </c>
      <c r="M18" s="97">
        <v>0</v>
      </c>
      <c r="Q18" s="14"/>
    </row>
    <row r="19" ht="15" customHeight="1">
      <c r="B19" s="13"/>
      <c r="K19" s="93" t="s">
        <v>16</v>
      </c>
      <c r="L19" s="93">
        <v>0</v>
      </c>
      <c r="M19" s="97">
        <v>0</v>
      </c>
      <c r="Q19" s="14"/>
    </row>
    <row r="20" ht="15" customHeight="1">
      <c r="B20" s="13"/>
      <c r="K20" s="93" t="s">
        <v>17</v>
      </c>
      <c r="L20" s="93">
        <v>1</v>
      </c>
      <c r="M20" s="97">
        <v>0.33333333333333331</v>
      </c>
      <c r="Q20" s="14"/>
    </row>
    <row r="21" ht="15" customHeight="1">
      <c r="B21" s="13"/>
      <c r="K21" s="93" t="s">
        <v>18</v>
      </c>
      <c r="L21" s="93">
        <v>2</v>
      </c>
      <c r="M21" s="97">
        <v>0.66666666666666663</v>
      </c>
      <c r="Q21" s="14"/>
    </row>
    <row r="22" ht="15" customHeight="1">
      <c r="B22" s="13"/>
      <c r="K22" s="93" t="s">
        <v>19</v>
      </c>
      <c r="L22" s="93">
        <v>0</v>
      </c>
      <c r="M22" s="97">
        <v>0</v>
      </c>
      <c r="Q22" s="14"/>
    </row>
    <row r="23" ht="15" customHeight="1">
      <c r="B23" s="13"/>
      <c r="K23" s="83" t="s">
        <v>12</v>
      </c>
      <c r="L23" s="83">
        <v>3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20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3</v>
      </c>
      <c r="E36" s="83" t="s">
        <v>4</v>
      </c>
      <c r="Q36" s="14"/>
    </row>
    <row r="37" ht="15" customHeight="1">
      <c r="B37" s="13"/>
      <c r="C37" s="99" t="s">
        <v>30</v>
      </c>
      <c r="D37" s="100">
        <v>3</v>
      </c>
      <c r="E37" s="101">
        <v>56.333333333333336</v>
      </c>
      <c r="Q37" s="14"/>
    </row>
    <row r="38" ht="15" customHeight="1">
      <c r="B38" s="13"/>
      <c r="C38" s="99" t="s">
        <v>12</v>
      </c>
      <c r="D38" s="100">
        <v>3</v>
      </c>
      <c r="E38" s="101">
        <v>56.333333333333336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Q40" s="14"/>
    </row>
    <row r="41" ht="15" customHeight="1">
      <c r="B41" s="13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4" tint="0.79998168889431442"/>
    <pageSetUpPr fitToPage="1"/>
  </sheetPr>
  <dimension ref="A1:U85"/>
  <sheetViews>
    <sheetView showGridLines="0" zoomScale="85" zoomScaleNormal="85" workbookViewId="0">
      <selection activeCell="C13" sqref="C13:O20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173</v>
      </c>
      <c r="D12" s="132" t="s">
        <v>78</v>
      </c>
      <c r="E12" s="132" t="s">
        <v>174</v>
      </c>
      <c r="F12" s="132" t="s">
        <v>175</v>
      </c>
      <c r="G12" s="132" t="s">
        <v>176</v>
      </c>
      <c r="H12" s="132" t="s">
        <v>55</v>
      </c>
      <c r="I12" s="132" t="s">
        <v>177</v>
      </c>
      <c r="J12" s="132" t="s">
        <v>178</v>
      </c>
      <c r="K12" s="132" t="s">
        <v>179</v>
      </c>
      <c r="L12" s="132" t="s">
        <v>180</v>
      </c>
      <c r="M12" s="132" t="s">
        <v>181</v>
      </c>
      <c r="N12" s="132" t="s">
        <v>182</v>
      </c>
      <c r="O12" s="132" t="s">
        <v>183</v>
      </c>
      <c r="Q12" s="14"/>
    </row>
    <row r="13" ht="15" customHeight="1">
      <c r="B13" s="13"/>
      <c r="C13" s="22" t="s">
        <v>184</v>
      </c>
      <c r="D13" s="90" t="s">
        <v>2008</v>
      </c>
      <c r="E13" s="122" t="s">
        <v>2009</v>
      </c>
      <c r="F13" s="91" t="s">
        <v>8</v>
      </c>
      <c r="G13" s="91">
        <v>24809</v>
      </c>
      <c r="H13" s="90" t="s">
        <v>187</v>
      </c>
      <c r="I13" s="91" t="s">
        <v>30</v>
      </c>
      <c r="J13" s="91">
        <v>44197</v>
      </c>
      <c r="K13" s="121">
        <v>54</v>
      </c>
      <c r="L13" s="91">
        <v>44469</v>
      </c>
      <c r="M13" s="91"/>
      <c r="N13" s="125">
        <v>0</v>
      </c>
      <c r="O13" s="92">
        <v>0</v>
      </c>
      <c r="Q13" s="14"/>
    </row>
    <row r="14" ht="15" customHeight="1">
      <c r="B14" s="13"/>
      <c r="C14" s="22" t="s">
        <v>135</v>
      </c>
      <c r="D14" s="90" t="s">
        <v>2010</v>
      </c>
      <c r="E14" s="122" t="s">
        <v>2011</v>
      </c>
      <c r="F14" s="91" t="s">
        <v>8</v>
      </c>
      <c r="G14" s="91">
        <v>25368</v>
      </c>
      <c r="H14" s="90" t="s">
        <v>187</v>
      </c>
      <c r="I14" s="91" t="s">
        <v>30</v>
      </c>
      <c r="J14" s="91">
        <v>44010</v>
      </c>
      <c r="K14" s="121">
        <v>51</v>
      </c>
      <c r="L14" s="91">
        <v>44469</v>
      </c>
      <c r="M14" s="91"/>
      <c r="N14" s="125">
        <v>0</v>
      </c>
      <c r="O14" s="92">
        <v>0</v>
      </c>
      <c r="Q14" s="14"/>
    </row>
    <row r="15" ht="15" customHeight="1">
      <c r="B15" s="13"/>
      <c r="C15" s="22" t="s">
        <v>135</v>
      </c>
      <c r="D15" s="90" t="s">
        <v>2012</v>
      </c>
      <c r="E15" s="122" t="s">
        <v>2013</v>
      </c>
      <c r="F15" s="91" t="s">
        <v>8</v>
      </c>
      <c r="G15" s="91">
        <v>22651</v>
      </c>
      <c r="H15" s="90" t="s">
        <v>197</v>
      </c>
      <c r="I15" s="91" t="s">
        <v>30</v>
      </c>
      <c r="J15" s="91">
        <v>44232</v>
      </c>
      <c r="K15" s="121">
        <v>59</v>
      </c>
      <c r="L15" s="91">
        <v>44469</v>
      </c>
      <c r="M15" s="91"/>
      <c r="N15" s="125">
        <v>0</v>
      </c>
      <c r="O15" s="92">
        <v>14451.329999999998</v>
      </c>
      <c r="Q15" s="14"/>
    </row>
    <row r="16" ht="15" customHeight="1">
      <c r="B16" s="13"/>
      <c r="C16" s="22" t="s">
        <v>184</v>
      </c>
      <c r="D16" s="90" t="s">
        <v>684</v>
      </c>
      <c r="E16" s="122" t="s">
        <v>685</v>
      </c>
      <c r="F16" s="91" t="s">
        <v>8</v>
      </c>
      <c r="G16" s="91">
        <v>24075</v>
      </c>
      <c r="H16" s="90" t="s">
        <v>197</v>
      </c>
      <c r="I16" s="91" t="s">
        <v>30</v>
      </c>
      <c r="J16" s="91">
        <v>44013</v>
      </c>
      <c r="K16" s="121">
        <v>55</v>
      </c>
      <c r="L16" s="91">
        <v>44469</v>
      </c>
      <c r="M16" s="91"/>
      <c r="N16" s="125">
        <v>0</v>
      </c>
      <c r="O16" s="92">
        <v>4865.1900000000005</v>
      </c>
      <c r="Q16" s="14"/>
    </row>
    <row r="17" ht="15" customHeight="1">
      <c r="B17" s="13"/>
      <c r="C17" s="22" t="s">
        <v>184</v>
      </c>
      <c r="D17" s="90" t="s">
        <v>2014</v>
      </c>
      <c r="E17" s="122" t="s">
        <v>2015</v>
      </c>
      <c r="F17" s="91" t="s">
        <v>8</v>
      </c>
      <c r="G17" s="91">
        <v>25786</v>
      </c>
      <c r="H17" s="90" t="s">
        <v>187</v>
      </c>
      <c r="I17" s="91" t="s">
        <v>30</v>
      </c>
      <c r="J17" s="91">
        <v>43852</v>
      </c>
      <c r="K17" s="121">
        <v>50</v>
      </c>
      <c r="L17" s="91">
        <v>44469</v>
      </c>
      <c r="M17" s="91"/>
      <c r="N17" s="125">
        <v>0</v>
      </c>
      <c r="O17" s="92">
        <v>0</v>
      </c>
      <c r="Q17" s="14"/>
    </row>
    <row r="18" ht="15" customHeight="1">
      <c r="B18" s="13"/>
      <c r="C18" s="22" t="s">
        <v>184</v>
      </c>
      <c r="D18" s="90" t="s">
        <v>1020</v>
      </c>
      <c r="E18" s="122" t="s">
        <v>1021</v>
      </c>
      <c r="F18" s="91" t="s">
        <v>8</v>
      </c>
      <c r="G18" s="91">
        <v>23359</v>
      </c>
      <c r="H18" s="90" t="s">
        <v>187</v>
      </c>
      <c r="I18" s="91" t="s">
        <v>30</v>
      </c>
      <c r="J18" s="91">
        <v>44180</v>
      </c>
      <c r="K18" s="121">
        <v>57</v>
      </c>
      <c r="L18" s="91">
        <v>44469</v>
      </c>
      <c r="M18" s="91"/>
      <c r="N18" s="125">
        <v>0</v>
      </c>
      <c r="O18" s="92">
        <v>6779.88</v>
      </c>
      <c r="Q18" s="14"/>
    </row>
    <row r="19" ht="15" customHeight="1">
      <c r="B19" s="13"/>
      <c r="C19" s="22" t="s">
        <v>184</v>
      </c>
      <c r="D19" s="90" t="s">
        <v>1400</v>
      </c>
      <c r="E19" s="122" t="s">
        <v>1401</v>
      </c>
      <c r="F19" s="91" t="s">
        <v>8</v>
      </c>
      <c r="G19" s="91">
        <v>23802</v>
      </c>
      <c r="H19" s="90" t="s">
        <v>197</v>
      </c>
      <c r="I19" s="91" t="s">
        <v>30</v>
      </c>
      <c r="J19" s="91">
        <v>44258</v>
      </c>
      <c r="K19" s="121">
        <v>56</v>
      </c>
      <c r="L19" s="91">
        <v>44469</v>
      </c>
      <c r="M19" s="91"/>
      <c r="N19" s="125">
        <v>0</v>
      </c>
      <c r="O19" s="92">
        <v>1710.78</v>
      </c>
      <c r="Q19" s="14"/>
    </row>
    <row r="20" ht="15" customHeight="1">
      <c r="B20" s="13"/>
      <c r="C20" s="22" t="s">
        <v>245</v>
      </c>
      <c r="D20" s="90" t="s">
        <v>2016</v>
      </c>
      <c r="E20" s="122" t="s">
        <v>2017</v>
      </c>
      <c r="F20" s="91" t="s">
        <v>8</v>
      </c>
      <c r="G20" s="91">
        <v>22982</v>
      </c>
      <c r="H20" s="90" t="s">
        <v>187</v>
      </c>
      <c r="I20" s="91" t="s">
        <v>30</v>
      </c>
      <c r="J20" s="91">
        <v>43851</v>
      </c>
      <c r="K20" s="121">
        <v>58</v>
      </c>
      <c r="L20" s="91">
        <v>44469</v>
      </c>
      <c r="M20" s="91"/>
      <c r="N20" s="125">
        <v>0</v>
      </c>
      <c r="O20" s="92">
        <v>5041.85</v>
      </c>
      <c r="Q20" s="14"/>
    </row>
    <row r="21" ht="15" customHeight="1">
      <c r="B21" s="13"/>
      <c r="C21" s="166"/>
      <c r="D21" s="167"/>
      <c r="E21" s="168"/>
      <c r="F21" s="169"/>
      <c r="G21" s="169"/>
      <c r="H21" s="167"/>
      <c r="I21" s="169"/>
      <c r="J21" s="169"/>
      <c r="K21" s="170"/>
      <c r="L21" s="169"/>
      <c r="M21" s="169"/>
      <c r="N21" s="171"/>
      <c r="O21" s="172"/>
      <c r="Q21" s="14"/>
    </row>
    <row r="22" ht="15" customHeight="1">
      <c r="B22" s="13"/>
      <c r="E22" s="123"/>
      <c r="F22" s="119"/>
      <c r="G22" s="119"/>
      <c r="I22" s="119"/>
      <c r="J22" s="119"/>
      <c r="K22" s="124"/>
      <c r="L22" s="119"/>
      <c r="M22" s="119"/>
      <c r="N22" s="126"/>
      <c r="O22" s="120"/>
      <c r="Q22" s="14"/>
    </row>
    <row r="23" ht="15" customHeight="1">
      <c r="B23" s="13"/>
      <c r="E23" s="123"/>
      <c r="F23" s="119"/>
      <c r="G23" s="119"/>
      <c r="I23" s="119"/>
      <c r="J23" s="119"/>
      <c r="K23" s="124"/>
      <c r="L23" s="119"/>
      <c r="M23" s="119"/>
      <c r="N23" s="126"/>
      <c r="O23" s="120"/>
      <c r="Q23" s="14"/>
    </row>
    <row r="24" ht="15" customHeight="1">
      <c r="B24" s="13"/>
      <c r="E24" s="123"/>
      <c r="F24" s="119"/>
      <c r="G24" s="119"/>
      <c r="I24" s="119"/>
      <c r="J24" s="119"/>
      <c r="K24" s="124"/>
      <c r="L24" s="119"/>
      <c r="M24" s="119"/>
      <c r="N24" s="126"/>
      <c r="O24" s="120"/>
      <c r="Q24" s="14"/>
    </row>
    <row r="25" ht="15" customHeight="1">
      <c r="B25" s="13"/>
      <c r="E25" s="123"/>
      <c r="F25" s="119"/>
      <c r="G25" s="119"/>
      <c r="I25" s="119"/>
      <c r="J25" s="119"/>
      <c r="K25" s="124"/>
      <c r="L25" s="119"/>
      <c r="M25" s="119"/>
      <c r="N25" s="126"/>
      <c r="O25" s="120"/>
      <c r="Q25" s="14"/>
    </row>
    <row r="26" ht="15" customHeight="1">
      <c r="B26" s="13"/>
      <c r="E26" s="123"/>
      <c r="F26" s="119"/>
      <c r="G26" s="119"/>
      <c r="I26" s="119"/>
      <c r="J26" s="119"/>
      <c r="K26" s="124"/>
      <c r="L26" s="119"/>
      <c r="M26" s="119"/>
      <c r="N26" s="126"/>
      <c r="O26" s="120"/>
      <c r="Q26" s="14"/>
    </row>
    <row r="27" ht="15" customHeight="1">
      <c r="B27" s="13"/>
      <c r="E27" s="123"/>
      <c r="F27" s="119"/>
      <c r="G27" s="119"/>
      <c r="I27" s="119"/>
      <c r="J27" s="119"/>
      <c r="K27" s="124"/>
      <c r="L27" s="119"/>
      <c r="M27" s="119"/>
      <c r="N27" s="126"/>
      <c r="O27" s="120"/>
      <c r="Q27" s="14"/>
    </row>
    <row r="28" ht="15" customHeight="1">
      <c r="B28" s="13"/>
      <c r="E28" s="123"/>
      <c r="F28" s="119"/>
      <c r="G28" s="119"/>
      <c r="I28" s="119"/>
      <c r="J28" s="119"/>
      <c r="K28" s="124"/>
      <c r="L28" s="119"/>
      <c r="M28" s="119"/>
      <c r="N28" s="126"/>
      <c r="O28" s="120"/>
      <c r="Q28" s="14"/>
    </row>
    <row r="29" ht="15" customHeight="1">
      <c r="B29" s="13"/>
      <c r="E29" s="123"/>
      <c r="F29" s="119"/>
      <c r="G29" s="119"/>
      <c r="I29" s="119"/>
      <c r="J29" s="119"/>
      <c r="K29" s="124"/>
      <c r="L29" s="119"/>
      <c r="M29" s="119"/>
      <c r="N29" s="126"/>
      <c r="O29" s="120"/>
      <c r="Q29" s="14"/>
    </row>
    <row r="30" ht="15" customHeight="1">
      <c r="B30" s="13"/>
      <c r="E30" s="123"/>
      <c r="F30" s="119"/>
      <c r="G30" s="119"/>
      <c r="I30" s="119"/>
      <c r="J30" s="119"/>
      <c r="K30" s="124"/>
      <c r="L30" s="119"/>
      <c r="M30" s="119"/>
      <c r="N30" s="126"/>
      <c r="O30" s="120"/>
      <c r="Q30" s="14"/>
    </row>
    <row r="31" ht="15" customHeight="1">
      <c r="B31" s="13"/>
      <c r="E31" s="123"/>
      <c r="F31" s="119"/>
      <c r="G31" s="119"/>
      <c r="I31" s="119"/>
      <c r="J31" s="119"/>
      <c r="K31" s="124"/>
      <c r="L31" s="119"/>
      <c r="M31" s="119"/>
      <c r="N31" s="126"/>
      <c r="O31" s="120"/>
      <c r="Q31" s="14"/>
    </row>
    <row r="32" ht="15" customHeight="1">
      <c r="B32" s="13"/>
      <c r="E32" s="123"/>
      <c r="F32" s="119"/>
      <c r="G32" s="119"/>
      <c r="I32" s="119"/>
      <c r="J32" s="119"/>
      <c r="K32" s="124"/>
      <c r="L32" s="119"/>
      <c r="M32" s="119"/>
      <c r="N32" s="126"/>
      <c r="O32" s="120"/>
      <c r="Q32" s="14"/>
    </row>
    <row r="33" ht="15" customHeight="1">
      <c r="B33" s="13"/>
      <c r="E33" s="123"/>
      <c r="F33" s="119"/>
      <c r="G33" s="119"/>
      <c r="I33" s="119"/>
      <c r="J33" s="119"/>
      <c r="K33" s="124"/>
      <c r="L33" s="119"/>
      <c r="M33" s="119"/>
      <c r="N33" s="126"/>
      <c r="O33" s="120"/>
      <c r="Q33" s="14"/>
    </row>
    <row r="34" ht="15" customHeight="1">
      <c r="B34" s="13"/>
      <c r="E34" s="123"/>
      <c r="F34" s="119"/>
      <c r="G34" s="119"/>
      <c r="I34" s="119"/>
      <c r="J34" s="119"/>
      <c r="K34" s="124"/>
      <c r="L34" s="119"/>
      <c r="M34" s="119"/>
      <c r="N34" s="126"/>
      <c r="O34" s="120"/>
      <c r="Q34" s="14"/>
    </row>
    <row r="35" ht="15" customHeight="1">
      <c r="B35" s="13"/>
      <c r="E35" s="123"/>
      <c r="F35" s="119"/>
      <c r="G35" s="119"/>
      <c r="I35" s="119"/>
      <c r="J35" s="119"/>
      <c r="K35" s="124"/>
      <c r="L35" s="119"/>
      <c r="M35" s="119"/>
      <c r="N35" s="126"/>
      <c r="O35" s="120"/>
      <c r="Q35" s="14"/>
    </row>
    <row r="36" ht="15" customHeight="1">
      <c r="B36" s="13"/>
      <c r="E36" s="123"/>
      <c r="F36" s="119"/>
      <c r="G36" s="119"/>
      <c r="I36" s="119"/>
      <c r="J36" s="119"/>
      <c r="K36" s="124"/>
      <c r="L36" s="119"/>
      <c r="M36" s="119"/>
      <c r="N36" s="126"/>
      <c r="O36" s="120"/>
      <c r="Q36" s="14"/>
    </row>
    <row r="37" ht="15" customHeight="1">
      <c r="B37" s="13"/>
      <c r="E37" s="123"/>
      <c r="F37" s="119"/>
      <c r="G37" s="119"/>
      <c r="I37" s="119"/>
      <c r="J37" s="119"/>
      <c r="K37" s="124"/>
      <c r="L37" s="119"/>
      <c r="M37" s="119"/>
      <c r="N37" s="126"/>
      <c r="O37" s="120"/>
      <c r="Q37" s="14"/>
    </row>
    <row r="38" ht="15" customHeight="1">
      <c r="B38" s="13"/>
      <c r="E38" s="123"/>
      <c r="F38" s="119"/>
      <c r="G38" s="119"/>
      <c r="I38" s="119"/>
      <c r="J38" s="119"/>
      <c r="K38" s="124"/>
      <c r="L38" s="119"/>
      <c r="M38" s="119"/>
      <c r="N38" s="126"/>
      <c r="O38" s="120"/>
      <c r="Q38" s="14"/>
    </row>
    <row r="39" ht="15" customHeight="1">
      <c r="B39" s="13"/>
      <c r="E39" s="123"/>
      <c r="F39" s="119"/>
      <c r="G39" s="119"/>
      <c r="I39" s="119"/>
      <c r="J39" s="119"/>
      <c r="K39" s="124"/>
      <c r="L39" s="119"/>
      <c r="M39" s="119"/>
      <c r="N39" s="126"/>
      <c r="O39" s="120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>
      <c r="A84" s="117"/>
      <c r="B84" s="118"/>
      <c r="D84" s="116"/>
      <c r="P84" s="16"/>
      <c r="Q84" s="17"/>
    </row>
    <row r="85" ht="15" customHeight="1">
      <c r="C85" s="1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11"/>
      <c r="Q85" s="11"/>
      <c r="U8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A38" sqref="A38:XFD3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0</v>
      </c>
      <c r="K11" s="81" t="s">
        <v>2018</v>
      </c>
      <c r="Q11" s="14"/>
    </row>
    <row r="12" ht="13.5" customHeight="1">
      <c r="B12" s="13"/>
      <c r="Q12" s="14"/>
    </row>
    <row r="13" ht="45">
      <c r="B13" s="13"/>
      <c r="C13" s="83" t="s">
        <v>2</v>
      </c>
      <c r="D13" s="83" t="s">
        <v>2019</v>
      </c>
      <c r="E13" s="83" t="s">
        <v>2006</v>
      </c>
      <c r="F13" s="102"/>
      <c r="K13" s="83" t="s">
        <v>6</v>
      </c>
      <c r="L13" s="83" t="s">
        <v>2020</v>
      </c>
      <c r="M13" s="83" t="s">
        <v>2021</v>
      </c>
      <c r="Q13" s="14"/>
    </row>
    <row r="14" ht="15" customHeight="1">
      <c r="B14" s="13"/>
      <c r="C14" s="93" t="s">
        <v>8</v>
      </c>
      <c r="D14" s="94">
        <v>2</v>
      </c>
      <c r="E14" s="95">
        <v>59</v>
      </c>
      <c r="F14" s="103"/>
      <c r="K14" s="93" t="s">
        <v>9</v>
      </c>
      <c r="L14" s="93">
        <v>0</v>
      </c>
      <c r="M14" s="97">
        <v>0</v>
      </c>
      <c r="Q14" s="14"/>
    </row>
    <row r="15" ht="15" customHeight="1">
      <c r="B15" s="13"/>
      <c r="C15" s="93" t="s">
        <v>10</v>
      </c>
      <c r="D15" s="94">
        <v>7</v>
      </c>
      <c r="E15" s="95">
        <v>59.285714285714285</v>
      </c>
      <c r="F15" s="103"/>
      <c r="K15" s="93" t="s">
        <v>11</v>
      </c>
      <c r="L15" s="93">
        <v>0</v>
      </c>
      <c r="M15" s="97">
        <v>0</v>
      </c>
      <c r="Q15" s="14"/>
    </row>
    <row r="16" ht="15" customHeight="1">
      <c r="B16" s="13"/>
      <c r="C16" s="83" t="s">
        <v>12</v>
      </c>
      <c r="D16" s="83">
        <v>9</v>
      </c>
      <c r="E16" s="96">
        <v>59.222222222222221</v>
      </c>
      <c r="F16" s="104"/>
      <c r="K16" s="93" t="s">
        <v>13</v>
      </c>
      <c r="L16" s="93">
        <v>0</v>
      </c>
      <c r="M16" s="97">
        <v>0</v>
      </c>
      <c r="Q16" s="14"/>
    </row>
    <row r="17" ht="15" customHeight="1">
      <c r="B17" s="13"/>
      <c r="K17" s="93" t="s">
        <v>14</v>
      </c>
      <c r="L17" s="93">
        <v>0</v>
      </c>
      <c r="M17" s="97">
        <v>0</v>
      </c>
      <c r="Q17" s="14"/>
    </row>
    <row r="18" ht="15" customHeight="1">
      <c r="B18" s="13"/>
      <c r="K18" s="93" t="s">
        <v>15</v>
      </c>
      <c r="L18" s="93">
        <v>1</v>
      </c>
      <c r="M18" s="97">
        <v>0.11111111111111111</v>
      </c>
      <c r="Q18" s="14"/>
    </row>
    <row r="19" ht="15" customHeight="1">
      <c r="B19" s="13"/>
      <c r="K19" s="93" t="s">
        <v>16</v>
      </c>
      <c r="L19" s="93">
        <v>0</v>
      </c>
      <c r="M19" s="97">
        <v>0</v>
      </c>
      <c r="Q19" s="14"/>
    </row>
    <row r="20" ht="15" customHeight="1">
      <c r="B20" s="13"/>
      <c r="K20" s="93" t="s">
        <v>17</v>
      </c>
      <c r="L20" s="93">
        <v>0</v>
      </c>
      <c r="M20" s="97">
        <v>0</v>
      </c>
      <c r="Q20" s="14"/>
    </row>
    <row r="21" ht="15" customHeight="1">
      <c r="B21" s="13"/>
      <c r="K21" s="93" t="s">
        <v>18</v>
      </c>
      <c r="L21" s="93">
        <v>3</v>
      </c>
      <c r="M21" s="97">
        <v>0.33333333333333331</v>
      </c>
      <c r="Q21" s="14"/>
    </row>
    <row r="22" ht="15" customHeight="1">
      <c r="B22" s="13"/>
      <c r="K22" s="93" t="s">
        <v>19</v>
      </c>
      <c r="L22" s="93">
        <v>5</v>
      </c>
      <c r="M22" s="97">
        <v>0.55555555555555558</v>
      </c>
      <c r="Q22" s="14"/>
    </row>
    <row r="23" ht="15" customHeight="1">
      <c r="B23" s="13"/>
      <c r="K23" s="83" t="s">
        <v>12</v>
      </c>
      <c r="L23" s="83">
        <v>9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2022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3</v>
      </c>
      <c r="E36" s="83" t="s">
        <v>4</v>
      </c>
      <c r="Q36" s="14"/>
    </row>
    <row r="37" ht="15" customHeight="1">
      <c r="B37" s="13"/>
      <c r="C37" s="99" t="s">
        <v>118</v>
      </c>
      <c r="D37" s="100">
        <v>2</v>
      </c>
      <c r="E37" s="101">
        <v>59</v>
      </c>
      <c r="Q37" s="14"/>
    </row>
    <row r="38" ht="15" customHeight="1">
      <c r="B38" s="13"/>
      <c r="C38" s="99" t="s">
        <v>119</v>
      </c>
      <c r="D38" s="100">
        <v>7</v>
      </c>
      <c r="E38" s="101">
        <v>59.285714285714285</v>
      </c>
      <c r="Q38" s="14"/>
    </row>
    <row r="39" ht="15" customHeight="1">
      <c r="B39" s="13"/>
      <c r="C39" s="99" t="s">
        <v>12</v>
      </c>
      <c r="D39" s="100">
        <v>9</v>
      </c>
      <c r="E39" s="101">
        <v>59.222222222222221</v>
      </c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4" tint="0.79998168889431442"/>
    <pageSetUpPr fitToPage="1"/>
  </sheetPr>
  <dimension ref="A1:U103"/>
  <sheetViews>
    <sheetView showGridLines="0" zoomScale="85" zoomScaleNormal="85" workbookViewId="0">
      <selection activeCell="C13" sqref="C13:O3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173</v>
      </c>
      <c r="D12" s="132" t="s">
        <v>78</v>
      </c>
      <c r="E12" s="132" t="s">
        <v>174</v>
      </c>
      <c r="F12" s="132" t="s">
        <v>175</v>
      </c>
      <c r="G12" s="132" t="s">
        <v>176</v>
      </c>
      <c r="H12" s="132" t="s">
        <v>55</v>
      </c>
      <c r="I12" s="132" t="s">
        <v>177</v>
      </c>
      <c r="J12" s="132" t="s">
        <v>2023</v>
      </c>
      <c r="K12" s="132" t="s">
        <v>2024</v>
      </c>
      <c r="L12" s="132" t="s">
        <v>180</v>
      </c>
      <c r="M12" s="132" t="s">
        <v>181</v>
      </c>
      <c r="N12" s="132"/>
      <c r="O12" s="132" t="s">
        <v>2025</v>
      </c>
      <c r="Q12" s="14"/>
    </row>
    <row r="13" ht="15" customHeight="1">
      <c r="B13" s="13"/>
      <c r="C13" s="22" t="s">
        <v>184</v>
      </c>
      <c r="D13" s="90" t="s">
        <v>2026</v>
      </c>
      <c r="E13" s="122" t="s">
        <v>2027</v>
      </c>
      <c r="F13" s="91" t="s">
        <v>8</v>
      </c>
      <c r="G13" s="91">
        <v>25304</v>
      </c>
      <c r="H13" s="90" t="s">
        <v>187</v>
      </c>
      <c r="I13" s="91" t="s">
        <v>118</v>
      </c>
      <c r="J13" s="91">
        <v>43997</v>
      </c>
      <c r="K13" s="121">
        <v>51</v>
      </c>
      <c r="L13" s="91">
        <v>43997</v>
      </c>
      <c r="M13" s="91">
        <v>43997</v>
      </c>
      <c r="N13" s="125"/>
      <c r="O13" s="92">
        <v>102687</v>
      </c>
      <c r="Q13" s="14"/>
    </row>
    <row r="14" ht="15" customHeight="1">
      <c r="B14" s="13"/>
      <c r="C14" s="22" t="s">
        <v>184</v>
      </c>
      <c r="D14" s="90" t="s">
        <v>2028</v>
      </c>
      <c r="E14" s="122" t="s">
        <v>2029</v>
      </c>
      <c r="F14" s="91" t="s">
        <v>8</v>
      </c>
      <c r="G14" s="91">
        <v>26705</v>
      </c>
      <c r="H14" s="90" t="s">
        <v>187</v>
      </c>
      <c r="I14" s="91" t="s">
        <v>118</v>
      </c>
      <c r="J14" s="91">
        <v>43946</v>
      </c>
      <c r="K14" s="121">
        <v>47</v>
      </c>
      <c r="L14" s="91">
        <v>43946</v>
      </c>
      <c r="M14" s="91">
        <v>43946</v>
      </c>
      <c r="N14" s="125"/>
      <c r="O14" s="92">
        <v>145121</v>
      </c>
      <c r="Q14" s="14"/>
    </row>
    <row r="15" ht="15" customHeight="1">
      <c r="B15" s="13"/>
      <c r="C15" s="22" t="s">
        <v>245</v>
      </c>
      <c r="D15" s="90" t="s">
        <v>2030</v>
      </c>
      <c r="E15" s="122" t="s">
        <v>2031</v>
      </c>
      <c r="F15" s="91" t="s">
        <v>8</v>
      </c>
      <c r="G15" s="91">
        <v>22353</v>
      </c>
      <c r="H15" s="90" t="s">
        <v>197</v>
      </c>
      <c r="I15" s="91" t="s">
        <v>118</v>
      </c>
      <c r="J15" s="91">
        <v>44041</v>
      </c>
      <c r="K15" s="121">
        <v>59</v>
      </c>
      <c r="L15" s="91">
        <v>44041</v>
      </c>
      <c r="M15" s="91">
        <v>44041</v>
      </c>
      <c r="N15" s="125"/>
      <c r="O15" s="92">
        <v>219685</v>
      </c>
      <c r="Q15" s="14"/>
    </row>
    <row r="16" ht="15" customHeight="1">
      <c r="B16" s="13"/>
      <c r="C16" s="22" t="s">
        <v>184</v>
      </c>
      <c r="D16" s="90" t="s">
        <v>2032</v>
      </c>
      <c r="E16" s="122" t="s">
        <v>2033</v>
      </c>
      <c r="F16" s="91" t="s">
        <v>8</v>
      </c>
      <c r="G16" s="91">
        <v>22361</v>
      </c>
      <c r="H16" s="90" t="s">
        <v>187</v>
      </c>
      <c r="I16" s="91" t="s">
        <v>118</v>
      </c>
      <c r="J16" s="91">
        <v>44263</v>
      </c>
      <c r="K16" s="121">
        <v>60</v>
      </c>
      <c r="L16" s="91">
        <v>44263</v>
      </c>
      <c r="M16" s="91">
        <v>44263</v>
      </c>
      <c r="N16" s="125"/>
      <c r="O16" s="92">
        <v>52405</v>
      </c>
      <c r="Q16" s="14"/>
    </row>
    <row r="17" ht="15" customHeight="1">
      <c r="B17" s="13"/>
      <c r="C17" s="22" t="s">
        <v>184</v>
      </c>
      <c r="D17" s="90" t="s">
        <v>2034</v>
      </c>
      <c r="E17" s="122" t="s">
        <v>2035</v>
      </c>
      <c r="F17" s="91" t="s">
        <v>8</v>
      </c>
      <c r="G17" s="91">
        <v>21548</v>
      </c>
      <c r="H17" s="90" t="s">
        <v>187</v>
      </c>
      <c r="I17" s="91" t="s">
        <v>118</v>
      </c>
      <c r="J17" s="91">
        <v>43994</v>
      </c>
      <c r="K17" s="121">
        <v>62</v>
      </c>
      <c r="L17" s="91">
        <v>44012</v>
      </c>
      <c r="M17" s="91">
        <v>43994</v>
      </c>
      <c r="N17" s="125"/>
      <c r="O17" s="92">
        <v>14322</v>
      </c>
      <c r="Q17" s="14"/>
    </row>
    <row r="18" ht="15" customHeight="1">
      <c r="B18" s="13"/>
      <c r="C18" s="22" t="s">
        <v>184</v>
      </c>
      <c r="D18" s="90" t="s">
        <v>2036</v>
      </c>
      <c r="E18" s="122" t="s">
        <v>2037</v>
      </c>
      <c r="F18" s="91" t="s">
        <v>8</v>
      </c>
      <c r="G18" s="91">
        <v>23045</v>
      </c>
      <c r="H18" s="90" t="s">
        <v>187</v>
      </c>
      <c r="I18" s="91" t="s">
        <v>118</v>
      </c>
      <c r="J18" s="91">
        <v>44230</v>
      </c>
      <c r="K18" s="121">
        <v>58</v>
      </c>
      <c r="L18" s="91">
        <v>44230</v>
      </c>
      <c r="M18" s="91">
        <v>44230</v>
      </c>
      <c r="N18" s="125"/>
      <c r="O18" s="92">
        <v>90061</v>
      </c>
      <c r="Q18" s="14"/>
    </row>
    <row r="19" ht="15" customHeight="1">
      <c r="B19" s="13"/>
      <c r="C19" s="22" t="s">
        <v>184</v>
      </c>
      <c r="D19" s="90" t="s">
        <v>977</v>
      </c>
      <c r="E19" s="122" t="s">
        <v>978</v>
      </c>
      <c r="F19" s="91" t="s">
        <v>8</v>
      </c>
      <c r="G19" s="91">
        <v>21697</v>
      </c>
      <c r="H19" s="90" t="s">
        <v>187</v>
      </c>
      <c r="I19" s="91" t="s">
        <v>118</v>
      </c>
      <c r="J19" s="91">
        <v>44118</v>
      </c>
      <c r="K19" s="121">
        <v>61</v>
      </c>
      <c r="L19" s="91">
        <v>44118</v>
      </c>
      <c r="M19" s="91">
        <v>44118</v>
      </c>
      <c r="N19" s="125"/>
      <c r="O19" s="92">
        <v>66811</v>
      </c>
      <c r="Q19" s="14"/>
    </row>
    <row r="20" ht="15" customHeight="1">
      <c r="B20" s="13"/>
      <c r="C20" s="22" t="s">
        <v>184</v>
      </c>
      <c r="D20" s="90" t="s">
        <v>2038</v>
      </c>
      <c r="E20" s="122" t="s">
        <v>2039</v>
      </c>
      <c r="F20" s="91" t="s">
        <v>8</v>
      </c>
      <c r="G20" s="91">
        <v>23760</v>
      </c>
      <c r="H20" s="90" t="s">
        <v>187</v>
      </c>
      <c r="I20" s="91" t="s">
        <v>118</v>
      </c>
      <c r="J20" s="91">
        <v>43864</v>
      </c>
      <c r="K20" s="121">
        <v>55</v>
      </c>
      <c r="L20" s="91">
        <v>43864</v>
      </c>
      <c r="M20" s="91">
        <v>43864</v>
      </c>
      <c r="N20" s="125"/>
      <c r="O20" s="92">
        <v>7391</v>
      </c>
      <c r="Q20" s="14"/>
    </row>
    <row r="21" ht="15" customHeight="1">
      <c r="B21" s="13"/>
      <c r="C21" s="22" t="s">
        <v>184</v>
      </c>
      <c r="D21" s="90" t="s">
        <v>2040</v>
      </c>
      <c r="E21" s="122" t="s">
        <v>2041</v>
      </c>
      <c r="F21" s="91" t="s">
        <v>8</v>
      </c>
      <c r="G21" s="91">
        <v>24049</v>
      </c>
      <c r="H21" s="90" t="s">
        <v>187</v>
      </c>
      <c r="I21" s="91" t="s">
        <v>118</v>
      </c>
      <c r="J21" s="91">
        <v>44153</v>
      </c>
      <c r="K21" s="121">
        <v>55</v>
      </c>
      <c r="L21" s="91">
        <v>44153</v>
      </c>
      <c r="M21" s="91">
        <v>44153</v>
      </c>
      <c r="N21" s="125"/>
      <c r="O21" s="92">
        <v>75775</v>
      </c>
      <c r="Q21" s="14"/>
    </row>
    <row r="22" ht="15" customHeight="1">
      <c r="B22" s="13"/>
      <c r="C22" s="22" t="s">
        <v>184</v>
      </c>
      <c r="D22" s="90" t="s">
        <v>2042</v>
      </c>
      <c r="E22" s="122" t="s">
        <v>2043</v>
      </c>
      <c r="F22" s="91" t="s">
        <v>8</v>
      </c>
      <c r="G22" s="91">
        <v>30196</v>
      </c>
      <c r="H22" s="90" t="s">
        <v>197</v>
      </c>
      <c r="I22" s="91" t="s">
        <v>118</v>
      </c>
      <c r="J22" s="91">
        <v>44058</v>
      </c>
      <c r="K22" s="121">
        <v>38</v>
      </c>
      <c r="L22" s="91">
        <v>44058</v>
      </c>
      <c r="M22" s="91">
        <v>44058</v>
      </c>
      <c r="N22" s="125"/>
      <c r="O22" s="92">
        <v>413726</v>
      </c>
      <c r="Q22" s="14"/>
    </row>
    <row r="23" ht="15" customHeight="1">
      <c r="B23" s="13"/>
      <c r="C23" s="22" t="s">
        <v>184</v>
      </c>
      <c r="D23" s="90" t="s">
        <v>2044</v>
      </c>
      <c r="E23" s="122" t="s">
        <v>2045</v>
      </c>
      <c r="F23" s="91" t="s">
        <v>8</v>
      </c>
      <c r="G23" s="91">
        <v>24427</v>
      </c>
      <c r="H23" s="90" t="s">
        <v>187</v>
      </c>
      <c r="I23" s="91" t="s">
        <v>118</v>
      </c>
      <c r="J23" s="91">
        <v>44190</v>
      </c>
      <c r="K23" s="121">
        <v>54</v>
      </c>
      <c r="L23" s="91">
        <v>44190</v>
      </c>
      <c r="M23" s="91">
        <v>44190</v>
      </c>
      <c r="N23" s="125"/>
      <c r="O23" s="92">
        <v>166101</v>
      </c>
      <c r="Q23" s="14"/>
    </row>
    <row r="24" ht="15" customHeight="1">
      <c r="B24" s="13"/>
      <c r="C24" s="22" t="s">
        <v>135</v>
      </c>
      <c r="D24" s="90" t="s">
        <v>2046</v>
      </c>
      <c r="E24" s="122" t="s">
        <v>2047</v>
      </c>
      <c r="F24" s="91" t="s">
        <v>8</v>
      </c>
      <c r="G24" s="91">
        <v>32556</v>
      </c>
      <c r="H24" s="90" t="s">
        <v>187</v>
      </c>
      <c r="I24" s="91" t="s">
        <v>118</v>
      </c>
      <c r="J24" s="91">
        <v>44099</v>
      </c>
      <c r="K24" s="121">
        <v>31</v>
      </c>
      <c r="L24" s="91">
        <v>44099</v>
      </c>
      <c r="M24" s="91">
        <v>44099</v>
      </c>
      <c r="N24" s="125"/>
      <c r="O24" s="92">
        <v>173204</v>
      </c>
      <c r="Q24" s="14"/>
    </row>
    <row r="25" ht="15" customHeight="1">
      <c r="B25" s="13"/>
      <c r="C25" s="22" t="s">
        <v>718</v>
      </c>
      <c r="D25" s="90" t="s">
        <v>1725</v>
      </c>
      <c r="E25" s="122" t="s">
        <v>1726</v>
      </c>
      <c r="F25" s="91" t="s">
        <v>8</v>
      </c>
      <c r="G25" s="91">
        <v>22551</v>
      </c>
      <c r="H25" s="90" t="s">
        <v>187</v>
      </c>
      <c r="I25" s="91" t="s">
        <v>118</v>
      </c>
      <c r="J25" s="91">
        <v>44147</v>
      </c>
      <c r="K25" s="121">
        <v>59</v>
      </c>
      <c r="L25" s="91">
        <v>44147</v>
      </c>
      <c r="M25" s="91">
        <v>44147</v>
      </c>
      <c r="N25" s="125"/>
      <c r="O25" s="92">
        <v>121303</v>
      </c>
      <c r="Q25" s="14"/>
    </row>
    <row r="26" ht="15" customHeight="1">
      <c r="B26" s="13"/>
      <c r="C26" s="22" t="s">
        <v>184</v>
      </c>
      <c r="D26" s="90" t="s">
        <v>2048</v>
      </c>
      <c r="E26" s="122" t="s">
        <v>2049</v>
      </c>
      <c r="F26" s="91" t="s">
        <v>8</v>
      </c>
      <c r="G26" s="91">
        <v>28205</v>
      </c>
      <c r="H26" s="90" t="s">
        <v>187</v>
      </c>
      <c r="I26" s="91" t="s">
        <v>118</v>
      </c>
      <c r="J26" s="91">
        <v>43878</v>
      </c>
      <c r="K26" s="121">
        <v>43</v>
      </c>
      <c r="L26" s="91">
        <v>43878</v>
      </c>
      <c r="M26" s="91">
        <v>43878</v>
      </c>
      <c r="N26" s="125"/>
      <c r="O26" s="92">
        <v>170294</v>
      </c>
      <c r="Q26" s="14"/>
    </row>
    <row r="27" ht="15" customHeight="1">
      <c r="B27" s="13"/>
      <c r="C27" s="22" t="s">
        <v>135</v>
      </c>
      <c r="D27" s="90" t="s">
        <v>2050</v>
      </c>
      <c r="E27" s="122" t="s">
        <v>2051</v>
      </c>
      <c r="F27" s="91" t="s">
        <v>10</v>
      </c>
      <c r="G27" s="91">
        <v>23097</v>
      </c>
      <c r="H27" s="90" t="s">
        <v>187</v>
      </c>
      <c r="I27" s="91" t="s">
        <v>119</v>
      </c>
      <c r="J27" s="91">
        <v>44077</v>
      </c>
      <c r="K27" s="121">
        <v>57</v>
      </c>
      <c r="L27" s="91">
        <v>44077</v>
      </c>
      <c r="M27" s="91">
        <v>44077</v>
      </c>
      <c r="N27" s="125"/>
      <c r="O27" s="92">
        <v>2469.1</v>
      </c>
      <c r="Q27" s="14"/>
    </row>
    <row r="28" ht="15" customHeight="1">
      <c r="B28" s="13"/>
      <c r="C28" s="22" t="s">
        <v>184</v>
      </c>
      <c r="D28" s="90" t="s">
        <v>2052</v>
      </c>
      <c r="E28" s="122" t="s">
        <v>2053</v>
      </c>
      <c r="F28" s="91" t="s">
        <v>8</v>
      </c>
      <c r="G28" s="91">
        <v>26267</v>
      </c>
      <c r="H28" s="90" t="s">
        <v>187</v>
      </c>
      <c r="I28" s="91" t="s">
        <v>119</v>
      </c>
      <c r="J28" s="91">
        <v>44108</v>
      </c>
      <c r="K28" s="121">
        <v>49</v>
      </c>
      <c r="L28" s="91">
        <v>44108</v>
      </c>
      <c r="M28" s="91">
        <v>44108</v>
      </c>
      <c r="N28" s="125"/>
      <c r="O28" s="92">
        <v>3428</v>
      </c>
      <c r="Q28" s="14"/>
    </row>
    <row r="29" ht="15" customHeight="1">
      <c r="B29" s="13"/>
      <c r="C29" s="22" t="s">
        <v>184</v>
      </c>
      <c r="D29" s="90" t="s">
        <v>2054</v>
      </c>
      <c r="E29" s="122" t="s">
        <v>2055</v>
      </c>
      <c r="F29" s="91" t="s">
        <v>10</v>
      </c>
      <c r="G29" s="91">
        <v>28491</v>
      </c>
      <c r="H29" s="90" t="s">
        <v>187</v>
      </c>
      <c r="I29" s="91" t="s">
        <v>119</v>
      </c>
      <c r="J29" s="91">
        <v>44118</v>
      </c>
      <c r="K29" s="121">
        <v>42</v>
      </c>
      <c r="L29" s="91">
        <v>44118</v>
      </c>
      <c r="M29" s="91">
        <v>44118</v>
      </c>
      <c r="N29" s="125"/>
      <c r="O29" s="92">
        <v>2800</v>
      </c>
      <c r="Q29" s="14"/>
    </row>
    <row r="30" ht="15" customHeight="1">
      <c r="B30" s="13"/>
      <c r="C30" s="22" t="s">
        <v>184</v>
      </c>
      <c r="D30" s="90" t="s">
        <v>2056</v>
      </c>
      <c r="E30" s="122" t="s">
        <v>2057</v>
      </c>
      <c r="F30" s="91" t="s">
        <v>10</v>
      </c>
      <c r="G30" s="91">
        <v>20325</v>
      </c>
      <c r="H30" s="90" t="s">
        <v>187</v>
      </c>
      <c r="I30" s="91" t="s">
        <v>119</v>
      </c>
      <c r="J30" s="91">
        <v>44231</v>
      </c>
      <c r="K30" s="121">
        <v>66</v>
      </c>
      <c r="L30" s="91">
        <v>44231</v>
      </c>
      <c r="M30" s="91">
        <v>44231</v>
      </c>
      <c r="N30" s="125"/>
      <c r="O30" s="92">
        <v>3428</v>
      </c>
      <c r="Q30" s="14"/>
    </row>
    <row r="31" ht="15" customHeight="1">
      <c r="B31" s="13"/>
      <c r="C31" s="22" t="s">
        <v>184</v>
      </c>
      <c r="D31" s="90" t="s">
        <v>2058</v>
      </c>
      <c r="E31" s="122" t="s">
        <v>2059</v>
      </c>
      <c r="F31" s="91" t="s">
        <v>10</v>
      </c>
      <c r="G31" s="91">
        <v>22138</v>
      </c>
      <c r="H31" s="90" t="s">
        <v>187</v>
      </c>
      <c r="I31" s="91" t="s">
        <v>119</v>
      </c>
      <c r="J31" s="91">
        <v>44426</v>
      </c>
      <c r="K31" s="121">
        <v>61</v>
      </c>
      <c r="L31" s="91">
        <v>44426</v>
      </c>
      <c r="M31" s="91">
        <v>44426</v>
      </c>
      <c r="N31" s="125"/>
      <c r="O31" s="92">
        <v>3428</v>
      </c>
      <c r="Q31" s="14"/>
    </row>
    <row r="32" ht="15" customHeight="1">
      <c r="B32" s="13"/>
      <c r="C32" s="22" t="s">
        <v>184</v>
      </c>
      <c r="D32" s="90" t="s">
        <v>2060</v>
      </c>
      <c r="E32" s="122" t="s">
        <v>2061</v>
      </c>
      <c r="F32" s="91" t="s">
        <v>10</v>
      </c>
      <c r="G32" s="91">
        <v>23154</v>
      </c>
      <c r="H32" s="90" t="s">
        <v>197</v>
      </c>
      <c r="I32" s="91" t="s">
        <v>119</v>
      </c>
      <c r="J32" s="91">
        <v>44404</v>
      </c>
      <c r="K32" s="121">
        <v>58</v>
      </c>
      <c r="L32" s="91">
        <v>44404</v>
      </c>
      <c r="M32" s="91">
        <v>44404</v>
      </c>
      <c r="N32" s="125"/>
      <c r="O32" s="92">
        <v>3428</v>
      </c>
      <c r="Q32" s="14"/>
    </row>
    <row r="33" ht="15" customHeight="1">
      <c r="B33" s="13"/>
      <c r="C33" s="22" t="s">
        <v>184</v>
      </c>
      <c r="D33" s="90" t="s">
        <v>2062</v>
      </c>
      <c r="E33" s="122" t="s">
        <v>2063</v>
      </c>
      <c r="F33" s="91" t="s">
        <v>10</v>
      </c>
      <c r="G33" s="91">
        <v>18659</v>
      </c>
      <c r="H33" s="90" t="s">
        <v>187</v>
      </c>
      <c r="I33" s="91" t="s">
        <v>119</v>
      </c>
      <c r="J33" s="91">
        <v>44272</v>
      </c>
      <c r="K33" s="121">
        <v>70</v>
      </c>
      <c r="L33" s="91">
        <v>44272</v>
      </c>
      <c r="M33" s="91">
        <v>44272</v>
      </c>
      <c r="N33" s="125"/>
      <c r="O33" s="92">
        <v>3352</v>
      </c>
      <c r="Q33" s="14"/>
    </row>
    <row r="34" ht="15" customHeight="1">
      <c r="B34" s="13"/>
      <c r="C34" s="22" t="s">
        <v>135</v>
      </c>
      <c r="D34" s="90" t="s">
        <v>2064</v>
      </c>
      <c r="E34" s="122" t="s">
        <v>2065</v>
      </c>
      <c r="F34" s="91" t="s">
        <v>10</v>
      </c>
      <c r="G34" s="91">
        <v>22476</v>
      </c>
      <c r="H34" s="90" t="s">
        <v>197</v>
      </c>
      <c r="I34" s="91" t="s">
        <v>119</v>
      </c>
      <c r="J34" s="91">
        <v>44398</v>
      </c>
      <c r="K34" s="121">
        <v>60</v>
      </c>
      <c r="L34" s="91">
        <v>44398</v>
      </c>
      <c r="M34" s="91">
        <v>44398</v>
      </c>
      <c r="N34" s="125"/>
      <c r="O34" s="92">
        <v>3342</v>
      </c>
      <c r="Q34" s="14"/>
    </row>
    <row r="35" ht="15" customHeight="1">
      <c r="B35" s="13"/>
      <c r="C35" s="22" t="s">
        <v>184</v>
      </c>
      <c r="D35" s="90" t="s">
        <v>2066</v>
      </c>
      <c r="E35" s="122" t="s">
        <v>2067</v>
      </c>
      <c r="F35" s="91" t="s">
        <v>10</v>
      </c>
      <c r="G35" s="91">
        <v>28392</v>
      </c>
      <c r="H35" s="90" t="s">
        <v>187</v>
      </c>
      <c r="I35" s="91" t="s">
        <v>119</v>
      </c>
      <c r="J35" s="91">
        <v>44284</v>
      </c>
      <c r="K35" s="121">
        <v>44</v>
      </c>
      <c r="L35" s="91">
        <v>44284</v>
      </c>
      <c r="M35" s="91">
        <v>44284</v>
      </c>
      <c r="N35" s="125"/>
      <c r="O35" s="92">
        <v>3428</v>
      </c>
      <c r="Q35" s="14"/>
    </row>
    <row r="36" ht="15" customHeight="1">
      <c r="B36" s="13"/>
      <c r="C36" s="22" t="s">
        <v>184</v>
      </c>
      <c r="D36" s="90" t="s">
        <v>2068</v>
      </c>
      <c r="E36" s="122" t="s">
        <v>2069</v>
      </c>
      <c r="F36" s="91" t="s">
        <v>10</v>
      </c>
      <c r="G36" s="91">
        <v>22255</v>
      </c>
      <c r="H36" s="90" t="s">
        <v>187</v>
      </c>
      <c r="I36" s="91" t="s">
        <v>119</v>
      </c>
      <c r="J36" s="91">
        <v>44028</v>
      </c>
      <c r="K36" s="121">
        <v>60</v>
      </c>
      <c r="L36" s="91">
        <v>44028</v>
      </c>
      <c r="M36" s="91">
        <v>44028</v>
      </c>
      <c r="N36" s="125"/>
      <c r="O36" s="92">
        <v>3428</v>
      </c>
      <c r="Q36" s="14"/>
    </row>
    <row r="37" ht="15" customHeight="1">
      <c r="B37" s="13"/>
      <c r="C37" s="22" t="s">
        <v>184</v>
      </c>
      <c r="D37" s="90" t="s">
        <v>2070</v>
      </c>
      <c r="E37" s="122" t="s">
        <v>2071</v>
      </c>
      <c r="F37" s="91" t="s">
        <v>10</v>
      </c>
      <c r="G37" s="91">
        <v>23950</v>
      </c>
      <c r="H37" s="90" t="s">
        <v>187</v>
      </c>
      <c r="I37" s="91" t="s">
        <v>119</v>
      </c>
      <c r="J37" s="91">
        <v>44396</v>
      </c>
      <c r="K37" s="121">
        <v>56</v>
      </c>
      <c r="L37" s="91">
        <v>44396</v>
      </c>
      <c r="M37" s="91">
        <v>44396</v>
      </c>
      <c r="N37" s="125"/>
      <c r="O37" s="92">
        <v>3428</v>
      </c>
      <c r="Q37" s="14"/>
    </row>
    <row r="38" ht="15" customHeight="1">
      <c r="B38" s="13"/>
      <c r="C38" s="22" t="s">
        <v>2072</v>
      </c>
      <c r="D38" s="90" t="s">
        <v>2073</v>
      </c>
      <c r="E38" s="122" t="s">
        <v>2074</v>
      </c>
      <c r="F38" s="91" t="s">
        <v>8</v>
      </c>
      <c r="G38" s="91">
        <v>21380</v>
      </c>
      <c r="H38" s="90" t="s">
        <v>197</v>
      </c>
      <c r="I38" s="91" t="s">
        <v>119</v>
      </c>
      <c r="J38" s="91">
        <v>43923</v>
      </c>
      <c r="K38" s="121">
        <v>62</v>
      </c>
      <c r="L38" s="91">
        <v>43923</v>
      </c>
      <c r="M38" s="91">
        <v>43923</v>
      </c>
      <c r="N38" s="125"/>
      <c r="O38" s="92">
        <v>3428</v>
      </c>
      <c r="Q38" s="14"/>
    </row>
    <row r="39" ht="15" customHeight="1">
      <c r="B39" s="13"/>
      <c r="C39" s="166"/>
      <c r="D39" s="167"/>
      <c r="E39" s="168"/>
      <c r="F39" s="169"/>
      <c r="G39" s="169"/>
      <c r="H39" s="167"/>
      <c r="I39" s="169"/>
      <c r="J39" s="169"/>
      <c r="K39" s="170"/>
      <c r="L39" s="169"/>
      <c r="M39" s="169"/>
      <c r="N39" s="171"/>
      <c r="O39" s="172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 ht="15" customHeight="1">
      <c r="B84" s="13"/>
      <c r="E84" s="123"/>
      <c r="F84" s="119"/>
      <c r="G84" s="119"/>
      <c r="I84" s="119"/>
      <c r="J84" s="119"/>
      <c r="K84" s="124"/>
      <c r="L84" s="119"/>
      <c r="M84" s="119"/>
      <c r="N84" s="126"/>
      <c r="O84" s="120"/>
      <c r="Q84" s="14"/>
    </row>
    <row r="85" ht="15" customHeight="1">
      <c r="B85" s="13"/>
      <c r="E85" s="123"/>
      <c r="F85" s="119"/>
      <c r="G85" s="119"/>
      <c r="I85" s="119"/>
      <c r="J85" s="119"/>
      <c r="K85" s="124"/>
      <c r="L85" s="119"/>
      <c r="M85" s="119"/>
      <c r="N85" s="126"/>
      <c r="O85" s="120"/>
      <c r="Q85" s="14"/>
    </row>
    <row r="86" ht="15" customHeight="1">
      <c r="B86" s="13"/>
      <c r="E86" s="123"/>
      <c r="F86" s="119"/>
      <c r="G86" s="119"/>
      <c r="I86" s="119"/>
      <c r="J86" s="119"/>
      <c r="K86" s="124"/>
      <c r="L86" s="119"/>
      <c r="M86" s="119"/>
      <c r="N86" s="126"/>
      <c r="O86" s="120"/>
      <c r="Q86" s="14"/>
    </row>
    <row r="87" ht="15" customHeight="1">
      <c r="B87" s="13"/>
      <c r="E87" s="123"/>
      <c r="F87" s="119"/>
      <c r="G87" s="119"/>
      <c r="I87" s="119"/>
      <c r="J87" s="119"/>
      <c r="K87" s="124"/>
      <c r="L87" s="119"/>
      <c r="M87" s="119"/>
      <c r="N87" s="126"/>
      <c r="O87" s="120"/>
      <c r="Q87" s="14"/>
    </row>
    <row r="88" ht="15" customHeight="1">
      <c r="B88" s="13"/>
      <c r="E88" s="123"/>
      <c r="F88" s="119"/>
      <c r="G88" s="119"/>
      <c r="I88" s="119"/>
      <c r="J88" s="119"/>
      <c r="K88" s="124"/>
      <c r="L88" s="119"/>
      <c r="M88" s="119"/>
      <c r="N88" s="126"/>
      <c r="O88" s="120"/>
      <c r="Q88" s="14"/>
    </row>
    <row r="89" ht="15" customHeight="1">
      <c r="B89" s="13"/>
      <c r="E89" s="123"/>
      <c r="F89" s="119"/>
      <c r="G89" s="119"/>
      <c r="I89" s="119"/>
      <c r="J89" s="119"/>
      <c r="K89" s="124"/>
      <c r="L89" s="119"/>
      <c r="M89" s="119"/>
      <c r="N89" s="126"/>
      <c r="O89" s="120"/>
      <c r="Q89" s="14"/>
    </row>
    <row r="90" ht="15" customHeight="1">
      <c r="B90" s="13"/>
      <c r="E90" s="123"/>
      <c r="F90" s="119"/>
      <c r="G90" s="119"/>
      <c r="I90" s="119"/>
      <c r="J90" s="119"/>
      <c r="K90" s="124"/>
      <c r="L90" s="119"/>
      <c r="M90" s="119"/>
      <c r="N90" s="126"/>
      <c r="O90" s="120"/>
      <c r="Q90" s="14"/>
    </row>
    <row r="91" ht="15" customHeight="1">
      <c r="B91" s="13"/>
      <c r="E91" s="123"/>
      <c r="F91" s="119"/>
      <c r="G91" s="119"/>
      <c r="I91" s="119"/>
      <c r="J91" s="119"/>
      <c r="K91" s="124"/>
      <c r="L91" s="119"/>
      <c r="M91" s="119"/>
      <c r="N91" s="126"/>
      <c r="O91" s="120"/>
      <c r="Q91" s="14"/>
    </row>
    <row r="92" ht="15" customHeight="1">
      <c r="B92" s="13"/>
      <c r="E92" s="123"/>
      <c r="F92" s="119"/>
      <c r="G92" s="119"/>
      <c r="I92" s="119"/>
      <c r="J92" s="119"/>
      <c r="K92" s="124"/>
      <c r="L92" s="119"/>
      <c r="M92" s="119"/>
      <c r="N92" s="126"/>
      <c r="O92" s="120"/>
      <c r="Q92" s="14"/>
    </row>
    <row r="93" ht="15" customHeight="1">
      <c r="B93" s="13"/>
      <c r="E93" s="123"/>
      <c r="F93" s="119"/>
      <c r="G93" s="119"/>
      <c r="I93" s="119"/>
      <c r="J93" s="119"/>
      <c r="K93" s="124"/>
      <c r="L93" s="119"/>
      <c r="M93" s="119"/>
      <c r="N93" s="126"/>
      <c r="O93" s="120"/>
      <c r="Q93" s="14"/>
    </row>
    <row r="94" ht="15" customHeight="1">
      <c r="B94" s="13"/>
      <c r="E94" s="123"/>
      <c r="F94" s="119"/>
      <c r="G94" s="119"/>
      <c r="I94" s="119"/>
      <c r="J94" s="119"/>
      <c r="K94" s="124"/>
      <c r="L94" s="119"/>
      <c r="M94" s="119"/>
      <c r="N94" s="126"/>
      <c r="O94" s="120"/>
      <c r="Q94" s="14"/>
    </row>
    <row r="95" ht="15" customHeight="1">
      <c r="B95" s="13"/>
      <c r="E95" s="123"/>
      <c r="F95" s="119"/>
      <c r="G95" s="119"/>
      <c r="I95" s="119"/>
      <c r="J95" s="119"/>
      <c r="K95" s="124"/>
      <c r="L95" s="119"/>
      <c r="M95" s="119"/>
      <c r="N95" s="126"/>
      <c r="O95" s="120"/>
      <c r="Q95" s="14"/>
    </row>
    <row r="96" ht="15" customHeight="1">
      <c r="B96" s="13"/>
      <c r="E96" s="123"/>
      <c r="F96" s="119"/>
      <c r="G96" s="119"/>
      <c r="I96" s="119"/>
      <c r="J96" s="119"/>
      <c r="K96" s="124"/>
      <c r="L96" s="119"/>
      <c r="M96" s="119"/>
      <c r="N96" s="126"/>
      <c r="O96" s="120"/>
      <c r="Q96" s="14"/>
    </row>
    <row r="97" ht="15" customHeight="1">
      <c r="B97" s="13"/>
      <c r="E97" s="123"/>
      <c r="F97" s="119"/>
      <c r="G97" s="119"/>
      <c r="I97" s="119"/>
      <c r="J97" s="119"/>
      <c r="K97" s="124"/>
      <c r="L97" s="119"/>
      <c r="M97" s="119"/>
      <c r="N97" s="126"/>
      <c r="O97" s="120"/>
      <c r="Q97" s="14"/>
    </row>
    <row r="98" ht="15" customHeight="1">
      <c r="B98" s="13"/>
      <c r="E98" s="123"/>
      <c r="F98" s="119"/>
      <c r="G98" s="119"/>
      <c r="I98" s="119"/>
      <c r="J98" s="119"/>
      <c r="K98" s="124"/>
      <c r="L98" s="119"/>
      <c r="M98" s="119"/>
      <c r="N98" s="126"/>
      <c r="O98" s="120"/>
      <c r="Q98" s="14"/>
    </row>
    <row r="99" ht="15" customHeight="1">
      <c r="B99" s="13"/>
      <c r="E99" s="123"/>
      <c r="F99" s="119"/>
      <c r="G99" s="119"/>
      <c r="I99" s="119"/>
      <c r="J99" s="119"/>
      <c r="K99" s="124"/>
      <c r="L99" s="119"/>
      <c r="M99" s="119"/>
      <c r="N99" s="126"/>
      <c r="O99" s="120"/>
      <c r="Q99" s="14"/>
    </row>
    <row r="100" ht="15" customHeight="1">
      <c r="B100" s="13"/>
      <c r="E100" s="123"/>
      <c r="F100" s="119"/>
      <c r="G100" s="119"/>
      <c r="I100" s="119"/>
      <c r="J100" s="119"/>
      <c r="K100" s="124"/>
      <c r="L100" s="119"/>
      <c r="M100" s="119"/>
      <c r="N100" s="126"/>
      <c r="O100" s="120"/>
      <c r="Q100" s="14"/>
    </row>
    <row r="101">
      <c r="B101" s="13"/>
      <c r="Q101" s="14"/>
    </row>
    <row r="102">
      <c r="A102" s="117"/>
      <c r="B102" s="118"/>
      <c r="D102" s="116"/>
      <c r="P102" s="16"/>
      <c r="Q102" s="17"/>
    </row>
    <row r="103" ht="15" customHeight="1">
      <c r="C103" s="1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11"/>
      <c r="Q103" s="11"/>
      <c r="U103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I1"/>
  <sheetViews>
    <sheetView workbookViewId="0">
      <selection activeCell="F1" sqref="F1:F1048576"/>
    </sheetView>
  </sheetViews>
  <sheetFormatPr defaultColWidth="11.42578125" defaultRowHeight="15"/>
  <cols>
    <col min="1" max="2" width="11.42578125" customWidth="1" style="21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1" t="s">
        <v>2075</v>
      </c>
      <c r="B1" s="21" t="s">
        <v>2076</v>
      </c>
      <c r="C1" s="0" t="s">
        <v>62</v>
      </c>
      <c r="D1" s="0" t="s">
        <v>2077</v>
      </c>
      <c r="E1" s="0" t="s">
        <v>2078</v>
      </c>
      <c r="F1" s="0" t="s">
        <v>2079</v>
      </c>
      <c r="G1" s="0" t="s">
        <v>2080</v>
      </c>
      <c r="H1" s="0" t="s">
        <v>2081</v>
      </c>
      <c r="I1" s="136" t="str">
        <f>"Type de Compte - "&amp;AFFICHAGE!$S$2</f>
        <v>Type de Compte - Survenance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 tint="0.79998168889431442"/>
    <pageSetUpPr fitToPage="1"/>
  </sheetPr>
  <dimension ref="A1:AI1"/>
  <sheetViews>
    <sheetView workbookViewId="0">
      <selection activeCell="H33" sqref="H33"/>
    </sheetView>
  </sheetViews>
  <sheetFormatPr defaultColWidth="11.42578125" defaultRowHeight="15"/>
  <cols>
    <col min="1" max="1" bestFit="1" width="12.85546875" customWidth="1"/>
    <col min="4" max="4" width="11.42578125" customWidth="1" style="21"/>
    <col min="6" max="6" bestFit="1" width="22.85546875" customWidth="1"/>
    <col min="7" max="7" width="11.42578125" customWidth="1" style="21"/>
    <col min="11" max="11" width="11.42578125" customWidth="1" style="21"/>
    <col min="12" max="12" bestFit="1" width="37.5703125" customWidth="1"/>
    <col min="16" max="16" width="18.28515625" customWidth="1" style="115"/>
    <col min="22" max="24" width="11.42578125" customWidth="1" style="21"/>
    <col min="33" max="33" width="11.42578125" customWidth="1" style="21"/>
    <col min="35" max="35" width="16.710937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2082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2083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H958">
    <sortCondition ref="C1:C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 tint="0.79998168889431442"/>
    <pageSetUpPr fitToPage="1"/>
  </sheetPr>
  <dimension ref="A1:AI1"/>
  <sheetViews>
    <sheetView topLeftCell="M1" workbookViewId="0">
      <selection activeCell="A2" sqref="A2:AC920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C920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  <pageSetUpPr fitToPage="1"/>
  </sheetPr>
  <dimension ref="A1:AI1"/>
  <sheetViews>
    <sheetView workbookViewId="0">
      <selection activeCell="A2" sqref="A2:AG9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G9">
    <sortCondition ref="F1:F1048576"/>
  </sortState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AI1"/>
  <sheetViews>
    <sheetView workbookViewId="0">
      <selection activeCell="A2" sqref="A2:AG27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G27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  <pageSetUpPr fitToPage="1"/>
  </sheetPr>
  <dimension ref="A1:AI1"/>
  <sheetViews>
    <sheetView workbookViewId="0">
      <selection activeCell="F2" sqref="F2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140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28515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9" tint="0.79998168889431442"/>
    <pageSetUpPr fitToPage="1"/>
  </sheetPr>
  <dimension ref="A1:T22"/>
  <sheetViews>
    <sheetView workbookViewId="0">
      <selection activeCell="P5" sqref="P5"/>
    </sheetView>
  </sheetViews>
  <sheetFormatPr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59" customFormat="1">
      <c r="A1" s="160" t="s">
        <v>104</v>
      </c>
      <c r="B1" s="160" t="s">
        <v>105</v>
      </c>
      <c r="M1" s="159" t="s">
        <v>106</v>
      </c>
      <c r="N1" s="159" t="s">
        <v>107</v>
      </c>
      <c r="O1" s="159" t="s">
        <v>108</v>
      </c>
      <c r="S1" s="160" t="s">
        <v>109</v>
      </c>
      <c r="T1" s="160" t="s">
        <v>110</v>
      </c>
    </row>
    <row r="2">
      <c r="A2" s="0" t="s">
        <v>111</v>
      </c>
      <c r="B2" s="0" t="s">
        <v>112</v>
      </c>
      <c r="M2" s="129" t="s">
        <v>113</v>
      </c>
      <c r="N2" s="129" t="s">
        <v>114</v>
      </c>
      <c r="O2" s="129" t="s">
        <v>114</v>
      </c>
      <c r="Q2" s="0" t="s">
        <v>115</v>
      </c>
      <c r="S2" s="0" t="s">
        <v>116</v>
      </c>
    </row>
    <row r="3">
      <c r="A3" s="0" t="s">
        <v>117</v>
      </c>
      <c r="B3" s="0" t="s">
        <v>118</v>
      </c>
    </row>
    <row r="4">
      <c r="A4" s="0" t="s">
        <v>117</v>
      </c>
      <c r="B4" s="0" t="s">
        <v>119</v>
      </c>
    </row>
    <row r="5">
      <c r="A5" s="0" t="s">
        <v>117</v>
      </c>
      <c r="B5" s="0" t="s">
        <v>120</v>
      </c>
    </row>
    <row r="6">
      <c r="A6" s="0" t="s">
        <v>117</v>
      </c>
      <c r="B6" s="0" t="s">
        <v>117</v>
      </c>
    </row>
    <row r="7">
      <c r="A7" s="0" t="s">
        <v>117</v>
      </c>
      <c r="B7" s="0" t="s">
        <v>121</v>
      </c>
    </row>
    <row r="8">
      <c r="A8" s="0" t="s">
        <v>117</v>
      </c>
      <c r="B8" s="0" t="s">
        <v>122</v>
      </c>
    </row>
    <row r="9">
      <c r="A9" s="0" t="s">
        <v>123</v>
      </c>
      <c r="B9" s="0" t="s">
        <v>21</v>
      </c>
    </row>
    <row r="10">
      <c r="A10" s="0" t="s">
        <v>123</v>
      </c>
      <c r="B10" s="0" t="s">
        <v>123</v>
      </c>
    </row>
    <row r="11">
      <c r="A11" s="0" t="s">
        <v>124</v>
      </c>
      <c r="B11" s="0" t="s">
        <v>30</v>
      </c>
    </row>
    <row r="12">
      <c r="A12" s="0" t="s">
        <v>124</v>
      </c>
      <c r="B12" s="0" t="s">
        <v>124</v>
      </c>
    </row>
    <row r="13">
      <c r="A13" s="0" t="s">
        <v>124</v>
      </c>
      <c r="B13" s="0" t="s">
        <v>125</v>
      </c>
    </row>
    <row r="14">
      <c r="A14" s="0" t="s">
        <v>111</v>
      </c>
      <c r="B14" s="0" t="s">
        <v>122</v>
      </c>
    </row>
    <row r="15">
      <c r="A15" s="0" t="s">
        <v>117</v>
      </c>
      <c r="B15" s="0" t="s">
        <v>118</v>
      </c>
    </row>
    <row r="16">
      <c r="A16" s="0" t="s">
        <v>117</v>
      </c>
      <c r="B16" s="0" t="s">
        <v>119</v>
      </c>
    </row>
    <row r="17">
      <c r="A17" s="0" t="s">
        <v>117</v>
      </c>
      <c r="B17" s="0" t="s">
        <v>120</v>
      </c>
    </row>
    <row r="18">
      <c r="A18" s="0" t="s">
        <v>117</v>
      </c>
      <c r="B18" s="0" t="s">
        <v>117</v>
      </c>
    </row>
    <row r="19">
      <c r="A19" s="0" t="s">
        <v>123</v>
      </c>
      <c r="B19" s="0" t="s">
        <v>21</v>
      </c>
    </row>
    <row r="20">
      <c r="A20" s="0" t="s">
        <v>123</v>
      </c>
      <c r="B20" s="0" t="s">
        <v>123</v>
      </c>
    </row>
    <row r="21">
      <c r="A21" s="0" t="s">
        <v>124</v>
      </c>
      <c r="B21" s="0" t="s">
        <v>124</v>
      </c>
    </row>
    <row r="22">
      <c r="A22" s="0" t="s">
        <v>124</v>
      </c>
      <c r="B22" s="0" t="s">
        <v>30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9"/>
  <sheetViews>
    <sheetView tabSelected="1" workbookViewId="0">
      <selection activeCell="I1" sqref="I1"/>
    </sheetView>
  </sheetViews>
  <sheetFormatPr defaultRowHeight="15"/>
  <cols>
    <col min="1" max="1" width="10.42578125" customWidth="1"/>
    <col min="3" max="3" width="10.42578125" customWidth="1"/>
    <col min="4" max="4" width="15.42578125" customWidth="1"/>
    <col min="5" max="5" width="33" customWidth="1"/>
    <col min="6" max="6" width="20.28515625" customWidth="1"/>
    <col min="8" max="8" width="20.28515625" customWidth="1"/>
    <col min="9" max="9" width="17" customWidth="1"/>
    <col min="10" max="10" width="7.28515625" customWidth="1"/>
  </cols>
  <sheetData>
    <row r="1">
      <c r="A1" s="160" t="s">
        <v>126</v>
      </c>
      <c r="B1" s="160"/>
      <c r="C1" s="183" t="s">
        <v>127</v>
      </c>
      <c r="D1" s="183" t="s">
        <v>128</v>
      </c>
      <c r="E1" s="183" t="s">
        <v>129</v>
      </c>
      <c r="F1" s="183" t="s">
        <v>130</v>
      </c>
      <c r="G1" s="160"/>
      <c r="H1" s="160" t="s">
        <v>131</v>
      </c>
      <c r="I1" s="160" t="s">
        <v>132</v>
      </c>
      <c r="J1" s="160" t="s">
        <v>133</v>
      </c>
    </row>
    <row r="2">
      <c r="A2" s="0" t="s">
        <v>50</v>
      </c>
      <c r="C2" s="0" t="s">
        <v>134</v>
      </c>
      <c r="D2" s="0" t="s">
        <v>135</v>
      </c>
      <c r="E2" s="0" t="s">
        <v>136</v>
      </c>
      <c r="F2" s="0" t="s">
        <v>137</v>
      </c>
      <c r="H2" s="0" t="s">
        <v>138</v>
      </c>
      <c r="I2" s="0" t="s">
        <v>139</v>
      </c>
      <c r="J2" s="0" t="s">
        <v>140</v>
      </c>
    </row>
    <row r="3">
      <c r="H3" s="0" t="s">
        <v>138</v>
      </c>
      <c r="I3" s="0" t="s">
        <v>124</v>
      </c>
      <c r="J3" s="0" t="s">
        <v>140</v>
      </c>
    </row>
    <row r="4">
      <c r="H4" s="0" t="s">
        <v>138</v>
      </c>
      <c r="I4" s="0" t="s">
        <v>117</v>
      </c>
      <c r="J4" s="0" t="s">
        <v>140</v>
      </c>
    </row>
    <row r="5">
      <c r="H5" s="0" t="s">
        <v>138</v>
      </c>
      <c r="I5" s="0" t="s">
        <v>111</v>
      </c>
      <c r="J5" s="0" t="s">
        <v>140</v>
      </c>
    </row>
    <row r="6">
      <c r="H6" s="0" t="s">
        <v>141</v>
      </c>
      <c r="I6" s="0" t="s">
        <v>123</v>
      </c>
      <c r="J6" s="0" t="s">
        <v>140</v>
      </c>
    </row>
    <row r="7">
      <c r="H7" s="0" t="s">
        <v>141</v>
      </c>
      <c r="I7" s="0" t="s">
        <v>124</v>
      </c>
      <c r="J7" s="0" t="s">
        <v>140</v>
      </c>
    </row>
    <row r="8">
      <c r="H8" s="0" t="s">
        <v>141</v>
      </c>
      <c r="I8" s="0" t="s">
        <v>117</v>
      </c>
      <c r="J8" s="0" t="s">
        <v>140</v>
      </c>
    </row>
    <row r="9">
      <c r="H9" s="0" t="s">
        <v>141</v>
      </c>
      <c r="I9" s="0" t="s">
        <v>111</v>
      </c>
      <c r="J9" s="0" t="s">
        <v>140</v>
      </c>
    </row>
    <row r="10">
      <c r="H10" s="0" t="s">
        <v>142</v>
      </c>
      <c r="I10" s="0" t="s">
        <v>123</v>
      </c>
      <c r="J10" s="0" t="s">
        <v>140</v>
      </c>
    </row>
    <row r="11">
      <c r="H11" s="0" t="s">
        <v>142</v>
      </c>
      <c r="I11" s="0" t="s">
        <v>124</v>
      </c>
      <c r="J11" s="0" t="s">
        <v>140</v>
      </c>
    </row>
    <row r="12">
      <c r="H12" s="0" t="s">
        <v>142</v>
      </c>
      <c r="I12" s="0" t="s">
        <v>117</v>
      </c>
      <c r="J12" s="0" t="s">
        <v>140</v>
      </c>
    </row>
    <row r="13">
      <c r="H13" s="0" t="s">
        <v>142</v>
      </c>
      <c r="I13" s="0" t="s">
        <v>111</v>
      </c>
      <c r="J13" s="0" t="s">
        <v>140</v>
      </c>
    </row>
    <row r="14">
      <c r="H14" s="0" t="s">
        <v>143</v>
      </c>
      <c r="I14" s="0" t="s">
        <v>123</v>
      </c>
      <c r="J14" s="0" t="s">
        <v>144</v>
      </c>
    </row>
    <row r="15">
      <c r="H15" s="0" t="s">
        <v>143</v>
      </c>
      <c r="I15" s="0" t="s">
        <v>124</v>
      </c>
      <c r="J15" s="0" t="s">
        <v>144</v>
      </c>
    </row>
    <row r="16">
      <c r="H16" s="0" t="s">
        <v>143</v>
      </c>
      <c r="I16" s="0" t="s">
        <v>117</v>
      </c>
      <c r="J16" s="0" t="s">
        <v>144</v>
      </c>
    </row>
    <row r="17">
      <c r="H17" s="0" t="s">
        <v>143</v>
      </c>
      <c r="I17" s="0" t="s">
        <v>111</v>
      </c>
      <c r="J17" s="0" t="s">
        <v>144</v>
      </c>
    </row>
    <row r="18">
      <c r="H18" s="0" t="s">
        <v>145</v>
      </c>
      <c r="I18" s="0" t="s">
        <v>123</v>
      </c>
      <c r="J18" s="0" t="s">
        <v>146</v>
      </c>
    </row>
    <row r="19">
      <c r="H19" s="0" t="s">
        <v>145</v>
      </c>
      <c r="I19" s="0" t="s">
        <v>124</v>
      </c>
      <c r="J19" s="0" t="s">
        <v>146</v>
      </c>
    </row>
    <row r="20">
      <c r="H20" s="0" t="s">
        <v>145</v>
      </c>
      <c r="I20" s="0" t="s">
        <v>117</v>
      </c>
      <c r="J20" s="0" t="s">
        <v>146</v>
      </c>
    </row>
    <row r="21">
      <c r="H21" s="0" t="s">
        <v>145</v>
      </c>
      <c r="I21" s="0" t="s">
        <v>111</v>
      </c>
      <c r="J21" s="0" t="s">
        <v>146</v>
      </c>
    </row>
    <row r="22">
      <c r="H22" s="0" t="s">
        <v>147</v>
      </c>
      <c r="I22" s="0" t="s">
        <v>123</v>
      </c>
      <c r="J22" s="0" t="s">
        <v>148</v>
      </c>
    </row>
    <row r="23">
      <c r="H23" s="0" t="s">
        <v>147</v>
      </c>
      <c r="I23" s="0" t="s">
        <v>124</v>
      </c>
      <c r="J23" s="0" t="s">
        <v>148</v>
      </c>
    </row>
    <row r="24">
      <c r="H24" s="0" t="s">
        <v>147</v>
      </c>
      <c r="I24" s="0" t="s">
        <v>117</v>
      </c>
      <c r="J24" s="0" t="s">
        <v>148</v>
      </c>
    </row>
    <row r="25">
      <c r="H25" s="0" t="s">
        <v>147</v>
      </c>
      <c r="I25" s="0" t="s">
        <v>111</v>
      </c>
      <c r="J25" s="0" t="s">
        <v>148</v>
      </c>
    </row>
    <row r="26">
      <c r="H26" s="0" t="s">
        <v>149</v>
      </c>
      <c r="I26" s="0" t="s">
        <v>123</v>
      </c>
      <c r="J26" s="0" t="s">
        <v>148</v>
      </c>
    </row>
    <row r="27">
      <c r="H27" s="0" t="s">
        <v>149</v>
      </c>
      <c r="I27" s="0" t="s">
        <v>124</v>
      </c>
      <c r="J27" s="0" t="s">
        <v>148</v>
      </c>
    </row>
    <row r="28">
      <c r="H28" s="0" t="s">
        <v>149</v>
      </c>
      <c r="I28" s="0" t="s">
        <v>117</v>
      </c>
      <c r="J28" s="0" t="s">
        <v>148</v>
      </c>
    </row>
    <row r="29">
      <c r="H29" s="0" t="s">
        <v>149</v>
      </c>
      <c r="I29" s="0" t="s">
        <v>111</v>
      </c>
      <c r="J29" s="0" t="s">
        <v>148</v>
      </c>
    </row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A17"/>
  <sheetViews>
    <sheetView workbookViewId="0">
      <selection activeCell="A5" sqref="A5"/>
    </sheetView>
  </sheetViews>
  <sheetFormatPr defaultColWidth="9.140625" defaultRowHeight="15"/>
  <cols>
    <col min="1" max="1" width="79.28515625" customWidth="1"/>
  </cols>
  <sheetData>
    <row r="1">
      <c r="A1" s="0" t="s">
        <v>150</v>
      </c>
    </row>
    <row r="2">
      <c r="A2" s="0" t="s">
        <v>151</v>
      </c>
    </row>
    <row r="3">
      <c r="A3" s="0" t="s">
        <v>152</v>
      </c>
    </row>
    <row r="4">
      <c r="A4" s="0" t="s">
        <v>153</v>
      </c>
    </row>
    <row r="5">
      <c r="A5" s="0" t="s">
        <v>154</v>
      </c>
    </row>
    <row r="6">
      <c r="A6" s="0" t="s">
        <v>155</v>
      </c>
    </row>
    <row r="7">
      <c r="A7" s="0" t="s">
        <v>156</v>
      </c>
    </row>
    <row r="8">
      <c r="A8" s="0" t="s">
        <v>157</v>
      </c>
    </row>
    <row r="9">
      <c r="A9" s="0" t="s">
        <v>158</v>
      </c>
    </row>
    <row r="10"/>
    <row r="11">
      <c r="A11" s="0" t="s">
        <v>159</v>
      </c>
    </row>
    <row r="12">
      <c r="A12" s="0" t="s">
        <v>160</v>
      </c>
    </row>
    <row r="13">
      <c r="A13" s="0" t="s">
        <v>161</v>
      </c>
    </row>
    <row r="14">
      <c r="A14" s="0" t="s">
        <v>162</v>
      </c>
    </row>
    <row r="15">
      <c r="A15" s="0" t="s">
        <v>163</v>
      </c>
    </row>
    <row r="16">
      <c r="A16" s="0" t="s">
        <v>164</v>
      </c>
    </row>
    <row r="17"/>
  </sheetData>
  <pageMargins left="0.7" right="0.7" top="0.75" bottom="0.75" header="0.3" footer="0.3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0"/>
  </sheetPr>
  <dimension ref="A1:E1"/>
  <sheetViews>
    <sheetView topLeftCell="B1" workbookViewId="0">
      <selection sqref="A1:XFD2"/>
    </sheetView>
  </sheetViews>
  <sheetFormatPr defaultColWidth="11.42578125" defaultRowHeight="15"/>
  <cols>
    <col min="1" max="1" bestFit="1" width="21.85546875" customWidth="1" style="89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89" t="s">
        <v>2084</v>
      </c>
      <c r="B1" s="0" t="s">
        <v>2085</v>
      </c>
      <c r="C1" s="0" t="s">
        <v>2086</v>
      </c>
      <c r="D1" s="0" t="s">
        <v>2087</v>
      </c>
      <c r="E1" s="0" t="s">
        <v>2088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AFFICHAGE-2</vt:lpstr>
      <vt:lpstr>IMPORT</vt:lpstr>
      <vt:lpstr>Erreurs</vt:lpstr>
      <vt:lpstr>ANNEE</vt:lpstr>
      <vt:lpstr>ANNEE_1</vt:lpstr>
      <vt:lpstr>'Page de garde'!Print_Area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Robert</cp:lastModifiedBy>
  <cp:lastPrinted>2021-10-25T12:41:24Z</cp:lastPrinted>
  <dcterms:created xsi:type="dcterms:W3CDTF">2017-05-24T08:26:58Z</dcterms:created>
  <dcterms:modified xsi:type="dcterms:W3CDTF">2023-08-21T15:10:27Z</dcterms:modified>
</cp:coreProperties>
</file>