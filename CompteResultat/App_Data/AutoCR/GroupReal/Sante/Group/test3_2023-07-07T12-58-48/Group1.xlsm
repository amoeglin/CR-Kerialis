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externalLink+xml" PartName="/xl/externalLinks/externalLink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+xml" PartName="/xl/drawings/drawing4.xml"/>
  <Override ContentType="application/vnd.openxmlformats-officedocument.drawingml.chart+xml" PartName="/xl/charts/chart2.xml"/>
  <Override ContentType="application/vnd.openxmlformats-officedocument.themeOverride+xml" PartName="/xl/theme/themeOverride1.xml"/>
  <Override ContentType="application/vnd.openxmlformats-officedocument.drawingml.chart+xml" PartName="/xl/charts/chart3.xml"/>
  <Override ContentType="application/vnd.openxmlformats-officedocument.themeOverride+xml" PartName="/xl/theme/themeOverride2.xml"/>
  <Override ContentType="application/vnd.openxmlformats-officedocument.drawingml.chart+xml" PartName="/xl/charts/chart4.xml"/>
  <Override ContentType="application/vnd.openxmlformats-officedocument.themeOverride+xml" PartName="/xl/theme/themeOverride3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themeOverride+xml" PartName="/xl/theme/themeOverride4.xml"/>
  <Override ContentType="application/vnd.openxmlformats-officedocument.drawingml.chart+xml" PartName="/xl/charts/chart7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themeOverride+xml" PartName="/xl/theme/themeOverride5.xml"/>
  <Override ContentType="application/vnd.openxmlformats-officedocument.drawingml.chart+xml" PartName="/xl/charts/chart8.xml"/>
  <Override ContentType="application/vnd.openxmlformats-officedocument.drawing+xml" PartName="/xl/drawings/drawing7.xml"/>
  <Override ContentType="application/vnd.openxmlformats-officedocument.drawingml.chart+xml" PartName="/xl/charts/chart9.xml"/>
  <Override ContentType="application/vnd.openxmlformats-officedocument.drawing+xml" PartName="/xl/drawings/drawing8.xml"/>
  <Override ContentType="application/vnd.openxmlformats-officedocument.drawingml.chart+xml" PartName="/xl/charts/chart10.xml"/>
  <Override ContentType="application/vnd.openxmlformats-officedocument.drawing+xml" PartName="/xl/drawings/drawing9.xml"/>
  <Override ContentType="application/vnd.openxmlformats-officedocument.drawingml.chart+xml" PartName="/xl/charts/chart11.xml"/>
  <Override ContentType="application/vnd.openxmlformats-officedocument.drawing+xml" PartName="/xl/drawings/drawing10.xml"/>
  <Override ContentType="application/vnd.openxmlformats-officedocument.drawingml.chart+xml" PartName="/xl/charts/chart12.xml"/>
  <Override ContentType="application/vnd.openxmlformats-officedocument.drawing+xml" PartName="/xl/drawings/drawing11.xml"/>
  <Override ContentType="application/vnd.openxmlformats-officedocument.drawingml.chart+xml" PartName="/xl/charts/chart13.xml"/>
  <Override ContentType="application/vnd.openxmlformats-officedocument.drawing+xml" PartName="/xl/drawings/drawing12.xml"/>
  <Override ContentType="application/vnd.openxmlformats-officedocument.drawingml.chart+xml" PartName="/xl/charts/chart14.xml"/>
  <Override ContentType="application/vnd.openxmlformats-officedocument.drawing+xml" PartName="/xl/drawings/drawing13.xml"/>
  <Override ContentType="application/vnd.openxmlformats-officedocument.drawingml.chart+xml" PartName="/xl/charts/chart15.xml"/>
  <Override ContentType="application/vnd.openxmlformats-officedocument.drawing+xml" PartName="/xl/drawings/drawing14.xml"/>
  <Override ContentType="application/vnd.openxmlformats-officedocument.drawingml.chart+xml" PartName="/xl/charts/chart16.xml"/>
  <Override ContentType="application/vnd.openxmlformats-officedocument.drawing+xml" PartName="/xl/drawings/drawing15.xml"/>
  <Override ContentType="application/vnd.openxmlformats-officedocument.drawingml.chart+xml" PartName="/xl/charts/chart17.xml"/>
  <Override ContentType="application/vnd.openxmlformats-officedocument.drawing+xml" PartName="/xl/drawings/drawing16.xml"/>
  <Override ContentType="application/vnd.openxmlformats-officedocument.drawing+xml" PartName="/xl/drawings/drawing17.xml"/>
  <Override ContentType="application/vnd.openxmlformats-officedocument.drawing+xml" PartName="/xl/drawings/drawing18.xml"/>
  <Override ContentType="application/vnd.openxmlformats-officedocument.drawingml.chart+xml" PartName="/xl/charts/chart18.xml"/>
  <Override ContentType="application/vnd.openxmlformats-officedocument.themeOverride+xml" PartName="/xl/theme/themeOverride6.xml"/>
  <Override ContentType="application/vnd.openxmlformats-officedocument.drawing+xml" PartName="/xl/drawings/drawing19.xml"/>
  <Override ContentType="application/vnd.openxmlformats-officedocument.drawingml.chart+xml" PartName="/xl/charts/chart19.xml"/>
  <Override ContentType="application/vnd.openxmlformats-officedocument.themeOverride+xml" PartName="/xl/theme/themeOverride7.xml"/>
  <Override ContentType="application/vnd.openxmlformats-officedocument.drawing+xml" PartName="/xl/drawings/drawing20.xml"/>
  <Override ContentType="application/vnd.openxmlformats-officedocument.drawingml.chart+xml" PartName="/xl/charts/chart20.xml"/>
  <Override ContentType="application/vnd.openxmlformats-officedocument.themeOverride+xml" PartName="/xl/theme/themeOverride8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3\KERIALIS CRPS Contrôle des IMPORTS\"/>
    </mc:Choice>
  </mc:AlternateContent>
  <xr:revisionPtr revIDLastSave="0" documentId="13_ncr:1_{34F94460-649D-40F1-9E5D-B2E77DAB863B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240" r:id="rId2"/>
    <sheet name="Résultats" sheetId="14" r:id="rId3"/>
    <sheet name="Evolution effectifs" sheetId="16" r:id="rId4"/>
    <sheet name="Démographie" sheetId="18" r:id="rId5"/>
    <sheet name="Prestations Réglées" sheetId="21" r:id="rId6"/>
    <sheet name="Prestations Réglées Graph" sheetId="31" r:id="rId7"/>
    <sheet name="AIDES" sheetId="341" r:id="rId8"/>
    <sheet name="AUTRE" sheetId="342" r:id="rId9"/>
    <sheet name="CURE" sheetId="343" r:id="rId10"/>
    <sheet name="DENTA" sheetId="344" r:id="rId11"/>
    <sheet name="HOSPI" sheetId="345" r:id="rId12"/>
    <sheet name="OBSEQ" sheetId="346" r:id="rId13"/>
    <sheet name="OPTIQ" sheetId="347" r:id="rId14"/>
    <sheet name="PREVE" sheetId="348" r:id="rId15"/>
    <sheet name="SOINS" sheetId="349" r:id="rId16"/>
    <sheet name="Prestations Réglées N et N-1" sheetId="40" r:id="rId17"/>
    <sheet name="Prestations Réglées Moyennes" sheetId="47" r:id="rId18"/>
    <sheet name="Quartil garantie_1" sheetId="46" r:id="rId19"/>
    <sheet name="Quartil garantie_2" sheetId="41" r:id="rId20"/>
    <sheet name="Quartil garantie_3" sheetId="45" r:id="rId21"/>
    <sheet name="DATA DEMO" sheetId="4" r:id="rId22"/>
    <sheet name="DATA COT" sheetId="5" r:id="rId23"/>
    <sheet name="DATA PREST" sheetId="6" r:id="rId24"/>
    <sheet name="DATA EXP" sheetId="7" r:id="rId25"/>
    <sheet name="DATA PROV" sheetId="8" r:id="rId26"/>
    <sheet name="DATA QUARTILE" sheetId="9" r:id="rId27"/>
    <sheet name="AFFICHAGE" sheetId="10" r:id="rId28"/>
    <sheet name="IMPORT" sheetId="231" r:id="rId29"/>
    <sheet name="COLLEGE" sheetId="26" r:id="rId30"/>
    <sheet name="Erreurs" sheetId="36" r:id="rId31"/>
  </sheets>
  <functionGroups builtInGroupCount="19"/>
  <externalReferences>
    <externalReference r:id="rId32"/>
  </externalReferences>
  <definedNames>
    <definedName name="_xlnm.Print_Area" localSheetId="0">'Page de garde'!$A$1:$T$42</definedName>
    <definedName name="_xlnm.Print_Area" localSheetId="2">'Résultats'!$A$1:$T$39</definedName>
    <definedName name="_xlnm.Print_Area" localSheetId="3">'Evolution effectifs'!$A$1:$M$34</definedName>
    <definedName name="_xlnm.Print_Area" localSheetId="4">'Démographie'!$A$1:$R$48</definedName>
    <definedName name="_xlnm.Print_Area" localSheetId="5">'Prestations Réglées'!$A$1:$S$75</definedName>
    <definedName name="_xlnm.Print_Area" localSheetId="6">'Prestations Réglées Graph'!$A$1:$T$52</definedName>
    <definedName name="_xlnm.Print_Area" localSheetId="18">'Quartil garantie_1'!$A$1:$T$51</definedName>
    <definedName name="_xlnm.Print_Area" localSheetId="19">'Quartil garantie_2'!$A$1:$T$51</definedName>
    <definedName name="_xlnm.Print_Area" localSheetId="20">'Quartil garantie_3'!$A$1:$T$51</definedName>
    <definedName name="_xlnm._FilterDatabase" localSheetId="23" hidden="1">'DATA PREST'!$A$1:$R$1</definedName>
    <definedName name="_xlnm._FilterDatabase" localSheetId="24" hidden="1">'DATA EXP'!$A$1:$Q$1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<sst xmlns="http://schemas.openxmlformats.org/spreadsheetml/2006/main" count="314" uniqueCount="314">
  <si>
    <t>MAJ EXCEL</t>
  </si>
  <si>
    <t>MAJ POWERPOINT</t>
  </si>
  <si>
    <t>OUI</t>
  </si>
  <si>
    <t>NON</t>
  </si>
  <si>
    <t>STATISTIQUES</t>
  </si>
  <si>
    <t>FRAIS DE SANTE</t>
  </si>
  <si>
    <t>Contrat(s)</t>
  </si>
  <si>
    <t/>
  </si>
  <si>
    <t>ESSENTIELLE_</t>
  </si>
  <si>
    <t>Collège</t>
  </si>
  <si>
    <t>Ens Pers</t>
  </si>
  <si>
    <t xml:space="preserve">Période analysée : </t>
  </si>
  <si>
    <t>1 janvier 2020 au 31 décembre 2021</t>
  </si>
  <si>
    <t>Date d'arrêté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</si>
  <si>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</si>
  <si>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</si>
  <si>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</si>
  <si>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</si>
  <si>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</si>
  <si>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</si>
  <si>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</si>
  <si>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</si>
  <si>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</si>
  <si>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</si>
  <si>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2020</t>
  </si>
  <si>
    <t>0</t>
  </si>
  <si>
    <t>418829,42</t>
  </si>
  <si>
    <t>0,2814</t>
  </si>
  <si>
    <t>300986,27</t>
  </si>
  <si>
    <t>2021</t>
  </si>
  <si>
    <t>2,43</t>
  </si>
  <si>
    <t>375385,11</t>
  </si>
  <si>
    <t>269765,58</t>
  </si>
  <si>
    <t>269763,15</t>
  </si>
  <si>
    <t xml:space="preserve">Date d'arrêté : </t>
  </si>
  <si>
    <t>Taux de chargements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</si>
  <si>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</si>
  <si>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</si>
  <si>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</si>
  <si>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</si>
  <si>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</si>
  <si>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</si>
  <si>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</si>
  <si>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</si>
  <si>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</si>
  <si>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</si>
  <si>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</si>
  <si>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</si>
  <si>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assuré</t>
  </si>
  <si>
    <t>conjoint</t>
  </si>
  <si>
    <t>enfant</t>
  </si>
  <si>
    <t>Total général</t>
  </si>
  <si>
    <r xmlns="http://schemas.openxmlformats.org/spreadsheetml/2006/main">
      <t>§</t>
    </r>
    <r xmlns="http://schemas.openxmlformats.org/spreadsheetml/2006/main">
      <rPr>
        <sz val="12"/>
        <rFont val="Arial"/>
        <family val="2"/>
      </rPr>
      <t xml:space="preserve"> </t>
    </r>
    <r xmlns="http://schemas.openxmlformats.org/spreadsheetml/2006/main">
      <rPr>
        <sz val="12"/>
        <rFont val="DINBek"/>
      </rPr>
      <t>Nombre d'assurés</t>
    </r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</si>
  <si>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Pyramide des âges des assurés</t>
    </r>
  </si>
  <si>
    <t xml:space="preserve"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</si>
  <si>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</si>
  <si>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</si>
  <si>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</si>
  <si>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</si>
  <si>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</si>
  <si>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</si>
  <si>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</si>
  <si>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</si>
  <si>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</si>
  <si>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</si>
  <si>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</si>
  <si>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</si>
  <si>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</si>
  <si>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</si>
  <si>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</si>
  <si>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</si>
  <si>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</si>
  <si>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</si>
  <si>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</si>
  <si>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</si>
  <si>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</si>
  <si>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</si>
  <si>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</si>
  <si>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NOTRE EXPERIENCE année 2021</t>
  </si>
  <si>
    <t>Quantité</t>
  </si>
  <si>
    <t xml:space="preserve"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</si>
  <si>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</si>
  <si>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</si>
  <si>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</si>
  <si>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</si>
  <si>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</si>
  <si>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</si>
  <si>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</si>
  <si>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AIDES</t>
  </si>
  <si>
    <t>APPAREILLAGE</t>
  </si>
  <si>
    <t>PILES AUDITIVES</t>
  </si>
  <si>
    <t>PROTH.AUDITIVE CLASSE 1 DROITE</t>
  </si>
  <si>
    <t>PROTH.AUDITIVE CLASSE 2 DROITE</t>
  </si>
  <si>
    <t>PROTH.AUDITIVE CLASSE 2 GAUCHE</t>
  </si>
  <si>
    <t>PROTHESES AUDITIVES</t>
  </si>
  <si>
    <t>AUTRE</t>
  </si>
  <si>
    <t>DIVERS</t>
  </si>
  <si>
    <t>HORS NOMENCLATURE</t>
  </si>
  <si>
    <t>NON RENSEIGNE</t>
  </si>
  <si>
    <t>RÉSEAU ITELIS</t>
  </si>
  <si>
    <t>CURE</t>
  </si>
  <si>
    <t>CURE THERMALE</t>
  </si>
  <si>
    <t>DENTA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</si>
  <si>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</si>
  <si>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</si>
  <si>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</si>
  <si>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</si>
  <si>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</si>
  <si>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</si>
  <si>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</si>
  <si>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HOSPI</t>
  </si>
  <si>
    <t>CHAMBRE PARTICULIERE</t>
  </si>
  <si>
    <t>FORFAIT JOURNALIER</t>
  </si>
  <si>
    <t>FRAIS SEJOUR</t>
  </si>
  <si>
    <t>FRAIS TRANSPORT</t>
  </si>
  <si>
    <t>HONORAIRE / FRAIS SEJOUR</t>
  </si>
  <si>
    <t>HONORAIRES</t>
  </si>
  <si>
    <t>HONORAIRES LIES A L'ACCOUCHEMENT</t>
  </si>
  <si>
    <t>INDEMNITE DE NAISSANCE</t>
  </si>
  <si>
    <t>LIT ACCOMPAGNANT</t>
  </si>
  <si>
    <t>OBSEQ</t>
  </si>
  <si>
    <t>ALLOCATION OBSEQUES</t>
  </si>
  <si>
    <t>OPTIQ</t>
  </si>
  <si>
    <t>EQUIPEMENT</t>
  </si>
  <si>
    <t>EQUIPEMENT CLASSE A</t>
  </si>
  <si>
    <t>KERATOTOMIE</t>
  </si>
  <si>
    <t>LENTILLES</t>
  </si>
  <si>
    <t>MONTURE / 1 VERRE COMPLEXE / 1 VERRE TRES COMPLEXE</t>
  </si>
  <si>
    <t>MONTURE / 1 VERRE SIMPLE / 1 VERRE COMPLEXE</t>
  </si>
  <si>
    <t>MONTURE / 2 VERRES COMPLEXES</t>
  </si>
  <si>
    <t>MONTURE / 2 VERRES SIMPLES</t>
  </si>
  <si>
    <t>MONTURE / 2 VERRES TRES COMPLEXES</t>
  </si>
  <si>
    <t>OPTIQUE</t>
  </si>
  <si>
    <t>PREVE</t>
  </si>
  <si>
    <t>MEDECINE DOUCE</t>
  </si>
  <si>
    <t>VACCINS</t>
  </si>
  <si>
    <t>SOINS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</si>
  <si>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</si>
  <si>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</si>
  <si>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</si>
  <si>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</si>
  <si>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</si>
  <si>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SOINS ORTHOPTISTE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</si>
  <si>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</si>
  <si>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</si>
  <si>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</si>
  <si>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</si>
  <si>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</si>
  <si>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</si>
  <si>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</si>
  <si>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</si>
  <si>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Votre taux de couverture</t>
  </si>
  <si>
    <t xml:space="preserve">Taux de couverture
NOTRE EXPERIENCE</t>
  </si>
  <si>
    <t>Vos prestations</t>
  </si>
  <si>
    <t>Notre expérience</t>
  </si>
  <si>
    <t>Remboursement Autres Régimes</t>
  </si>
  <si>
    <t>Somme de Reste à charge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</si>
  <si>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</si>
  <si>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</si>
  <si>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</si>
  <si>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</si>
  <si>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</si>
  <si>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</si>
  <si>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</si>
  <si>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</si>
  <si>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</si>
  <si>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</si>
  <si>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</si>
  <si>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</si>
  <si>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</si>
  <si>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</si>
  <si>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</si>
  <si>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</si>
  <si>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</si>
  <si>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</si>
  <si>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</si>
  <si>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</si>
  <si>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</si>
  <si>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</si>
  <si>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</si>
  <si>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</si>
  <si>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</si>
  <si>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</si>
  <si>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</si>
  <si>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</si>
  <si>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</si>
  <si>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</si>
  <si>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</si>
  <si>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</si>
  <si>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</si>
  <si>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47500207</t>
  </si>
  <si>
    <t>DEBPRIME</t>
  </si>
  <si>
    <t>FINPRIME</t>
  </si>
  <si>
    <t>CONTRAT</t>
  </si>
  <si>
    <t>CODCOL</t>
  </si>
  <si>
    <t>COTISATION NETTE</t>
  </si>
  <si>
    <t>COTISATION BRUTE</t>
  </si>
  <si>
    <t>SUR MESURE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</si>
  <si>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</si>
  <si>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</si>
  <si>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</si>
  <si>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</si>
  <si>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</si>
  <si>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</si>
  <si>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</si>
  <si>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</si>
  <si>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</si>
  <si>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</si>
  <si>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</si>
  <si>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</si>
  <si>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</si>
  <si>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</si>
  <si>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</si>
  <si>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ESSENTIELLE</t>
  </si>
  <si>
    <t>FAUX</t>
  </si>
  <si>
    <t>VRAI</t>
  </si>
  <si>
    <t>CONFORT</t>
  </si>
  <si>
    <t>PRODUIT_P1</t>
  </si>
  <si>
    <t>PRODUIT_P2</t>
  </si>
  <si>
    <t>PRODUIT_P1_</t>
  </si>
  <si>
    <t>PRODUIT_P2_</t>
  </si>
  <si>
    <t>CONFORT_</t>
  </si>
  <si>
    <t>PROVISION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</si>
  <si>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</si>
  <si>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</si>
  <si>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</si>
  <si>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</si>
  <si>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</si>
  <si>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</si>
  <si>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</si>
  <si>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</si>
  <si>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</si>
  <si>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</si>
  <si>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>APPAREILLAGE REFUSE</t>
  </si>
  <si>
    <t>AUTRES</t>
  </si>
  <si>
    <t>AUTRES PROTHESES ET APPAREILLAGES</t>
  </si>
  <si>
    <t>PRODUITS DIETETIQUES</t>
  </si>
  <si>
    <t xml:space="preserve">CURE </t>
  </si>
  <si>
    <t>CURES THERMALES</t>
  </si>
  <si>
    <t>ACTES D'ENDODONTIE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</si>
  <si>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</si>
  <si>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</si>
  <si>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</si>
  <si>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</si>
  <si>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</si>
  <si>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</si>
  <si>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</si>
  <si>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</si>
  <si>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 xml:space="preserve"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</si>
  <si>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</si>
  <si>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</si>
  <si>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</si>
  <si>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</si>
  <si>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</si>
  <si>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</si>
  <si>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</si>
  <si>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</si>
  <si>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</si>
  <si>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</si>
  <si>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</si>
  <si>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</si>
  <si>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</si>
  <si>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</si>
  <si>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</si>
  <si>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</si>
  <si>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</si>
  <si>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</si>
  <si>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SUPPL. PROTH. METALLIQUE RAC MODERE</t>
  </si>
  <si>
    <t xml:space="preserve">ACTES DE CHIRUR  CETIP</t>
  </si>
  <si>
    <t>FRAIS D'ACCOMPAGNEMENT</t>
  </si>
  <si>
    <t>HOSPITALISATION</t>
  </si>
  <si>
    <t>TRANSPORT</t>
  </si>
  <si>
    <t>MATER</t>
  </si>
  <si>
    <t>MATERNITE</t>
  </si>
  <si>
    <t>NON D</t>
  </si>
  <si>
    <t>100% FLUX</t>
  </si>
  <si>
    <t>FRAIS OBSEQUES</t>
  </si>
  <si>
    <t>MAJO. DIMACETIP</t>
  </si>
  <si>
    <t>PARTICIPATION ASSURE</t>
  </si>
  <si>
    <t xml:space="preserve">PRELEVEMENT      CETIP</t>
  </si>
  <si>
    <t>REPARATION ADJONCTION RAC 0</t>
  </si>
  <si>
    <t>CHIRURGIE DE L'ŒIL</t>
  </si>
  <si>
    <t>LUNETTES</t>
  </si>
  <si>
    <t>MONTURE</t>
  </si>
  <si>
    <t>MONTURE + VERRES ADULTE</t>
  </si>
  <si>
    <t>MONTURE + VERRES ENFANT</t>
  </si>
  <si>
    <t>VERRES</t>
  </si>
  <si>
    <t>VERRES ADULTE CTRT RESP.(F)</t>
  </si>
  <si>
    <t>VERRES ENFANT CTRT RESP.(C)</t>
  </si>
  <si>
    <t>PHARM</t>
  </si>
  <si>
    <t>PREVENTION</t>
  </si>
  <si>
    <t>ACTES DE SPECIALISTES</t>
  </si>
  <si>
    <t>ACTES D'IMAGERIE</t>
  </si>
  <si>
    <t>CONSULTATIONS ET VISITES</t>
  </si>
  <si>
    <t>GHS ETS MEDIC.SPEC.</t>
  </si>
  <si>
    <t>SOINS COURANTS</t>
  </si>
  <si>
    <t>DATE DEBUT</t>
  </si>
  <si>
    <t>DATE FIN</t>
  </si>
  <si>
    <t>DATE D'ARRETE</t>
  </si>
  <si>
    <t>Comptable/Survenance</t>
  </si>
  <si>
    <t>SANTE_2ANS</t>
  </si>
  <si>
    <t>KERIALIS_ENTREPRISE</t>
  </si>
  <si>
    <t>01/01/2020</t>
  </si>
  <si>
    <t>31/12/2021</t>
  </si>
  <si>
    <t>Survenance</t>
  </si>
  <si>
    <t>FICHIERS D'IMPORT</t>
  </si>
  <si>
    <t>Code collège</t>
  </si>
  <si>
    <t>Libellé collège</t>
  </si>
  <si>
    <t>ACTIFS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</si>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</sst>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0_ ;[Red]\-0\ "/>
    <numFmt numFmtId="174" formatCode="#,##0.00\ _€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DINBek"/>
    </font>
    <font>
      <sz val="11"/>
      <name val="DINBek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66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275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4" applyNumberFormat="1" fontId="1" applyFont="1" fillId="0" applyFill="1" borderId="0" applyBorder="1" xfId="2"/>
    <xf numFmtId="164" applyNumberFormat="1" fontId="1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0" applyNumberFormat="1" fontId="25" applyFont="1" fillId="0" applyFill="1" borderId="0" applyBorder="1" xfId="6"/>
    <xf numFmtId="0" applyNumberFormat="1" fontId="3" applyFont="1" fillId="0" applyFill="1" borderId="0" applyBorder="1" xfId="7"/>
    <xf numFmtId="0" applyNumberFormat="1" fontId="3" applyFont="1" fillId="0" applyFill="1" borderId="0" applyBorder="1" xfId="8"/>
    <xf numFmtId="9" applyNumberFormat="1" fontId="1" applyFont="1" fillId="0" applyFill="1" borderId="0" applyBorder="1" xfId="9"/>
    <xf numFmtId="9" applyNumberFormat="1" fontId="3" applyFont="1" fillId="0" applyFill="1" borderId="0" applyBorder="1" xfId="10"/>
    <xf numFmtId="9" applyNumberFormat="1" fontId="1" applyFont="1" fillId="0" applyFill="1" borderId="0" applyBorder="1" xfId="11"/>
    <xf numFmtId="0" applyNumberFormat="1" fontId="0" applyFont="1" fillId="0" applyFill="1" borderId="6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4" applyFont="1" fillId="2" applyFill="1" borderId="0" applyBorder="1" xfId="7"/>
    <xf numFmtId="0" applyNumberFormat="1" fontId="5" applyFont="1" fillId="0" applyFill="1" borderId="0" applyBorder="1" xfId="0">
      <alignment horizontal="left" vertical="center"/>
    </xf>
    <xf numFmtId="0" applyNumberFormat="1" fontId="5" applyFont="1" fillId="0" applyFill="1" borderId="0" applyBorder="1" xfId="4">
      <alignment horizontal="center" vertical="center"/>
    </xf>
    <xf numFmtId="0" applyNumberFormat="1" fontId="6" applyFont="1" fillId="2" applyFill="1" borderId="0" applyBorder="1" xfId="7">
      <alignment vertical="center"/>
    </xf>
    <xf numFmtId="9" applyNumberFormat="1" fontId="6" applyFont="1" fillId="2" applyFill="1" borderId="0" applyBorder="1" xfId="9">
      <alignment horizontal="center" vertical="center" wrapText="1"/>
    </xf>
    <xf numFmtId="0" applyNumberFormat="1" fontId="7" applyFont="1" fillId="0" applyFill="1" borderId="0" applyBorder="1" xfId="0"/>
    <xf numFmtId="0" applyNumberFormat="1" fontId="8" applyFont="1" fillId="2" applyFill="1" borderId="0" applyBorder="1" xfId="7">
      <alignment vertical="center" wrapText="1"/>
    </xf>
    <xf numFmtId="0" applyNumberFormat="1" fontId="9" applyFont="1" fillId="0" applyFill="1" borderId="0" applyBorder="1" xfId="4"/>
    <xf numFmtId="0" applyNumberFormat="1" fontId="9" applyFont="1" fillId="0" applyFill="1" borderId="0" applyBorder="1" xfId="4">
      <alignment horizontal="center" vertical="center"/>
    </xf>
    <xf numFmtId="0" applyNumberFormat="1" fontId="9" applyFont="1" fillId="0" applyFill="1" borderId="15" applyBorder="1" xfId="4">
      <alignment horizontal="center" vertical="center"/>
    </xf>
    <xf numFmtId="0" applyNumberFormat="1" fontId="10" applyFont="1" fillId="3" applyFill="1" borderId="21" applyBorder="1" xfId="4">
      <alignment horizontal="center" vertical="center"/>
    </xf>
    <xf numFmtId="0" applyNumberFormat="1" fontId="11" applyFont="1" fillId="4" applyFill="1" borderId="14" applyBorder="1" xfId="4">
      <alignment horizontal="center" vertical="center" wrapText="1"/>
    </xf>
    <xf numFmtId="0" applyNumberFormat="1" fontId="9" applyFont="1" fillId="0" applyFill="1" borderId="16" applyBorder="1" xfId="4">
      <alignment horizontal="center" vertical="center"/>
    </xf>
    <xf numFmtId="1" applyNumberFormat="1" fontId="9" applyFont="1" fillId="0" applyFill="1" borderId="17" applyBorder="1" xfId="4">
      <alignment horizontal="center" vertical="center"/>
    </xf>
    <xf numFmtId="0" applyNumberFormat="1" fontId="10" applyFont="1" fillId="3" applyFill="1" borderId="24" applyBorder="1" xfId="4">
      <alignment horizontal="center" vertical="center"/>
    </xf>
    <xf numFmtId="1" applyNumberFormat="1" fontId="10" applyFont="1" fillId="3" applyFill="1" borderId="25" applyBorder="1" xfId="4">
      <alignment horizontal="center" vertical="center"/>
    </xf>
    <xf numFmtId="0" applyNumberFormat="1" fontId="9" applyFont="1" fillId="0" applyFill="1" borderId="15" applyBorder="1" xfId="4">
      <alignment horizontal="center"/>
    </xf>
    <xf numFmtId="1" applyNumberFormat="1" fontId="9" applyFont="1" fillId="0" applyFill="1" borderId="15" applyBorder="1" xfId="4">
      <alignment horizontal="center"/>
    </xf>
    <xf numFmtId="0" applyNumberFormat="1" fontId="9" applyFont="1" fillId="0" applyFill="1" borderId="28" applyBorder="1" xfId="4">
      <alignment horizontal="center"/>
    </xf>
    <xf numFmtId="1" applyNumberFormat="1" fontId="9" applyFont="1" fillId="0" applyFill="1" borderId="28" applyBorder="1" xfId="4">
      <alignment horizontal="center"/>
    </xf>
    <xf numFmtId="0" applyNumberFormat="1" fontId="9" applyFont="1" fillId="0" applyFill="1" borderId="2" applyBorder="1" xfId="4">
      <alignment horizontal="center"/>
    </xf>
    <xf numFmtId="1" applyNumberFormat="1" fontId="11" applyFont="1" fillId="0" applyFill="1" borderId="30" applyBorder="1" xfId="4">
      <alignment horizontal="center"/>
    </xf>
    <xf numFmtId="0" applyNumberFormat="1" fontId="3" applyFont="1" fillId="0" applyFill="1" borderId="19" applyBorder="1" xfId="4"/>
    <xf numFmtId="1" applyNumberFormat="1" fontId="9" applyFont="1" fillId="5" applyFill="1" borderId="17" applyBorder="1" xfId="9">
      <alignment horizontal="center" vertical="center"/>
    </xf>
    <xf numFmtId="1" applyNumberFormat="1" fontId="10" applyFont="1" fillId="3" applyFill="1" borderId="25" applyBorder="1" xfId="9">
      <alignment horizontal="center" vertical="center"/>
    </xf>
    <xf numFmtId="0" applyNumberFormat="1" fontId="11" applyFont="1" fillId="4" applyFill="1" borderId="18" applyBorder="1" xfId="4">
      <alignment horizontal="center" vertical="center" wrapText="1"/>
    </xf>
    <xf numFmtId="0" applyNumberFormat="1" fontId="15" applyFont="1" fillId="0" applyFill="1" borderId="0" applyBorder="1" xfId="0"/>
    <xf numFmtId="0" applyNumberFormat="1" fontId="0" applyFont="1" fillId="0" applyFill="1" borderId="0" applyBorder="1" xfId="0" quotePrefix="1"/>
    <xf numFmtId="0" applyNumberFormat="1" fontId="13" applyFont="1" fillId="0" applyFill="1" borderId="0" applyBorder="1" xfId="4"/>
    <xf numFmtId="1" applyNumberFormat="1" fontId="0" applyFont="1" fillId="0" applyFill="1" borderId="0" applyBorder="1" xfId="0"/>
    <xf numFmtId="166" applyNumberFormat="1" fontId="2" applyFont="1" fillId="0" applyFill="1" borderId="0" applyBorder="1" xfId="0"/>
    <xf numFmtId="166" applyNumberFormat="1" fontId="0" applyFont="1" fillId="0" applyFill="1" borderId="0" applyBorder="1" xfId="0"/>
    <xf numFmtId="166" applyNumberFormat="1" fontId="4" applyFont="1" fillId="0" applyFill="1" borderId="0" applyBorder="1" xfId="7">
      <alignment horizontal="left"/>
    </xf>
    <xf numFmtId="166" applyNumberFormat="1" fontId="5" applyFont="1" fillId="0" applyFill="1" borderId="0" applyBorder="1" xfId="0">
      <alignment horizontal="left" vertical="center"/>
    </xf>
    <xf numFmtId="166" applyNumberFormat="1" fontId="5" applyFont="1" fillId="0" applyFill="1" borderId="0" applyBorder="1" xfId="4">
      <alignment horizontal="center" vertical="center"/>
    </xf>
    <xf numFmtId="166" applyNumberFormat="1" fontId="5" applyFont="1" fillId="0" applyFill="1" borderId="2" applyBorder="1" xfId="4">
      <alignment horizontal="center" vertical="center"/>
    </xf>
    <xf numFmtId="166" applyNumberFormat="1" fontId="4" applyFont="1" fillId="2" applyFill="1" borderId="0" applyBorder="1" xfId="7"/>
    <xf numFmtId="166" applyNumberFormat="1" fontId="4" applyFont="1" fillId="2" applyFill="1" borderId="0" applyBorder="1" xfId="7">
      <alignment horizontal="center"/>
    </xf>
    <xf numFmtId="166" applyNumberFormat="1" fontId="0" applyFont="1" fillId="0" applyFill="1" borderId="9" applyBorder="1" xfId="0"/>
    <xf numFmtId="0" applyNumberFormat="1" fontId="18" applyFont="1" fillId="0" applyFill="1" borderId="0" applyBorder="1" xfId="0"/>
    <xf numFmtId="0" applyNumberFormat="1" fontId="19" applyFont="1" fillId="2" applyFill="1" borderId="0" applyBorder="1" xfId="4">
      <alignment horizontal="center" vertical="center"/>
    </xf>
    <xf numFmtId="9" applyNumberFormat="1" fontId="5" applyFont="1" fillId="0" applyFill="1" borderId="0" applyBorder="1" xfId="9">
      <alignment horizontal="center" vertical="center"/>
    </xf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7" applyBorder="1" xfId="0"/>
    <xf numFmtId="0" applyNumberFormat="1" fontId="0" applyFont="1" fillId="0" applyFill="1" borderId="10" applyBorder="1" xfId="0"/>
    <xf numFmtId="166" applyNumberFormat="1" fontId="0" applyFont="1" fillId="0" applyFill="1" borderId="4" applyBorder="1" xfId="0"/>
    <xf numFmtId="2" applyNumberFormat="1" fontId="0" applyFont="1" fillId="0" applyFill="1" borderId="0" applyBorder="1" xfId="0"/>
    <xf numFmtId="168" applyNumberFormat="1" fontId="17" applyFont="1" fillId="5" applyFill="1" borderId="46" applyBorder="1" xfId="1">
      <alignment horizontal="right" vertical="center"/>
    </xf>
    <xf numFmtId="166" applyNumberFormat="1" fontId="17" applyFont="1" fillId="5" applyFill="1" borderId="46" applyBorder="1" xfId="4">
      <alignment horizontal="right" vertical="center"/>
    </xf>
    <xf numFmtId="9" applyNumberFormat="1" fontId="17" applyFont="1" fillId="5" applyFill="1" borderId="46" applyBorder="1" xfId="4">
      <alignment horizontal="right" vertical="center"/>
    </xf>
    <xf numFmtId="0" applyNumberFormat="1" fontId="2" applyFont="1" fillId="2" applyFill="1" borderId="0" applyBorder="1" xfId="0"/>
    <xf numFmtId="0" applyNumberFormat="1" fontId="0" applyFont="1" fillId="2" applyFill="1" borderId="0" applyBorder="1" xfId="0"/>
    <xf numFmtId="0" applyNumberFormat="1" fontId="27" applyFont="1" fillId="0" applyFill="1" borderId="0" applyBorder="1" xfId="4"/>
    <xf numFmtId="0" applyNumberFormat="1" fontId="26" applyFont="1" fillId="0" applyFill="1" borderId="0" applyBorder="1" xfId="0">
      <alignment horizontal="center" vertical="center"/>
    </xf>
    <xf numFmtId="0" applyNumberFormat="1" fontId="26" applyFont="1" fillId="0" applyFill="1" borderId="0" applyBorder="1" xfId="0">
      <alignment vertical="center"/>
    </xf>
    <xf numFmtId="0" applyNumberFormat="1" fontId="26" applyFont="1" fillId="2" applyFill="1" borderId="0" applyBorder="1" xfId="0">
      <alignment vertical="center"/>
    </xf>
    <xf numFmtId="10" applyNumberFormat="1" fontId="29" applyFont="1" fillId="0" applyFill="1" borderId="0" applyBorder="1" xfId="0">
      <alignment horizontal="center" vertical="center"/>
    </xf>
    <xf numFmtId="10" applyNumberFormat="1" fontId="28" applyFont="1" fillId="0" applyFill="1" borderId="0" applyBorder="1" xfId="0">
      <alignment horizontal="center" vertical="center"/>
    </xf>
    <xf numFmtId="169" applyNumberFormat="1" fontId="17" applyFont="1" fillId="5" applyFill="1" borderId="46" applyBorder="1" xfId="1">
      <alignment horizontal="right" vertical="center"/>
    </xf>
    <xf numFmtId="10" applyNumberFormat="1" fontId="28" applyFont="1" fillId="0" applyFill="1" borderId="0" applyBorder="1" xfId="0"/>
    <xf numFmtId="10" applyNumberFormat="1" fontId="0" applyFont="1" fillId="0" applyFill="1" borderId="0" applyBorder="1" xfId="0"/>
    <xf numFmtId="10" applyNumberFormat="1" fontId="2" applyFont="1" fillId="0" applyFill="1" borderId="0" applyBorder="1" xfId="0"/>
    <xf numFmtId="10" applyNumberFormat="1" fontId="0" applyFont="1" fillId="0" applyFill="1" borderId="9" applyBorder="1" xfId="0"/>
    <xf numFmtId="0" applyNumberFormat="1" fontId="11" applyFont="1" fillId="8" applyFill="1" borderId="50" applyBorder="1" xfId="4">
      <alignment horizontal="center" vertical="center" wrapText="1"/>
    </xf>
    <xf numFmtId="0" applyNumberFormat="1" fontId="31" applyFont="1" fillId="0" applyFill="1" borderId="0" applyBorder="1" xfId="0"/>
    <xf numFmtId="0" applyNumberFormat="1" fontId="31" applyFont="1" fillId="0" applyFill="1" borderId="3" applyBorder="1" xfId="0"/>
    <xf numFmtId="0" applyNumberFormat="1" fontId="31" applyFont="1" fillId="0" applyFill="1" borderId="4" applyBorder="1" xfId="0"/>
    <xf numFmtId="0" applyNumberFormat="1" fontId="31" applyFont="1" fillId="0" applyFill="1" borderId="5" applyBorder="1" xfId="0"/>
    <xf numFmtId="0" applyNumberFormat="1" fontId="31" applyFont="1" fillId="0" applyFill="1" borderId="6" applyBorder="1" xfId="0"/>
    <xf numFmtId="0" applyNumberFormat="1" fontId="31" applyFont="1" fillId="0" applyFill="1" borderId="7" applyBorder="1" xfId="0"/>
    <xf numFmtId="0" applyNumberFormat="1" fontId="32" applyFont="1" fillId="0" applyFill="1" borderId="0" applyBorder="1" xfId="8">
      <alignment horizontal="left" vertical="center"/>
    </xf>
    <xf numFmtId="0" applyNumberFormat="1" fontId="31" applyFont="1" fillId="0" applyFill="1" borderId="0" applyBorder="1" xfId="0">
      <alignment horizontal="left" vertical="center"/>
    </xf>
    <xf numFmtId="0" applyNumberFormat="1" fontId="33" applyFont="1" fillId="0" applyFill="1" borderId="0" applyBorder="1" xfId="0"/>
    <xf numFmtId="0" applyNumberFormat="1" fontId="31" applyFont="1" fillId="0" applyFill="1" borderId="6" applyBorder="1" xfId="0">
      <alignment wrapText="1"/>
    </xf>
    <xf numFmtId="0" applyNumberFormat="1" fontId="31" applyFont="1" fillId="0" applyFill="1" borderId="7" applyBorder="1" xfId="0">
      <alignment wrapText="1"/>
    </xf>
    <xf numFmtId="0" applyNumberFormat="1" fontId="33" applyFont="1" fillId="0" applyFill="1" borderId="6" applyBorder="1" xfId="0"/>
    <xf numFmtId="0" applyNumberFormat="1" fontId="33" applyFont="1" fillId="0" applyFill="1" borderId="0" applyBorder="1" xfId="0">
      <alignment horizontal="left" vertical="center"/>
    </xf>
    <xf numFmtId="0" applyNumberFormat="1" fontId="34" applyFont="1" fillId="0" applyFill="1" borderId="0" applyBorder="1" xfId="8">
      <alignment horizontal="left" vertical="center"/>
    </xf>
    <xf numFmtId="0" applyNumberFormat="1" fontId="33" applyFont="1" fillId="0" applyFill="1" borderId="7" applyBorder="1" xfId="0"/>
    <xf numFmtId="0" applyNumberFormat="1" fontId="33" applyFont="1" fillId="0" applyFill="1" borderId="0" applyBorder="1" xfId="0">
      <alignment vertical="center" wrapText="1"/>
    </xf>
    <xf numFmtId="0" applyNumberFormat="1" fontId="35" applyFont="1" fillId="0" applyFill="1" borderId="0" applyBorder="1" xfId="8">
      <alignment horizontal="left" vertical="center"/>
    </xf>
    <xf numFmtId="0" applyNumberFormat="1" fontId="36" applyFont="1" fillId="0" applyFill="1" borderId="0" applyBorder="1" xfId="8">
      <alignment horizontal="left" vertical="center"/>
    </xf>
    <xf numFmtId="0" applyNumberFormat="1" fontId="37" applyFont="1" fillId="0" applyFill="1" borderId="0" applyBorder="1" xfId="8">
      <alignment horizontal="left" vertical="center"/>
    </xf>
    <xf numFmtId="0" applyNumberFormat="1" fontId="38" applyFont="1" fillId="0" applyFill="1" borderId="0" applyBorder="1" xfId="8">
      <alignment horizontal="center"/>
    </xf>
    <xf numFmtId="0" applyNumberFormat="1" fontId="31" applyFont="1" fillId="0" applyFill="1" borderId="8" applyBorder="1" xfId="0"/>
    <xf numFmtId="0" applyNumberFormat="1" fontId="31" applyFont="1" fillId="0" applyFill="1" borderId="9" applyBorder="1" xfId="0"/>
    <xf numFmtId="0" applyNumberFormat="1" fontId="31" applyFont="1" fillId="0" applyFill="1" borderId="10" applyBorder="1" xfId="0"/>
    <xf numFmtId="0" applyNumberFormat="1" fontId="39" applyFont="1" fillId="0" applyFill="1" borderId="0" applyBorder="1" xfId="7" quotePrefix="1"/>
    <xf numFmtId="0" applyNumberFormat="1" fontId="39" applyFont="1" fillId="0" applyFill="1" borderId="0" applyBorder="1" xfId="7"/>
    <xf numFmtId="14" applyNumberFormat="1" fontId="39" applyFont="1" fillId="0" applyFill="1" borderId="0" applyBorder="1" xfId="7">
      <alignment horizontal="left"/>
    </xf>
    <xf numFmtId="166" applyNumberFormat="1" fontId="6" applyFont="1" fillId="8" applyFill="1" borderId="2" applyBorder="1" xfId="4">
      <alignment horizontal="center" vertical="center" wrapText="1"/>
    </xf>
    <xf numFmtId="0" applyNumberFormat="1" fontId="6" applyFont="1" fillId="8" applyFill="1" borderId="2" applyBorder="1" xfId="4">
      <alignment horizontal="center" vertical="center" wrapText="1"/>
    </xf>
    <xf numFmtId="0" applyNumberFormat="1" fontId="6" applyFont="1" fillId="8" applyFill="1" borderId="1" applyBorder="1" xfId="4">
      <alignment horizontal="center" vertical="center"/>
    </xf>
    <xf numFmtId="0" applyNumberFormat="1" fontId="6" applyFont="1" fillId="8" applyFill="1" borderId="0" applyBorder="1" xfId="4">
      <alignment horizontal="center" vertical="center"/>
    </xf>
    <xf numFmtId="0" applyNumberFormat="1" fontId="40" applyFont="1" fillId="2" applyFill="1" borderId="0" applyBorder="1" xfId="4">
      <alignment horizontal="center" vertical="center"/>
    </xf>
    <xf numFmtId="0" applyNumberFormat="1" fontId="13" applyFont="1" fillId="2" applyFill="1" borderId="0" applyBorder="1" xfId="7"/>
    <xf numFmtId="0" applyNumberFormat="1" fontId="41" applyFont="1" fillId="2" applyFill="1" borderId="0" applyBorder="1" xfId="7"/>
    <xf numFmtId="0" applyNumberFormat="1" fontId="39" applyFont="1" fillId="0" applyFill="1" borderId="0" applyBorder="1" xfId="0">
      <alignment horizontal="left" vertical="center"/>
    </xf>
    <xf numFmtId="0" applyNumberFormat="1" fontId="39" applyFont="1" fillId="2" applyFill="1" borderId="0" applyBorder="1" xfId="7"/>
    <xf numFmtId="166" applyNumberFormat="1" fontId="39" applyFont="1" fillId="2" applyFill="1" borderId="0" applyBorder="1" xfId="7"/>
    <xf numFmtId="166" applyNumberFormat="1" fontId="39" applyFont="1" fillId="2" applyFill="1" borderId="0" applyBorder="1" xfId="7">
      <alignment horizontal="center"/>
    </xf>
    <xf numFmtId="0" applyNumberFormat="1" fontId="42" applyFont="1" fillId="2" applyFill="1" borderId="0" applyBorder="1" xfId="7">
      <alignment vertical="center"/>
    </xf>
    <xf numFmtId="9" applyNumberFormat="1" fontId="42" applyFont="1" fillId="2" applyFill="1" borderId="0" applyBorder="1" xfId="9">
      <alignment horizontal="center" vertical="center" wrapText="1"/>
    </xf>
    <xf numFmtId="0" applyNumberFormat="1" fontId="43" applyFont="1" fillId="0" applyFill="1" borderId="0" applyBorder="1" xfId="0"/>
    <xf numFmtId="0" applyNumberFormat="1" fontId="44" applyFont="1" fillId="0" applyFill="1" borderId="0" applyBorder="1" xfId="4"/>
    <xf numFmtId="0" applyNumberFormat="1" fontId="41" applyFont="1" fillId="0" applyFill="1" borderId="0" applyBorder="1" xfId="4"/>
    <xf numFmtId="0" applyNumberFormat="1" fontId="11" applyFont="1" fillId="8" applyFill="1" borderId="26" applyBorder="1" xfId="4">
      <alignment horizontal="center" vertical="center"/>
    </xf>
    <xf numFmtId="0" applyNumberFormat="1" fontId="11" applyFont="1" fillId="8" applyFill="1" borderId="27" applyBorder="1" xfId="4">
      <alignment horizontal="center" vertical="center" wrapText="1"/>
    </xf>
    <xf numFmtId="0" applyNumberFormat="1" fontId="41" applyFont="1" fillId="0" applyFill="1" borderId="15" applyBorder="1" xfId="4"/>
    <xf numFmtId="0" applyNumberFormat="1" fontId="41" applyFont="1" fillId="0" applyFill="1" borderId="39" applyBorder="1" xfId="4"/>
    <xf numFmtId="0" applyNumberFormat="1" fontId="41" applyFont="1" fillId="0" applyFill="1" borderId="20" applyBorder="1" xfId="4"/>
    <xf numFmtId="0" applyNumberFormat="1" fontId="41" applyFont="1" fillId="0" applyFill="1" borderId="29" applyBorder="1" xfId="4"/>
    <xf numFmtId="2" applyNumberFormat="1" fontId="10" applyFont="1" fillId="8" applyFill="1" borderId="2" applyBorder="1" xfId="4">
      <alignment horizontal="center"/>
    </xf>
    <xf numFmtId="0" applyNumberFormat="1" fontId="16" applyFont="1" fillId="8" applyFill="1" borderId="46" applyBorder="1" xfId="4">
      <alignment horizontal="center" vertical="center" wrapText="1"/>
    </xf>
    <xf numFmtId="0" applyNumberFormat="1" fontId="16" applyFont="1" fillId="8" applyFill="1" borderId="43" applyBorder="1" xfId="4">
      <alignment horizontal="center" vertical="center" wrapText="1"/>
    </xf>
    <xf numFmtId="0" applyNumberFormat="1" fontId="16" applyFont="1" fillId="8" applyFill="1" borderId="44" applyBorder="1" xfId="4">
      <alignment horizontal="center" vertical="center" wrapText="1"/>
    </xf>
    <xf numFmtId="3" applyNumberFormat="1" fontId="10" applyFont="1" fillId="8" applyFill="1" borderId="46" applyBorder="1" xfId="4">
      <alignment horizontal="right" vertical="center"/>
    </xf>
    <xf numFmtId="169" applyNumberFormat="1" fontId="10" applyFont="1" fillId="8" applyFill="1" borderId="46" applyBorder="1" xfId="4">
      <alignment horizontal="right" vertical="center"/>
    </xf>
    <xf numFmtId="166" applyNumberFormat="1" fontId="10" applyFont="1" fillId="8" applyFill="1" borderId="46" applyBorder="1" xfId="4">
      <alignment horizontal="right" vertical="center"/>
    </xf>
    <xf numFmtId="9" applyNumberFormat="1" fontId="10" applyFont="1" fillId="8" applyFill="1" borderId="46" applyBorder="1" xfId="4">
      <alignment horizontal="right" vertical="center"/>
    </xf>
    <xf numFmtId="0" applyNumberFormat="1" fontId="31" applyFont="1" fillId="2" applyFill="1" borderId="0" applyBorder="1" xfId="0"/>
    <xf numFmtId="0" applyNumberFormat="1" fontId="46" applyFont="1" fillId="2" applyFill="1" borderId="0" applyBorder="1" xfId="0">
      <alignment horizontal="center" vertical="center" wrapText="1"/>
    </xf>
    <xf numFmtId="0" applyNumberFormat="1" fontId="45" applyFont="1" fillId="2" applyFill="1" borderId="0" applyBorder="1" xfId="0">
      <alignment vertical="center"/>
    </xf>
    <xf numFmtId="0" applyNumberFormat="1" fontId="30" applyFont="1" fillId="0" applyFill="1" borderId="0" applyBorder="1" xfId="0"/>
    <xf numFmtId="0" applyNumberFormat="1" fontId="17" applyFont="1" fillId="5" applyFill="1" borderId="40" applyBorder="1" xfId="4"/>
    <xf numFmtId="0" applyNumberFormat="1" fontId="17" applyFont="1" fillId="5" applyFill="1" borderId="42" applyBorder="1" xfId="4"/>
    <xf numFmtId="0" applyNumberFormat="1" fontId="15" applyFont="1" fillId="0" applyFill="1" borderId="0" applyBorder="1" xfId="0">
      <alignment horizontal="center" vertical="center"/>
    </xf>
    <xf numFmtId="0" applyNumberFormat="1" fontId="11" applyFont="1" fillId="8" applyFill="1" borderId="46" applyBorder="1" xfId="4"/>
    <xf numFmtId="0" applyNumberFormat="1" fontId="10" applyFont="1" fillId="8" applyFill="1" borderId="46" applyBorder="1" xfId="4"/>
    <xf numFmtId="0" applyNumberFormat="1" fontId="3" applyFont="1" fillId="0" applyFill="1" borderId="9" applyBorder="1" xfId="4"/>
    <xf numFmtId="0" applyNumberFormat="1" fontId="9" applyFont="1" fillId="0" applyFill="1" borderId="9" applyBorder="1" xfId="4"/>
    <xf numFmtId="0" applyNumberFormat="1" fontId="0" applyFont="1" fillId="7" applyFill="1" borderId="0" applyBorder="1" xfId="0">
      <alignment horizontal="center"/>
    </xf>
    <xf numFmtId="0" applyNumberFormat="1" fontId="30" applyFont="1" fillId="7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16" applyFont="1" fillId="8" applyFill="1" borderId="45" applyBorder="1" xfId="4">
      <alignment horizontal="center" vertical="center" wrapText="1"/>
    </xf>
    <xf numFmtId="3" applyNumberFormat="1" fontId="9" applyFont="1" fillId="0" applyFill="1" borderId="16" applyBorder="1" xfId="4">
      <alignment horizontal="center" vertical="center"/>
    </xf>
    <xf numFmtId="2" applyNumberFormat="1" fontId="9" applyFont="1" fillId="0" applyFill="1" borderId="17" applyBorder="1" xfId="4">
      <alignment horizontal="center" vertical="center"/>
    </xf>
    <xf numFmtId="9" applyNumberFormat="1" fontId="9" applyFont="1" fillId="5" applyFill="1" borderId="17" applyBorder="1" xfId="9">
      <alignment horizontal="center"/>
    </xf>
    <xf numFmtId="0" applyNumberFormat="1" fontId="9" applyFont="1" fillId="0" applyFill="1" borderId="20" applyBorder="1" xfId="4">
      <alignment horizontal="center" vertical="center"/>
    </xf>
    <xf numFmtId="3" applyNumberFormat="1" fontId="9" applyFont="1" fillId="0" applyFill="1" borderId="22" applyBorder="1" xfId="4">
      <alignment horizontal="center" vertical="center"/>
    </xf>
    <xf numFmtId="2" applyNumberFormat="1" fontId="9" applyFont="1" fillId="0" applyFill="1" borderId="23" applyBorder="1" xfId="4">
      <alignment horizontal="center" vertical="center"/>
    </xf>
    <xf numFmtId="9" applyNumberFormat="1" fontId="9" applyFont="1" fillId="5" applyFill="1" borderId="23" applyBorder="1" xfId="9">
      <alignment horizontal="center"/>
    </xf>
    <xf numFmtId="0" applyNumberFormat="1" fontId="14" applyFont="1" fillId="8" applyFill="1" borderId="46" applyBorder="1" xfId="4">
      <alignment horizontal="center" vertical="center" wrapText="1"/>
    </xf>
    <xf numFmtId="0" applyNumberFormat="1" fontId="14" applyFont="1" fillId="8" applyFill="1" borderId="43" applyBorder="1" xfId="4">
      <alignment horizontal="center" vertical="center" wrapText="1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4" applyBorder="1" xfId="0">
      <alignment horizontal="center"/>
    </xf>
    <xf numFmtId="0" applyNumberFormat="1" fontId="13" applyFont="1" fillId="0" applyFill="1" borderId="0" applyBorder="1" xfId="4">
      <alignment horizontal="center"/>
    </xf>
    <xf numFmtId="0" applyNumberFormat="1" fontId="11" applyFont="1" fillId="8" applyFill="1" borderId="21" applyBorder="1" xfId="4">
      <alignment horizontal="center" vertical="center"/>
    </xf>
    <xf numFmtId="3" applyNumberFormat="1" fontId="11" applyFont="1" fillId="8" applyFill="1" borderId="21" applyBorder="1" xfId="4">
      <alignment horizontal="center" vertical="center"/>
    </xf>
    <xf numFmtId="2" applyNumberFormat="1" fontId="11" applyFont="1" fillId="8" applyFill="1" borderId="21" applyBorder="1" xfId="4">
      <alignment horizontal="center" vertical="center"/>
    </xf>
    <xf numFmtId="0" applyNumberFormat="1" fontId="10" applyFont="1" fillId="8" applyFill="1" borderId="21" applyBorder="1" xfId="4">
      <alignment horizontal="center" vertical="center"/>
    </xf>
    <xf numFmtId="3" applyNumberFormat="1" fontId="11" applyFont="1" fillId="8" applyFill="1" borderId="50" applyBorder="1" xfId="5">
      <alignment horizontal="center"/>
    </xf>
    <xf numFmtId="9" applyNumberFormat="1" fontId="11" applyFont="1" fillId="8" applyFill="1" borderId="19" applyBorder="1" xfId="5">
      <alignment horizontal="center"/>
    </xf>
    <xf numFmtId="0" applyNumberFormat="1" fontId="0" applyFont="1" fillId="7" applyFill="1" borderId="0" applyBorder="1" xfId="0"/>
    <xf numFmtId="0" applyNumberFormat="1" fontId="0" applyFont="1" fillId="6" applyFill="1" borderId="0" applyBorder="1" xfId="0"/>
    <xf numFmtId="3" applyNumberFormat="1" fontId="11" applyFont="1" fillId="8" applyFill="1" borderId="52" applyBorder="1" xfId="5">
      <alignment horizontal="center"/>
    </xf>
    <xf numFmtId="0" applyNumberFormat="1" fontId="49" applyFont="1" fillId="0" applyFill="1" borderId="0" applyBorder="1" xfId="0"/>
    <xf numFmtId="0" applyNumberFormat="1" fontId="50" applyFont="1" fillId="0" applyFill="1" borderId="0" applyBorder="1" xfId="4"/>
    <xf numFmtId="170" applyNumberFormat="1" fontId="10" applyFont="1" fillId="8" applyFill="1" borderId="46" applyBorder="1" xfId="4">
      <alignment horizontal="center" vertical="center"/>
    </xf>
    <xf numFmtId="0" applyNumberFormat="1" fontId="51" applyFont="1" fillId="0" applyFill="1" borderId="0" applyBorder="1" xfId="5"/>
    <xf numFmtId="14" applyNumberFormat="1" fontId="0" applyFont="1" fillId="0" applyFill="1" borderId="0" applyBorder="1" xfId="0"/>
    <xf numFmtId="0" applyNumberFormat="1" fontId="16" applyFont="1" fillId="8" applyFill="1" borderId="42" applyBorder="1" xfId="4">
      <alignment horizontal="center" vertical="center" wrapText="1"/>
    </xf>
    <xf numFmtId="0" applyNumberFormat="1" fontId="0" applyFont="1" fillId="0" applyFill="1" borderId="58" applyBorder="1" xfId="0"/>
    <xf numFmtId="0" applyNumberFormat="1" fontId="0" applyFont="1" fillId="0" applyFill="1" borderId="59" applyBorder="1" xfId="0"/>
    <xf numFmtId="0" applyNumberFormat="1" fontId="0" applyFont="1" fillId="0" applyFill="1" borderId="60" applyBorder="1" xfId="0"/>
    <xf numFmtId="0" applyNumberFormat="1" fontId="0" applyFont="1" fillId="0" applyFill="1" borderId="61" applyBorder="1" xfId="0"/>
    <xf numFmtId="171" applyNumberFormat="1" fontId="0" applyFont="1" fillId="0" applyFill="1" borderId="0" applyBorder="1" xfId="3"/>
    <xf numFmtId="0" applyNumberFormat="1" fontId="0" applyFont="1" fillId="0" applyFill="1" borderId="62" applyBorder="1" xfId="0"/>
    <xf numFmtId="171" applyNumberFormat="1" fontId="0" applyFont="1" fillId="0" applyFill="1" borderId="63" applyBorder="1" xfId="3"/>
    <xf numFmtId="171" applyNumberFormat="1" fontId="0" applyFont="1" fillId="0" applyFill="1" borderId="61" applyBorder="1" xfId="3"/>
    <xf numFmtId="171" applyNumberFormat="1" fontId="0" applyFont="1" fillId="0" applyFill="1" borderId="64" applyBorder="1" xfId="3"/>
    <xf numFmtId="0" applyNumberFormat="1" fontId="54" applyFont="1" fillId="0" applyFill="1" borderId="0" applyBorder="1" xfId="0">
      <alignment horizontal="left"/>
    </xf>
    <xf numFmtId="0" applyNumberFormat="1" fontId="52" applyFont="1" fillId="0" applyFill="1" borderId="57" applyBorder="1" xfId="0"/>
    <xf numFmtId="0" applyNumberFormat="1" fontId="17" applyFont="1" fillId="0" applyFill="1" borderId="46" applyBorder="1" xfId="4">
      <alignment horizontal="center"/>
    </xf>
    <xf numFmtId="0" applyNumberFormat="1" fontId="14" applyFont="1" fillId="8" applyFill="1" borderId="44" applyBorder="1" xfId="4" quotePrefix="1">
      <alignment horizontal="center" vertical="center" wrapText="1"/>
    </xf>
    <xf numFmtId="0" applyNumberFormat="1" fontId="17" applyFont="1" fillId="2" applyFill="1" borderId="40" applyBorder="1" xfId="4"/>
    <xf numFmtId="0" applyNumberFormat="1" fontId="17" applyFont="1" fillId="2" applyFill="1" borderId="42" applyBorder="1" xfId="4"/>
    <xf numFmtId="168" applyNumberFormat="1" fontId="17" applyFont="1" fillId="2" applyFill="1" borderId="46" applyBorder="1" xfId="1">
      <alignment horizontal="right" vertical="center"/>
    </xf>
    <xf numFmtId="169" applyNumberFormat="1" fontId="17" applyFont="1" fillId="2" applyFill="1" borderId="46" applyBorder="1" xfId="1">
      <alignment horizontal="right" vertical="center"/>
    </xf>
    <xf numFmtId="166" applyNumberFormat="1" fontId="17" applyFont="1" fillId="2" applyFill="1" borderId="46" applyBorder="1" xfId="4">
      <alignment horizontal="right" vertical="center"/>
    </xf>
    <xf numFmtId="9" applyNumberFormat="1" fontId="17" applyFont="1" fillId="2" applyFill="1" borderId="46" applyBorder="1" xfId="4">
      <alignment horizontal="right" vertical="center"/>
    </xf>
    <xf numFmtId="0" applyNumberFormat="1" fontId="15" applyFont="1" fillId="2" applyFill="1" borderId="0" applyBorder="1" xfId="0">
      <alignment horizontal="center" vertical="center"/>
    </xf>
    <xf numFmtId="0" applyNumberFormat="1" fontId="22" applyFont="1" fillId="0" applyFill="1" borderId="0" applyBorder="1" xfId="0"/>
    <xf numFmtId="0" applyNumberFormat="1" fontId="23" applyFont="1" fillId="0" applyFill="1" borderId="6" applyBorder="1" xfId="0"/>
    <xf numFmtId="0" applyNumberFormat="1" fontId="23" applyFont="1" fillId="0" applyFill="1" borderId="0" applyBorder="1" xfId="0"/>
    <xf numFmtId="0" applyNumberFormat="1" fontId="11" applyFont="1" fillId="8" applyFill="1" borderId="55" applyBorder="1" xfId="5">
      <alignment horizontal="center" vertical="center" wrapText="1"/>
    </xf>
    <xf numFmtId="0" applyNumberFormat="1" fontId="9" applyFont="1" fillId="0" applyFill="1" borderId="0" applyBorder="1" xfId="5">
      <alignment horizontal="center"/>
    </xf>
    <xf numFmtId="0" applyNumberFormat="1" fontId="23" applyFont="1" fillId="0" applyFill="1" borderId="7" applyBorder="1" xfId="0"/>
    <xf numFmtId="0" applyNumberFormat="1" fontId="20" applyFont="1" fillId="0" applyFill="1" borderId="0" applyBorder="1" xfId="0"/>
    <xf numFmtId="0" applyNumberFormat="1" fontId="21" applyFont="1" fillId="0" applyFill="1" borderId="6" applyBorder="1" xfId="0"/>
    <xf numFmtId="0" applyNumberFormat="1" fontId="9" applyFont="1" fillId="0" applyFill="1" borderId="0" applyBorder="1" xfId="5"/>
    <xf numFmtId="0" applyNumberFormat="1" fontId="11" applyFont="1" fillId="8" applyFill="1" borderId="53" applyBorder="1" xfId="5">
      <alignment horizontal="center" vertical="center" wrapText="1"/>
    </xf>
    <xf numFmtId="0" applyNumberFormat="1" fontId="11" applyFont="1" fillId="8" applyFill="1" borderId="54" applyBorder="1" xfId="5">
      <alignment horizontal="center" vertical="center" wrapText="1"/>
    </xf>
    <xf numFmtId="0" applyNumberFormat="1" fontId="11" applyFont="1" fillId="8" applyFill="1" borderId="56" applyBorder="1" xfId="5">
      <alignment horizontal="center" vertical="center" wrapText="1"/>
    </xf>
    <xf numFmtId="0" applyNumberFormat="1" fontId="21" applyFont="1" fillId="0" applyFill="1" borderId="7" applyBorder="1" xfId="0"/>
    <xf numFmtId="0" applyNumberFormat="1" fontId="21" applyFont="1" fillId="0" applyFill="1" borderId="0" applyBorder="1" xfId="0"/>
    <xf numFmtId="167" applyNumberFormat="1" fontId="21" applyFont="1" fillId="0" applyFill="1" borderId="0" applyBorder="1" xfId="0"/>
    <xf numFmtId="0" applyNumberFormat="1" fontId="21" applyFont="1" fillId="2" applyFill="1" borderId="0" applyBorder="1" xfId="0"/>
    <xf numFmtId="0" applyNumberFormat="1" fontId="24" applyFont="1" fillId="2" applyFill="1" borderId="0" applyBorder="1" xfId="5">
      <alignment horizontal="center" vertical="center" wrapText="1"/>
    </xf>
    <xf numFmtId="0" applyNumberFormat="1" fontId="20" applyFont="1" fillId="2" applyFill="1" borderId="0" applyBorder="1" xfId="0"/>
    <xf numFmtId="0" applyNumberFormat="1" fontId="12" applyFont="1" fillId="0" applyFill="1" borderId="15" applyBorder="1" xfId="5"/>
    <xf numFmtId="3" applyNumberFormat="1" fontId="9" applyFont="1" fillId="0" applyFill="1" borderId="16" applyBorder="1" xfId="5">
      <alignment horizontal="center"/>
    </xf>
    <xf numFmtId="9" applyNumberFormat="1" fontId="9" applyFont="1" fillId="0" applyFill="1" borderId="17" applyBorder="1" xfId="9">
      <alignment horizontal="center"/>
    </xf>
    <xf numFmtId="0" applyNumberFormat="1" fontId="9" applyFont="1" fillId="0" applyFill="1" borderId="48" applyBorder="1" xfId="5"/>
    <xf numFmtId="3" applyNumberFormat="1" fontId="9" applyFont="1" fillId="0" applyFill="1" borderId="47" applyBorder="1" xfId="5">
      <alignment horizontal="center"/>
    </xf>
    <xf numFmtId="9" applyNumberFormat="1" fontId="9" applyFont="1" fillId="0" applyFill="1" borderId="49" applyBorder="1" xfId="9">
      <alignment horizontal="center"/>
    </xf>
    <xf numFmtId="0" applyNumberFormat="1" fontId="11" applyFont="1" fillId="8" applyFill="1" borderId="2" applyBorder="1" xfId="5">
      <alignment horizontal="left" vertical="center"/>
    </xf>
    <xf numFmtId="0" applyNumberFormat="1" fontId="52" applyFont="1" fillId="7" applyFill="1" borderId="0" applyBorder="1" xfId="0"/>
    <xf numFmtId="0" applyNumberFormat="1" fontId="52" applyFont="1" fillId="0" applyFill="1" borderId="0" applyBorder="1" xfId="0"/>
    <xf numFmtId="0" applyNumberFormat="1" fontId="56" applyFont="1" fillId="0" applyFill="1" borderId="0" applyBorder="1" xfId="8">
      <alignment horizontal="left" vertical="center"/>
    </xf>
    <xf numFmtId="172" applyNumberFormat="1" fontId="57" applyFont="1" fillId="0" applyFill="1" borderId="0" applyBorder="1" xfId="4">
      <alignment horizontal="center" vertical="center" wrapText="1"/>
    </xf>
    <xf numFmtId="0" applyNumberFormat="1" fontId="18" applyFont="1" fillId="0" applyFill="1" borderId="0" applyBorder="1" xfId="0">
      <alignment horizontal="center"/>
    </xf>
    <xf numFmtId="10" applyNumberFormat="1" fontId="5" applyFont="1" fillId="0" applyFill="1" borderId="2" applyBorder="1" xfId="9">
      <alignment horizontal="center" vertical="center"/>
    </xf>
    <xf numFmtId="9" applyNumberFormat="1" fontId="17" applyFont="1" fillId="5" applyFill="1" borderId="46" applyBorder="1" xfId="4">
      <alignment horizontal="center" vertical="center"/>
    </xf>
    <xf numFmtId="9" applyNumberFormat="1" fontId="0" applyFont="1" fillId="0" applyFill="1" borderId="0" applyBorder="1" xfId="0"/>
    <xf numFmtId="9" applyNumberFormat="1" fontId="17" applyFont="1" fillId="2" applyFill="1" borderId="46" applyBorder="1" xfId="4">
      <alignment horizontal="center" vertical="center"/>
    </xf>
    <xf numFmtId="0" applyNumberFormat="1" fontId="13" applyFont="1" fillId="2" applyFill="1" borderId="0" applyBorder="1" xfId="4"/>
    <xf numFmtId="168" applyNumberFormat="1" fontId="10" applyFont="1" fillId="8" applyFill="1" borderId="46" applyBorder="1" xfId="4">
      <alignment horizontal="right" vertical="center"/>
    </xf>
    <xf numFmtId="9" applyNumberFormat="1" fontId="10" applyFont="1" fillId="8" applyFill="1" borderId="46" applyBorder="1" xfId="4">
      <alignment horizontal="center" vertical="center"/>
    </xf>
    <xf numFmtId="0" applyNumberFormat="1" fontId="9" applyFont="1" fillId="0" applyFill="1" borderId="0" applyBorder="1" xfId="4">
      <alignment horizontal="center"/>
    </xf>
    <xf numFmtId="172" applyNumberFormat="1" fontId="17" applyFont="1" fillId="5" applyFill="1" borderId="46" applyBorder="1" xfId="4">
      <alignment horizontal="right" vertical="center"/>
    </xf>
    <xf numFmtId="10" applyNumberFormat="1" fontId="13" applyFont="1" fillId="5" applyFill="1" borderId="46" applyBorder="1" xfId="4">
      <alignment horizontal="right" vertical="center"/>
    </xf>
    <xf numFmtId="172" applyNumberFormat="1" fontId="17" applyFont="1" fillId="2" applyFill="1" borderId="46" applyBorder="1" xfId="4">
      <alignment horizontal="right" vertical="center"/>
    </xf>
    <xf numFmtId="10" applyNumberFormat="1" fontId="13" applyFont="1" fillId="2" applyFill="1" borderId="46" applyBorder="1" xfId="4">
      <alignment horizontal="right" vertical="center"/>
    </xf>
    <xf numFmtId="174" applyNumberFormat="1" fontId="10" applyFont="1" fillId="8" applyFill="1" borderId="46" applyBorder="1" xfId="4">
      <alignment horizontal="right" vertical="center"/>
    </xf>
    <xf numFmtId="10" applyNumberFormat="1" fontId="10" applyFont="1" fillId="8" applyFill="1" borderId="46" applyBorder="1" xfId="4">
      <alignment horizontal="right" vertical="center"/>
    </xf>
    <xf numFmtId="172" applyNumberFormat="1" fontId="3" applyFont="1" fillId="0" applyFill="1" borderId="0" applyBorder="1" xfId="4"/>
    <xf numFmtId="0" applyNumberFormat="1" fontId="48" applyFont="1" fillId="0" applyFill="1" borderId="0" applyBorder="1" xfId="0">
      <alignment horizontal="left" vertical="center" wrapText="1"/>
    </xf>
    <xf numFmtId="0" applyNumberFormat="1" fontId="42" applyFont="1" fillId="0" applyFill="1" borderId="0" applyBorder="1" xfId="8">
      <alignment horizontal="left" vertical="center" wrapText="1"/>
    </xf>
    <xf numFmtId="0" applyNumberFormat="1" fontId="55" applyFont="1" fillId="8" applyFill="1" borderId="65" applyBorder="1" xfId="0">
      <alignment horizontal="center"/>
    </xf>
    <xf numFmtId="1" applyNumberFormat="1" fontId="42" applyFont="1" fillId="0" applyFill="1" borderId="11" applyBorder="1" xfId="7">
      <alignment horizontal="left" vertical="center" wrapText="1"/>
    </xf>
    <xf numFmtId="1" applyNumberFormat="1" fontId="42" applyFont="1" fillId="0" applyFill="1" borderId="12" applyBorder="1" xfId="7">
      <alignment horizontal="left" vertical="center" wrapText="1"/>
    </xf>
    <xf numFmtId="1" applyNumberFormat="1" fontId="42" applyFont="1" fillId="0" applyFill="1" borderId="13" applyBorder="1" xfId="7">
      <alignment horizontal="left" vertical="center" wrapText="1"/>
    </xf>
    <xf numFmtId="0" applyNumberFormat="1" fontId="9" applyFont="1" fillId="2" applyFill="1" borderId="0" applyBorder="1" xfId="7">
      <alignment horizontal="left" wrapText="1"/>
    </xf>
    <xf numFmtId="0" applyNumberFormat="1" fontId="41" applyFont="1" fillId="2" applyFill="1" borderId="0" applyBorder="1" xfId="7">
      <alignment horizontal="left" wrapText="1"/>
    </xf>
    <xf numFmtId="0" applyNumberFormat="1" fontId="47" applyFont="1" fillId="8" applyFill="1" borderId="51" applyBorder="1" xfId="0">
      <alignment horizontal="center" vertical="center"/>
    </xf>
    <xf numFmtId="0" applyNumberFormat="1" fontId="47" applyFont="1" fillId="8" applyFill="1" borderId="52" applyBorder="1" xfId="0">
      <alignment horizontal="center" vertical="center"/>
    </xf>
    <xf numFmtId="0" applyNumberFormat="1" fontId="12" applyFont="1" fillId="0" applyFill="1" borderId="31" applyBorder="1" xfId="4">
      <alignment horizontal="center" vertical="center"/>
    </xf>
    <xf numFmtId="0" applyNumberFormat="1" fontId="12" applyFont="1" fillId="0" applyFill="1" borderId="32" applyBorder="1" xfId="4">
      <alignment horizontal="center" vertical="center"/>
    </xf>
    <xf numFmtId="0" applyNumberFormat="1" fontId="12" applyFont="1" fillId="0" applyFill="1" borderId="33" applyBorder="1" xfId="4">
      <alignment horizontal="center" vertical="center"/>
    </xf>
    <xf numFmtId="0" applyNumberFormat="1" fontId="12" applyFont="1" fillId="0" applyFill="1" borderId="34" applyBorder="1" xfId="4">
      <alignment horizontal="center" vertical="center"/>
    </xf>
    <xf numFmtId="0" applyNumberFormat="1" fontId="12" applyFont="1" fillId="0" applyFill="1" borderId="0" applyBorder="1" xfId="4">
      <alignment horizontal="center" vertical="center"/>
    </xf>
    <xf numFmtId="0" applyNumberFormat="1" fontId="12" applyFont="1" fillId="0" applyFill="1" borderId="35" applyBorder="1" xfId="4">
      <alignment horizontal="center" vertical="center"/>
    </xf>
    <xf numFmtId="0" applyNumberFormat="1" fontId="12" applyFont="1" fillId="0" applyFill="1" borderId="36" applyBorder="1" xfId="4">
      <alignment horizontal="center" vertical="center"/>
    </xf>
    <xf numFmtId="0" applyNumberFormat="1" fontId="12" applyFont="1" fillId="0" applyFill="1" borderId="37" applyBorder="1" xfId="4">
      <alignment horizontal="center" vertical="center"/>
    </xf>
    <xf numFmtId="0" applyNumberFormat="1" fontId="12" applyFont="1" fillId="0" applyFill="1" borderId="38" applyBorder="1" xfId="4">
      <alignment horizontal="center" vertical="center"/>
    </xf>
    <xf numFmtId="0" applyNumberFormat="1" fontId="14" applyFont="1" fillId="8" applyFill="1" borderId="40" applyBorder="1" xfId="4">
      <alignment horizontal="center"/>
    </xf>
    <xf numFmtId="0" applyNumberFormat="1" fontId="14" applyFont="1" fillId="8" applyFill="1" borderId="41" applyBorder="1" xfId="4">
      <alignment horizontal="center"/>
    </xf>
    <xf numFmtId="0" applyNumberFormat="1" fontId="14" applyFont="1" fillId="8" applyFill="1" borderId="42" applyBorder="1" xfId="4">
      <alignment horizontal="center"/>
    </xf>
    <xf numFmtId="0" applyNumberFormat="1" fontId="45" applyFont="1" fillId="0" applyFill="1" borderId="0" applyBorder="1" xfId="0">
      <alignment horizontal="center" vertical="center"/>
    </xf>
    <xf numFmtId="0" applyNumberFormat="1" fontId="45" applyFont="1" fillId="2" applyFill="1" borderId="0" applyBorder="1" xfId="0">
      <alignment horizontal="center" vertical="center"/>
    </xf>
    <xf numFmtId="0" applyNumberFormat="1" fontId="14" applyFont="1" fillId="8" applyFill="1" borderId="40" applyBorder="1" xfId="4">
      <alignment horizontal="center" vertical="center" wrapText="1"/>
    </xf>
    <xf numFmtId="0" applyNumberFormat="1" fontId="14" applyFont="1" fillId="8" applyFill="1" borderId="41" applyBorder="1" xfId="4">
      <alignment horizontal="center" vertical="center" wrapText="1"/>
    </xf>
    <xf numFmtId="0" applyNumberFormat="1" fontId="14" applyFont="1" fillId="8" applyFill="1" borderId="42" applyBorder="1" xfId="4">
      <alignment horizontal="center" vertical="center" wrapText="1"/>
    </xf>
    <xf numFmtId="1" applyNumberFormat="1" fontId="53" applyFont="1" fillId="0" applyFill="1" borderId="11" applyBorder="1" xfId="7">
      <alignment horizontal="left" vertical="center" wrapText="1"/>
    </xf>
    <xf numFmtId="1" applyNumberFormat="1" fontId="53" applyFont="1" fillId="0" applyFill="1" borderId="12" applyBorder="1" xfId="7">
      <alignment horizontal="left" vertical="center" wrapText="1"/>
    </xf>
    <xf numFmtId="1" applyNumberFormat="1" fontId="53" applyFont="1" fillId="0" applyFill="1" borderId="13" applyBorder="1" xfId="7">
      <alignment horizontal="left" vertical="center" wrapText="1"/>
    </xf>
  </cellXfs>
  <cellStyles count="12">
    <cellStyle name="Milliers" xfId="1" builtinId="3"/>
    <cellStyle name="Monétaire 2" xfId="2"/>
    <cellStyle name="Monétaire 3" xfId="3"/>
    <cellStyle name="Normal" xfId="0" builtinId="0"/>
    <cellStyle name="Normal 2" xfId="4"/>
    <cellStyle name="Normal 2 2" xfId="5"/>
    <cellStyle name="Normal 3" xfId="6"/>
    <cellStyle name="Normal 4" xfId="7"/>
    <cellStyle name="Normal_Book 2004 feuille sommaire 2" xfId="8"/>
    <cellStyle name="Pourcentage" xfId="9" builtinId="5"/>
    <cellStyle name="Pourcentage 2" xfId="10"/>
    <cellStyle name="Pourcentage 2 2" xfId="11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9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0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effectifs'!$AA$14</c:f>
              <c:strCache>
                <c:ptCount val="1"/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effectifs'!$AB$13:$AC$13</c:f>
              <c:strCache>
                <c:ptCount val="2"/>
                <c:pt idx="0">
                  <c:v>Effectif N-1</c:v>
                </c:pt>
                <c:pt idx="1">
                  <c:v>Effectif N</c:v>
                </c:pt>
              </c:strCache>
            </c:strRef>
          </c:cat>
          <c:val>
            <c:numRef>
              <c:f>'Evolution effectifs'!$AB$14:$AC$14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5-48EA-ABC8-98FEA4AEF9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Graph'!$F$67:$F$74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Graph'!$I$67:$I$74</c:f>
              <c:numCache>
                <c:formatCode>General</c:formatCode>
                <c:ptCount val="8"/>
                <c:pt idx="0">
                  <c:v>17798</c:v>
                </c:pt>
                <c:pt idx="1">
                  <c:v>0</c:v>
                </c:pt>
                <c:pt idx="2">
                  <c:v>479.19</c:v>
                </c:pt>
                <c:pt idx="3">
                  <c:v>70467.989999999932</c:v>
                </c:pt>
                <c:pt idx="4">
                  <c:v>102104.68000000001</c:v>
                </c:pt>
                <c:pt idx="5">
                  <c:v>807.69999999999936</c:v>
                </c:pt>
                <c:pt idx="6">
                  <c:v>0</c:v>
                </c:pt>
                <c:pt idx="7">
                  <c:v>330616.05000002298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Graph'!$J$67:$J$74</c:f>
              <c:numCache>
                <c:formatCode>General</c:formatCode>
                <c:ptCount val="8"/>
                <c:pt idx="0">
                  <c:v>1060.69</c:v>
                </c:pt>
                <c:pt idx="1">
                  <c:v>0</c:v>
                </c:pt>
                <c:pt idx="2">
                  <c:v>12.5</c:v>
                </c:pt>
                <c:pt idx="3">
                  <c:v>12444.810000000001</c:v>
                </c:pt>
                <c:pt idx="4">
                  <c:v>1670.65</c:v>
                </c:pt>
                <c:pt idx="5">
                  <c:v>19307.18</c:v>
                </c:pt>
                <c:pt idx="6">
                  <c:v>0</c:v>
                </c:pt>
                <c:pt idx="7">
                  <c:v>11053.979999999998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5-4058-93D9-DF80DC3772F7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Graph'!$K$67:$K$74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95-4058-93D9-DF80DC3772F7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Graph'!$L$67:$L$74</c:f>
              <c:numCache>
                <c:formatCode>General</c:formatCode>
                <c:ptCount val="8"/>
                <c:pt idx="0">
                  <c:v>11486.420000000002</c:v>
                </c:pt>
                <c:pt idx="1">
                  <c:v>0</c:v>
                </c:pt>
                <c:pt idx="2">
                  <c:v>316.5</c:v>
                </c:pt>
                <c:pt idx="3">
                  <c:v>82287.489999999991</c:v>
                </c:pt>
                <c:pt idx="4">
                  <c:v>15714.300000000025</c:v>
                </c:pt>
                <c:pt idx="5">
                  <c:v>80981.119999999864</c:v>
                </c:pt>
                <c:pt idx="6">
                  <c:v>2991.0000000000018</c:v>
                </c:pt>
                <c:pt idx="7">
                  <c:v>51971.959999969695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95-4058-93D9-DF80DC377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Graph'!$M$67:$M$74</c:f>
              <c:numCache>
                <c:formatCode>General</c:formatCode>
                <c:ptCount val="8"/>
                <c:pt idx="0">
                  <c:v>12.971945259042032</c:v>
                </c:pt>
                <c:pt idx="1">
                  <c:v>906.05666666666673</c:v>
                </c:pt>
                <c:pt idx="2">
                  <c:v>35.191111111111113</c:v>
                </c:pt>
                <c:pt idx="3">
                  <c:v>60.762497219132356</c:v>
                </c:pt>
                <c:pt idx="4">
                  <c:v>56.229076154806492</c:v>
                </c:pt>
                <c:pt idx="5">
                  <c:v>105.00800842992635</c:v>
                </c:pt>
                <c:pt idx="6">
                  <c:v>42.57721003134796</c:v>
                </c:pt>
                <c:pt idx="7">
                  <c:v>3.5297316799776479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Graph'!$N$67:$N$74</c:f>
              <c:numCache>
                <c:formatCode>General</c:formatCode>
                <c:ptCount val="8"/>
                <c:pt idx="0">
                  <c:v>22.551906537955251</c:v>
                </c:pt>
                <c:pt idx="1">
                  <c:v>126.90946428571429</c:v>
                </c:pt>
                <c:pt idx="2">
                  <c:v>43.244387755102039</c:v>
                </c:pt>
                <c:pt idx="3">
                  <c:v>73.117336496980073</c:v>
                </c:pt>
                <c:pt idx="4">
                  <c:v>64.321971002598843</c:v>
                </c:pt>
                <c:pt idx="5">
                  <c:v>131.49341528239216</c:v>
                </c:pt>
                <c:pt idx="6">
                  <c:v>41.004826883910383</c:v>
                </c:pt>
                <c:pt idx="7">
                  <c:v>4.2845221881843516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E-48C7-A6CD-1524A0128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Graph'!$G$67:$G$74</c:f>
              <c:numCache>
                <c:formatCode>General</c:formatCode>
                <c:ptCount val="8"/>
                <c:pt idx="0">
                  <c:v>205583.18000000005</c:v>
                </c:pt>
                <c:pt idx="1">
                  <c:v>28427.72</c:v>
                </c:pt>
                <c:pt idx="2">
                  <c:v>8475.9</c:v>
                </c:pt>
                <c:pt idx="3">
                  <c:v>1694859.8599999982</c:v>
                </c:pt>
                <c:pt idx="4">
                  <c:v>940515.86000000022</c:v>
                </c:pt>
                <c:pt idx="5">
                  <c:v>1583180.7200000016</c:v>
                </c:pt>
                <c:pt idx="6">
                  <c:v>241600.43999999997</c:v>
                </c:pt>
                <c:pt idx="7">
                  <c:v>2786036.2600000035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AIDES!$D$16:$D$21</c:f>
              <c:strCache>
                <c:ptCount val="6"/>
                <c:pt idx="0">
                  <c:v>APPAREILLAGE</c:v>
                </c:pt>
                <c:pt idx="1">
                  <c:v>PILES AUDITIVES</c:v>
                </c:pt>
                <c:pt idx="2">
                  <c:v>PROTH.AUDITIVE CLASSE 1 DROITE</c:v>
                </c:pt>
                <c:pt idx="3">
                  <c:v>PROTH.AUDITIVE CLASSE 2 DROITE</c:v>
                </c:pt>
                <c:pt idx="4">
                  <c:v>PROTH.AUDITIVE CLASSE 2 GAUCHE</c:v>
                </c:pt>
                <c:pt idx="5">
                  <c:v>PROTHESES AUDITIVES</c:v>
                </c:pt>
              </c:strCache>
            </c:strRef>
          </c:cat>
          <c:val>
            <c:numRef>
              <c:f>AIDES!$J$16:$J$21</c:f>
              <c:numCache>
                <c:formatCode>#.##0\ "$"</c:formatCode>
                <c:ptCount val="6"/>
                <c:pt idx="0">
                  <c:v>12870.3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200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F4-43A7-83D2-D8E8FB038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0927"/>
        <c:axId val="1165739103"/>
      </c:barChart>
      <c:catAx>
        <c:axId val="1088540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39103"/>
        <c:crosses val="autoZero"/>
        <c:auto val="1"/>
        <c:lblAlgn val="ctr"/>
        <c:lblOffset val="100"/>
        <c:noMultiLvlLbl val="0"/>
      </c:catAx>
      <c:valAx>
        <c:axId val="116573910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09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AUTRE!$D$16:$D$19</c:f>
              <c:strCache>
                <c:ptCount val="4"/>
                <c:pt idx="0">
                  <c:v>DIVERS</c:v>
                </c:pt>
                <c:pt idx="1">
                  <c:v>HORS NOMENCLATURE</c:v>
                </c:pt>
                <c:pt idx="2">
                  <c:v>NON RENSEIGNE</c:v>
                </c:pt>
                <c:pt idx="3">
                  <c:v>RÉSEAU ITELIS</c:v>
                </c:pt>
              </c:strCache>
            </c:strRef>
          </c:cat>
          <c:val>
            <c:numRef>
              <c:f>AUTRE!$J$16:$J$19</c:f>
              <c:numCache>
                <c:formatCode>#.##0\ "$"</c:formatCode>
                <c:ptCount val="4"/>
                <c:pt idx="0">
                  <c:v>0</c:v>
                </c:pt>
                <c:pt idx="1">
                  <c:v>240</c:v>
                </c:pt>
                <c:pt idx="2">
                  <c:v>0</c:v>
                </c:pt>
                <c:pt idx="3">
                  <c:v>5196.34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27-4464-AB5F-0DB8EBFFF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53919"/>
        <c:axId val="1165741983"/>
      </c:barChart>
      <c:catAx>
        <c:axId val="10885539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1983"/>
        <c:crosses val="autoZero"/>
        <c:auto val="1"/>
        <c:lblAlgn val="ctr"/>
        <c:lblOffset val="100"/>
        <c:noMultiLvlLbl val="0"/>
      </c:catAx>
      <c:valAx>
        <c:axId val="11657419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539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#.##0\ "$"</c:formatCode>
                <c:ptCount val="1"/>
                <c:pt idx="0">
                  <c:v>316.72000000000003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F-480B-9D38-876E0C7AB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31183"/>
        <c:axId val="1165737183"/>
      </c:barChart>
      <c:catAx>
        <c:axId val="1088531183"/>
        <c:scaling>
          <c:orientation val="minMax"/>
        </c:scaling>
        <c:delete val="0"/>
        <c:axPos val="l"/>
        <c:majorTickMark val="out"/>
        <c:minorTickMark val="none"/>
        <c:tickLblPos val="nextTo"/>
        <c:crossAx val="1165737183"/>
        <c:crosses val="autoZero"/>
        <c:auto val="1"/>
        <c:lblAlgn val="ctr"/>
        <c:lblOffset val="100"/>
        <c:noMultiLvlLbl val="0"/>
      </c:catAx>
      <c:valAx>
        <c:axId val="11657371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311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#.##0\ "$"</c:formatCode>
                <c:ptCount val="7"/>
                <c:pt idx="0">
                  <c:v>3774.8399999999901</c:v>
                </c:pt>
                <c:pt idx="1">
                  <c:v>14700.3</c:v>
                </c:pt>
                <c:pt idx="2">
                  <c:v>899.28</c:v>
                </c:pt>
                <c:pt idx="3">
                  <c:v>61116.12</c:v>
                </c:pt>
                <c:pt idx="4">
                  <c:v>12759.56</c:v>
                </c:pt>
                <c:pt idx="5">
                  <c:v>8674.8700000000008</c:v>
                </c:pt>
                <c:pt idx="6">
                  <c:v>7325.99999999998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E5-4755-9470-DA3A28BE6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50207"/>
        <c:axId val="1165733823"/>
      </c:barChart>
      <c:catAx>
        <c:axId val="10885502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33823"/>
        <c:crosses val="autoZero"/>
        <c:auto val="1"/>
        <c:lblAlgn val="ctr"/>
        <c:lblOffset val="100"/>
        <c:noMultiLvlLbl val="0"/>
      </c:catAx>
      <c:valAx>
        <c:axId val="1165733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502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HOSPI!$D$16:$D$24</c:f>
              <c:strCache>
                <c:ptCount val="9"/>
                <c:pt idx="0">
                  <c:v>CHAMBRE PARTICULIERE</c:v>
                </c:pt>
                <c:pt idx="1">
                  <c:v>FORFAIT JOURNALIER</c:v>
                </c:pt>
                <c:pt idx="2">
                  <c:v>FRAIS SEJOUR</c:v>
                </c:pt>
                <c:pt idx="3">
                  <c:v>FRAIS TRANSPORT</c:v>
                </c:pt>
                <c:pt idx="4">
                  <c:v>HONORAIRE / FRAIS SEJOUR</c:v>
                </c:pt>
                <c:pt idx="5">
                  <c:v>HONORAIRES</c:v>
                </c:pt>
                <c:pt idx="6">
                  <c:v>HONORAIRES LIES A L'ACCOUCHEMENT</c:v>
                </c:pt>
                <c:pt idx="7">
                  <c:v>INDEMNITE DE NAISSANCE</c:v>
                </c:pt>
                <c:pt idx="8">
                  <c:v>LIT ACCOMPAGNANT</c:v>
                </c:pt>
              </c:strCache>
            </c:strRef>
          </c:cat>
          <c:val>
            <c:numRef>
              <c:f>HOSPI!$J$16:$J$24</c:f>
              <c:numCache>
                <c:formatCode>#.##0\ "$"</c:formatCode>
                <c:ptCount val="9"/>
                <c:pt idx="0">
                  <c:v>6874.84</c:v>
                </c:pt>
                <c:pt idx="1">
                  <c:v>2064.6</c:v>
                </c:pt>
                <c:pt idx="2">
                  <c:v>72</c:v>
                </c:pt>
                <c:pt idx="3">
                  <c:v>502.05</c:v>
                </c:pt>
                <c:pt idx="4">
                  <c:v>358.72</c:v>
                </c:pt>
                <c:pt idx="5">
                  <c:v>32133.52</c:v>
                </c:pt>
                <c:pt idx="6">
                  <c:v>1851.04</c:v>
                </c:pt>
                <c:pt idx="7">
                  <c:v>1022.72</c:v>
                </c:pt>
                <c:pt idx="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50-481D-8A45-10198E759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4639"/>
        <c:axId val="1165745823"/>
      </c:barChart>
      <c:catAx>
        <c:axId val="10885446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5823"/>
        <c:crosses val="autoZero"/>
        <c:auto val="1"/>
        <c:lblAlgn val="ctr"/>
        <c:lblOffset val="100"/>
        <c:noMultiLvlLbl val="0"/>
      </c:catAx>
      <c:valAx>
        <c:axId val="1165745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46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OBSEQ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OBSEQ!$J$16</c:f>
              <c:numCache>
                <c:formatCode>#.##0\ "$"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3E-4E68-B5E4-7116A1862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7887"/>
        <c:axId val="1165727583"/>
      </c:barChart>
      <c:catAx>
        <c:axId val="1088547887"/>
        <c:scaling>
          <c:orientation val="minMax"/>
        </c:scaling>
        <c:delete val="0"/>
        <c:axPos val="l"/>
        <c:majorTickMark val="out"/>
        <c:minorTickMark val="none"/>
        <c:tickLblPos val="nextTo"/>
        <c:crossAx val="1165727583"/>
        <c:crosses val="autoZero"/>
        <c:auto val="1"/>
        <c:lblAlgn val="ctr"/>
        <c:lblOffset val="100"/>
        <c:noMultiLvlLbl val="0"/>
      </c:catAx>
      <c:valAx>
        <c:axId val="11657275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78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OPTIQ!$D$16:$D$25</c:f>
              <c:strCache>
                <c:ptCount val="10"/>
                <c:pt idx="0">
                  <c:v>EQUIPEMENT</c:v>
                </c:pt>
                <c:pt idx="1">
                  <c:v>EQUIPEMENT CLASSE A</c:v>
                </c:pt>
                <c:pt idx="2">
                  <c:v>KERATOTOMIE</c:v>
                </c:pt>
                <c:pt idx="3">
                  <c:v>LENTILLES</c:v>
                </c:pt>
                <c:pt idx="4">
                  <c:v>MONTURE / 1 VERRE COMPLEXE / 1 VERRE TRES COMPLEXE</c:v>
                </c:pt>
                <c:pt idx="5">
                  <c:v>MONTURE / 1 VERRE SIMPLE / 1 VERRE COMPLEXE</c:v>
                </c:pt>
                <c:pt idx="6">
                  <c:v>MONTURE / 2 VERRES COMPLEXES</c:v>
                </c:pt>
                <c:pt idx="7">
                  <c:v>MONTURE / 2 VERRES SIMPLES</c:v>
                </c:pt>
                <c:pt idx="8">
                  <c:v>MONTURE / 2 VERRES TRES COMPLEXES</c:v>
                </c:pt>
                <c:pt idx="9">
                  <c:v>OPTIQUE</c:v>
                </c:pt>
              </c:strCache>
            </c:strRef>
          </c:cat>
          <c:val>
            <c:numRef>
              <c:f>OPTIQ!$J$16:$J$25</c:f>
              <c:numCache>
                <c:formatCode>#.##0\ "$"</c:formatCode>
                <c:ptCount val="10"/>
                <c:pt idx="0">
                  <c:v>55268.710000000101</c:v>
                </c:pt>
                <c:pt idx="1">
                  <c:v>332.1</c:v>
                </c:pt>
                <c:pt idx="2">
                  <c:v>0</c:v>
                </c:pt>
                <c:pt idx="3">
                  <c:v>9694.52</c:v>
                </c:pt>
                <c:pt idx="4">
                  <c:v>0</c:v>
                </c:pt>
                <c:pt idx="5">
                  <c:v>356.91</c:v>
                </c:pt>
                <c:pt idx="6">
                  <c:v>22025.97</c:v>
                </c:pt>
                <c:pt idx="7">
                  <c:v>11612.05</c:v>
                </c:pt>
                <c:pt idx="8">
                  <c:v>362.34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E0-42F8-A3AD-41F413BE3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29791"/>
        <c:axId val="1165746303"/>
      </c:barChart>
      <c:catAx>
        <c:axId val="10885297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6303"/>
        <c:crosses val="autoZero"/>
        <c:auto val="1"/>
        <c:lblAlgn val="ctr"/>
        <c:lblOffset val="100"/>
        <c:noMultiLvlLbl val="0"/>
      </c:catAx>
      <c:valAx>
        <c:axId val="116574630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2979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PREVE!$D$16:$D$17</c:f>
              <c:strCache>
                <c:ptCount val="2"/>
                <c:pt idx="0">
                  <c:v>MEDECINE DOUCE</c:v>
                </c:pt>
                <c:pt idx="1">
                  <c:v>VACCINS</c:v>
                </c:pt>
              </c:strCache>
            </c:strRef>
          </c:cat>
          <c:val>
            <c:numRef>
              <c:f>PREVE!$J$16:$J$17</c:f>
              <c:numCache>
                <c:formatCode>#.##0\ "$"</c:formatCode>
                <c:ptCount val="2"/>
                <c:pt idx="0">
                  <c:v>13545</c:v>
                </c:pt>
                <c:pt idx="1">
                  <c:v>37.130000000000003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F9-4C4E-AA99-C98BC7D12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31647"/>
        <c:axId val="1165725663"/>
      </c:barChart>
      <c:catAx>
        <c:axId val="10885316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25663"/>
        <c:crosses val="autoZero"/>
        <c:auto val="1"/>
        <c:lblAlgn val="ctr"/>
        <c:lblOffset val="100"/>
        <c:noMultiLvlLbl val="0"/>
      </c:catAx>
      <c:valAx>
        <c:axId val="116572566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316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SOINS!$D$16:$D$22</c:f>
              <c:strCache>
                <c:ptCount val="7"/>
                <c:pt idx="0">
                  <c:v>ANALYSES</c:v>
                </c:pt>
                <c:pt idx="1">
                  <c:v>APPAREILLAGE</c:v>
                </c:pt>
                <c:pt idx="2">
                  <c:v>AUXILIAIRES MEDICAUX</c:v>
                </c:pt>
                <c:pt idx="3">
                  <c:v>CONSULTATIONS,VISITES ET ACTES DE PETITE CHIRURGIE</c:v>
                </c:pt>
                <c:pt idx="4">
                  <c:v>IMAGERIE, RADIOLOGIE, ECHOGRAPHIE</c:v>
                </c:pt>
                <c:pt idx="5">
                  <c:v>PHARMACIE</c:v>
                </c:pt>
                <c:pt idx="6">
                  <c:v>SOINS ORTHOPTISTE</c:v>
                </c:pt>
              </c:strCache>
            </c:strRef>
          </c:cat>
          <c:val>
            <c:numRef>
              <c:f>SOINS!$J$16:$J$22</c:f>
              <c:numCache>
                <c:formatCode>#.##0\ "$"</c:formatCode>
                <c:ptCount val="7"/>
                <c:pt idx="0">
                  <c:v>19405.3300000001</c:v>
                </c:pt>
                <c:pt idx="1">
                  <c:v>1126.3</c:v>
                </c:pt>
                <c:pt idx="2">
                  <c:v>31660.810000000401</c:v>
                </c:pt>
                <c:pt idx="3">
                  <c:v>79834.979999999501</c:v>
                </c:pt>
                <c:pt idx="4">
                  <c:v>15686.55</c:v>
                </c:pt>
                <c:pt idx="5">
                  <c:v>53583.410000003802</c:v>
                </c:pt>
                <c:pt idx="6">
                  <c:v>236.18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87-4411-95A6-CCA2199A0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27471"/>
        <c:axId val="1165721823"/>
      </c:barChart>
      <c:catAx>
        <c:axId val="108852747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21823"/>
        <c:crosses val="autoZero"/>
        <c:auto val="1"/>
        <c:lblAlgn val="ctr"/>
        <c:lblOffset val="100"/>
        <c:noMultiLvlLbl val="0"/>
      </c:catAx>
      <c:valAx>
        <c:axId val="1165721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27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#.##0\ "$"_-;\-* #.##0\ "$"_-;_-* "-"??\ "$"_-;_-@_-</c:formatCode>
                <c:ptCount val="6"/>
                <c:pt idx="0">
                  <c:v>14.46</c:v>
                </c:pt>
                <c:pt idx="1">
                  <c:v>14.46</c:v>
                </c:pt>
                <c:pt idx="2">
                  <c:v>28.92</c:v>
                </c:pt>
                <c:pt idx="3">
                  <c:v>28.92</c:v>
                </c:pt>
                <c:pt idx="4">
                  <c:v>28.92</c:v>
                </c:pt>
                <c:pt idx="5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#.##0\ "$"_-;\-* #.##0\ "$"_-;_-* "-"??\ "$"_-;_-@_-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0.xml.rels><?xml version="1.0" encoding="UTF-8" standalone="yes"?>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1.xml.rels><?xml version="1.0" encoding="UTF-8" standalone="yes"?>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2.xml.rels><?xml version="1.0" encoding="UTF-8" standalone="yes"?>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3.xml.rels><?xml version="1.0" encoding="UTF-8" standalone="yes"?>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4.xml.rels><?xml version="1.0" encoding="UTF-8" standalone="yes"?>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5.xml.rels><?xml version="1.0" encoding="UTF-8" standalone="yes"?>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image" Target="../media/image1.jpg"/></Relationships>
</file>

<file path=xl/drawings/_rels/drawing16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19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_rels/drawing20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1400736</xdr:colOff>
      <xdr:row>20</xdr:row>
      <xdr:rowOff>89646</xdr:rowOff>
    </xdr:from>
    <xdr:to>
      <xdr:col>6</xdr:col>
      <xdr:colOff>481853</xdr:colOff>
      <xdr:row>31</xdr:row>
      <xdr:rowOff>44822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D72DD03-504B-41E2-83B3-7F8560B7B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D9FD367-38B7-4EE0-B901-23364E20E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E7E93806-6D61-4A06-A6BC-166D72600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136525</xdr:rowOff>
    </xdr:from>
    <xdr:to>
      <xdr:col>17</xdr:col>
      <xdr:colOff>9525</xdr:colOff>
      <xdr:row>58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6FE83F3-4CF1-3F1A-F1E9-61122DFBE1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9FEB4C3-0E1F-4CCE-A191-F3AD7375B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719E91-F559-4BDA-9D53-D4C22AF16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FCD1153-263B-476F-AD02-B7552D142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32</xdr:row>
      <xdr:rowOff>9525</xdr:rowOff>
    </xdr:from>
    <xdr:to>
      <xdr:col>17</xdr:col>
      <xdr:colOff>9525</xdr:colOff>
      <xdr:row>55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A8F8815-DA11-A40A-EB14-CBA2B2A55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E4267C0-944C-45EF-A722-940F962E1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65C1C36-2C26-4B6A-B7BE-F5DA19D45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BD987387-0568-4480-90A3-BA17859F9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9E6CED9-CF20-16AC-1325-15A287A47B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5E0C796-6C75-4A80-8F3C-5018FBAE5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25F1D17-A8CF-4824-BFA0-65FE583E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1EBE053-EF85-4362-98B1-9D7CFEFC9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2FFACB4-211C-3A20-E260-4AD49A3041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400BC7E-59E7-451A-9A37-39DFF4136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C24B37A-2EFE-4300-8B91-AD08D06E5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A37E029-295A-4AE3-82D3-FA3208F9D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38</xdr:row>
      <xdr:rowOff>136525</xdr:rowOff>
    </xdr:from>
    <xdr:to>
      <xdr:col>17</xdr:col>
      <xdr:colOff>9525</xdr:colOff>
      <xdr:row>62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FEFD351-9624-CF16-C482-1941250F2A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10DFFD2-29FD-437B-BDA4-8BF0C8B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79E68B1-0858-4A63-9A92-525DF4336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E548F38-F3F2-435F-B868-ADAA38255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6A367F3-1570-CB9B-8583-B6D7711362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8B9B42F-E91D-41C3-8F4B-7B194DF72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2163BDC-9681-423C-88D8-0DE0008FA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228EE2D-E243-4545-B79D-16AD92A3D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40</xdr:row>
      <xdr:rowOff>9525</xdr:rowOff>
    </xdr:from>
    <xdr:to>
      <xdr:col>17</xdr:col>
      <xdr:colOff>9525</xdr:colOff>
      <xdr:row>63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BA59CFB-97B9-96B1-D390-83B523F114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B7697A5-8804-43AA-B4A1-D960D16B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17DC153-91A1-44FF-AF7E-4007BD7B1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BF487DC9-892C-4BE8-9132-0E8F53D0E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29</xdr:row>
      <xdr:rowOff>73025</xdr:rowOff>
    </xdr:from>
    <xdr:to>
      <xdr:col>17</xdr:col>
      <xdr:colOff>9525</xdr:colOff>
      <xdr:row>52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4B6634F-7237-9E6B-1FFE-25069493E8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D5A31B6-A2A0-40B0-9F03-9D45AE401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D5DA2D4-1E6E-4935-8D13-384B68441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5E553EC-1B66-40C9-A24F-6CE1248BF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BC5CD19-4467-518A-3C98-94F924C370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2" Type="http://schemas.openxmlformats.org/officeDocument/2006/relationships/externalLinkPath" Target="file:///\\ALBATROS4\Users\Dossier%20Commun%20Cabinet%20MOEGLIN\Missions\2021\KERIALIS%20-%20Synth&#232;se%20sant&#233;%20-%20Controle%20SAGUI\Documents%20CRPS%20g&#233;n&#233;r&#233;s\_STANDARD_TOUS_PRODUITS_2021-10-27T13-47-06.xlsm" TargetMode="External"/><Relationship Id="rId1" Type="http://schemas.openxmlformats.org/officeDocument/2006/relationships/externalLinkPath" Target="/Dossier%20Commun%20Cabinet%20MOEGLIN/Missions/2021/KERIALIS%20-%20Synth&#232;se%20sant&#233;%20-%20Controle%20SAGUI/Documents%20CRPS%20g&#233;n&#233;r&#233;s/_STANDARD_TOUS_PRODUITS_2021-10-27T13-47-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de garde"/>
      <sheetName val="Résultats"/>
      <sheetName val="Evolution effectifs"/>
      <sheetName val="Démographie"/>
      <sheetName val="Prestations Réglées"/>
      <sheetName val="Prestations Réglées Graph"/>
      <sheetName val="AUTRE"/>
      <sheetName val="CURE"/>
      <sheetName val="DENTA"/>
      <sheetName val="HOSPI"/>
      <sheetName val="MATER"/>
      <sheetName val="NON D"/>
      <sheetName val="OPTIQ"/>
      <sheetName val="PHARM"/>
      <sheetName val="PREVE"/>
      <sheetName val="SOINS"/>
      <sheetName val="Prestations Réglées N et N-1"/>
      <sheetName val="Prestations Réglées Moyennes"/>
      <sheetName val="Quartil garantie_1"/>
      <sheetName val="Quartil garantie_2"/>
      <sheetName val="Quartil garantie_3"/>
      <sheetName val="DATA DEMO"/>
      <sheetName val="DATA COT"/>
      <sheetName val="DATA PREST"/>
      <sheetName val="DATA EXP"/>
      <sheetName val="DATA PROV"/>
      <sheetName val="DATA QUARTILE"/>
      <sheetName val="AFFICHAGE"/>
      <sheetName val="COLLEGE"/>
      <sheetName val="Erreurs"/>
    </sheetNames>
    <sheetDataSet>
      <sheetData sheetId="0">
        <row r="13">
          <cell r="C13" t="str">
            <v>KERIALIS_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topLeftCell="D1" zoomScale="70" zoomScaleNormal="70" workbookViewId="0">
      <selection activeCell="AC8" sqref="AC8"/>
    </sheetView>
  </sheetViews>
  <sheetFormatPr baseColWidth="10" defaultColWidth="11.42578125" defaultRowHeight="15"/>
  <cols>
    <col min="1" max="1" width="2.85546875" customWidth="1" style="82"/>
    <col min="2" max="2" width="4.28515625" customWidth="1" style="82"/>
    <col min="3" max="3" width="11.42578125" customWidth="1" style="82"/>
    <col min="4" max="4" width="13.7109375" customWidth="1" style="82"/>
    <col min="5" max="5" width="11.42578125" customWidth="1" style="82"/>
    <col min="6" max="6" width="11.42578125" customWidth="1" style="82"/>
    <col min="7" max="7" width="11.42578125" customWidth="1" style="82"/>
    <col min="8" max="8" width="11.42578125" customWidth="1" style="82"/>
    <col min="9" max="9" width="11.42578125" customWidth="1" style="82"/>
    <col min="10" max="10" width="22.85546875" customWidth="1" style="82"/>
    <col min="11" max="11" width="22.85546875" customWidth="1" style="82"/>
    <col min="12" max="12" width="11.42578125" customWidth="1" style="82"/>
    <col min="13" max="13" width="11.42578125" customWidth="1" style="82"/>
    <col min="14" max="14" width="11.42578125" customWidth="1" style="82"/>
    <col min="15" max="15" width="11.42578125" customWidth="1" style="82"/>
    <col min="16" max="16" width="11.42578125" customWidth="1" style="82"/>
    <col min="17" max="17" width="11.42578125" customWidth="1" style="82"/>
    <col min="18" max="18" width="11.42578125" customWidth="1" style="82"/>
    <col min="19" max="19" width="4.28515625" customWidth="1" style="82"/>
    <col min="20" max="20" width="2.85546875" customWidth="1" style="82"/>
    <col min="21" max="21" width="11.42578125" customWidth="1" style="82"/>
    <col min="22" max="22" width="11.42578125" customWidth="1" style="82"/>
    <col min="23" max="31" width="11.42578125" customWidth="1" style="82"/>
    <col min="32" max="16384" width="11.42578125" customWidth="1" style="82"/>
  </cols>
  <sheetData>
    <row r="1">
      <c r="AD1" s="82" t="s">
        <v>0</v>
      </c>
      <c r="AE1" s="82" t="s">
        <v>1</v>
      </c>
    </row>
    <row r="2">
      <c r="B2" s="83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5"/>
      <c r="AD2" s="82" t="s">
        <v>2</v>
      </c>
      <c r="AE2" s="82" t="s">
        <v>3</v>
      </c>
    </row>
    <row r="3">
      <c r="B3" s="86"/>
      <c r="S3" s="87"/>
    </row>
    <row r="4">
      <c r="B4" s="86"/>
      <c r="S4" s="87"/>
    </row>
    <row r="5">
      <c r="B5" s="86"/>
      <c r="S5" s="87"/>
    </row>
    <row r="6">
      <c r="B6" s="86"/>
      <c r="S6" s="87"/>
    </row>
    <row r="7">
      <c r="B7" s="86"/>
      <c r="S7" s="87"/>
    </row>
    <row r="8">
      <c r="B8" s="86"/>
      <c r="S8" s="87"/>
    </row>
    <row r="9" ht="45">
      <c r="B9" s="86"/>
      <c r="C9" s="88" t="s">
        <v>4</v>
      </c>
      <c r="D9" s="89"/>
      <c r="E9" s="89"/>
      <c r="F9" s="89"/>
      <c r="G9" s="89"/>
      <c r="H9" s="89"/>
      <c r="I9" s="89"/>
      <c r="S9" s="87"/>
    </row>
    <row r="10" ht="45">
      <c r="B10" s="86"/>
      <c r="C10" s="88" t="s">
        <v>5</v>
      </c>
      <c r="D10" s="89"/>
      <c r="E10" s="89"/>
      <c r="F10" s="89"/>
      <c r="G10" s="89"/>
      <c r="H10" s="89"/>
      <c r="I10" s="89"/>
      <c r="S10" s="87"/>
    </row>
    <row r="11">
      <c r="B11" s="86"/>
      <c r="C11" s="89"/>
      <c r="D11" s="89"/>
      <c r="E11" s="89"/>
      <c r="F11" s="89"/>
      <c r="G11" s="89"/>
      <c r="H11" s="89"/>
      <c r="I11" s="89"/>
      <c r="S11" s="87"/>
    </row>
    <row r="12" ht="15" customHeight="1">
      <c r="B12" s="86"/>
      <c r="C12" s="89"/>
      <c r="D12" s="89"/>
      <c r="E12" s="89"/>
      <c r="F12" s="89"/>
      <c r="G12" s="89"/>
      <c r="H12" s="89"/>
      <c r="I12" s="89"/>
      <c r="J12" s="90"/>
      <c r="S12" s="87"/>
    </row>
    <row r="13" ht="90" customHeight="1">
      <c r="B13" s="91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92"/>
    </row>
    <row r="14">
      <c r="B14" s="86"/>
      <c r="C14" s="89"/>
      <c r="D14" s="89"/>
      <c r="E14" s="89"/>
      <c r="F14" s="89"/>
      <c r="G14" s="89"/>
      <c r="H14" s="89"/>
      <c r="I14" s="89"/>
      <c r="S14" s="87"/>
    </row>
    <row r="15">
      <c r="B15" s="86"/>
      <c r="C15" s="89"/>
      <c r="D15" s="89"/>
      <c r="E15" s="89"/>
      <c r="F15" s="89"/>
      <c r="G15" s="89"/>
      <c r="H15" s="89"/>
      <c r="I15" s="89"/>
      <c r="S15" s="87"/>
    </row>
    <row r="16">
      <c r="B16" s="86"/>
      <c r="S16" s="87"/>
    </row>
    <row r="17">
      <c r="B17" s="86"/>
      <c r="S17" s="87"/>
    </row>
    <row r="18">
      <c r="B18" s="86"/>
      <c r="S18" s="87"/>
    </row>
    <row r="19" ht="67.5" customHeight="1" s="90" customFormat="1">
      <c r="A19" s="82"/>
      <c r="B19" s="93"/>
      <c r="C19" s="94"/>
      <c r="D19" s="95" t="s">
        <v>6</v>
      </c>
      <c r="F19" s="94" t="s">
        <v>7</v>
      </c>
      <c r="G19" s="246" t="s">
        <v>8</v>
      </c>
      <c r="H19" s="246"/>
      <c r="I19" s="246"/>
      <c r="J19" s="246"/>
      <c r="K19" s="246"/>
      <c r="L19" s="246"/>
      <c r="M19" s="246"/>
      <c r="N19" s="246"/>
      <c r="O19" s="246"/>
      <c r="P19" s="246"/>
      <c r="Q19" s="246"/>
      <c r="R19" s="246"/>
      <c r="S19" s="96"/>
    </row>
    <row r="20" ht="67.5" customHeight="1" s="90" customFormat="1">
      <c r="A20" s="82"/>
      <c r="B20" s="93"/>
      <c r="C20" s="94"/>
      <c r="D20" s="95" t="s">
        <v>9</v>
      </c>
      <c r="F20" s="97"/>
      <c r="G20" s="95" t="s">
        <v>10</v>
      </c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6"/>
    </row>
    <row r="21">
      <c r="B21" s="86"/>
      <c r="C21" s="89"/>
      <c r="D21" s="98"/>
      <c r="E21" s="89"/>
      <c r="F21" s="89"/>
      <c r="G21" s="89"/>
      <c r="H21" s="89"/>
      <c r="I21" s="89"/>
      <c r="S21" s="87"/>
    </row>
    <row r="22" ht="33.75" s="90" customFormat="1">
      <c r="A22" s="82"/>
      <c r="B22" s="93"/>
      <c r="C22" s="94"/>
      <c r="D22" s="99" t="s">
        <v>11</v>
      </c>
      <c r="E22" s="94"/>
      <c r="G22" s="94"/>
      <c r="H22" s="100" t="s">
        <v>12</v>
      </c>
      <c r="I22" s="101"/>
      <c r="S22" s="96"/>
    </row>
    <row r="23" ht="33.75" s="90" customFormat="1">
      <c r="A23" s="82"/>
      <c r="B23" s="93"/>
      <c r="C23" s="94"/>
      <c r="D23" s="99" t="s">
        <v>13</v>
      </c>
      <c r="E23" s="94"/>
      <c r="F23" s="94"/>
      <c r="H23" s="94"/>
      <c r="J23" s="100" t="s">
        <v>14</v>
      </c>
      <c r="S23" s="96"/>
    </row>
    <row r="24" ht="25.5">
      <c r="B24" s="86"/>
      <c r="D24" s="227" t="str">
        <f>+AFFICHAGE!S2</f>
        <v>Survenance</v>
      </c>
      <c r="S24" s="87"/>
    </row>
    <row r="25">
      <c r="B25" s="86"/>
      <c r="S25" s="87"/>
    </row>
    <row r="26" hidden="1" ht="15" customHeight="1">
      <c r="B26" s="86"/>
      <c r="S26" s="87"/>
    </row>
    <row r="27" hidden="1" ht="15" customHeight="1">
      <c r="B27" s="86"/>
      <c r="S27" s="87"/>
    </row>
    <row r="28">
      <c r="B28" s="86"/>
      <c r="S28" s="87"/>
    </row>
    <row r="29">
      <c r="B29" s="86"/>
      <c r="S29" s="87"/>
    </row>
    <row r="30" hidden="1">
      <c r="B30" s="86"/>
      <c r="S30" s="87"/>
    </row>
    <row r="31" hidden="1">
      <c r="B31" s="86"/>
      <c r="S31" s="87"/>
    </row>
    <row r="32" hidden="1">
      <c r="B32" s="86"/>
      <c r="S32" s="87"/>
    </row>
    <row r="33">
      <c r="B33" s="86"/>
      <c r="S33" s="87"/>
    </row>
    <row r="34" hidden="1">
      <c r="B34" s="86"/>
      <c r="S34" s="87"/>
    </row>
    <row r="35" hidden="1">
      <c r="B35" s="86"/>
      <c r="S35" s="87"/>
    </row>
    <row r="36" hidden="1">
      <c r="B36" s="86"/>
      <c r="S36" s="87"/>
    </row>
    <row r="37" hidden="1">
      <c r="B37" s="86"/>
      <c r="S37" s="87"/>
    </row>
    <row r="38">
      <c r="B38" s="86"/>
      <c r="S38" s="87"/>
    </row>
    <row r="39">
      <c r="B39" s="86"/>
      <c r="S39" s="87"/>
    </row>
    <row r="40" ht="7.5" customHeight="1">
      <c r="B40" s="86"/>
      <c r="S40" s="87"/>
    </row>
    <row r="41">
      <c r="B41" s="102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4"/>
    </row>
  </sheetData>
  <mergeCells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3EC80-B20B-435C-923B-28B0DC41BB15}">
  <sheetPr codeName="Feuil11">
    <tabColor rgb="FF92D050"/>
    <pageSetUpPr fitToPage="1"/>
  </sheetPr>
  <dimension ref="A1:H4"/>
  <sheetViews>
    <sheetView zoomScaleNormal="100" workbookViewId="0">
      <selection activeCell="A22" sqref="A22:H22"/>
    </sheetView>
  </sheetViews>
  <sheetFormatPr baseColWidth="10" defaultColWidth="11.28515625" defaultRowHeight="15"/>
  <cols>
    <col min="1" max="1" bestFit="1" width="10.7109375" customWidth="1" style="151"/>
    <col min="2" max="2" bestFit="1" width="13.7109375" customWidth="1" style="151"/>
    <col min="3" max="3" bestFit="1" width="13.85546875" customWidth="1" style="151"/>
    <col min="4" max="4" bestFit="1" width="21.5703125" customWidth="1" style="151"/>
    <col min="5" max="5" bestFit="1" width="16" customWidth="1" style="151"/>
    <col min="6" max="6" bestFit="1" width="21.140625" customWidth="1" style="151"/>
    <col min="7" max="7" bestFit="1" width="17.140625" customWidth="1" style="151"/>
    <col min="8" max="8" bestFit="1" width="15.140625" customWidth="1" style="151"/>
    <col min="9" max="9" width="11.28515625" customWidth="1" style="151"/>
    <col min="10" max="16384" width="11.28515625" customWidth="1" style="151"/>
  </cols>
  <sheetData>
    <row r="1">
      <c r="A1" s="247" t="s">
        <v>15</v>
      </c>
      <c r="B1" s="247"/>
      <c r="C1" s="247"/>
      <c r="D1" s="247"/>
      <c r="E1" s="247"/>
      <c r="F1" s="247"/>
      <c r="G1" s="247"/>
      <c r="H1" s="247"/>
    </row>
    <row r="2" s="229" customFormat="1">
      <c r="A2" s="228" t="s">
        <v>16</v>
      </c>
      <c r="B2" s="228" t="s">
        <v>17</v>
      </c>
      <c r="C2" s="228" t="s">
        <v>18</v>
      </c>
      <c r="D2" s="228" t="s">
        <v>19</v>
      </c>
      <c r="E2" s="228" t="s">
        <v>20</v>
      </c>
      <c r="F2" s="228" t="s">
        <v>21</v>
      </c>
      <c r="G2" s="228" t="s">
        <v>22</v>
      </c>
      <c r="H2" s="228" t="s">
        <v>23</v>
      </c>
    </row>
    <row r="3">
      <c r="A3" s="151" t="s">
        <v>24</v>
      </c>
      <c r="B3" s="151" t="s">
        <v>25</v>
      </c>
      <c r="C3" s="151" t="s">
        <v>25</v>
      </c>
      <c r="D3" s="151" t="s">
        <v>26</v>
      </c>
      <c r="E3" s="151" t="s">
        <v>27</v>
      </c>
      <c r="F3" s="151" t="s">
        <v>28</v>
      </c>
      <c r="G3" s="151" t="s">
        <v>25</v>
      </c>
      <c r="H3" s="151" t="s">
        <v>28</v>
      </c>
    </row>
    <row r="4">
      <c r="A4" s="151" t="s">
        <v>29</v>
      </c>
      <c r="B4" s="151" t="s">
        <v>30</v>
      </c>
      <c r="C4" s="151" t="s">
        <v>25</v>
      </c>
      <c r="D4" s="151" t="s">
        <v>31</v>
      </c>
      <c r="E4" s="151" t="s">
        <v>27</v>
      </c>
      <c r="F4" s="151" t="s">
        <v>32</v>
      </c>
      <c r="G4" s="151" t="s">
        <v>25</v>
      </c>
      <c r="H4" s="151" t="s">
        <v>33</v>
      </c>
    </row>
  </sheetData>
  <mergeCells>
    <mergeCell ref="A1:H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8"/>
  <sheetViews>
    <sheetView showGridLines="0" zoomScale="70" zoomScaleNormal="70" workbookViewId="0">
      <selection activeCell="G28" sqref="G2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22.85546875" customWidth="1"/>
    <col min="4" max="4" width="2.85546875" customWidth="1"/>
    <col min="5" max="5" width="22.85546875" customWidth="1"/>
    <col min="6" max="6" width="2.85546875" customWidth="1"/>
    <col min="7" max="7" width="22.85546875" customWidth="1" style="47"/>
    <col min="8" max="8" width="2.85546875" customWidth="1" style="47"/>
    <col min="9" max="9" width="22.85546875" customWidth="1" style="47"/>
    <col min="10" max="10" width="2.85546875" customWidth="1" style="47"/>
    <col min="11" max="11" width="22.85546875" customWidth="1" style="47"/>
    <col min="12" max="12" width="2.85546875" customWidth="1" style="47"/>
    <col min="13" max="13" width="22.85546875" customWidth="1" style="47"/>
    <col min="14" max="14" width="2.85546875" customWidth="1" style="47"/>
    <col min="15" max="15" width="22.85546875" customWidth="1" style="47"/>
    <col min="16" max="16" width="2.85546875" customWidth="1"/>
    <col min="17" max="17" width="22.85546875" customWidth="1"/>
    <col min="18" max="18" width="2.85546875" customWidth="1"/>
    <col min="19" max="19" width="4.28515625" customWidth="1"/>
    <col min="20" max="20" width="2.85546875" customWidth="1"/>
    <col min="21" max="27" width="11.42578125" customWidth="1"/>
  </cols>
  <sheetData>
    <row r="1" ht="15" customHeight="1">
      <c r="B1" s="15"/>
      <c r="C1" s="15"/>
      <c r="D1" s="15"/>
      <c r="E1" s="15"/>
      <c r="F1" s="15"/>
      <c r="G1" s="46"/>
      <c r="H1" s="46"/>
      <c r="I1" s="46"/>
      <c r="J1" s="46"/>
      <c r="K1" s="46"/>
      <c r="L1" s="46"/>
      <c r="M1" s="46"/>
      <c r="N1" s="46"/>
      <c r="O1" s="46"/>
      <c r="P1" s="15"/>
      <c r="Q1" s="15"/>
      <c r="R1" s="15"/>
      <c r="S1" s="15"/>
      <c r="T1" s="15"/>
    </row>
    <row r="2" ht="15" customHeight="1">
      <c r="B2" s="58"/>
      <c r="C2" s="59"/>
      <c r="D2" s="59"/>
      <c r="E2" s="59"/>
      <c r="F2" s="59"/>
      <c r="G2" s="63"/>
      <c r="H2" s="63"/>
      <c r="I2" s="63"/>
      <c r="J2" s="63"/>
      <c r="K2" s="63"/>
      <c r="L2" s="63"/>
      <c r="M2" s="63"/>
      <c r="N2" s="63"/>
      <c r="O2" s="63"/>
      <c r="P2" s="59"/>
      <c r="Q2" s="59"/>
      <c r="R2" s="59"/>
      <c r="S2" s="60"/>
    </row>
    <row r="3" ht="15" customHeight="1">
      <c r="B3" s="12"/>
      <c r="S3" s="61"/>
    </row>
    <row r="4" ht="15" customHeight="1">
      <c r="B4" s="12"/>
      <c r="S4" s="61"/>
    </row>
    <row r="5" ht="15" customHeight="1">
      <c r="B5" s="12"/>
      <c r="S5" s="61"/>
    </row>
    <row r="6" hidden="1" ht="15" customHeight="1">
      <c r="B6" s="12"/>
      <c r="S6" s="61"/>
    </row>
    <row r="7" hidden="1" ht="15" customHeight="1">
      <c r="B7" s="12"/>
      <c r="S7" s="61"/>
    </row>
    <row r="8" ht="60" customHeight="1">
      <c r="B8" s="12"/>
      <c r="C8" s="248" t="str">
        <f>'Page de garde'!C13&amp;" : Résultats"</f>
        <v> : Résultats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50"/>
      <c r="S8" s="61"/>
    </row>
    <row r="9" ht="15" customHeight="1">
      <c r="B9" s="12"/>
      <c r="S9" s="61"/>
    </row>
    <row r="10" ht="15" customHeight="1">
      <c r="B10" s="12"/>
      <c r="S10" s="61"/>
    </row>
    <row r="11" ht="15" customHeight="1">
      <c r="B11" s="12"/>
      <c r="S11" s="61"/>
    </row>
    <row r="12" ht="15" customHeight="1">
      <c r="B12" s="12"/>
      <c r="S12" s="61"/>
    </row>
    <row r="13" ht="15" customHeight="1">
      <c r="B13" s="12"/>
      <c r="C13" s="105" t="s">
        <v>34</v>
      </c>
      <c r="D13" s="106"/>
      <c r="E13" s="107" t="str">
        <f>'Page de garde'!J23</f>
        <v>31 décembre 2021</v>
      </c>
      <c r="F13" s="17"/>
      <c r="G13" s="48"/>
      <c r="H13" s="48"/>
      <c r="I13" s="49"/>
      <c r="J13" s="49"/>
      <c r="K13" s="49"/>
      <c r="L13" s="49"/>
      <c r="M13" s="49"/>
      <c r="N13" s="49"/>
      <c r="O13" s="49"/>
      <c r="P13" s="17"/>
      <c r="Q13" s="17"/>
      <c r="R13" s="21"/>
      <c r="S13" s="61"/>
    </row>
    <row r="14" ht="15" customHeight="1">
      <c r="B14" s="12"/>
      <c r="C14" s="17"/>
      <c r="D14" s="17"/>
      <c r="E14" s="17"/>
      <c r="F14" s="17"/>
      <c r="G14" s="49"/>
      <c r="H14" s="49"/>
      <c r="I14" s="49"/>
      <c r="J14" s="49"/>
      <c r="K14" s="49"/>
      <c r="L14" s="49"/>
      <c r="M14" s="49"/>
      <c r="N14" s="49"/>
      <c r="O14" s="49"/>
      <c r="P14" s="17"/>
      <c r="Q14" s="17"/>
      <c r="R14" s="21"/>
      <c r="S14" s="61"/>
    </row>
    <row r="15" ht="54.75" customHeight="1">
      <c r="B15" s="12"/>
      <c r="C15" s="17"/>
      <c r="D15" s="17"/>
      <c r="E15" s="17"/>
      <c r="F15" s="18"/>
      <c r="G15" s="108" t="s">
        <v>17</v>
      </c>
      <c r="H15" s="50"/>
      <c r="I15" s="108" t="s">
        <v>18</v>
      </c>
      <c r="J15" s="50"/>
      <c r="K15" s="108" t="s">
        <v>19</v>
      </c>
      <c r="L15" s="50"/>
      <c r="M15" s="108" t="s">
        <v>35</v>
      </c>
      <c r="N15" s="50"/>
      <c r="O15" s="108" t="s">
        <v>21</v>
      </c>
      <c r="P15" s="18"/>
      <c r="Q15" s="109" t="s">
        <v>36</v>
      </c>
      <c r="R15" s="21"/>
      <c r="S15" s="61"/>
    </row>
    <row r="16" ht="22.5" customHeight="1">
      <c r="B16" s="12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21"/>
      <c r="S16" s="61"/>
    </row>
    <row r="17" ht="22.5" customHeight="1">
      <c r="B17" s="12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21"/>
      <c r="S17" s="61"/>
    </row>
    <row r="18" ht="22.5" customHeight="1">
      <c r="B18" s="12"/>
      <c r="C18" s="17"/>
      <c r="D18" s="17"/>
      <c r="E18" s="17"/>
      <c r="F18" s="17"/>
      <c r="G18" s="49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21"/>
      <c r="S18" s="61"/>
    </row>
    <row r="19" ht="22.5" customHeight="1">
      <c r="B19" s="12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21"/>
      <c r="S19" s="61"/>
    </row>
    <row r="20" ht="22.5" customHeight="1">
      <c r="B20" s="12"/>
      <c r="C20" s="110">
        <v>2021</v>
      </c>
      <c r="D20" s="17"/>
      <c r="E20" s="111" t="s">
        <v>37</v>
      </c>
      <c r="F20" s="17"/>
      <c r="G20" s="51">
        <v>488082.11</v>
      </c>
      <c r="H20" s="50"/>
      <c r="I20" s="51">
        <v>24648.15</v>
      </c>
      <c r="J20" s="50"/>
      <c r="K20" s="51">
        <v>34892.91</v>
      </c>
      <c r="L20" s="50"/>
      <c r="M20" s="230">
        <v>0.227</v>
      </c>
      <c r="N20" s="50"/>
      <c r="O20" s="51">
        <v>26971.85</v>
      </c>
      <c r="P20" s="18"/>
      <c r="Q20" s="230">
        <v>19.0098</v>
      </c>
      <c r="R20" s="21"/>
      <c r="S20" s="61"/>
    </row>
    <row r="21" ht="22.5" customHeight="1">
      <c r="B21" s="12"/>
      <c r="C21" s="16"/>
      <c r="D21" s="17"/>
      <c r="E21" s="112"/>
      <c r="F21" s="17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21"/>
      <c r="S21" s="61"/>
    </row>
    <row r="22" ht="22.5" customHeight="1">
      <c r="B22" s="12"/>
      <c r="C22" s="16"/>
      <c r="D22" s="17"/>
      <c r="E22" s="56"/>
      <c r="F22" s="17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21"/>
      <c r="S22" s="61"/>
    </row>
    <row r="23" ht="22.5" customHeight="1">
      <c r="B23" s="12"/>
      <c r="C23" s="16"/>
      <c r="D23" s="17"/>
      <c r="E23" s="16"/>
      <c r="F23" s="17"/>
      <c r="G23" s="52"/>
      <c r="H23" s="52"/>
      <c r="I23" s="52"/>
      <c r="J23" s="52"/>
      <c r="K23" s="53"/>
      <c r="L23" s="52"/>
      <c r="M23" s="53"/>
      <c r="N23" s="52"/>
      <c r="O23" s="53"/>
      <c r="P23" s="19"/>
      <c r="Q23" s="20"/>
      <c r="R23" s="21"/>
      <c r="S23" s="61"/>
    </row>
    <row r="24" ht="22.5" customHeight="1">
      <c r="B24" s="12"/>
      <c r="C24" s="16"/>
      <c r="D24" s="17"/>
      <c r="E24" s="16"/>
      <c r="F24" s="17"/>
      <c r="G24" s="52"/>
      <c r="H24" s="52"/>
      <c r="I24" s="52"/>
      <c r="J24" s="52"/>
      <c r="K24" s="53"/>
      <c r="L24" s="52"/>
      <c r="M24" s="53"/>
      <c r="N24" s="52"/>
      <c r="O24" s="53"/>
      <c r="P24" s="19"/>
      <c r="Q24" s="20"/>
      <c r="R24" s="21"/>
      <c r="S24" s="61"/>
    </row>
    <row r="25" ht="22.5" customHeight="1">
      <c r="B25" s="12"/>
      <c r="C25" s="110">
        <v>2020</v>
      </c>
      <c r="D25" s="17"/>
      <c r="E25" s="111" t="s">
        <v>37</v>
      </c>
      <c r="F25" s="17"/>
      <c r="G25" s="51">
        <v>0</v>
      </c>
      <c r="H25" s="50"/>
      <c r="I25" s="51">
        <v>0</v>
      </c>
      <c r="J25" s="50"/>
      <c r="K25" s="51">
        <v>148881.63</v>
      </c>
      <c r="L25" s="50"/>
      <c r="M25" s="230">
        <v>0.2814</v>
      </c>
      <c r="N25" s="50"/>
      <c r="O25" s="51">
        <v>106991.87</v>
      </c>
      <c r="P25" s="18"/>
      <c r="Q25" s="230">
        <v>0</v>
      </c>
      <c r="R25" s="21"/>
      <c r="S25" s="61"/>
    </row>
    <row r="26" ht="22.5" customHeight="1">
      <c r="B26" s="12"/>
      <c r="C26" s="16"/>
      <c r="D26" s="17"/>
      <c r="E26" s="112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21"/>
      <c r="S26" s="61"/>
    </row>
    <row r="27" ht="22.5" customHeight="1">
      <c r="B27" s="12"/>
      <c r="C27" s="16"/>
      <c r="D27" s="17"/>
      <c r="E27" s="113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21"/>
      <c r="S27" s="61"/>
    </row>
    <row r="28" ht="22.5" customHeight="1">
      <c r="B28" s="12"/>
      <c r="C28" s="16"/>
      <c r="D28" s="17"/>
      <c r="E28" s="112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21"/>
      <c r="S28" s="61"/>
    </row>
    <row r="29" ht="12.6" customHeight="1">
      <c r="B29" s="12"/>
      <c r="C29" s="16"/>
      <c r="D29" s="17"/>
      <c r="E29" s="56"/>
      <c r="F29" s="17"/>
      <c r="G29" s="50"/>
      <c r="H29" s="50"/>
      <c r="I29" s="57"/>
      <c r="J29" s="50"/>
      <c r="K29" s="50"/>
      <c r="L29" s="50"/>
      <c r="M29" s="50"/>
      <c r="N29" s="50"/>
      <c r="O29" s="50"/>
      <c r="P29" s="18"/>
      <c r="Q29" s="57"/>
      <c r="R29" s="21"/>
      <c r="S29" s="61"/>
    </row>
    <row r="30" ht="8.85" customHeight="1">
      <c r="B30" s="12"/>
      <c r="C30" s="16"/>
      <c r="D30" s="17"/>
      <c r="E30" s="56"/>
      <c r="F30" s="17"/>
      <c r="G30" s="50"/>
      <c r="H30" s="50"/>
      <c r="I30" s="57"/>
      <c r="J30" s="50"/>
      <c r="K30" s="50"/>
      <c r="L30" s="50"/>
      <c r="M30" s="50"/>
      <c r="N30" s="50"/>
      <c r="O30" s="50"/>
      <c r="P30" s="18"/>
      <c r="Q30" s="57"/>
      <c r="R30" s="21"/>
      <c r="S30" s="61"/>
    </row>
    <row r="31" ht="22.5" customHeight="1">
      <c r="B31" s="12"/>
      <c r="C31" s="114" t="s">
        <v>38</v>
      </c>
      <c r="D31" s="115"/>
      <c r="E31" s="116"/>
      <c r="F31" s="115"/>
      <c r="G31" s="117"/>
      <c r="H31" s="117"/>
      <c r="I31" s="117"/>
      <c r="J31" s="117"/>
      <c r="K31" s="118"/>
      <c r="L31" s="117"/>
      <c r="M31" s="118"/>
      <c r="N31" s="117"/>
      <c r="O31" s="118"/>
      <c r="P31" s="119"/>
      <c r="Q31" s="120"/>
      <c r="R31" s="121"/>
      <c r="S31" s="61"/>
    </row>
    <row r="32" ht="22.5" customHeight="1">
      <c r="B32" s="12"/>
      <c r="C32" s="114" t="s">
        <v>39</v>
      </c>
      <c r="D32" s="115"/>
      <c r="E32" s="116"/>
      <c r="F32" s="115"/>
      <c r="G32" s="117"/>
      <c r="H32" s="117"/>
      <c r="I32" s="117"/>
      <c r="J32" s="117"/>
      <c r="K32" s="118"/>
      <c r="L32" s="117"/>
      <c r="M32" s="118"/>
      <c r="N32" s="117"/>
      <c r="O32" s="118"/>
      <c r="P32" s="119"/>
      <c r="Q32" s="120"/>
      <c r="R32" s="121"/>
      <c r="S32" s="61"/>
    </row>
    <row r="33" ht="22.5" customHeight="1">
      <c r="B33" s="12"/>
      <c r="C33" s="252" t="s">
        <v>40</v>
      </c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61"/>
    </row>
    <row r="34" ht="18.75">
      <c r="B34" s="12"/>
      <c r="C34" s="22"/>
      <c r="D34" s="17"/>
      <c r="E34" s="16"/>
      <c r="F34" s="17"/>
      <c r="G34" s="52"/>
      <c r="H34" s="52"/>
      <c r="I34" s="52"/>
      <c r="J34" s="52"/>
      <c r="K34" s="53"/>
      <c r="L34" s="52"/>
      <c r="M34" s="53"/>
      <c r="N34" s="52"/>
      <c r="O34" s="53"/>
      <c r="P34" s="19"/>
      <c r="Q34" s="20"/>
      <c r="R34" s="21"/>
      <c r="S34" s="61"/>
    </row>
    <row r="35" ht="32.45" customHeight="1">
      <c r="B35" s="12"/>
      <c r="C35" s="251"/>
      <c r="D35" s="251"/>
      <c r="E35" s="251"/>
      <c r="F35" s="251"/>
      <c r="G35" s="251"/>
      <c r="H35" s="251"/>
      <c r="I35" s="251"/>
      <c r="J35" s="251"/>
      <c r="K35" s="251"/>
      <c r="L35" s="251"/>
      <c r="M35" s="251"/>
      <c r="N35" s="251"/>
      <c r="O35" s="251"/>
      <c r="P35" s="251"/>
      <c r="Q35" s="251"/>
      <c r="R35" s="251"/>
      <c r="S35" s="61"/>
    </row>
    <row r="36" ht="22.5" customHeight="1">
      <c r="B36" s="12"/>
      <c r="C36" s="16"/>
      <c r="D36" s="17"/>
      <c r="E36" s="17"/>
      <c r="F36" s="17"/>
      <c r="G36" s="49"/>
      <c r="H36" s="49"/>
      <c r="I36" s="49"/>
      <c r="J36" s="49"/>
      <c r="K36" s="49"/>
      <c r="L36" s="49"/>
      <c r="M36" s="49"/>
      <c r="N36" s="49"/>
      <c r="O36" s="49"/>
      <c r="P36" s="17"/>
      <c r="Q36" s="17"/>
      <c r="R36" s="21"/>
      <c r="S36" s="61"/>
    </row>
    <row r="37" ht="32.45" customHeight="1">
      <c r="B37" s="12"/>
      <c r="C37" s="251"/>
      <c r="D37" s="251"/>
      <c r="E37" s="251"/>
      <c r="F37" s="251"/>
      <c r="G37" s="251"/>
      <c r="H37" s="251"/>
      <c r="I37" s="251"/>
      <c r="J37" s="251"/>
      <c r="K37" s="251"/>
      <c r="L37" s="251"/>
      <c r="M37" s="251"/>
      <c r="N37" s="49"/>
      <c r="O37" s="49"/>
      <c r="P37" s="17"/>
      <c r="Q37" s="17"/>
      <c r="R37" s="21"/>
      <c r="S37" s="61"/>
    </row>
    <row r="38" ht="15" customHeight="1">
      <c r="B38" s="13"/>
      <c r="C38" s="14"/>
      <c r="D38" s="14"/>
      <c r="E38" s="14"/>
      <c r="F38" s="14"/>
      <c r="G38" s="54"/>
      <c r="H38" s="54"/>
      <c r="I38" s="54"/>
      <c r="J38" s="54"/>
      <c r="K38" s="54"/>
      <c r="L38" s="54"/>
      <c r="M38" s="54"/>
      <c r="N38" s="54"/>
      <c r="O38" s="54"/>
      <c r="P38" s="14"/>
      <c r="Q38" s="14"/>
      <c r="R38" s="14"/>
      <c r="S38" s="62"/>
    </row>
  </sheetData>
  <mergeCells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D33"/>
  <sheetViews>
    <sheetView showGridLines="0" topLeftCell="A8" zoomScale="85" zoomScaleNormal="85" workbookViewId="0">
      <selection activeCell="A15" sqref="A15:XFD1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35.7109375" customWidth="1"/>
    <col min="4" max="4" width="21.28515625" customWidth="1"/>
    <col min="5" max="5" width="21.28515625" customWidth="1"/>
    <col min="6" max="6" width="21.28515625" customWidth="1"/>
    <col min="7" max="7" width="21.28515625" customWidth="1"/>
    <col min="8" max="8" width="21.28515625" customWidth="1"/>
    <col min="9" max="9" width="21.28515625" customWidth="1"/>
    <col min="10" max="10" width="21.28515625" customWidth="1"/>
    <col min="11" max="11" width="21.28515625" customWidth="1"/>
    <col min="12" max="12" width="4.28515625" customWidth="1"/>
    <col min="13" max="13" width="2.85546875" customWidth="1"/>
    <col min="14" max="17" width="11.42578125" customWidth="1"/>
    <col min="18" max="18" bestFit="1" width="22.5703125" customWidth="1"/>
    <col min="19" max="26" width="11.42578125" customWidth="1"/>
    <col min="27" max="27" bestFit="1" width="19.140625" customWidth="1"/>
    <col min="28" max="28" bestFit="1" width="12.7109375" customWidth="1"/>
    <col min="29" max="29" bestFit="1" width="10.5703125" customWidth="1"/>
    <col min="30" max="3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60"/>
      <c r="P2" s="64"/>
    </row>
    <row r="3">
      <c r="B3" s="12"/>
      <c r="L3" s="61"/>
    </row>
    <row r="4">
      <c r="B4" s="12"/>
      <c r="L4" s="61"/>
    </row>
    <row r="5">
      <c r="B5" s="12"/>
      <c r="L5" s="61"/>
    </row>
    <row r="6" hidden="1">
      <c r="B6" s="12"/>
      <c r="L6" s="61"/>
    </row>
    <row r="7">
      <c r="B7" s="12"/>
      <c r="L7" s="61"/>
    </row>
    <row r="8" ht="60" customHeight="1">
      <c r="B8" s="12"/>
      <c r="C8" s="248" t="str">
        <f>'Page de garde'!C13&amp;" : Nombre d'Assurés par société"</f>
        <v> : Nombre d'Assurés par société</v>
      </c>
      <c r="D8" s="249"/>
      <c r="E8" s="249"/>
      <c r="F8" s="249"/>
      <c r="G8" s="249"/>
      <c r="H8" s="249"/>
      <c r="I8" s="249"/>
      <c r="J8" s="249"/>
      <c r="K8" s="250"/>
      <c r="L8" s="61"/>
    </row>
    <row r="9" hidden="1">
      <c r="B9" s="12"/>
      <c r="L9" s="61"/>
    </row>
    <row r="10">
      <c r="B10" s="12"/>
      <c r="L10" s="61"/>
    </row>
    <row r="11" ht="18.75" customHeight="1">
      <c r="B11" s="12"/>
      <c r="C11" s="177" t="s">
        <v>41</v>
      </c>
      <c r="L11" s="61"/>
    </row>
    <row r="12" ht="22.5" customHeight="1">
      <c r="B12" s="12"/>
      <c r="L12" s="61"/>
    </row>
    <row r="13" ht="22.5" customHeight="1" s="202" customFormat="1">
      <c r="A13" s="200"/>
      <c r="B13" s="201"/>
      <c r="D13" s="253" t="s">
        <v>42</v>
      </c>
      <c r="E13" s="254"/>
      <c r="F13" s="203" t="s">
        <v>43</v>
      </c>
      <c r="G13" s="173" t="s">
        <v>44</v>
      </c>
      <c r="H13" s="204"/>
      <c r="I13" s="204"/>
      <c r="J13" s="204"/>
      <c r="K13" s="204"/>
      <c r="L13" s="205"/>
      <c r="AA13" s="215"/>
      <c r="AB13" s="216" t="s">
        <v>45</v>
      </c>
      <c r="AC13" s="216" t="s">
        <v>46</v>
      </c>
    </row>
    <row r="14" ht="14.25" customHeight="1" s="213" customFormat="1">
      <c r="A14" s="206"/>
      <c r="B14" s="207"/>
      <c r="C14" s="208"/>
      <c r="D14" s="209" t="s">
        <v>45</v>
      </c>
      <c r="E14" s="210" t="s">
        <v>46</v>
      </c>
      <c r="F14" s="211"/>
      <c r="G14" s="210" t="s">
        <v>47</v>
      </c>
      <c r="H14" s="204"/>
      <c r="I14" s="204"/>
      <c r="J14" s="204"/>
      <c r="K14" s="204"/>
      <c r="L14" s="212"/>
      <c r="R14" s="214"/>
      <c r="Z14" s="215"/>
      <c r="AA14" s="215"/>
      <c r="AB14" s="215">
        <v>0</v>
      </c>
      <c r="AC14" s="215">
        <v>0</v>
      </c>
      <c r="AD14" s="217"/>
    </row>
    <row r="15" ht="14.25" customHeight="1" s="213" customFormat="1">
      <c r="A15" s="206"/>
      <c r="B15" s="207"/>
      <c r="C15" s="218"/>
      <c r="D15" s="219">
        <v>0</v>
      </c>
      <c r="E15" s="219">
        <v>0</v>
      </c>
      <c r="F15" s="220"/>
      <c r="G15" s="220"/>
      <c r="H15" s="204"/>
      <c r="I15" s="204"/>
      <c r="J15" s="204"/>
      <c r="K15" s="204"/>
      <c r="L15" s="212"/>
      <c r="Z15" s="215"/>
      <c r="AA15" s="215"/>
      <c r="AB15" s="215"/>
      <c r="AC15" s="215"/>
      <c r="AD15" s="217"/>
    </row>
    <row r="16" ht="14.25" customHeight="1" s="213" customFormat="1">
      <c r="A16" s="206"/>
      <c r="B16" s="207"/>
      <c r="C16" s="221" t="s">
        <v>48</v>
      </c>
      <c r="D16" s="222">
        <v>0</v>
      </c>
      <c r="E16" s="222">
        <v>0</v>
      </c>
      <c r="F16" s="223"/>
      <c r="G16" s="223"/>
      <c r="H16" s="204"/>
      <c r="I16" s="204"/>
      <c r="J16" s="204"/>
      <c r="K16" s="204"/>
      <c r="L16" s="212"/>
      <c r="Z16" s="215"/>
      <c r="AA16" s="215"/>
      <c r="AB16" s="215"/>
      <c r="AC16" s="215"/>
      <c r="AD16" s="217"/>
    </row>
    <row r="17" ht="14.25" customHeight="1" s="213" customFormat="1">
      <c r="A17" s="206"/>
      <c r="B17" s="207"/>
      <c r="C17" s="221" t="s">
        <v>49</v>
      </c>
      <c r="D17" s="222">
        <v>0</v>
      </c>
      <c r="E17" s="222">
        <v>0</v>
      </c>
      <c r="F17" s="223"/>
      <c r="G17" s="223"/>
      <c r="H17" s="204"/>
      <c r="I17" s="204"/>
      <c r="J17" s="204"/>
      <c r="K17" s="204"/>
      <c r="L17" s="212"/>
      <c r="Z17" s="215"/>
      <c r="AA17" s="215"/>
      <c r="AB17" s="215"/>
      <c r="AC17" s="215"/>
      <c r="AD17" s="217"/>
    </row>
    <row r="18" ht="14.25" customHeight="1" s="213" customFormat="1">
      <c r="A18" s="206"/>
      <c r="B18" s="207"/>
      <c r="C18" s="221" t="s">
        <v>50</v>
      </c>
      <c r="D18" s="222">
        <v>0</v>
      </c>
      <c r="E18" s="222">
        <v>0</v>
      </c>
      <c r="F18" s="223"/>
      <c r="G18" s="223"/>
      <c r="H18" s="204"/>
      <c r="I18" s="204"/>
      <c r="J18" s="204"/>
      <c r="K18" s="204"/>
      <c r="L18" s="212"/>
      <c r="Z18" s="215"/>
      <c r="AA18" s="215"/>
      <c r="AB18" s="215"/>
      <c r="AC18" s="215"/>
      <c r="AD18" s="217"/>
    </row>
    <row r="19" ht="14.25" customHeight="1" s="213" customFormat="1">
      <c r="A19" s="206"/>
      <c r="B19" s="207"/>
      <c r="C19" s="224" t="s">
        <v>51</v>
      </c>
      <c r="D19" s="169">
        <v>0</v>
      </c>
      <c r="E19" s="169">
        <v>0</v>
      </c>
      <c r="F19" s="170"/>
      <c r="G19" s="170"/>
      <c r="H19" s="204"/>
      <c r="I19" s="204"/>
      <c r="J19" s="204"/>
      <c r="K19" s="204"/>
      <c r="L19" s="212"/>
    </row>
    <row r="20" ht="14.25" customHeight="1">
      <c r="B20" s="12"/>
      <c r="L20" s="61"/>
    </row>
    <row r="21" ht="14.25" customHeight="1">
      <c r="B21" s="12"/>
      <c r="L21" s="61"/>
    </row>
    <row r="22" ht="14.25" customHeight="1">
      <c r="B22" s="12"/>
      <c r="L22" s="61"/>
    </row>
    <row r="23" ht="14.25" customHeight="1">
      <c r="B23" s="12"/>
      <c r="L23" s="61"/>
    </row>
    <row r="24" ht="14.25" customHeight="1">
      <c r="B24" s="12"/>
      <c r="L24" s="61"/>
    </row>
    <row r="25" ht="14.25" customHeight="1">
      <c r="B25" s="12"/>
      <c r="L25" s="61"/>
    </row>
    <row r="26" ht="14.25" customHeight="1">
      <c r="B26" s="12"/>
      <c r="L26" s="61"/>
    </row>
    <row r="27" ht="14.25" customHeight="1">
      <c r="B27" s="12"/>
      <c r="L27" s="61"/>
    </row>
    <row r="28" ht="14.25" customHeight="1">
      <c r="B28" s="12"/>
      <c r="L28" s="61"/>
    </row>
    <row r="29" ht="14.25" customHeight="1">
      <c r="B29" s="12"/>
      <c r="L29" s="61"/>
    </row>
    <row r="30" ht="14.25" customHeight="1">
      <c r="B30" s="12"/>
      <c r="L30" s="61"/>
    </row>
    <row r="31" ht="14.25" customHeight="1">
      <c r="B31" s="12"/>
      <c r="L31" s="61"/>
    </row>
    <row r="32" ht="14.25" customHeight="1">
      <c r="B32" s="12"/>
      <c r="L32" s="61"/>
    </row>
    <row r="33" ht="7.5" customHeight="1"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62"/>
    </row>
  </sheetData>
  <mergeCells>
    <mergeCell ref="C8:K8"/>
    <mergeCell ref="D13:E13"/>
  </mergeCells>
  <pageMargins left="0.70866141732283472" right="0.70866141732283472" top="0.74803149606299213" bottom="0.74803149606299213" header="0.31496062992125984" footer="0.31496062992125984"/>
  <pageSetup paperSize="9" scale="39" orientation="portrait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7"/>
  <sheetViews>
    <sheetView showGridLines="0" topLeftCell="A8" zoomScale="85" zoomScaleNormal="85" workbookViewId="0">
      <selection activeCell="T4" sqref="T4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20" customWidth="1"/>
    <col min="4" max="4" width="11.42578125" customWidth="1"/>
    <col min="5" max="5" width="12.5703125" customWidth="1"/>
    <col min="6" max="6" width="11.42578125" customWidth="1"/>
    <col min="7" max="7" width="13.42578125" customWidth="1"/>
    <col min="8" max="8" width="11.42578125" customWidth="1"/>
    <col min="9" max="9" width="11.42578125" customWidth="1"/>
    <col min="10" max="10" width="18.42578125" customWidth="1"/>
    <col min="11" max="11" width="34.28515625" customWidth="1"/>
    <col min="12" max="12" width="11.42578125" customWidth="1"/>
    <col min="13" max="13" width="17.140625" customWidth="1"/>
    <col min="14" max="14" width="11.42578125" customWidth="1"/>
    <col min="15" max="15" width="11.42578125" customWidth="1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8" width="11.42578125" customWidth="1"/>
  </cols>
  <sheetData>
    <row r="1" ht="15" customHeight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60"/>
      <c r="U2" s="45"/>
    </row>
    <row r="3" ht="15" customHeight="1">
      <c r="B3" s="12"/>
      <c r="Q3" s="61"/>
    </row>
    <row r="4" ht="15" customHeight="1">
      <c r="B4" s="12"/>
      <c r="Q4" s="61"/>
    </row>
    <row r="5" ht="15" customHeight="1">
      <c r="B5" s="12"/>
      <c r="Q5" s="61"/>
    </row>
    <row r="6" ht="15" customHeight="1">
      <c r="B6" s="12"/>
      <c r="Q6" s="61"/>
    </row>
    <row r="7" hidden="1" ht="15" customHeight="1">
      <c r="B7" s="12"/>
      <c r="Q7" s="61"/>
    </row>
    <row r="8" ht="60" customHeight="1">
      <c r="B8" s="12"/>
      <c r="C8" s="248" t="str">
        <f>'Page de garde'!C13&amp;" : Démographie des Assurés vue au "&amp;AFFICHAGE!N4</f>
        <v> : Démographie des Assurés vue au 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50"/>
      <c r="Q8" s="61"/>
    </row>
    <row r="9" ht="15" customHeight="1">
      <c r="B9" s="12"/>
      <c r="Q9" s="61"/>
    </row>
    <row r="10" ht="15" customHeight="1">
      <c r="B10" s="12"/>
      <c r="Q10" s="61"/>
    </row>
    <row r="11" ht="15" customHeight="1">
      <c r="B11" s="12"/>
      <c r="C11" s="122" t="s">
        <v>52</v>
      </c>
      <c r="K11" s="123" t="s">
        <v>53</v>
      </c>
      <c r="Q11" s="61"/>
    </row>
    <row r="12" ht="30" customHeight="1">
      <c r="B12" s="12"/>
      <c r="Q12" s="61"/>
    </row>
    <row r="13" ht="45">
      <c r="B13" s="12"/>
      <c r="C13" s="24"/>
      <c r="D13" s="81" t="s">
        <v>54</v>
      </c>
      <c r="E13" s="81" t="s">
        <v>55</v>
      </c>
      <c r="F13" s="81" t="s">
        <v>46</v>
      </c>
      <c r="G13" s="81" t="s">
        <v>56</v>
      </c>
      <c r="H13" s="81" t="s">
        <v>57</v>
      </c>
      <c r="K13" s="27" t="s">
        <v>58</v>
      </c>
      <c r="L13" s="27" t="s">
        <v>59</v>
      </c>
      <c r="M13" s="27" t="s">
        <v>60</v>
      </c>
      <c r="N13" s="41" t="s">
        <v>51</v>
      </c>
      <c r="Q13" s="61"/>
    </row>
    <row r="14" ht="15" customHeight="1">
      <c r="B14" s="12"/>
      <c r="C14" s="25" t="s">
        <v>59</v>
      </c>
      <c r="D14" s="153">
        <v>0</v>
      </c>
      <c r="E14" s="154"/>
      <c r="F14" s="153">
        <v>0</v>
      </c>
      <c r="G14" s="154"/>
      <c r="H14" s="155"/>
      <c r="K14" s="25" t="s">
        <v>61</v>
      </c>
      <c r="L14" s="28">
        <v>0</v>
      </c>
      <c r="M14" s="29">
        <v>0</v>
      </c>
      <c r="N14" s="39">
        <v>0</v>
      </c>
      <c r="Q14" s="61"/>
    </row>
    <row r="15" ht="15" customHeight="1">
      <c r="B15" s="12"/>
      <c r="C15" s="156" t="s">
        <v>60</v>
      </c>
      <c r="D15" s="157">
        <v>0</v>
      </c>
      <c r="E15" s="158"/>
      <c r="F15" s="157">
        <v>0</v>
      </c>
      <c r="G15" s="158"/>
      <c r="H15" s="159"/>
      <c r="K15" s="25" t="s">
        <v>62</v>
      </c>
      <c r="L15" s="28">
        <v>0</v>
      </c>
      <c r="M15" s="29">
        <v>0</v>
      </c>
      <c r="N15" s="39">
        <v>0</v>
      </c>
      <c r="Q15" s="61"/>
    </row>
    <row r="16" ht="15" customHeight="1">
      <c r="B16" s="12"/>
      <c r="C16" s="165" t="s">
        <v>51</v>
      </c>
      <c r="D16" s="166">
        <v>0</v>
      </c>
      <c r="E16" s="167"/>
      <c r="F16" s="166">
        <v>0</v>
      </c>
      <c r="G16" s="167"/>
      <c r="H16" s="168"/>
      <c r="K16" s="25" t="s">
        <v>63</v>
      </c>
      <c r="L16" s="28">
        <v>0</v>
      </c>
      <c r="M16" s="29">
        <v>0</v>
      </c>
      <c r="N16" s="39">
        <v>0</v>
      </c>
      <c r="Q16" s="61"/>
    </row>
    <row r="17" ht="15" customHeight="1">
      <c r="B17" s="12"/>
      <c r="K17" s="25" t="s">
        <v>64</v>
      </c>
      <c r="L17" s="28">
        <v>0</v>
      </c>
      <c r="M17" s="29">
        <v>0</v>
      </c>
      <c r="N17" s="39">
        <v>0</v>
      </c>
      <c r="Q17" s="61"/>
    </row>
    <row r="18" ht="15" customHeight="1">
      <c r="B18" s="12"/>
      <c r="K18" s="25" t="s">
        <v>65</v>
      </c>
      <c r="L18" s="28">
        <v>0</v>
      </c>
      <c r="M18" s="29">
        <v>0</v>
      </c>
      <c r="N18" s="39">
        <v>0</v>
      </c>
      <c r="Q18" s="61"/>
    </row>
    <row r="19" ht="15" customHeight="1">
      <c r="B19" s="12"/>
      <c r="K19" s="25" t="s">
        <v>66</v>
      </c>
      <c r="L19" s="28">
        <v>0</v>
      </c>
      <c r="M19" s="29">
        <v>0</v>
      </c>
      <c r="N19" s="39">
        <v>0</v>
      </c>
      <c r="Q19" s="61"/>
    </row>
    <row r="20" ht="15" customHeight="1">
      <c r="B20" s="12"/>
      <c r="K20" s="25" t="s">
        <v>67</v>
      </c>
      <c r="L20" s="28">
        <v>0</v>
      </c>
      <c r="M20" s="29">
        <v>0</v>
      </c>
      <c r="N20" s="39">
        <v>0</v>
      </c>
      <c r="Q20" s="61"/>
    </row>
    <row r="21" ht="15" customHeight="1">
      <c r="B21" s="12"/>
      <c r="K21" s="25" t="s">
        <v>68</v>
      </c>
      <c r="L21" s="28">
        <v>0</v>
      </c>
      <c r="M21" s="29">
        <v>0</v>
      </c>
      <c r="N21" s="39">
        <v>0</v>
      </c>
      <c r="Q21" s="61"/>
    </row>
    <row r="22" ht="15" customHeight="1">
      <c r="B22" s="12"/>
      <c r="K22" s="25" t="s">
        <v>69</v>
      </c>
      <c r="L22" s="28">
        <v>0</v>
      </c>
      <c r="M22" s="29">
        <v>0</v>
      </c>
      <c r="N22" s="39">
        <v>0</v>
      </c>
      <c r="Q22" s="61"/>
    </row>
    <row r="23" ht="15" customHeight="1">
      <c r="B23" s="12"/>
      <c r="K23" s="26" t="s">
        <v>51</v>
      </c>
      <c r="L23" s="30">
        <v>0</v>
      </c>
      <c r="M23" s="31">
        <v>0</v>
      </c>
      <c r="N23" s="40">
        <v>0</v>
      </c>
      <c r="Q23" s="61"/>
    </row>
    <row r="24" ht="15" customHeight="1">
      <c r="B24" s="12"/>
      <c r="Q24" s="61"/>
    </row>
    <row r="25" ht="15" customHeight="1">
      <c r="B25" s="12"/>
      <c r="Q25" s="61"/>
    </row>
    <row r="26" ht="15" customHeight="1">
      <c r="B26" s="12"/>
      <c r="Q26" s="61"/>
    </row>
    <row r="27" ht="15" customHeight="1">
      <c r="B27" s="12"/>
      <c r="Q27" s="61"/>
    </row>
    <row r="28" ht="15" customHeight="1">
      <c r="B28" s="12"/>
      <c r="Q28" s="61"/>
    </row>
    <row r="29" ht="15" customHeight="1">
      <c r="B29" s="12"/>
      <c r="Q29" s="61"/>
    </row>
    <row r="30">
      <c r="B30" s="12"/>
      <c r="Q30" s="61"/>
    </row>
    <row r="31" ht="12" customHeight="1">
      <c r="B31" s="12"/>
      <c r="Q31" s="61"/>
    </row>
    <row r="32" ht="15" customHeight="1">
      <c r="B32" s="12"/>
      <c r="Q32" s="61"/>
    </row>
    <row r="33" ht="15" customHeight="1">
      <c r="B33" s="12"/>
      <c r="Q33" s="61"/>
    </row>
    <row r="34" ht="15" customHeight="1">
      <c r="B34" s="12"/>
      <c r="C34" s="123" t="s">
        <v>70</v>
      </c>
      <c r="K34" s="255"/>
      <c r="L34" s="256"/>
      <c r="M34" s="256"/>
      <c r="N34" s="256"/>
      <c r="O34" s="256"/>
      <c r="P34" s="257"/>
      <c r="Q34" s="61"/>
    </row>
    <row r="35" ht="15" customHeight="1">
      <c r="B35" s="12"/>
      <c r="K35" s="258"/>
      <c r="L35" s="259"/>
      <c r="M35" s="259"/>
      <c r="N35" s="259"/>
      <c r="O35" s="259"/>
      <c r="P35" s="260"/>
      <c r="Q35" s="61"/>
    </row>
    <row r="36" ht="30" customHeight="1">
      <c r="B36" s="12"/>
      <c r="C36" s="23"/>
      <c r="D36" s="124" t="s">
        <v>71</v>
      </c>
      <c r="E36" s="125" t="s">
        <v>72</v>
      </c>
      <c r="K36" s="258"/>
      <c r="L36" s="259"/>
      <c r="M36" s="259"/>
      <c r="N36" s="259"/>
      <c r="O36" s="259"/>
      <c r="P36" s="260"/>
      <c r="Q36" s="61"/>
    </row>
    <row r="37" ht="15" customHeight="1">
      <c r="B37" s="12"/>
      <c r="C37" s="126" t="s">
        <v>73</v>
      </c>
      <c r="D37" s="32">
        <v>0</v>
      </c>
      <c r="E37" s="33"/>
      <c r="K37" s="258"/>
      <c r="L37" s="259"/>
      <c r="M37" s="259"/>
      <c r="N37" s="259"/>
      <c r="O37" s="259"/>
      <c r="P37" s="260"/>
      <c r="Q37" s="61"/>
    </row>
    <row r="38" ht="15" customHeight="1">
      <c r="B38" s="12"/>
      <c r="C38" s="127" t="s">
        <v>74</v>
      </c>
      <c r="D38" s="34">
        <v>0</v>
      </c>
      <c r="E38" s="35"/>
      <c r="K38" s="258"/>
      <c r="L38" s="259"/>
      <c r="M38" s="259"/>
      <c r="N38" s="259"/>
      <c r="O38" s="259"/>
      <c r="P38" s="260"/>
      <c r="Q38" s="61"/>
    </row>
    <row r="39" ht="15" customHeight="1">
      <c r="B39" s="12"/>
      <c r="C39" s="128" t="s">
        <v>75</v>
      </c>
      <c r="D39" s="34">
        <v>0</v>
      </c>
      <c r="E39" s="35"/>
      <c r="K39" s="258"/>
      <c r="L39" s="259"/>
      <c r="M39" s="259"/>
      <c r="N39" s="259"/>
      <c r="O39" s="259"/>
      <c r="P39" s="260"/>
      <c r="Q39" s="61"/>
    </row>
    <row r="40" ht="15" customHeight="1">
      <c r="B40" s="12"/>
      <c r="C40" s="129" t="s">
        <v>51</v>
      </c>
      <c r="D40" s="36">
        <v>0</v>
      </c>
      <c r="E40" s="37"/>
      <c r="K40" s="258"/>
      <c r="L40" s="259"/>
      <c r="M40" s="259"/>
      <c r="N40" s="259"/>
      <c r="O40" s="259"/>
      <c r="P40" s="260"/>
      <c r="Q40" s="61"/>
    </row>
    <row r="41" ht="15" customHeight="1">
      <c r="B41" s="12"/>
      <c r="C41" s="4"/>
      <c r="D41" s="4"/>
      <c r="E41" s="4"/>
      <c r="K41" s="258"/>
      <c r="L41" s="259"/>
      <c r="M41" s="259"/>
      <c r="N41" s="259"/>
      <c r="O41" s="259"/>
      <c r="P41" s="260"/>
      <c r="Q41" s="61"/>
    </row>
    <row r="42" ht="15" customHeight="1">
      <c r="B42" s="12"/>
      <c r="C42" s="129" t="s">
        <v>76</v>
      </c>
      <c r="D42" s="38"/>
      <c r="E42" s="130" t="e">
        <f>D40/F16</f>
        <v>#DIV/0!</v>
      </c>
      <c r="K42" s="261"/>
      <c r="L42" s="262"/>
      <c r="M42" s="262"/>
      <c r="N42" s="262"/>
      <c r="O42" s="262"/>
      <c r="P42" s="263"/>
      <c r="Q42" s="61"/>
    </row>
    <row r="43" ht="15" customHeight="1">
      <c r="B43" s="12"/>
      <c r="Q43" s="61"/>
    </row>
    <row r="44" ht="15" customHeight="1">
      <c r="B44" s="12"/>
      <c r="Q44" s="61"/>
    </row>
    <row r="45" ht="15" customHeight="1">
      <c r="B45" s="12"/>
      <c r="Q45" s="61"/>
    </row>
    <row r="46" ht="15" customHeight="1" s="82" customFormat="1">
      <c r="B46" s="86"/>
      <c r="Q46" s="87"/>
    </row>
    <row r="47" ht="15" customHeight="1">
      <c r="B47" s="13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62"/>
    </row>
    <row r="48" ht="15" customHeight="1"/>
  </sheetData>
  <mergeCells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80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>
      <c r="B11" s="12"/>
      <c r="R11" s="61"/>
    </row>
    <row r="12">
      <c r="B12" s="12"/>
      <c r="C12" s="44"/>
      <c r="D12" s="44"/>
      <c r="E12" s="264" t="s">
        <v>77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78</v>
      </c>
      <c r="P12" s="265"/>
      <c r="Q12" s="266"/>
      <c r="R12" s="61"/>
    </row>
    <row r="13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79</v>
      </c>
      <c r="F14" s="131" t="s">
        <v>80</v>
      </c>
      <c r="G14" s="132" t="s">
        <v>81</v>
      </c>
      <c r="H14" s="131" t="s">
        <v>82</v>
      </c>
      <c r="I14" s="131" t="s">
        <v>83</v>
      </c>
      <c r="J14" s="131" t="s">
        <v>84</v>
      </c>
      <c r="K14" s="133" t="s">
        <v>85</v>
      </c>
      <c r="L14" s="133" t="s">
        <v>86</v>
      </c>
      <c r="M14" s="133" t="s">
        <v>87</v>
      </c>
      <c r="N14" s="42"/>
      <c r="O14" s="152" t="s">
        <v>85</v>
      </c>
      <c r="P14" s="152" t="s">
        <v>86</v>
      </c>
      <c r="Q14" s="133" t="s">
        <v>87</v>
      </c>
      <c r="R14" s="61"/>
    </row>
    <row r="15" ht="15" customHeight="1">
      <c r="B15" s="12"/>
      <c r="C15" s="142" t="s">
        <v>88</v>
      </c>
      <c r="D15" s="143"/>
      <c r="E15" s="65">
        <v>1023</v>
      </c>
      <c r="F15" s="76"/>
      <c r="G15" s="66">
        <v>43615.41</v>
      </c>
      <c r="H15" s="66">
        <v>17798</v>
      </c>
      <c r="I15" s="66">
        <v>1060.69</v>
      </c>
      <c r="J15" s="66">
        <v>13270.3</v>
      </c>
      <c r="K15" s="66">
        <v>12.971945259042032</v>
      </c>
      <c r="L15" s="67">
        <v>0.027188662989511937</v>
      </c>
      <c r="M15" s="67">
        <v>0.73664308096610809</v>
      </c>
      <c r="N15" s="144"/>
      <c r="O15" s="66">
        <v>22.551906537955251</v>
      </c>
      <c r="P15" s="67">
        <v>0.02733644082434377</v>
      </c>
      <c r="Q15" s="67">
        <v>0.8184083512135526</v>
      </c>
      <c r="R15" s="61"/>
    </row>
    <row r="16" ht="15" customHeight="1">
      <c r="B16" s="12"/>
      <c r="C16" s="193"/>
      <c r="D16" s="194" t="s">
        <v>89</v>
      </c>
      <c r="E16" s="195">
        <v>1021</v>
      </c>
      <c r="F16" s="196"/>
      <c r="G16" s="197">
        <v>40915.41</v>
      </c>
      <c r="H16" s="197">
        <v>17318</v>
      </c>
      <c r="I16" s="197">
        <v>1060.69</v>
      </c>
      <c r="J16" s="197">
        <v>12870.3</v>
      </c>
      <c r="K16" s="197">
        <v>12.60558276199804</v>
      </c>
      <c r="L16" s="198">
        <v>0.026369128751717406</v>
      </c>
      <c r="M16" s="198">
        <v>0.76374622666618763</v>
      </c>
      <c r="N16" s="199"/>
      <c r="O16" s="197">
        <v>14.469898921832893</v>
      </c>
      <c r="P16" s="198">
        <v>0.017131880580306406</v>
      </c>
      <c r="Q16" s="198">
        <v>0.86238451763351875</v>
      </c>
      <c r="R16" s="61"/>
    </row>
    <row r="17" ht="15" customHeight="1">
      <c r="B17" s="12"/>
      <c r="C17" s="193"/>
      <c r="D17" s="194" t="s">
        <v>90</v>
      </c>
      <c r="E17" s="195">
        <v>0</v>
      </c>
      <c r="F17" s="196"/>
      <c r="G17" s="197">
        <v>0</v>
      </c>
      <c r="H17" s="197">
        <v>0</v>
      </c>
      <c r="I17" s="197">
        <v>0</v>
      </c>
      <c r="J17" s="197">
        <v>0</v>
      </c>
      <c r="K17" s="197"/>
      <c r="L17" s="198">
        <v>0</v>
      </c>
      <c r="M17" s="198">
        <v>0</v>
      </c>
      <c r="N17" s="199"/>
      <c r="O17" s="197">
        <v>2.3499999999999974</v>
      </c>
      <c r="P17" s="198">
        <v>3.499776209788792E-05</v>
      </c>
      <c r="Q17" s="198">
        <v>0.531542056074766</v>
      </c>
      <c r="R17" s="61"/>
    </row>
    <row r="18" ht="15" customHeight="1">
      <c r="B18" s="12"/>
      <c r="C18" s="193"/>
      <c r="D18" s="194" t="s">
        <v>91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710</v>
      </c>
      <c r="P18" s="198">
        <v>0.00018881771344605208</v>
      </c>
      <c r="Q18" s="198">
        <v>1</v>
      </c>
      <c r="R18" s="61"/>
    </row>
    <row r="19" ht="15" customHeight="1">
      <c r="B19" s="12"/>
      <c r="C19" s="193"/>
      <c r="D19" s="194" t="s">
        <v>92</v>
      </c>
      <c r="E19" s="195">
        <v>1</v>
      </c>
      <c r="F19" s="196"/>
      <c r="G19" s="197">
        <v>1350</v>
      </c>
      <c r="H19" s="197">
        <v>240</v>
      </c>
      <c r="I19" s="197">
        <v>0</v>
      </c>
      <c r="J19" s="197">
        <v>200</v>
      </c>
      <c r="K19" s="197">
        <v>200</v>
      </c>
      <c r="L19" s="198">
        <v>0.0004097671188972659</v>
      </c>
      <c r="M19" s="198">
        <v>0.32592592592592595</v>
      </c>
      <c r="N19" s="199"/>
      <c r="O19" s="197">
        <v>818.18181818181813</v>
      </c>
      <c r="P19" s="198">
        <v>0.0023934639732598149</v>
      </c>
      <c r="Q19" s="198">
        <v>0.75243845796562936</v>
      </c>
      <c r="R19" s="61"/>
    </row>
    <row r="20" ht="15" customHeight="1">
      <c r="B20" s="12"/>
      <c r="C20" s="193"/>
      <c r="D20" s="194" t="s">
        <v>93</v>
      </c>
      <c r="E20" s="195">
        <v>1</v>
      </c>
      <c r="F20" s="196"/>
      <c r="G20" s="197">
        <v>1350</v>
      </c>
      <c r="H20" s="197">
        <v>240</v>
      </c>
      <c r="I20" s="197">
        <v>0</v>
      </c>
      <c r="J20" s="197">
        <v>200</v>
      </c>
      <c r="K20" s="197">
        <v>200</v>
      </c>
      <c r="L20" s="198">
        <v>0.0004097671188972659</v>
      </c>
      <c r="M20" s="198">
        <v>0.32592592592592595</v>
      </c>
      <c r="N20" s="199"/>
      <c r="O20" s="197">
        <v>863.07692307692309</v>
      </c>
      <c r="P20" s="198">
        <v>0.0029838517533305694</v>
      </c>
      <c r="Q20" s="198">
        <v>0.82148962148962146</v>
      </c>
      <c r="R20" s="61"/>
    </row>
    <row r="21" ht="15" customHeight="1">
      <c r="B21" s="12"/>
      <c r="C21" s="193"/>
      <c r="D21" s="194" t="s">
        <v>94</v>
      </c>
      <c r="E21" s="195">
        <v>0</v>
      </c>
      <c r="F21" s="196"/>
      <c r="G21" s="197">
        <v>0</v>
      </c>
      <c r="H21" s="197">
        <v>0</v>
      </c>
      <c r="I21" s="197">
        <v>0</v>
      </c>
      <c r="J21" s="197">
        <v>0</v>
      </c>
      <c r="K21" s="197"/>
      <c r="L21" s="198">
        <v>0</v>
      </c>
      <c r="M21" s="198">
        <v>0</v>
      </c>
      <c r="N21" s="199"/>
      <c r="O21" s="197">
        <v>692.4</v>
      </c>
      <c r="P21" s="198">
        <v>0.0046034290419030444</v>
      </c>
      <c r="Q21" s="198">
        <v>0.64264345934185474</v>
      </c>
      <c r="R21" s="61"/>
    </row>
    <row r="22" ht="15" customHeight="1">
      <c r="B22" s="12"/>
      <c r="C22" s="142" t="s">
        <v>95</v>
      </c>
      <c r="D22" s="143"/>
      <c r="E22" s="65">
        <v>6</v>
      </c>
      <c r="F22" s="76"/>
      <c r="G22" s="66">
        <v>5436.34</v>
      </c>
      <c r="H22" s="66">
        <v>0</v>
      </c>
      <c r="I22" s="66">
        <v>0</v>
      </c>
      <c r="J22" s="66">
        <v>5436.34</v>
      </c>
      <c r="K22" s="66">
        <v>906.05666666666673</v>
      </c>
      <c r="L22" s="67">
        <v>0.011138166895729813</v>
      </c>
      <c r="M22" s="67">
        <v>1</v>
      </c>
      <c r="N22" s="144"/>
      <c r="O22" s="66">
        <v>126.90946428571429</v>
      </c>
      <c r="P22" s="67">
        <v>0.0037800402034398619</v>
      </c>
      <c r="Q22" s="67">
        <v>0.9894604440758682</v>
      </c>
      <c r="R22" s="61"/>
    </row>
    <row r="23" ht="15" customHeight="1">
      <c r="B23" s="12"/>
      <c r="C23" s="193"/>
      <c r="D23" s="194" t="s">
        <v>96</v>
      </c>
      <c r="E23" s="195">
        <v>0</v>
      </c>
      <c r="F23" s="196"/>
      <c r="G23" s="197">
        <v>0</v>
      </c>
      <c r="H23" s="197">
        <v>0</v>
      </c>
      <c r="I23" s="197">
        <v>0</v>
      </c>
      <c r="J23" s="197">
        <v>0</v>
      </c>
      <c r="K23" s="197"/>
      <c r="L23" s="198">
        <v>0</v>
      </c>
      <c r="M23" s="198">
        <v>0</v>
      </c>
      <c r="N23" s="199"/>
      <c r="O23" s="197">
        <v>7</v>
      </c>
      <c r="P23" s="198">
        <v>3.7231661806263787E-06</v>
      </c>
      <c r="Q23" s="198">
        <v>1</v>
      </c>
      <c r="R23" s="61"/>
    </row>
    <row r="24" ht="15" customHeight="1">
      <c r="B24" s="12"/>
      <c r="C24" s="193"/>
      <c r="D24" s="194" t="s">
        <v>97</v>
      </c>
      <c r="E24" s="195">
        <v>4</v>
      </c>
      <c r="F24" s="196"/>
      <c r="G24" s="197">
        <v>240</v>
      </c>
      <c r="H24" s="197">
        <v>0</v>
      </c>
      <c r="I24" s="197">
        <v>0</v>
      </c>
      <c r="J24" s="197">
        <v>240</v>
      </c>
      <c r="K24" s="197">
        <v>60</v>
      </c>
      <c r="L24" s="198">
        <v>0.00049172054267671906</v>
      </c>
      <c r="M24" s="198">
        <v>1</v>
      </c>
      <c r="N24" s="199"/>
      <c r="O24" s="197">
        <v>54.815533980582522</v>
      </c>
      <c r="P24" s="198">
        <v>0.001501499732558324</v>
      </c>
      <c r="Q24" s="198">
        <v>0.97378406347016211</v>
      </c>
      <c r="R24" s="61"/>
    </row>
    <row r="25" ht="15" customHeight="1">
      <c r="B25" s="12"/>
      <c r="C25" s="193"/>
      <c r="D25" s="194" t="s">
        <v>98</v>
      </c>
      <c r="E25" s="195">
        <v>0</v>
      </c>
      <c r="F25" s="196"/>
      <c r="G25" s="197">
        <v>0</v>
      </c>
      <c r="H25" s="197">
        <v>0</v>
      </c>
      <c r="I25" s="197">
        <v>0</v>
      </c>
      <c r="J25" s="197">
        <v>0</v>
      </c>
      <c r="K25" s="197"/>
      <c r="L25" s="198">
        <v>0</v>
      </c>
      <c r="M25" s="198">
        <v>0</v>
      </c>
      <c r="N25" s="199"/>
      <c r="O25" s="197">
        <v>-7.29</v>
      </c>
      <c r="P25" s="198">
        <v>-1.93870581834045E-06</v>
      </c>
      <c r="Q25" s="198">
        <v>1</v>
      </c>
      <c r="R25" s="61"/>
    </row>
    <row r="26" ht="15" customHeight="1">
      <c r="B26" s="12"/>
      <c r="C26" s="193"/>
      <c r="D26" s="194" t="s">
        <v>99</v>
      </c>
      <c r="E26" s="195">
        <v>2</v>
      </c>
      <c r="F26" s="196"/>
      <c r="G26" s="197">
        <v>5196.34</v>
      </c>
      <c r="H26" s="197">
        <v>0</v>
      </c>
      <c r="I26" s="197">
        <v>0</v>
      </c>
      <c r="J26" s="197">
        <v>5196.34</v>
      </c>
      <c r="K26" s="197">
        <v>2598.17</v>
      </c>
      <c r="L26" s="198">
        <v>0.010646446353053094</v>
      </c>
      <c r="M26" s="198">
        <v>1</v>
      </c>
      <c r="N26" s="199"/>
      <c r="O26" s="197">
        <v>1426.8583333333336</v>
      </c>
      <c r="P26" s="198">
        <v>0.0022767560105192521</v>
      </c>
      <c r="Q26" s="198">
        <v>1</v>
      </c>
      <c r="R26" s="61"/>
    </row>
    <row r="27" ht="15" customHeight="1">
      <c r="B27" s="12"/>
      <c r="C27" s="142" t="s">
        <v>100</v>
      </c>
      <c r="D27" s="143"/>
      <c r="E27" s="65">
        <v>9</v>
      </c>
      <c r="F27" s="76"/>
      <c r="G27" s="66">
        <v>1124.91</v>
      </c>
      <c r="H27" s="66">
        <v>479.19</v>
      </c>
      <c r="I27" s="66">
        <v>12.5</v>
      </c>
      <c r="J27" s="66">
        <v>316.72</v>
      </c>
      <c r="K27" s="66">
        <v>35.191111111111113</v>
      </c>
      <c r="L27" s="67">
        <v>0.00064890720948571035</v>
      </c>
      <c r="M27" s="67">
        <v>0.71864415819932248</v>
      </c>
      <c r="N27" s="144"/>
      <c r="O27" s="66">
        <v>43.244387755102039</v>
      </c>
      <c r="P27" s="67">
        <v>0.0011270422939418257</v>
      </c>
      <c r="Q27" s="67">
        <v>0.73116169777035944</v>
      </c>
      <c r="R27" s="61"/>
    </row>
    <row r="28" ht="15" customHeight="1">
      <c r="B28" s="12"/>
      <c r="C28" s="193"/>
      <c r="D28" s="194" t="s">
        <v>101</v>
      </c>
      <c r="E28" s="195">
        <v>9</v>
      </c>
      <c r="F28" s="196"/>
      <c r="G28" s="197">
        <v>1124.91</v>
      </c>
      <c r="H28" s="197">
        <v>479.19</v>
      </c>
      <c r="I28" s="197">
        <v>12.5</v>
      </c>
      <c r="J28" s="197">
        <v>316.72</v>
      </c>
      <c r="K28" s="197">
        <v>35.191111111111113</v>
      </c>
      <c r="L28" s="198">
        <v>0.00064890720948571035</v>
      </c>
      <c r="M28" s="198">
        <v>0.71864415819932248</v>
      </c>
      <c r="N28" s="199"/>
      <c r="O28" s="197">
        <v>43.244387755102039</v>
      </c>
      <c r="P28" s="198">
        <v>0.0011270422939418257</v>
      </c>
      <c r="Q28" s="198">
        <v>0.73116169777035944</v>
      </c>
      <c r="R28" s="61"/>
    </row>
    <row r="29" ht="15" customHeight="1">
      <c r="B29" s="12"/>
      <c r="C29" s="142" t="s">
        <v>102</v>
      </c>
      <c r="D29" s="143"/>
      <c r="E29" s="65">
        <v>1798</v>
      </c>
      <c r="F29" s="76"/>
      <c r="G29" s="66">
        <v>274451.25999999989</v>
      </c>
      <c r="H29" s="66">
        <v>70467.989999999932</v>
      </c>
      <c r="I29" s="66">
        <v>12444.810000000001</v>
      </c>
      <c r="J29" s="66">
        <v>109250.96999999997</v>
      </c>
      <c r="K29" s="66">
        <v>60.762497219132371</v>
      </c>
      <c r="L29" s="67">
        <v>0.22383727606815815</v>
      </c>
      <c r="M29" s="67">
        <v>0.70017448635506352</v>
      </c>
      <c r="N29" s="144"/>
      <c r="O29" s="66">
        <v>73.117336496980073</v>
      </c>
      <c r="P29" s="67">
        <v>0.2253658897018983</v>
      </c>
      <c r="Q29" s="67">
        <v>0.78084608407273215</v>
      </c>
      <c r="R29" s="61"/>
    </row>
    <row r="30" ht="15" customHeight="1">
      <c r="B30" s="12"/>
      <c r="C30" s="193"/>
      <c r="D30" s="194" t="s">
        <v>103</v>
      </c>
      <c r="E30" s="195">
        <v>579</v>
      </c>
      <c r="F30" s="196"/>
      <c r="G30" s="197">
        <v>12754.3</v>
      </c>
      <c r="H30" s="197">
        <v>8771.75999999994</v>
      </c>
      <c r="I30" s="197">
        <v>73.44</v>
      </c>
      <c r="J30" s="197">
        <v>3774.83999999999</v>
      </c>
      <c r="K30" s="197">
        <v>6.5195854922279795</v>
      </c>
      <c r="L30" s="198">
        <v>0.0077340265554907764</v>
      </c>
      <c r="M30" s="198">
        <v>0.989473354084505</v>
      </c>
      <c r="N30" s="199"/>
      <c r="O30" s="197">
        <v>6.7525749423520676</v>
      </c>
      <c r="P30" s="198">
        <v>0.0046726267447744219</v>
      </c>
      <c r="Q30" s="198">
        <v>0.99145323601774238</v>
      </c>
      <c r="R30" s="61"/>
    </row>
    <row r="31" ht="15" customHeight="1">
      <c r="B31" s="12"/>
      <c r="C31" s="193"/>
      <c r="D31" s="194" t="s">
        <v>104</v>
      </c>
      <c r="E31" s="195">
        <v>104</v>
      </c>
      <c r="F31" s="196"/>
      <c r="G31" s="197">
        <v>52463.25</v>
      </c>
      <c r="H31" s="197">
        <v>13686.95</v>
      </c>
      <c r="I31" s="197">
        <v>7130.6</v>
      </c>
      <c r="J31" s="197">
        <v>14700.3</v>
      </c>
      <c r="K31" s="197">
        <v>141.34903846153844</v>
      </c>
      <c r="L31" s="198">
        <v>0.030118497889627387</v>
      </c>
      <c r="M31" s="198">
        <v>0.67700437925595536</v>
      </c>
      <c r="N31" s="199"/>
      <c r="O31" s="197">
        <v>206.49341463414632</v>
      </c>
      <c r="P31" s="198">
        <v>0.02926966826958986</v>
      </c>
      <c r="Q31" s="198">
        <v>0.8122784449521202</v>
      </c>
      <c r="R31" s="61"/>
    </row>
    <row r="32" ht="15" customHeight="1">
      <c r="B32" s="12"/>
      <c r="C32" s="193"/>
      <c r="D32" s="194" t="s">
        <v>105</v>
      </c>
      <c r="E32" s="195">
        <v>28</v>
      </c>
      <c r="F32" s="196"/>
      <c r="G32" s="197">
        <v>2790.78</v>
      </c>
      <c r="H32" s="197">
        <v>284.68</v>
      </c>
      <c r="I32" s="197">
        <v>12.54</v>
      </c>
      <c r="J32" s="197">
        <v>899.28</v>
      </c>
      <c r="K32" s="197">
        <v>32.117142857142859</v>
      </c>
      <c r="L32" s="198">
        <v>0.0018424768734096662</v>
      </c>
      <c r="M32" s="198">
        <v>0.42873318570435504</v>
      </c>
      <c r="N32" s="199"/>
      <c r="O32" s="197">
        <v>62.125390070921988</v>
      </c>
      <c r="P32" s="198">
        <v>0.0046591063327298971</v>
      </c>
      <c r="Q32" s="198">
        <v>0.58262624820147357</v>
      </c>
      <c r="R32" s="61"/>
    </row>
    <row r="33" ht="15" customHeight="1">
      <c r="B33" s="12"/>
      <c r="C33" s="193"/>
      <c r="D33" s="194" t="s">
        <v>106</v>
      </c>
      <c r="E33" s="195">
        <v>481</v>
      </c>
      <c r="F33" s="196"/>
      <c r="G33" s="197">
        <v>91875.48</v>
      </c>
      <c r="H33" s="197">
        <v>20650.6</v>
      </c>
      <c r="I33" s="197">
        <v>379.5</v>
      </c>
      <c r="J33" s="197">
        <v>61116.12</v>
      </c>
      <c r="K33" s="197">
        <v>127.06054054054054</v>
      </c>
      <c r="L33" s="198">
        <v>0.12521688205289785</v>
      </c>
      <c r="M33" s="198">
        <v>0.894103845770384</v>
      </c>
      <c r="N33" s="199"/>
      <c r="O33" s="197">
        <v>85.589691005707365</v>
      </c>
      <c r="P33" s="198">
        <v>0.11565250363525262</v>
      </c>
      <c r="Q33" s="198">
        <v>0.83307906709382462</v>
      </c>
      <c r="R33" s="61"/>
    </row>
    <row r="34" ht="15" customHeight="1">
      <c r="B34" s="12"/>
      <c r="C34" s="193"/>
      <c r="D34" s="194" t="s">
        <v>107</v>
      </c>
      <c r="E34" s="195">
        <v>96</v>
      </c>
      <c r="F34" s="196"/>
      <c r="G34" s="197">
        <v>52742.5</v>
      </c>
      <c r="H34" s="197">
        <v>5073.08</v>
      </c>
      <c r="I34" s="197">
        <v>3136.69</v>
      </c>
      <c r="J34" s="197">
        <v>12759.56</v>
      </c>
      <c r="K34" s="197">
        <v>132.91208333333333</v>
      </c>
      <c r="L34" s="198">
        <v>0.026142240697983987</v>
      </c>
      <c r="M34" s="198">
        <v>0.3975793714746173</v>
      </c>
      <c r="N34" s="199"/>
      <c r="O34" s="197">
        <v>229.56749559082891</v>
      </c>
      <c r="P34" s="198">
        <v>0.034616076398072217</v>
      </c>
      <c r="Q34" s="198">
        <v>0.61452559588812938</v>
      </c>
      <c r="R34" s="61"/>
    </row>
    <row r="35" ht="15" customHeight="1">
      <c r="B35" s="12"/>
      <c r="C35" s="193"/>
      <c r="D35" s="194" t="s">
        <v>108</v>
      </c>
      <c r="E35" s="195">
        <v>65</v>
      </c>
      <c r="F35" s="196"/>
      <c r="G35" s="197">
        <v>36236</v>
      </c>
      <c r="H35" s="197">
        <v>5742.13</v>
      </c>
      <c r="I35" s="197">
        <v>1687.18</v>
      </c>
      <c r="J35" s="197">
        <v>8674.87</v>
      </c>
      <c r="K35" s="197">
        <v>133.45953846153847</v>
      </c>
      <c r="L35" s="198">
        <v>0.017773382433541627</v>
      </c>
      <c r="M35" s="198">
        <v>0.44442488133348051</v>
      </c>
      <c r="N35" s="199"/>
      <c r="O35" s="197">
        <v>222.93927601809952</v>
      </c>
      <c r="P35" s="198">
        <v>0.0262055477128094</v>
      </c>
      <c r="Q35" s="198">
        <v>0.70249591708110914</v>
      </c>
      <c r="R35" s="61"/>
    </row>
    <row r="36" ht="15" customHeight="1">
      <c r="B36" s="12"/>
      <c r="C36" s="193"/>
      <c r="D36" s="194" t="s">
        <v>109</v>
      </c>
      <c r="E36" s="195">
        <v>445</v>
      </c>
      <c r="F36" s="196"/>
      <c r="G36" s="197">
        <v>25588.9499999999</v>
      </c>
      <c r="H36" s="197">
        <v>16258.79</v>
      </c>
      <c r="I36" s="197">
        <v>24.86</v>
      </c>
      <c r="J36" s="197">
        <v>7325.99999999998</v>
      </c>
      <c r="K36" s="197">
        <v>16.462921348314605</v>
      </c>
      <c r="L36" s="198">
        <v>0.015009769565206849</v>
      </c>
      <c r="M36" s="198">
        <v>0.92265020643676277</v>
      </c>
      <c r="N36" s="199"/>
      <c r="O36" s="197">
        <v>18.5762025924148</v>
      </c>
      <c r="P36" s="198">
        <v>0.01029036060866991</v>
      </c>
      <c r="Q36" s="198">
        <v>0.90250571067858387</v>
      </c>
      <c r="R36" s="61"/>
    </row>
    <row r="37" ht="15" customHeight="1">
      <c r="B37" s="12"/>
      <c r="C37" s="142" t="s">
        <v>110</v>
      </c>
      <c r="D37" s="143"/>
      <c r="E37" s="65">
        <v>801</v>
      </c>
      <c r="F37" s="76"/>
      <c r="G37" s="66">
        <v>164529.12000000002</v>
      </c>
      <c r="H37" s="66">
        <v>102104.68000000001</v>
      </c>
      <c r="I37" s="66">
        <v>1670.65</v>
      </c>
      <c r="J37" s="66">
        <v>45039.49</v>
      </c>
      <c r="K37" s="66">
        <v>56.229076154806492</v>
      </c>
      <c r="L37" s="67">
        <v>0.092278510269511088</v>
      </c>
      <c r="M37" s="67">
        <v>0.90448924786080431</v>
      </c>
      <c r="N37" s="144"/>
      <c r="O37" s="66">
        <v>64.321971002598843</v>
      </c>
      <c r="P37" s="67">
        <v>0.12506060151052625</v>
      </c>
      <c r="Q37" s="67">
        <v>0.92379302777816708</v>
      </c>
      <c r="R37" s="61"/>
    </row>
    <row r="38" ht="15" customHeight="1">
      <c r="B38" s="12"/>
      <c r="C38" s="193"/>
      <c r="D38" s="194" t="s">
        <v>111</v>
      </c>
      <c r="E38" s="195">
        <v>85</v>
      </c>
      <c r="F38" s="196"/>
      <c r="G38" s="197">
        <v>7675.86</v>
      </c>
      <c r="H38" s="197">
        <v>0</v>
      </c>
      <c r="I38" s="197">
        <v>0</v>
      </c>
      <c r="J38" s="197">
        <v>6874.84</v>
      </c>
      <c r="K38" s="197">
        <v>80.8804705882353</v>
      </c>
      <c r="L38" s="198">
        <v>0.014085416898398397</v>
      </c>
      <c r="M38" s="198">
        <v>0.89564426657078167</v>
      </c>
      <c r="N38" s="199"/>
      <c r="O38" s="197">
        <v>90.76275309541154</v>
      </c>
      <c r="P38" s="198">
        <v>0.033140769139594614</v>
      </c>
      <c r="Q38" s="198">
        <v>0.83904105695964992</v>
      </c>
      <c r="R38" s="61"/>
    </row>
    <row r="39" ht="15" customHeight="1">
      <c r="B39" s="12"/>
      <c r="C39" s="193"/>
      <c r="D39" s="194" t="s">
        <v>112</v>
      </c>
      <c r="E39" s="195">
        <v>51</v>
      </c>
      <c r="F39" s="196"/>
      <c r="G39" s="197">
        <v>6962.12</v>
      </c>
      <c r="H39" s="197">
        <v>4897.52</v>
      </c>
      <c r="I39" s="197">
        <v>0</v>
      </c>
      <c r="J39" s="197">
        <v>2064.6</v>
      </c>
      <c r="K39" s="197">
        <v>40.482352941176465</v>
      </c>
      <c r="L39" s="198">
        <v>0.0042300259683764755</v>
      </c>
      <c r="M39" s="198">
        <v>1</v>
      </c>
      <c r="N39" s="199"/>
      <c r="O39" s="197">
        <v>46.513839891451831</v>
      </c>
      <c r="P39" s="198">
        <v>0.0091166244920141918</v>
      </c>
      <c r="Q39" s="198">
        <v>0.99943679613597092</v>
      </c>
      <c r="R39" s="61"/>
    </row>
    <row r="40" ht="15" customHeight="1">
      <c r="B40" s="12"/>
      <c r="C40" s="193"/>
      <c r="D40" s="194" t="s">
        <v>113</v>
      </c>
      <c r="E40" s="195">
        <v>3</v>
      </c>
      <c r="F40" s="196"/>
      <c r="G40" s="197">
        <v>72</v>
      </c>
      <c r="H40" s="197">
        <v>0</v>
      </c>
      <c r="I40" s="197">
        <v>0</v>
      </c>
      <c r="J40" s="197">
        <v>72</v>
      </c>
      <c r="K40" s="197">
        <v>24</v>
      </c>
      <c r="L40" s="198">
        <v>0.00014751616280301571</v>
      </c>
      <c r="M40" s="198">
        <v>1</v>
      </c>
      <c r="N40" s="199"/>
      <c r="O40" s="197">
        <v>23.77570093457944</v>
      </c>
      <c r="P40" s="198">
        <v>0.0013531049662162155</v>
      </c>
      <c r="Q40" s="198">
        <v>1</v>
      </c>
      <c r="R40" s="61"/>
    </row>
    <row r="41" ht="15" customHeight="1">
      <c r="B41" s="12"/>
      <c r="C41" s="193"/>
      <c r="D41" s="194" t="s">
        <v>114</v>
      </c>
      <c r="E41" s="195">
        <v>13</v>
      </c>
      <c r="F41" s="196"/>
      <c r="G41" s="197">
        <v>1434.47</v>
      </c>
      <c r="H41" s="197">
        <v>932.42</v>
      </c>
      <c r="I41" s="197">
        <v>0</v>
      </c>
      <c r="J41" s="197">
        <v>502.05</v>
      </c>
      <c r="K41" s="197">
        <v>38.619230769230768</v>
      </c>
      <c r="L41" s="198">
        <v>0.0010286179102118617</v>
      </c>
      <c r="M41" s="198">
        <v>1</v>
      </c>
      <c r="N41" s="199"/>
      <c r="O41" s="197">
        <v>34.640860000000018</v>
      </c>
      <c r="P41" s="198">
        <v>0.0046062028007076124</v>
      </c>
      <c r="Q41" s="198">
        <v>0.99969761765042153</v>
      </c>
      <c r="R41" s="61"/>
    </row>
    <row r="42" ht="15" customHeight="1">
      <c r="B42" s="12"/>
      <c r="C42" s="193"/>
      <c r="D42" s="194" t="s">
        <v>115</v>
      </c>
      <c r="E42" s="195">
        <v>24</v>
      </c>
      <c r="F42" s="196"/>
      <c r="G42" s="197">
        <v>1793.66</v>
      </c>
      <c r="H42" s="197">
        <v>1434.94</v>
      </c>
      <c r="I42" s="197">
        <v>0</v>
      </c>
      <c r="J42" s="197">
        <v>358.72</v>
      </c>
      <c r="K42" s="197">
        <v>14.946666666666667</v>
      </c>
      <c r="L42" s="198">
        <v>0.00073495830445413613</v>
      </c>
      <c r="M42" s="198">
        <v>1</v>
      </c>
      <c r="N42" s="199"/>
      <c r="O42" s="197">
        <v>94.310365111561879</v>
      </c>
      <c r="P42" s="198">
        <v>0.012364903485706095</v>
      </c>
      <c r="Q42" s="198">
        <v>0.99982943209325981</v>
      </c>
      <c r="R42" s="61"/>
    </row>
    <row r="43" ht="15" customHeight="1">
      <c r="B43" s="12"/>
      <c r="C43" s="193"/>
      <c r="D43" s="194" t="s">
        <v>116</v>
      </c>
      <c r="E43" s="195">
        <v>597</v>
      </c>
      <c r="F43" s="196"/>
      <c r="G43" s="197">
        <v>141842.98</v>
      </c>
      <c r="H43" s="197">
        <v>93450.94</v>
      </c>
      <c r="I43" s="197">
        <v>1670.65</v>
      </c>
      <c r="J43" s="197">
        <v>32133.52</v>
      </c>
      <c r="K43" s="197">
        <v>53.82499162479062</v>
      </c>
      <c r="L43" s="198">
        <v>0.065836299552138364</v>
      </c>
      <c r="M43" s="198">
        <v>0.89715479750918936</v>
      </c>
      <c r="N43" s="199"/>
      <c r="O43" s="197">
        <v>58.041021164021174</v>
      </c>
      <c r="P43" s="198">
        <v>0.058346019113463952</v>
      </c>
      <c r="Q43" s="198">
        <v>0.9042503296950225</v>
      </c>
      <c r="R43" s="61"/>
    </row>
    <row r="44" ht="15" customHeight="1">
      <c r="B44" s="12"/>
      <c r="C44" s="193"/>
      <c r="D44" s="194" t="s">
        <v>117</v>
      </c>
      <c r="E44" s="195">
        <v>15</v>
      </c>
      <c r="F44" s="196"/>
      <c r="G44" s="197">
        <v>3565.31</v>
      </c>
      <c r="H44" s="197">
        <v>1388.86</v>
      </c>
      <c r="I44" s="197">
        <v>0</v>
      </c>
      <c r="J44" s="197">
        <v>1851.04</v>
      </c>
      <c r="K44" s="197">
        <v>123.40266666666666</v>
      </c>
      <c r="L44" s="198">
        <v>0.003792476638817975</v>
      </c>
      <c r="M44" s="198">
        <v>0.908728834238818</v>
      </c>
      <c r="N44" s="199"/>
      <c r="O44" s="197">
        <v>67.941000000000031</v>
      </c>
      <c r="P44" s="198">
        <v>0.0030716041208035194</v>
      </c>
      <c r="Q44" s="198">
        <v>0.93400879016736493</v>
      </c>
      <c r="R44" s="61"/>
    </row>
    <row r="45" ht="15" customHeight="1">
      <c r="B45" s="12"/>
      <c r="C45" s="193"/>
      <c r="D45" s="194" t="s">
        <v>118</v>
      </c>
      <c r="E45" s="195">
        <v>5</v>
      </c>
      <c r="F45" s="196"/>
      <c r="G45" s="197">
        <v>1022.72</v>
      </c>
      <c r="H45" s="197">
        <v>0</v>
      </c>
      <c r="I45" s="197">
        <v>0</v>
      </c>
      <c r="J45" s="197">
        <v>1022.72</v>
      </c>
      <c r="K45" s="197">
        <v>204.544</v>
      </c>
      <c r="L45" s="198">
        <v>0.0020953851391930589</v>
      </c>
      <c r="M45" s="198">
        <v>1</v>
      </c>
      <c r="N45" s="199"/>
      <c r="O45" s="197">
        <v>341.08484848484852</v>
      </c>
      <c r="P45" s="198">
        <v>0.0029933724211353143</v>
      </c>
      <c r="Q45" s="198">
        <v>1</v>
      </c>
      <c r="R45" s="61"/>
    </row>
    <row r="46" ht="15" customHeight="1">
      <c r="B46" s="12"/>
      <c r="C46" s="193"/>
      <c r="D46" s="194" t="s">
        <v>119</v>
      </c>
      <c r="E46" s="195">
        <v>8</v>
      </c>
      <c r="F46" s="196"/>
      <c r="G46" s="197">
        <v>160</v>
      </c>
      <c r="H46" s="197">
        <v>0</v>
      </c>
      <c r="I46" s="197">
        <v>0</v>
      </c>
      <c r="J46" s="197">
        <v>160</v>
      </c>
      <c r="K46" s="197">
        <v>20</v>
      </c>
      <c r="L46" s="198">
        <v>0.00032781369511781269</v>
      </c>
      <c r="M46" s="198">
        <v>1</v>
      </c>
      <c r="N46" s="199"/>
      <c r="O46" s="197">
        <v>23.245454545454546</v>
      </c>
      <c r="P46" s="198">
        <v>6.8000970884726076E-05</v>
      </c>
      <c r="Q46" s="198">
        <v>0.9346785100705487</v>
      </c>
      <c r="R46" s="61"/>
    </row>
    <row r="47" ht="15" customHeight="1">
      <c r="B47" s="12"/>
      <c r="C47" s="142" t="s">
        <v>120</v>
      </c>
      <c r="D47" s="143"/>
      <c r="E47" s="65">
        <v>0</v>
      </c>
      <c r="F47" s="76"/>
      <c r="G47" s="66">
        <v>0</v>
      </c>
      <c r="H47" s="66">
        <v>0</v>
      </c>
      <c r="I47" s="66">
        <v>0</v>
      </c>
      <c r="J47" s="66">
        <v>0</v>
      </c>
      <c r="K47" s="66"/>
      <c r="L47" s="67">
        <v>0</v>
      </c>
      <c r="M47" s="67">
        <v>0</v>
      </c>
      <c r="N47" s="144"/>
      <c r="O47" s="66">
        <v>3180.0919999999996</v>
      </c>
      <c r="P47" s="67">
        <v>0.0042285753520287508</v>
      </c>
      <c r="Q47" s="67">
        <v>0.80032797397549671</v>
      </c>
      <c r="R47" s="61"/>
    </row>
    <row r="48" ht="15" customHeight="1">
      <c r="B48" s="12"/>
      <c r="C48" s="193"/>
      <c r="D48" s="194" t="s">
        <v>121</v>
      </c>
      <c r="E48" s="195">
        <v>0</v>
      </c>
      <c r="F48" s="196"/>
      <c r="G48" s="197">
        <v>0</v>
      </c>
      <c r="H48" s="197">
        <v>0</v>
      </c>
      <c r="I48" s="197">
        <v>0</v>
      </c>
      <c r="J48" s="197">
        <v>0</v>
      </c>
      <c r="K48" s="197"/>
      <c r="L48" s="198">
        <v>0</v>
      </c>
      <c r="M48" s="198">
        <v>0</v>
      </c>
      <c r="N48" s="199"/>
      <c r="O48" s="197">
        <v>3180.0919999999996</v>
      </c>
      <c r="P48" s="198">
        <v>0.0042285753520287508</v>
      </c>
      <c r="Q48" s="198">
        <v>0.80032797397549671</v>
      </c>
      <c r="R48" s="61"/>
    </row>
    <row r="49" ht="15" customHeight="1">
      <c r="B49" s="12"/>
      <c r="C49" s="142" t="s">
        <v>122</v>
      </c>
      <c r="D49" s="143"/>
      <c r="E49" s="65">
        <v>949</v>
      </c>
      <c r="F49" s="76"/>
      <c r="G49" s="66">
        <v>200748.59999999998</v>
      </c>
      <c r="H49" s="66">
        <v>807.69999999999936</v>
      </c>
      <c r="I49" s="66">
        <v>19307.18</v>
      </c>
      <c r="J49" s="66">
        <v>99652.600000000108</v>
      </c>
      <c r="K49" s="66">
        <v>105.00800842992625</v>
      </c>
      <c r="L49" s="67">
        <v>0.20417179396310842</v>
      </c>
      <c r="M49" s="67">
        <v>0.59660431006741765</v>
      </c>
      <c r="N49" s="144"/>
      <c r="O49" s="66">
        <v>131.49341528239216</v>
      </c>
      <c r="P49" s="67">
        <v>0.21051588980441879</v>
      </c>
      <c r="Q49" s="67">
        <v>0.74619350470167811</v>
      </c>
      <c r="R49" s="61"/>
    </row>
    <row r="50" ht="15" customHeight="1">
      <c r="B50" s="12"/>
      <c r="C50" s="193"/>
      <c r="D50" s="194" t="s">
        <v>123</v>
      </c>
      <c r="E50" s="195">
        <v>484</v>
      </c>
      <c r="F50" s="196"/>
      <c r="G50" s="197">
        <v>117733.85</v>
      </c>
      <c r="H50" s="197">
        <v>451.809999999999</v>
      </c>
      <c r="I50" s="197">
        <v>10322.2</v>
      </c>
      <c r="J50" s="197">
        <v>55268.7100000001</v>
      </c>
      <c r="K50" s="197">
        <v>114.19154958677686</v>
      </c>
      <c r="L50" s="198">
        <v>0.11323650030934254</v>
      </c>
      <c r="M50" s="198">
        <v>0.56094929368231816</v>
      </c>
      <c r="N50" s="199"/>
      <c r="O50" s="197">
        <v>164.2448388648393</v>
      </c>
      <c r="P50" s="198">
        <v>0.090809358166493812</v>
      </c>
      <c r="Q50" s="198">
        <v>0.74340268838307966</v>
      </c>
      <c r="R50" s="61"/>
    </row>
    <row r="51" ht="15" customHeight="1">
      <c r="B51" s="12"/>
      <c r="C51" s="193"/>
      <c r="D51" s="194" t="s">
        <v>124</v>
      </c>
      <c r="E51" s="195">
        <v>8</v>
      </c>
      <c r="F51" s="196"/>
      <c r="G51" s="197">
        <v>405</v>
      </c>
      <c r="H51" s="197">
        <v>72.9</v>
      </c>
      <c r="I51" s="197">
        <v>0</v>
      </c>
      <c r="J51" s="197">
        <v>332.1</v>
      </c>
      <c r="K51" s="197">
        <v>41.5125</v>
      </c>
      <c r="L51" s="198">
        <v>0.00068041830092891006</v>
      </c>
      <c r="M51" s="198">
        <v>1</v>
      </c>
      <c r="N51" s="199"/>
      <c r="O51" s="197">
        <v>45.02264150943396</v>
      </c>
      <c r="P51" s="198">
        <v>0.00063458708144361893</v>
      </c>
      <c r="Q51" s="198">
        <v>0.99999999999999989</v>
      </c>
      <c r="R51" s="61"/>
    </row>
    <row r="52" ht="15" customHeight="1">
      <c r="B52" s="12"/>
      <c r="C52" s="193"/>
      <c r="D52" s="194" t="s">
        <v>125</v>
      </c>
      <c r="E52" s="195">
        <v>0</v>
      </c>
      <c r="F52" s="196"/>
      <c r="G52" s="197">
        <v>0</v>
      </c>
      <c r="H52" s="197">
        <v>0</v>
      </c>
      <c r="I52" s="197">
        <v>0</v>
      </c>
      <c r="J52" s="197">
        <v>0</v>
      </c>
      <c r="K52" s="197"/>
      <c r="L52" s="198">
        <v>0</v>
      </c>
      <c r="M52" s="198">
        <v>0</v>
      </c>
      <c r="N52" s="199"/>
      <c r="O52" s="197">
        <v>438.5200000000001</v>
      </c>
      <c r="P52" s="198">
        <v>0.0023324040478975429</v>
      </c>
      <c r="Q52" s="198">
        <v>0.47777867332957208</v>
      </c>
      <c r="R52" s="61"/>
    </row>
    <row r="53" ht="15" customHeight="1">
      <c r="B53" s="12"/>
      <c r="C53" s="193"/>
      <c r="D53" s="194" t="s">
        <v>126</v>
      </c>
      <c r="E53" s="195">
        <v>225</v>
      </c>
      <c r="F53" s="196"/>
      <c r="G53" s="197">
        <v>14770.58</v>
      </c>
      <c r="H53" s="197">
        <v>213.21</v>
      </c>
      <c r="I53" s="197">
        <v>1343.95</v>
      </c>
      <c r="J53" s="197">
        <v>9694.52</v>
      </c>
      <c r="K53" s="197">
        <v>43.086755555555555</v>
      </c>
      <c r="L53" s="198">
        <v>0.01986247764745961</v>
      </c>
      <c r="M53" s="198">
        <v>0.76176290978417915</v>
      </c>
      <c r="N53" s="199"/>
      <c r="O53" s="197">
        <v>62.825277008310238</v>
      </c>
      <c r="P53" s="198">
        <v>0.02412603706832649</v>
      </c>
      <c r="Q53" s="198">
        <v>0.82934846510792881</v>
      </c>
      <c r="R53" s="61"/>
    </row>
    <row r="54" ht="15" customHeight="1">
      <c r="B54" s="12"/>
      <c r="C54" s="193"/>
      <c r="D54" s="194" t="s">
        <v>127</v>
      </c>
      <c r="E54" s="195">
        <v>0</v>
      </c>
      <c r="F54" s="196"/>
      <c r="G54" s="197">
        <v>0</v>
      </c>
      <c r="H54" s="197">
        <v>0</v>
      </c>
      <c r="I54" s="197">
        <v>0</v>
      </c>
      <c r="J54" s="197">
        <v>0</v>
      </c>
      <c r="K54" s="197"/>
      <c r="L54" s="198">
        <v>0</v>
      </c>
      <c r="M54" s="198">
        <v>0</v>
      </c>
      <c r="N54" s="199"/>
      <c r="O54" s="197">
        <v>127.90041666666667</v>
      </c>
      <c r="P54" s="198">
        <v>0.00081633343855089561</v>
      </c>
      <c r="Q54" s="198">
        <v>0.74722597446849948</v>
      </c>
      <c r="R54" s="61"/>
    </row>
    <row r="55" ht="15" customHeight="1">
      <c r="B55" s="12"/>
      <c r="C55" s="193"/>
      <c r="D55" s="194" t="s">
        <v>128</v>
      </c>
      <c r="E55" s="195">
        <v>3</v>
      </c>
      <c r="F55" s="196"/>
      <c r="G55" s="197">
        <v>418.25</v>
      </c>
      <c r="H55" s="197">
        <v>0.09</v>
      </c>
      <c r="I55" s="197">
        <v>0</v>
      </c>
      <c r="J55" s="197">
        <v>356.91</v>
      </c>
      <c r="K55" s="197">
        <v>118.97000000000001</v>
      </c>
      <c r="L55" s="198">
        <v>0.0007312499120281159</v>
      </c>
      <c r="M55" s="198">
        <v>0.85355648535564854</v>
      </c>
      <c r="N55" s="199"/>
      <c r="O55" s="197">
        <v>129.52477272727273</v>
      </c>
      <c r="P55" s="198">
        <v>0.0015156185105961422</v>
      </c>
      <c r="Q55" s="198">
        <v>0.74538060711460385</v>
      </c>
      <c r="R55" s="61"/>
    </row>
    <row r="56" ht="15" customHeight="1">
      <c r="B56" s="12"/>
      <c r="C56" s="193"/>
      <c r="D56" s="194" t="s">
        <v>129</v>
      </c>
      <c r="E56" s="195">
        <v>112</v>
      </c>
      <c r="F56" s="196"/>
      <c r="G56" s="197">
        <v>44640.17</v>
      </c>
      <c r="H56" s="197">
        <v>44.5800000000002</v>
      </c>
      <c r="I56" s="197">
        <v>5469.96</v>
      </c>
      <c r="J56" s="197">
        <v>22025.97</v>
      </c>
      <c r="K56" s="197">
        <v>196.66044642857145</v>
      </c>
      <c r="L56" s="198">
        <v>0.045127591339088058</v>
      </c>
      <c r="M56" s="198">
        <v>0.61694455912690294</v>
      </c>
      <c r="N56" s="199"/>
      <c r="O56" s="197">
        <v>193.28869767441876</v>
      </c>
      <c r="P56" s="198">
        <v>0.055258527710686851</v>
      </c>
      <c r="Q56" s="198">
        <v>0.73164031445120559</v>
      </c>
      <c r="R56" s="61"/>
    </row>
    <row r="57" ht="15" customHeight="1">
      <c r="B57" s="12"/>
      <c r="C57" s="193"/>
      <c r="D57" s="194" t="s">
        <v>130</v>
      </c>
      <c r="E57" s="195">
        <v>115</v>
      </c>
      <c r="F57" s="196"/>
      <c r="G57" s="197">
        <v>22055.95</v>
      </c>
      <c r="H57" s="197">
        <v>24.9900000000001</v>
      </c>
      <c r="I57" s="197">
        <v>1955.11</v>
      </c>
      <c r="J57" s="197">
        <v>11612.05</v>
      </c>
      <c r="K57" s="197">
        <v>100.97434782608696</v>
      </c>
      <c r="L57" s="198">
        <v>0.023791181364954981</v>
      </c>
      <c r="M57" s="198">
        <v>0.61625774450885129</v>
      </c>
      <c r="N57" s="199"/>
      <c r="O57" s="197">
        <v>101.99027429467085</v>
      </c>
      <c r="P57" s="198">
        <v>0.034609380017755924</v>
      </c>
      <c r="Q57" s="198">
        <v>0.75842431131908894</v>
      </c>
      <c r="R57" s="61"/>
    </row>
    <row r="58" ht="15" customHeight="1">
      <c r="B58" s="12"/>
      <c r="C58" s="193"/>
      <c r="D58" s="194" t="s">
        <v>131</v>
      </c>
      <c r="E58" s="195">
        <v>2</v>
      </c>
      <c r="F58" s="196"/>
      <c r="G58" s="197">
        <v>724.8</v>
      </c>
      <c r="H58" s="197">
        <v>0.12</v>
      </c>
      <c r="I58" s="197">
        <v>215.96</v>
      </c>
      <c r="J58" s="197">
        <v>362.34</v>
      </c>
      <c r="K58" s="197">
        <v>181.17</v>
      </c>
      <c r="L58" s="198">
        <v>0.00074237508930617658</v>
      </c>
      <c r="M58" s="198">
        <v>0.79804083885209709</v>
      </c>
      <c r="N58" s="199"/>
      <c r="O58" s="197">
        <v>373.1125</v>
      </c>
      <c r="P58" s="198">
        <v>0.00039690281187684568</v>
      </c>
      <c r="Q58" s="198">
        <v>0.74877082584727572</v>
      </c>
      <c r="R58" s="61"/>
    </row>
    <row r="59" ht="15" customHeight="1">
      <c r="B59" s="12"/>
      <c r="C59" s="193"/>
      <c r="D59" s="194" t="s">
        <v>132</v>
      </c>
      <c r="E59" s="195">
        <v>0</v>
      </c>
      <c r="F59" s="196"/>
      <c r="G59" s="197">
        <v>0</v>
      </c>
      <c r="H59" s="197">
        <v>0</v>
      </c>
      <c r="I59" s="197">
        <v>0</v>
      </c>
      <c r="J59" s="197">
        <v>0</v>
      </c>
      <c r="K59" s="197"/>
      <c r="L59" s="198">
        <v>0</v>
      </c>
      <c r="M59" s="198">
        <v>0</v>
      </c>
      <c r="N59" s="199"/>
      <c r="O59" s="197">
        <v>62.95</v>
      </c>
      <c r="P59" s="198">
        <v>1.6740950790745041E-05</v>
      </c>
      <c r="Q59" s="198">
        <v>1</v>
      </c>
      <c r="R59" s="61"/>
    </row>
    <row r="60" ht="15" customHeight="1">
      <c r="B60" s="12"/>
      <c r="C60" s="142" t="s">
        <v>133</v>
      </c>
      <c r="D60" s="143"/>
      <c r="E60" s="65">
        <v>319</v>
      </c>
      <c r="F60" s="76"/>
      <c r="G60" s="66">
        <v>16573.13</v>
      </c>
      <c r="H60" s="66">
        <v>0</v>
      </c>
      <c r="I60" s="66">
        <v>0</v>
      </c>
      <c r="J60" s="66">
        <v>13582.13</v>
      </c>
      <c r="K60" s="66">
        <v>42.57721003134796</v>
      </c>
      <c r="L60" s="67">
        <v>0.02782755139294061</v>
      </c>
      <c r="M60" s="67">
        <v>0.81952715027276068</v>
      </c>
      <c r="N60" s="144"/>
      <c r="O60" s="66">
        <v>41.004826883910383</v>
      </c>
      <c r="P60" s="67">
        <v>0.032125663836873306</v>
      </c>
      <c r="Q60" s="67">
        <v>0.765920660647314</v>
      </c>
      <c r="R60" s="61"/>
    </row>
    <row r="61" ht="15" customHeight="1">
      <c r="B61" s="12"/>
      <c r="C61" s="193"/>
      <c r="D61" s="194" t="s">
        <v>134</v>
      </c>
      <c r="E61" s="195">
        <v>317</v>
      </c>
      <c r="F61" s="196"/>
      <c r="G61" s="197">
        <v>16506</v>
      </c>
      <c r="H61" s="197">
        <v>0</v>
      </c>
      <c r="I61" s="197">
        <v>0</v>
      </c>
      <c r="J61" s="197">
        <v>13545</v>
      </c>
      <c r="K61" s="197">
        <v>42.728706624605678</v>
      </c>
      <c r="L61" s="198">
        <v>0.027751478127317333</v>
      </c>
      <c r="M61" s="198">
        <v>0.82061068702290074</v>
      </c>
      <c r="N61" s="199"/>
      <c r="O61" s="197">
        <v>41.1792152159013</v>
      </c>
      <c r="P61" s="198">
        <v>0.031955656090852665</v>
      </c>
      <c r="Q61" s="198">
        <v>0.766606483631192</v>
      </c>
      <c r="R61" s="61"/>
    </row>
    <row r="62" ht="15" customHeight="1">
      <c r="B62" s="12"/>
      <c r="C62" s="193"/>
      <c r="D62" s="194" t="s">
        <v>135</v>
      </c>
      <c r="E62" s="195">
        <v>2</v>
      </c>
      <c r="F62" s="196"/>
      <c r="G62" s="197">
        <v>67.13</v>
      </c>
      <c r="H62" s="197">
        <v>0</v>
      </c>
      <c r="I62" s="197">
        <v>0</v>
      </c>
      <c r="J62" s="197">
        <v>37.13</v>
      </c>
      <c r="K62" s="197">
        <v>18.565</v>
      </c>
      <c r="L62" s="198">
        <v>7.6073265623277417E-05</v>
      </c>
      <c r="M62" s="198">
        <v>0.55310591389840613</v>
      </c>
      <c r="N62" s="199"/>
      <c r="O62" s="197">
        <v>22.831071428571427</v>
      </c>
      <c r="P62" s="198">
        <v>0.00017000774602064466</v>
      </c>
      <c r="Q62" s="198">
        <v>0.66136058338130854</v>
      </c>
      <c r="R62" s="61"/>
    </row>
    <row r="63" ht="15" customHeight="1">
      <c r="B63" s="12"/>
      <c r="C63" s="142" t="s">
        <v>136</v>
      </c>
      <c r="D63" s="143"/>
      <c r="E63" s="65">
        <v>57096</v>
      </c>
      <c r="F63" s="76"/>
      <c r="G63" s="66">
        <v>595175.54999999644</v>
      </c>
      <c r="H63" s="66">
        <v>330616.050000023</v>
      </c>
      <c r="I63" s="66">
        <v>11053.979999999998</v>
      </c>
      <c r="J63" s="66">
        <v>201533.56000000378</v>
      </c>
      <c r="K63" s="66">
        <v>3.5297316799775817</v>
      </c>
      <c r="L63" s="67">
        <v>0.41290913121154632</v>
      </c>
      <c r="M63" s="67">
        <v>0.912677931746356</v>
      </c>
      <c r="N63" s="144"/>
      <c r="O63" s="66">
        <v>4.2845221881843516</v>
      </c>
      <c r="P63" s="67">
        <v>0.37045985647252905</v>
      </c>
      <c r="Q63" s="67">
        <v>0.93212435014934381</v>
      </c>
      <c r="R63" s="61"/>
    </row>
    <row r="64" ht="15" customHeight="1">
      <c r="B64" s="12"/>
      <c r="C64" s="193"/>
      <c r="D64" s="194" t="s">
        <v>137</v>
      </c>
      <c r="E64" s="195">
        <v>2079</v>
      </c>
      <c r="F64" s="196"/>
      <c r="G64" s="197">
        <v>49491.7199999996</v>
      </c>
      <c r="H64" s="197">
        <v>30086.3900000001</v>
      </c>
      <c r="I64" s="197">
        <v>0</v>
      </c>
      <c r="J64" s="197">
        <v>19405.3300000001</v>
      </c>
      <c r="K64" s="197">
        <v>9.3339730639730654</v>
      </c>
      <c r="L64" s="198">
        <v>0.03975833082675341</v>
      </c>
      <c r="M64" s="198">
        <v>1</v>
      </c>
      <c r="N64" s="199"/>
      <c r="O64" s="197">
        <v>9.2234805394452088</v>
      </c>
      <c r="P64" s="198">
        <v>0.035103401619454508</v>
      </c>
      <c r="Q64" s="198">
        <v>0.99929611270573637</v>
      </c>
      <c r="R64" s="61"/>
    </row>
    <row r="65" ht="15" customHeight="1">
      <c r="B65" s="12"/>
      <c r="C65" s="193"/>
      <c r="D65" s="194" t="s">
        <v>89</v>
      </c>
      <c r="E65" s="195">
        <v>60</v>
      </c>
      <c r="F65" s="196"/>
      <c r="G65" s="197">
        <v>3191.87</v>
      </c>
      <c r="H65" s="197">
        <v>1349.25</v>
      </c>
      <c r="I65" s="197">
        <v>0</v>
      </c>
      <c r="J65" s="197">
        <v>1126.3</v>
      </c>
      <c r="K65" s="197">
        <v>18.771666666666665</v>
      </c>
      <c r="L65" s="198">
        <v>0.0023076035300699529</v>
      </c>
      <c r="M65" s="198">
        <v>0.77557983251197582</v>
      </c>
      <c r="N65" s="199"/>
      <c r="O65" s="197">
        <v>20.847408805031439</v>
      </c>
      <c r="P65" s="198">
        <v>0.0088152288708836565</v>
      </c>
      <c r="Q65" s="198">
        <v>0.8398220230946104</v>
      </c>
      <c r="R65" s="61"/>
    </row>
    <row r="66" ht="15" customHeight="1">
      <c r="B66" s="12"/>
      <c r="C66" s="193"/>
      <c r="D66" s="194" t="s">
        <v>138</v>
      </c>
      <c r="E66" s="195">
        <v>5742</v>
      </c>
      <c r="F66" s="196"/>
      <c r="G66" s="197">
        <v>83204.0299999998</v>
      </c>
      <c r="H66" s="197">
        <v>47716.6000000001</v>
      </c>
      <c r="I66" s="197">
        <v>-8.44</v>
      </c>
      <c r="J66" s="197">
        <v>31660.8100000004</v>
      </c>
      <c r="K66" s="197">
        <v>5.5138993382096837</v>
      </c>
      <c r="L66" s="198">
        <v>0.064867794478268723</v>
      </c>
      <c r="M66" s="198">
        <v>0.95390776143895917</v>
      </c>
      <c r="N66" s="199"/>
      <c r="O66" s="197">
        <v>6.8176008703594055</v>
      </c>
      <c r="P66" s="198">
        <v>0.067493559181799209</v>
      </c>
      <c r="Q66" s="198">
        <v>0.94877191246507853</v>
      </c>
      <c r="R66" s="61"/>
    </row>
    <row r="67" ht="15" customHeight="1">
      <c r="B67" s="12"/>
      <c r="C67" s="193"/>
      <c r="D67" s="194" t="s">
        <v>139</v>
      </c>
      <c r="E67" s="195">
        <v>9887</v>
      </c>
      <c r="F67" s="196"/>
      <c r="G67" s="197">
        <v>272733.06</v>
      </c>
      <c r="H67" s="197">
        <v>144597.680000003</v>
      </c>
      <c r="I67" s="197">
        <v>11178.63</v>
      </c>
      <c r="J67" s="197">
        <v>79834.9799999995</v>
      </c>
      <c r="K67" s="197">
        <v>8.0747425912814812</v>
      </c>
      <c r="L67" s="198">
        <v>0.16356874870910421</v>
      </c>
      <c r="M67" s="198">
        <v>0.863889731593229</v>
      </c>
      <c r="N67" s="199"/>
      <c r="O67" s="197">
        <v>10.502637254544746</v>
      </c>
      <c r="P67" s="198">
        <v>0.15333428559513604</v>
      </c>
      <c r="Q67" s="198">
        <v>0.89677471905292239</v>
      </c>
      <c r="R67" s="61"/>
    </row>
    <row r="68" ht="15" customHeight="1">
      <c r="B68" s="12"/>
      <c r="C68" s="193"/>
      <c r="D68" s="194" t="s">
        <v>140</v>
      </c>
      <c r="E68" s="195">
        <v>1598</v>
      </c>
      <c r="F68" s="196"/>
      <c r="G68" s="197">
        <v>60697.0100000001</v>
      </c>
      <c r="H68" s="197">
        <v>34789.8899999999</v>
      </c>
      <c r="I68" s="197">
        <v>53.72</v>
      </c>
      <c r="J68" s="197">
        <v>15686.55</v>
      </c>
      <c r="K68" s="197">
        <v>9.8163642052565709</v>
      </c>
      <c r="L68" s="198">
        <v>0.032139161994689532</v>
      </c>
      <c r="M68" s="198">
        <v>0.83249833888028424</v>
      </c>
      <c r="N68" s="199"/>
      <c r="O68" s="197">
        <v>12.048909998613269</v>
      </c>
      <c r="P68" s="198">
        <v>0.023106152815871996</v>
      </c>
      <c r="Q68" s="198">
        <v>0.87311641590906175</v>
      </c>
      <c r="R68" s="61"/>
    </row>
    <row r="69" ht="15" customHeight="1">
      <c r="B69" s="12"/>
      <c r="C69" s="193"/>
      <c r="D69" s="194" t="s">
        <v>141</v>
      </c>
      <c r="E69" s="195">
        <v>37700</v>
      </c>
      <c r="F69" s="196"/>
      <c r="G69" s="197">
        <v>125267.399999997</v>
      </c>
      <c r="H69" s="197">
        <v>71721.9600000199</v>
      </c>
      <c r="I69" s="197">
        <v>-169.93</v>
      </c>
      <c r="J69" s="197">
        <v>53583.4100000038</v>
      </c>
      <c r="K69" s="197">
        <v>1.4213106100795756</v>
      </c>
      <c r="L69" s="198">
        <v>0.10978359768195474</v>
      </c>
      <c r="M69" s="198">
        <v>0.99894657348999027</v>
      </c>
      <c r="N69" s="199"/>
      <c r="O69" s="197">
        <v>1.4762485818611941</v>
      </c>
      <c r="P69" s="198">
        <v>0.082359196377239319</v>
      </c>
      <c r="Q69" s="198">
        <v>0.99811187508445953</v>
      </c>
      <c r="R69" s="61"/>
    </row>
    <row r="70" ht="15" customHeight="1">
      <c r="B70" s="12"/>
      <c r="C70" s="193"/>
      <c r="D70" s="194" t="s">
        <v>142</v>
      </c>
      <c r="E70" s="195">
        <v>30</v>
      </c>
      <c r="F70" s="196"/>
      <c r="G70" s="197">
        <v>590.46</v>
      </c>
      <c r="H70" s="197">
        <v>354.28</v>
      </c>
      <c r="I70" s="197">
        <v>0</v>
      </c>
      <c r="J70" s="197">
        <v>236.18</v>
      </c>
      <c r="K70" s="197">
        <v>7.8726666666666665</v>
      </c>
      <c r="L70" s="198">
        <v>0.0004838939907057813</v>
      </c>
      <c r="M70" s="198">
        <v>1</v>
      </c>
      <c r="N70" s="199"/>
      <c r="O70" s="197">
        <v>8.4787272727272711</v>
      </c>
      <c r="P70" s="198">
        <v>0.00024803201214449984</v>
      </c>
      <c r="Q70" s="198">
        <v>0.99999999999999978</v>
      </c>
      <c r="R70" s="61"/>
    </row>
    <row r="71" ht="15" customHeight="1">
      <c r="B71" s="12"/>
      <c r="C71" s="145" t="s">
        <v>51</v>
      </c>
      <c r="D71" s="146"/>
      <c r="E71" s="134">
        <v>62001</v>
      </c>
      <c r="F71" s="135"/>
      <c r="G71" s="136">
        <v>1301654.3199999963</v>
      </c>
      <c r="H71" s="136">
        <v>522273.61000002292</v>
      </c>
      <c r="I71" s="136">
        <v>45549.81</v>
      </c>
      <c r="J71" s="136">
        <v>488082.11000000389</v>
      </c>
      <c r="K71" s="136">
        <v>7.8721651263689925</v>
      </c>
      <c r="L71" s="137">
        <v>0.999999999999992</v>
      </c>
      <c r="M71" s="137">
        <v>0.81120272393059767</v>
      </c>
      <c r="N71" s="144"/>
      <c r="O71" s="136">
        <v>10.510276016860093</v>
      </c>
      <c r="P71" s="137">
        <v>1</v>
      </c>
      <c r="Q71" s="137">
        <v>0.86683026342693137</v>
      </c>
      <c r="R71" s="61"/>
    </row>
    <row r="72" ht="15" customHeight="1">
      <c r="B72" s="12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23"/>
      <c r="Q72" s="23"/>
      <c r="R72" s="61"/>
    </row>
    <row r="73" ht="15" customHeight="1">
      <c r="B73" s="12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23"/>
      <c r="Q73" s="23"/>
      <c r="R73" s="61"/>
    </row>
    <row r="74" ht="15" customHeight="1">
      <c r="B74" s="12"/>
      <c r="C74" s="146" t="s">
        <v>143</v>
      </c>
      <c r="D74" s="146"/>
      <c r="E74" s="4"/>
      <c r="F74" s="4"/>
      <c r="G74" s="4"/>
      <c r="H74" s="176">
        <v>0.4946</v>
      </c>
      <c r="I74" s="176">
        <v>0.0431</v>
      </c>
      <c r="J74" s="176">
        <v>0.46230000000000004</v>
      </c>
      <c r="K74" s="4"/>
      <c r="L74" s="4"/>
      <c r="M74" s="4"/>
      <c r="N74" s="4"/>
      <c r="O74" s="4"/>
      <c r="P74" s="23"/>
      <c r="Q74" s="23"/>
      <c r="R74" s="61"/>
    </row>
    <row r="75" ht="15" customHeight="1">
      <c r="B75" s="12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23"/>
      <c r="Q75" s="23"/>
      <c r="R75" s="61"/>
    </row>
    <row r="76" ht="15" customHeight="1">
      <c r="B76" s="12"/>
      <c r="C76" s="146" t="s">
        <v>144</v>
      </c>
      <c r="D76" s="146"/>
      <c r="E76" s="4"/>
      <c r="F76" s="4"/>
      <c r="G76" s="136"/>
      <c r="H76" s="136"/>
      <c r="I76" s="136"/>
      <c r="J76" s="136"/>
      <c r="K76" s="4"/>
      <c r="L76" s="4"/>
      <c r="M76" s="4"/>
      <c r="N76" s="4"/>
      <c r="O76" s="4"/>
      <c r="P76" s="23"/>
      <c r="Q76" s="23"/>
      <c r="R76" s="61"/>
    </row>
    <row r="77" ht="15" customHeight="1">
      <c r="B77" s="12"/>
      <c r="C77" s="146" t="s">
        <v>145</v>
      </c>
      <c r="D77" s="146"/>
      <c r="E77" s="4"/>
      <c r="F77" s="4"/>
      <c r="G77" s="136"/>
      <c r="H77" s="136"/>
      <c r="I77" s="136"/>
      <c r="J77" s="136"/>
      <c r="K77" s="4"/>
      <c r="L77" s="4"/>
      <c r="M77" s="4"/>
      <c r="N77" s="4"/>
      <c r="O77" s="4"/>
      <c r="P77" s="23"/>
      <c r="Q77" s="23"/>
      <c r="R77" s="61"/>
    </row>
    <row r="78" ht="15" customHeight="1">
      <c r="B78" s="12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23"/>
      <c r="Q78" s="23"/>
      <c r="R78" s="61"/>
    </row>
    <row r="79" ht="15" customHeight="1">
      <c r="B79" s="12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23"/>
      <c r="Q79" s="23"/>
      <c r="R79" s="61"/>
    </row>
    <row r="80" ht="12" customHeight="1">
      <c r="B80" s="13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8"/>
      <c r="Q80" s="148"/>
      <c r="R80" s="62"/>
    </row>
  </sheetData>
  <mergeCells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zoomScale="85" zoomScaleNormal="85" workbookViewId="0">
      <selection activeCell="U8" sqref="U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4.285156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8.5703125" customWidth="1"/>
    <col min="11" max="11" width="18.5703125" customWidth="1"/>
    <col min="12" max="12" width="4.285156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4.28515625" customWidth="1"/>
    <col min="18" max="18" width="21.42578125" customWidth="1"/>
    <col min="19" max="19" width="4.28515625" customWidth="1"/>
    <col min="20" max="20" width="2.85546875" customWidth="1"/>
    <col min="21" max="27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H4" s="43"/>
      <c r="S4" s="61"/>
    </row>
    <row r="5">
      <c r="B5" s="12"/>
      <c r="S5" s="61"/>
    </row>
    <row r="6">
      <c r="B6" s="12"/>
      <c r="S6" s="61"/>
    </row>
    <row r="7">
      <c r="B7" s="12"/>
      <c r="S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50"/>
      <c r="S8" s="61"/>
    </row>
    <row r="9" ht="11.25" customHeight="1">
      <c r="B9" s="12"/>
      <c r="S9" s="61"/>
    </row>
    <row r="10" ht="7.5" customHeight="1">
      <c r="B10" s="12"/>
      <c r="S10" s="61"/>
    </row>
    <row r="11">
      <c r="B11" s="12"/>
      <c r="D11" s="267" t="s">
        <v>146</v>
      </c>
      <c r="E11" s="267"/>
      <c r="F11" s="267"/>
      <c r="G11" s="267"/>
      <c r="H11" s="267"/>
      <c r="I11" s="267"/>
      <c r="J11" s="267"/>
      <c r="K11" s="267"/>
      <c r="L11" s="267"/>
      <c r="M11" s="267"/>
      <c r="N11" s="267"/>
      <c r="O11" s="267"/>
      <c r="P11" s="267"/>
      <c r="Q11" s="267"/>
      <c r="S11" s="61"/>
    </row>
    <row r="12">
      <c r="B12" s="12"/>
      <c r="S12" s="61"/>
      <c r="AD12" s="71"/>
    </row>
    <row r="13" s="69" customFormat="1">
      <c r="A13" s="68"/>
      <c r="B13" s="12"/>
      <c r="D13" s="267" t="s">
        <v>147</v>
      </c>
      <c r="E13" s="267"/>
      <c r="F13" s="267"/>
      <c r="G13" s="267"/>
      <c r="H13" s="72"/>
      <c r="O13" s="267" t="s">
        <v>148</v>
      </c>
      <c r="P13" s="267"/>
      <c r="Q13" s="267"/>
      <c r="S13" s="61"/>
    </row>
    <row r="14">
      <c r="B14" s="12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61"/>
    </row>
    <row r="15">
      <c r="B15" s="12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61"/>
    </row>
    <row r="16">
      <c r="B16" s="12"/>
      <c r="C16" s="15"/>
      <c r="D16" s="15"/>
      <c r="E16" s="15"/>
      <c r="F16" s="70"/>
      <c r="G16" s="70"/>
      <c r="H16" s="70"/>
      <c r="I16" s="70"/>
      <c r="J16" s="70"/>
      <c r="K16" s="70"/>
      <c r="L16" s="70"/>
      <c r="M16" s="70"/>
      <c r="N16" s="15"/>
      <c r="O16" s="15"/>
      <c r="P16" s="15"/>
      <c r="Q16" s="15"/>
      <c r="R16" s="15"/>
      <c r="S16" s="61"/>
    </row>
    <row r="17">
      <c r="B17" s="12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61"/>
    </row>
    <row r="18">
      <c r="B18" s="12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61"/>
    </row>
    <row r="19">
      <c r="B19" s="12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61"/>
    </row>
    <row r="20">
      <c r="B20" s="12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61"/>
    </row>
    <row r="21">
      <c r="B21" s="12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61"/>
    </row>
    <row r="22">
      <c r="B22" s="12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61"/>
    </row>
    <row r="23">
      <c r="B23" s="12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61"/>
    </row>
    <row r="24">
      <c r="B24" s="12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61"/>
    </row>
    <row r="25">
      <c r="B25" s="12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61"/>
    </row>
    <row r="26">
      <c r="B26" s="12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61"/>
    </row>
    <row r="27">
      <c r="B27" s="12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61"/>
    </row>
    <row r="28">
      <c r="B28" s="12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61"/>
    </row>
    <row r="29" s="69" customFormat="1">
      <c r="A29" s="68"/>
      <c r="B29" s="12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1"/>
    </row>
    <row r="30">
      <c r="B30" s="12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61"/>
    </row>
    <row r="31" s="69" customFormat="1">
      <c r="A31" s="68"/>
      <c r="B31" s="12"/>
      <c r="C31" s="68"/>
      <c r="D31" s="268" t="s">
        <v>149</v>
      </c>
      <c r="E31" s="268"/>
      <c r="F31" s="268"/>
      <c r="G31" s="268"/>
      <c r="H31" s="68"/>
      <c r="I31" s="68"/>
      <c r="L31" s="68"/>
      <c r="M31" s="68"/>
      <c r="O31" s="140" t="s">
        <v>150</v>
      </c>
      <c r="P31" s="73"/>
      <c r="Q31" s="73"/>
      <c r="R31" s="68"/>
      <c r="S31" s="61"/>
    </row>
    <row r="32" ht="24" s="138" customFormat="1">
      <c r="B32" s="86"/>
      <c r="J32" s="139" t="s">
        <v>151</v>
      </c>
      <c r="K32" s="139" t="s">
        <v>152</v>
      </c>
      <c r="S32" s="87"/>
    </row>
    <row r="33">
      <c r="B33" s="12"/>
      <c r="H33" s="72"/>
      <c r="K33" s="78"/>
      <c r="S33" s="61"/>
    </row>
    <row r="34">
      <c r="B34" s="12"/>
      <c r="C34" s="15"/>
      <c r="D34" s="15"/>
      <c r="E34" s="15">
        <v>0</v>
      </c>
      <c r="F34" s="15"/>
      <c r="G34" s="15"/>
      <c r="H34" s="15"/>
      <c r="I34" s="15"/>
      <c r="J34" s="74">
        <v>0.91267793174640655</v>
      </c>
      <c r="K34" s="75">
        <v>0.93212435014934369</v>
      </c>
      <c r="L34" s="15"/>
      <c r="M34" s="15"/>
      <c r="N34" s="15"/>
      <c r="O34" s="15"/>
      <c r="P34" s="15"/>
      <c r="Q34" s="15"/>
      <c r="R34" s="15"/>
      <c r="S34" s="61"/>
    </row>
    <row r="35">
      <c r="B35" s="12"/>
      <c r="C35" s="15"/>
      <c r="D35" s="15"/>
      <c r="E35" s="15"/>
      <c r="F35" s="15"/>
      <c r="G35" s="15"/>
      <c r="H35" s="15"/>
      <c r="I35" s="15"/>
      <c r="J35" s="74">
        <v>0.81952715027276068</v>
      </c>
      <c r="K35" s="75">
        <v>0.765920660647314</v>
      </c>
      <c r="L35" s="15"/>
      <c r="M35" s="15"/>
      <c r="N35" s="15"/>
      <c r="O35" s="15"/>
      <c r="P35" s="15"/>
      <c r="Q35" s="15"/>
      <c r="R35" s="15"/>
      <c r="S35" s="61"/>
    </row>
    <row r="36">
      <c r="B36" s="12"/>
      <c r="C36" s="15"/>
      <c r="D36" s="15"/>
      <c r="E36" s="15"/>
      <c r="F36" s="15"/>
      <c r="G36" s="15"/>
      <c r="H36" s="15"/>
      <c r="I36" s="15"/>
      <c r="J36" s="74">
        <v>0.59660431006741832</v>
      </c>
      <c r="K36" s="75">
        <v>0.746193504701678</v>
      </c>
      <c r="L36" s="15"/>
      <c r="M36" s="15"/>
      <c r="N36" s="15"/>
      <c r="O36" s="15"/>
      <c r="P36" s="15"/>
      <c r="Q36" s="15"/>
      <c r="R36" s="15"/>
      <c r="S36" s="61"/>
    </row>
    <row r="37">
      <c r="B37" s="12"/>
      <c r="C37" s="15"/>
      <c r="D37" s="15"/>
      <c r="E37" s="15"/>
      <c r="F37" s="15"/>
      <c r="G37" s="15"/>
      <c r="H37" s="15"/>
      <c r="I37" s="15"/>
      <c r="J37" s="74">
        <v>0.90448924786080409</v>
      </c>
      <c r="K37" s="75">
        <v>0.92379302777816719</v>
      </c>
      <c r="L37" s="15"/>
      <c r="M37" s="15"/>
      <c r="N37" s="15"/>
      <c r="O37" s="15"/>
      <c r="P37" s="15"/>
      <c r="Q37" s="15"/>
      <c r="R37" s="15"/>
      <c r="S37" s="61"/>
    </row>
    <row r="38">
      <c r="B38" s="12"/>
      <c r="C38" s="15"/>
      <c r="D38" s="15"/>
      <c r="E38" s="15"/>
      <c r="F38" s="15"/>
      <c r="G38" s="15"/>
      <c r="H38" s="15"/>
      <c r="I38" s="15"/>
      <c r="J38" s="74">
        <v>0.70017448635506352</v>
      </c>
      <c r="K38" s="75">
        <v>0.780846084072732</v>
      </c>
      <c r="L38" s="15"/>
      <c r="M38" s="15"/>
      <c r="N38" s="15"/>
      <c r="O38" s="15"/>
      <c r="P38" s="15"/>
      <c r="Q38" s="15"/>
      <c r="R38" s="15"/>
      <c r="S38" s="61"/>
    </row>
    <row r="39">
      <c r="B39" s="12"/>
      <c r="C39" s="15"/>
      <c r="D39" s="15"/>
      <c r="E39" s="15"/>
      <c r="F39" s="15"/>
      <c r="G39" s="15"/>
      <c r="H39" s="15"/>
      <c r="I39" s="15"/>
      <c r="J39" s="74">
        <v>0.71864415819932259</v>
      </c>
      <c r="K39" s="75">
        <v>0.73116169777035955</v>
      </c>
      <c r="L39" s="15"/>
      <c r="M39" s="15"/>
      <c r="N39" s="15"/>
      <c r="O39" s="15"/>
      <c r="P39" s="15"/>
      <c r="Q39" s="15"/>
      <c r="R39" s="15"/>
      <c r="S39" s="61"/>
    </row>
    <row r="40">
      <c r="B40" s="12"/>
      <c r="C40" s="15"/>
      <c r="D40" s="15"/>
      <c r="E40" s="15"/>
      <c r="F40" s="15"/>
      <c r="G40" s="15"/>
      <c r="H40" s="15"/>
      <c r="I40" s="15"/>
      <c r="J40" s="74">
        <v>1</v>
      </c>
      <c r="K40" s="75">
        <v>0.9894604440758682</v>
      </c>
      <c r="L40" s="15"/>
      <c r="M40" s="15"/>
      <c r="N40" s="15"/>
      <c r="O40" s="15"/>
      <c r="P40" s="15"/>
      <c r="Q40" s="15"/>
      <c r="R40" s="15"/>
      <c r="S40" s="61"/>
    </row>
    <row r="41">
      <c r="B41" s="12"/>
      <c r="C41" s="15"/>
      <c r="D41" s="15"/>
      <c r="E41" s="15"/>
      <c r="F41" s="15"/>
      <c r="G41" s="15"/>
      <c r="H41" s="15"/>
      <c r="I41" s="15"/>
      <c r="J41" s="74">
        <v>0.736643080966108</v>
      </c>
      <c r="K41" s="75">
        <v>0.8184083512135526</v>
      </c>
      <c r="L41" s="15"/>
      <c r="M41" s="15"/>
      <c r="N41" s="15"/>
      <c r="O41" s="15"/>
      <c r="P41" s="15"/>
      <c r="Q41" s="15"/>
      <c r="R41" s="15"/>
      <c r="S41" s="61"/>
    </row>
    <row r="42">
      <c r="B42" s="12"/>
      <c r="C42" s="15"/>
      <c r="D42" s="15"/>
      <c r="E42" s="15"/>
      <c r="F42" s="15"/>
      <c r="G42" s="15"/>
      <c r="H42" s="15"/>
      <c r="I42" s="15"/>
      <c r="J42" s="74">
        <v>0.62398769977502344</v>
      </c>
      <c r="K42" s="75">
        <v>0.62398769977502355</v>
      </c>
      <c r="L42" s="15"/>
      <c r="M42" s="15"/>
      <c r="N42" s="15"/>
      <c r="O42" s="15"/>
      <c r="P42" s="15"/>
      <c r="Q42" s="15"/>
      <c r="R42" s="15"/>
      <c r="S42" s="61"/>
    </row>
    <row r="43">
      <c r="B43" s="12"/>
      <c r="C43" s="15"/>
      <c r="D43" s="15"/>
      <c r="E43" s="15"/>
      <c r="F43" s="15"/>
      <c r="G43" s="15"/>
      <c r="H43" s="15"/>
      <c r="I43" s="15"/>
      <c r="J43" s="74">
        <v>0.681677685013627</v>
      </c>
      <c r="K43" s="75">
        <v>0.68167768501362691</v>
      </c>
      <c r="L43" s="15"/>
      <c r="M43" s="15"/>
      <c r="N43" s="15"/>
      <c r="O43" s="15"/>
      <c r="P43" s="15"/>
      <c r="Q43" s="15"/>
      <c r="R43" s="15"/>
      <c r="S43" s="61"/>
    </row>
    <row r="44">
      <c r="B44" s="12"/>
      <c r="C44" s="15"/>
      <c r="D44" s="15"/>
      <c r="E44" s="15"/>
      <c r="F44" s="15"/>
      <c r="G44" s="15"/>
      <c r="H44" s="15"/>
      <c r="I44" s="15"/>
      <c r="J44" s="74"/>
      <c r="K44" s="75"/>
      <c r="L44" s="15"/>
      <c r="M44" s="15"/>
      <c r="N44" s="15"/>
      <c r="O44" s="15"/>
      <c r="P44" s="15"/>
      <c r="Q44" s="15"/>
      <c r="R44" s="15"/>
      <c r="S44" s="61"/>
    </row>
    <row r="45">
      <c r="B45" s="12"/>
      <c r="C45" s="15"/>
      <c r="D45" s="15"/>
      <c r="E45" s="15"/>
      <c r="F45" s="15"/>
      <c r="G45" s="15"/>
      <c r="H45" s="15"/>
      <c r="I45" s="15"/>
      <c r="J45" s="74"/>
      <c r="K45" s="75"/>
      <c r="L45" s="15"/>
      <c r="M45" s="15"/>
      <c r="N45" s="15"/>
      <c r="O45" s="15"/>
      <c r="P45" s="15"/>
      <c r="Q45" s="15"/>
      <c r="R45" s="15"/>
      <c r="S45" s="61"/>
    </row>
    <row r="46">
      <c r="B46" s="12"/>
      <c r="C46" s="15"/>
      <c r="D46" s="15"/>
      <c r="E46" s="15"/>
      <c r="F46" s="15"/>
      <c r="G46" s="15"/>
      <c r="H46" s="15"/>
      <c r="I46" s="15"/>
      <c r="J46" s="74"/>
      <c r="K46" s="75"/>
      <c r="L46" s="15"/>
      <c r="M46" s="15"/>
      <c r="N46" s="15"/>
      <c r="O46" s="15"/>
      <c r="P46" s="15"/>
      <c r="Q46" s="15"/>
      <c r="R46" s="15"/>
      <c r="S46" s="61"/>
    </row>
    <row r="47">
      <c r="B47" s="12"/>
      <c r="C47" s="15"/>
      <c r="D47" s="15"/>
      <c r="E47" s="15"/>
      <c r="F47" s="15"/>
      <c r="G47" s="15"/>
      <c r="H47" s="15"/>
      <c r="I47" s="15"/>
      <c r="J47" s="74"/>
      <c r="K47" s="75"/>
      <c r="L47" s="15"/>
      <c r="M47" s="15"/>
      <c r="N47" s="15"/>
      <c r="O47" s="15"/>
      <c r="P47" s="15"/>
      <c r="Q47" s="15"/>
      <c r="R47" s="15"/>
      <c r="S47" s="61"/>
    </row>
    <row r="48">
      <c r="B48" s="12"/>
      <c r="C48" s="15"/>
      <c r="D48" s="15"/>
      <c r="E48" s="15"/>
      <c r="F48" s="15"/>
      <c r="G48" s="15"/>
      <c r="H48" s="15"/>
      <c r="I48" s="15"/>
      <c r="J48" s="74"/>
      <c r="K48" s="75"/>
      <c r="L48" s="15"/>
      <c r="M48" s="15"/>
      <c r="N48" s="15"/>
      <c r="O48" s="15"/>
      <c r="P48" s="15"/>
      <c r="Q48" s="15"/>
      <c r="R48" s="15"/>
      <c r="S48" s="61"/>
    </row>
    <row r="49">
      <c r="B49" s="12"/>
      <c r="C49" s="15"/>
      <c r="D49" s="15"/>
      <c r="E49" s="15"/>
      <c r="F49" s="15"/>
      <c r="G49" s="15"/>
      <c r="H49" s="15"/>
      <c r="I49" s="15"/>
      <c r="J49" s="79"/>
      <c r="K49" s="77"/>
      <c r="L49" s="15"/>
      <c r="M49" s="15"/>
      <c r="N49" s="15"/>
      <c r="O49" s="15"/>
      <c r="P49" s="15"/>
      <c r="Q49" s="15"/>
      <c r="R49" s="15"/>
      <c r="S49" s="61"/>
    </row>
    <row r="50">
      <c r="B50" s="12"/>
      <c r="J50" s="78"/>
      <c r="K50" s="78"/>
      <c r="S50" s="61"/>
    </row>
    <row r="51">
      <c r="B51" s="13"/>
      <c r="C51" s="14"/>
      <c r="D51" s="14"/>
      <c r="E51" s="14"/>
      <c r="F51" s="14"/>
      <c r="G51" s="14"/>
      <c r="H51" s="14"/>
      <c r="I51" s="14"/>
      <c r="J51" s="80"/>
      <c r="K51" s="14"/>
      <c r="L51" s="14"/>
      <c r="M51" s="14"/>
      <c r="N51" s="14"/>
      <c r="O51" s="14"/>
      <c r="P51" s="14"/>
      <c r="Q51" s="14"/>
      <c r="R51" s="14"/>
      <c r="S51" s="62"/>
    </row>
    <row r="66">
      <c r="E66" s="174"/>
      <c r="F66" s="175" t="s">
        <v>153</v>
      </c>
      <c r="G66" s="175" t="s">
        <v>154</v>
      </c>
      <c r="H66" s="175" t="s">
        <v>84</v>
      </c>
      <c r="I66" s="175" t="s">
        <v>82</v>
      </c>
      <c r="J66" s="175" t="s">
        <v>155</v>
      </c>
      <c r="K66" s="175" t="s">
        <v>84</v>
      </c>
      <c r="L66" s="175" t="s">
        <v>156</v>
      </c>
      <c r="M66" s="175" t="s">
        <v>153</v>
      </c>
      <c r="N66" s="175" t="s">
        <v>154</v>
      </c>
    </row>
    <row r="67">
      <c r="E67" s="174" t="s">
        <v>88</v>
      </c>
      <c r="F67" s="174">
        <v>13270.3</v>
      </c>
      <c r="G67" s="174">
        <v>205583.18000000005</v>
      </c>
      <c r="H67" s="174">
        <v>13270.3</v>
      </c>
      <c r="I67" s="174">
        <v>17798</v>
      </c>
      <c r="J67" s="174">
        <v>1060.69</v>
      </c>
      <c r="K67" s="174">
        <v>13270.3</v>
      </c>
      <c r="L67" s="174">
        <v>11486.420000000002</v>
      </c>
      <c r="M67" s="174">
        <v>12.971945259042032</v>
      </c>
      <c r="N67" s="174">
        <v>22.551906537955251</v>
      </c>
    </row>
    <row r="68">
      <c r="E68" s="174" t="s">
        <v>95</v>
      </c>
      <c r="F68" s="174">
        <v>5436.34</v>
      </c>
      <c r="G68" s="174">
        <v>28427.72</v>
      </c>
      <c r="H68" s="174">
        <v>5436.34</v>
      </c>
      <c r="I68" s="174">
        <v>0</v>
      </c>
      <c r="J68" s="174">
        <v>0</v>
      </c>
      <c r="K68" s="174">
        <v>5436.34</v>
      </c>
      <c r="L68" s="174">
        <v>0</v>
      </c>
      <c r="M68" s="174">
        <v>906.05666666666673</v>
      </c>
      <c r="N68" s="174">
        <v>126.90946428571429</v>
      </c>
    </row>
    <row r="69">
      <c r="E69" s="174" t="s">
        <v>100</v>
      </c>
      <c r="F69" s="174">
        <v>316.72</v>
      </c>
      <c r="G69" s="174">
        <v>8475.9</v>
      </c>
      <c r="H69" s="174">
        <v>316.72</v>
      </c>
      <c r="I69" s="174">
        <v>479.19</v>
      </c>
      <c r="J69" s="174">
        <v>12.5</v>
      </c>
      <c r="K69" s="174">
        <v>316.72</v>
      </c>
      <c r="L69" s="174">
        <v>316.5</v>
      </c>
      <c r="M69" s="174">
        <v>35.191111111111113</v>
      </c>
      <c r="N69" s="174">
        <v>43.244387755102039</v>
      </c>
    </row>
    <row r="70">
      <c r="E70" s="174" t="s">
        <v>102</v>
      </c>
      <c r="F70" s="174">
        <v>109250.96999999997</v>
      </c>
      <c r="G70" s="174">
        <v>1694859.8599999982</v>
      </c>
      <c r="H70" s="174">
        <v>109250.96999999997</v>
      </c>
      <c r="I70" s="174">
        <v>70467.989999999932</v>
      </c>
      <c r="J70" s="174">
        <v>12444.810000000001</v>
      </c>
      <c r="K70" s="174">
        <v>109250.96999999997</v>
      </c>
      <c r="L70" s="174">
        <v>82287.489999999991</v>
      </c>
      <c r="M70" s="174">
        <v>60.762497219132356</v>
      </c>
      <c r="N70" s="174">
        <v>73.117336496980073</v>
      </c>
    </row>
    <row r="71">
      <c r="E71" s="174" t="s">
        <v>110</v>
      </c>
      <c r="F71" s="174">
        <v>45039.49</v>
      </c>
      <c r="G71" s="174">
        <v>940515.86000000022</v>
      </c>
      <c r="H71" s="174">
        <v>45039.49</v>
      </c>
      <c r="I71" s="174">
        <v>102104.68000000001</v>
      </c>
      <c r="J71" s="174">
        <v>1670.65</v>
      </c>
      <c r="K71" s="174">
        <v>45039.49</v>
      </c>
      <c r="L71" s="174">
        <v>15714.300000000025</v>
      </c>
      <c r="M71" s="174">
        <v>56.229076154806492</v>
      </c>
      <c r="N71" s="174">
        <v>64.321971002598843</v>
      </c>
    </row>
    <row r="72">
      <c r="E72" s="174" t="s">
        <v>122</v>
      </c>
      <c r="F72" s="174">
        <v>99652.600000000108</v>
      </c>
      <c r="G72" s="174">
        <v>1583180.7200000016</v>
      </c>
      <c r="H72" s="174">
        <v>99652.600000000108</v>
      </c>
      <c r="I72" s="174">
        <v>807.69999999999936</v>
      </c>
      <c r="J72" s="174">
        <v>19307.18</v>
      </c>
      <c r="K72" s="174">
        <v>99652.600000000108</v>
      </c>
      <c r="L72" s="174">
        <v>80981.119999999864</v>
      </c>
      <c r="M72" s="174">
        <v>105.00800842992635</v>
      </c>
      <c r="N72" s="174">
        <v>131.49341528239216</v>
      </c>
    </row>
    <row r="73">
      <c r="E73" s="174" t="s">
        <v>133</v>
      </c>
      <c r="F73" s="174">
        <v>13582.13</v>
      </c>
      <c r="G73" s="174">
        <v>241600.43999999997</v>
      </c>
      <c r="H73" s="174">
        <v>13582.13</v>
      </c>
      <c r="I73" s="174">
        <v>0</v>
      </c>
      <c r="J73" s="174">
        <v>0</v>
      </c>
      <c r="K73" s="174">
        <v>13582.13</v>
      </c>
      <c r="L73" s="174">
        <v>2991.0000000000018</v>
      </c>
      <c r="M73" s="174">
        <v>42.57721003134796</v>
      </c>
      <c r="N73" s="174">
        <v>41.004826883910383</v>
      </c>
    </row>
    <row r="74">
      <c r="E74" s="174" t="s">
        <v>136</v>
      </c>
      <c r="F74" s="174">
        <v>201533.56000000378</v>
      </c>
      <c r="G74" s="174">
        <v>2786036.2600000035</v>
      </c>
      <c r="H74" s="174">
        <v>201533.56000000378</v>
      </c>
      <c r="I74" s="174">
        <v>330616.050000023</v>
      </c>
      <c r="J74" s="174">
        <v>11053.979999999998</v>
      </c>
      <c r="K74" s="174">
        <v>201533.56000000378</v>
      </c>
      <c r="L74" s="174">
        <v>51971.959999969695</v>
      </c>
      <c r="M74" s="174">
        <v>3.5297316799776479</v>
      </c>
      <c r="N74" s="174">
        <v>4.2845221881843516</v>
      </c>
    </row>
    <row r="75">
      <c r="E75" s="174"/>
      <c r="F75" s="174"/>
      <c r="G75" s="174"/>
      <c r="H75" s="174"/>
      <c r="I75" s="174"/>
      <c r="J75" s="174"/>
      <c r="K75" s="174"/>
      <c r="L75" s="174"/>
      <c r="M75" s="174"/>
      <c r="N75" s="174"/>
    </row>
    <row r="76">
      <c r="E76" s="174"/>
      <c r="F76" s="174"/>
      <c r="G76" s="174"/>
      <c r="H76" s="174"/>
      <c r="I76" s="174"/>
      <c r="J76" s="174"/>
      <c r="K76" s="174"/>
      <c r="L76" s="174"/>
      <c r="M76" s="174"/>
      <c r="N76" s="174"/>
    </row>
  </sheetData>
  <mergeCells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65A61-79A3-40D3-A3C9-08E192EF57F5}">
  <sheetPr>
    <tabColor theme="4" tint="0.79998168889431442"/>
  </sheetPr>
  <dimension ref="A1:V31"/>
  <sheetViews>
    <sheetView showGridLines="0" zoomScale="70" zoomScaleNormal="70" workbookViewId="0">
      <selection activeCell="C21" sqref="C21:Q2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77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78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79</v>
      </c>
      <c r="F14" s="131" t="s">
        <v>80</v>
      </c>
      <c r="G14" s="132" t="s">
        <v>81</v>
      </c>
      <c r="H14" s="131" t="s">
        <v>82</v>
      </c>
      <c r="I14" s="131" t="s">
        <v>83</v>
      </c>
      <c r="J14" s="131" t="s">
        <v>84</v>
      </c>
      <c r="K14" s="133" t="s">
        <v>85</v>
      </c>
      <c r="L14" s="133" t="s">
        <v>86</v>
      </c>
      <c r="M14" s="133" t="s">
        <v>87</v>
      </c>
      <c r="N14" s="42"/>
      <c r="O14" s="152" t="s">
        <v>85</v>
      </c>
      <c r="P14" s="152" t="s">
        <v>86</v>
      </c>
      <c r="Q14" s="133" t="s">
        <v>87</v>
      </c>
      <c r="R14" s="61"/>
    </row>
    <row r="15" ht="15" customHeight="1">
      <c r="B15" s="12"/>
      <c r="C15" s="142" t="s">
        <v>88</v>
      </c>
      <c r="D15" s="143"/>
      <c r="E15" s="65">
        <v>1023</v>
      </c>
      <c r="F15" s="76"/>
      <c r="G15" s="66">
        <v>43615.41</v>
      </c>
      <c r="H15" s="66">
        <v>17798</v>
      </c>
      <c r="I15" s="66">
        <v>1060.69</v>
      </c>
      <c r="J15" s="66">
        <v>13270.3</v>
      </c>
      <c r="K15" s="66">
        <v>12.971945259042032</v>
      </c>
      <c r="L15" s="67">
        <v>1</v>
      </c>
      <c r="M15" s="67">
        <v>0.73664308096610809</v>
      </c>
      <c r="N15" s="144"/>
      <c r="O15" s="66">
        <v>22.551906537955251</v>
      </c>
      <c r="P15" s="67">
        <v>1</v>
      </c>
      <c r="Q15" s="67">
        <v>0.8184083512135526</v>
      </c>
      <c r="R15" s="61"/>
    </row>
    <row r="16" ht="15" customHeight="1">
      <c r="B16" s="12"/>
      <c r="C16" s="193"/>
      <c r="D16" s="194" t="s">
        <v>89</v>
      </c>
      <c r="E16" s="195">
        <v>1021</v>
      </c>
      <c r="F16" s="196"/>
      <c r="G16" s="197">
        <v>40915.41</v>
      </c>
      <c r="H16" s="197">
        <v>17318</v>
      </c>
      <c r="I16" s="197">
        <v>1060.69</v>
      </c>
      <c r="J16" s="197">
        <v>12870.3</v>
      </c>
      <c r="K16" s="197">
        <v>12.60558276199804</v>
      </c>
      <c r="L16" s="198">
        <v>0.96985750133757342</v>
      </c>
      <c r="M16" s="198">
        <v>0.76374622666618763</v>
      </c>
      <c r="N16" s="199"/>
      <c r="O16" s="197">
        <v>14.469898921832893</v>
      </c>
      <c r="P16" s="198">
        <v>0.62670486953261473</v>
      </c>
      <c r="Q16" s="198">
        <v>0.86238451763351875</v>
      </c>
      <c r="R16" s="61"/>
    </row>
    <row r="17" ht="15" customHeight="1">
      <c r="B17" s="12"/>
      <c r="C17" s="193"/>
      <c r="D17" s="194" t="s">
        <v>90</v>
      </c>
      <c r="E17" s="195">
        <v>0</v>
      </c>
      <c r="F17" s="196"/>
      <c r="G17" s="197">
        <v>0</v>
      </c>
      <c r="H17" s="197">
        <v>0</v>
      </c>
      <c r="I17" s="197">
        <v>0</v>
      </c>
      <c r="J17" s="197">
        <v>0</v>
      </c>
      <c r="K17" s="197"/>
      <c r="L17" s="198">
        <v>0</v>
      </c>
      <c r="M17" s="198">
        <v>0</v>
      </c>
      <c r="N17" s="199"/>
      <c r="O17" s="197">
        <v>2.3499999999999974</v>
      </c>
      <c r="P17" s="198">
        <v>0.0012802603792781084</v>
      </c>
      <c r="Q17" s="198">
        <v>0.531542056074766</v>
      </c>
      <c r="R17" s="61"/>
    </row>
    <row r="18" ht="15" customHeight="1">
      <c r="B18" s="12"/>
      <c r="C18" s="193"/>
      <c r="D18" s="194" t="s">
        <v>91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710</v>
      </c>
      <c r="P18" s="198">
        <v>0.0069071798578074321</v>
      </c>
      <c r="Q18" s="198">
        <v>1</v>
      </c>
      <c r="R18" s="61"/>
    </row>
    <row r="19" ht="15" customHeight="1">
      <c r="B19" s="12"/>
      <c r="C19" s="193"/>
      <c r="D19" s="194" t="s">
        <v>92</v>
      </c>
      <c r="E19" s="195">
        <v>1</v>
      </c>
      <c r="F19" s="196"/>
      <c r="G19" s="197">
        <v>1350</v>
      </c>
      <c r="H19" s="197">
        <v>240</v>
      </c>
      <c r="I19" s="197">
        <v>0</v>
      </c>
      <c r="J19" s="197">
        <v>200</v>
      </c>
      <c r="K19" s="197">
        <v>200</v>
      </c>
      <c r="L19" s="198">
        <v>0.015071249331213312</v>
      </c>
      <c r="M19" s="198">
        <v>0.32592592592592595</v>
      </c>
      <c r="N19" s="199"/>
      <c r="O19" s="197">
        <v>818.18181818181813</v>
      </c>
      <c r="P19" s="198">
        <v>0.087555801014460408</v>
      </c>
      <c r="Q19" s="198">
        <v>0.75243845796562936</v>
      </c>
      <c r="R19" s="61"/>
    </row>
    <row r="20" ht="15" customHeight="1">
      <c r="B20" s="12"/>
      <c r="C20" s="193"/>
      <c r="D20" s="194" t="s">
        <v>93</v>
      </c>
      <c r="E20" s="195">
        <v>1</v>
      </c>
      <c r="F20" s="196"/>
      <c r="G20" s="197">
        <v>1350</v>
      </c>
      <c r="H20" s="197">
        <v>240</v>
      </c>
      <c r="I20" s="197">
        <v>0</v>
      </c>
      <c r="J20" s="197">
        <v>200</v>
      </c>
      <c r="K20" s="197">
        <v>200</v>
      </c>
      <c r="L20" s="198">
        <v>0.015071249331213312</v>
      </c>
      <c r="M20" s="198">
        <v>0.32592592592592595</v>
      </c>
      <c r="N20" s="199"/>
      <c r="O20" s="197">
        <v>863.07692307692309</v>
      </c>
      <c r="P20" s="198">
        <v>0.10915289859802731</v>
      </c>
      <c r="Q20" s="198">
        <v>0.82148962148962146</v>
      </c>
      <c r="R20" s="61"/>
    </row>
    <row r="21" ht="15" customHeight="1">
      <c r="B21" s="12"/>
      <c r="C21" s="193"/>
      <c r="D21" s="194" t="s">
        <v>94</v>
      </c>
      <c r="E21" s="195">
        <v>0</v>
      </c>
      <c r="F21" s="196"/>
      <c r="G21" s="197">
        <v>0</v>
      </c>
      <c r="H21" s="197">
        <v>0</v>
      </c>
      <c r="I21" s="197">
        <v>0</v>
      </c>
      <c r="J21" s="197">
        <v>0</v>
      </c>
      <c r="K21" s="197"/>
      <c r="L21" s="198">
        <v>0</v>
      </c>
      <c r="M21" s="198">
        <v>0</v>
      </c>
      <c r="N21" s="199"/>
      <c r="O21" s="197">
        <v>692.4</v>
      </c>
      <c r="P21" s="198">
        <v>0.16839899061781216</v>
      </c>
      <c r="Q21" s="198">
        <v>0.64264345934185474</v>
      </c>
      <c r="R21" s="61"/>
    </row>
    <row r="22" ht="15" customHeight="1">
      <c r="B22" s="12"/>
      <c r="C22" s="145" t="s">
        <v>51</v>
      </c>
      <c r="D22" s="146"/>
      <c r="E22" s="134">
        <v>1023</v>
      </c>
      <c r="F22" s="135"/>
      <c r="G22" s="136">
        <v>43615.41</v>
      </c>
      <c r="H22" s="136">
        <v>17798</v>
      </c>
      <c r="I22" s="136">
        <v>1060.69</v>
      </c>
      <c r="J22" s="136">
        <v>13270.3</v>
      </c>
      <c r="K22" s="136">
        <v>12.971945259042032</v>
      </c>
      <c r="L22" s="137">
        <v>1</v>
      </c>
      <c r="M22" s="137">
        <v>0.736643080966108</v>
      </c>
      <c r="N22" s="144"/>
      <c r="O22" s="136">
        <v>22.551906537955251</v>
      </c>
      <c r="P22" s="137">
        <v>1</v>
      </c>
      <c r="Q22" s="137">
        <v>0.8184083512135526</v>
      </c>
      <c r="R22" s="61"/>
    </row>
    <row r="23" ht="15" customHeight="1">
      <c r="B23" s="12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146" t="s">
        <v>143</v>
      </c>
      <c r="D25" s="146"/>
      <c r="E25" s="4"/>
      <c r="F25" s="4"/>
      <c r="G25" s="4"/>
      <c r="H25" s="176">
        <v>0.554</v>
      </c>
      <c r="I25" s="176">
        <v>0.033</v>
      </c>
      <c r="J25" s="176">
        <v>0.41299999999999992</v>
      </c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146" t="s">
        <v>144</v>
      </c>
      <c r="D27" s="146"/>
      <c r="E27" s="4"/>
      <c r="F27" s="4"/>
      <c r="G27" s="136"/>
      <c r="H27" s="136"/>
      <c r="I27" s="136"/>
      <c r="J27" s="136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145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2" customHeight="1">
      <c r="B31" s="13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8"/>
      <c r="Q31" s="148"/>
      <c r="R31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E4F7A-CAF6-4BB5-BA72-91C992A19235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77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78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79</v>
      </c>
      <c r="F14" s="131" t="s">
        <v>80</v>
      </c>
      <c r="G14" s="132" t="s">
        <v>81</v>
      </c>
      <c r="H14" s="131" t="s">
        <v>82</v>
      </c>
      <c r="I14" s="131" t="s">
        <v>83</v>
      </c>
      <c r="J14" s="131" t="s">
        <v>84</v>
      </c>
      <c r="K14" s="133" t="s">
        <v>85</v>
      </c>
      <c r="L14" s="133" t="s">
        <v>86</v>
      </c>
      <c r="M14" s="133" t="s">
        <v>87</v>
      </c>
      <c r="N14" s="42"/>
      <c r="O14" s="152" t="s">
        <v>85</v>
      </c>
      <c r="P14" s="152" t="s">
        <v>86</v>
      </c>
      <c r="Q14" s="133" t="s">
        <v>87</v>
      </c>
      <c r="R14" s="61"/>
    </row>
    <row r="15" ht="15" customHeight="1">
      <c r="B15" s="12"/>
      <c r="C15" s="142" t="s">
        <v>95</v>
      </c>
      <c r="D15" s="143"/>
      <c r="E15" s="65">
        <v>6</v>
      </c>
      <c r="F15" s="76"/>
      <c r="G15" s="66">
        <v>5436.34</v>
      </c>
      <c r="H15" s="66">
        <v>0</v>
      </c>
      <c r="I15" s="66">
        <v>0</v>
      </c>
      <c r="J15" s="66">
        <v>5436.34</v>
      </c>
      <c r="K15" s="66">
        <v>906.05666666666673</v>
      </c>
      <c r="L15" s="67">
        <v>1</v>
      </c>
      <c r="M15" s="67">
        <v>1</v>
      </c>
      <c r="N15" s="144"/>
      <c r="O15" s="66">
        <v>126.90946428571429</v>
      </c>
      <c r="P15" s="67">
        <v>1</v>
      </c>
      <c r="Q15" s="67">
        <v>0.9894604440758682</v>
      </c>
      <c r="R15" s="61"/>
    </row>
    <row r="16" ht="15" customHeight="1">
      <c r="B16" s="12"/>
      <c r="C16" s="193"/>
      <c r="D16" s="194" t="s">
        <v>96</v>
      </c>
      <c r="E16" s="195">
        <v>0</v>
      </c>
      <c r="F16" s="196"/>
      <c r="G16" s="197">
        <v>0</v>
      </c>
      <c r="H16" s="197">
        <v>0</v>
      </c>
      <c r="I16" s="197">
        <v>0</v>
      </c>
      <c r="J16" s="197">
        <v>0</v>
      </c>
      <c r="K16" s="197"/>
      <c r="L16" s="198">
        <v>0</v>
      </c>
      <c r="M16" s="198">
        <v>0</v>
      </c>
      <c r="N16" s="199"/>
      <c r="O16" s="197">
        <v>7</v>
      </c>
      <c r="P16" s="198">
        <v>0.000984954122244063</v>
      </c>
      <c r="Q16" s="198">
        <v>1</v>
      </c>
      <c r="R16" s="61"/>
    </row>
    <row r="17" ht="15" customHeight="1">
      <c r="B17" s="12"/>
      <c r="C17" s="193"/>
      <c r="D17" s="194" t="s">
        <v>97</v>
      </c>
      <c r="E17" s="195">
        <v>4</v>
      </c>
      <c r="F17" s="196"/>
      <c r="G17" s="197">
        <v>240</v>
      </c>
      <c r="H17" s="197">
        <v>0</v>
      </c>
      <c r="I17" s="197">
        <v>0</v>
      </c>
      <c r="J17" s="197">
        <v>240</v>
      </c>
      <c r="K17" s="197">
        <v>60</v>
      </c>
      <c r="L17" s="198">
        <v>0.044147349135631689</v>
      </c>
      <c r="M17" s="198">
        <v>1</v>
      </c>
      <c r="N17" s="199"/>
      <c r="O17" s="197">
        <v>54.815533980582522</v>
      </c>
      <c r="P17" s="198">
        <v>0.39721792672785577</v>
      </c>
      <c r="Q17" s="198">
        <v>0.97378406347016211</v>
      </c>
      <c r="R17" s="61"/>
    </row>
    <row r="18" ht="15" customHeight="1">
      <c r="B18" s="12"/>
      <c r="C18" s="193"/>
      <c r="D18" s="194" t="s">
        <v>98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-7.29</v>
      </c>
      <c r="P18" s="198">
        <v>-0.00051287968222565861</v>
      </c>
      <c r="Q18" s="198">
        <v>1</v>
      </c>
      <c r="R18" s="61"/>
    </row>
    <row r="19" ht="15" customHeight="1">
      <c r="B19" s="12"/>
      <c r="C19" s="193"/>
      <c r="D19" s="194" t="s">
        <v>99</v>
      </c>
      <c r="E19" s="195">
        <v>2</v>
      </c>
      <c r="F19" s="196"/>
      <c r="G19" s="197">
        <v>5196.34</v>
      </c>
      <c r="H19" s="197">
        <v>0</v>
      </c>
      <c r="I19" s="197">
        <v>0</v>
      </c>
      <c r="J19" s="197">
        <v>5196.34</v>
      </c>
      <c r="K19" s="197">
        <v>2598.17</v>
      </c>
      <c r="L19" s="198">
        <v>0.95585265086436833</v>
      </c>
      <c r="M19" s="198">
        <v>1</v>
      </c>
      <c r="N19" s="199"/>
      <c r="O19" s="197">
        <v>1426.8583333333336</v>
      </c>
      <c r="P19" s="198">
        <v>0.60230999883212588</v>
      </c>
      <c r="Q19" s="198">
        <v>1</v>
      </c>
      <c r="R19" s="61"/>
    </row>
    <row r="20" ht="15" customHeight="1">
      <c r="B20" s="12"/>
      <c r="C20" s="145" t="s">
        <v>51</v>
      </c>
      <c r="D20" s="146"/>
      <c r="E20" s="134">
        <v>6</v>
      </c>
      <c r="F20" s="135"/>
      <c r="G20" s="136">
        <v>5436.34</v>
      </c>
      <c r="H20" s="136">
        <v>0</v>
      </c>
      <c r="I20" s="136">
        <v>0</v>
      </c>
      <c r="J20" s="136">
        <v>5436.34</v>
      </c>
      <c r="K20" s="136">
        <v>906.05666666666673</v>
      </c>
      <c r="L20" s="137">
        <v>1</v>
      </c>
      <c r="M20" s="137">
        <v>1</v>
      </c>
      <c r="N20" s="144"/>
      <c r="O20" s="136">
        <v>126.90946428571429</v>
      </c>
      <c r="P20" s="137">
        <v>1</v>
      </c>
      <c r="Q20" s="137">
        <v>0.9894604440758682</v>
      </c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143</v>
      </c>
      <c r="D23" s="146"/>
      <c r="E23" s="4"/>
      <c r="F23" s="4"/>
      <c r="G23" s="4"/>
      <c r="H23" s="176">
        <v>0</v>
      </c>
      <c r="I23" s="176">
        <v>0</v>
      </c>
      <c r="J23" s="176">
        <v>1</v>
      </c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146" t="s">
        <v>144</v>
      </c>
      <c r="D25" s="146"/>
      <c r="E25" s="4"/>
      <c r="F25" s="4"/>
      <c r="G25" s="136"/>
      <c r="H25" s="136"/>
      <c r="I25" s="136"/>
      <c r="J25" s="136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145</v>
      </c>
      <c r="D26" s="146"/>
      <c r="E26" s="4"/>
      <c r="F26" s="4"/>
      <c r="G26" s="136"/>
      <c r="H26" s="136"/>
      <c r="I26" s="136"/>
      <c r="J26" s="136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23"/>
      <c r="Q28" s="23"/>
      <c r="R28" s="61"/>
    </row>
    <row r="29" ht="12" customHeight="1">
      <c r="B29" s="13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8"/>
      <c r="Q29" s="148"/>
      <c r="R29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C4AE3-0755-4869-9AFA-47BA67BC12FD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77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78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79</v>
      </c>
      <c r="F14" s="131" t="s">
        <v>80</v>
      </c>
      <c r="G14" s="132" t="s">
        <v>81</v>
      </c>
      <c r="H14" s="131" t="s">
        <v>82</v>
      </c>
      <c r="I14" s="131" t="s">
        <v>83</v>
      </c>
      <c r="J14" s="131" t="s">
        <v>84</v>
      </c>
      <c r="K14" s="133" t="s">
        <v>85</v>
      </c>
      <c r="L14" s="133" t="s">
        <v>86</v>
      </c>
      <c r="M14" s="133" t="s">
        <v>87</v>
      </c>
      <c r="N14" s="42"/>
      <c r="O14" s="152" t="s">
        <v>85</v>
      </c>
      <c r="P14" s="152" t="s">
        <v>86</v>
      </c>
      <c r="Q14" s="133" t="s">
        <v>87</v>
      </c>
      <c r="R14" s="61"/>
    </row>
    <row r="15" ht="15" customHeight="1">
      <c r="B15" s="12"/>
      <c r="C15" s="142" t="s">
        <v>100</v>
      </c>
      <c r="D15" s="143"/>
      <c r="E15" s="65">
        <v>9</v>
      </c>
      <c r="F15" s="76"/>
      <c r="G15" s="66">
        <v>1124.91</v>
      </c>
      <c r="H15" s="66">
        <v>479.19</v>
      </c>
      <c r="I15" s="66">
        <v>12.5</v>
      </c>
      <c r="J15" s="66">
        <v>316.72</v>
      </c>
      <c r="K15" s="66">
        <v>35.191111111111113</v>
      </c>
      <c r="L15" s="67">
        <v>1</v>
      </c>
      <c r="M15" s="67">
        <v>0.71864415819932248</v>
      </c>
      <c r="N15" s="144"/>
      <c r="O15" s="66">
        <v>43.244387755102039</v>
      </c>
      <c r="P15" s="67">
        <v>1</v>
      </c>
      <c r="Q15" s="67">
        <v>0.73116169777035944</v>
      </c>
      <c r="R15" s="61"/>
    </row>
    <row r="16" ht="15" customHeight="1">
      <c r="B16" s="12"/>
      <c r="C16" s="193"/>
      <c r="D16" s="194" t="s">
        <v>101</v>
      </c>
      <c r="E16" s="195">
        <v>9</v>
      </c>
      <c r="F16" s="196"/>
      <c r="G16" s="197">
        <v>1124.91</v>
      </c>
      <c r="H16" s="197">
        <v>479.19</v>
      </c>
      <c r="I16" s="197">
        <v>12.5</v>
      </c>
      <c r="J16" s="197">
        <v>316.72</v>
      </c>
      <c r="K16" s="197">
        <v>35.191111111111113</v>
      </c>
      <c r="L16" s="198">
        <v>1</v>
      </c>
      <c r="M16" s="198">
        <v>0.71864415819932248</v>
      </c>
      <c r="N16" s="199"/>
      <c r="O16" s="197">
        <v>43.244387755102039</v>
      </c>
      <c r="P16" s="198">
        <v>1</v>
      </c>
      <c r="Q16" s="198">
        <v>0.73116169777035944</v>
      </c>
      <c r="R16" s="61"/>
    </row>
    <row r="17" ht="15" customHeight="1">
      <c r="B17" s="12"/>
      <c r="C17" s="145" t="s">
        <v>51</v>
      </c>
      <c r="D17" s="146"/>
      <c r="E17" s="134">
        <v>9</v>
      </c>
      <c r="F17" s="135"/>
      <c r="G17" s="136">
        <v>1124.91</v>
      </c>
      <c r="H17" s="136">
        <v>479.19</v>
      </c>
      <c r="I17" s="136">
        <v>12.5</v>
      </c>
      <c r="J17" s="136">
        <v>316.72</v>
      </c>
      <c r="K17" s="136">
        <v>35.191111111111113</v>
      </c>
      <c r="L17" s="137">
        <v>1</v>
      </c>
      <c r="M17" s="137">
        <v>0.71864415819932259</v>
      </c>
      <c r="N17" s="144"/>
      <c r="O17" s="136">
        <v>43.244387755102039</v>
      </c>
      <c r="P17" s="137">
        <v>1</v>
      </c>
      <c r="Q17" s="137">
        <v>0.73116169777035944</v>
      </c>
      <c r="R17" s="61"/>
    </row>
    <row r="18" ht="15" customHeight="1">
      <c r="B18" s="12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23"/>
      <c r="Q18" s="23"/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146" t="s">
        <v>143</v>
      </c>
      <c r="D20" s="146"/>
      <c r="E20" s="4"/>
      <c r="F20" s="4"/>
      <c r="G20" s="4"/>
      <c r="H20" s="176">
        <v>0.5928</v>
      </c>
      <c r="I20" s="176">
        <v>0.0155</v>
      </c>
      <c r="J20" s="176">
        <v>0.3917</v>
      </c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146" t="s">
        <v>144</v>
      </c>
      <c r="D22" s="146"/>
      <c r="E22" s="4"/>
      <c r="F22" s="4"/>
      <c r="G22" s="136"/>
      <c r="H22" s="136"/>
      <c r="I22" s="136"/>
      <c r="J22" s="136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145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2" customHeight="1">
      <c r="B26" s="13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8"/>
      <c r="Q26" s="148"/>
      <c r="R26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30DBF-F002-4BBE-B2E6-95CFCED68731}">
  <sheetPr>
    <tabColor theme="4" tint="0.79998168889431442"/>
  </sheetPr>
  <dimension ref="A1:V32"/>
  <sheetViews>
    <sheetView showGridLines="0" zoomScale="70" zoomScaleNormal="70" workbookViewId="0">
      <selection activeCell="C22" sqref="C22:Q22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77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78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79</v>
      </c>
      <c r="F14" s="131" t="s">
        <v>80</v>
      </c>
      <c r="G14" s="132" t="s">
        <v>81</v>
      </c>
      <c r="H14" s="131" t="s">
        <v>82</v>
      </c>
      <c r="I14" s="131" t="s">
        <v>83</v>
      </c>
      <c r="J14" s="131" t="s">
        <v>84</v>
      </c>
      <c r="K14" s="133" t="s">
        <v>85</v>
      </c>
      <c r="L14" s="133" t="s">
        <v>86</v>
      </c>
      <c r="M14" s="133" t="s">
        <v>87</v>
      </c>
      <c r="N14" s="42"/>
      <c r="O14" s="152" t="s">
        <v>85</v>
      </c>
      <c r="P14" s="152" t="s">
        <v>86</v>
      </c>
      <c r="Q14" s="133" t="s">
        <v>87</v>
      </c>
      <c r="R14" s="61"/>
    </row>
    <row r="15" ht="15" customHeight="1">
      <c r="B15" s="12"/>
      <c r="C15" s="142" t="s">
        <v>102</v>
      </c>
      <c r="D15" s="143"/>
      <c r="E15" s="65">
        <v>1798</v>
      </c>
      <c r="F15" s="76"/>
      <c r="G15" s="66">
        <v>274451.25999999989</v>
      </c>
      <c r="H15" s="66">
        <v>70467.989999999932</v>
      </c>
      <c r="I15" s="66">
        <v>12444.810000000001</v>
      </c>
      <c r="J15" s="66">
        <v>109250.96999999997</v>
      </c>
      <c r="K15" s="66">
        <v>60.762497219132371</v>
      </c>
      <c r="L15" s="67">
        <v>1.0000000000000002</v>
      </c>
      <c r="M15" s="67">
        <v>0.70017448635506352</v>
      </c>
      <c r="N15" s="144"/>
      <c r="O15" s="66">
        <v>73.117336496980073</v>
      </c>
      <c r="P15" s="67">
        <v>1</v>
      </c>
      <c r="Q15" s="67">
        <v>0.78084608407273215</v>
      </c>
      <c r="R15" s="61"/>
    </row>
    <row r="16" ht="15" customHeight="1">
      <c r="B16" s="12"/>
      <c r="C16" s="193"/>
      <c r="D16" s="194" t="s">
        <v>103</v>
      </c>
      <c r="E16" s="195">
        <v>579</v>
      </c>
      <c r="F16" s="196"/>
      <c r="G16" s="197">
        <v>12754.3</v>
      </c>
      <c r="H16" s="197">
        <v>8771.75999999994</v>
      </c>
      <c r="I16" s="197">
        <v>73.44</v>
      </c>
      <c r="J16" s="197">
        <v>3774.83999999999</v>
      </c>
      <c r="K16" s="197">
        <v>6.5195854922279795</v>
      </c>
      <c r="L16" s="198">
        <v>0.034552004435292438</v>
      </c>
      <c r="M16" s="198">
        <v>0.989473354084505</v>
      </c>
      <c r="N16" s="199"/>
      <c r="O16" s="197">
        <v>6.7525749423520676</v>
      </c>
      <c r="P16" s="198">
        <v>0.020733513625132521</v>
      </c>
      <c r="Q16" s="198">
        <v>0.99145323601774238</v>
      </c>
      <c r="R16" s="61"/>
    </row>
    <row r="17" ht="15" customHeight="1">
      <c r="B17" s="12"/>
      <c r="C17" s="193"/>
      <c r="D17" s="194" t="s">
        <v>104</v>
      </c>
      <c r="E17" s="195">
        <v>104</v>
      </c>
      <c r="F17" s="196"/>
      <c r="G17" s="197">
        <v>52463.25</v>
      </c>
      <c r="H17" s="197">
        <v>13686.95</v>
      </c>
      <c r="I17" s="197">
        <v>7130.6</v>
      </c>
      <c r="J17" s="197">
        <v>14700.3</v>
      </c>
      <c r="K17" s="197">
        <v>141.34903846153844</v>
      </c>
      <c r="L17" s="198">
        <v>0.13455532706025405</v>
      </c>
      <c r="M17" s="198">
        <v>0.67700437925595536</v>
      </c>
      <c r="N17" s="199"/>
      <c r="O17" s="197">
        <v>206.49341463414632</v>
      </c>
      <c r="P17" s="198">
        <v>0.1298762128923156</v>
      </c>
      <c r="Q17" s="198">
        <v>0.8122784449521202</v>
      </c>
      <c r="R17" s="61"/>
    </row>
    <row r="18" ht="15" customHeight="1">
      <c r="B18" s="12"/>
      <c r="C18" s="193"/>
      <c r="D18" s="194" t="s">
        <v>105</v>
      </c>
      <c r="E18" s="195">
        <v>28</v>
      </c>
      <c r="F18" s="196"/>
      <c r="G18" s="197">
        <v>2790.78</v>
      </c>
      <c r="H18" s="197">
        <v>284.68</v>
      </c>
      <c r="I18" s="197">
        <v>12.54</v>
      </c>
      <c r="J18" s="197">
        <v>899.28</v>
      </c>
      <c r="K18" s="197">
        <v>32.117142857142859</v>
      </c>
      <c r="L18" s="198">
        <v>0.0082313227974085742</v>
      </c>
      <c r="M18" s="198">
        <v>0.42873318570435504</v>
      </c>
      <c r="N18" s="199"/>
      <c r="O18" s="197">
        <v>62.125390070921988</v>
      </c>
      <c r="P18" s="198">
        <v>0.020673520464399953</v>
      </c>
      <c r="Q18" s="198">
        <v>0.58262624820147357</v>
      </c>
      <c r="R18" s="61"/>
    </row>
    <row r="19" ht="15" customHeight="1">
      <c r="B19" s="12"/>
      <c r="C19" s="193"/>
      <c r="D19" s="194" t="s">
        <v>106</v>
      </c>
      <c r="E19" s="195">
        <v>481</v>
      </c>
      <c r="F19" s="196"/>
      <c r="G19" s="197">
        <v>91875.48</v>
      </c>
      <c r="H19" s="197">
        <v>20650.6</v>
      </c>
      <c r="I19" s="197">
        <v>379.5</v>
      </c>
      <c r="J19" s="197">
        <v>61116.12</v>
      </c>
      <c r="K19" s="197">
        <v>127.06054054054054</v>
      </c>
      <c r="L19" s="198">
        <v>0.55941031919442008</v>
      </c>
      <c r="M19" s="198">
        <v>0.894103845770384</v>
      </c>
      <c r="N19" s="199"/>
      <c r="O19" s="197">
        <v>85.589691005707365</v>
      </c>
      <c r="P19" s="198">
        <v>0.513176611545924</v>
      </c>
      <c r="Q19" s="198">
        <v>0.83307906709382462</v>
      </c>
      <c r="R19" s="61"/>
    </row>
    <row r="20" ht="15" customHeight="1">
      <c r="B20" s="12"/>
      <c r="C20" s="193"/>
      <c r="D20" s="194" t="s">
        <v>107</v>
      </c>
      <c r="E20" s="195">
        <v>96</v>
      </c>
      <c r="F20" s="196"/>
      <c r="G20" s="197">
        <v>52742.5</v>
      </c>
      <c r="H20" s="197">
        <v>5073.08</v>
      </c>
      <c r="I20" s="197">
        <v>3136.69</v>
      </c>
      <c r="J20" s="197">
        <v>12759.56</v>
      </c>
      <c r="K20" s="197">
        <v>132.91208333333333</v>
      </c>
      <c r="L20" s="198">
        <v>0.11679127425596315</v>
      </c>
      <c r="M20" s="198">
        <v>0.3975793714746173</v>
      </c>
      <c r="N20" s="199"/>
      <c r="O20" s="197">
        <v>229.56749559082891</v>
      </c>
      <c r="P20" s="198">
        <v>0.15359944862933991</v>
      </c>
      <c r="Q20" s="198">
        <v>0.61452559588812938</v>
      </c>
      <c r="R20" s="61"/>
    </row>
    <row r="21" ht="15" customHeight="1">
      <c r="B21" s="12"/>
      <c r="C21" s="193"/>
      <c r="D21" s="194" t="s">
        <v>108</v>
      </c>
      <c r="E21" s="195">
        <v>65</v>
      </c>
      <c r="F21" s="196"/>
      <c r="G21" s="197">
        <v>36236</v>
      </c>
      <c r="H21" s="197">
        <v>5742.13</v>
      </c>
      <c r="I21" s="197">
        <v>1687.18</v>
      </c>
      <c r="J21" s="197">
        <v>8674.87</v>
      </c>
      <c r="K21" s="197">
        <v>133.45953846153847</v>
      </c>
      <c r="L21" s="198">
        <v>0.079403139395467184</v>
      </c>
      <c r="M21" s="198">
        <v>0.44442488133348051</v>
      </c>
      <c r="N21" s="199"/>
      <c r="O21" s="197">
        <v>222.93927601809952</v>
      </c>
      <c r="P21" s="198">
        <v>0.11628000913302659</v>
      </c>
      <c r="Q21" s="198">
        <v>0.70249591708110914</v>
      </c>
      <c r="R21" s="61"/>
    </row>
    <row r="22" ht="15" customHeight="1">
      <c r="B22" s="12"/>
      <c r="C22" s="193"/>
      <c r="D22" s="194" t="s">
        <v>109</v>
      </c>
      <c r="E22" s="195">
        <v>445</v>
      </c>
      <c r="F22" s="196"/>
      <c r="G22" s="197">
        <v>25588.9499999999</v>
      </c>
      <c r="H22" s="197">
        <v>16258.79</v>
      </c>
      <c r="I22" s="197">
        <v>24.86</v>
      </c>
      <c r="J22" s="197">
        <v>7325.99999999998</v>
      </c>
      <c r="K22" s="197">
        <v>16.462921348314605</v>
      </c>
      <c r="L22" s="198">
        <v>0.067056612861194756</v>
      </c>
      <c r="M22" s="198">
        <v>0.92265020643676277</v>
      </c>
      <c r="N22" s="199"/>
      <c r="O22" s="197">
        <v>18.5762025924148</v>
      </c>
      <c r="P22" s="198">
        <v>0.04566068370986149</v>
      </c>
      <c r="Q22" s="198">
        <v>0.90250571067858387</v>
      </c>
      <c r="R22" s="61"/>
    </row>
    <row r="23" ht="15" customHeight="1">
      <c r="B23" s="12"/>
      <c r="C23" s="145" t="s">
        <v>51</v>
      </c>
      <c r="D23" s="146"/>
      <c r="E23" s="134">
        <v>1798</v>
      </c>
      <c r="F23" s="135"/>
      <c r="G23" s="136">
        <v>274451.25999999989</v>
      </c>
      <c r="H23" s="136">
        <v>70467.989999999932</v>
      </c>
      <c r="I23" s="136">
        <v>12444.810000000001</v>
      </c>
      <c r="J23" s="136">
        <v>109250.96999999997</v>
      </c>
      <c r="K23" s="136">
        <v>60.762497219132356</v>
      </c>
      <c r="L23" s="137">
        <v>1.0000000000000002</v>
      </c>
      <c r="M23" s="137">
        <v>0.70017448635506352</v>
      </c>
      <c r="N23" s="144"/>
      <c r="O23" s="136">
        <v>73.117336496980073</v>
      </c>
      <c r="P23" s="137">
        <v>1</v>
      </c>
      <c r="Q23" s="137">
        <v>0.78084608407273215</v>
      </c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143</v>
      </c>
      <c r="D26" s="146"/>
      <c r="E26" s="4"/>
      <c r="F26" s="4"/>
      <c r="G26" s="4"/>
      <c r="H26" s="176">
        <v>0.3667</v>
      </c>
      <c r="I26" s="176">
        <v>0.0648</v>
      </c>
      <c r="J26" s="176">
        <v>0.5685</v>
      </c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144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145</v>
      </c>
      <c r="D29" s="146"/>
      <c r="E29" s="4"/>
      <c r="F29" s="4"/>
      <c r="G29" s="136"/>
      <c r="H29" s="136"/>
      <c r="I29" s="136"/>
      <c r="J29" s="136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3"/>
      <c r="Q31" s="23"/>
      <c r="R31" s="61"/>
    </row>
    <row r="32" ht="12" customHeight="1">
      <c r="B32" s="13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8"/>
      <c r="Q32" s="148"/>
      <c r="R32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BD80D-D0AD-473E-A0E5-D23DB2B04702}">
  <sheetPr>
    <tabColor theme="4" tint="0.79998168889431442"/>
  </sheetPr>
  <dimension ref="A1:V34"/>
  <sheetViews>
    <sheetView showGridLines="0" zoomScale="70" zoomScaleNormal="70" workbookViewId="0">
      <selection activeCell="A25" sqref="A25:XFD2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77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78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79</v>
      </c>
      <c r="F14" s="131" t="s">
        <v>80</v>
      </c>
      <c r="G14" s="132" t="s">
        <v>81</v>
      </c>
      <c r="H14" s="131" t="s">
        <v>82</v>
      </c>
      <c r="I14" s="131" t="s">
        <v>83</v>
      </c>
      <c r="J14" s="131" t="s">
        <v>84</v>
      </c>
      <c r="K14" s="133" t="s">
        <v>85</v>
      </c>
      <c r="L14" s="133" t="s">
        <v>86</v>
      </c>
      <c r="M14" s="133" t="s">
        <v>87</v>
      </c>
      <c r="N14" s="42"/>
      <c r="O14" s="152" t="s">
        <v>85</v>
      </c>
      <c r="P14" s="152" t="s">
        <v>86</v>
      </c>
      <c r="Q14" s="133" t="s">
        <v>87</v>
      </c>
      <c r="R14" s="61"/>
    </row>
    <row r="15" ht="15" customHeight="1">
      <c r="B15" s="12"/>
      <c r="C15" s="142" t="s">
        <v>110</v>
      </c>
      <c r="D15" s="143"/>
      <c r="E15" s="65">
        <v>801</v>
      </c>
      <c r="F15" s="76"/>
      <c r="G15" s="66">
        <v>164529.12000000002</v>
      </c>
      <c r="H15" s="66">
        <v>102104.68000000001</v>
      </c>
      <c r="I15" s="66">
        <v>1670.65</v>
      </c>
      <c r="J15" s="66">
        <v>45039.49</v>
      </c>
      <c r="K15" s="66">
        <v>56.229076154806492</v>
      </c>
      <c r="L15" s="67">
        <v>1</v>
      </c>
      <c r="M15" s="67">
        <v>0.90448924786080431</v>
      </c>
      <c r="N15" s="144"/>
      <c r="O15" s="66">
        <v>64.321971002598843</v>
      </c>
      <c r="P15" s="67">
        <v>1</v>
      </c>
      <c r="Q15" s="67">
        <v>0.92379302777816708</v>
      </c>
      <c r="R15" s="61"/>
    </row>
    <row r="16" ht="15" customHeight="1">
      <c r="B16" s="12"/>
      <c r="C16" s="193"/>
      <c r="D16" s="194" t="s">
        <v>111</v>
      </c>
      <c r="E16" s="195">
        <v>85</v>
      </c>
      <c r="F16" s="196"/>
      <c r="G16" s="197">
        <v>7675.86</v>
      </c>
      <c r="H16" s="197">
        <v>0</v>
      </c>
      <c r="I16" s="197">
        <v>0</v>
      </c>
      <c r="J16" s="197">
        <v>6874.84</v>
      </c>
      <c r="K16" s="197">
        <v>80.8804705882353</v>
      </c>
      <c r="L16" s="198">
        <v>0.15264027190361171</v>
      </c>
      <c r="M16" s="198">
        <v>0.89564426657078167</v>
      </c>
      <c r="N16" s="199"/>
      <c r="O16" s="197">
        <v>90.76275309541154</v>
      </c>
      <c r="P16" s="198">
        <v>0.26499767903967086</v>
      </c>
      <c r="Q16" s="198">
        <v>0.83904105695964992</v>
      </c>
      <c r="R16" s="61"/>
    </row>
    <row r="17" ht="15" customHeight="1">
      <c r="B17" s="12"/>
      <c r="C17" s="193"/>
      <c r="D17" s="194" t="s">
        <v>112</v>
      </c>
      <c r="E17" s="195">
        <v>51</v>
      </c>
      <c r="F17" s="196"/>
      <c r="G17" s="197">
        <v>6962.12</v>
      </c>
      <c r="H17" s="197">
        <v>4897.52</v>
      </c>
      <c r="I17" s="197">
        <v>0</v>
      </c>
      <c r="J17" s="197">
        <v>2064.6</v>
      </c>
      <c r="K17" s="197">
        <v>40.482352941176465</v>
      </c>
      <c r="L17" s="198">
        <v>0.045839773052492379</v>
      </c>
      <c r="M17" s="198">
        <v>1</v>
      </c>
      <c r="N17" s="199"/>
      <c r="O17" s="197">
        <v>46.513839891451831</v>
      </c>
      <c r="P17" s="198">
        <v>0.07289765427241171</v>
      </c>
      <c r="Q17" s="198">
        <v>0.99943679613597092</v>
      </c>
      <c r="R17" s="61"/>
    </row>
    <row r="18" ht="15" customHeight="1">
      <c r="B18" s="12"/>
      <c r="C18" s="193"/>
      <c r="D18" s="194" t="s">
        <v>113</v>
      </c>
      <c r="E18" s="195">
        <v>3</v>
      </c>
      <c r="F18" s="196"/>
      <c r="G18" s="197">
        <v>72</v>
      </c>
      <c r="H18" s="197">
        <v>0</v>
      </c>
      <c r="I18" s="197">
        <v>0</v>
      </c>
      <c r="J18" s="197">
        <v>72</v>
      </c>
      <c r="K18" s="197">
        <v>24</v>
      </c>
      <c r="L18" s="198">
        <v>0.00159859714219677</v>
      </c>
      <c r="M18" s="198">
        <v>1</v>
      </c>
      <c r="N18" s="199"/>
      <c r="O18" s="197">
        <v>23.77570093457944</v>
      </c>
      <c r="P18" s="198">
        <v>0.010819594259686378</v>
      </c>
      <c r="Q18" s="198">
        <v>1</v>
      </c>
      <c r="R18" s="61"/>
    </row>
    <row r="19" ht="15" customHeight="1">
      <c r="B19" s="12"/>
      <c r="C19" s="193"/>
      <c r="D19" s="194" t="s">
        <v>114</v>
      </c>
      <c r="E19" s="195">
        <v>13</v>
      </c>
      <c r="F19" s="196"/>
      <c r="G19" s="197">
        <v>1434.47</v>
      </c>
      <c r="H19" s="197">
        <v>932.42</v>
      </c>
      <c r="I19" s="197">
        <v>0</v>
      </c>
      <c r="J19" s="197">
        <v>502.05</v>
      </c>
      <c r="K19" s="197">
        <v>38.619230769230768</v>
      </c>
      <c r="L19" s="198">
        <v>0.011146884656109562</v>
      </c>
      <c r="M19" s="198">
        <v>1</v>
      </c>
      <c r="N19" s="199"/>
      <c r="O19" s="197">
        <v>34.640860000000018</v>
      </c>
      <c r="P19" s="198">
        <v>0.03683176592045987</v>
      </c>
      <c r="Q19" s="198">
        <v>0.99969761765042153</v>
      </c>
      <c r="R19" s="61"/>
    </row>
    <row r="20" ht="15" customHeight="1">
      <c r="B20" s="12"/>
      <c r="C20" s="193"/>
      <c r="D20" s="194" t="s">
        <v>115</v>
      </c>
      <c r="E20" s="195">
        <v>24</v>
      </c>
      <c r="F20" s="196"/>
      <c r="G20" s="197">
        <v>1793.66</v>
      </c>
      <c r="H20" s="197">
        <v>1434.94</v>
      </c>
      <c r="I20" s="197">
        <v>0</v>
      </c>
      <c r="J20" s="197">
        <v>358.72</v>
      </c>
      <c r="K20" s="197">
        <v>14.946666666666667</v>
      </c>
      <c r="L20" s="198">
        <v>0.0079645662062336857</v>
      </c>
      <c r="M20" s="198">
        <v>1</v>
      </c>
      <c r="N20" s="199"/>
      <c r="O20" s="197">
        <v>94.310365111561879</v>
      </c>
      <c r="P20" s="198">
        <v>0.098871293887590583</v>
      </c>
      <c r="Q20" s="198">
        <v>0.99982943209325981</v>
      </c>
      <c r="R20" s="61"/>
    </row>
    <row r="21" ht="15" customHeight="1">
      <c r="B21" s="12"/>
      <c r="C21" s="193"/>
      <c r="D21" s="194" t="s">
        <v>116</v>
      </c>
      <c r="E21" s="195">
        <v>597</v>
      </c>
      <c r="F21" s="196"/>
      <c r="G21" s="197">
        <v>141842.98</v>
      </c>
      <c r="H21" s="197">
        <v>93450.94</v>
      </c>
      <c r="I21" s="197">
        <v>1670.65</v>
      </c>
      <c r="J21" s="197">
        <v>32133.52</v>
      </c>
      <c r="K21" s="197">
        <v>53.82499162479062</v>
      </c>
      <c r="L21" s="198">
        <v>0.71345212834337157</v>
      </c>
      <c r="M21" s="198">
        <v>0.89715479750918936</v>
      </c>
      <c r="N21" s="199"/>
      <c r="O21" s="197">
        <v>58.041021164021174</v>
      </c>
      <c r="P21" s="198">
        <v>0.46654196772396794</v>
      </c>
      <c r="Q21" s="198">
        <v>0.9042503296950225</v>
      </c>
      <c r="R21" s="61"/>
    </row>
    <row r="22" ht="15" customHeight="1">
      <c r="B22" s="12"/>
      <c r="C22" s="193"/>
      <c r="D22" s="194" t="s">
        <v>117</v>
      </c>
      <c r="E22" s="195">
        <v>15</v>
      </c>
      <c r="F22" s="196"/>
      <c r="G22" s="197">
        <v>3565.31</v>
      </c>
      <c r="H22" s="197">
        <v>1388.86</v>
      </c>
      <c r="I22" s="197">
        <v>0</v>
      </c>
      <c r="J22" s="197">
        <v>1851.04</v>
      </c>
      <c r="K22" s="197">
        <v>123.40266666666666</v>
      </c>
      <c r="L22" s="198">
        <v>0.04109815630683207</v>
      </c>
      <c r="M22" s="198">
        <v>0.908728834238818</v>
      </c>
      <c r="N22" s="199"/>
      <c r="O22" s="197">
        <v>67.941000000000031</v>
      </c>
      <c r="P22" s="198">
        <v>0.024560925532930412</v>
      </c>
      <c r="Q22" s="198">
        <v>0.93400879016736493</v>
      </c>
      <c r="R22" s="61"/>
    </row>
    <row r="23" ht="15" customHeight="1">
      <c r="B23" s="12"/>
      <c r="C23" s="193"/>
      <c r="D23" s="194" t="s">
        <v>118</v>
      </c>
      <c r="E23" s="195">
        <v>5</v>
      </c>
      <c r="F23" s="196"/>
      <c r="G23" s="197">
        <v>1022.72</v>
      </c>
      <c r="H23" s="197">
        <v>0</v>
      </c>
      <c r="I23" s="197">
        <v>0</v>
      </c>
      <c r="J23" s="197">
        <v>1022.72</v>
      </c>
      <c r="K23" s="197">
        <v>204.544</v>
      </c>
      <c r="L23" s="198">
        <v>0.022707184295381676</v>
      </c>
      <c r="M23" s="198">
        <v>1</v>
      </c>
      <c r="N23" s="199"/>
      <c r="O23" s="197">
        <v>341.08484848484852</v>
      </c>
      <c r="P23" s="198">
        <v>0.023935375209940636</v>
      </c>
      <c r="Q23" s="198">
        <v>1</v>
      </c>
      <c r="R23" s="61"/>
    </row>
    <row r="24" ht="15" customHeight="1">
      <c r="B24" s="12"/>
      <c r="C24" s="193"/>
      <c r="D24" s="194" t="s">
        <v>119</v>
      </c>
      <c r="E24" s="195">
        <v>8</v>
      </c>
      <c r="F24" s="196"/>
      <c r="G24" s="197">
        <v>160</v>
      </c>
      <c r="H24" s="197">
        <v>0</v>
      </c>
      <c r="I24" s="197">
        <v>0</v>
      </c>
      <c r="J24" s="197">
        <v>160</v>
      </c>
      <c r="K24" s="197">
        <v>20</v>
      </c>
      <c r="L24" s="198">
        <v>0.0035524380937706</v>
      </c>
      <c r="M24" s="198">
        <v>1</v>
      </c>
      <c r="N24" s="199"/>
      <c r="O24" s="197">
        <v>23.245454545454546</v>
      </c>
      <c r="P24" s="198">
        <v>0.00054374415334155</v>
      </c>
      <c r="Q24" s="198">
        <v>0.9346785100705487</v>
      </c>
      <c r="R24" s="61"/>
    </row>
    <row r="25" ht="15" customHeight="1">
      <c r="B25" s="12"/>
      <c r="C25" s="145" t="s">
        <v>51</v>
      </c>
      <c r="D25" s="146"/>
      <c r="E25" s="134">
        <v>801</v>
      </c>
      <c r="F25" s="135"/>
      <c r="G25" s="136">
        <v>164529.12000000002</v>
      </c>
      <c r="H25" s="136">
        <v>102104.68000000001</v>
      </c>
      <c r="I25" s="136">
        <v>1670.65</v>
      </c>
      <c r="J25" s="136">
        <v>45039.49</v>
      </c>
      <c r="K25" s="136">
        <v>56.229076154806492</v>
      </c>
      <c r="L25" s="137">
        <v>1</v>
      </c>
      <c r="M25" s="137">
        <v>0.90448924786080409</v>
      </c>
      <c r="N25" s="144"/>
      <c r="O25" s="136">
        <v>64.321971002598843</v>
      </c>
      <c r="P25" s="137">
        <v>1</v>
      </c>
      <c r="Q25" s="137">
        <v>0.92379302777816708</v>
      </c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143</v>
      </c>
      <c r="D28" s="146"/>
      <c r="E28" s="4"/>
      <c r="F28" s="4"/>
      <c r="G28" s="4"/>
      <c r="H28" s="176">
        <v>0.6861</v>
      </c>
      <c r="I28" s="176">
        <v>0.0112</v>
      </c>
      <c r="J28" s="176">
        <v>0.30269999999999997</v>
      </c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146" t="s">
        <v>144</v>
      </c>
      <c r="D30" s="146"/>
      <c r="E30" s="4"/>
      <c r="F30" s="4"/>
      <c r="G30" s="136"/>
      <c r="H30" s="136"/>
      <c r="I30" s="136"/>
      <c r="J30" s="136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146" t="s">
        <v>145</v>
      </c>
      <c r="D31" s="146"/>
      <c r="E31" s="4"/>
      <c r="F31" s="4"/>
      <c r="G31" s="136"/>
      <c r="H31" s="136"/>
      <c r="I31" s="136"/>
      <c r="J31" s="136"/>
      <c r="K31" s="4"/>
      <c r="L31" s="4"/>
      <c r="M31" s="4"/>
      <c r="N31" s="4"/>
      <c r="O31" s="4"/>
      <c r="P31" s="23"/>
      <c r="Q31" s="23"/>
      <c r="R31" s="61"/>
    </row>
    <row r="32" ht="15" customHeight="1">
      <c r="B32" s="12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23"/>
      <c r="Q32" s="23"/>
      <c r="R32" s="61"/>
    </row>
    <row r="33" ht="15" customHeight="1">
      <c r="B33" s="12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3"/>
      <c r="Q33" s="23"/>
      <c r="R33" s="61"/>
    </row>
    <row r="34" ht="12" customHeight="1">
      <c r="B34" s="13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8"/>
      <c r="Q34" s="148"/>
      <c r="R34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539B8-557D-4C39-90E8-1C7E7988E865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77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78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79</v>
      </c>
      <c r="F14" s="131" t="s">
        <v>80</v>
      </c>
      <c r="G14" s="132" t="s">
        <v>81</v>
      </c>
      <c r="H14" s="131" t="s">
        <v>82</v>
      </c>
      <c r="I14" s="131" t="s">
        <v>83</v>
      </c>
      <c r="J14" s="131" t="s">
        <v>84</v>
      </c>
      <c r="K14" s="133" t="s">
        <v>85</v>
      </c>
      <c r="L14" s="133" t="s">
        <v>86</v>
      </c>
      <c r="M14" s="133" t="s">
        <v>87</v>
      </c>
      <c r="N14" s="42"/>
      <c r="O14" s="152" t="s">
        <v>85</v>
      </c>
      <c r="P14" s="152" t="s">
        <v>86</v>
      </c>
      <c r="Q14" s="133" t="s">
        <v>87</v>
      </c>
      <c r="R14" s="61"/>
    </row>
    <row r="15" ht="15" customHeight="1">
      <c r="B15" s="12"/>
      <c r="C15" s="142" t="s">
        <v>120</v>
      </c>
      <c r="D15" s="143"/>
      <c r="E15" s="65">
        <v>0</v>
      </c>
      <c r="F15" s="76"/>
      <c r="G15" s="66">
        <v>0</v>
      </c>
      <c r="H15" s="66">
        <v>0</v>
      </c>
      <c r="I15" s="66">
        <v>0</v>
      </c>
      <c r="J15" s="66">
        <v>0</v>
      </c>
      <c r="K15" s="66"/>
      <c r="L15" s="67">
        <v>0</v>
      </c>
      <c r="M15" s="67">
        <v>0</v>
      </c>
      <c r="N15" s="144"/>
      <c r="O15" s="66">
        <v>3180.0919999999996</v>
      </c>
      <c r="P15" s="67">
        <v>1</v>
      </c>
      <c r="Q15" s="67">
        <v>0.80032797397549671</v>
      </c>
      <c r="R15" s="61"/>
    </row>
    <row r="16" ht="15" customHeight="1">
      <c r="B16" s="12"/>
      <c r="C16" s="193"/>
      <c r="D16" s="194" t="s">
        <v>121</v>
      </c>
      <c r="E16" s="195">
        <v>0</v>
      </c>
      <c r="F16" s="196"/>
      <c r="G16" s="197">
        <v>0</v>
      </c>
      <c r="H16" s="197">
        <v>0</v>
      </c>
      <c r="I16" s="197">
        <v>0</v>
      </c>
      <c r="J16" s="197">
        <v>0</v>
      </c>
      <c r="K16" s="197"/>
      <c r="L16" s="198">
        <v>0</v>
      </c>
      <c r="M16" s="198">
        <v>0</v>
      </c>
      <c r="N16" s="199"/>
      <c r="O16" s="197">
        <v>3180.0919999999996</v>
      </c>
      <c r="P16" s="198">
        <v>1</v>
      </c>
      <c r="Q16" s="198">
        <v>0.80032797397549671</v>
      </c>
      <c r="R16" s="61"/>
    </row>
    <row r="17" ht="15" customHeight="1">
      <c r="B17" s="12"/>
      <c r="C17" s="145" t="s">
        <v>51</v>
      </c>
      <c r="D17" s="146"/>
      <c r="E17" s="134">
        <v>0</v>
      </c>
      <c r="F17" s="135"/>
      <c r="G17" s="136">
        <v>0</v>
      </c>
      <c r="H17" s="136">
        <v>0</v>
      </c>
      <c r="I17" s="136">
        <v>0</v>
      </c>
      <c r="J17" s="136">
        <v>0</v>
      </c>
      <c r="K17" s="136"/>
      <c r="L17" s="137">
        <v>0</v>
      </c>
      <c r="M17" s="137"/>
      <c r="N17" s="144"/>
      <c r="O17" s="136">
        <v>3180.0919999999996</v>
      </c>
      <c r="P17" s="137">
        <v>1</v>
      </c>
      <c r="Q17" s="137">
        <v>0.80032797397549671</v>
      </c>
      <c r="R17" s="61"/>
    </row>
    <row r="18" ht="15" customHeight="1">
      <c r="B18" s="12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23"/>
      <c r="Q18" s="23"/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146" t="s">
        <v>143</v>
      </c>
      <c r="D20" s="146"/>
      <c r="E20" s="4"/>
      <c r="F20" s="4"/>
      <c r="G20" s="4"/>
      <c r="H20" s="176"/>
      <c r="I20" s="176"/>
      <c r="J20" s="176"/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146" t="s">
        <v>144</v>
      </c>
      <c r="D22" s="146"/>
      <c r="E22" s="4"/>
      <c r="F22" s="4"/>
      <c r="G22" s="136"/>
      <c r="H22" s="136"/>
      <c r="I22" s="136"/>
      <c r="J22" s="136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145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2" customHeight="1">
      <c r="B26" s="13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8"/>
      <c r="Q26" s="148"/>
      <c r="R26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9E272-EF5E-4B3B-983C-BBFB3CF19440}">
  <sheetPr>
    <tabColor theme="4" tint="0.79998168889431442"/>
  </sheetPr>
  <dimension ref="A1:V35"/>
  <sheetViews>
    <sheetView showGridLines="0" zoomScale="70" zoomScaleNormal="70" workbookViewId="0">
      <selection activeCell="C25" sqref="C25:Q2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77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78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79</v>
      </c>
      <c r="F14" s="131" t="s">
        <v>80</v>
      </c>
      <c r="G14" s="132" t="s">
        <v>81</v>
      </c>
      <c r="H14" s="131" t="s">
        <v>82</v>
      </c>
      <c r="I14" s="131" t="s">
        <v>83</v>
      </c>
      <c r="J14" s="131" t="s">
        <v>84</v>
      </c>
      <c r="K14" s="133" t="s">
        <v>85</v>
      </c>
      <c r="L14" s="133" t="s">
        <v>86</v>
      </c>
      <c r="M14" s="133" t="s">
        <v>87</v>
      </c>
      <c r="N14" s="42"/>
      <c r="O14" s="152" t="s">
        <v>85</v>
      </c>
      <c r="P14" s="152" t="s">
        <v>86</v>
      </c>
      <c r="Q14" s="133" t="s">
        <v>87</v>
      </c>
      <c r="R14" s="61"/>
    </row>
    <row r="15" ht="15" customHeight="1">
      <c r="B15" s="12"/>
      <c r="C15" s="142" t="s">
        <v>122</v>
      </c>
      <c r="D15" s="143"/>
      <c r="E15" s="65">
        <v>949</v>
      </c>
      <c r="F15" s="76"/>
      <c r="G15" s="66">
        <v>200748.59999999998</v>
      </c>
      <c r="H15" s="66">
        <v>807.69999999999936</v>
      </c>
      <c r="I15" s="66">
        <v>19307.18</v>
      </c>
      <c r="J15" s="66">
        <v>99652.600000000108</v>
      </c>
      <c r="K15" s="66">
        <v>105.00800842992625</v>
      </c>
      <c r="L15" s="67">
        <v>0.999999999999999</v>
      </c>
      <c r="M15" s="67">
        <v>0.59660431006741765</v>
      </c>
      <c r="N15" s="144"/>
      <c r="O15" s="66">
        <v>131.49341528239216</v>
      </c>
      <c r="P15" s="67">
        <v>1</v>
      </c>
      <c r="Q15" s="67">
        <v>0.74619350470167811</v>
      </c>
      <c r="R15" s="61"/>
    </row>
    <row r="16" ht="15" customHeight="1">
      <c r="B16" s="12"/>
      <c r="C16" s="193"/>
      <c r="D16" s="194" t="s">
        <v>123</v>
      </c>
      <c r="E16" s="195">
        <v>484</v>
      </c>
      <c r="F16" s="196"/>
      <c r="G16" s="197">
        <v>117733.85</v>
      </c>
      <c r="H16" s="197">
        <v>451.809999999999</v>
      </c>
      <c r="I16" s="197">
        <v>10322.2</v>
      </c>
      <c r="J16" s="197">
        <v>55268.7100000001</v>
      </c>
      <c r="K16" s="197">
        <v>114.19154958677686</v>
      </c>
      <c r="L16" s="198">
        <v>0.55461382844</v>
      </c>
      <c r="M16" s="198">
        <v>0.56094929368231816</v>
      </c>
      <c r="N16" s="199"/>
      <c r="O16" s="197">
        <v>164.2448388648393</v>
      </c>
      <c r="P16" s="198">
        <v>0.43136581400511315</v>
      </c>
      <c r="Q16" s="198">
        <v>0.74340268838307966</v>
      </c>
      <c r="R16" s="61"/>
    </row>
    <row r="17" ht="15" customHeight="1">
      <c r="B17" s="12"/>
      <c r="C17" s="193"/>
      <c r="D17" s="194" t="s">
        <v>124</v>
      </c>
      <c r="E17" s="195">
        <v>8</v>
      </c>
      <c r="F17" s="196"/>
      <c r="G17" s="197">
        <v>405</v>
      </c>
      <c r="H17" s="197">
        <v>72.9</v>
      </c>
      <c r="I17" s="197">
        <v>0</v>
      </c>
      <c r="J17" s="197">
        <v>332.1</v>
      </c>
      <c r="K17" s="197">
        <v>41.5125</v>
      </c>
      <c r="L17" s="198">
        <v>0.0033325773737965659</v>
      </c>
      <c r="M17" s="198">
        <v>1</v>
      </c>
      <c r="N17" s="199"/>
      <c r="O17" s="197">
        <v>45.02264150943396</v>
      </c>
      <c r="P17" s="198">
        <v>0.0030144379221596351</v>
      </c>
      <c r="Q17" s="198">
        <v>0.99999999999999989</v>
      </c>
      <c r="R17" s="61"/>
    </row>
    <row r="18" ht="15" customHeight="1">
      <c r="B18" s="12"/>
      <c r="C18" s="193"/>
      <c r="D18" s="194" t="s">
        <v>125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438.5200000000001</v>
      </c>
      <c r="P18" s="198">
        <v>0.011079467920756378</v>
      </c>
      <c r="Q18" s="198">
        <v>0.47777867332957208</v>
      </c>
      <c r="R18" s="61"/>
    </row>
    <row r="19" ht="15" customHeight="1">
      <c r="B19" s="12"/>
      <c r="C19" s="193"/>
      <c r="D19" s="194" t="s">
        <v>126</v>
      </c>
      <c r="E19" s="195">
        <v>225</v>
      </c>
      <c r="F19" s="196"/>
      <c r="G19" s="197">
        <v>14770.58</v>
      </c>
      <c r="H19" s="197">
        <v>213.21</v>
      </c>
      <c r="I19" s="197">
        <v>1343.95</v>
      </c>
      <c r="J19" s="197">
        <v>9694.52</v>
      </c>
      <c r="K19" s="197">
        <v>43.086755555555555</v>
      </c>
      <c r="L19" s="198">
        <v>0.097283161703758753</v>
      </c>
      <c r="M19" s="198">
        <v>0.76176290978417915</v>
      </c>
      <c r="N19" s="199"/>
      <c r="O19" s="197">
        <v>62.825277008310238</v>
      </c>
      <c r="P19" s="198">
        <v>0.11460435167502531</v>
      </c>
      <c r="Q19" s="198">
        <v>0.82934846510792881</v>
      </c>
      <c r="R19" s="61"/>
    </row>
    <row r="20" ht="15" customHeight="1">
      <c r="B20" s="12"/>
      <c r="C20" s="193"/>
      <c r="D20" s="194" t="s">
        <v>127</v>
      </c>
      <c r="E20" s="195">
        <v>0</v>
      </c>
      <c r="F20" s="196"/>
      <c r="G20" s="197">
        <v>0</v>
      </c>
      <c r="H20" s="197">
        <v>0</v>
      </c>
      <c r="I20" s="197">
        <v>0</v>
      </c>
      <c r="J20" s="197">
        <v>0</v>
      </c>
      <c r="K20" s="197"/>
      <c r="L20" s="198">
        <v>0</v>
      </c>
      <c r="M20" s="198">
        <v>0</v>
      </c>
      <c r="N20" s="199"/>
      <c r="O20" s="197">
        <v>127.90041666666667</v>
      </c>
      <c r="P20" s="198">
        <v>0.0038777758738749637</v>
      </c>
      <c r="Q20" s="198">
        <v>0.74722597446849948</v>
      </c>
      <c r="R20" s="61"/>
    </row>
    <row r="21" ht="15" customHeight="1">
      <c r="B21" s="12"/>
      <c r="C21" s="193"/>
      <c r="D21" s="194" t="s">
        <v>128</v>
      </c>
      <c r="E21" s="195">
        <v>3</v>
      </c>
      <c r="F21" s="196"/>
      <c r="G21" s="197">
        <v>418.25</v>
      </c>
      <c r="H21" s="197">
        <v>0.09</v>
      </c>
      <c r="I21" s="197">
        <v>0</v>
      </c>
      <c r="J21" s="197">
        <v>356.91</v>
      </c>
      <c r="K21" s="197">
        <v>118.97000000000001</v>
      </c>
      <c r="L21" s="198">
        <v>0.0035815422778733281</v>
      </c>
      <c r="M21" s="198">
        <v>0.85355648535564854</v>
      </c>
      <c r="N21" s="199"/>
      <c r="O21" s="197">
        <v>129.52477272727273</v>
      </c>
      <c r="P21" s="198">
        <v>0.0071995444714612169</v>
      </c>
      <c r="Q21" s="198">
        <v>0.74538060711460385</v>
      </c>
      <c r="R21" s="61"/>
    </row>
    <row r="22" ht="15" customHeight="1">
      <c r="B22" s="12"/>
      <c r="C22" s="193"/>
      <c r="D22" s="194" t="s">
        <v>129</v>
      </c>
      <c r="E22" s="195">
        <v>112</v>
      </c>
      <c r="F22" s="196"/>
      <c r="G22" s="197">
        <v>44640.17</v>
      </c>
      <c r="H22" s="197">
        <v>44.5800000000002</v>
      </c>
      <c r="I22" s="197">
        <v>5469.96</v>
      </c>
      <c r="J22" s="197">
        <v>22025.97</v>
      </c>
      <c r="K22" s="197">
        <v>196.66044642857145</v>
      </c>
      <c r="L22" s="198">
        <v>0.22102754970768426</v>
      </c>
      <c r="M22" s="198">
        <v>0.61694455912690294</v>
      </c>
      <c r="N22" s="199"/>
      <c r="O22" s="197">
        <v>193.28869767441876</v>
      </c>
      <c r="P22" s="198">
        <v>0.2624910060804681</v>
      </c>
      <c r="Q22" s="198">
        <v>0.73164031445120559</v>
      </c>
      <c r="R22" s="61"/>
    </row>
    <row r="23" ht="15" customHeight="1">
      <c r="B23" s="12"/>
      <c r="C23" s="193"/>
      <c r="D23" s="194" t="s">
        <v>130</v>
      </c>
      <c r="E23" s="195">
        <v>115</v>
      </c>
      <c r="F23" s="196"/>
      <c r="G23" s="197">
        <v>22055.95</v>
      </c>
      <c r="H23" s="197">
        <v>24.9900000000001</v>
      </c>
      <c r="I23" s="197">
        <v>1955.11</v>
      </c>
      <c r="J23" s="197">
        <v>11612.05</v>
      </c>
      <c r="K23" s="197">
        <v>100.97434782608696</v>
      </c>
      <c r="L23" s="198">
        <v>0.11652530892319907</v>
      </c>
      <c r="M23" s="198">
        <v>0.61625774450885129</v>
      </c>
      <c r="N23" s="199"/>
      <c r="O23" s="197">
        <v>101.99027429467085</v>
      </c>
      <c r="P23" s="198">
        <v>0.16440269686962822</v>
      </c>
      <c r="Q23" s="198">
        <v>0.75842431131908894</v>
      </c>
      <c r="R23" s="61"/>
    </row>
    <row r="24" ht="15" customHeight="1">
      <c r="B24" s="12"/>
      <c r="C24" s="193"/>
      <c r="D24" s="194" t="s">
        <v>131</v>
      </c>
      <c r="E24" s="195">
        <v>2</v>
      </c>
      <c r="F24" s="196"/>
      <c r="G24" s="197">
        <v>724.8</v>
      </c>
      <c r="H24" s="197">
        <v>0.12</v>
      </c>
      <c r="I24" s="197">
        <v>215.96</v>
      </c>
      <c r="J24" s="197">
        <v>362.34</v>
      </c>
      <c r="K24" s="197">
        <v>181.17</v>
      </c>
      <c r="L24" s="198">
        <v>0.0036360315736869843</v>
      </c>
      <c r="M24" s="198">
        <v>0.79804083885209709</v>
      </c>
      <c r="N24" s="199"/>
      <c r="O24" s="197">
        <v>373.1125</v>
      </c>
      <c r="P24" s="198">
        <v>0.0018853817269831312</v>
      </c>
      <c r="Q24" s="198">
        <v>0.74877082584727572</v>
      </c>
      <c r="R24" s="61"/>
    </row>
    <row r="25" ht="15" customHeight="1">
      <c r="B25" s="12"/>
      <c r="C25" s="193"/>
      <c r="D25" s="194" t="s">
        <v>132</v>
      </c>
      <c r="E25" s="195">
        <v>0</v>
      </c>
      <c r="F25" s="196"/>
      <c r="G25" s="197">
        <v>0</v>
      </c>
      <c r="H25" s="197">
        <v>0</v>
      </c>
      <c r="I25" s="197">
        <v>0</v>
      </c>
      <c r="J25" s="197">
        <v>0</v>
      </c>
      <c r="K25" s="197"/>
      <c r="L25" s="198">
        <v>0</v>
      </c>
      <c r="M25" s="198">
        <v>0</v>
      </c>
      <c r="N25" s="199"/>
      <c r="O25" s="197">
        <v>62.95</v>
      </c>
      <c r="P25" s="198">
        <v>7.9523454530194045E-05</v>
      </c>
      <c r="Q25" s="198">
        <v>1</v>
      </c>
      <c r="R25" s="61"/>
    </row>
    <row r="26" ht="15" customHeight="1">
      <c r="B26" s="12"/>
      <c r="C26" s="145" t="s">
        <v>51</v>
      </c>
      <c r="D26" s="146"/>
      <c r="E26" s="134">
        <v>949</v>
      </c>
      <c r="F26" s="135"/>
      <c r="G26" s="136">
        <v>200748.59999999998</v>
      </c>
      <c r="H26" s="136">
        <v>807.69999999999936</v>
      </c>
      <c r="I26" s="136">
        <v>19307.18</v>
      </c>
      <c r="J26" s="136">
        <v>99652.600000000108</v>
      </c>
      <c r="K26" s="136">
        <v>105.00800842992635</v>
      </c>
      <c r="L26" s="137">
        <v>0.999999999999999</v>
      </c>
      <c r="M26" s="137">
        <v>0.59660431006741832</v>
      </c>
      <c r="N26" s="144"/>
      <c r="O26" s="136">
        <v>131.49341528239216</v>
      </c>
      <c r="P26" s="137">
        <v>1</v>
      </c>
      <c r="Q26" s="137">
        <v>0.74619350470167811</v>
      </c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143</v>
      </c>
      <c r="D29" s="146"/>
      <c r="E29" s="4"/>
      <c r="F29" s="4"/>
      <c r="G29" s="4"/>
      <c r="H29" s="176">
        <v>0.0067</v>
      </c>
      <c r="I29" s="176">
        <v>0.1612</v>
      </c>
      <c r="J29" s="176">
        <v>0.8321</v>
      </c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146" t="s">
        <v>144</v>
      </c>
      <c r="D31" s="146"/>
      <c r="E31" s="4"/>
      <c r="F31" s="4"/>
      <c r="G31" s="136"/>
      <c r="H31" s="136"/>
      <c r="I31" s="136"/>
      <c r="J31" s="136"/>
      <c r="K31" s="4"/>
      <c r="L31" s="4"/>
      <c r="M31" s="4"/>
      <c r="N31" s="4"/>
      <c r="O31" s="4"/>
      <c r="P31" s="23"/>
      <c r="Q31" s="23"/>
      <c r="R31" s="61"/>
    </row>
    <row r="32" ht="15" customHeight="1">
      <c r="B32" s="12"/>
      <c r="C32" s="146" t="s">
        <v>145</v>
      </c>
      <c r="D32" s="146"/>
      <c r="E32" s="4"/>
      <c r="F32" s="4"/>
      <c r="G32" s="136"/>
      <c r="H32" s="136"/>
      <c r="I32" s="136"/>
      <c r="J32" s="136"/>
      <c r="K32" s="4"/>
      <c r="L32" s="4"/>
      <c r="M32" s="4"/>
      <c r="N32" s="4"/>
      <c r="O32" s="4"/>
      <c r="P32" s="23"/>
      <c r="Q32" s="23"/>
      <c r="R32" s="61"/>
    </row>
    <row r="33" ht="15" customHeight="1">
      <c r="B33" s="12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3"/>
      <c r="Q33" s="23"/>
      <c r="R33" s="61"/>
    </row>
    <row r="34" ht="15" customHeight="1">
      <c r="B34" s="1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3"/>
      <c r="Q34" s="23"/>
      <c r="R34" s="61"/>
    </row>
    <row r="35" ht="12" customHeight="1">
      <c r="B35" s="13"/>
      <c r="C35" s="147"/>
      <c r="D35" s="147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8"/>
      <c r="Q35" s="148"/>
      <c r="R35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981F1-51A3-48D6-8F92-EC2991FE9DFD}">
  <sheetPr>
    <tabColor theme="4" tint="0.79998168889431442"/>
  </sheetPr>
  <dimension ref="A1:V27"/>
  <sheetViews>
    <sheetView showGridLines="0" zoomScale="70" zoomScaleNormal="70" workbookViewId="0">
      <selection activeCell="C17" sqref="C17:Q17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77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78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79</v>
      </c>
      <c r="F14" s="131" t="s">
        <v>80</v>
      </c>
      <c r="G14" s="132" t="s">
        <v>81</v>
      </c>
      <c r="H14" s="131" t="s">
        <v>82</v>
      </c>
      <c r="I14" s="131" t="s">
        <v>83</v>
      </c>
      <c r="J14" s="131" t="s">
        <v>84</v>
      </c>
      <c r="K14" s="133" t="s">
        <v>85</v>
      </c>
      <c r="L14" s="133" t="s">
        <v>86</v>
      </c>
      <c r="M14" s="133" t="s">
        <v>87</v>
      </c>
      <c r="N14" s="42"/>
      <c r="O14" s="152" t="s">
        <v>85</v>
      </c>
      <c r="P14" s="152" t="s">
        <v>86</v>
      </c>
      <c r="Q14" s="133" t="s">
        <v>87</v>
      </c>
      <c r="R14" s="61"/>
    </row>
    <row r="15" ht="15" customHeight="1">
      <c r="B15" s="12"/>
      <c r="C15" s="142" t="s">
        <v>133</v>
      </c>
      <c r="D15" s="143"/>
      <c r="E15" s="65">
        <v>319</v>
      </c>
      <c r="F15" s="76"/>
      <c r="G15" s="66">
        <v>16573.13</v>
      </c>
      <c r="H15" s="66">
        <v>0</v>
      </c>
      <c r="I15" s="66">
        <v>0</v>
      </c>
      <c r="J15" s="66">
        <v>13582.13</v>
      </c>
      <c r="K15" s="66">
        <v>42.57721003134796</v>
      </c>
      <c r="L15" s="67">
        <v>1</v>
      </c>
      <c r="M15" s="67">
        <v>0.81952715027276068</v>
      </c>
      <c r="N15" s="144"/>
      <c r="O15" s="66">
        <v>41.004826883910383</v>
      </c>
      <c r="P15" s="67">
        <v>1</v>
      </c>
      <c r="Q15" s="67">
        <v>0.765920660647314</v>
      </c>
      <c r="R15" s="61"/>
    </row>
    <row r="16" ht="15" customHeight="1">
      <c r="B16" s="12"/>
      <c r="C16" s="193"/>
      <c r="D16" s="194" t="s">
        <v>134</v>
      </c>
      <c r="E16" s="195">
        <v>317</v>
      </c>
      <c r="F16" s="196"/>
      <c r="G16" s="197">
        <v>16506</v>
      </c>
      <c r="H16" s="197">
        <v>0</v>
      </c>
      <c r="I16" s="197">
        <v>0</v>
      </c>
      <c r="J16" s="197">
        <v>13545</v>
      </c>
      <c r="K16" s="197">
        <v>42.728706624605678</v>
      </c>
      <c r="L16" s="198">
        <v>0.997266260888388</v>
      </c>
      <c r="M16" s="198">
        <v>0.82061068702290074</v>
      </c>
      <c r="N16" s="199"/>
      <c r="O16" s="197">
        <v>41.1792152159013</v>
      </c>
      <c r="P16" s="198">
        <v>0.9947080394390011</v>
      </c>
      <c r="Q16" s="198">
        <v>0.766606483631192</v>
      </c>
      <c r="R16" s="61"/>
    </row>
    <row r="17" ht="15" customHeight="1">
      <c r="B17" s="12"/>
      <c r="C17" s="193"/>
      <c r="D17" s="194" t="s">
        <v>135</v>
      </c>
      <c r="E17" s="195">
        <v>2</v>
      </c>
      <c r="F17" s="196"/>
      <c r="G17" s="197">
        <v>67.13</v>
      </c>
      <c r="H17" s="197">
        <v>0</v>
      </c>
      <c r="I17" s="197">
        <v>0</v>
      </c>
      <c r="J17" s="197">
        <v>37.13</v>
      </c>
      <c r="K17" s="197">
        <v>18.565</v>
      </c>
      <c r="L17" s="198">
        <v>0.0027337391116120965</v>
      </c>
      <c r="M17" s="198">
        <v>0.55310591389840613</v>
      </c>
      <c r="N17" s="199"/>
      <c r="O17" s="197">
        <v>22.831071428571427</v>
      </c>
      <c r="P17" s="198">
        <v>0.0052919605609989791</v>
      </c>
      <c r="Q17" s="198">
        <v>0.66136058338130854</v>
      </c>
      <c r="R17" s="61"/>
    </row>
    <row r="18" ht="15" customHeight="1">
      <c r="B18" s="12"/>
      <c r="C18" s="145" t="s">
        <v>51</v>
      </c>
      <c r="D18" s="146"/>
      <c r="E18" s="134">
        <v>319</v>
      </c>
      <c r="F18" s="135"/>
      <c r="G18" s="136">
        <v>16573.13</v>
      </c>
      <c r="H18" s="136">
        <v>0</v>
      </c>
      <c r="I18" s="136">
        <v>0</v>
      </c>
      <c r="J18" s="136">
        <v>13582.13</v>
      </c>
      <c r="K18" s="136">
        <v>42.57721003134796</v>
      </c>
      <c r="L18" s="137">
        <v>1</v>
      </c>
      <c r="M18" s="137">
        <v>0.81952715027276068</v>
      </c>
      <c r="N18" s="144"/>
      <c r="O18" s="136">
        <v>41.004826883910383</v>
      </c>
      <c r="P18" s="137">
        <v>1</v>
      </c>
      <c r="Q18" s="137">
        <v>0.765920660647314</v>
      </c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146" t="s">
        <v>143</v>
      </c>
      <c r="D21" s="146"/>
      <c r="E21" s="4"/>
      <c r="F21" s="4"/>
      <c r="G21" s="4"/>
      <c r="H21" s="176">
        <v>0</v>
      </c>
      <c r="I21" s="176">
        <v>0</v>
      </c>
      <c r="J21" s="176">
        <v>1</v>
      </c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144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146" t="s">
        <v>145</v>
      </c>
      <c r="D24" s="146"/>
      <c r="E24" s="4"/>
      <c r="F24" s="4"/>
      <c r="G24" s="136"/>
      <c r="H24" s="136"/>
      <c r="I24" s="136"/>
      <c r="J24" s="136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2" customHeight="1">
      <c r="B27" s="13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8"/>
      <c r="Q27" s="148"/>
      <c r="R27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033FD-ED0F-4AC7-BE74-8AD1EA24FC9B}">
  <sheetPr>
    <tabColor theme="4" tint="0.79998168889431442"/>
  </sheetPr>
  <dimension ref="A1:V32"/>
  <sheetViews>
    <sheetView showGridLines="0" zoomScale="70" zoomScaleNormal="70" workbookViewId="0">
      <selection activeCell="A18" sqref="A18:XFD1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77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78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79</v>
      </c>
      <c r="F14" s="131" t="s">
        <v>80</v>
      </c>
      <c r="G14" s="132" t="s">
        <v>81</v>
      </c>
      <c r="H14" s="131" t="s">
        <v>82</v>
      </c>
      <c r="I14" s="131" t="s">
        <v>83</v>
      </c>
      <c r="J14" s="131" t="s">
        <v>84</v>
      </c>
      <c r="K14" s="133" t="s">
        <v>85</v>
      </c>
      <c r="L14" s="133" t="s">
        <v>86</v>
      </c>
      <c r="M14" s="133" t="s">
        <v>87</v>
      </c>
      <c r="N14" s="42"/>
      <c r="O14" s="152" t="s">
        <v>85</v>
      </c>
      <c r="P14" s="152" t="s">
        <v>86</v>
      </c>
      <c r="Q14" s="133" t="s">
        <v>87</v>
      </c>
      <c r="R14" s="61"/>
    </row>
    <row r="15" ht="15" customHeight="1">
      <c r="B15" s="12"/>
      <c r="C15" s="142" t="s">
        <v>136</v>
      </c>
      <c r="D15" s="143"/>
      <c r="E15" s="65">
        <v>57096</v>
      </c>
      <c r="F15" s="76"/>
      <c r="G15" s="66">
        <v>595175.54999999644</v>
      </c>
      <c r="H15" s="66">
        <v>330616.050000023</v>
      </c>
      <c r="I15" s="66">
        <v>11053.979999999998</v>
      </c>
      <c r="J15" s="66">
        <v>201533.56000000378</v>
      </c>
      <c r="K15" s="66">
        <v>3.5297316799775817</v>
      </c>
      <c r="L15" s="67">
        <v>0.99999999999998124</v>
      </c>
      <c r="M15" s="67">
        <v>0.912677931746356</v>
      </c>
      <c r="N15" s="144"/>
      <c r="O15" s="66">
        <v>4.2845221881843516</v>
      </c>
      <c r="P15" s="67">
        <v>1</v>
      </c>
      <c r="Q15" s="67">
        <v>0.93212435014934381</v>
      </c>
      <c r="R15" s="61"/>
    </row>
    <row r="16" ht="15" customHeight="1">
      <c r="B16" s="12"/>
      <c r="C16" s="193"/>
      <c r="D16" s="194" t="s">
        <v>137</v>
      </c>
      <c r="E16" s="195">
        <v>2079</v>
      </c>
      <c r="F16" s="196"/>
      <c r="G16" s="197">
        <v>49491.7199999996</v>
      </c>
      <c r="H16" s="197">
        <v>30086.3900000001</v>
      </c>
      <c r="I16" s="197">
        <v>0</v>
      </c>
      <c r="J16" s="197">
        <v>19405.3300000001</v>
      </c>
      <c r="K16" s="197">
        <v>9.3339730639730654</v>
      </c>
      <c r="L16" s="198">
        <v>0.096288330340612446</v>
      </c>
      <c r="M16" s="198">
        <v>1</v>
      </c>
      <c r="N16" s="199"/>
      <c r="O16" s="197">
        <v>9.2234805394452088</v>
      </c>
      <c r="P16" s="198">
        <v>0.094756290070682869</v>
      </c>
      <c r="Q16" s="198">
        <v>0.99929611270573637</v>
      </c>
      <c r="R16" s="61"/>
    </row>
    <row r="17" ht="15" customHeight="1">
      <c r="B17" s="12"/>
      <c r="C17" s="193"/>
      <c r="D17" s="194" t="s">
        <v>89</v>
      </c>
      <c r="E17" s="195">
        <v>60</v>
      </c>
      <c r="F17" s="196"/>
      <c r="G17" s="197">
        <v>3191.87</v>
      </c>
      <c r="H17" s="197">
        <v>1349.25</v>
      </c>
      <c r="I17" s="197">
        <v>0</v>
      </c>
      <c r="J17" s="197">
        <v>1126.3</v>
      </c>
      <c r="K17" s="197">
        <v>18.771666666666665</v>
      </c>
      <c r="L17" s="198">
        <v>0.00558864736969852</v>
      </c>
      <c r="M17" s="198">
        <v>0.77557983251197582</v>
      </c>
      <c r="N17" s="199"/>
      <c r="O17" s="197">
        <v>20.847408805031439</v>
      </c>
      <c r="P17" s="198">
        <v>0.023795368693442596</v>
      </c>
      <c r="Q17" s="198">
        <v>0.8398220230946104</v>
      </c>
      <c r="R17" s="61"/>
    </row>
    <row r="18" ht="15" customHeight="1">
      <c r="B18" s="12"/>
      <c r="C18" s="193"/>
      <c r="D18" s="194" t="s">
        <v>138</v>
      </c>
      <c r="E18" s="195">
        <v>5742</v>
      </c>
      <c r="F18" s="196"/>
      <c r="G18" s="197">
        <v>83204.0299999998</v>
      </c>
      <c r="H18" s="197">
        <v>47716.6000000001</v>
      </c>
      <c r="I18" s="197">
        <v>-8.44</v>
      </c>
      <c r="J18" s="197">
        <v>31660.8100000004</v>
      </c>
      <c r="K18" s="197">
        <v>5.5138993382096837</v>
      </c>
      <c r="L18" s="198">
        <v>0.15709944289179137</v>
      </c>
      <c r="M18" s="198">
        <v>0.95390776143895917</v>
      </c>
      <c r="N18" s="199"/>
      <c r="O18" s="197">
        <v>6.8176008703594055</v>
      </c>
      <c r="P18" s="198">
        <v>0.182188590754378</v>
      </c>
      <c r="Q18" s="198">
        <v>0.94877191246507853</v>
      </c>
      <c r="R18" s="61"/>
    </row>
    <row r="19" ht="15" customHeight="1">
      <c r="B19" s="12"/>
      <c r="C19" s="193"/>
      <c r="D19" s="194" t="s">
        <v>139</v>
      </c>
      <c r="E19" s="195">
        <v>9887</v>
      </c>
      <c r="F19" s="196"/>
      <c r="G19" s="197">
        <v>272733.06</v>
      </c>
      <c r="H19" s="197">
        <v>144597.680000003</v>
      </c>
      <c r="I19" s="197">
        <v>11178.63</v>
      </c>
      <c r="J19" s="197">
        <v>79834.9799999995</v>
      </c>
      <c r="K19" s="197">
        <v>8.0747425912814812</v>
      </c>
      <c r="L19" s="198">
        <v>0.3961373976621983</v>
      </c>
      <c r="M19" s="198">
        <v>0.863889731593229</v>
      </c>
      <c r="N19" s="199"/>
      <c r="O19" s="197">
        <v>10.502637254544746</v>
      </c>
      <c r="P19" s="198">
        <v>0.41390256708288264</v>
      </c>
      <c r="Q19" s="198">
        <v>0.89677471905292239</v>
      </c>
      <c r="R19" s="61"/>
    </row>
    <row r="20" ht="15" customHeight="1">
      <c r="B20" s="12"/>
      <c r="C20" s="193"/>
      <c r="D20" s="194" t="s">
        <v>140</v>
      </c>
      <c r="E20" s="195">
        <v>1598</v>
      </c>
      <c r="F20" s="196"/>
      <c r="G20" s="197">
        <v>60697.0100000001</v>
      </c>
      <c r="H20" s="197">
        <v>34789.8899999999</v>
      </c>
      <c r="I20" s="197">
        <v>53.72</v>
      </c>
      <c r="J20" s="197">
        <v>15686.55</v>
      </c>
      <c r="K20" s="197">
        <v>9.8163642052565709</v>
      </c>
      <c r="L20" s="198">
        <v>0.077835919734657116</v>
      </c>
      <c r="M20" s="198">
        <v>0.83249833888028424</v>
      </c>
      <c r="N20" s="199"/>
      <c r="O20" s="197">
        <v>12.048909998613269</v>
      </c>
      <c r="P20" s="198">
        <v>0.062371542859962756</v>
      </c>
      <c r="Q20" s="198">
        <v>0.87311641590906175</v>
      </c>
      <c r="R20" s="61"/>
    </row>
    <row r="21" ht="15" customHeight="1">
      <c r="B21" s="12"/>
      <c r="C21" s="193"/>
      <c r="D21" s="194" t="s">
        <v>141</v>
      </c>
      <c r="E21" s="195">
        <v>37700</v>
      </c>
      <c r="F21" s="196"/>
      <c r="G21" s="197">
        <v>125267.399999997</v>
      </c>
      <c r="H21" s="197">
        <v>71721.9600000199</v>
      </c>
      <c r="I21" s="197">
        <v>-169.93</v>
      </c>
      <c r="J21" s="197">
        <v>53583.4100000038</v>
      </c>
      <c r="K21" s="197">
        <v>1.4213106100795756</v>
      </c>
      <c r="L21" s="198">
        <v>0.26587834800317622</v>
      </c>
      <c r="M21" s="198">
        <v>0.99894657348999027</v>
      </c>
      <c r="N21" s="199"/>
      <c r="O21" s="197">
        <v>1.4762485818611941</v>
      </c>
      <c r="P21" s="198">
        <v>0.22231611587137393</v>
      </c>
      <c r="Q21" s="198">
        <v>0.99811187508445953</v>
      </c>
      <c r="R21" s="61"/>
    </row>
    <row r="22" ht="15" customHeight="1">
      <c r="B22" s="12"/>
      <c r="C22" s="193"/>
      <c r="D22" s="194" t="s">
        <v>142</v>
      </c>
      <c r="E22" s="195">
        <v>30</v>
      </c>
      <c r="F22" s="196"/>
      <c r="G22" s="197">
        <v>590.46</v>
      </c>
      <c r="H22" s="197">
        <v>354.28</v>
      </c>
      <c r="I22" s="197">
        <v>0</v>
      </c>
      <c r="J22" s="197">
        <v>236.18</v>
      </c>
      <c r="K22" s="197">
        <v>7.8726666666666665</v>
      </c>
      <c r="L22" s="198">
        <v>0.0011719139978472845</v>
      </c>
      <c r="M22" s="198">
        <v>1</v>
      </c>
      <c r="N22" s="199"/>
      <c r="O22" s="197">
        <v>8.4787272727272711</v>
      </c>
      <c r="P22" s="198">
        <v>0.00066952466727766044</v>
      </c>
      <c r="Q22" s="198">
        <v>0.99999999999999978</v>
      </c>
      <c r="R22" s="61"/>
    </row>
    <row r="23" ht="15" customHeight="1">
      <c r="B23" s="12"/>
      <c r="C23" s="145" t="s">
        <v>51</v>
      </c>
      <c r="D23" s="146"/>
      <c r="E23" s="134">
        <v>57096</v>
      </c>
      <c r="F23" s="135"/>
      <c r="G23" s="136">
        <v>595175.54999999644</v>
      </c>
      <c r="H23" s="136">
        <v>330616.050000023</v>
      </c>
      <c r="I23" s="136">
        <v>11053.979999999998</v>
      </c>
      <c r="J23" s="136">
        <v>201533.56000000378</v>
      </c>
      <c r="K23" s="136">
        <v>3.5297316799776479</v>
      </c>
      <c r="L23" s="137">
        <v>0.99999999999998124</v>
      </c>
      <c r="M23" s="137">
        <v>0.91267793174640655</v>
      </c>
      <c r="N23" s="144"/>
      <c r="O23" s="136">
        <v>4.2845221881843516</v>
      </c>
      <c r="P23" s="137">
        <v>1</v>
      </c>
      <c r="Q23" s="137">
        <v>0.93212435014934381</v>
      </c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143</v>
      </c>
      <c r="D26" s="146"/>
      <c r="E26" s="4"/>
      <c r="F26" s="4"/>
      <c r="G26" s="4"/>
      <c r="H26" s="176">
        <v>0.6086</v>
      </c>
      <c r="I26" s="176">
        <v>0.0203</v>
      </c>
      <c r="J26" s="176">
        <v>0.3711</v>
      </c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144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145</v>
      </c>
      <c r="D29" s="146"/>
      <c r="E29" s="4"/>
      <c r="F29" s="4"/>
      <c r="G29" s="136"/>
      <c r="H29" s="136"/>
      <c r="I29" s="136"/>
      <c r="J29" s="136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3"/>
      <c r="Q31" s="23"/>
      <c r="R31" s="61"/>
    </row>
    <row r="32" ht="12" customHeight="1">
      <c r="B32" s="13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8"/>
      <c r="Q32" s="148"/>
      <c r="R32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64"/>
  <sheetViews>
    <sheetView showGridLines="0" topLeftCell="A26" zoomScale="70" zoomScaleNormal="70" workbookViewId="0">
      <selection activeCell="A56" sqref="A56:XFD5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width="21.42578125" customWidth="1"/>
    <col min="6" max="6" width="21.42578125" customWidth="1"/>
    <col min="7" max="7" width="26.7109375" customWidth="1" style="151"/>
    <col min="8" max="8" width="14.28515625" customWidth="1"/>
    <col min="9" max="9" width="14.28515625" customWidth="1"/>
    <col min="10" max="10" width="14.28515625" customWidth="1"/>
    <col min="11" max="11" width="10.42578125" customWidth="1"/>
    <col min="12" max="12" width="7.28515625" customWidth="1"/>
    <col min="13" max="13" width="10.7109375" customWidth="1"/>
    <col min="14" max="14" width="1.42578125" customWidth="1"/>
    <col min="15" max="15" width="7.5703125" customWidth="1"/>
    <col min="16" max="16" width="6.855468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B1" s="15"/>
      <c r="C1" s="15"/>
      <c r="D1" s="15"/>
      <c r="E1" s="15"/>
      <c r="F1" s="15"/>
      <c r="G1" s="162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163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IF(E14&lt;&gt;0,'[1]Page de garde'!C13&amp;" : Détail des Prestations Réglées - Synthèse par famille d'actes" &amp; " - années " &amp;E14 &amp; " et "&amp;F14,'[1]Page de garde'!C13&amp;" : Détail des Prestations Réglées - Synthèse par famille d'actes" &amp; " - année " &amp;F14)</f>
        <v>KERIALIS_ : Détail des Prestations Réglées - Synthèse par famille d'actes - année 2021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84</v>
      </c>
      <c r="F12" s="270"/>
      <c r="G12" s="271"/>
      <c r="H12" s="44"/>
      <c r="I12" s="44"/>
      <c r="M12" s="44"/>
      <c r="N12" s="42"/>
      <c r="R12" s="61"/>
    </row>
    <row r="13" ht="15.75">
      <c r="B13" s="12"/>
      <c r="C13" s="44"/>
      <c r="D13" s="44"/>
      <c r="E13" s="44"/>
      <c r="F13" s="44"/>
      <c r="G13" s="164"/>
      <c r="H13" s="44"/>
      <c r="I13" s="44"/>
      <c r="J13" s="44"/>
      <c r="K13" s="44"/>
      <c r="L13" s="44"/>
      <c r="M13" s="44"/>
      <c r="N13" s="42"/>
      <c r="R13" s="61"/>
    </row>
    <row r="14" ht="45" customHeight="1">
      <c r="B14" s="12"/>
      <c r="C14" s="44"/>
      <c r="D14" s="44"/>
      <c r="E14" s="160">
        <v>0</v>
      </c>
      <c r="F14" s="160">
        <v>2021</v>
      </c>
      <c r="G14" s="161"/>
      <c r="H14" s="44"/>
      <c r="I14" s="44"/>
      <c r="J14" s="44"/>
      <c r="K14" s="44"/>
      <c r="L14" s="44"/>
      <c r="M14" s="44"/>
      <c r="N14" s="42"/>
      <c r="R14" s="61"/>
    </row>
    <row r="15" ht="15" customHeight="1">
      <c r="B15" s="12"/>
      <c r="C15" s="142" t="s">
        <v>88</v>
      </c>
      <c r="D15" s="143"/>
      <c r="E15" s="65">
        <v>0</v>
      </c>
      <c r="F15" s="65">
        <v>13270.3</v>
      </c>
      <c r="G15" s="231"/>
      <c r="H15" s="44"/>
      <c r="I15" s="44"/>
      <c r="J15" s="44"/>
      <c r="K15" s="44"/>
      <c r="L15" s="44"/>
      <c r="M15" s="44"/>
      <c r="N15" s="144"/>
      <c r="R15" s="61"/>
      <c r="T15" s="232"/>
    </row>
    <row r="16" ht="15" customHeight="1">
      <c r="B16" s="12"/>
      <c r="C16" s="193"/>
      <c r="D16" s="194" t="s">
        <v>89</v>
      </c>
      <c r="E16" s="195">
        <v>0</v>
      </c>
      <c r="F16" s="195">
        <v>12870.3</v>
      </c>
      <c r="G16" s="233"/>
      <c r="H16" s="234"/>
      <c r="I16" s="234"/>
      <c r="J16" s="234"/>
      <c r="K16" s="234"/>
      <c r="L16" s="234"/>
      <c r="M16" s="234"/>
      <c r="N16" s="199"/>
      <c r="O16" s="69"/>
      <c r="P16" s="69"/>
      <c r="Q16" s="69"/>
      <c r="R16" s="61"/>
      <c r="T16" s="232"/>
    </row>
    <row r="17" ht="15" customHeight="1">
      <c r="B17" s="12"/>
      <c r="C17" s="193"/>
      <c r="D17" s="194" t="s">
        <v>92</v>
      </c>
      <c r="E17" s="195">
        <v>0</v>
      </c>
      <c r="F17" s="195">
        <v>200</v>
      </c>
      <c r="G17" s="233"/>
      <c r="H17" s="234"/>
      <c r="I17" s="234"/>
      <c r="J17" s="234"/>
      <c r="K17" s="234"/>
      <c r="L17" s="234"/>
      <c r="M17" s="234"/>
      <c r="N17" s="199"/>
      <c r="O17" s="69"/>
      <c r="P17" s="69"/>
      <c r="Q17" s="69"/>
      <c r="R17" s="61"/>
      <c r="T17" s="232"/>
    </row>
    <row r="18" ht="15" customHeight="1">
      <c r="B18" s="12"/>
      <c r="C18" s="193"/>
      <c r="D18" s="194" t="s">
        <v>93</v>
      </c>
      <c r="E18" s="195">
        <v>0</v>
      </c>
      <c r="F18" s="195">
        <v>200</v>
      </c>
      <c r="G18" s="233"/>
      <c r="H18" s="234"/>
      <c r="I18" s="234"/>
      <c r="J18" s="234"/>
      <c r="K18" s="234"/>
      <c r="L18" s="234"/>
      <c r="M18" s="234"/>
      <c r="N18" s="199"/>
      <c r="O18" s="69"/>
      <c r="P18" s="69"/>
      <c r="Q18" s="69"/>
      <c r="R18" s="61"/>
      <c r="T18" s="232"/>
    </row>
    <row r="19" ht="15" customHeight="1">
      <c r="B19" s="12"/>
      <c r="C19" s="142" t="s">
        <v>95</v>
      </c>
      <c r="D19" s="143"/>
      <c r="E19" s="65">
        <v>0</v>
      </c>
      <c r="F19" s="65">
        <v>5436.34</v>
      </c>
      <c r="G19" s="231"/>
      <c r="H19" s="44"/>
      <c r="I19" s="44"/>
      <c r="J19" s="44"/>
      <c r="K19" s="44"/>
      <c r="L19" s="44"/>
      <c r="M19" s="44"/>
      <c r="N19" s="144"/>
      <c r="R19" s="61"/>
      <c r="T19" s="232"/>
    </row>
    <row r="20" ht="15" customHeight="1">
      <c r="B20" s="12"/>
      <c r="C20" s="193"/>
      <c r="D20" s="194" t="s">
        <v>97</v>
      </c>
      <c r="E20" s="195">
        <v>0</v>
      </c>
      <c r="F20" s="195">
        <v>240</v>
      </c>
      <c r="G20" s="233"/>
      <c r="H20" s="234"/>
      <c r="I20" s="234"/>
      <c r="J20" s="234"/>
      <c r="K20" s="234"/>
      <c r="L20" s="234"/>
      <c r="M20" s="234"/>
      <c r="N20" s="199"/>
      <c r="O20" s="69"/>
      <c r="P20" s="69"/>
      <c r="Q20" s="69"/>
      <c r="R20" s="61"/>
      <c r="T20" s="232"/>
    </row>
    <row r="21" ht="15" customHeight="1">
      <c r="B21" s="12"/>
      <c r="C21" s="193"/>
      <c r="D21" s="194" t="s">
        <v>99</v>
      </c>
      <c r="E21" s="195">
        <v>0</v>
      </c>
      <c r="F21" s="195">
        <v>5196.34</v>
      </c>
      <c r="G21" s="233"/>
      <c r="H21" s="234"/>
      <c r="I21" s="234"/>
      <c r="J21" s="234"/>
      <c r="K21" s="234"/>
      <c r="L21" s="234"/>
      <c r="M21" s="234"/>
      <c r="N21" s="199"/>
      <c r="O21" s="69"/>
      <c r="P21" s="69"/>
      <c r="Q21" s="69"/>
      <c r="R21" s="61"/>
      <c r="T21" s="232"/>
    </row>
    <row r="22" ht="15" customHeight="1">
      <c r="B22" s="12"/>
      <c r="C22" s="142" t="s">
        <v>100</v>
      </c>
      <c r="D22" s="143"/>
      <c r="E22" s="65">
        <v>0</v>
      </c>
      <c r="F22" s="65">
        <v>316.72</v>
      </c>
      <c r="G22" s="231"/>
      <c r="H22" s="44"/>
      <c r="I22" s="44"/>
      <c r="J22" s="44"/>
      <c r="K22" s="44"/>
      <c r="L22" s="44"/>
      <c r="M22" s="44"/>
      <c r="N22" s="144"/>
      <c r="R22" s="61"/>
      <c r="T22" s="232"/>
    </row>
    <row r="23" ht="15" customHeight="1">
      <c r="B23" s="12"/>
      <c r="C23" s="193"/>
      <c r="D23" s="194" t="s">
        <v>101</v>
      </c>
      <c r="E23" s="195">
        <v>0</v>
      </c>
      <c r="F23" s="195">
        <v>316.72</v>
      </c>
      <c r="G23" s="233"/>
      <c r="H23" s="234"/>
      <c r="I23" s="234"/>
      <c r="J23" s="234"/>
      <c r="K23" s="234"/>
      <c r="L23" s="234"/>
      <c r="M23" s="234"/>
      <c r="N23" s="199"/>
      <c r="O23" s="69"/>
      <c r="P23" s="69"/>
      <c r="Q23" s="69"/>
      <c r="R23" s="61"/>
      <c r="T23" s="232"/>
    </row>
    <row r="24" ht="15" customHeight="1">
      <c r="B24" s="12"/>
      <c r="C24" s="142" t="s">
        <v>102</v>
      </c>
      <c r="D24" s="143"/>
      <c r="E24" s="65">
        <v>0</v>
      </c>
      <c r="F24" s="65">
        <v>109250.96999999997</v>
      </c>
      <c r="G24" s="231"/>
      <c r="H24" s="44"/>
      <c r="I24" s="44"/>
      <c r="J24" s="44"/>
      <c r="K24" s="44"/>
      <c r="L24" s="44"/>
      <c r="M24" s="44"/>
      <c r="N24" s="144"/>
      <c r="R24" s="61"/>
      <c r="T24" s="232"/>
    </row>
    <row r="25" ht="15" customHeight="1">
      <c r="B25" s="12"/>
      <c r="C25" s="193"/>
      <c r="D25" s="194" t="s">
        <v>103</v>
      </c>
      <c r="E25" s="195">
        <v>0</v>
      </c>
      <c r="F25" s="195">
        <v>3774.83999999999</v>
      </c>
      <c r="G25" s="233"/>
      <c r="H25" s="234"/>
      <c r="I25" s="234"/>
      <c r="J25" s="234"/>
      <c r="K25" s="234"/>
      <c r="L25" s="234"/>
      <c r="M25" s="234"/>
      <c r="N25" s="199"/>
      <c r="O25" s="69"/>
      <c r="P25" s="69"/>
      <c r="Q25" s="69"/>
      <c r="R25" s="61"/>
      <c r="T25" s="232"/>
    </row>
    <row r="26" ht="15" customHeight="1">
      <c r="B26" s="12"/>
      <c r="C26" s="193"/>
      <c r="D26" s="194" t="s">
        <v>104</v>
      </c>
      <c r="E26" s="195">
        <v>0</v>
      </c>
      <c r="F26" s="195">
        <v>14700.3</v>
      </c>
      <c r="G26" s="233"/>
      <c r="H26" s="234"/>
      <c r="I26" s="234"/>
      <c r="J26" s="234"/>
      <c r="K26" s="234"/>
      <c r="L26" s="234"/>
      <c r="M26" s="234"/>
      <c r="N26" s="199"/>
      <c r="O26" s="69"/>
      <c r="P26" s="69"/>
      <c r="Q26" s="69"/>
      <c r="R26" s="61"/>
      <c r="T26" s="232"/>
    </row>
    <row r="27" ht="15" customHeight="1">
      <c r="B27" s="12"/>
      <c r="C27" s="193"/>
      <c r="D27" s="194" t="s">
        <v>105</v>
      </c>
      <c r="E27" s="195">
        <v>0</v>
      </c>
      <c r="F27" s="195">
        <v>899.28</v>
      </c>
      <c r="G27" s="233"/>
      <c r="H27" s="234"/>
      <c r="I27" s="234"/>
      <c r="J27" s="234"/>
      <c r="K27" s="234"/>
      <c r="L27" s="234"/>
      <c r="M27" s="234"/>
      <c r="N27" s="199"/>
      <c r="O27" s="69"/>
      <c r="P27" s="69"/>
      <c r="Q27" s="69"/>
      <c r="R27" s="61"/>
      <c r="T27" s="232"/>
    </row>
    <row r="28" ht="15" customHeight="1">
      <c r="B28" s="12"/>
      <c r="C28" s="193"/>
      <c r="D28" s="194" t="s">
        <v>106</v>
      </c>
      <c r="E28" s="195">
        <v>0</v>
      </c>
      <c r="F28" s="195">
        <v>61116.12</v>
      </c>
      <c r="G28" s="233"/>
      <c r="H28" s="234"/>
      <c r="I28" s="234"/>
      <c r="J28" s="234"/>
      <c r="K28" s="234"/>
      <c r="L28" s="234"/>
      <c r="M28" s="234"/>
      <c r="N28" s="199"/>
      <c r="O28" s="69"/>
      <c r="P28" s="69"/>
      <c r="Q28" s="69"/>
      <c r="R28" s="61"/>
      <c r="T28" s="232"/>
    </row>
    <row r="29" ht="15" customHeight="1">
      <c r="B29" s="12"/>
      <c r="C29" s="193"/>
      <c r="D29" s="194" t="s">
        <v>107</v>
      </c>
      <c r="E29" s="195">
        <v>0</v>
      </c>
      <c r="F29" s="195">
        <v>12759.56</v>
      </c>
      <c r="G29" s="233"/>
      <c r="H29" s="234"/>
      <c r="I29" s="234"/>
      <c r="J29" s="234"/>
      <c r="K29" s="234"/>
      <c r="L29" s="234"/>
      <c r="M29" s="234"/>
      <c r="N29" s="199"/>
      <c r="O29" s="69"/>
      <c r="P29" s="69"/>
      <c r="Q29" s="69"/>
      <c r="R29" s="61"/>
      <c r="T29" s="232"/>
    </row>
    <row r="30" ht="15" customHeight="1">
      <c r="B30" s="12"/>
      <c r="C30" s="193"/>
      <c r="D30" s="194" t="s">
        <v>108</v>
      </c>
      <c r="E30" s="195">
        <v>0</v>
      </c>
      <c r="F30" s="195">
        <v>8674.87</v>
      </c>
      <c r="G30" s="233"/>
      <c r="H30" s="234"/>
      <c r="I30" s="234"/>
      <c r="J30" s="234"/>
      <c r="K30" s="234"/>
      <c r="L30" s="234"/>
      <c r="M30" s="234"/>
      <c r="N30" s="199"/>
      <c r="O30" s="69"/>
      <c r="P30" s="69"/>
      <c r="Q30" s="69"/>
      <c r="R30" s="61"/>
      <c r="T30" s="232"/>
    </row>
    <row r="31" ht="15" customHeight="1">
      <c r="B31" s="12"/>
      <c r="C31" s="193"/>
      <c r="D31" s="194" t="s">
        <v>109</v>
      </c>
      <c r="E31" s="195">
        <v>0</v>
      </c>
      <c r="F31" s="195">
        <v>7325.99999999998</v>
      </c>
      <c r="G31" s="233"/>
      <c r="H31" s="234"/>
      <c r="I31" s="234"/>
      <c r="J31" s="234"/>
      <c r="K31" s="234"/>
      <c r="L31" s="234"/>
      <c r="M31" s="234"/>
      <c r="N31" s="199"/>
      <c r="O31" s="69"/>
      <c r="P31" s="69"/>
      <c r="Q31" s="69"/>
      <c r="R31" s="61"/>
      <c r="T31" s="232"/>
    </row>
    <row r="32" ht="15" customHeight="1">
      <c r="B32" s="12"/>
      <c r="C32" s="142" t="s">
        <v>110</v>
      </c>
      <c r="D32" s="143"/>
      <c r="E32" s="65">
        <v>0</v>
      </c>
      <c r="F32" s="65">
        <v>45039.49</v>
      </c>
      <c r="G32" s="231"/>
      <c r="H32" s="44"/>
      <c r="I32" s="44"/>
      <c r="J32" s="44"/>
      <c r="K32" s="44"/>
      <c r="L32" s="44"/>
      <c r="M32" s="44"/>
      <c r="N32" s="144"/>
      <c r="R32" s="61"/>
      <c r="T32" s="232"/>
    </row>
    <row r="33" ht="15" customHeight="1">
      <c r="B33" s="12"/>
      <c r="C33" s="193"/>
      <c r="D33" s="194" t="s">
        <v>111</v>
      </c>
      <c r="E33" s="195">
        <v>0</v>
      </c>
      <c r="F33" s="195">
        <v>6874.84</v>
      </c>
      <c r="G33" s="233"/>
      <c r="H33" s="234"/>
      <c r="I33" s="234"/>
      <c r="J33" s="234"/>
      <c r="K33" s="234"/>
      <c r="L33" s="234"/>
      <c r="M33" s="234"/>
      <c r="N33" s="199"/>
      <c r="O33" s="69"/>
      <c r="P33" s="69"/>
      <c r="Q33" s="69"/>
      <c r="R33" s="61"/>
      <c r="T33" s="232"/>
    </row>
    <row r="34" ht="15" customHeight="1">
      <c r="B34" s="12"/>
      <c r="C34" s="193"/>
      <c r="D34" s="194" t="s">
        <v>112</v>
      </c>
      <c r="E34" s="195">
        <v>0</v>
      </c>
      <c r="F34" s="195">
        <v>2064.6</v>
      </c>
      <c r="G34" s="233"/>
      <c r="H34" s="234"/>
      <c r="I34" s="234"/>
      <c r="J34" s="234"/>
      <c r="K34" s="234"/>
      <c r="L34" s="234"/>
      <c r="M34" s="234"/>
      <c r="N34" s="199"/>
      <c r="O34" s="69"/>
      <c r="P34" s="69"/>
      <c r="Q34" s="69"/>
      <c r="R34" s="61"/>
      <c r="T34" s="232"/>
    </row>
    <row r="35" ht="15" customHeight="1">
      <c r="B35" s="12"/>
      <c r="C35" s="193"/>
      <c r="D35" s="194" t="s">
        <v>113</v>
      </c>
      <c r="E35" s="195">
        <v>0</v>
      </c>
      <c r="F35" s="195">
        <v>72</v>
      </c>
      <c r="G35" s="233"/>
      <c r="H35" s="234"/>
      <c r="I35" s="234"/>
      <c r="J35" s="234"/>
      <c r="K35" s="234"/>
      <c r="L35" s="234"/>
      <c r="M35" s="234"/>
      <c r="N35" s="199"/>
      <c r="O35" s="69"/>
      <c r="P35" s="69"/>
      <c r="Q35" s="69"/>
      <c r="R35" s="61"/>
      <c r="T35" s="232"/>
    </row>
    <row r="36" ht="15" customHeight="1">
      <c r="B36" s="12"/>
      <c r="C36" s="193"/>
      <c r="D36" s="194" t="s">
        <v>114</v>
      </c>
      <c r="E36" s="195">
        <v>0</v>
      </c>
      <c r="F36" s="195">
        <v>502.05</v>
      </c>
      <c r="G36" s="233"/>
      <c r="H36" s="234"/>
      <c r="I36" s="234"/>
      <c r="J36" s="234"/>
      <c r="K36" s="234"/>
      <c r="L36" s="234"/>
      <c r="M36" s="234"/>
      <c r="N36" s="199"/>
      <c r="O36" s="69"/>
      <c r="P36" s="69"/>
      <c r="Q36" s="69"/>
      <c r="R36" s="61"/>
      <c r="T36" s="232"/>
    </row>
    <row r="37" ht="15" customHeight="1">
      <c r="B37" s="12"/>
      <c r="C37" s="193"/>
      <c r="D37" s="194" t="s">
        <v>115</v>
      </c>
      <c r="E37" s="195">
        <v>0</v>
      </c>
      <c r="F37" s="195">
        <v>358.72</v>
      </c>
      <c r="G37" s="233"/>
      <c r="H37" s="234"/>
      <c r="I37" s="234"/>
      <c r="J37" s="234"/>
      <c r="K37" s="234"/>
      <c r="L37" s="234"/>
      <c r="M37" s="234"/>
      <c r="N37" s="199"/>
      <c r="O37" s="69"/>
      <c r="P37" s="69"/>
      <c r="Q37" s="69"/>
      <c r="R37" s="61"/>
      <c r="T37" s="232"/>
    </row>
    <row r="38" ht="15" customHeight="1">
      <c r="B38" s="12"/>
      <c r="C38" s="193"/>
      <c r="D38" s="194" t="s">
        <v>116</v>
      </c>
      <c r="E38" s="195">
        <v>0</v>
      </c>
      <c r="F38" s="195">
        <v>32133.52</v>
      </c>
      <c r="G38" s="233"/>
      <c r="H38" s="234"/>
      <c r="I38" s="234"/>
      <c r="J38" s="234"/>
      <c r="K38" s="234"/>
      <c r="L38" s="234"/>
      <c r="M38" s="234"/>
      <c r="N38" s="199"/>
      <c r="O38" s="69"/>
      <c r="P38" s="69"/>
      <c r="Q38" s="69"/>
      <c r="R38" s="61"/>
      <c r="T38" s="232"/>
    </row>
    <row r="39" ht="15" customHeight="1">
      <c r="B39" s="12"/>
      <c r="C39" s="193"/>
      <c r="D39" s="194" t="s">
        <v>117</v>
      </c>
      <c r="E39" s="195">
        <v>0</v>
      </c>
      <c r="F39" s="195">
        <v>1851.04</v>
      </c>
      <c r="G39" s="233"/>
      <c r="H39" s="234"/>
      <c r="I39" s="234"/>
      <c r="J39" s="234"/>
      <c r="K39" s="234"/>
      <c r="L39" s="234"/>
      <c r="M39" s="234"/>
      <c r="N39" s="199"/>
      <c r="O39" s="69"/>
      <c r="P39" s="69"/>
      <c r="Q39" s="69"/>
      <c r="R39" s="61"/>
      <c r="T39" s="232"/>
    </row>
    <row r="40" ht="15" customHeight="1">
      <c r="B40" s="12"/>
      <c r="C40" s="193"/>
      <c r="D40" s="194" t="s">
        <v>118</v>
      </c>
      <c r="E40" s="195">
        <v>0</v>
      </c>
      <c r="F40" s="195">
        <v>1022.72</v>
      </c>
      <c r="G40" s="233"/>
      <c r="H40" s="234"/>
      <c r="I40" s="234"/>
      <c r="J40" s="234"/>
      <c r="K40" s="234"/>
      <c r="L40" s="234"/>
      <c r="M40" s="234"/>
      <c r="N40" s="199"/>
      <c r="O40" s="69"/>
      <c r="P40" s="69"/>
      <c r="Q40" s="69"/>
      <c r="R40" s="61"/>
      <c r="T40" s="232"/>
    </row>
    <row r="41" ht="15" customHeight="1">
      <c r="B41" s="12"/>
      <c r="C41" s="193"/>
      <c r="D41" s="194" t="s">
        <v>119</v>
      </c>
      <c r="E41" s="195">
        <v>0</v>
      </c>
      <c r="F41" s="195">
        <v>160</v>
      </c>
      <c r="G41" s="233"/>
      <c r="H41" s="234"/>
      <c r="I41" s="234"/>
      <c r="J41" s="234"/>
      <c r="K41" s="234"/>
      <c r="L41" s="234"/>
      <c r="M41" s="234"/>
      <c r="N41" s="199"/>
      <c r="O41" s="69"/>
      <c r="P41" s="69"/>
      <c r="Q41" s="69"/>
      <c r="R41" s="61"/>
      <c r="T41" s="232"/>
    </row>
    <row r="42" ht="15" customHeight="1">
      <c r="B42" s="12"/>
      <c r="C42" s="142" t="s">
        <v>122</v>
      </c>
      <c r="D42" s="143"/>
      <c r="E42" s="65">
        <v>0</v>
      </c>
      <c r="F42" s="65">
        <v>99652.600000000108</v>
      </c>
      <c r="G42" s="231"/>
      <c r="H42" s="44"/>
      <c r="I42" s="44"/>
      <c r="J42" s="44"/>
      <c r="K42" s="44"/>
      <c r="L42" s="44"/>
      <c r="M42" s="44"/>
      <c r="N42" s="144"/>
      <c r="R42" s="61"/>
      <c r="T42" s="232"/>
    </row>
    <row r="43" ht="15" customHeight="1">
      <c r="B43" s="12"/>
      <c r="C43" s="193"/>
      <c r="D43" s="194" t="s">
        <v>123</v>
      </c>
      <c r="E43" s="195">
        <v>0</v>
      </c>
      <c r="F43" s="195">
        <v>55268.7100000001</v>
      </c>
      <c r="G43" s="233"/>
      <c r="H43" s="234"/>
      <c r="I43" s="234"/>
      <c r="J43" s="234"/>
      <c r="K43" s="234"/>
      <c r="L43" s="234"/>
      <c r="M43" s="234"/>
      <c r="N43" s="199"/>
      <c r="O43" s="69"/>
      <c r="P43" s="69"/>
      <c r="Q43" s="69"/>
      <c r="R43" s="61"/>
      <c r="T43" s="232"/>
    </row>
    <row r="44" ht="15" customHeight="1">
      <c r="B44" s="12"/>
      <c r="C44" s="193"/>
      <c r="D44" s="194" t="s">
        <v>124</v>
      </c>
      <c r="E44" s="195">
        <v>0</v>
      </c>
      <c r="F44" s="195">
        <v>332.1</v>
      </c>
      <c r="G44" s="233"/>
      <c r="H44" s="234"/>
      <c r="I44" s="234"/>
      <c r="J44" s="234"/>
      <c r="K44" s="234"/>
      <c r="L44" s="234"/>
      <c r="M44" s="234"/>
      <c r="N44" s="199"/>
      <c r="O44" s="69"/>
      <c r="P44" s="69"/>
      <c r="Q44" s="69"/>
      <c r="R44" s="61"/>
      <c r="T44" s="232"/>
    </row>
    <row r="45" ht="15" customHeight="1">
      <c r="B45" s="12"/>
      <c r="C45" s="193"/>
      <c r="D45" s="194" t="s">
        <v>126</v>
      </c>
      <c r="E45" s="195">
        <v>0</v>
      </c>
      <c r="F45" s="195">
        <v>9694.52</v>
      </c>
      <c r="G45" s="233"/>
      <c r="H45" s="234"/>
      <c r="I45" s="234"/>
      <c r="J45" s="234"/>
      <c r="K45" s="234"/>
      <c r="L45" s="234"/>
      <c r="M45" s="234"/>
      <c r="N45" s="199"/>
      <c r="O45" s="69"/>
      <c r="P45" s="69"/>
      <c r="Q45" s="69"/>
      <c r="R45" s="61"/>
      <c r="T45" s="232"/>
    </row>
    <row r="46" ht="15" customHeight="1">
      <c r="B46" s="12"/>
      <c r="C46" s="193"/>
      <c r="D46" s="194" t="s">
        <v>128</v>
      </c>
      <c r="E46" s="195">
        <v>0</v>
      </c>
      <c r="F46" s="195">
        <v>356.91</v>
      </c>
      <c r="G46" s="233"/>
      <c r="H46" s="234"/>
      <c r="I46" s="234"/>
      <c r="J46" s="234"/>
      <c r="K46" s="234"/>
      <c r="L46" s="234"/>
      <c r="M46" s="234"/>
      <c r="N46" s="199"/>
      <c r="O46" s="69"/>
      <c r="P46" s="69"/>
      <c r="Q46" s="69"/>
      <c r="R46" s="61"/>
      <c r="T46" s="232"/>
    </row>
    <row r="47" ht="15" customHeight="1">
      <c r="B47" s="12"/>
      <c r="C47" s="193"/>
      <c r="D47" s="194" t="s">
        <v>129</v>
      </c>
      <c r="E47" s="195">
        <v>0</v>
      </c>
      <c r="F47" s="195">
        <v>22025.97</v>
      </c>
      <c r="G47" s="233"/>
      <c r="H47" s="234"/>
      <c r="I47" s="234"/>
      <c r="J47" s="234"/>
      <c r="K47" s="234"/>
      <c r="L47" s="234"/>
      <c r="M47" s="234"/>
      <c r="N47" s="199"/>
      <c r="O47" s="69"/>
      <c r="P47" s="69"/>
      <c r="Q47" s="69"/>
      <c r="R47" s="61"/>
      <c r="T47" s="232"/>
    </row>
    <row r="48" ht="15" customHeight="1">
      <c r="B48" s="12"/>
      <c r="C48" s="193"/>
      <c r="D48" s="194" t="s">
        <v>130</v>
      </c>
      <c r="E48" s="195">
        <v>0</v>
      </c>
      <c r="F48" s="195">
        <v>11612.05</v>
      </c>
      <c r="G48" s="233"/>
      <c r="H48" s="234"/>
      <c r="I48" s="234"/>
      <c r="J48" s="234"/>
      <c r="K48" s="234"/>
      <c r="L48" s="234"/>
      <c r="M48" s="234"/>
      <c r="N48" s="199"/>
      <c r="O48" s="69"/>
      <c r="P48" s="69"/>
      <c r="Q48" s="69"/>
      <c r="R48" s="61"/>
      <c r="T48" s="232"/>
    </row>
    <row r="49" ht="15" customHeight="1">
      <c r="B49" s="12"/>
      <c r="C49" s="193"/>
      <c r="D49" s="194" t="s">
        <v>131</v>
      </c>
      <c r="E49" s="195">
        <v>0</v>
      </c>
      <c r="F49" s="195">
        <v>362.34</v>
      </c>
      <c r="G49" s="233"/>
      <c r="H49" s="234"/>
      <c r="I49" s="234"/>
      <c r="J49" s="234"/>
      <c r="K49" s="234"/>
      <c r="L49" s="234"/>
      <c r="M49" s="234"/>
      <c r="N49" s="199"/>
      <c r="O49" s="69"/>
      <c r="P49" s="69"/>
      <c r="Q49" s="69"/>
      <c r="R49" s="61"/>
      <c r="T49" s="232"/>
    </row>
    <row r="50" ht="15" customHeight="1">
      <c r="B50" s="12"/>
      <c r="C50" s="142" t="s">
        <v>133</v>
      </c>
      <c r="D50" s="143"/>
      <c r="E50" s="65">
        <v>0</v>
      </c>
      <c r="F50" s="65">
        <v>13582.13</v>
      </c>
      <c r="G50" s="231"/>
      <c r="H50" s="44"/>
      <c r="I50" s="44"/>
      <c r="J50" s="44"/>
      <c r="K50" s="44"/>
      <c r="L50" s="44"/>
      <c r="M50" s="44"/>
      <c r="N50" s="144"/>
      <c r="R50" s="61"/>
      <c r="T50" s="232"/>
    </row>
    <row r="51" ht="15" customHeight="1">
      <c r="B51" s="12"/>
      <c r="C51" s="193"/>
      <c r="D51" s="194" t="s">
        <v>134</v>
      </c>
      <c r="E51" s="195">
        <v>0</v>
      </c>
      <c r="F51" s="195">
        <v>13545</v>
      </c>
      <c r="G51" s="233"/>
      <c r="H51" s="234"/>
      <c r="I51" s="234"/>
      <c r="J51" s="234"/>
      <c r="K51" s="234"/>
      <c r="L51" s="234"/>
      <c r="M51" s="234"/>
      <c r="N51" s="199"/>
      <c r="O51" s="69"/>
      <c r="P51" s="69"/>
      <c r="Q51" s="69"/>
      <c r="R51" s="61"/>
      <c r="T51" s="232"/>
    </row>
    <row r="52" ht="15" customHeight="1">
      <c r="B52" s="12"/>
      <c r="C52" s="193"/>
      <c r="D52" s="194" t="s">
        <v>135</v>
      </c>
      <c r="E52" s="195">
        <v>0</v>
      </c>
      <c r="F52" s="195">
        <v>37.13</v>
      </c>
      <c r="G52" s="233"/>
      <c r="H52" s="234"/>
      <c r="I52" s="234"/>
      <c r="J52" s="234"/>
      <c r="K52" s="234"/>
      <c r="L52" s="234"/>
      <c r="M52" s="234"/>
      <c r="N52" s="199"/>
      <c r="O52" s="69"/>
      <c r="P52" s="69"/>
      <c r="Q52" s="69"/>
      <c r="R52" s="61"/>
      <c r="T52" s="232"/>
    </row>
    <row r="53" ht="15" customHeight="1">
      <c r="B53" s="12"/>
      <c r="C53" s="142" t="s">
        <v>136</v>
      </c>
      <c r="D53" s="143"/>
      <c r="E53" s="65">
        <v>0</v>
      </c>
      <c r="F53" s="65">
        <v>201533.56000000378</v>
      </c>
      <c r="G53" s="231"/>
      <c r="H53" s="44"/>
      <c r="I53" s="44"/>
      <c r="J53" s="44"/>
      <c r="K53" s="44"/>
      <c r="L53" s="44"/>
      <c r="M53" s="44"/>
      <c r="N53" s="144"/>
      <c r="R53" s="61"/>
      <c r="T53" s="232"/>
    </row>
    <row r="54" ht="15" customHeight="1">
      <c r="B54" s="12"/>
      <c r="C54" s="193"/>
      <c r="D54" s="194" t="s">
        <v>137</v>
      </c>
      <c r="E54" s="195">
        <v>0</v>
      </c>
      <c r="F54" s="195">
        <v>19405.3300000001</v>
      </c>
      <c r="G54" s="233"/>
      <c r="H54" s="234"/>
      <c r="I54" s="234"/>
      <c r="J54" s="234"/>
      <c r="K54" s="234"/>
      <c r="L54" s="234"/>
      <c r="M54" s="234"/>
      <c r="N54" s="199"/>
      <c r="O54" s="69"/>
      <c r="P54" s="69"/>
      <c r="Q54" s="69"/>
      <c r="R54" s="61"/>
      <c r="T54" s="232"/>
    </row>
    <row r="55" ht="15" customHeight="1">
      <c r="B55" s="12"/>
      <c r="C55" s="193"/>
      <c r="D55" s="194" t="s">
        <v>89</v>
      </c>
      <c r="E55" s="195">
        <v>0</v>
      </c>
      <c r="F55" s="195">
        <v>1126.3</v>
      </c>
      <c r="G55" s="233"/>
      <c r="H55" s="234"/>
      <c r="I55" s="234"/>
      <c r="J55" s="234"/>
      <c r="K55" s="234"/>
      <c r="L55" s="234"/>
      <c r="M55" s="234"/>
      <c r="N55" s="199"/>
      <c r="O55" s="69"/>
      <c r="P55" s="69"/>
      <c r="Q55" s="69"/>
      <c r="R55" s="61"/>
      <c r="T55" s="232"/>
    </row>
    <row r="56" ht="15" customHeight="1">
      <c r="B56" s="12"/>
      <c r="C56" s="193"/>
      <c r="D56" s="194" t="s">
        <v>138</v>
      </c>
      <c r="E56" s="195">
        <v>0</v>
      </c>
      <c r="F56" s="195">
        <v>31660.8100000004</v>
      </c>
      <c r="G56" s="233"/>
      <c r="H56" s="234"/>
      <c r="I56" s="234"/>
      <c r="J56" s="234"/>
      <c r="K56" s="234"/>
      <c r="L56" s="234"/>
      <c r="M56" s="234"/>
      <c r="N56" s="199"/>
      <c r="O56" s="69"/>
      <c r="P56" s="69"/>
      <c r="Q56" s="69"/>
      <c r="R56" s="61"/>
      <c r="T56" s="232"/>
    </row>
    <row r="57" ht="15" customHeight="1">
      <c r="B57" s="12"/>
      <c r="C57" s="193"/>
      <c r="D57" s="194" t="s">
        <v>139</v>
      </c>
      <c r="E57" s="195">
        <v>0</v>
      </c>
      <c r="F57" s="195">
        <v>79834.9799999995</v>
      </c>
      <c r="G57" s="233"/>
      <c r="H57" s="234"/>
      <c r="I57" s="234"/>
      <c r="J57" s="234"/>
      <c r="K57" s="234"/>
      <c r="L57" s="234"/>
      <c r="M57" s="234"/>
      <c r="N57" s="199"/>
      <c r="O57" s="69"/>
      <c r="P57" s="69"/>
      <c r="Q57" s="69"/>
      <c r="R57" s="61"/>
      <c r="T57" s="232"/>
    </row>
    <row r="58" ht="15" customHeight="1">
      <c r="B58" s="12"/>
      <c r="C58" s="193"/>
      <c r="D58" s="194" t="s">
        <v>140</v>
      </c>
      <c r="E58" s="195">
        <v>0</v>
      </c>
      <c r="F58" s="195">
        <v>15686.55</v>
      </c>
      <c r="G58" s="233"/>
      <c r="H58" s="234"/>
      <c r="I58" s="234"/>
      <c r="J58" s="234"/>
      <c r="K58" s="234"/>
      <c r="L58" s="234"/>
      <c r="M58" s="234"/>
      <c r="N58" s="199"/>
      <c r="O58" s="69"/>
      <c r="P58" s="69"/>
      <c r="Q58" s="69"/>
      <c r="R58" s="61"/>
      <c r="T58" s="232"/>
    </row>
    <row r="59" ht="15" customHeight="1">
      <c r="B59" s="12"/>
      <c r="C59" s="193"/>
      <c r="D59" s="194" t="s">
        <v>141</v>
      </c>
      <c r="E59" s="195">
        <v>0</v>
      </c>
      <c r="F59" s="195">
        <v>53583.4100000038</v>
      </c>
      <c r="G59" s="233"/>
      <c r="H59" s="234"/>
      <c r="I59" s="234"/>
      <c r="J59" s="234"/>
      <c r="K59" s="234"/>
      <c r="L59" s="234"/>
      <c r="M59" s="234"/>
      <c r="N59" s="199"/>
      <c r="O59" s="69"/>
      <c r="P59" s="69"/>
      <c r="Q59" s="69"/>
      <c r="R59" s="61"/>
      <c r="T59" s="232"/>
    </row>
    <row r="60" ht="15" customHeight="1">
      <c r="B60" s="12"/>
      <c r="C60" s="193"/>
      <c r="D60" s="194" t="s">
        <v>142</v>
      </c>
      <c r="E60" s="195">
        <v>0</v>
      </c>
      <c r="F60" s="195">
        <v>236.18</v>
      </c>
      <c r="G60" s="233"/>
      <c r="H60" s="234"/>
      <c r="I60" s="234"/>
      <c r="J60" s="234"/>
      <c r="K60" s="234"/>
      <c r="L60" s="234"/>
      <c r="M60" s="234"/>
      <c r="N60" s="199"/>
      <c r="O60" s="69"/>
      <c r="P60" s="69"/>
      <c r="Q60" s="69"/>
      <c r="R60" s="61"/>
      <c r="T60" s="232"/>
    </row>
    <row r="61" ht="15" customHeight="1">
      <c r="B61" s="12"/>
      <c r="C61" s="145" t="s">
        <v>51</v>
      </c>
      <c r="D61" s="146"/>
      <c r="E61" s="235">
        <v>0</v>
      </c>
      <c r="F61" s="235">
        <v>488082.11000000389</v>
      </c>
      <c r="G61" s="236"/>
      <c r="H61" s="44"/>
      <c r="I61" s="44"/>
      <c r="J61" s="44"/>
      <c r="K61" s="44"/>
      <c r="L61" s="44"/>
      <c r="M61" s="44"/>
      <c r="N61" s="144"/>
      <c r="R61" s="61"/>
    </row>
    <row r="62" ht="15" customHeight="1">
      <c r="B62" s="12"/>
      <c r="C62" s="4"/>
      <c r="D62" s="23"/>
      <c r="E62" s="237"/>
      <c r="F62" s="23"/>
      <c r="G62" s="237"/>
      <c r="H62" s="44"/>
      <c r="I62" s="44"/>
      <c r="J62" s="44"/>
      <c r="K62" s="44"/>
      <c r="L62" s="44"/>
      <c r="M62" s="44"/>
      <c r="N62" s="23"/>
      <c r="O62" s="23"/>
      <c r="P62" s="23"/>
      <c r="Q62" s="23"/>
      <c r="R62" s="61"/>
    </row>
    <row r="63" ht="15" customHeight="1">
      <c r="B63" s="12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23"/>
      <c r="Q63" s="23"/>
      <c r="R63" s="61"/>
    </row>
    <row r="64" ht="12" customHeight="1">
      <c r="B64" s="13"/>
      <c r="C64" s="147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8"/>
      <c r="Q64" s="148"/>
      <c r="R64" s="62"/>
    </row>
  </sheetData>
  <mergeCells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/>
  <headerFooter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83"/>
  <sheetViews>
    <sheetView showGridLines="0" topLeftCell="A32" zoomScale="70" zoomScaleNormal="70" workbookViewId="0">
      <selection activeCell="A66" sqref="A66:XFD6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6.28515625" customWidth="1"/>
    <col min="8" max="8" width="16.28515625" customWidth="1"/>
    <col min="9" max="9" width="16.28515625" customWidth="1"/>
    <col min="10" max="10" width="16.28515625" customWidth="1"/>
    <col min="11" max="11" width="16.28515625" customWidth="1"/>
    <col min="12" max="12" width="16.28515625" customWidth="1"/>
    <col min="13" max="13" width="10.7109375" customWidth="1"/>
    <col min="14" max="14" width="1.42578125" customWidth="1"/>
    <col min="15" max="15" width="15.28515625" customWidth="1"/>
    <col min="16" max="16" width="15.2851562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'[1]Page de garde'!C13&amp;" : Détail des Prestations Réglées - Synthèse par famille d'actes"</f>
        <v>KERIALIS_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157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78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191" t="s">
        <v>158</v>
      </c>
      <c r="K13" s="44"/>
      <c r="L13" s="44"/>
      <c r="M13" s="44"/>
      <c r="N13" s="42"/>
      <c r="O13" s="44"/>
      <c r="P13" s="191" t="s">
        <v>159</v>
      </c>
      <c r="Q13" s="191" t="s">
        <v>160</v>
      </c>
      <c r="R13" s="61"/>
    </row>
    <row r="14" ht="45" customHeight="1">
      <c r="B14" s="12"/>
      <c r="C14" s="44"/>
      <c r="D14" s="44"/>
      <c r="E14" s="131" t="s">
        <v>79</v>
      </c>
      <c r="F14" s="131" t="s">
        <v>80</v>
      </c>
      <c r="G14" s="131" t="s">
        <v>161</v>
      </c>
      <c r="H14" s="131" t="s">
        <v>162</v>
      </c>
      <c r="I14" s="131" t="s">
        <v>163</v>
      </c>
      <c r="J14" s="131" t="s">
        <v>164</v>
      </c>
      <c r="K14" s="179" t="s">
        <v>165</v>
      </c>
      <c r="L14" s="179" t="s">
        <v>166</v>
      </c>
      <c r="M14" s="133"/>
      <c r="N14" s="42"/>
      <c r="O14" s="131" t="s">
        <v>161</v>
      </c>
      <c r="P14" s="152" t="s">
        <v>167</v>
      </c>
      <c r="Q14" s="192" t="s">
        <v>168</v>
      </c>
      <c r="R14" s="61"/>
    </row>
    <row r="15" ht="15" customHeight="1">
      <c r="B15" s="12"/>
      <c r="C15" s="142" t="s">
        <v>88</v>
      </c>
      <c r="D15" s="143"/>
      <c r="E15" s="65">
        <v>1023</v>
      </c>
      <c r="F15" s="76"/>
      <c r="G15" s="238">
        <v>42.634809384164228</v>
      </c>
      <c r="H15" s="238">
        <v>1.61</v>
      </c>
      <c r="I15" s="238">
        <v>1350</v>
      </c>
      <c r="J15" s="238">
        <v>12.971945259042032</v>
      </c>
      <c r="K15" s="238">
        <v>0.25</v>
      </c>
      <c r="L15" s="238">
        <v>200</v>
      </c>
      <c r="M15" s="67"/>
      <c r="N15" s="144"/>
      <c r="O15" s="238">
        <v>53.847920140412455</v>
      </c>
      <c r="P15" s="238">
        <v>22.551906537955251</v>
      </c>
      <c r="Q15" s="239">
        <v>-0.42479791059733329</v>
      </c>
      <c r="R15" s="61"/>
      <c r="T15" s="232"/>
    </row>
    <row r="16" ht="15" customHeight="1">
      <c r="B16" s="12"/>
      <c r="C16" s="193"/>
      <c r="D16" s="194" t="s">
        <v>89</v>
      </c>
      <c r="E16" s="195">
        <v>1021</v>
      </c>
      <c r="F16" s="196"/>
      <c r="G16" s="240">
        <v>40.073858961802159</v>
      </c>
      <c r="H16" s="240">
        <v>1.61</v>
      </c>
      <c r="I16" s="240">
        <v>459</v>
      </c>
      <c r="J16" s="240">
        <v>12.60558276199804</v>
      </c>
      <c r="K16" s="240">
        <v>0.25</v>
      </c>
      <c r="L16" s="240">
        <v>183.6</v>
      </c>
      <c r="M16" s="198"/>
      <c r="N16" s="199"/>
      <c r="O16" s="240">
        <v>38.112628032345</v>
      </c>
      <c r="P16" s="240">
        <v>14.469898921832893</v>
      </c>
      <c r="Q16" s="241">
        <v>-0.12883986758719823</v>
      </c>
      <c r="R16" s="61"/>
      <c r="T16" s="232"/>
    </row>
    <row r="17" ht="15" customHeight="1">
      <c r="B17" s="12"/>
      <c r="C17" s="193"/>
      <c r="D17" s="194" t="s">
        <v>90</v>
      </c>
      <c r="E17" s="195">
        <v>0</v>
      </c>
      <c r="F17" s="196"/>
      <c r="G17" s="240"/>
      <c r="H17" s="240">
        <v>0</v>
      </c>
      <c r="I17" s="240">
        <v>0</v>
      </c>
      <c r="J17" s="240">
        <v>0</v>
      </c>
      <c r="K17" s="240">
        <v>0</v>
      </c>
      <c r="L17" s="240">
        <v>0</v>
      </c>
      <c r="M17" s="198"/>
      <c r="N17" s="199"/>
      <c r="O17" s="240">
        <v>6.114285714285713</v>
      </c>
      <c r="P17" s="240">
        <v>2.3499999999999974</v>
      </c>
      <c r="Q17" s="241">
        <v>-1</v>
      </c>
      <c r="R17" s="61"/>
      <c r="T17" s="232"/>
    </row>
    <row r="18" ht="15" customHeight="1">
      <c r="B18" s="12"/>
      <c r="C18" s="193"/>
      <c r="D18" s="194" t="s">
        <v>91</v>
      </c>
      <c r="E18" s="195">
        <v>0</v>
      </c>
      <c r="F18" s="196"/>
      <c r="G18" s="240"/>
      <c r="H18" s="240">
        <v>0</v>
      </c>
      <c r="I18" s="240">
        <v>0</v>
      </c>
      <c r="J18" s="240">
        <v>0</v>
      </c>
      <c r="K18" s="240">
        <v>0</v>
      </c>
      <c r="L18" s="240">
        <v>0</v>
      </c>
      <c r="M18" s="198"/>
      <c r="N18" s="199"/>
      <c r="O18" s="240">
        <v>950</v>
      </c>
      <c r="P18" s="240">
        <v>710</v>
      </c>
      <c r="Q18" s="241">
        <v>-1</v>
      </c>
      <c r="R18" s="61"/>
      <c r="T18" s="232"/>
    </row>
    <row r="19" ht="15" customHeight="1">
      <c r="B19" s="12"/>
      <c r="C19" s="193"/>
      <c r="D19" s="194" t="s">
        <v>92</v>
      </c>
      <c r="E19" s="195">
        <v>1</v>
      </c>
      <c r="F19" s="196"/>
      <c r="G19" s="240">
        <v>1350</v>
      </c>
      <c r="H19" s="240">
        <v>1350</v>
      </c>
      <c r="I19" s="240">
        <v>1350</v>
      </c>
      <c r="J19" s="240">
        <v>200</v>
      </c>
      <c r="K19" s="240">
        <v>200</v>
      </c>
      <c r="L19" s="240">
        <v>200</v>
      </c>
      <c r="M19" s="198"/>
      <c r="N19" s="199"/>
      <c r="O19" s="240">
        <v>1565.8181818181818</v>
      </c>
      <c r="P19" s="240">
        <v>818.18181818181813</v>
      </c>
      <c r="Q19" s="241">
        <v>-0.75555555012345665</v>
      </c>
      <c r="R19" s="61"/>
      <c r="T19" s="232"/>
    </row>
    <row r="20" ht="15" customHeight="1">
      <c r="B20" s="12"/>
      <c r="C20" s="193"/>
      <c r="D20" s="194" t="s">
        <v>93</v>
      </c>
      <c r="E20" s="195">
        <v>1</v>
      </c>
      <c r="F20" s="196"/>
      <c r="G20" s="240">
        <v>1350</v>
      </c>
      <c r="H20" s="240">
        <v>1350</v>
      </c>
      <c r="I20" s="240">
        <v>1350</v>
      </c>
      <c r="J20" s="240">
        <v>200</v>
      </c>
      <c r="K20" s="240">
        <v>200</v>
      </c>
      <c r="L20" s="240">
        <v>200</v>
      </c>
      <c r="M20" s="198"/>
      <c r="N20" s="199"/>
      <c r="O20" s="240">
        <v>1575</v>
      </c>
      <c r="P20" s="240">
        <v>863.07692307692309</v>
      </c>
      <c r="Q20" s="241">
        <v>-0.76827093854556883</v>
      </c>
      <c r="R20" s="61"/>
      <c r="T20" s="232"/>
    </row>
    <row r="21" ht="15" customHeight="1">
      <c r="B21" s="12"/>
      <c r="C21" s="193"/>
      <c r="D21" s="194" t="s">
        <v>94</v>
      </c>
      <c r="E21" s="195">
        <v>0</v>
      </c>
      <c r="F21" s="196"/>
      <c r="G21" s="240"/>
      <c r="H21" s="240">
        <v>0</v>
      </c>
      <c r="I21" s="240">
        <v>0</v>
      </c>
      <c r="J21" s="240">
        <v>0</v>
      </c>
      <c r="K21" s="240">
        <v>0</v>
      </c>
      <c r="L21" s="240">
        <v>0</v>
      </c>
      <c r="M21" s="198"/>
      <c r="N21" s="199"/>
      <c r="O21" s="240">
        <v>1470.8</v>
      </c>
      <c r="P21" s="240">
        <v>692.4</v>
      </c>
      <c r="Q21" s="241">
        <v>-1</v>
      </c>
      <c r="R21" s="61"/>
      <c r="T21" s="232"/>
    </row>
    <row r="22" ht="15" customHeight="1">
      <c r="B22" s="12"/>
      <c r="C22" s="142" t="s">
        <v>95</v>
      </c>
      <c r="D22" s="143"/>
      <c r="E22" s="65">
        <v>6</v>
      </c>
      <c r="F22" s="76"/>
      <c r="G22" s="238">
        <v>906.05666666666673</v>
      </c>
      <c r="H22" s="238">
        <v>60</v>
      </c>
      <c r="I22" s="238">
        <v>2678.05</v>
      </c>
      <c r="J22" s="238">
        <v>906.05666666666673</v>
      </c>
      <c r="K22" s="238">
        <v>60</v>
      </c>
      <c r="L22" s="238">
        <v>2678.05</v>
      </c>
      <c r="M22" s="67"/>
      <c r="N22" s="144"/>
      <c r="O22" s="238">
        <v>128.76660714285714</v>
      </c>
      <c r="P22" s="238">
        <v>126.90946428571429</v>
      </c>
      <c r="Q22" s="239">
        <v>6.1393922440794428</v>
      </c>
      <c r="R22" s="61"/>
      <c r="T22" s="232"/>
    </row>
    <row r="23" ht="15" customHeight="1">
      <c r="B23" s="12"/>
      <c r="C23" s="193"/>
      <c r="D23" s="194" t="s">
        <v>96</v>
      </c>
      <c r="E23" s="195">
        <v>0</v>
      </c>
      <c r="F23" s="196"/>
      <c r="G23" s="240"/>
      <c r="H23" s="240">
        <v>0</v>
      </c>
      <c r="I23" s="240">
        <v>0</v>
      </c>
      <c r="J23" s="240">
        <v>0</v>
      </c>
      <c r="K23" s="240">
        <v>0</v>
      </c>
      <c r="L23" s="240">
        <v>0</v>
      </c>
      <c r="M23" s="198"/>
      <c r="N23" s="199"/>
      <c r="O23" s="240">
        <v>35</v>
      </c>
      <c r="P23" s="240">
        <v>7</v>
      </c>
      <c r="Q23" s="241">
        <v>-1</v>
      </c>
      <c r="R23" s="61"/>
      <c r="T23" s="232"/>
    </row>
    <row r="24" ht="15" customHeight="1">
      <c r="B24" s="12"/>
      <c r="C24" s="193"/>
      <c r="D24" s="194" t="s">
        <v>97</v>
      </c>
      <c r="E24" s="195">
        <v>4</v>
      </c>
      <c r="F24" s="196"/>
      <c r="G24" s="240">
        <v>60</v>
      </c>
      <c r="H24" s="240">
        <v>60</v>
      </c>
      <c r="I24" s="240">
        <v>60</v>
      </c>
      <c r="J24" s="240">
        <v>60</v>
      </c>
      <c r="K24" s="240">
        <v>60</v>
      </c>
      <c r="L24" s="240">
        <v>60</v>
      </c>
      <c r="M24" s="198"/>
      <c r="N24" s="199"/>
      <c r="O24" s="240">
        <v>56.291262135922331</v>
      </c>
      <c r="P24" s="240">
        <v>54.815533980582522</v>
      </c>
      <c r="Q24" s="241">
        <v>0.094580912333190437</v>
      </c>
      <c r="R24" s="61"/>
      <c r="T24" s="232"/>
    </row>
    <row r="25" ht="15" customHeight="1">
      <c r="B25" s="12"/>
      <c r="C25" s="193"/>
      <c r="D25" s="194" t="s">
        <v>98</v>
      </c>
      <c r="E25" s="195">
        <v>0</v>
      </c>
      <c r="F25" s="196"/>
      <c r="G25" s="240"/>
      <c r="H25" s="240">
        <v>0</v>
      </c>
      <c r="I25" s="240">
        <v>0</v>
      </c>
      <c r="J25" s="240">
        <v>0</v>
      </c>
      <c r="K25" s="240">
        <v>0</v>
      </c>
      <c r="L25" s="240">
        <v>0</v>
      </c>
      <c r="M25" s="198"/>
      <c r="N25" s="199"/>
      <c r="O25" s="240">
        <v>-7.29</v>
      </c>
      <c r="P25" s="240">
        <v>-7.29</v>
      </c>
      <c r="Q25" s="241">
        <v>-1</v>
      </c>
      <c r="R25" s="61"/>
      <c r="T25" s="232"/>
    </row>
    <row r="26" ht="15" customHeight="1">
      <c r="B26" s="12"/>
      <c r="C26" s="193"/>
      <c r="D26" s="194" t="s">
        <v>99</v>
      </c>
      <c r="E26" s="195">
        <v>2</v>
      </c>
      <c r="F26" s="196"/>
      <c r="G26" s="240">
        <v>2598.17</v>
      </c>
      <c r="H26" s="240">
        <v>2518.29</v>
      </c>
      <c r="I26" s="240">
        <v>2678.05</v>
      </c>
      <c r="J26" s="240">
        <v>2598.17</v>
      </c>
      <c r="K26" s="240">
        <v>2518.29</v>
      </c>
      <c r="L26" s="240">
        <v>2678.05</v>
      </c>
      <c r="M26" s="198"/>
      <c r="N26" s="199"/>
      <c r="O26" s="240">
        <v>1426.8583333333336</v>
      </c>
      <c r="P26" s="240">
        <v>1426.8583333333336</v>
      </c>
      <c r="Q26" s="241">
        <v>0.82090260819872585</v>
      </c>
      <c r="R26" s="61"/>
      <c r="T26" s="232"/>
    </row>
    <row r="27" ht="15" customHeight="1">
      <c r="B27" s="12"/>
      <c r="C27" s="142" t="s">
        <v>100</v>
      </c>
      <c r="D27" s="143"/>
      <c r="E27" s="65">
        <v>9</v>
      </c>
      <c r="F27" s="76"/>
      <c r="G27" s="238">
        <v>124.99000000000001</v>
      </c>
      <c r="H27" s="238">
        <v>60</v>
      </c>
      <c r="I27" s="238">
        <v>644.91</v>
      </c>
      <c r="J27" s="238">
        <v>35.191111111111113</v>
      </c>
      <c r="K27" s="238">
        <v>7.5</v>
      </c>
      <c r="L27" s="238">
        <v>221.72</v>
      </c>
      <c r="M27" s="67"/>
      <c r="N27" s="144"/>
      <c r="O27" s="238">
        <v>137.91918367346938</v>
      </c>
      <c r="P27" s="238">
        <v>43.244387755102039</v>
      </c>
      <c r="Q27" s="239">
        <v>-0.18622758091221059</v>
      </c>
      <c r="R27" s="61"/>
      <c r="T27" s="232"/>
    </row>
    <row r="28" ht="15" customHeight="1">
      <c r="B28" s="12"/>
      <c r="C28" s="193"/>
      <c r="D28" s="194" t="s">
        <v>101</v>
      </c>
      <c r="E28" s="195">
        <v>9</v>
      </c>
      <c r="F28" s="196"/>
      <c r="G28" s="240">
        <v>124.99000000000001</v>
      </c>
      <c r="H28" s="240">
        <v>60</v>
      </c>
      <c r="I28" s="240">
        <v>644.91</v>
      </c>
      <c r="J28" s="240">
        <v>35.191111111111113</v>
      </c>
      <c r="K28" s="240">
        <v>7.5</v>
      </c>
      <c r="L28" s="240">
        <v>221.72</v>
      </c>
      <c r="M28" s="198"/>
      <c r="N28" s="199"/>
      <c r="O28" s="240">
        <v>137.91918367346938</v>
      </c>
      <c r="P28" s="240">
        <v>43.244387755102039</v>
      </c>
      <c r="Q28" s="241">
        <v>-0.18622758091221059</v>
      </c>
      <c r="R28" s="61"/>
      <c r="T28" s="232"/>
    </row>
    <row r="29" ht="15" customHeight="1">
      <c r="B29" s="12"/>
      <c r="C29" s="142" t="s">
        <v>102</v>
      </c>
      <c r="D29" s="143"/>
      <c r="E29" s="65">
        <v>1798</v>
      </c>
      <c r="F29" s="76"/>
      <c r="G29" s="238">
        <v>152.6425250278086</v>
      </c>
      <c r="H29" s="238">
        <v>7.98</v>
      </c>
      <c r="I29" s="238">
        <v>2200</v>
      </c>
      <c r="J29" s="238">
        <v>60.762497219132356</v>
      </c>
      <c r="K29" s="238">
        <v>0.08</v>
      </c>
      <c r="L29" s="238">
        <v>1944.15</v>
      </c>
      <c r="M29" s="67"/>
      <c r="N29" s="144"/>
      <c r="O29" s="238">
        <v>145.31101121656587</v>
      </c>
      <c r="P29" s="238">
        <v>73.117336496980073</v>
      </c>
      <c r="Q29" s="239">
        <v>-0.16897232255567418</v>
      </c>
      <c r="R29" s="61"/>
      <c r="T29" s="232"/>
    </row>
    <row r="30" ht="15" customHeight="1">
      <c r="B30" s="12"/>
      <c r="C30" s="193"/>
      <c r="D30" s="194" t="s">
        <v>103</v>
      </c>
      <c r="E30" s="195">
        <v>579</v>
      </c>
      <c r="F30" s="196"/>
      <c r="G30" s="240">
        <v>22.028151986183072</v>
      </c>
      <c r="H30" s="240">
        <v>14.46</v>
      </c>
      <c r="I30" s="240">
        <v>95</v>
      </c>
      <c r="J30" s="240">
        <v>6.5195854922279626</v>
      </c>
      <c r="K30" s="240">
        <v>0.08</v>
      </c>
      <c r="L30" s="240">
        <v>25.7</v>
      </c>
      <c r="M30" s="198"/>
      <c r="N30" s="199"/>
      <c r="O30" s="240">
        <v>22.161387394311845</v>
      </c>
      <c r="P30" s="240">
        <v>6.7525749423520676</v>
      </c>
      <c r="Q30" s="241">
        <v>-0.034505227616029477</v>
      </c>
      <c r="R30" s="61"/>
      <c r="T30" s="232"/>
    </row>
    <row r="31" ht="15" customHeight="1">
      <c r="B31" s="12"/>
      <c r="C31" s="193"/>
      <c r="D31" s="194" t="s">
        <v>104</v>
      </c>
      <c r="E31" s="195">
        <v>104</v>
      </c>
      <c r="F31" s="196"/>
      <c r="G31" s="240">
        <v>504.45432692307691</v>
      </c>
      <c r="H31" s="240">
        <v>21.5</v>
      </c>
      <c r="I31" s="240">
        <v>1100</v>
      </c>
      <c r="J31" s="240">
        <v>141.34903846153844</v>
      </c>
      <c r="K31" s="240">
        <v>1.62</v>
      </c>
      <c r="L31" s="240">
        <v>446.5</v>
      </c>
      <c r="M31" s="198"/>
      <c r="N31" s="199"/>
      <c r="O31" s="240">
        <v>438.81686679174493</v>
      </c>
      <c r="P31" s="240">
        <v>206.49341463414632</v>
      </c>
      <c r="Q31" s="241">
        <v>-0.31547933251135396</v>
      </c>
      <c r="R31" s="61"/>
      <c r="T31" s="232"/>
    </row>
    <row r="32" ht="15" customHeight="1">
      <c r="B32" s="12"/>
      <c r="C32" s="193"/>
      <c r="D32" s="194" t="s">
        <v>105</v>
      </c>
      <c r="E32" s="195">
        <v>28</v>
      </c>
      <c r="F32" s="196"/>
      <c r="G32" s="240">
        <v>99.6707142857143</v>
      </c>
      <c r="H32" s="240">
        <v>31.62</v>
      </c>
      <c r="I32" s="240">
        <v>750</v>
      </c>
      <c r="J32" s="240">
        <v>32.117142857142859</v>
      </c>
      <c r="K32" s="240">
        <v>8.2</v>
      </c>
      <c r="L32" s="240">
        <v>50</v>
      </c>
      <c r="M32" s="198"/>
      <c r="N32" s="199"/>
      <c r="O32" s="240">
        <v>125.15170212765958</v>
      </c>
      <c r="P32" s="240">
        <v>62.125390070921988</v>
      </c>
      <c r="Q32" s="241">
        <v>-0.48302787587685547</v>
      </c>
      <c r="R32" s="61"/>
      <c r="T32" s="232"/>
    </row>
    <row r="33" ht="15" customHeight="1">
      <c r="B33" s="12"/>
      <c r="C33" s="193"/>
      <c r="D33" s="194" t="s">
        <v>106</v>
      </c>
      <c r="E33" s="195">
        <v>481</v>
      </c>
      <c r="F33" s="196"/>
      <c r="G33" s="240">
        <v>191.00931392931392</v>
      </c>
      <c r="H33" s="240">
        <v>7.98</v>
      </c>
      <c r="I33" s="240">
        <v>2200</v>
      </c>
      <c r="J33" s="240">
        <v>127.06054054054054</v>
      </c>
      <c r="K33" s="240">
        <v>2.17</v>
      </c>
      <c r="L33" s="240">
        <v>1944.15</v>
      </c>
      <c r="M33" s="198"/>
      <c r="N33" s="199"/>
      <c r="O33" s="240">
        <v>143.9929403660696</v>
      </c>
      <c r="P33" s="240">
        <v>85.589691005707365</v>
      </c>
      <c r="Q33" s="241">
        <v>0.48453026473979954</v>
      </c>
      <c r="R33" s="61"/>
      <c r="T33" s="232"/>
    </row>
    <row r="34" ht="15" customHeight="1">
      <c r="B34" s="12"/>
      <c r="C34" s="193"/>
      <c r="D34" s="194" t="s">
        <v>107</v>
      </c>
      <c r="E34" s="195">
        <v>96</v>
      </c>
      <c r="F34" s="196"/>
      <c r="G34" s="240">
        <v>549.40104166666663</v>
      </c>
      <c r="H34" s="240">
        <v>60</v>
      </c>
      <c r="I34" s="240">
        <v>1950</v>
      </c>
      <c r="J34" s="240">
        <v>132.91208333333333</v>
      </c>
      <c r="K34" s="240">
        <v>7.5</v>
      </c>
      <c r="L34" s="240">
        <v>600</v>
      </c>
      <c r="M34" s="198"/>
      <c r="N34" s="199"/>
      <c r="O34" s="240">
        <v>522.854938271605</v>
      </c>
      <c r="P34" s="240">
        <v>229.56749559082891</v>
      </c>
      <c r="Q34" s="241">
        <v>-0.42103259389939773</v>
      </c>
      <c r="R34" s="61"/>
      <c r="T34" s="232"/>
    </row>
    <row r="35" ht="15" customHeight="1">
      <c r="B35" s="12"/>
      <c r="C35" s="193"/>
      <c r="D35" s="194" t="s">
        <v>108</v>
      </c>
      <c r="E35" s="195">
        <v>65</v>
      </c>
      <c r="F35" s="196"/>
      <c r="G35" s="240">
        <v>557.47692307692307</v>
      </c>
      <c r="H35" s="240">
        <v>150</v>
      </c>
      <c r="I35" s="240">
        <v>1875</v>
      </c>
      <c r="J35" s="240">
        <v>133.45953846153847</v>
      </c>
      <c r="K35" s="240">
        <v>30</v>
      </c>
      <c r="L35" s="240">
        <v>642.85</v>
      </c>
      <c r="M35" s="198"/>
      <c r="N35" s="199"/>
      <c r="O35" s="240">
        <v>468.99671945701357</v>
      </c>
      <c r="P35" s="240">
        <v>222.93927601809952</v>
      </c>
      <c r="Q35" s="241">
        <v>-0.40136395870983721</v>
      </c>
      <c r="R35" s="61"/>
      <c r="T35" s="232"/>
    </row>
    <row r="36" ht="15" customHeight="1">
      <c r="B36" s="12"/>
      <c r="C36" s="193"/>
      <c r="D36" s="194" t="s">
        <v>109</v>
      </c>
      <c r="E36" s="195">
        <v>445</v>
      </c>
      <c r="F36" s="196"/>
      <c r="G36" s="240">
        <v>57.503258426966063</v>
      </c>
      <c r="H36" s="240">
        <v>17.6</v>
      </c>
      <c r="I36" s="240">
        <v>650</v>
      </c>
      <c r="J36" s="240">
        <v>16.462921348314563</v>
      </c>
      <c r="K36" s="240">
        <v>3.52</v>
      </c>
      <c r="L36" s="240">
        <v>50</v>
      </c>
      <c r="M36" s="198"/>
      <c r="N36" s="199"/>
      <c r="O36" s="240">
        <v>58.533408545367074</v>
      </c>
      <c r="P36" s="240">
        <v>18.5762025924148</v>
      </c>
      <c r="Q36" s="241">
        <v>-0.11376384836511233</v>
      </c>
      <c r="R36" s="61"/>
      <c r="T36" s="232"/>
    </row>
    <row r="37" ht="15" customHeight="1">
      <c r="B37" s="12"/>
      <c r="C37" s="142" t="s">
        <v>110</v>
      </c>
      <c r="D37" s="143"/>
      <c r="E37" s="65">
        <v>801</v>
      </c>
      <c r="F37" s="76"/>
      <c r="G37" s="238">
        <v>205.40464419475657</v>
      </c>
      <c r="H37" s="238">
        <v>4.73</v>
      </c>
      <c r="I37" s="238">
        <v>3200.17</v>
      </c>
      <c r="J37" s="238">
        <v>56.229076154806492</v>
      </c>
      <c r="K37" s="238">
        <v>0.01</v>
      </c>
      <c r="L37" s="238">
        <v>1125</v>
      </c>
      <c r="M37" s="67"/>
      <c r="N37" s="144"/>
      <c r="O37" s="238">
        <v>176.05259882369037</v>
      </c>
      <c r="P37" s="238">
        <v>64.321971002598843</v>
      </c>
      <c r="Q37" s="239">
        <v>-0.12581853798078413</v>
      </c>
      <c r="R37" s="61"/>
      <c r="T37" s="232"/>
    </row>
    <row r="38" ht="15" customHeight="1">
      <c r="B38" s="12"/>
      <c r="C38" s="193"/>
      <c r="D38" s="194" t="s">
        <v>111</v>
      </c>
      <c r="E38" s="195">
        <v>85</v>
      </c>
      <c r="F38" s="196"/>
      <c r="G38" s="240">
        <v>90.304235294117646</v>
      </c>
      <c r="H38" s="240">
        <v>15</v>
      </c>
      <c r="I38" s="240">
        <v>1125</v>
      </c>
      <c r="J38" s="240">
        <v>80.8804705882353</v>
      </c>
      <c r="K38" s="240">
        <v>15</v>
      </c>
      <c r="L38" s="240">
        <v>1125</v>
      </c>
      <c r="M38" s="198"/>
      <c r="N38" s="199"/>
      <c r="O38" s="240">
        <v>121.7327166788055</v>
      </c>
      <c r="P38" s="240">
        <v>90.76275309541154</v>
      </c>
      <c r="Q38" s="241">
        <v>-0.10888051051752479</v>
      </c>
      <c r="R38" s="61"/>
      <c r="T38" s="232"/>
    </row>
    <row r="39" ht="15" customHeight="1">
      <c r="B39" s="12"/>
      <c r="C39" s="193"/>
      <c r="D39" s="194" t="s">
        <v>112</v>
      </c>
      <c r="E39" s="195">
        <v>51</v>
      </c>
      <c r="F39" s="196"/>
      <c r="G39" s="240">
        <v>136.51215686274509</v>
      </c>
      <c r="H39" s="240">
        <v>20</v>
      </c>
      <c r="I39" s="240">
        <v>2276.15</v>
      </c>
      <c r="J39" s="240">
        <v>40.482352941176465</v>
      </c>
      <c r="K39" s="240">
        <v>7.8</v>
      </c>
      <c r="L39" s="240">
        <v>455.23</v>
      </c>
      <c r="M39" s="198"/>
      <c r="N39" s="199"/>
      <c r="O39" s="240">
        <v>96.366675712347345</v>
      </c>
      <c r="P39" s="240">
        <v>46.513839891451831</v>
      </c>
      <c r="Q39" s="241">
        <v>-0.129669044455624</v>
      </c>
      <c r="R39" s="61"/>
      <c r="T39" s="232"/>
    </row>
    <row r="40" ht="15" customHeight="1">
      <c r="B40" s="12"/>
      <c r="C40" s="193"/>
      <c r="D40" s="194" t="s">
        <v>113</v>
      </c>
      <c r="E40" s="195">
        <v>3</v>
      </c>
      <c r="F40" s="196"/>
      <c r="G40" s="240">
        <v>24</v>
      </c>
      <c r="H40" s="240">
        <v>24</v>
      </c>
      <c r="I40" s="240">
        <v>24</v>
      </c>
      <c r="J40" s="240">
        <v>24</v>
      </c>
      <c r="K40" s="240">
        <v>24</v>
      </c>
      <c r="L40" s="240">
        <v>24</v>
      </c>
      <c r="M40" s="198"/>
      <c r="N40" s="199"/>
      <c r="O40" s="240">
        <v>23.77570093457944</v>
      </c>
      <c r="P40" s="240">
        <v>23.77570093457944</v>
      </c>
      <c r="Q40" s="241">
        <v>0.0094340019431604638</v>
      </c>
      <c r="R40" s="61"/>
      <c r="T40" s="232"/>
    </row>
    <row r="41" ht="15" customHeight="1">
      <c r="B41" s="12"/>
      <c r="C41" s="193"/>
      <c r="D41" s="194" t="s">
        <v>114</v>
      </c>
      <c r="E41" s="195">
        <v>13</v>
      </c>
      <c r="F41" s="196"/>
      <c r="G41" s="240">
        <v>110.34384615384616</v>
      </c>
      <c r="H41" s="240">
        <v>53.9</v>
      </c>
      <c r="I41" s="240">
        <v>183.75</v>
      </c>
      <c r="J41" s="240">
        <v>38.619230769230768</v>
      </c>
      <c r="K41" s="240">
        <v>18.86</v>
      </c>
      <c r="L41" s="240">
        <v>64.31</v>
      </c>
      <c r="M41" s="198"/>
      <c r="N41" s="199"/>
      <c r="O41" s="240">
        <v>99.212139999999962</v>
      </c>
      <c r="P41" s="240">
        <v>34.640860000000018</v>
      </c>
      <c r="Q41" s="241">
        <v>0.11484401386799981</v>
      </c>
      <c r="R41" s="61"/>
      <c r="T41" s="232"/>
    </row>
    <row r="42" ht="15" customHeight="1">
      <c r="B42" s="12"/>
      <c r="C42" s="193"/>
      <c r="D42" s="194" t="s">
        <v>115</v>
      </c>
      <c r="E42" s="195">
        <v>24</v>
      </c>
      <c r="F42" s="196"/>
      <c r="G42" s="240">
        <v>74.735833333333332</v>
      </c>
      <c r="H42" s="240">
        <v>21.87</v>
      </c>
      <c r="I42" s="240">
        <v>1134.5</v>
      </c>
      <c r="J42" s="240">
        <v>14.946666666666667</v>
      </c>
      <c r="K42" s="240">
        <v>4.37</v>
      </c>
      <c r="L42" s="240">
        <v>226.9</v>
      </c>
      <c r="M42" s="198"/>
      <c r="N42" s="199"/>
      <c r="O42" s="240">
        <v>475.91878296146035</v>
      </c>
      <c r="P42" s="240">
        <v>94.310365111561879</v>
      </c>
      <c r="Q42" s="241">
        <v>-0.84151588796145493</v>
      </c>
      <c r="R42" s="61"/>
      <c r="T42" s="232"/>
    </row>
    <row r="43" ht="15" customHeight="1">
      <c r="B43" s="12"/>
      <c r="C43" s="193"/>
      <c r="D43" s="194" t="s">
        <v>116</v>
      </c>
      <c r="E43" s="195">
        <v>597</v>
      </c>
      <c r="F43" s="196"/>
      <c r="G43" s="240">
        <v>237.5929313232831</v>
      </c>
      <c r="H43" s="240">
        <v>10.28</v>
      </c>
      <c r="I43" s="240">
        <v>3200.17</v>
      </c>
      <c r="J43" s="240">
        <v>53.82499162479062</v>
      </c>
      <c r="K43" s="240">
        <v>0.01</v>
      </c>
      <c r="L43" s="240">
        <v>688.65</v>
      </c>
      <c r="M43" s="198"/>
      <c r="N43" s="199"/>
      <c r="O43" s="240">
        <v>192.94326455026456</v>
      </c>
      <c r="P43" s="240">
        <v>58.041021164021174</v>
      </c>
      <c r="Q43" s="241">
        <v>-0.07263830740338717</v>
      </c>
      <c r="R43" s="61"/>
      <c r="T43" s="232"/>
    </row>
    <row r="44" ht="15" customHeight="1">
      <c r="B44" s="12"/>
      <c r="C44" s="193"/>
      <c r="D44" s="194" t="s">
        <v>117</v>
      </c>
      <c r="E44" s="195">
        <v>15</v>
      </c>
      <c r="F44" s="196"/>
      <c r="G44" s="240">
        <v>237.68733333333333</v>
      </c>
      <c r="H44" s="240">
        <v>4.73</v>
      </c>
      <c r="I44" s="240">
        <v>1056.2</v>
      </c>
      <c r="J44" s="240">
        <v>123.40266666666666</v>
      </c>
      <c r="K44" s="240">
        <v>1.89</v>
      </c>
      <c r="L44" s="240">
        <v>364.96</v>
      </c>
      <c r="M44" s="198"/>
      <c r="N44" s="199"/>
      <c r="O44" s="240">
        <v>110.48441176470587</v>
      </c>
      <c r="P44" s="240">
        <v>67.941000000000031</v>
      </c>
      <c r="Q44" s="241">
        <v>0.81632151425501531</v>
      </c>
      <c r="R44" s="61"/>
      <c r="T44" s="232"/>
    </row>
    <row r="45" ht="15" customHeight="1">
      <c r="B45" s="12"/>
      <c r="C45" s="193"/>
      <c r="D45" s="194" t="s">
        <v>118</v>
      </c>
      <c r="E45" s="195">
        <v>5</v>
      </c>
      <c r="F45" s="196"/>
      <c r="G45" s="240">
        <v>204.544</v>
      </c>
      <c r="H45" s="240">
        <v>137.12</v>
      </c>
      <c r="I45" s="240">
        <v>274.24</v>
      </c>
      <c r="J45" s="240">
        <v>204.544</v>
      </c>
      <c r="K45" s="240">
        <v>137.12</v>
      </c>
      <c r="L45" s="240">
        <v>274.24</v>
      </c>
      <c r="M45" s="198"/>
      <c r="N45" s="199"/>
      <c r="O45" s="240">
        <v>341.08484848484852</v>
      </c>
      <c r="P45" s="240">
        <v>341.08484848484852</v>
      </c>
      <c r="Q45" s="241">
        <v>-0.40031335316026972</v>
      </c>
      <c r="R45" s="61"/>
      <c r="T45" s="232"/>
    </row>
    <row r="46" ht="15" customHeight="1">
      <c r="B46" s="12"/>
      <c r="C46" s="193"/>
      <c r="D46" s="194" t="s">
        <v>119</v>
      </c>
      <c r="E46" s="195">
        <v>8</v>
      </c>
      <c r="F46" s="196"/>
      <c r="G46" s="240">
        <v>20</v>
      </c>
      <c r="H46" s="240">
        <v>20</v>
      </c>
      <c r="I46" s="240">
        <v>20</v>
      </c>
      <c r="J46" s="240">
        <v>20</v>
      </c>
      <c r="K46" s="240">
        <v>20</v>
      </c>
      <c r="L46" s="240">
        <v>20</v>
      </c>
      <c r="M46" s="198"/>
      <c r="N46" s="199"/>
      <c r="O46" s="240">
        <v>24.87</v>
      </c>
      <c r="P46" s="240">
        <v>23.245454545454546</v>
      </c>
      <c r="Q46" s="241">
        <v>-0.13961842076961128</v>
      </c>
      <c r="R46" s="61"/>
      <c r="T46" s="232"/>
    </row>
    <row r="47" ht="15" customHeight="1">
      <c r="B47" s="12"/>
      <c r="C47" s="142" t="s">
        <v>120</v>
      </c>
      <c r="D47" s="143"/>
      <c r="E47" s="65">
        <v>0</v>
      </c>
      <c r="F47" s="76"/>
      <c r="G47" s="238"/>
      <c r="H47" s="238">
        <v>0</v>
      </c>
      <c r="I47" s="238">
        <v>0</v>
      </c>
      <c r="J47" s="238">
        <v>0</v>
      </c>
      <c r="K47" s="238">
        <v>0</v>
      </c>
      <c r="L47" s="238">
        <v>0</v>
      </c>
      <c r="M47" s="67"/>
      <c r="N47" s="144"/>
      <c r="O47" s="238">
        <v>3973.4859999999994</v>
      </c>
      <c r="P47" s="238">
        <v>3180.0919999999996</v>
      </c>
      <c r="Q47" s="239">
        <v>-1</v>
      </c>
      <c r="R47" s="61"/>
      <c r="T47" s="232"/>
    </row>
    <row r="48" ht="15" customHeight="1">
      <c r="B48" s="12"/>
      <c r="C48" s="193"/>
      <c r="D48" s="194" t="s">
        <v>121</v>
      </c>
      <c r="E48" s="195">
        <v>0</v>
      </c>
      <c r="F48" s="196"/>
      <c r="G48" s="240"/>
      <c r="H48" s="240">
        <v>0</v>
      </c>
      <c r="I48" s="240">
        <v>0</v>
      </c>
      <c r="J48" s="240">
        <v>0</v>
      </c>
      <c r="K48" s="240">
        <v>0</v>
      </c>
      <c r="L48" s="240">
        <v>0</v>
      </c>
      <c r="M48" s="198"/>
      <c r="N48" s="199"/>
      <c r="O48" s="240">
        <v>3973.4859999999994</v>
      </c>
      <c r="P48" s="240">
        <v>3180.0919999999996</v>
      </c>
      <c r="Q48" s="241">
        <v>-1</v>
      </c>
      <c r="R48" s="61"/>
      <c r="T48" s="232"/>
    </row>
    <row r="49" ht="15" customHeight="1">
      <c r="B49" s="12"/>
      <c r="C49" s="142" t="s">
        <v>122</v>
      </c>
      <c r="D49" s="143"/>
      <c r="E49" s="65">
        <v>949</v>
      </c>
      <c r="F49" s="76"/>
      <c r="G49" s="238">
        <v>211.53698630136984</v>
      </c>
      <c r="H49" s="238">
        <v>5</v>
      </c>
      <c r="I49" s="238">
        <v>1040</v>
      </c>
      <c r="J49" s="238">
        <v>105.00800842992635</v>
      </c>
      <c r="K49" s="238">
        <v>0.02</v>
      </c>
      <c r="L49" s="238">
        <v>391.94</v>
      </c>
      <c r="M49" s="67"/>
      <c r="N49" s="144"/>
      <c r="O49" s="238">
        <v>191.29175415282381</v>
      </c>
      <c r="P49" s="238">
        <v>131.49341528239216</v>
      </c>
      <c r="Q49" s="239">
        <v>-0.20141999522409493</v>
      </c>
      <c r="R49" s="61"/>
      <c r="T49" s="232"/>
    </row>
    <row r="50" ht="15" customHeight="1">
      <c r="B50" s="12"/>
      <c r="C50" s="193"/>
      <c r="D50" s="194" t="s">
        <v>123</v>
      </c>
      <c r="E50" s="195">
        <v>484</v>
      </c>
      <c r="F50" s="196"/>
      <c r="G50" s="240">
        <v>243.25175619834712</v>
      </c>
      <c r="H50" s="240">
        <v>5</v>
      </c>
      <c r="I50" s="240">
        <v>1040</v>
      </c>
      <c r="J50" s="240">
        <v>114.19154958677707</v>
      </c>
      <c r="K50" s="240">
        <v>0.02</v>
      </c>
      <c r="L50" s="240">
        <v>391.94</v>
      </c>
      <c r="M50" s="198"/>
      <c r="N50" s="199"/>
      <c r="O50" s="240">
        <v>243.94091871091862</v>
      </c>
      <c r="P50" s="240">
        <v>164.2448388648393</v>
      </c>
      <c r="Q50" s="241">
        <v>-0.30474815641043118</v>
      </c>
      <c r="R50" s="61"/>
      <c r="T50" s="232"/>
    </row>
    <row r="51" ht="15" customHeight="1">
      <c r="B51" s="12"/>
      <c r="C51" s="193"/>
      <c r="D51" s="194" t="s">
        <v>124</v>
      </c>
      <c r="E51" s="195">
        <v>8</v>
      </c>
      <c r="F51" s="196"/>
      <c r="G51" s="240">
        <v>50.625</v>
      </c>
      <c r="H51" s="240">
        <v>30</v>
      </c>
      <c r="I51" s="240">
        <v>95</v>
      </c>
      <c r="J51" s="240">
        <v>41.5125</v>
      </c>
      <c r="K51" s="240">
        <v>24.6</v>
      </c>
      <c r="L51" s="240">
        <v>77.9</v>
      </c>
      <c r="M51" s="198"/>
      <c r="N51" s="199"/>
      <c r="O51" s="240">
        <v>54.905660377358494</v>
      </c>
      <c r="P51" s="240">
        <v>45.02264150943396</v>
      </c>
      <c r="Q51" s="241">
        <v>-0.077963067437242461</v>
      </c>
      <c r="R51" s="61"/>
      <c r="T51" s="232"/>
    </row>
    <row r="52" ht="15" customHeight="1">
      <c r="B52" s="12"/>
      <c r="C52" s="193"/>
      <c r="D52" s="194" t="s">
        <v>125</v>
      </c>
      <c r="E52" s="195">
        <v>0</v>
      </c>
      <c r="F52" s="196"/>
      <c r="G52" s="240"/>
      <c r="H52" s="240">
        <v>0</v>
      </c>
      <c r="I52" s="240">
        <v>0</v>
      </c>
      <c r="J52" s="240">
        <v>0</v>
      </c>
      <c r="K52" s="240">
        <v>0</v>
      </c>
      <c r="L52" s="240">
        <v>0</v>
      </c>
      <c r="M52" s="198"/>
      <c r="N52" s="199"/>
      <c r="O52" s="240">
        <v>1240.7</v>
      </c>
      <c r="P52" s="240">
        <v>438.5200000000001</v>
      </c>
      <c r="Q52" s="241">
        <v>-1</v>
      </c>
      <c r="R52" s="61"/>
      <c r="T52" s="232"/>
    </row>
    <row r="53" ht="15" customHeight="1">
      <c r="B53" s="12"/>
      <c r="C53" s="193"/>
      <c r="D53" s="194" t="s">
        <v>126</v>
      </c>
      <c r="E53" s="195">
        <v>225</v>
      </c>
      <c r="F53" s="196"/>
      <c r="G53" s="240">
        <v>65.647022222222219</v>
      </c>
      <c r="H53" s="240">
        <v>14.4</v>
      </c>
      <c r="I53" s="240">
        <v>267</v>
      </c>
      <c r="J53" s="240">
        <v>43.086755555555555</v>
      </c>
      <c r="K53" s="240">
        <v>0.64</v>
      </c>
      <c r="L53" s="240">
        <v>267</v>
      </c>
      <c r="M53" s="198"/>
      <c r="N53" s="199"/>
      <c r="O53" s="240">
        <v>79.618192520775622</v>
      </c>
      <c r="P53" s="240">
        <v>62.825277008310238</v>
      </c>
      <c r="Q53" s="241">
        <v>-0.31418075202187656</v>
      </c>
      <c r="R53" s="61"/>
      <c r="T53" s="232"/>
    </row>
    <row r="54" ht="15" customHeight="1">
      <c r="B54" s="12"/>
      <c r="C54" s="193"/>
      <c r="D54" s="194" t="s">
        <v>127</v>
      </c>
      <c r="E54" s="195">
        <v>0</v>
      </c>
      <c r="F54" s="196"/>
      <c r="G54" s="240"/>
      <c r="H54" s="240">
        <v>0</v>
      </c>
      <c r="I54" s="240">
        <v>0</v>
      </c>
      <c r="J54" s="240">
        <v>0</v>
      </c>
      <c r="K54" s="240">
        <v>0</v>
      </c>
      <c r="L54" s="240">
        <v>0</v>
      </c>
      <c r="M54" s="198"/>
      <c r="N54" s="199"/>
      <c r="O54" s="240">
        <v>171.19375</v>
      </c>
      <c r="P54" s="240">
        <v>127.90041666666667</v>
      </c>
      <c r="Q54" s="241">
        <v>-1</v>
      </c>
      <c r="R54" s="61"/>
      <c r="T54" s="232"/>
    </row>
    <row r="55" ht="15" customHeight="1">
      <c r="B55" s="12"/>
      <c r="C55" s="193"/>
      <c r="D55" s="194" t="s">
        <v>128</v>
      </c>
      <c r="E55" s="195">
        <v>3</v>
      </c>
      <c r="F55" s="196"/>
      <c r="G55" s="240">
        <v>139.41666666666666</v>
      </c>
      <c r="H55" s="240">
        <v>115</v>
      </c>
      <c r="I55" s="240">
        <v>161.25</v>
      </c>
      <c r="J55" s="240">
        <v>118.97000000000001</v>
      </c>
      <c r="K55" s="240">
        <v>99.97</v>
      </c>
      <c r="L55" s="240">
        <v>141.97</v>
      </c>
      <c r="M55" s="198"/>
      <c r="N55" s="199"/>
      <c r="O55" s="240">
        <v>173.81022727272728</v>
      </c>
      <c r="P55" s="240">
        <v>129.52477272727273</v>
      </c>
      <c r="Q55" s="241">
        <v>-0.08148864155744695</v>
      </c>
      <c r="R55" s="61"/>
      <c r="T55" s="232"/>
    </row>
    <row r="56" ht="15" customHeight="1">
      <c r="B56" s="12"/>
      <c r="C56" s="193"/>
      <c r="D56" s="194" t="s">
        <v>129</v>
      </c>
      <c r="E56" s="195">
        <v>112</v>
      </c>
      <c r="F56" s="196"/>
      <c r="G56" s="240">
        <v>398.57294642857141</v>
      </c>
      <c r="H56" s="240">
        <v>100</v>
      </c>
      <c r="I56" s="240">
        <v>873.1</v>
      </c>
      <c r="J56" s="240">
        <v>196.66044642857145</v>
      </c>
      <c r="K56" s="240">
        <v>43</v>
      </c>
      <c r="L56" s="240">
        <v>309.97</v>
      </c>
      <c r="M56" s="198"/>
      <c r="N56" s="199"/>
      <c r="O56" s="240">
        <v>285.03553488372091</v>
      </c>
      <c r="P56" s="240">
        <v>193.28869767441876</v>
      </c>
      <c r="Q56" s="241">
        <v>0.017443854710596174</v>
      </c>
      <c r="R56" s="61"/>
      <c r="T56" s="232"/>
    </row>
    <row r="57" ht="15" customHeight="1">
      <c r="B57" s="12"/>
      <c r="C57" s="193"/>
      <c r="D57" s="194" t="s">
        <v>130</v>
      </c>
      <c r="E57" s="195">
        <v>115</v>
      </c>
      <c r="F57" s="196"/>
      <c r="G57" s="240">
        <v>191.79086956521741</v>
      </c>
      <c r="H57" s="240">
        <v>54.5</v>
      </c>
      <c r="I57" s="240">
        <v>488.28</v>
      </c>
      <c r="J57" s="240">
        <v>100.97434782608696</v>
      </c>
      <c r="K57" s="240">
        <v>9.97</v>
      </c>
      <c r="L57" s="240">
        <v>274.24</v>
      </c>
      <c r="M57" s="198"/>
      <c r="N57" s="199"/>
      <c r="O57" s="240">
        <v>142.01880877742946</v>
      </c>
      <c r="P57" s="240">
        <v>101.99027429467085</v>
      </c>
      <c r="Q57" s="241">
        <v>-0.00996173165487313</v>
      </c>
      <c r="R57" s="61"/>
      <c r="T57" s="232"/>
    </row>
    <row r="58" ht="15" customHeight="1">
      <c r="B58" s="12"/>
      <c r="C58" s="193"/>
      <c r="D58" s="194" t="s">
        <v>131</v>
      </c>
      <c r="E58" s="195">
        <v>2</v>
      </c>
      <c r="F58" s="196"/>
      <c r="G58" s="240">
        <v>362.4</v>
      </c>
      <c r="H58" s="240">
        <v>362.4</v>
      </c>
      <c r="I58" s="240">
        <v>362.4</v>
      </c>
      <c r="J58" s="240">
        <v>181.17</v>
      </c>
      <c r="K58" s="240">
        <v>146.38</v>
      </c>
      <c r="L58" s="240">
        <v>215.96</v>
      </c>
      <c r="M58" s="198"/>
      <c r="N58" s="199"/>
      <c r="O58" s="240">
        <v>570.505</v>
      </c>
      <c r="P58" s="240">
        <v>373.1125</v>
      </c>
      <c r="Q58" s="241">
        <v>-0.51443599450567867</v>
      </c>
      <c r="R58" s="61"/>
      <c r="T58" s="232"/>
    </row>
    <row r="59" ht="15" customHeight="1">
      <c r="B59" s="12"/>
      <c r="C59" s="193"/>
      <c r="D59" s="194" t="s">
        <v>132</v>
      </c>
      <c r="E59" s="195">
        <v>0</v>
      </c>
      <c r="F59" s="196"/>
      <c r="G59" s="240"/>
      <c r="H59" s="240">
        <v>0</v>
      </c>
      <c r="I59" s="240">
        <v>0</v>
      </c>
      <c r="J59" s="240">
        <v>0</v>
      </c>
      <c r="K59" s="240">
        <v>0</v>
      </c>
      <c r="L59" s="240">
        <v>0</v>
      </c>
      <c r="M59" s="198"/>
      <c r="N59" s="199"/>
      <c r="O59" s="240">
        <v>63</v>
      </c>
      <c r="P59" s="240">
        <v>62.95</v>
      </c>
      <c r="Q59" s="241">
        <v>-1</v>
      </c>
      <c r="R59" s="61"/>
      <c r="T59" s="232"/>
    </row>
    <row r="60" ht="15" customHeight="1">
      <c r="B60" s="12"/>
      <c r="C60" s="142" t="s">
        <v>133</v>
      </c>
      <c r="D60" s="143"/>
      <c r="E60" s="65">
        <v>319</v>
      </c>
      <c r="F60" s="76"/>
      <c r="G60" s="238">
        <v>51.953385579937304</v>
      </c>
      <c r="H60" s="238">
        <v>12.13</v>
      </c>
      <c r="I60" s="238">
        <v>150</v>
      </c>
      <c r="J60" s="238">
        <v>42.57721003134796</v>
      </c>
      <c r="K60" s="238">
        <v>5</v>
      </c>
      <c r="L60" s="238">
        <v>100</v>
      </c>
      <c r="M60" s="67"/>
      <c r="N60" s="144"/>
      <c r="O60" s="238">
        <v>54.288954514596085</v>
      </c>
      <c r="P60" s="238">
        <v>41.004826883910383</v>
      </c>
      <c r="Q60" s="239">
        <v>0.038346730138910434</v>
      </c>
      <c r="R60" s="61"/>
      <c r="T60" s="232"/>
    </row>
    <row r="61" ht="15" customHeight="1">
      <c r="B61" s="12"/>
      <c r="C61" s="193"/>
      <c r="D61" s="194" t="s">
        <v>134</v>
      </c>
      <c r="E61" s="195">
        <v>317</v>
      </c>
      <c r="F61" s="196"/>
      <c r="G61" s="240">
        <v>52.069400630914828</v>
      </c>
      <c r="H61" s="240">
        <v>20</v>
      </c>
      <c r="I61" s="240">
        <v>150</v>
      </c>
      <c r="J61" s="240">
        <v>42.728706624605678</v>
      </c>
      <c r="K61" s="240">
        <v>5</v>
      </c>
      <c r="L61" s="240">
        <v>100</v>
      </c>
      <c r="M61" s="198"/>
      <c r="N61" s="199"/>
      <c r="O61" s="240">
        <v>54.452727895819052</v>
      </c>
      <c r="P61" s="240">
        <v>41.1792152159013</v>
      </c>
      <c r="Q61" s="241">
        <v>0.037628220072269514</v>
      </c>
      <c r="R61" s="61"/>
      <c r="T61" s="232"/>
    </row>
    <row r="62" ht="15" customHeight="1">
      <c r="B62" s="12"/>
      <c r="C62" s="193"/>
      <c r="D62" s="194" t="s">
        <v>135</v>
      </c>
      <c r="E62" s="195">
        <v>2</v>
      </c>
      <c r="F62" s="196"/>
      <c r="G62" s="240">
        <v>33.565</v>
      </c>
      <c r="H62" s="240">
        <v>12.13</v>
      </c>
      <c r="I62" s="240">
        <v>55</v>
      </c>
      <c r="J62" s="240">
        <v>18.565</v>
      </c>
      <c r="K62" s="240">
        <v>12.13</v>
      </c>
      <c r="L62" s="240">
        <v>25</v>
      </c>
      <c r="M62" s="198"/>
      <c r="N62" s="199"/>
      <c r="O62" s="240">
        <v>37.221428571428582</v>
      </c>
      <c r="P62" s="240">
        <v>22.831071428571427</v>
      </c>
      <c r="Q62" s="241">
        <v>-0.18685477265659556</v>
      </c>
      <c r="R62" s="61"/>
      <c r="T62" s="232"/>
    </row>
    <row r="63" ht="15" customHeight="1">
      <c r="B63" s="12"/>
      <c r="C63" s="142" t="s">
        <v>136</v>
      </c>
      <c r="D63" s="143"/>
      <c r="E63" s="65">
        <v>57096</v>
      </c>
      <c r="F63" s="76"/>
      <c r="G63" s="238">
        <v>10.42411990332066</v>
      </c>
      <c r="H63" s="238">
        <v>0.31</v>
      </c>
      <c r="I63" s="238">
        <v>1190.03</v>
      </c>
      <c r="J63" s="238">
        <v>3.5297316799776479</v>
      </c>
      <c r="K63" s="238">
        <v>0.02</v>
      </c>
      <c r="L63" s="238">
        <v>833.02</v>
      </c>
      <c r="M63" s="67"/>
      <c r="N63" s="144"/>
      <c r="O63" s="238">
        <v>11.297087700843916</v>
      </c>
      <c r="P63" s="238">
        <v>4.2845221881843516</v>
      </c>
      <c r="Q63" s="239">
        <v>-0.17616991480919597</v>
      </c>
      <c r="R63" s="61"/>
      <c r="T63" s="232"/>
    </row>
    <row r="64" ht="15" customHeight="1">
      <c r="B64" s="12"/>
      <c r="C64" s="193"/>
      <c r="D64" s="194" t="s">
        <v>137</v>
      </c>
      <c r="E64" s="195">
        <v>2079</v>
      </c>
      <c r="F64" s="196"/>
      <c r="G64" s="240">
        <v>23.805541125540934</v>
      </c>
      <c r="H64" s="240">
        <v>1.35</v>
      </c>
      <c r="I64" s="240">
        <v>486</v>
      </c>
      <c r="J64" s="240">
        <v>9.3339730639731116</v>
      </c>
      <c r="K64" s="240">
        <v>0.27</v>
      </c>
      <c r="L64" s="240">
        <v>194.4</v>
      </c>
      <c r="M64" s="198"/>
      <c r="N64" s="199"/>
      <c r="O64" s="240">
        <v>23.758774369366083</v>
      </c>
      <c r="P64" s="240">
        <v>9.2234805394452088</v>
      </c>
      <c r="Q64" s="241">
        <v>0.011980267794221344</v>
      </c>
      <c r="R64" s="61"/>
      <c r="T64" s="232"/>
    </row>
    <row r="65" ht="15" customHeight="1">
      <c r="B65" s="12"/>
      <c r="C65" s="193"/>
      <c r="D65" s="194" t="s">
        <v>89</v>
      </c>
      <c r="E65" s="195">
        <v>60</v>
      </c>
      <c r="F65" s="196"/>
      <c r="G65" s="240">
        <v>53.197833333333328</v>
      </c>
      <c r="H65" s="240">
        <v>2.6</v>
      </c>
      <c r="I65" s="240">
        <v>650</v>
      </c>
      <c r="J65" s="240">
        <v>18.771666666666665</v>
      </c>
      <c r="K65" s="240">
        <v>1.04</v>
      </c>
      <c r="L65" s="240">
        <v>138</v>
      </c>
      <c r="M65" s="198"/>
      <c r="N65" s="199"/>
      <c r="O65" s="240">
        <v>50.804415094339625</v>
      </c>
      <c r="P65" s="240">
        <v>20.847408805031439</v>
      </c>
      <c r="Q65" s="241">
        <v>-0.099566372785095614</v>
      </c>
      <c r="R65" s="61"/>
      <c r="T65" s="232"/>
    </row>
    <row r="66" ht="15" customHeight="1">
      <c r="B66" s="12"/>
      <c r="C66" s="193"/>
      <c r="D66" s="194" t="s">
        <v>138</v>
      </c>
      <c r="E66" s="195">
        <v>5742</v>
      </c>
      <c r="F66" s="196"/>
      <c r="G66" s="240">
        <v>14.490426680599059</v>
      </c>
      <c r="H66" s="240">
        <v>0.75</v>
      </c>
      <c r="I66" s="240">
        <v>165</v>
      </c>
      <c r="J66" s="240">
        <v>5.513899338209753</v>
      </c>
      <c r="K66" s="240">
        <v>0.02</v>
      </c>
      <c r="L66" s="240">
        <v>97.46</v>
      </c>
      <c r="M66" s="198"/>
      <c r="N66" s="199"/>
      <c r="O66" s="240">
        <v>17.212003707086438</v>
      </c>
      <c r="P66" s="240">
        <v>6.8176008703594055</v>
      </c>
      <c r="Q66" s="241">
        <v>-0.19122565125557378</v>
      </c>
      <c r="R66" s="61"/>
      <c r="T66" s="232"/>
    </row>
    <row r="67" ht="15" customHeight="1">
      <c r="B67" s="12"/>
      <c r="C67" s="193"/>
      <c r="D67" s="194" t="s">
        <v>139</v>
      </c>
      <c r="E67" s="195">
        <v>9887</v>
      </c>
      <c r="F67" s="196"/>
      <c r="G67" s="240">
        <v>27.585016688580964</v>
      </c>
      <c r="H67" s="240">
        <v>0.51</v>
      </c>
      <c r="I67" s="240">
        <v>300</v>
      </c>
      <c r="J67" s="240">
        <v>8.07474259128143</v>
      </c>
      <c r="K67" s="240">
        <v>0.03</v>
      </c>
      <c r="L67" s="240">
        <v>100</v>
      </c>
      <c r="M67" s="198"/>
      <c r="N67" s="199"/>
      <c r="O67" s="240">
        <v>29.116977849830583</v>
      </c>
      <c r="P67" s="240">
        <v>10.502637254544746</v>
      </c>
      <c r="Q67" s="241">
        <v>-0.23117132900424653</v>
      </c>
      <c r="R67" s="61"/>
      <c r="T67" s="232"/>
    </row>
    <row r="68" ht="15" customHeight="1">
      <c r="B68" s="12"/>
      <c r="C68" s="193"/>
      <c r="D68" s="194" t="s">
        <v>140</v>
      </c>
      <c r="E68" s="195">
        <v>1598</v>
      </c>
      <c r="F68" s="196"/>
      <c r="G68" s="240">
        <v>37.983110137672149</v>
      </c>
      <c r="H68" s="240">
        <v>0.75</v>
      </c>
      <c r="I68" s="240">
        <v>795</v>
      </c>
      <c r="J68" s="240">
        <v>9.8163642052565709</v>
      </c>
      <c r="K68" s="240">
        <v>0.15</v>
      </c>
      <c r="L68" s="240">
        <v>600</v>
      </c>
      <c r="M68" s="198"/>
      <c r="N68" s="199"/>
      <c r="O68" s="240">
        <v>40.378814311468581</v>
      </c>
      <c r="P68" s="240">
        <v>12.048909998613269</v>
      </c>
      <c r="Q68" s="241">
        <v>-0.18528662367519022</v>
      </c>
      <c r="R68" s="61"/>
      <c r="T68" s="232"/>
    </row>
    <row r="69" ht="15" customHeight="1">
      <c r="B69" s="12"/>
      <c r="C69" s="193"/>
      <c r="D69" s="194" t="s">
        <v>141</v>
      </c>
      <c r="E69" s="195">
        <v>37700</v>
      </c>
      <c r="F69" s="196"/>
      <c r="G69" s="240">
        <v>3.3227427055702119</v>
      </c>
      <c r="H69" s="240">
        <v>0.31</v>
      </c>
      <c r="I69" s="240">
        <v>1190.03</v>
      </c>
      <c r="J69" s="240">
        <v>1.4213106100796764</v>
      </c>
      <c r="K69" s="240">
        <v>0.05</v>
      </c>
      <c r="L69" s="240">
        <v>833.02</v>
      </c>
      <c r="M69" s="198"/>
      <c r="N69" s="199"/>
      <c r="O69" s="240">
        <v>3.4297865403132075</v>
      </c>
      <c r="P69" s="240">
        <v>1.4762485818611941</v>
      </c>
      <c r="Q69" s="241">
        <v>-0.037190082644628086</v>
      </c>
      <c r="R69" s="61"/>
      <c r="T69" s="232"/>
    </row>
    <row r="70" ht="15" customHeight="1">
      <c r="B70" s="12"/>
      <c r="C70" s="193"/>
      <c r="D70" s="194" t="s">
        <v>142</v>
      </c>
      <c r="E70" s="195">
        <v>30</v>
      </c>
      <c r="F70" s="196"/>
      <c r="G70" s="240">
        <v>19.682000000000002</v>
      </c>
      <c r="H70" s="240">
        <v>16.9</v>
      </c>
      <c r="I70" s="240">
        <v>39</v>
      </c>
      <c r="J70" s="240">
        <v>7.8726666666666665</v>
      </c>
      <c r="K70" s="240">
        <v>6.76</v>
      </c>
      <c r="L70" s="240">
        <v>15.6</v>
      </c>
      <c r="M70" s="198"/>
      <c r="N70" s="199"/>
      <c r="O70" s="240">
        <v>21.197090909090907</v>
      </c>
      <c r="P70" s="240">
        <v>8.4787272727272711</v>
      </c>
      <c r="Q70" s="241">
        <v>-0.071473221130597842</v>
      </c>
      <c r="R70" s="61"/>
      <c r="T70" s="232"/>
    </row>
    <row r="71" ht="15" customHeight="1">
      <c r="B71" s="12"/>
      <c r="C71" s="145" t="s">
        <v>51</v>
      </c>
      <c r="D71" s="146"/>
      <c r="E71" s="134">
        <v>62001</v>
      </c>
      <c r="F71" s="135"/>
      <c r="G71" s="242">
        <v>20.994085901840233</v>
      </c>
      <c r="H71" s="242">
        <v>0.31</v>
      </c>
      <c r="I71" s="242">
        <v>3200.17</v>
      </c>
      <c r="J71" s="242">
        <v>7.8721651263689925</v>
      </c>
      <c r="K71" s="242">
        <v>0.01</v>
      </c>
      <c r="L71" s="242">
        <v>2678.05</v>
      </c>
      <c r="M71" s="137"/>
      <c r="N71" s="144"/>
      <c r="O71" s="242">
        <v>23.056926583707821</v>
      </c>
      <c r="P71" s="242">
        <v>10.510276016860093</v>
      </c>
      <c r="Q71" s="243">
        <v>-0.25100300755747673</v>
      </c>
      <c r="R71" s="61"/>
    </row>
    <row r="72" ht="15" customHeight="1">
      <c r="B72" s="12"/>
      <c r="C72" s="4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61"/>
    </row>
    <row r="73" ht="15" customHeight="1">
      <c r="B73" s="12"/>
      <c r="C73" s="4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61"/>
    </row>
    <row r="74" ht="15" customHeight="1">
      <c r="B74" s="12"/>
      <c r="C74" s="146" t="s">
        <v>143</v>
      </c>
      <c r="D74" s="146"/>
      <c r="E74" s="4"/>
      <c r="F74" s="4"/>
      <c r="G74" s="4"/>
      <c r="H74" s="176">
        <v>0.4946</v>
      </c>
      <c r="I74" s="176">
        <v>0.0431</v>
      </c>
      <c r="J74" s="176">
        <v>0.46230000000000004</v>
      </c>
      <c r="K74" s="4"/>
      <c r="L74" s="4"/>
      <c r="M74" s="4"/>
      <c r="N74" s="4"/>
      <c r="O74" s="4"/>
      <c r="P74" s="23"/>
      <c r="Q74" s="23"/>
      <c r="R74" s="61"/>
    </row>
    <row r="75" ht="15" customHeight="1">
      <c r="B75" s="12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23"/>
      <c r="Q75" s="23"/>
      <c r="R75" s="61"/>
    </row>
    <row r="76" ht="15" customHeight="1">
      <c r="B76" s="12"/>
      <c r="C76" s="146" t="s">
        <v>144</v>
      </c>
      <c r="D76" s="146"/>
      <c r="E76" s="4"/>
      <c r="F76" s="4"/>
      <c r="G76" s="136"/>
      <c r="H76" s="136"/>
      <c r="I76" s="136"/>
      <c r="J76" s="136"/>
      <c r="K76" s="4"/>
      <c r="M76" s="4"/>
      <c r="N76" s="4"/>
      <c r="O76" s="4"/>
      <c r="P76" s="23"/>
      <c r="Q76" s="23"/>
      <c r="R76" s="61"/>
    </row>
    <row r="77" ht="15" customHeight="1">
      <c r="B77" s="12"/>
      <c r="C77" s="146" t="s">
        <v>145</v>
      </c>
      <c r="D77" s="146"/>
      <c r="E77" s="4"/>
      <c r="F77" s="4"/>
      <c r="G77" s="136"/>
      <c r="H77" s="136"/>
      <c r="I77" s="136"/>
      <c r="J77" s="136"/>
      <c r="K77" s="4"/>
      <c r="L77" s="4"/>
      <c r="M77" s="4"/>
      <c r="N77" s="4"/>
      <c r="O77" s="4"/>
      <c r="P77" s="23"/>
      <c r="Q77" s="23"/>
      <c r="R77" s="61"/>
    </row>
    <row r="78" ht="15" customHeight="1">
      <c r="B78" s="12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23"/>
      <c r="Q78" s="23"/>
      <c r="R78" s="61"/>
    </row>
    <row r="79" ht="15" customHeight="1">
      <c r="B79" s="12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23"/>
      <c r="Q79" s="23"/>
      <c r="R79" s="61"/>
    </row>
    <row r="80" ht="12" customHeight="1">
      <c r="B80" s="13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8"/>
      <c r="Q80" s="148"/>
      <c r="R80" s="62"/>
    </row>
    <row r="81" ht="15.75">
      <c r="G81" s="47"/>
      <c r="J81" s="47"/>
      <c r="K81" s="4"/>
      <c r="L81" s="4"/>
      <c r="M81" s="4"/>
      <c r="N81" s="4"/>
      <c r="O81" s="4"/>
      <c r="P81" s="23"/>
      <c r="Q81" s="23"/>
    </row>
    <row r="82" ht="15.75">
      <c r="G82" s="4"/>
      <c r="H82" s="244"/>
      <c r="I82" s="244"/>
      <c r="J82" s="4"/>
      <c r="K82" s="244"/>
      <c r="L82" s="244"/>
      <c r="M82" s="4"/>
      <c r="N82" s="4"/>
      <c r="O82" s="4"/>
      <c r="P82" s="23"/>
      <c r="Q82" s="23"/>
    </row>
    <row r="83">
      <c r="H83" s="4"/>
      <c r="I83" s="4"/>
      <c r="J83" s="4"/>
    </row>
  </sheetData>
  <mergeCells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headerFooter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35.42578125" customWidth="1"/>
    <col min="23" max="23" width="11.42578125" customWidth="1"/>
    <col min="24" max="24" bestFit="1" width="9.42578125" customWidth="1"/>
    <col min="25" max="2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2" t="str">
        <f>'Page de garde'!C13&amp;" : Analyse de la dépense médicale"</f>
        <v> : Analyse de la dépense médicale</v>
      </c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4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QUARTILE'!C2</f>
        <v>ACTES DE PROPHYLAXIE ET PREVENTION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169</v>
      </c>
      <c r="Y19" s="182"/>
      <c r="AA19" s="183" t="s">
        <v>169</v>
      </c>
    </row>
    <row r="20">
      <c r="B20" s="12"/>
      <c r="S20" s="61"/>
      <c r="V20" s="182" t="s">
        <v>170</v>
      </c>
      <c r="W20" s="184">
        <f>VLOOKUP($V$18,'DATA QUARTILE'!$C:$J,2,FALSE)</f>
        <v>14.46</v>
      </c>
      <c r="X20" s="187">
        <f>ROUND(VLOOKUP($V$18,'DATA QUARTILE'!$C:$J,8,FALSE),0)</f>
        <v>24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171</v>
      </c>
      <c r="W21" s="184">
        <f>VLOOKUP($V$18,'DATA QUARTILE'!$C:$J,4,FALSE)</f>
        <v>14.46</v>
      </c>
      <c r="X21" s="187">
        <f>X20</f>
        <v>24</v>
      </c>
      <c r="Y21" s="182" t="s">
        <v>172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173</v>
      </c>
      <c r="W22" s="184">
        <f>VLOOKUP($V$18,'DATA QUARTILE'!$C:$J,5,FALSE)</f>
        <v>28.92</v>
      </c>
      <c r="X22" s="187">
        <f>X21</f>
        <v>24</v>
      </c>
      <c r="Y22" s="182" t="s">
        <v>174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175</v>
      </c>
      <c r="W23" s="184">
        <f>VLOOKUP($V$18,'DATA QUARTILE'!$C:$J,6,FALSE)</f>
        <v>28.92</v>
      </c>
      <c r="X23" s="187">
        <f>X22</f>
        <v>24</v>
      </c>
      <c r="Y23" s="182" t="s">
        <v>176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177</v>
      </c>
      <c r="W24" s="184">
        <f>VLOOKUP($V$18,'DATA QUARTILE'!$C:$J,7,FALSE)</f>
        <v>28.92</v>
      </c>
      <c r="X24" s="187">
        <f>X23</f>
        <v>24</v>
      </c>
      <c r="Y24" s="182" t="s">
        <v>178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179</v>
      </c>
      <c r="W25" s="186">
        <f>VLOOKUP($V$18,'DATA QUARTILE'!$C:$J,3,FALSE)</f>
        <v>95</v>
      </c>
      <c r="X25" s="188">
        <f>X24</f>
        <v>24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35.7109375" customWidth="1"/>
    <col min="23" max="23" width="11.42578125" customWidth="1"/>
    <col min="24" max="24" bestFit="1" width="9.42578125" customWidth="1"/>
    <col min="25" max="25" bestFit="1" width="35.7109375" customWidth="1"/>
    <col min="26" max="27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2" t="str">
        <f>'Page de garde'!C13&amp;" : Analyse de la dépense médicale optique"</f>
        <v> : Analyse de la dépense médicale optique</v>
      </c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4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QUARTILE'!C3</f>
        <v>APPAREILLAGE REFUSE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169</v>
      </c>
      <c r="Y19" s="182"/>
      <c r="AA19" s="183" t="s">
        <v>169</v>
      </c>
    </row>
    <row r="20">
      <c r="B20" s="12"/>
      <c r="S20" s="61"/>
      <c r="V20" s="182" t="s">
        <v>170</v>
      </c>
      <c r="W20" s="184">
        <f>VLOOKUP($V$18,'DATA QUARTILE'!$C:$J,2,FALSE)</f>
        <v>0</v>
      </c>
      <c r="X20" s="187">
        <f>ROUND(VLOOKUP($V$18,'DATA QUARTILE'!$C:$J,8,FALSE),0)</f>
        <v>0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171</v>
      </c>
      <c r="W21" s="184">
        <f>VLOOKUP($V$18,'DATA QUARTILE'!$C:$J,4,FALSE)</f>
        <v>0</v>
      </c>
      <c r="X21" s="187">
        <f>X20</f>
        <v>0</v>
      </c>
      <c r="Y21" s="182" t="s">
        <v>172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173</v>
      </c>
      <c r="W22" s="184">
        <f>VLOOKUP($V$18,'DATA QUARTILE'!$C:$J,5,FALSE)</f>
        <v>0</v>
      </c>
      <c r="X22" s="187">
        <f>X21</f>
        <v>0</v>
      </c>
      <c r="Y22" s="182" t="s">
        <v>174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175</v>
      </c>
      <c r="W23" s="184">
        <f>VLOOKUP($V$18,'DATA QUARTILE'!$C:$J,6,FALSE)</f>
        <v>0</v>
      </c>
      <c r="X23" s="187">
        <f>X22</f>
        <v>0</v>
      </c>
      <c r="Y23" s="182" t="s">
        <v>176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177</v>
      </c>
      <c r="W24" s="184">
        <f>VLOOKUP($V$18,'DATA QUARTILE'!$C:$J,7,FALSE)</f>
        <v>0</v>
      </c>
      <c r="X24" s="187">
        <f>X23</f>
        <v>0</v>
      </c>
      <c r="Y24" s="182" t="s">
        <v>178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179</v>
      </c>
      <c r="W25" s="186">
        <f>VLOOKUP($V$18,'DATA QUARTILE'!$C:$J,3,FALSE)</f>
        <v>0</v>
      </c>
      <c r="X25" s="188">
        <f>X24</f>
        <v>0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45" customWidth="1"/>
    <col min="23" max="23" width="11.42578125" customWidth="1"/>
    <col min="24" max="24" bestFit="1" width="9.42578125" customWidth="1"/>
    <col min="25" max="2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2" t="str">
        <f>'Page de garde'!C13&amp;" : Analyse de la dépense médicale dentaire"</f>
        <v> : Analyse de la dépense médicale dentaire</v>
      </c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4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QUARTILE'!C4</f>
        <v>AUTRES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169</v>
      </c>
      <c r="Y19" s="182"/>
      <c r="AA19" s="183" t="s">
        <v>169</v>
      </c>
    </row>
    <row r="20">
      <c r="B20" s="12"/>
      <c r="S20" s="61"/>
      <c r="V20" s="182" t="s">
        <v>170</v>
      </c>
      <c r="W20" s="184">
        <f>VLOOKUP($V$18,'DATA QUARTILE'!$C:$J,2,FALSE)</f>
        <v>0</v>
      </c>
      <c r="X20" s="187">
        <f>ROUND(VLOOKUP($V$18,'DATA QUARTILE'!$C:$J,8,FALSE),0)</f>
        <v>0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171</v>
      </c>
      <c r="W21" s="184">
        <f>VLOOKUP($V$18,'DATA QUARTILE'!$C:$J,4,FALSE)</f>
        <v>0</v>
      </c>
      <c r="X21" s="187">
        <f>X20</f>
        <v>0</v>
      </c>
      <c r="Y21" s="182" t="s">
        <v>172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173</v>
      </c>
      <c r="W22" s="184">
        <f>VLOOKUP($V$18,'DATA QUARTILE'!$C:$J,5,FALSE)</f>
        <v>0</v>
      </c>
      <c r="X22" s="187">
        <f>X21</f>
        <v>0</v>
      </c>
      <c r="Y22" s="182" t="s">
        <v>174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175</v>
      </c>
      <c r="W23" s="184">
        <f>VLOOKUP($V$18,'DATA QUARTILE'!$C:$J,6,FALSE)</f>
        <v>0</v>
      </c>
      <c r="X23" s="187">
        <f>X22</f>
        <v>0</v>
      </c>
      <c r="Y23" s="182" t="s">
        <v>176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177</v>
      </c>
      <c r="W24" s="184">
        <f>VLOOKUP($V$18,'DATA QUARTILE'!$C:$J,7,FALSE)</f>
        <v>0</v>
      </c>
      <c r="X24" s="187">
        <f>X23</f>
        <v>0</v>
      </c>
      <c r="Y24" s="182" t="s">
        <v>178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179</v>
      </c>
      <c r="W25" s="186">
        <f>VLOOKUP($V$18,'DATA QUARTILE'!$C:$J,3,FALSE)</f>
        <v>0</v>
      </c>
      <c r="X25" s="188">
        <f>X24</f>
        <v>0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192"/>
  <sheetViews>
    <sheetView zoomScale="85" zoomScaleNormal="85" workbookViewId="0">
      <selection activeCell="A2" sqref="A2:XFD176"/>
    </sheetView>
  </sheetViews>
  <sheetFormatPr baseColWidth="10" defaultColWidth="11.42578125" defaultRowHeight="15"/>
  <cols>
    <col min="1" max="1" bestFit="1" width="7.140625" customWidth="1"/>
    <col min="2" max="2" bestFit="1" width="21" customWidth="1"/>
    <col min="3" max="3" bestFit="1" width="4.7109375" customWidth="1"/>
    <col min="4" max="4" bestFit="1" width="9.5703125" customWidth="1"/>
    <col min="5" max="5" bestFit="1" width="8.7109375" customWidth="1"/>
    <col min="6" max="6" bestFit="1" width="25.85546875" customWidth="1"/>
    <col min="7" max="7" bestFit="1" width="14.5703125" customWidth="1"/>
    <col min="8" max="8" bestFit="1" width="20.140625" customWidth="1"/>
    <col min="9" max="9" bestFit="1" width="38" customWidth="1"/>
    <col min="10" max="10" bestFit="1" width="16.42578125" customWidth="1"/>
    <col min="11" max="13" width="11.42578125" customWidth="1"/>
  </cols>
  <sheetData>
    <row r="1">
      <c r="A1" s="0" t="s">
        <v>180</v>
      </c>
      <c r="B1" s="0" t="s">
        <v>181</v>
      </c>
      <c r="C1" s="0" t="s">
        <v>182</v>
      </c>
      <c r="D1" s="0" t="s">
        <v>183</v>
      </c>
      <c r="E1" s="0" t="s">
        <v>184</v>
      </c>
      <c r="F1" s="0" t="s">
        <v>185</v>
      </c>
      <c r="G1" s="0" t="s">
        <v>186</v>
      </c>
      <c r="H1" s="0" t="s">
        <v>187</v>
      </c>
      <c r="I1" s="0" t="s">
        <v>188</v>
      </c>
      <c r="J1" s="0" t="s">
        <v>189</v>
      </c>
    </row>
    <row r="2">
      <c r="A2" s="0">
        <v>2020</v>
      </c>
      <c r="B2" s="0" t="s">
        <v>190</v>
      </c>
      <c r="C2" s="0">
        <v>1</v>
      </c>
      <c r="D2" s="0" t="s">
        <v>59</v>
      </c>
      <c r="E2" s="0" t="s">
        <v>75</v>
      </c>
      <c r="F2" s="0" t="s">
        <v>61</v>
      </c>
      <c r="G2" s="0">
        <v>3</v>
      </c>
      <c r="H2" s="0">
        <v>3</v>
      </c>
      <c r="I2" s="0" t="s">
        <v>10</v>
      </c>
      <c r="J2" s="0" t="s">
        <v>7</v>
      </c>
    </row>
    <row r="3">
      <c r="A3" s="0">
        <v>2020</v>
      </c>
      <c r="B3" s="0" t="s">
        <v>190</v>
      </c>
      <c r="C3" s="0">
        <v>1</v>
      </c>
      <c r="D3" s="0" t="s">
        <v>60</v>
      </c>
      <c r="E3" s="0" t="s">
        <v>75</v>
      </c>
      <c r="F3" s="0" t="s">
        <v>61</v>
      </c>
      <c r="G3" s="0">
        <v>1</v>
      </c>
      <c r="H3" s="0">
        <v>1</v>
      </c>
      <c r="I3" s="0" t="s">
        <v>10</v>
      </c>
      <c r="J3" s="0" t="s">
        <v>7</v>
      </c>
    </row>
    <row r="4">
      <c r="A4" s="0">
        <v>2020</v>
      </c>
      <c r="B4" s="0" t="s">
        <v>190</v>
      </c>
      <c r="C4" s="0">
        <v>2</v>
      </c>
      <c r="D4" s="0" t="s">
        <v>60</v>
      </c>
      <c r="E4" s="0" t="s">
        <v>75</v>
      </c>
      <c r="F4" s="0" t="s">
        <v>61</v>
      </c>
      <c r="G4" s="0">
        <v>1</v>
      </c>
      <c r="H4" s="0">
        <v>2</v>
      </c>
      <c r="I4" s="0" t="s">
        <v>10</v>
      </c>
      <c r="J4" s="0" t="s">
        <v>7</v>
      </c>
    </row>
    <row r="5">
      <c r="A5" s="0">
        <v>2020</v>
      </c>
      <c r="B5" s="0" t="s">
        <v>190</v>
      </c>
      <c r="C5" s="0">
        <v>3</v>
      </c>
      <c r="D5" s="0" t="s">
        <v>59</v>
      </c>
      <c r="E5" s="0" t="s">
        <v>75</v>
      </c>
      <c r="F5" s="0" t="s">
        <v>61</v>
      </c>
      <c r="G5" s="0">
        <v>2</v>
      </c>
      <c r="H5" s="0">
        <v>6</v>
      </c>
      <c r="I5" s="0" t="s">
        <v>10</v>
      </c>
      <c r="J5" s="0" t="s">
        <v>7</v>
      </c>
    </row>
    <row r="6">
      <c r="A6" s="0">
        <v>2020</v>
      </c>
      <c r="B6" s="0" t="s">
        <v>190</v>
      </c>
      <c r="C6" s="0">
        <v>3</v>
      </c>
      <c r="D6" s="0" t="s">
        <v>60</v>
      </c>
      <c r="E6" s="0" t="s">
        <v>75</v>
      </c>
      <c r="F6" s="0" t="s">
        <v>61</v>
      </c>
      <c r="G6" s="0">
        <v>1</v>
      </c>
      <c r="H6" s="0">
        <v>3</v>
      </c>
      <c r="I6" s="0" t="s">
        <v>10</v>
      </c>
      <c r="J6" s="0" t="s">
        <v>7</v>
      </c>
    </row>
    <row r="7">
      <c r="A7" s="0">
        <v>2020</v>
      </c>
      <c r="B7" s="0" t="s">
        <v>190</v>
      </c>
      <c r="C7" s="0">
        <v>4</v>
      </c>
      <c r="D7" s="0" t="s">
        <v>59</v>
      </c>
      <c r="E7" s="0" t="s">
        <v>75</v>
      </c>
      <c r="F7" s="0" t="s">
        <v>61</v>
      </c>
      <c r="G7" s="0">
        <v>2</v>
      </c>
      <c r="H7" s="0">
        <v>8</v>
      </c>
      <c r="I7" s="0" t="s">
        <v>10</v>
      </c>
      <c r="J7" s="0" t="s">
        <v>7</v>
      </c>
    </row>
    <row r="8">
      <c r="A8" s="0">
        <v>2020</v>
      </c>
      <c r="B8" s="0" t="s">
        <v>190</v>
      </c>
      <c r="C8" s="0">
        <v>5</v>
      </c>
      <c r="D8" s="0" t="s">
        <v>59</v>
      </c>
      <c r="E8" s="0" t="s">
        <v>75</v>
      </c>
      <c r="F8" s="0" t="s">
        <v>61</v>
      </c>
      <c r="G8" s="0">
        <v>1</v>
      </c>
      <c r="H8" s="0">
        <v>5</v>
      </c>
      <c r="I8" s="0" t="s">
        <v>10</v>
      </c>
      <c r="J8" s="0" t="s">
        <v>7</v>
      </c>
    </row>
    <row r="9">
      <c r="A9" s="0">
        <v>2020</v>
      </c>
      <c r="B9" s="0" t="s">
        <v>190</v>
      </c>
      <c r="C9" s="0">
        <v>6</v>
      </c>
      <c r="D9" s="0" t="s">
        <v>60</v>
      </c>
      <c r="E9" s="0" t="s">
        <v>75</v>
      </c>
      <c r="F9" s="0" t="s">
        <v>61</v>
      </c>
      <c r="G9" s="0">
        <v>1</v>
      </c>
      <c r="H9" s="0">
        <v>6</v>
      </c>
      <c r="I9" s="0" t="s">
        <v>10</v>
      </c>
      <c r="J9" s="0" t="s">
        <v>7</v>
      </c>
    </row>
    <row r="10">
      <c r="A10" s="0">
        <v>2020</v>
      </c>
      <c r="B10" s="0" t="s">
        <v>190</v>
      </c>
      <c r="C10" s="0">
        <v>10</v>
      </c>
      <c r="D10" s="0" t="s">
        <v>60</v>
      </c>
      <c r="E10" s="0" t="s">
        <v>75</v>
      </c>
      <c r="F10" s="0" t="s">
        <v>61</v>
      </c>
      <c r="G10" s="0">
        <v>1</v>
      </c>
      <c r="H10" s="0">
        <v>10</v>
      </c>
      <c r="I10" s="0" t="s">
        <v>10</v>
      </c>
      <c r="J10" s="0" t="s">
        <v>7</v>
      </c>
    </row>
    <row r="11">
      <c r="A11" s="0">
        <v>2020</v>
      </c>
      <c r="B11" s="0" t="s">
        <v>190</v>
      </c>
      <c r="C11" s="0">
        <v>16</v>
      </c>
      <c r="D11" s="0" t="s">
        <v>60</v>
      </c>
      <c r="E11" s="0" t="s">
        <v>75</v>
      </c>
      <c r="F11" s="0" t="s">
        <v>61</v>
      </c>
      <c r="G11" s="0">
        <v>1</v>
      </c>
      <c r="H11" s="0">
        <v>16</v>
      </c>
      <c r="I11" s="0" t="s">
        <v>10</v>
      </c>
      <c r="J11" s="0" t="s">
        <v>7</v>
      </c>
    </row>
    <row r="12">
      <c r="A12" s="0">
        <v>2020</v>
      </c>
      <c r="B12" s="0" t="s">
        <v>190</v>
      </c>
      <c r="C12" s="0">
        <v>22</v>
      </c>
      <c r="D12" s="0" t="s">
        <v>59</v>
      </c>
      <c r="E12" s="0" t="s">
        <v>73</v>
      </c>
      <c r="F12" s="0" t="s">
        <v>61</v>
      </c>
      <c r="G12" s="0">
        <v>1</v>
      </c>
      <c r="H12" s="0">
        <v>22</v>
      </c>
      <c r="I12" s="0" t="s">
        <v>10</v>
      </c>
      <c r="J12" s="0" t="s">
        <v>7</v>
      </c>
    </row>
    <row r="13">
      <c r="A13" s="0">
        <v>2020</v>
      </c>
      <c r="B13" s="0" t="s">
        <v>190</v>
      </c>
      <c r="C13" s="0">
        <v>24</v>
      </c>
      <c r="D13" s="0" t="s">
        <v>60</v>
      </c>
      <c r="E13" s="0" t="s">
        <v>73</v>
      </c>
      <c r="F13" s="0" t="s">
        <v>61</v>
      </c>
      <c r="G13" s="0">
        <v>1</v>
      </c>
      <c r="H13" s="0">
        <v>24</v>
      </c>
      <c r="I13" s="0" t="s">
        <v>10</v>
      </c>
      <c r="J13" s="0" t="s">
        <v>7</v>
      </c>
    </row>
    <row r="14">
      <c r="A14" s="0">
        <v>2020</v>
      </c>
      <c r="B14" s="0" t="s">
        <v>190</v>
      </c>
      <c r="C14" s="0">
        <v>27</v>
      </c>
      <c r="D14" s="0" t="s">
        <v>59</v>
      </c>
      <c r="E14" s="0" t="s">
        <v>73</v>
      </c>
      <c r="F14" s="0" t="s">
        <v>62</v>
      </c>
      <c r="G14" s="0">
        <v>2</v>
      </c>
      <c r="H14" s="0">
        <v>54</v>
      </c>
      <c r="I14" s="0" t="s">
        <v>10</v>
      </c>
      <c r="J14" s="0" t="s">
        <v>7</v>
      </c>
    </row>
    <row r="15">
      <c r="A15" s="0">
        <v>2020</v>
      </c>
      <c r="B15" s="0" t="s">
        <v>190</v>
      </c>
      <c r="C15" s="0">
        <v>27</v>
      </c>
      <c r="D15" s="0" t="s">
        <v>60</v>
      </c>
      <c r="E15" s="0" t="s">
        <v>73</v>
      </c>
      <c r="F15" s="0" t="s">
        <v>62</v>
      </c>
      <c r="G15" s="0">
        <v>3</v>
      </c>
      <c r="H15" s="0">
        <v>81</v>
      </c>
      <c r="I15" s="0" t="s">
        <v>10</v>
      </c>
      <c r="J15" s="0" t="s">
        <v>7</v>
      </c>
    </row>
    <row r="16">
      <c r="A16" s="0">
        <v>2020</v>
      </c>
      <c r="B16" s="0" t="s">
        <v>190</v>
      </c>
      <c r="C16" s="0">
        <v>27</v>
      </c>
      <c r="D16" s="0" t="s">
        <v>60</v>
      </c>
      <c r="E16" s="0" t="s">
        <v>74</v>
      </c>
      <c r="F16" s="0" t="s">
        <v>62</v>
      </c>
      <c r="G16" s="0">
        <v>1</v>
      </c>
      <c r="H16" s="0">
        <v>27</v>
      </c>
      <c r="I16" s="0" t="s">
        <v>10</v>
      </c>
      <c r="J16" s="0" t="s">
        <v>7</v>
      </c>
    </row>
    <row r="17">
      <c r="A17" s="0">
        <v>2020</v>
      </c>
      <c r="B17" s="0" t="s">
        <v>190</v>
      </c>
      <c r="C17" s="0">
        <v>28</v>
      </c>
      <c r="D17" s="0" t="s">
        <v>60</v>
      </c>
      <c r="E17" s="0" t="s">
        <v>73</v>
      </c>
      <c r="F17" s="0" t="s">
        <v>62</v>
      </c>
      <c r="G17" s="0">
        <v>1</v>
      </c>
      <c r="H17" s="0">
        <v>28</v>
      </c>
      <c r="I17" s="0" t="s">
        <v>10</v>
      </c>
      <c r="J17" s="0" t="s">
        <v>7</v>
      </c>
    </row>
    <row r="18">
      <c r="A18" s="0">
        <v>2020</v>
      </c>
      <c r="B18" s="0" t="s">
        <v>190</v>
      </c>
      <c r="C18" s="0">
        <v>29</v>
      </c>
      <c r="D18" s="0" t="s">
        <v>59</v>
      </c>
      <c r="E18" s="0" t="s">
        <v>73</v>
      </c>
      <c r="F18" s="0" t="s">
        <v>62</v>
      </c>
      <c r="G18" s="0">
        <v>1</v>
      </c>
      <c r="H18" s="0">
        <v>29</v>
      </c>
      <c r="I18" s="0" t="s">
        <v>10</v>
      </c>
      <c r="J18" s="0" t="s">
        <v>7</v>
      </c>
    </row>
    <row r="19">
      <c r="A19" s="0">
        <v>2020</v>
      </c>
      <c r="B19" s="0" t="s">
        <v>190</v>
      </c>
      <c r="C19" s="0">
        <v>29</v>
      </c>
      <c r="D19" s="0" t="s">
        <v>60</v>
      </c>
      <c r="E19" s="0" t="s">
        <v>73</v>
      </c>
      <c r="F19" s="0" t="s">
        <v>62</v>
      </c>
      <c r="G19" s="0">
        <v>2</v>
      </c>
      <c r="H19" s="0">
        <v>58</v>
      </c>
      <c r="I19" s="0" t="s">
        <v>10</v>
      </c>
      <c r="J19" s="0" t="s">
        <v>7</v>
      </c>
    </row>
    <row r="20">
      <c r="A20" s="0">
        <v>2020</v>
      </c>
      <c r="B20" s="0" t="s">
        <v>190</v>
      </c>
      <c r="C20" s="0">
        <v>30</v>
      </c>
      <c r="D20" s="0" t="s">
        <v>59</v>
      </c>
      <c r="E20" s="0" t="s">
        <v>73</v>
      </c>
      <c r="F20" s="0" t="s">
        <v>63</v>
      </c>
      <c r="G20" s="0">
        <v>2</v>
      </c>
      <c r="H20" s="0">
        <v>60</v>
      </c>
      <c r="I20" s="0" t="s">
        <v>10</v>
      </c>
      <c r="J20" s="0" t="s">
        <v>7</v>
      </c>
    </row>
    <row r="21">
      <c r="A21" s="0">
        <v>2020</v>
      </c>
      <c r="B21" s="0" t="s">
        <v>190</v>
      </c>
      <c r="C21" s="0">
        <v>31</v>
      </c>
      <c r="D21" s="0" t="s">
        <v>59</v>
      </c>
      <c r="E21" s="0" t="s">
        <v>73</v>
      </c>
      <c r="F21" s="0" t="s">
        <v>63</v>
      </c>
      <c r="G21" s="0">
        <v>1</v>
      </c>
      <c r="H21" s="0">
        <v>31</v>
      </c>
      <c r="I21" s="0" t="s">
        <v>10</v>
      </c>
      <c r="J21" s="0" t="s">
        <v>7</v>
      </c>
    </row>
    <row r="22">
      <c r="A22" s="0">
        <v>2020</v>
      </c>
      <c r="B22" s="0" t="s">
        <v>190</v>
      </c>
      <c r="C22" s="0">
        <v>31</v>
      </c>
      <c r="D22" s="0" t="s">
        <v>60</v>
      </c>
      <c r="E22" s="0" t="s">
        <v>73</v>
      </c>
      <c r="F22" s="0" t="s">
        <v>63</v>
      </c>
      <c r="G22" s="0">
        <v>5</v>
      </c>
      <c r="H22" s="0">
        <v>155</v>
      </c>
      <c r="I22" s="0" t="s">
        <v>10</v>
      </c>
      <c r="J22" s="0" t="s">
        <v>7</v>
      </c>
    </row>
    <row r="23">
      <c r="A23" s="0">
        <v>2020</v>
      </c>
      <c r="B23" s="0" t="s">
        <v>190</v>
      </c>
      <c r="C23" s="0">
        <v>32</v>
      </c>
      <c r="D23" s="0" t="s">
        <v>60</v>
      </c>
      <c r="E23" s="0" t="s">
        <v>73</v>
      </c>
      <c r="F23" s="0" t="s">
        <v>63</v>
      </c>
      <c r="G23" s="0">
        <v>3</v>
      </c>
      <c r="H23" s="0">
        <v>96</v>
      </c>
      <c r="I23" s="0" t="s">
        <v>10</v>
      </c>
      <c r="J23" s="0" t="s">
        <v>7</v>
      </c>
    </row>
    <row r="24">
      <c r="A24" s="0">
        <v>2020</v>
      </c>
      <c r="B24" s="0" t="s">
        <v>190</v>
      </c>
      <c r="C24" s="0">
        <v>32</v>
      </c>
      <c r="D24" s="0" t="s">
        <v>60</v>
      </c>
      <c r="E24" s="0" t="s">
        <v>74</v>
      </c>
      <c r="F24" s="0" t="s">
        <v>63</v>
      </c>
      <c r="G24" s="0">
        <v>1</v>
      </c>
      <c r="H24" s="0">
        <v>32</v>
      </c>
      <c r="I24" s="0" t="s">
        <v>10</v>
      </c>
      <c r="J24" s="0" t="s">
        <v>7</v>
      </c>
    </row>
    <row r="25">
      <c r="A25" s="0">
        <v>2020</v>
      </c>
      <c r="B25" s="0" t="s">
        <v>190</v>
      </c>
      <c r="C25" s="0">
        <v>33</v>
      </c>
      <c r="D25" s="0" t="s">
        <v>59</v>
      </c>
      <c r="E25" s="0" t="s">
        <v>73</v>
      </c>
      <c r="F25" s="0" t="s">
        <v>63</v>
      </c>
      <c r="G25" s="0">
        <v>1</v>
      </c>
      <c r="H25" s="0">
        <v>33</v>
      </c>
      <c r="I25" s="0" t="s">
        <v>10</v>
      </c>
      <c r="J25" s="0" t="s">
        <v>7</v>
      </c>
    </row>
    <row r="26">
      <c r="A26" s="0">
        <v>2020</v>
      </c>
      <c r="B26" s="0" t="s">
        <v>190</v>
      </c>
      <c r="C26" s="0">
        <v>33</v>
      </c>
      <c r="D26" s="0" t="s">
        <v>59</v>
      </c>
      <c r="E26" s="0" t="s">
        <v>74</v>
      </c>
      <c r="F26" s="0" t="s">
        <v>63</v>
      </c>
      <c r="G26" s="0">
        <v>1</v>
      </c>
      <c r="H26" s="0">
        <v>33</v>
      </c>
      <c r="I26" s="0" t="s">
        <v>10</v>
      </c>
      <c r="J26" s="0" t="s">
        <v>7</v>
      </c>
    </row>
    <row r="27">
      <c r="A27" s="0">
        <v>2020</v>
      </c>
      <c r="B27" s="0" t="s">
        <v>190</v>
      </c>
      <c r="C27" s="0">
        <v>33</v>
      </c>
      <c r="D27" s="0" t="s">
        <v>60</v>
      </c>
      <c r="E27" s="0" t="s">
        <v>73</v>
      </c>
      <c r="F27" s="0" t="s">
        <v>63</v>
      </c>
      <c r="G27" s="0">
        <v>1</v>
      </c>
      <c r="H27" s="0">
        <v>33</v>
      </c>
      <c r="I27" s="0" t="s">
        <v>10</v>
      </c>
      <c r="J27" s="0" t="s">
        <v>7</v>
      </c>
    </row>
    <row r="28">
      <c r="A28" s="0">
        <v>2020</v>
      </c>
      <c r="B28" s="0" t="s">
        <v>190</v>
      </c>
      <c r="C28" s="0">
        <v>34</v>
      </c>
      <c r="D28" s="0" t="s">
        <v>59</v>
      </c>
      <c r="E28" s="0" t="s">
        <v>73</v>
      </c>
      <c r="F28" s="0" t="s">
        <v>63</v>
      </c>
      <c r="G28" s="0">
        <v>2</v>
      </c>
      <c r="H28" s="0">
        <v>68</v>
      </c>
      <c r="I28" s="0" t="s">
        <v>10</v>
      </c>
      <c r="J28" s="0" t="s">
        <v>7</v>
      </c>
    </row>
    <row r="29">
      <c r="A29" s="0">
        <v>2020</v>
      </c>
      <c r="B29" s="0" t="s">
        <v>190</v>
      </c>
      <c r="C29" s="0">
        <v>34</v>
      </c>
      <c r="D29" s="0" t="s">
        <v>60</v>
      </c>
      <c r="E29" s="0" t="s">
        <v>73</v>
      </c>
      <c r="F29" s="0" t="s">
        <v>63</v>
      </c>
      <c r="G29" s="0">
        <v>1</v>
      </c>
      <c r="H29" s="0">
        <v>34</v>
      </c>
      <c r="I29" s="0" t="s">
        <v>10</v>
      </c>
      <c r="J29" s="0" t="s">
        <v>7</v>
      </c>
    </row>
    <row r="30">
      <c r="A30" s="0">
        <v>2020</v>
      </c>
      <c r="B30" s="0" t="s">
        <v>190</v>
      </c>
      <c r="C30" s="0">
        <v>35</v>
      </c>
      <c r="D30" s="0" t="s">
        <v>59</v>
      </c>
      <c r="E30" s="0" t="s">
        <v>73</v>
      </c>
      <c r="F30" s="0" t="s">
        <v>64</v>
      </c>
      <c r="G30" s="0">
        <v>6</v>
      </c>
      <c r="H30" s="0">
        <v>210</v>
      </c>
      <c r="I30" s="0" t="s">
        <v>10</v>
      </c>
      <c r="J30" s="0" t="s">
        <v>7</v>
      </c>
    </row>
    <row r="31">
      <c r="A31" s="0">
        <v>2020</v>
      </c>
      <c r="B31" s="0" t="s">
        <v>190</v>
      </c>
      <c r="C31" s="0">
        <v>35</v>
      </c>
      <c r="D31" s="0" t="s">
        <v>59</v>
      </c>
      <c r="E31" s="0" t="s">
        <v>74</v>
      </c>
      <c r="F31" s="0" t="s">
        <v>64</v>
      </c>
      <c r="G31" s="0">
        <v>1</v>
      </c>
      <c r="H31" s="0">
        <v>35</v>
      </c>
      <c r="I31" s="0" t="s">
        <v>10</v>
      </c>
      <c r="J31" s="0" t="s">
        <v>7</v>
      </c>
    </row>
    <row r="32">
      <c r="A32" s="0">
        <v>2020</v>
      </c>
      <c r="B32" s="0" t="s">
        <v>190</v>
      </c>
      <c r="C32" s="0">
        <v>35</v>
      </c>
      <c r="D32" s="0" t="s">
        <v>60</v>
      </c>
      <c r="E32" s="0" t="s">
        <v>73</v>
      </c>
      <c r="F32" s="0" t="s">
        <v>64</v>
      </c>
      <c r="G32" s="0">
        <v>5</v>
      </c>
      <c r="H32" s="0">
        <v>175</v>
      </c>
      <c r="I32" s="0" t="s">
        <v>10</v>
      </c>
      <c r="J32" s="0" t="s">
        <v>7</v>
      </c>
    </row>
    <row r="33">
      <c r="A33" s="0">
        <v>2020</v>
      </c>
      <c r="B33" s="0" t="s">
        <v>190</v>
      </c>
      <c r="C33" s="0">
        <v>36</v>
      </c>
      <c r="D33" s="0" t="s">
        <v>59</v>
      </c>
      <c r="E33" s="0" t="s">
        <v>73</v>
      </c>
      <c r="F33" s="0" t="s">
        <v>64</v>
      </c>
      <c r="G33" s="0">
        <v>1</v>
      </c>
      <c r="H33" s="0">
        <v>36</v>
      </c>
      <c r="I33" s="0" t="s">
        <v>10</v>
      </c>
      <c r="J33" s="0" t="s">
        <v>7</v>
      </c>
    </row>
    <row r="34">
      <c r="A34" s="0">
        <v>2020</v>
      </c>
      <c r="B34" s="0" t="s">
        <v>190</v>
      </c>
      <c r="C34" s="0">
        <v>36</v>
      </c>
      <c r="D34" s="0" t="s">
        <v>60</v>
      </c>
      <c r="E34" s="0" t="s">
        <v>73</v>
      </c>
      <c r="F34" s="0" t="s">
        <v>64</v>
      </c>
      <c r="G34" s="0">
        <v>1</v>
      </c>
      <c r="H34" s="0">
        <v>36</v>
      </c>
      <c r="I34" s="0" t="s">
        <v>10</v>
      </c>
      <c r="J34" s="0" t="s">
        <v>7</v>
      </c>
    </row>
    <row r="35">
      <c r="A35" s="0">
        <v>2020</v>
      </c>
      <c r="B35" s="0" t="s">
        <v>190</v>
      </c>
      <c r="C35" s="0">
        <v>37</v>
      </c>
      <c r="D35" s="0" t="s">
        <v>59</v>
      </c>
      <c r="E35" s="0" t="s">
        <v>73</v>
      </c>
      <c r="F35" s="0" t="s">
        <v>64</v>
      </c>
      <c r="G35" s="0">
        <v>2</v>
      </c>
      <c r="H35" s="0">
        <v>74</v>
      </c>
      <c r="I35" s="0" t="s">
        <v>10</v>
      </c>
      <c r="J35" s="0" t="s">
        <v>7</v>
      </c>
    </row>
    <row r="36">
      <c r="A36" s="0">
        <v>2020</v>
      </c>
      <c r="B36" s="0" t="s">
        <v>190</v>
      </c>
      <c r="C36" s="0">
        <v>37</v>
      </c>
      <c r="D36" s="0" t="s">
        <v>60</v>
      </c>
      <c r="E36" s="0" t="s">
        <v>73</v>
      </c>
      <c r="F36" s="0" t="s">
        <v>64</v>
      </c>
      <c r="G36" s="0">
        <v>1</v>
      </c>
      <c r="H36" s="0">
        <v>37</v>
      </c>
      <c r="I36" s="0" t="s">
        <v>10</v>
      </c>
      <c r="J36" s="0" t="s">
        <v>7</v>
      </c>
    </row>
    <row r="37">
      <c r="A37" s="0">
        <v>2020</v>
      </c>
      <c r="B37" s="0" t="s">
        <v>190</v>
      </c>
      <c r="C37" s="0">
        <v>38</v>
      </c>
      <c r="D37" s="0" t="s">
        <v>59</v>
      </c>
      <c r="E37" s="0" t="s">
        <v>73</v>
      </c>
      <c r="F37" s="0" t="s">
        <v>64</v>
      </c>
      <c r="G37" s="0">
        <v>1</v>
      </c>
      <c r="H37" s="0">
        <v>38</v>
      </c>
      <c r="I37" s="0" t="s">
        <v>10</v>
      </c>
      <c r="J37" s="0" t="s">
        <v>7</v>
      </c>
    </row>
    <row r="38">
      <c r="A38" s="0">
        <v>2020</v>
      </c>
      <c r="B38" s="0" t="s">
        <v>190</v>
      </c>
      <c r="C38" s="0">
        <v>38</v>
      </c>
      <c r="D38" s="0" t="s">
        <v>60</v>
      </c>
      <c r="E38" s="0" t="s">
        <v>73</v>
      </c>
      <c r="F38" s="0" t="s">
        <v>64</v>
      </c>
      <c r="G38" s="0">
        <v>2</v>
      </c>
      <c r="H38" s="0">
        <v>76</v>
      </c>
      <c r="I38" s="0" t="s">
        <v>10</v>
      </c>
      <c r="J38" s="0" t="s">
        <v>7</v>
      </c>
    </row>
    <row r="39">
      <c r="A39" s="0">
        <v>2020</v>
      </c>
      <c r="B39" s="0" t="s">
        <v>190</v>
      </c>
      <c r="C39" s="0">
        <v>39</v>
      </c>
      <c r="D39" s="0" t="s">
        <v>60</v>
      </c>
      <c r="E39" s="0" t="s">
        <v>73</v>
      </c>
      <c r="F39" s="0" t="s">
        <v>64</v>
      </c>
      <c r="G39" s="0">
        <v>2</v>
      </c>
      <c r="H39" s="0">
        <v>78</v>
      </c>
      <c r="I39" s="0" t="s">
        <v>10</v>
      </c>
      <c r="J39" s="0" t="s">
        <v>7</v>
      </c>
    </row>
    <row r="40">
      <c r="A40" s="0">
        <v>2020</v>
      </c>
      <c r="B40" s="0" t="s">
        <v>190</v>
      </c>
      <c r="C40" s="0">
        <v>39</v>
      </c>
      <c r="D40" s="0" t="s">
        <v>60</v>
      </c>
      <c r="E40" s="0" t="s">
        <v>74</v>
      </c>
      <c r="F40" s="0" t="s">
        <v>64</v>
      </c>
      <c r="G40" s="0">
        <v>1</v>
      </c>
      <c r="H40" s="0">
        <v>39</v>
      </c>
      <c r="I40" s="0" t="s">
        <v>10</v>
      </c>
      <c r="J40" s="0" t="s">
        <v>7</v>
      </c>
    </row>
    <row r="41">
      <c r="A41" s="0">
        <v>2020</v>
      </c>
      <c r="B41" s="0" t="s">
        <v>190</v>
      </c>
      <c r="C41" s="0">
        <v>40</v>
      </c>
      <c r="D41" s="0" t="s">
        <v>59</v>
      </c>
      <c r="E41" s="0" t="s">
        <v>73</v>
      </c>
      <c r="F41" s="0" t="s">
        <v>65</v>
      </c>
      <c r="G41" s="0">
        <v>3</v>
      </c>
      <c r="H41" s="0">
        <v>120</v>
      </c>
      <c r="I41" s="0" t="s">
        <v>10</v>
      </c>
      <c r="J41" s="0" t="s">
        <v>7</v>
      </c>
    </row>
    <row r="42">
      <c r="A42" s="0">
        <v>2020</v>
      </c>
      <c r="B42" s="0" t="s">
        <v>190</v>
      </c>
      <c r="C42" s="0">
        <v>40</v>
      </c>
      <c r="D42" s="0" t="s">
        <v>60</v>
      </c>
      <c r="E42" s="0" t="s">
        <v>73</v>
      </c>
      <c r="F42" s="0" t="s">
        <v>65</v>
      </c>
      <c r="G42" s="0">
        <v>3</v>
      </c>
      <c r="H42" s="0">
        <v>120</v>
      </c>
      <c r="I42" s="0" t="s">
        <v>10</v>
      </c>
      <c r="J42" s="0" t="s">
        <v>7</v>
      </c>
    </row>
    <row r="43">
      <c r="A43" s="0">
        <v>2020</v>
      </c>
      <c r="B43" s="0" t="s">
        <v>190</v>
      </c>
      <c r="C43" s="0">
        <v>41</v>
      </c>
      <c r="D43" s="0" t="s">
        <v>60</v>
      </c>
      <c r="E43" s="0" t="s">
        <v>73</v>
      </c>
      <c r="F43" s="0" t="s">
        <v>65</v>
      </c>
      <c r="G43" s="0">
        <v>3</v>
      </c>
      <c r="H43" s="0">
        <v>123</v>
      </c>
      <c r="I43" s="0" t="s">
        <v>10</v>
      </c>
      <c r="J43" s="0" t="s">
        <v>7</v>
      </c>
    </row>
    <row r="44">
      <c r="A44" s="0">
        <v>2020</v>
      </c>
      <c r="B44" s="0" t="s">
        <v>190</v>
      </c>
      <c r="C44" s="0">
        <v>42</v>
      </c>
      <c r="D44" s="0" t="s">
        <v>59</v>
      </c>
      <c r="E44" s="0" t="s">
        <v>73</v>
      </c>
      <c r="F44" s="0" t="s">
        <v>65</v>
      </c>
      <c r="G44" s="0">
        <v>1</v>
      </c>
      <c r="H44" s="0">
        <v>42</v>
      </c>
      <c r="I44" s="0" t="s">
        <v>10</v>
      </c>
      <c r="J44" s="0" t="s">
        <v>7</v>
      </c>
    </row>
    <row r="45">
      <c r="A45" s="0">
        <v>2020</v>
      </c>
      <c r="B45" s="0" t="s">
        <v>190</v>
      </c>
      <c r="C45" s="0">
        <v>42</v>
      </c>
      <c r="D45" s="0" t="s">
        <v>59</v>
      </c>
      <c r="E45" s="0" t="s">
        <v>74</v>
      </c>
      <c r="F45" s="0" t="s">
        <v>65</v>
      </c>
      <c r="G45" s="0">
        <v>1</v>
      </c>
      <c r="H45" s="0">
        <v>42</v>
      </c>
      <c r="I45" s="0" t="s">
        <v>10</v>
      </c>
      <c r="J45" s="0" t="s">
        <v>7</v>
      </c>
    </row>
    <row r="46">
      <c r="A46" s="0">
        <v>2020</v>
      </c>
      <c r="B46" s="0" t="s">
        <v>190</v>
      </c>
      <c r="C46" s="0">
        <v>42</v>
      </c>
      <c r="D46" s="0" t="s">
        <v>60</v>
      </c>
      <c r="E46" s="0" t="s">
        <v>73</v>
      </c>
      <c r="F46" s="0" t="s">
        <v>65</v>
      </c>
      <c r="G46" s="0">
        <v>3</v>
      </c>
      <c r="H46" s="0">
        <v>126</v>
      </c>
      <c r="I46" s="0" t="s">
        <v>10</v>
      </c>
      <c r="J46" s="0" t="s">
        <v>7</v>
      </c>
    </row>
    <row r="47">
      <c r="A47" s="0">
        <v>2020</v>
      </c>
      <c r="B47" s="0" t="s">
        <v>190</v>
      </c>
      <c r="C47" s="0">
        <v>43</v>
      </c>
      <c r="D47" s="0" t="s">
        <v>59</v>
      </c>
      <c r="E47" s="0" t="s">
        <v>73</v>
      </c>
      <c r="F47" s="0" t="s">
        <v>65</v>
      </c>
      <c r="G47" s="0">
        <v>3</v>
      </c>
      <c r="H47" s="0">
        <v>129</v>
      </c>
      <c r="I47" s="0" t="s">
        <v>10</v>
      </c>
      <c r="J47" s="0" t="s">
        <v>7</v>
      </c>
    </row>
    <row r="48">
      <c r="A48" s="0">
        <v>2020</v>
      </c>
      <c r="B48" s="0" t="s">
        <v>190</v>
      </c>
      <c r="C48" s="0">
        <v>43</v>
      </c>
      <c r="D48" s="0" t="s">
        <v>60</v>
      </c>
      <c r="E48" s="0" t="s">
        <v>73</v>
      </c>
      <c r="F48" s="0" t="s">
        <v>65</v>
      </c>
      <c r="G48" s="0">
        <v>4</v>
      </c>
      <c r="H48" s="0">
        <v>172</v>
      </c>
      <c r="I48" s="0" t="s">
        <v>10</v>
      </c>
      <c r="J48" s="0" t="s">
        <v>7</v>
      </c>
    </row>
    <row r="49">
      <c r="A49" s="0">
        <v>2020</v>
      </c>
      <c r="B49" s="0" t="s">
        <v>190</v>
      </c>
      <c r="C49" s="0">
        <v>44</v>
      </c>
      <c r="D49" s="0" t="s">
        <v>60</v>
      </c>
      <c r="E49" s="0" t="s">
        <v>73</v>
      </c>
      <c r="F49" s="0" t="s">
        <v>65</v>
      </c>
      <c r="G49" s="0">
        <v>1</v>
      </c>
      <c r="H49" s="0">
        <v>44</v>
      </c>
      <c r="I49" s="0" t="s">
        <v>10</v>
      </c>
      <c r="J49" s="0" t="s">
        <v>7</v>
      </c>
    </row>
    <row r="50">
      <c r="A50" s="0">
        <v>2020</v>
      </c>
      <c r="B50" s="0" t="s">
        <v>190</v>
      </c>
      <c r="C50" s="0">
        <v>45</v>
      </c>
      <c r="D50" s="0" t="s">
        <v>59</v>
      </c>
      <c r="E50" s="0" t="s">
        <v>73</v>
      </c>
      <c r="F50" s="0" t="s">
        <v>66</v>
      </c>
      <c r="G50" s="0">
        <v>1</v>
      </c>
      <c r="H50" s="0">
        <v>45</v>
      </c>
      <c r="I50" s="0" t="s">
        <v>10</v>
      </c>
      <c r="J50" s="0" t="s">
        <v>7</v>
      </c>
    </row>
    <row r="51">
      <c r="A51" s="0">
        <v>2020</v>
      </c>
      <c r="B51" s="0" t="s">
        <v>190</v>
      </c>
      <c r="C51" s="0">
        <v>45</v>
      </c>
      <c r="D51" s="0" t="s">
        <v>60</v>
      </c>
      <c r="E51" s="0" t="s">
        <v>73</v>
      </c>
      <c r="F51" s="0" t="s">
        <v>66</v>
      </c>
      <c r="G51" s="0">
        <v>5</v>
      </c>
      <c r="H51" s="0">
        <v>225</v>
      </c>
      <c r="I51" s="0" t="s">
        <v>10</v>
      </c>
      <c r="J51" s="0" t="s">
        <v>7</v>
      </c>
    </row>
    <row r="52">
      <c r="A52" s="0">
        <v>2020</v>
      </c>
      <c r="B52" s="0" t="s">
        <v>190</v>
      </c>
      <c r="C52" s="0">
        <v>46</v>
      </c>
      <c r="D52" s="0" t="s">
        <v>60</v>
      </c>
      <c r="E52" s="0" t="s">
        <v>73</v>
      </c>
      <c r="F52" s="0" t="s">
        <v>66</v>
      </c>
      <c r="G52" s="0">
        <v>6</v>
      </c>
      <c r="H52" s="0">
        <v>276</v>
      </c>
      <c r="I52" s="0" t="s">
        <v>10</v>
      </c>
      <c r="J52" s="0" t="s">
        <v>7</v>
      </c>
    </row>
    <row r="53">
      <c r="A53" s="0">
        <v>2020</v>
      </c>
      <c r="B53" s="0" t="s">
        <v>190</v>
      </c>
      <c r="C53" s="0">
        <v>47</v>
      </c>
      <c r="D53" s="0" t="s">
        <v>59</v>
      </c>
      <c r="E53" s="0" t="s">
        <v>73</v>
      </c>
      <c r="F53" s="0" t="s">
        <v>66</v>
      </c>
      <c r="G53" s="0">
        <v>4</v>
      </c>
      <c r="H53" s="0">
        <v>188</v>
      </c>
      <c r="I53" s="0" t="s">
        <v>10</v>
      </c>
      <c r="J53" s="0" t="s">
        <v>7</v>
      </c>
    </row>
    <row r="54">
      <c r="A54" s="0">
        <v>2020</v>
      </c>
      <c r="B54" s="0" t="s">
        <v>190</v>
      </c>
      <c r="C54" s="0">
        <v>47</v>
      </c>
      <c r="D54" s="0" t="s">
        <v>60</v>
      </c>
      <c r="E54" s="0" t="s">
        <v>73</v>
      </c>
      <c r="F54" s="0" t="s">
        <v>66</v>
      </c>
      <c r="G54" s="0">
        <v>4</v>
      </c>
      <c r="H54" s="0">
        <v>188</v>
      </c>
      <c r="I54" s="0" t="s">
        <v>10</v>
      </c>
      <c r="J54" s="0" t="s">
        <v>7</v>
      </c>
    </row>
    <row r="55">
      <c r="A55" s="0">
        <v>2020</v>
      </c>
      <c r="B55" s="0" t="s">
        <v>190</v>
      </c>
      <c r="C55" s="0">
        <v>48</v>
      </c>
      <c r="D55" s="0" t="s">
        <v>59</v>
      </c>
      <c r="E55" s="0" t="s">
        <v>74</v>
      </c>
      <c r="F55" s="0" t="s">
        <v>66</v>
      </c>
      <c r="G55" s="0">
        <v>35</v>
      </c>
      <c r="H55" s="0">
        <v>1680</v>
      </c>
      <c r="I55" s="0" t="s">
        <v>10</v>
      </c>
      <c r="J55" s="0" t="s">
        <v>7</v>
      </c>
    </row>
    <row r="56">
      <c r="A56" s="0">
        <v>2020</v>
      </c>
      <c r="B56" s="0" t="s">
        <v>190</v>
      </c>
      <c r="C56" s="0">
        <v>48</v>
      </c>
      <c r="D56" s="0" t="s">
        <v>60</v>
      </c>
      <c r="E56" s="0" t="s">
        <v>73</v>
      </c>
      <c r="F56" s="0" t="s">
        <v>66</v>
      </c>
      <c r="G56" s="0">
        <v>3</v>
      </c>
      <c r="H56" s="0">
        <v>144</v>
      </c>
      <c r="I56" s="0" t="s">
        <v>10</v>
      </c>
      <c r="J56" s="0" t="s">
        <v>7</v>
      </c>
    </row>
    <row r="57">
      <c r="A57" s="0">
        <v>2020</v>
      </c>
      <c r="B57" s="0" t="s">
        <v>190</v>
      </c>
      <c r="C57" s="0">
        <v>49</v>
      </c>
      <c r="D57" s="0" t="s">
        <v>59</v>
      </c>
      <c r="E57" s="0" t="s">
        <v>73</v>
      </c>
      <c r="F57" s="0" t="s">
        <v>66</v>
      </c>
      <c r="G57" s="0">
        <v>1</v>
      </c>
      <c r="H57" s="0">
        <v>49</v>
      </c>
      <c r="I57" s="0" t="s">
        <v>10</v>
      </c>
      <c r="J57" s="0" t="s">
        <v>7</v>
      </c>
    </row>
    <row r="58">
      <c r="A58" s="0">
        <v>2020</v>
      </c>
      <c r="B58" s="0" t="s">
        <v>190</v>
      </c>
      <c r="C58" s="0">
        <v>49</v>
      </c>
      <c r="D58" s="0" t="s">
        <v>59</v>
      </c>
      <c r="E58" s="0" t="s">
        <v>74</v>
      </c>
      <c r="F58" s="0" t="s">
        <v>66</v>
      </c>
      <c r="G58" s="0">
        <v>73</v>
      </c>
      <c r="H58" s="0">
        <v>3577</v>
      </c>
      <c r="I58" s="0" t="s">
        <v>10</v>
      </c>
      <c r="J58" s="0" t="s">
        <v>7</v>
      </c>
    </row>
    <row r="59">
      <c r="A59" s="0">
        <v>2020</v>
      </c>
      <c r="B59" s="0" t="s">
        <v>190</v>
      </c>
      <c r="C59" s="0">
        <v>49</v>
      </c>
      <c r="D59" s="0" t="s">
        <v>60</v>
      </c>
      <c r="E59" s="0" t="s">
        <v>73</v>
      </c>
      <c r="F59" s="0" t="s">
        <v>66</v>
      </c>
      <c r="G59" s="0">
        <v>2</v>
      </c>
      <c r="H59" s="0">
        <v>98</v>
      </c>
      <c r="I59" s="0" t="s">
        <v>10</v>
      </c>
      <c r="J59" s="0" t="s">
        <v>7</v>
      </c>
    </row>
    <row r="60">
      <c r="A60" s="0">
        <v>2020</v>
      </c>
      <c r="B60" s="0" t="s">
        <v>190</v>
      </c>
      <c r="C60" s="0">
        <v>50</v>
      </c>
      <c r="D60" s="0" t="s">
        <v>60</v>
      </c>
      <c r="E60" s="0" t="s">
        <v>73</v>
      </c>
      <c r="F60" s="0" t="s">
        <v>67</v>
      </c>
      <c r="G60" s="0">
        <v>5</v>
      </c>
      <c r="H60" s="0">
        <v>250</v>
      </c>
      <c r="I60" s="0" t="s">
        <v>10</v>
      </c>
      <c r="J60" s="0" t="s">
        <v>7</v>
      </c>
    </row>
    <row r="61">
      <c r="A61" s="0">
        <v>2020</v>
      </c>
      <c r="B61" s="0" t="s">
        <v>190</v>
      </c>
      <c r="C61" s="0">
        <v>51</v>
      </c>
      <c r="D61" s="0" t="s">
        <v>59</v>
      </c>
      <c r="E61" s="0" t="s">
        <v>73</v>
      </c>
      <c r="F61" s="0" t="s">
        <v>67</v>
      </c>
      <c r="G61" s="0">
        <v>1</v>
      </c>
      <c r="H61" s="0">
        <v>51</v>
      </c>
      <c r="I61" s="0" t="s">
        <v>10</v>
      </c>
      <c r="J61" s="0" t="s">
        <v>7</v>
      </c>
    </row>
    <row r="62">
      <c r="A62" s="0">
        <v>2020</v>
      </c>
      <c r="B62" s="0" t="s">
        <v>190</v>
      </c>
      <c r="C62" s="0">
        <v>51</v>
      </c>
      <c r="D62" s="0" t="s">
        <v>60</v>
      </c>
      <c r="E62" s="0" t="s">
        <v>73</v>
      </c>
      <c r="F62" s="0" t="s">
        <v>67</v>
      </c>
      <c r="G62" s="0">
        <v>2</v>
      </c>
      <c r="H62" s="0">
        <v>102</v>
      </c>
      <c r="I62" s="0" t="s">
        <v>10</v>
      </c>
      <c r="J62" s="0" t="s">
        <v>7</v>
      </c>
    </row>
    <row r="63">
      <c r="A63" s="0">
        <v>2020</v>
      </c>
      <c r="B63" s="0" t="s">
        <v>190</v>
      </c>
      <c r="C63" s="0">
        <v>52</v>
      </c>
      <c r="D63" s="0" t="s">
        <v>59</v>
      </c>
      <c r="E63" s="0" t="s">
        <v>73</v>
      </c>
      <c r="F63" s="0" t="s">
        <v>67</v>
      </c>
      <c r="G63" s="0">
        <v>2</v>
      </c>
      <c r="H63" s="0">
        <v>104</v>
      </c>
      <c r="I63" s="0" t="s">
        <v>10</v>
      </c>
      <c r="J63" s="0" t="s">
        <v>7</v>
      </c>
    </row>
    <row r="64">
      <c r="A64" s="0">
        <v>2020</v>
      </c>
      <c r="B64" s="0" t="s">
        <v>190</v>
      </c>
      <c r="C64" s="0">
        <v>52</v>
      </c>
      <c r="D64" s="0" t="s">
        <v>60</v>
      </c>
      <c r="E64" s="0" t="s">
        <v>73</v>
      </c>
      <c r="F64" s="0" t="s">
        <v>67</v>
      </c>
      <c r="G64" s="0">
        <v>4</v>
      </c>
      <c r="H64" s="0">
        <v>208</v>
      </c>
      <c r="I64" s="0" t="s">
        <v>10</v>
      </c>
      <c r="J64" s="0" t="s">
        <v>7</v>
      </c>
    </row>
    <row r="65">
      <c r="A65" s="0">
        <v>2020</v>
      </c>
      <c r="B65" s="0" t="s">
        <v>190</v>
      </c>
      <c r="C65" s="0">
        <v>53</v>
      </c>
      <c r="D65" s="0" t="s">
        <v>59</v>
      </c>
      <c r="E65" s="0" t="s">
        <v>73</v>
      </c>
      <c r="F65" s="0" t="s">
        <v>67</v>
      </c>
      <c r="G65" s="0">
        <v>2</v>
      </c>
      <c r="H65" s="0">
        <v>106</v>
      </c>
      <c r="I65" s="0" t="s">
        <v>10</v>
      </c>
      <c r="J65" s="0" t="s">
        <v>7</v>
      </c>
    </row>
    <row r="66">
      <c r="A66" s="0">
        <v>2020</v>
      </c>
      <c r="B66" s="0" t="s">
        <v>190</v>
      </c>
      <c r="C66" s="0">
        <v>53</v>
      </c>
      <c r="D66" s="0" t="s">
        <v>60</v>
      </c>
      <c r="E66" s="0" t="s">
        <v>73</v>
      </c>
      <c r="F66" s="0" t="s">
        <v>67</v>
      </c>
      <c r="G66" s="0">
        <v>1</v>
      </c>
      <c r="H66" s="0">
        <v>53</v>
      </c>
      <c r="I66" s="0" t="s">
        <v>10</v>
      </c>
      <c r="J66" s="0" t="s">
        <v>7</v>
      </c>
    </row>
    <row r="67">
      <c r="A67" s="0">
        <v>2020</v>
      </c>
      <c r="B67" s="0" t="s">
        <v>190</v>
      </c>
      <c r="C67" s="0">
        <v>54</v>
      </c>
      <c r="D67" s="0" t="s">
        <v>59</v>
      </c>
      <c r="E67" s="0" t="s">
        <v>73</v>
      </c>
      <c r="F67" s="0" t="s">
        <v>67</v>
      </c>
      <c r="G67" s="0">
        <v>6</v>
      </c>
      <c r="H67" s="0">
        <v>324</v>
      </c>
      <c r="I67" s="0" t="s">
        <v>10</v>
      </c>
      <c r="J67" s="0" t="s">
        <v>7</v>
      </c>
    </row>
    <row r="68">
      <c r="A68" s="0">
        <v>2020</v>
      </c>
      <c r="B68" s="0" t="s">
        <v>190</v>
      </c>
      <c r="C68" s="0">
        <v>54</v>
      </c>
      <c r="D68" s="0" t="s">
        <v>60</v>
      </c>
      <c r="E68" s="0" t="s">
        <v>73</v>
      </c>
      <c r="F68" s="0" t="s">
        <v>67</v>
      </c>
      <c r="G68" s="0">
        <v>9</v>
      </c>
      <c r="H68" s="0">
        <v>486</v>
      </c>
      <c r="I68" s="0" t="s">
        <v>10</v>
      </c>
      <c r="J68" s="0" t="s">
        <v>7</v>
      </c>
    </row>
    <row r="69">
      <c r="A69" s="0">
        <v>2020</v>
      </c>
      <c r="B69" s="0" t="s">
        <v>190</v>
      </c>
      <c r="C69" s="0">
        <v>55</v>
      </c>
      <c r="D69" s="0" t="s">
        <v>59</v>
      </c>
      <c r="E69" s="0" t="s">
        <v>73</v>
      </c>
      <c r="F69" s="0" t="s">
        <v>68</v>
      </c>
      <c r="G69" s="0">
        <v>5</v>
      </c>
      <c r="H69" s="0">
        <v>275</v>
      </c>
      <c r="I69" s="0" t="s">
        <v>10</v>
      </c>
      <c r="J69" s="0" t="s">
        <v>7</v>
      </c>
    </row>
    <row r="70">
      <c r="A70" s="0">
        <v>2020</v>
      </c>
      <c r="B70" s="0" t="s">
        <v>190</v>
      </c>
      <c r="C70" s="0">
        <v>55</v>
      </c>
      <c r="D70" s="0" t="s">
        <v>60</v>
      </c>
      <c r="E70" s="0" t="s">
        <v>73</v>
      </c>
      <c r="F70" s="0" t="s">
        <v>68</v>
      </c>
      <c r="G70" s="0">
        <v>3</v>
      </c>
      <c r="H70" s="0">
        <v>165</v>
      </c>
      <c r="I70" s="0" t="s">
        <v>10</v>
      </c>
      <c r="J70" s="0" t="s">
        <v>7</v>
      </c>
    </row>
    <row r="71">
      <c r="A71" s="0">
        <v>2020</v>
      </c>
      <c r="B71" s="0" t="s">
        <v>190</v>
      </c>
      <c r="C71" s="0">
        <v>56</v>
      </c>
      <c r="D71" s="0" t="s">
        <v>59</v>
      </c>
      <c r="E71" s="0" t="s">
        <v>73</v>
      </c>
      <c r="F71" s="0" t="s">
        <v>68</v>
      </c>
      <c r="G71" s="0">
        <v>2</v>
      </c>
      <c r="H71" s="0">
        <v>112</v>
      </c>
      <c r="I71" s="0" t="s">
        <v>10</v>
      </c>
      <c r="J71" s="0" t="s">
        <v>7</v>
      </c>
    </row>
    <row r="72">
      <c r="A72" s="0">
        <v>2020</v>
      </c>
      <c r="B72" s="0" t="s">
        <v>190</v>
      </c>
      <c r="C72" s="0">
        <v>56</v>
      </c>
      <c r="D72" s="0" t="s">
        <v>60</v>
      </c>
      <c r="E72" s="0" t="s">
        <v>73</v>
      </c>
      <c r="F72" s="0" t="s">
        <v>68</v>
      </c>
      <c r="G72" s="0">
        <v>7</v>
      </c>
      <c r="H72" s="0">
        <v>392</v>
      </c>
      <c r="I72" s="0" t="s">
        <v>10</v>
      </c>
      <c r="J72" s="0" t="s">
        <v>7</v>
      </c>
    </row>
    <row r="73">
      <c r="A73" s="0">
        <v>2020</v>
      </c>
      <c r="B73" s="0" t="s">
        <v>190</v>
      </c>
      <c r="C73" s="0">
        <v>57</v>
      </c>
      <c r="D73" s="0" t="s">
        <v>59</v>
      </c>
      <c r="E73" s="0" t="s">
        <v>73</v>
      </c>
      <c r="F73" s="0" t="s">
        <v>68</v>
      </c>
      <c r="G73" s="0">
        <v>1</v>
      </c>
      <c r="H73" s="0">
        <v>57</v>
      </c>
      <c r="I73" s="0" t="s">
        <v>10</v>
      </c>
      <c r="J73" s="0" t="s">
        <v>7</v>
      </c>
    </row>
    <row r="74">
      <c r="A74" s="0">
        <v>2020</v>
      </c>
      <c r="B74" s="0" t="s">
        <v>190</v>
      </c>
      <c r="C74" s="0">
        <v>57</v>
      </c>
      <c r="D74" s="0" t="s">
        <v>60</v>
      </c>
      <c r="E74" s="0" t="s">
        <v>73</v>
      </c>
      <c r="F74" s="0" t="s">
        <v>68</v>
      </c>
      <c r="G74" s="0">
        <v>3</v>
      </c>
      <c r="H74" s="0">
        <v>171</v>
      </c>
      <c r="I74" s="0" t="s">
        <v>10</v>
      </c>
      <c r="J74" s="0" t="s">
        <v>7</v>
      </c>
    </row>
    <row r="75">
      <c r="A75" s="0">
        <v>2020</v>
      </c>
      <c r="B75" s="0" t="s">
        <v>190</v>
      </c>
      <c r="C75" s="0">
        <v>58</v>
      </c>
      <c r="D75" s="0" t="s">
        <v>59</v>
      </c>
      <c r="E75" s="0" t="s">
        <v>73</v>
      </c>
      <c r="F75" s="0" t="s">
        <v>68</v>
      </c>
      <c r="G75" s="0">
        <v>2</v>
      </c>
      <c r="H75" s="0">
        <v>116</v>
      </c>
      <c r="I75" s="0" t="s">
        <v>10</v>
      </c>
      <c r="J75" s="0" t="s">
        <v>7</v>
      </c>
    </row>
    <row r="76">
      <c r="A76" s="0">
        <v>2020</v>
      </c>
      <c r="B76" s="0" t="s">
        <v>190</v>
      </c>
      <c r="C76" s="0">
        <v>58</v>
      </c>
      <c r="D76" s="0" t="s">
        <v>60</v>
      </c>
      <c r="E76" s="0" t="s">
        <v>73</v>
      </c>
      <c r="F76" s="0" t="s">
        <v>68</v>
      </c>
      <c r="G76" s="0">
        <v>4</v>
      </c>
      <c r="H76" s="0">
        <v>232</v>
      </c>
      <c r="I76" s="0" t="s">
        <v>10</v>
      </c>
      <c r="J76" s="0" t="s">
        <v>7</v>
      </c>
    </row>
    <row r="77">
      <c r="A77" s="0">
        <v>2020</v>
      </c>
      <c r="B77" s="0" t="s">
        <v>190</v>
      </c>
      <c r="C77" s="0">
        <v>59</v>
      </c>
      <c r="D77" s="0" t="s">
        <v>59</v>
      </c>
      <c r="E77" s="0" t="s">
        <v>73</v>
      </c>
      <c r="F77" s="0" t="s">
        <v>68</v>
      </c>
      <c r="G77" s="0">
        <v>2</v>
      </c>
      <c r="H77" s="0">
        <v>118</v>
      </c>
      <c r="I77" s="0" t="s">
        <v>10</v>
      </c>
      <c r="J77" s="0" t="s">
        <v>7</v>
      </c>
    </row>
    <row r="78">
      <c r="A78" s="0">
        <v>2020</v>
      </c>
      <c r="B78" s="0" t="s">
        <v>190</v>
      </c>
      <c r="C78" s="0">
        <v>59</v>
      </c>
      <c r="D78" s="0" t="s">
        <v>60</v>
      </c>
      <c r="E78" s="0" t="s">
        <v>73</v>
      </c>
      <c r="F78" s="0" t="s">
        <v>68</v>
      </c>
      <c r="G78" s="0">
        <v>5</v>
      </c>
      <c r="H78" s="0">
        <v>295</v>
      </c>
      <c r="I78" s="0" t="s">
        <v>10</v>
      </c>
      <c r="J78" s="0" t="s">
        <v>7</v>
      </c>
    </row>
    <row r="79">
      <c r="A79" s="0">
        <v>2020</v>
      </c>
      <c r="B79" s="0" t="s">
        <v>190</v>
      </c>
      <c r="C79" s="0">
        <v>60</v>
      </c>
      <c r="D79" s="0" t="s">
        <v>59</v>
      </c>
      <c r="E79" s="0" t="s">
        <v>73</v>
      </c>
      <c r="F79" s="0" t="s">
        <v>69</v>
      </c>
      <c r="G79" s="0">
        <v>1</v>
      </c>
      <c r="H79" s="0">
        <v>60</v>
      </c>
      <c r="I79" s="0" t="s">
        <v>10</v>
      </c>
      <c r="J79" s="0" t="s">
        <v>7</v>
      </c>
    </row>
    <row r="80">
      <c r="A80" s="0">
        <v>2020</v>
      </c>
      <c r="B80" s="0" t="s">
        <v>190</v>
      </c>
      <c r="C80" s="0">
        <v>60</v>
      </c>
      <c r="D80" s="0" t="s">
        <v>60</v>
      </c>
      <c r="E80" s="0" t="s">
        <v>73</v>
      </c>
      <c r="F80" s="0" t="s">
        <v>69</v>
      </c>
      <c r="G80" s="0">
        <v>5</v>
      </c>
      <c r="H80" s="0">
        <v>300</v>
      </c>
      <c r="I80" s="0" t="s">
        <v>10</v>
      </c>
      <c r="J80" s="0" t="s">
        <v>7</v>
      </c>
    </row>
    <row r="81">
      <c r="A81" s="0">
        <v>2020</v>
      </c>
      <c r="B81" s="0" t="s">
        <v>190</v>
      </c>
      <c r="C81" s="0">
        <v>61</v>
      </c>
      <c r="D81" s="0" t="s">
        <v>59</v>
      </c>
      <c r="E81" s="0" t="s">
        <v>73</v>
      </c>
      <c r="F81" s="0" t="s">
        <v>69</v>
      </c>
      <c r="G81" s="0">
        <v>1</v>
      </c>
      <c r="H81" s="0">
        <v>61</v>
      </c>
      <c r="I81" s="0" t="s">
        <v>10</v>
      </c>
      <c r="J81" s="0" t="s">
        <v>7</v>
      </c>
    </row>
    <row r="82">
      <c r="A82" s="0">
        <v>2020</v>
      </c>
      <c r="B82" s="0" t="s">
        <v>190</v>
      </c>
      <c r="C82" s="0">
        <v>61</v>
      </c>
      <c r="D82" s="0" t="s">
        <v>60</v>
      </c>
      <c r="E82" s="0" t="s">
        <v>73</v>
      </c>
      <c r="F82" s="0" t="s">
        <v>69</v>
      </c>
      <c r="G82" s="0">
        <v>6</v>
      </c>
      <c r="H82" s="0">
        <v>366</v>
      </c>
      <c r="I82" s="0" t="s">
        <v>10</v>
      </c>
      <c r="J82" s="0" t="s">
        <v>7</v>
      </c>
    </row>
    <row r="83">
      <c r="A83" s="0">
        <v>2020</v>
      </c>
      <c r="B83" s="0" t="s">
        <v>190</v>
      </c>
      <c r="C83" s="0">
        <v>62</v>
      </c>
      <c r="D83" s="0" t="s">
        <v>59</v>
      </c>
      <c r="E83" s="0" t="s">
        <v>73</v>
      </c>
      <c r="F83" s="0" t="s">
        <v>69</v>
      </c>
      <c r="G83" s="0">
        <v>2</v>
      </c>
      <c r="H83" s="0">
        <v>124</v>
      </c>
      <c r="I83" s="0" t="s">
        <v>10</v>
      </c>
      <c r="J83" s="0" t="s">
        <v>7</v>
      </c>
    </row>
    <row r="84">
      <c r="A84" s="0">
        <v>2020</v>
      </c>
      <c r="B84" s="0" t="s">
        <v>190</v>
      </c>
      <c r="C84" s="0">
        <v>62</v>
      </c>
      <c r="D84" s="0" t="s">
        <v>60</v>
      </c>
      <c r="E84" s="0" t="s">
        <v>73</v>
      </c>
      <c r="F84" s="0" t="s">
        <v>69</v>
      </c>
      <c r="G84" s="0">
        <v>2</v>
      </c>
      <c r="H84" s="0">
        <v>124</v>
      </c>
      <c r="I84" s="0" t="s">
        <v>10</v>
      </c>
      <c r="J84" s="0" t="s">
        <v>7</v>
      </c>
    </row>
    <row r="85">
      <c r="A85" s="0">
        <v>2020</v>
      </c>
      <c r="B85" s="0" t="s">
        <v>190</v>
      </c>
      <c r="C85" s="0">
        <v>63</v>
      </c>
      <c r="D85" s="0" t="s">
        <v>59</v>
      </c>
      <c r="E85" s="0" t="s">
        <v>73</v>
      </c>
      <c r="F85" s="0" t="s">
        <v>69</v>
      </c>
      <c r="G85" s="0">
        <v>2</v>
      </c>
      <c r="H85" s="0">
        <v>126</v>
      </c>
      <c r="I85" s="0" t="s">
        <v>10</v>
      </c>
      <c r="J85" s="0" t="s">
        <v>7</v>
      </c>
    </row>
    <row r="86">
      <c r="A86" s="0">
        <v>2020</v>
      </c>
      <c r="B86" s="0" t="s">
        <v>190</v>
      </c>
      <c r="C86" s="0">
        <v>63</v>
      </c>
      <c r="D86" s="0" t="s">
        <v>60</v>
      </c>
      <c r="E86" s="0" t="s">
        <v>73</v>
      </c>
      <c r="F86" s="0" t="s">
        <v>69</v>
      </c>
      <c r="G86" s="0">
        <v>5</v>
      </c>
      <c r="H86" s="0">
        <v>315</v>
      </c>
      <c r="I86" s="0" t="s">
        <v>10</v>
      </c>
      <c r="J86" s="0" t="s">
        <v>7</v>
      </c>
    </row>
    <row r="87">
      <c r="A87" s="0">
        <v>2020</v>
      </c>
      <c r="B87" s="0" t="s">
        <v>190</v>
      </c>
      <c r="C87" s="0">
        <v>64</v>
      </c>
      <c r="D87" s="0" t="s">
        <v>60</v>
      </c>
      <c r="E87" s="0" t="s">
        <v>73</v>
      </c>
      <c r="F87" s="0" t="s">
        <v>69</v>
      </c>
      <c r="G87" s="0">
        <v>2</v>
      </c>
      <c r="H87" s="0">
        <v>128</v>
      </c>
      <c r="I87" s="0" t="s">
        <v>10</v>
      </c>
      <c r="J87" s="0" t="s">
        <v>7</v>
      </c>
    </row>
    <row r="88">
      <c r="A88" s="0">
        <v>2020</v>
      </c>
      <c r="B88" s="0" t="s">
        <v>190</v>
      </c>
      <c r="C88" s="0">
        <v>66</v>
      </c>
      <c r="D88" s="0" t="s">
        <v>60</v>
      </c>
      <c r="E88" s="0" t="s">
        <v>73</v>
      </c>
      <c r="F88" s="0" t="s">
        <v>69</v>
      </c>
      <c r="G88" s="0">
        <v>1</v>
      </c>
      <c r="H88" s="0">
        <v>66</v>
      </c>
      <c r="I88" s="0" t="s">
        <v>10</v>
      </c>
      <c r="J88" s="0" t="s">
        <v>7</v>
      </c>
    </row>
    <row r="89">
      <c r="A89" s="0">
        <v>2020</v>
      </c>
      <c r="B89" s="0" t="s">
        <v>190</v>
      </c>
      <c r="C89" s="0">
        <v>67</v>
      </c>
      <c r="D89" s="0" t="s">
        <v>60</v>
      </c>
      <c r="E89" s="0" t="s">
        <v>73</v>
      </c>
      <c r="F89" s="0" t="s">
        <v>69</v>
      </c>
      <c r="G89" s="0">
        <v>1</v>
      </c>
      <c r="H89" s="0">
        <v>67</v>
      </c>
      <c r="I89" s="0" t="s">
        <v>10</v>
      </c>
      <c r="J89" s="0" t="s">
        <v>7</v>
      </c>
    </row>
    <row r="90">
      <c r="A90" s="0">
        <v>2020</v>
      </c>
      <c r="B90" s="0" t="s">
        <v>190</v>
      </c>
      <c r="C90" s="0">
        <v>68</v>
      </c>
      <c r="D90" s="0" t="s">
        <v>59</v>
      </c>
      <c r="E90" s="0" t="s">
        <v>73</v>
      </c>
      <c r="F90" s="0" t="s">
        <v>69</v>
      </c>
      <c r="G90" s="0">
        <v>1</v>
      </c>
      <c r="H90" s="0">
        <v>68</v>
      </c>
      <c r="I90" s="0" t="s">
        <v>10</v>
      </c>
      <c r="J90" s="0" t="s">
        <v>7</v>
      </c>
    </row>
    <row r="91">
      <c r="A91" s="0">
        <v>2020</v>
      </c>
      <c r="B91" s="0" t="s">
        <v>190</v>
      </c>
      <c r="C91" s="0">
        <v>68</v>
      </c>
      <c r="D91" s="0" t="s">
        <v>60</v>
      </c>
      <c r="E91" s="0" t="s">
        <v>73</v>
      </c>
      <c r="F91" s="0" t="s">
        <v>69</v>
      </c>
      <c r="G91" s="0">
        <v>1</v>
      </c>
      <c r="H91" s="0">
        <v>68</v>
      </c>
      <c r="I91" s="0" t="s">
        <v>10</v>
      </c>
      <c r="J91" s="0" t="s">
        <v>7</v>
      </c>
    </row>
    <row r="92">
      <c r="A92" s="0">
        <v>2020</v>
      </c>
      <c r="B92" s="0" t="s">
        <v>190</v>
      </c>
      <c r="C92" s="0">
        <v>69</v>
      </c>
      <c r="D92" s="0" t="s">
        <v>60</v>
      </c>
      <c r="E92" s="0" t="s">
        <v>73</v>
      </c>
      <c r="F92" s="0" t="s">
        <v>69</v>
      </c>
      <c r="G92" s="0">
        <v>1</v>
      </c>
      <c r="H92" s="0">
        <v>69</v>
      </c>
      <c r="I92" s="0" t="s">
        <v>10</v>
      </c>
      <c r="J92" s="0" t="s">
        <v>7</v>
      </c>
    </row>
    <row r="93">
      <c r="A93" s="0">
        <v>2020</v>
      </c>
      <c r="B93" s="0" t="s">
        <v>190</v>
      </c>
      <c r="C93" s="0">
        <v>71</v>
      </c>
      <c r="D93" s="0" t="s">
        <v>60</v>
      </c>
      <c r="E93" s="0" t="s">
        <v>73</v>
      </c>
      <c r="F93" s="0" t="s">
        <v>69</v>
      </c>
      <c r="G93" s="0">
        <v>1</v>
      </c>
      <c r="H93" s="0">
        <v>71</v>
      </c>
      <c r="I93" s="0" t="s">
        <v>10</v>
      </c>
      <c r="J93" s="0" t="s">
        <v>7</v>
      </c>
    </row>
    <row r="94">
      <c r="A94" s="0">
        <v>2020</v>
      </c>
      <c r="B94" s="0" t="s">
        <v>190</v>
      </c>
      <c r="C94" s="0">
        <v>74</v>
      </c>
      <c r="D94" s="0" t="s">
        <v>59</v>
      </c>
      <c r="E94" s="0" t="s">
        <v>74</v>
      </c>
      <c r="F94" s="0" t="s">
        <v>69</v>
      </c>
      <c r="G94" s="0">
        <v>2</v>
      </c>
      <c r="H94" s="0">
        <v>148</v>
      </c>
      <c r="I94" s="0" t="s">
        <v>10</v>
      </c>
      <c r="J94" s="0" t="s">
        <v>7</v>
      </c>
    </row>
    <row r="95">
      <c r="A95" s="0">
        <v>2021</v>
      </c>
      <c r="B95" s="0" t="s">
        <v>190</v>
      </c>
      <c r="C95" s="0">
        <v>1</v>
      </c>
      <c r="D95" s="0" t="s">
        <v>59</v>
      </c>
      <c r="E95" s="0" t="s">
        <v>75</v>
      </c>
      <c r="F95" s="0" t="s">
        <v>61</v>
      </c>
      <c r="G95" s="0">
        <v>2</v>
      </c>
      <c r="H95" s="0">
        <v>2</v>
      </c>
      <c r="I95" s="0" t="s">
        <v>10</v>
      </c>
      <c r="J95" s="0" t="s">
        <v>7</v>
      </c>
    </row>
    <row r="96">
      <c r="A96" s="0">
        <v>2021</v>
      </c>
      <c r="B96" s="0" t="s">
        <v>190</v>
      </c>
      <c r="C96" s="0">
        <v>2</v>
      </c>
      <c r="D96" s="0" t="s">
        <v>59</v>
      </c>
      <c r="E96" s="0" t="s">
        <v>75</v>
      </c>
      <c r="F96" s="0" t="s">
        <v>61</v>
      </c>
      <c r="G96" s="0">
        <v>3</v>
      </c>
      <c r="H96" s="0">
        <v>6</v>
      </c>
      <c r="I96" s="0" t="s">
        <v>10</v>
      </c>
      <c r="J96" s="0" t="s">
        <v>7</v>
      </c>
    </row>
    <row r="97">
      <c r="A97" s="0">
        <v>2021</v>
      </c>
      <c r="B97" s="0" t="s">
        <v>190</v>
      </c>
      <c r="C97" s="0">
        <v>2</v>
      </c>
      <c r="D97" s="0" t="s">
        <v>60</v>
      </c>
      <c r="E97" s="0" t="s">
        <v>75</v>
      </c>
      <c r="F97" s="0" t="s">
        <v>61</v>
      </c>
      <c r="G97" s="0">
        <v>2</v>
      </c>
      <c r="H97" s="0">
        <v>4</v>
      </c>
      <c r="I97" s="0" t="s">
        <v>10</v>
      </c>
      <c r="J97" s="0" t="s">
        <v>7</v>
      </c>
    </row>
    <row r="98">
      <c r="A98" s="0">
        <v>2021</v>
      </c>
      <c r="B98" s="0" t="s">
        <v>190</v>
      </c>
      <c r="C98" s="0">
        <v>3</v>
      </c>
      <c r="D98" s="0" t="s">
        <v>60</v>
      </c>
      <c r="E98" s="0" t="s">
        <v>75</v>
      </c>
      <c r="F98" s="0" t="s">
        <v>61</v>
      </c>
      <c r="G98" s="0">
        <v>1</v>
      </c>
      <c r="H98" s="0">
        <v>3</v>
      </c>
      <c r="I98" s="0" t="s">
        <v>10</v>
      </c>
      <c r="J98" s="0" t="s">
        <v>7</v>
      </c>
    </row>
    <row r="99">
      <c r="A99" s="0">
        <v>2021</v>
      </c>
      <c r="B99" s="0" t="s">
        <v>190</v>
      </c>
      <c r="C99" s="0">
        <v>4</v>
      </c>
      <c r="D99" s="0" t="s">
        <v>59</v>
      </c>
      <c r="E99" s="0" t="s">
        <v>75</v>
      </c>
      <c r="F99" s="0" t="s">
        <v>61</v>
      </c>
      <c r="G99" s="0">
        <v>2</v>
      </c>
      <c r="H99" s="0">
        <v>8</v>
      </c>
      <c r="I99" s="0" t="s">
        <v>10</v>
      </c>
      <c r="J99" s="0" t="s">
        <v>7</v>
      </c>
    </row>
    <row r="100">
      <c r="A100" s="0">
        <v>2021</v>
      </c>
      <c r="B100" s="0" t="s">
        <v>190</v>
      </c>
      <c r="C100" s="0">
        <v>4</v>
      </c>
      <c r="D100" s="0" t="s">
        <v>60</v>
      </c>
      <c r="E100" s="0" t="s">
        <v>75</v>
      </c>
      <c r="F100" s="0" t="s">
        <v>61</v>
      </c>
      <c r="G100" s="0">
        <v>1</v>
      </c>
      <c r="H100" s="0">
        <v>4</v>
      </c>
      <c r="I100" s="0" t="s">
        <v>10</v>
      </c>
      <c r="J100" s="0" t="s">
        <v>7</v>
      </c>
    </row>
    <row r="101">
      <c r="A101" s="0">
        <v>2021</v>
      </c>
      <c r="B101" s="0" t="s">
        <v>190</v>
      </c>
      <c r="C101" s="0">
        <v>5</v>
      </c>
      <c r="D101" s="0" t="s">
        <v>59</v>
      </c>
      <c r="E101" s="0" t="s">
        <v>75</v>
      </c>
      <c r="F101" s="0" t="s">
        <v>61</v>
      </c>
      <c r="G101" s="0">
        <v>2</v>
      </c>
      <c r="H101" s="0">
        <v>10</v>
      </c>
      <c r="I101" s="0" t="s">
        <v>10</v>
      </c>
      <c r="J101" s="0" t="s">
        <v>7</v>
      </c>
    </row>
    <row r="102">
      <c r="A102" s="0">
        <v>2021</v>
      </c>
      <c r="B102" s="0" t="s">
        <v>190</v>
      </c>
      <c r="C102" s="0">
        <v>6</v>
      </c>
      <c r="D102" s="0" t="s">
        <v>59</v>
      </c>
      <c r="E102" s="0" t="s">
        <v>75</v>
      </c>
      <c r="F102" s="0" t="s">
        <v>61</v>
      </c>
      <c r="G102" s="0">
        <v>1</v>
      </c>
      <c r="H102" s="0">
        <v>6</v>
      </c>
      <c r="I102" s="0" t="s">
        <v>10</v>
      </c>
      <c r="J102" s="0" t="s">
        <v>7</v>
      </c>
    </row>
    <row r="103">
      <c r="A103" s="0">
        <v>2021</v>
      </c>
      <c r="B103" s="0" t="s">
        <v>190</v>
      </c>
      <c r="C103" s="0">
        <v>7</v>
      </c>
      <c r="D103" s="0" t="s">
        <v>60</v>
      </c>
      <c r="E103" s="0" t="s">
        <v>75</v>
      </c>
      <c r="F103" s="0" t="s">
        <v>61</v>
      </c>
      <c r="G103" s="0">
        <v>1</v>
      </c>
      <c r="H103" s="0">
        <v>7</v>
      </c>
      <c r="I103" s="0" t="s">
        <v>10</v>
      </c>
      <c r="J103" s="0" t="s">
        <v>7</v>
      </c>
    </row>
    <row r="104">
      <c r="A104" s="0">
        <v>2021</v>
      </c>
      <c r="B104" s="0" t="s">
        <v>190</v>
      </c>
      <c r="C104" s="0">
        <v>11</v>
      </c>
      <c r="D104" s="0" t="s">
        <v>60</v>
      </c>
      <c r="E104" s="0" t="s">
        <v>75</v>
      </c>
      <c r="F104" s="0" t="s">
        <v>61</v>
      </c>
      <c r="G104" s="0">
        <v>1</v>
      </c>
      <c r="H104" s="0">
        <v>11</v>
      </c>
      <c r="I104" s="0" t="s">
        <v>10</v>
      </c>
      <c r="J104" s="0" t="s">
        <v>7</v>
      </c>
    </row>
    <row r="105">
      <c r="A105" s="0">
        <v>2021</v>
      </c>
      <c r="B105" s="0" t="s">
        <v>190</v>
      </c>
      <c r="C105" s="0">
        <v>13</v>
      </c>
      <c r="D105" s="0" t="s">
        <v>60</v>
      </c>
      <c r="E105" s="0" t="s">
        <v>75</v>
      </c>
      <c r="F105" s="0" t="s">
        <v>61</v>
      </c>
      <c r="G105" s="0">
        <v>1</v>
      </c>
      <c r="H105" s="0">
        <v>13</v>
      </c>
      <c r="I105" s="0" t="s">
        <v>10</v>
      </c>
      <c r="J105" s="0" t="s">
        <v>7</v>
      </c>
    </row>
    <row r="106">
      <c r="A106" s="0">
        <v>2021</v>
      </c>
      <c r="B106" s="0" t="s">
        <v>190</v>
      </c>
      <c r="C106" s="0">
        <v>17</v>
      </c>
      <c r="D106" s="0" t="s">
        <v>60</v>
      </c>
      <c r="E106" s="0" t="s">
        <v>75</v>
      </c>
      <c r="F106" s="0" t="s">
        <v>61</v>
      </c>
      <c r="G106" s="0">
        <v>1</v>
      </c>
      <c r="H106" s="0">
        <v>17</v>
      </c>
      <c r="I106" s="0" t="s">
        <v>10</v>
      </c>
      <c r="J106" s="0" t="s">
        <v>7</v>
      </c>
    </row>
    <row r="107">
      <c r="A107" s="0">
        <v>2021</v>
      </c>
      <c r="B107" s="0" t="s">
        <v>190</v>
      </c>
      <c r="C107" s="0">
        <v>21</v>
      </c>
      <c r="D107" s="0" t="s">
        <v>59</v>
      </c>
      <c r="E107" s="0" t="s">
        <v>73</v>
      </c>
      <c r="F107" s="0" t="s">
        <v>61</v>
      </c>
      <c r="G107" s="0">
        <v>1</v>
      </c>
      <c r="H107" s="0">
        <v>21</v>
      </c>
      <c r="I107" s="0" t="s">
        <v>10</v>
      </c>
      <c r="J107" s="0" t="s">
        <v>7</v>
      </c>
    </row>
    <row r="108">
      <c r="A108" s="0">
        <v>2021</v>
      </c>
      <c r="B108" s="0" t="s">
        <v>190</v>
      </c>
      <c r="C108" s="0">
        <v>23</v>
      </c>
      <c r="D108" s="0" t="s">
        <v>59</v>
      </c>
      <c r="E108" s="0" t="s">
        <v>73</v>
      </c>
      <c r="F108" s="0" t="s">
        <v>61</v>
      </c>
      <c r="G108" s="0">
        <v>1</v>
      </c>
      <c r="H108" s="0">
        <v>23</v>
      </c>
      <c r="I108" s="0" t="s">
        <v>10</v>
      </c>
      <c r="J108" s="0" t="s">
        <v>7</v>
      </c>
    </row>
    <row r="109">
      <c r="A109" s="0">
        <v>2021</v>
      </c>
      <c r="B109" s="0" t="s">
        <v>190</v>
      </c>
      <c r="C109" s="0">
        <v>25</v>
      </c>
      <c r="D109" s="0" t="s">
        <v>60</v>
      </c>
      <c r="E109" s="0" t="s">
        <v>73</v>
      </c>
      <c r="F109" s="0" t="s">
        <v>62</v>
      </c>
      <c r="G109" s="0">
        <v>5</v>
      </c>
      <c r="H109" s="0">
        <v>125</v>
      </c>
      <c r="I109" s="0" t="s">
        <v>10</v>
      </c>
      <c r="J109" s="0" t="s">
        <v>7</v>
      </c>
    </row>
    <row r="110">
      <c r="A110" s="0">
        <v>2021</v>
      </c>
      <c r="B110" s="0" t="s">
        <v>190</v>
      </c>
      <c r="C110" s="0">
        <v>26</v>
      </c>
      <c r="D110" s="0" t="s">
        <v>59</v>
      </c>
      <c r="E110" s="0" t="s">
        <v>73</v>
      </c>
      <c r="F110" s="0" t="s">
        <v>62</v>
      </c>
      <c r="G110" s="0">
        <v>1</v>
      </c>
      <c r="H110" s="0">
        <v>26</v>
      </c>
      <c r="I110" s="0" t="s">
        <v>10</v>
      </c>
      <c r="J110" s="0" t="s">
        <v>7</v>
      </c>
    </row>
    <row r="111">
      <c r="A111" s="0">
        <v>2021</v>
      </c>
      <c r="B111" s="0" t="s">
        <v>190</v>
      </c>
      <c r="C111" s="0">
        <v>26</v>
      </c>
      <c r="D111" s="0" t="s">
        <v>60</v>
      </c>
      <c r="E111" s="0" t="s">
        <v>73</v>
      </c>
      <c r="F111" s="0" t="s">
        <v>62</v>
      </c>
      <c r="G111" s="0">
        <v>10</v>
      </c>
      <c r="H111" s="0">
        <v>260</v>
      </c>
      <c r="I111" s="0" t="s">
        <v>10</v>
      </c>
      <c r="J111" s="0" t="s">
        <v>7</v>
      </c>
    </row>
    <row r="112">
      <c r="A112" s="0">
        <v>2021</v>
      </c>
      <c r="B112" s="0" t="s">
        <v>190</v>
      </c>
      <c r="C112" s="0">
        <v>27</v>
      </c>
      <c r="D112" s="0" t="s">
        <v>59</v>
      </c>
      <c r="E112" s="0" t="s">
        <v>73</v>
      </c>
      <c r="F112" s="0" t="s">
        <v>62</v>
      </c>
      <c r="G112" s="0">
        <v>5</v>
      </c>
      <c r="H112" s="0">
        <v>135</v>
      </c>
      <c r="I112" s="0" t="s">
        <v>10</v>
      </c>
      <c r="J112" s="0" t="s">
        <v>7</v>
      </c>
    </row>
    <row r="113">
      <c r="A113" s="0">
        <v>2021</v>
      </c>
      <c r="B113" s="0" t="s">
        <v>190</v>
      </c>
      <c r="C113" s="0">
        <v>27</v>
      </c>
      <c r="D113" s="0" t="s">
        <v>60</v>
      </c>
      <c r="E113" s="0" t="s">
        <v>73</v>
      </c>
      <c r="F113" s="0" t="s">
        <v>62</v>
      </c>
      <c r="G113" s="0">
        <v>11</v>
      </c>
      <c r="H113" s="0">
        <v>297</v>
      </c>
      <c r="I113" s="0" t="s">
        <v>10</v>
      </c>
      <c r="J113" s="0" t="s">
        <v>7</v>
      </c>
    </row>
    <row r="114">
      <c r="A114" s="0">
        <v>2021</v>
      </c>
      <c r="B114" s="0" t="s">
        <v>190</v>
      </c>
      <c r="C114" s="0">
        <v>28</v>
      </c>
      <c r="D114" s="0" t="s">
        <v>59</v>
      </c>
      <c r="E114" s="0" t="s">
        <v>73</v>
      </c>
      <c r="F114" s="0" t="s">
        <v>62</v>
      </c>
      <c r="G114" s="0">
        <v>5</v>
      </c>
      <c r="H114" s="0">
        <v>140</v>
      </c>
      <c r="I114" s="0" t="s">
        <v>10</v>
      </c>
      <c r="J114" s="0" t="s">
        <v>7</v>
      </c>
    </row>
    <row r="115">
      <c r="A115" s="0">
        <v>2021</v>
      </c>
      <c r="B115" s="0" t="s">
        <v>190</v>
      </c>
      <c r="C115" s="0">
        <v>28</v>
      </c>
      <c r="D115" s="0" t="s">
        <v>60</v>
      </c>
      <c r="E115" s="0" t="s">
        <v>73</v>
      </c>
      <c r="F115" s="0" t="s">
        <v>62</v>
      </c>
      <c r="G115" s="0">
        <v>13</v>
      </c>
      <c r="H115" s="0">
        <v>364</v>
      </c>
      <c r="I115" s="0" t="s">
        <v>10</v>
      </c>
      <c r="J115" s="0" t="s">
        <v>7</v>
      </c>
    </row>
    <row r="116">
      <c r="A116" s="0">
        <v>2021</v>
      </c>
      <c r="B116" s="0" t="s">
        <v>190</v>
      </c>
      <c r="C116" s="0">
        <v>28</v>
      </c>
      <c r="D116" s="0" t="s">
        <v>60</v>
      </c>
      <c r="E116" s="0" t="s">
        <v>74</v>
      </c>
      <c r="F116" s="0" t="s">
        <v>62</v>
      </c>
      <c r="G116" s="0">
        <v>1</v>
      </c>
      <c r="H116" s="0">
        <v>28</v>
      </c>
      <c r="I116" s="0" t="s">
        <v>10</v>
      </c>
      <c r="J116" s="0" t="s">
        <v>7</v>
      </c>
    </row>
    <row r="117">
      <c r="A117" s="0">
        <v>2021</v>
      </c>
      <c r="B117" s="0" t="s">
        <v>190</v>
      </c>
      <c r="C117" s="0">
        <v>29</v>
      </c>
      <c r="D117" s="0" t="s">
        <v>59</v>
      </c>
      <c r="E117" s="0" t="s">
        <v>73</v>
      </c>
      <c r="F117" s="0" t="s">
        <v>62</v>
      </c>
      <c r="G117" s="0">
        <v>2</v>
      </c>
      <c r="H117" s="0">
        <v>58</v>
      </c>
      <c r="I117" s="0" t="s">
        <v>10</v>
      </c>
      <c r="J117" s="0" t="s">
        <v>7</v>
      </c>
    </row>
    <row r="118">
      <c r="A118" s="0">
        <v>2021</v>
      </c>
      <c r="B118" s="0" t="s">
        <v>190</v>
      </c>
      <c r="C118" s="0">
        <v>29</v>
      </c>
      <c r="D118" s="0" t="s">
        <v>60</v>
      </c>
      <c r="E118" s="0" t="s">
        <v>73</v>
      </c>
      <c r="F118" s="0" t="s">
        <v>62</v>
      </c>
      <c r="G118" s="0">
        <v>1</v>
      </c>
      <c r="H118" s="0">
        <v>29</v>
      </c>
      <c r="I118" s="0" t="s">
        <v>10</v>
      </c>
      <c r="J118" s="0" t="s">
        <v>7</v>
      </c>
    </row>
    <row r="119">
      <c r="A119" s="0">
        <v>2021</v>
      </c>
      <c r="B119" s="0" t="s">
        <v>190</v>
      </c>
      <c r="C119" s="0">
        <v>30</v>
      </c>
      <c r="D119" s="0" t="s">
        <v>59</v>
      </c>
      <c r="E119" s="0" t="s">
        <v>73</v>
      </c>
      <c r="F119" s="0" t="s">
        <v>63</v>
      </c>
      <c r="G119" s="0">
        <v>3</v>
      </c>
      <c r="H119" s="0">
        <v>90</v>
      </c>
      <c r="I119" s="0" t="s">
        <v>10</v>
      </c>
      <c r="J119" s="0" t="s">
        <v>7</v>
      </c>
    </row>
    <row r="120">
      <c r="A120" s="0">
        <v>2021</v>
      </c>
      <c r="B120" s="0" t="s">
        <v>190</v>
      </c>
      <c r="C120" s="0">
        <v>30</v>
      </c>
      <c r="D120" s="0" t="s">
        <v>60</v>
      </c>
      <c r="E120" s="0" t="s">
        <v>73</v>
      </c>
      <c r="F120" s="0" t="s">
        <v>63</v>
      </c>
      <c r="G120" s="0">
        <v>2</v>
      </c>
      <c r="H120" s="0">
        <v>60</v>
      </c>
      <c r="I120" s="0" t="s">
        <v>10</v>
      </c>
      <c r="J120" s="0" t="s">
        <v>7</v>
      </c>
    </row>
    <row r="121">
      <c r="A121" s="0">
        <v>2021</v>
      </c>
      <c r="B121" s="0" t="s">
        <v>190</v>
      </c>
      <c r="C121" s="0">
        <v>31</v>
      </c>
      <c r="D121" s="0" t="s">
        <v>59</v>
      </c>
      <c r="E121" s="0" t="s">
        <v>73</v>
      </c>
      <c r="F121" s="0" t="s">
        <v>63</v>
      </c>
      <c r="G121" s="0">
        <v>3</v>
      </c>
      <c r="H121" s="0">
        <v>93</v>
      </c>
      <c r="I121" s="0" t="s">
        <v>10</v>
      </c>
      <c r="J121" s="0" t="s">
        <v>7</v>
      </c>
    </row>
    <row r="122">
      <c r="A122" s="0">
        <v>2021</v>
      </c>
      <c r="B122" s="0" t="s">
        <v>190</v>
      </c>
      <c r="C122" s="0">
        <v>32</v>
      </c>
      <c r="D122" s="0" t="s">
        <v>59</v>
      </c>
      <c r="E122" s="0" t="s">
        <v>73</v>
      </c>
      <c r="F122" s="0" t="s">
        <v>63</v>
      </c>
      <c r="G122" s="0">
        <v>1</v>
      </c>
      <c r="H122" s="0">
        <v>32</v>
      </c>
      <c r="I122" s="0" t="s">
        <v>10</v>
      </c>
      <c r="J122" s="0" t="s">
        <v>7</v>
      </c>
    </row>
    <row r="123">
      <c r="A123" s="0">
        <v>2021</v>
      </c>
      <c r="B123" s="0" t="s">
        <v>190</v>
      </c>
      <c r="C123" s="0">
        <v>32</v>
      </c>
      <c r="D123" s="0" t="s">
        <v>60</v>
      </c>
      <c r="E123" s="0" t="s">
        <v>73</v>
      </c>
      <c r="F123" s="0" t="s">
        <v>63</v>
      </c>
      <c r="G123" s="0">
        <v>6</v>
      </c>
      <c r="H123" s="0">
        <v>192</v>
      </c>
      <c r="I123" s="0" t="s">
        <v>10</v>
      </c>
      <c r="J123" s="0" t="s">
        <v>7</v>
      </c>
    </row>
    <row r="124">
      <c r="A124" s="0">
        <v>2021</v>
      </c>
      <c r="B124" s="0" t="s">
        <v>190</v>
      </c>
      <c r="C124" s="0">
        <v>33</v>
      </c>
      <c r="D124" s="0" t="s">
        <v>60</v>
      </c>
      <c r="E124" s="0" t="s">
        <v>73</v>
      </c>
      <c r="F124" s="0" t="s">
        <v>63</v>
      </c>
      <c r="G124" s="0">
        <v>3</v>
      </c>
      <c r="H124" s="0">
        <v>99</v>
      </c>
      <c r="I124" s="0" t="s">
        <v>10</v>
      </c>
      <c r="J124" s="0" t="s">
        <v>7</v>
      </c>
    </row>
    <row r="125">
      <c r="A125" s="0">
        <v>2021</v>
      </c>
      <c r="B125" s="0" t="s">
        <v>190</v>
      </c>
      <c r="C125" s="0">
        <v>33</v>
      </c>
      <c r="D125" s="0" t="s">
        <v>60</v>
      </c>
      <c r="E125" s="0" t="s">
        <v>74</v>
      </c>
      <c r="F125" s="0" t="s">
        <v>63</v>
      </c>
      <c r="G125" s="0">
        <v>2</v>
      </c>
      <c r="H125" s="0">
        <v>66</v>
      </c>
      <c r="I125" s="0" t="s">
        <v>10</v>
      </c>
      <c r="J125" s="0" t="s">
        <v>7</v>
      </c>
    </row>
    <row r="126">
      <c r="A126" s="0">
        <v>2021</v>
      </c>
      <c r="B126" s="0" t="s">
        <v>190</v>
      </c>
      <c r="C126" s="0">
        <v>34</v>
      </c>
      <c r="D126" s="0" t="s">
        <v>59</v>
      </c>
      <c r="E126" s="0" t="s">
        <v>73</v>
      </c>
      <c r="F126" s="0" t="s">
        <v>63</v>
      </c>
      <c r="G126" s="0">
        <v>1</v>
      </c>
      <c r="H126" s="0">
        <v>34</v>
      </c>
      <c r="I126" s="0" t="s">
        <v>10</v>
      </c>
      <c r="J126" s="0" t="s">
        <v>7</v>
      </c>
    </row>
    <row r="127">
      <c r="A127" s="0">
        <v>2021</v>
      </c>
      <c r="B127" s="0" t="s">
        <v>190</v>
      </c>
      <c r="C127" s="0">
        <v>34</v>
      </c>
      <c r="D127" s="0" t="s">
        <v>59</v>
      </c>
      <c r="E127" s="0" t="s">
        <v>74</v>
      </c>
      <c r="F127" s="0" t="s">
        <v>63</v>
      </c>
      <c r="G127" s="0">
        <v>1</v>
      </c>
      <c r="H127" s="0">
        <v>34</v>
      </c>
      <c r="I127" s="0" t="s">
        <v>10</v>
      </c>
      <c r="J127" s="0" t="s">
        <v>7</v>
      </c>
    </row>
    <row r="128">
      <c r="A128" s="0">
        <v>2021</v>
      </c>
      <c r="B128" s="0" t="s">
        <v>190</v>
      </c>
      <c r="C128" s="0">
        <v>34</v>
      </c>
      <c r="D128" s="0" t="s">
        <v>60</v>
      </c>
      <c r="E128" s="0" t="s">
        <v>73</v>
      </c>
      <c r="F128" s="0" t="s">
        <v>63</v>
      </c>
      <c r="G128" s="0">
        <v>1</v>
      </c>
      <c r="H128" s="0">
        <v>34</v>
      </c>
      <c r="I128" s="0" t="s">
        <v>10</v>
      </c>
      <c r="J128" s="0" t="s">
        <v>7</v>
      </c>
    </row>
    <row r="129">
      <c r="A129" s="0">
        <v>2021</v>
      </c>
      <c r="B129" s="0" t="s">
        <v>190</v>
      </c>
      <c r="C129" s="0">
        <v>35</v>
      </c>
      <c r="D129" s="0" t="s">
        <v>59</v>
      </c>
      <c r="E129" s="0" t="s">
        <v>73</v>
      </c>
      <c r="F129" s="0" t="s">
        <v>64</v>
      </c>
      <c r="G129" s="0">
        <v>2</v>
      </c>
      <c r="H129" s="0">
        <v>70</v>
      </c>
      <c r="I129" s="0" t="s">
        <v>10</v>
      </c>
      <c r="J129" s="0" t="s">
        <v>7</v>
      </c>
    </row>
    <row r="130">
      <c r="A130" s="0">
        <v>2021</v>
      </c>
      <c r="B130" s="0" t="s">
        <v>190</v>
      </c>
      <c r="C130" s="0">
        <v>35</v>
      </c>
      <c r="D130" s="0" t="s">
        <v>60</v>
      </c>
      <c r="E130" s="0" t="s">
        <v>73</v>
      </c>
      <c r="F130" s="0" t="s">
        <v>64</v>
      </c>
      <c r="G130" s="0">
        <v>3</v>
      </c>
      <c r="H130" s="0">
        <v>105</v>
      </c>
      <c r="I130" s="0" t="s">
        <v>10</v>
      </c>
      <c r="J130" s="0" t="s">
        <v>7</v>
      </c>
    </row>
    <row r="131">
      <c r="A131" s="0">
        <v>2021</v>
      </c>
      <c r="B131" s="0" t="s">
        <v>190</v>
      </c>
      <c r="C131" s="0">
        <v>36</v>
      </c>
      <c r="D131" s="0" t="s">
        <v>59</v>
      </c>
      <c r="E131" s="0" t="s">
        <v>73</v>
      </c>
      <c r="F131" s="0" t="s">
        <v>64</v>
      </c>
      <c r="G131" s="0">
        <v>6</v>
      </c>
      <c r="H131" s="0">
        <v>216</v>
      </c>
      <c r="I131" s="0" t="s">
        <v>10</v>
      </c>
      <c r="J131" s="0" t="s">
        <v>7</v>
      </c>
    </row>
    <row r="132">
      <c r="A132" s="0">
        <v>2021</v>
      </c>
      <c r="B132" s="0" t="s">
        <v>190</v>
      </c>
      <c r="C132" s="0">
        <v>36</v>
      </c>
      <c r="D132" s="0" t="s">
        <v>59</v>
      </c>
      <c r="E132" s="0" t="s">
        <v>74</v>
      </c>
      <c r="F132" s="0" t="s">
        <v>64</v>
      </c>
      <c r="G132" s="0">
        <v>1</v>
      </c>
      <c r="H132" s="0">
        <v>36</v>
      </c>
      <c r="I132" s="0" t="s">
        <v>10</v>
      </c>
      <c r="J132" s="0" t="s">
        <v>7</v>
      </c>
    </row>
    <row r="133">
      <c r="A133" s="0">
        <v>2021</v>
      </c>
      <c r="B133" s="0" t="s">
        <v>190</v>
      </c>
      <c r="C133" s="0">
        <v>36</v>
      </c>
      <c r="D133" s="0" t="s">
        <v>60</v>
      </c>
      <c r="E133" s="0" t="s">
        <v>73</v>
      </c>
      <c r="F133" s="0" t="s">
        <v>64</v>
      </c>
      <c r="G133" s="0">
        <v>6</v>
      </c>
      <c r="H133" s="0">
        <v>216</v>
      </c>
      <c r="I133" s="0" t="s">
        <v>10</v>
      </c>
      <c r="J133" s="0" t="s">
        <v>7</v>
      </c>
    </row>
    <row r="134">
      <c r="A134" s="0">
        <v>2021</v>
      </c>
      <c r="B134" s="0" t="s">
        <v>190</v>
      </c>
      <c r="C134" s="0">
        <v>37</v>
      </c>
      <c r="D134" s="0" t="s">
        <v>59</v>
      </c>
      <c r="E134" s="0" t="s">
        <v>73</v>
      </c>
      <c r="F134" s="0" t="s">
        <v>64</v>
      </c>
      <c r="G134" s="0">
        <v>1</v>
      </c>
      <c r="H134" s="0">
        <v>37</v>
      </c>
      <c r="I134" s="0" t="s">
        <v>10</v>
      </c>
      <c r="J134" s="0" t="s">
        <v>7</v>
      </c>
    </row>
    <row r="135">
      <c r="A135" s="0">
        <v>2021</v>
      </c>
      <c r="B135" s="0" t="s">
        <v>190</v>
      </c>
      <c r="C135" s="0">
        <v>37</v>
      </c>
      <c r="D135" s="0" t="s">
        <v>60</v>
      </c>
      <c r="E135" s="0" t="s">
        <v>73</v>
      </c>
      <c r="F135" s="0" t="s">
        <v>64</v>
      </c>
      <c r="G135" s="0">
        <v>2</v>
      </c>
      <c r="H135" s="0">
        <v>74</v>
      </c>
      <c r="I135" s="0" t="s">
        <v>10</v>
      </c>
      <c r="J135" s="0" t="s">
        <v>7</v>
      </c>
    </row>
    <row r="136">
      <c r="A136" s="0">
        <v>2021</v>
      </c>
      <c r="B136" s="0" t="s">
        <v>190</v>
      </c>
      <c r="C136" s="0">
        <v>38</v>
      </c>
      <c r="D136" s="0" t="s">
        <v>59</v>
      </c>
      <c r="E136" s="0" t="s">
        <v>73</v>
      </c>
      <c r="F136" s="0" t="s">
        <v>64</v>
      </c>
      <c r="G136" s="0">
        <v>2</v>
      </c>
      <c r="H136" s="0">
        <v>76</v>
      </c>
      <c r="I136" s="0" t="s">
        <v>10</v>
      </c>
      <c r="J136" s="0" t="s">
        <v>7</v>
      </c>
    </row>
    <row r="137">
      <c r="A137" s="0">
        <v>2021</v>
      </c>
      <c r="B137" s="0" t="s">
        <v>190</v>
      </c>
      <c r="C137" s="0">
        <v>38</v>
      </c>
      <c r="D137" s="0" t="s">
        <v>60</v>
      </c>
      <c r="E137" s="0" t="s">
        <v>73</v>
      </c>
      <c r="F137" s="0" t="s">
        <v>64</v>
      </c>
      <c r="G137" s="0">
        <v>2</v>
      </c>
      <c r="H137" s="0">
        <v>76</v>
      </c>
      <c r="I137" s="0" t="s">
        <v>10</v>
      </c>
      <c r="J137" s="0" t="s">
        <v>7</v>
      </c>
    </row>
    <row r="138">
      <c r="A138" s="0">
        <v>2021</v>
      </c>
      <c r="B138" s="0" t="s">
        <v>190</v>
      </c>
      <c r="C138" s="0">
        <v>39</v>
      </c>
      <c r="D138" s="0" t="s">
        <v>59</v>
      </c>
      <c r="E138" s="0" t="s">
        <v>73</v>
      </c>
      <c r="F138" s="0" t="s">
        <v>64</v>
      </c>
      <c r="G138" s="0">
        <v>1</v>
      </c>
      <c r="H138" s="0">
        <v>39</v>
      </c>
      <c r="I138" s="0" t="s">
        <v>10</v>
      </c>
      <c r="J138" s="0" t="s">
        <v>7</v>
      </c>
    </row>
    <row r="139">
      <c r="A139" s="0">
        <v>2021</v>
      </c>
      <c r="B139" s="0" t="s">
        <v>190</v>
      </c>
      <c r="C139" s="0">
        <v>39</v>
      </c>
      <c r="D139" s="0" t="s">
        <v>60</v>
      </c>
      <c r="E139" s="0" t="s">
        <v>73</v>
      </c>
      <c r="F139" s="0" t="s">
        <v>64</v>
      </c>
      <c r="G139" s="0">
        <v>2</v>
      </c>
      <c r="H139" s="0">
        <v>78</v>
      </c>
      <c r="I139" s="0" t="s">
        <v>10</v>
      </c>
      <c r="J139" s="0" t="s">
        <v>7</v>
      </c>
    </row>
    <row r="140">
      <c r="A140" s="0">
        <v>2021</v>
      </c>
      <c r="B140" s="0" t="s">
        <v>190</v>
      </c>
      <c r="C140" s="0">
        <v>40</v>
      </c>
      <c r="D140" s="0" t="s">
        <v>60</v>
      </c>
      <c r="E140" s="0" t="s">
        <v>73</v>
      </c>
      <c r="F140" s="0" t="s">
        <v>65</v>
      </c>
      <c r="G140" s="0">
        <v>3</v>
      </c>
      <c r="H140" s="0">
        <v>120</v>
      </c>
      <c r="I140" s="0" t="s">
        <v>10</v>
      </c>
      <c r="J140" s="0" t="s">
        <v>7</v>
      </c>
    </row>
    <row r="141">
      <c r="A141" s="0">
        <v>2021</v>
      </c>
      <c r="B141" s="0" t="s">
        <v>190</v>
      </c>
      <c r="C141" s="0">
        <v>40</v>
      </c>
      <c r="D141" s="0" t="s">
        <v>60</v>
      </c>
      <c r="E141" s="0" t="s">
        <v>74</v>
      </c>
      <c r="F141" s="0" t="s">
        <v>65</v>
      </c>
      <c r="G141" s="0">
        <v>1</v>
      </c>
      <c r="H141" s="0">
        <v>40</v>
      </c>
      <c r="I141" s="0" t="s">
        <v>10</v>
      </c>
      <c r="J141" s="0" t="s">
        <v>7</v>
      </c>
    </row>
    <row r="142">
      <c r="A142" s="0">
        <v>2021</v>
      </c>
      <c r="B142" s="0" t="s">
        <v>190</v>
      </c>
      <c r="C142" s="0">
        <v>41</v>
      </c>
      <c r="D142" s="0" t="s">
        <v>59</v>
      </c>
      <c r="E142" s="0" t="s">
        <v>73</v>
      </c>
      <c r="F142" s="0" t="s">
        <v>65</v>
      </c>
      <c r="G142" s="0">
        <v>2</v>
      </c>
      <c r="H142" s="0">
        <v>82</v>
      </c>
      <c r="I142" s="0" t="s">
        <v>10</v>
      </c>
      <c r="J142" s="0" t="s">
        <v>7</v>
      </c>
    </row>
    <row r="143">
      <c r="A143" s="0">
        <v>2021</v>
      </c>
      <c r="B143" s="0" t="s">
        <v>190</v>
      </c>
      <c r="C143" s="0">
        <v>41</v>
      </c>
      <c r="D143" s="0" t="s">
        <v>60</v>
      </c>
      <c r="E143" s="0" t="s">
        <v>73</v>
      </c>
      <c r="F143" s="0" t="s">
        <v>65</v>
      </c>
      <c r="G143" s="0">
        <v>2</v>
      </c>
      <c r="H143" s="0">
        <v>82</v>
      </c>
      <c r="I143" s="0" t="s">
        <v>10</v>
      </c>
      <c r="J143" s="0" t="s">
        <v>7</v>
      </c>
    </row>
    <row r="144">
      <c r="A144" s="0">
        <v>2021</v>
      </c>
      <c r="B144" s="0" t="s">
        <v>190</v>
      </c>
      <c r="C144" s="0">
        <v>42</v>
      </c>
      <c r="D144" s="0" t="s">
        <v>59</v>
      </c>
      <c r="E144" s="0" t="s">
        <v>73</v>
      </c>
      <c r="F144" s="0" t="s">
        <v>65</v>
      </c>
      <c r="G144" s="0">
        <v>1</v>
      </c>
      <c r="H144" s="0">
        <v>42</v>
      </c>
      <c r="I144" s="0" t="s">
        <v>10</v>
      </c>
      <c r="J144" s="0" t="s">
        <v>7</v>
      </c>
    </row>
    <row r="145">
      <c r="A145" s="0">
        <v>2021</v>
      </c>
      <c r="B145" s="0" t="s">
        <v>190</v>
      </c>
      <c r="C145" s="0">
        <v>42</v>
      </c>
      <c r="D145" s="0" t="s">
        <v>60</v>
      </c>
      <c r="E145" s="0" t="s">
        <v>73</v>
      </c>
      <c r="F145" s="0" t="s">
        <v>65</v>
      </c>
      <c r="G145" s="0">
        <v>3</v>
      </c>
      <c r="H145" s="0">
        <v>126</v>
      </c>
      <c r="I145" s="0" t="s">
        <v>10</v>
      </c>
      <c r="J145" s="0" t="s">
        <v>7</v>
      </c>
    </row>
    <row r="146">
      <c r="A146" s="0">
        <v>2021</v>
      </c>
      <c r="B146" s="0" t="s">
        <v>190</v>
      </c>
      <c r="C146" s="0">
        <v>43</v>
      </c>
      <c r="D146" s="0" t="s">
        <v>59</v>
      </c>
      <c r="E146" s="0" t="s">
        <v>73</v>
      </c>
      <c r="F146" s="0" t="s">
        <v>65</v>
      </c>
      <c r="G146" s="0">
        <v>1</v>
      </c>
      <c r="H146" s="0">
        <v>43</v>
      </c>
      <c r="I146" s="0" t="s">
        <v>10</v>
      </c>
      <c r="J146" s="0" t="s">
        <v>7</v>
      </c>
    </row>
    <row r="147">
      <c r="A147" s="0">
        <v>2021</v>
      </c>
      <c r="B147" s="0" t="s">
        <v>190</v>
      </c>
      <c r="C147" s="0">
        <v>43</v>
      </c>
      <c r="D147" s="0" t="s">
        <v>59</v>
      </c>
      <c r="E147" s="0" t="s">
        <v>74</v>
      </c>
      <c r="F147" s="0" t="s">
        <v>65</v>
      </c>
      <c r="G147" s="0">
        <v>1</v>
      </c>
      <c r="H147" s="0">
        <v>43</v>
      </c>
      <c r="I147" s="0" t="s">
        <v>10</v>
      </c>
      <c r="J147" s="0" t="s">
        <v>7</v>
      </c>
    </row>
    <row r="148">
      <c r="A148" s="0">
        <v>2021</v>
      </c>
      <c r="B148" s="0" t="s">
        <v>190</v>
      </c>
      <c r="C148" s="0">
        <v>43</v>
      </c>
      <c r="D148" s="0" t="s">
        <v>60</v>
      </c>
      <c r="E148" s="0" t="s">
        <v>73</v>
      </c>
      <c r="F148" s="0" t="s">
        <v>65</v>
      </c>
      <c r="G148" s="0">
        <v>4</v>
      </c>
      <c r="H148" s="0">
        <v>172</v>
      </c>
      <c r="I148" s="0" t="s">
        <v>10</v>
      </c>
      <c r="J148" s="0" t="s">
        <v>7</v>
      </c>
    </row>
    <row r="149">
      <c r="A149" s="0">
        <v>2021</v>
      </c>
      <c r="B149" s="0" t="s">
        <v>190</v>
      </c>
      <c r="C149" s="0">
        <v>44</v>
      </c>
      <c r="D149" s="0" t="s">
        <v>59</v>
      </c>
      <c r="E149" s="0" t="s">
        <v>73</v>
      </c>
      <c r="F149" s="0" t="s">
        <v>65</v>
      </c>
      <c r="G149" s="0">
        <v>3</v>
      </c>
      <c r="H149" s="0">
        <v>132</v>
      </c>
      <c r="I149" s="0" t="s">
        <v>10</v>
      </c>
      <c r="J149" s="0" t="s">
        <v>7</v>
      </c>
    </row>
    <row r="150">
      <c r="A150" s="0">
        <v>2021</v>
      </c>
      <c r="B150" s="0" t="s">
        <v>190</v>
      </c>
      <c r="C150" s="0">
        <v>44</v>
      </c>
      <c r="D150" s="0" t="s">
        <v>60</v>
      </c>
      <c r="E150" s="0" t="s">
        <v>73</v>
      </c>
      <c r="F150" s="0" t="s">
        <v>65</v>
      </c>
      <c r="G150" s="0">
        <v>4</v>
      </c>
      <c r="H150" s="0">
        <v>176</v>
      </c>
      <c r="I150" s="0" t="s">
        <v>10</v>
      </c>
      <c r="J150" s="0" t="s">
        <v>7</v>
      </c>
    </row>
    <row r="151">
      <c r="A151" s="0">
        <v>2021</v>
      </c>
      <c r="B151" s="0" t="s">
        <v>190</v>
      </c>
      <c r="C151" s="0">
        <v>45</v>
      </c>
      <c r="D151" s="0" t="s">
        <v>60</v>
      </c>
      <c r="E151" s="0" t="s">
        <v>73</v>
      </c>
      <c r="F151" s="0" t="s">
        <v>66</v>
      </c>
      <c r="G151" s="0">
        <v>1</v>
      </c>
      <c r="H151" s="0">
        <v>45</v>
      </c>
      <c r="I151" s="0" t="s">
        <v>10</v>
      </c>
      <c r="J151" s="0" t="s">
        <v>7</v>
      </c>
    </row>
    <row r="152">
      <c r="A152" s="0">
        <v>2021</v>
      </c>
      <c r="B152" s="0" t="s">
        <v>190</v>
      </c>
      <c r="C152" s="0">
        <v>46</v>
      </c>
      <c r="D152" s="0" t="s">
        <v>59</v>
      </c>
      <c r="E152" s="0" t="s">
        <v>73</v>
      </c>
      <c r="F152" s="0" t="s">
        <v>66</v>
      </c>
      <c r="G152" s="0">
        <v>1</v>
      </c>
      <c r="H152" s="0">
        <v>46</v>
      </c>
      <c r="I152" s="0" t="s">
        <v>10</v>
      </c>
      <c r="J152" s="0" t="s">
        <v>7</v>
      </c>
    </row>
    <row r="153">
      <c r="A153" s="0">
        <v>2021</v>
      </c>
      <c r="B153" s="0" t="s">
        <v>190</v>
      </c>
      <c r="C153" s="0">
        <v>46</v>
      </c>
      <c r="D153" s="0" t="s">
        <v>60</v>
      </c>
      <c r="E153" s="0" t="s">
        <v>73</v>
      </c>
      <c r="F153" s="0" t="s">
        <v>66</v>
      </c>
      <c r="G153" s="0">
        <v>5</v>
      </c>
      <c r="H153" s="0">
        <v>230</v>
      </c>
      <c r="I153" s="0" t="s">
        <v>10</v>
      </c>
      <c r="J153" s="0" t="s">
        <v>7</v>
      </c>
    </row>
    <row r="154">
      <c r="A154" s="0">
        <v>2021</v>
      </c>
      <c r="B154" s="0" t="s">
        <v>190</v>
      </c>
      <c r="C154" s="0">
        <v>47</v>
      </c>
      <c r="D154" s="0" t="s">
        <v>60</v>
      </c>
      <c r="E154" s="0" t="s">
        <v>73</v>
      </c>
      <c r="F154" s="0" t="s">
        <v>66</v>
      </c>
      <c r="G154" s="0">
        <v>6</v>
      </c>
      <c r="H154" s="0">
        <v>282</v>
      </c>
      <c r="I154" s="0" t="s">
        <v>10</v>
      </c>
      <c r="J154" s="0" t="s">
        <v>7</v>
      </c>
    </row>
    <row r="155">
      <c r="A155" s="0">
        <v>2021</v>
      </c>
      <c r="B155" s="0" t="s">
        <v>190</v>
      </c>
      <c r="C155" s="0">
        <v>48</v>
      </c>
      <c r="D155" s="0" t="s">
        <v>59</v>
      </c>
      <c r="E155" s="0" t="s">
        <v>73</v>
      </c>
      <c r="F155" s="0" t="s">
        <v>66</v>
      </c>
      <c r="G155" s="0">
        <v>4</v>
      </c>
      <c r="H155" s="0">
        <v>192</v>
      </c>
      <c r="I155" s="0" t="s">
        <v>10</v>
      </c>
      <c r="J155" s="0" t="s">
        <v>7</v>
      </c>
    </row>
    <row r="156">
      <c r="A156" s="0">
        <v>2021</v>
      </c>
      <c r="B156" s="0" t="s">
        <v>190</v>
      </c>
      <c r="C156" s="0">
        <v>48</v>
      </c>
      <c r="D156" s="0" t="s">
        <v>60</v>
      </c>
      <c r="E156" s="0" t="s">
        <v>73</v>
      </c>
      <c r="F156" s="0" t="s">
        <v>66</v>
      </c>
      <c r="G156" s="0">
        <v>4</v>
      </c>
      <c r="H156" s="0">
        <v>192</v>
      </c>
      <c r="I156" s="0" t="s">
        <v>10</v>
      </c>
      <c r="J156" s="0" t="s">
        <v>7</v>
      </c>
    </row>
    <row r="157">
      <c r="A157" s="0">
        <v>2021</v>
      </c>
      <c r="B157" s="0" t="s">
        <v>190</v>
      </c>
      <c r="C157" s="0">
        <v>49</v>
      </c>
      <c r="D157" s="0" t="s">
        <v>59</v>
      </c>
      <c r="E157" s="0" t="s">
        <v>74</v>
      </c>
      <c r="F157" s="0" t="s">
        <v>66</v>
      </c>
      <c r="G157" s="0">
        <v>35</v>
      </c>
      <c r="H157" s="0">
        <v>1715</v>
      </c>
      <c r="I157" s="0" t="s">
        <v>10</v>
      </c>
      <c r="J157" s="0" t="s">
        <v>7</v>
      </c>
    </row>
    <row r="158">
      <c r="A158" s="0">
        <v>2021</v>
      </c>
      <c r="B158" s="0" t="s">
        <v>190</v>
      </c>
      <c r="C158" s="0">
        <v>49</v>
      </c>
      <c r="D158" s="0" t="s">
        <v>60</v>
      </c>
      <c r="E158" s="0" t="s">
        <v>73</v>
      </c>
      <c r="F158" s="0" t="s">
        <v>66</v>
      </c>
      <c r="G158" s="0">
        <v>3</v>
      </c>
      <c r="H158" s="0">
        <v>147</v>
      </c>
      <c r="I158" s="0" t="s">
        <v>10</v>
      </c>
      <c r="J158" s="0" t="s">
        <v>7</v>
      </c>
    </row>
    <row r="159">
      <c r="A159" s="0">
        <v>2021</v>
      </c>
      <c r="B159" s="0" t="s">
        <v>190</v>
      </c>
      <c r="C159" s="0">
        <v>50</v>
      </c>
      <c r="D159" s="0" t="s">
        <v>59</v>
      </c>
      <c r="E159" s="0" t="s">
        <v>73</v>
      </c>
      <c r="F159" s="0" t="s">
        <v>67</v>
      </c>
      <c r="G159" s="0">
        <v>1</v>
      </c>
      <c r="H159" s="0">
        <v>50</v>
      </c>
      <c r="I159" s="0" t="s">
        <v>10</v>
      </c>
      <c r="J159" s="0" t="s">
        <v>7</v>
      </c>
    </row>
    <row r="160">
      <c r="A160" s="0">
        <v>2021</v>
      </c>
      <c r="B160" s="0" t="s">
        <v>190</v>
      </c>
      <c r="C160" s="0">
        <v>50</v>
      </c>
      <c r="D160" s="0" t="s">
        <v>59</v>
      </c>
      <c r="E160" s="0" t="s">
        <v>74</v>
      </c>
      <c r="F160" s="0" t="s">
        <v>67</v>
      </c>
      <c r="G160" s="0">
        <v>73</v>
      </c>
      <c r="H160" s="0">
        <v>3650</v>
      </c>
      <c r="I160" s="0" t="s">
        <v>10</v>
      </c>
      <c r="J160" s="0" t="s">
        <v>7</v>
      </c>
    </row>
    <row r="161">
      <c r="A161" s="0">
        <v>2021</v>
      </c>
      <c r="B161" s="0" t="s">
        <v>190</v>
      </c>
      <c r="C161" s="0">
        <v>50</v>
      </c>
      <c r="D161" s="0" t="s">
        <v>60</v>
      </c>
      <c r="E161" s="0" t="s">
        <v>73</v>
      </c>
      <c r="F161" s="0" t="s">
        <v>67</v>
      </c>
      <c r="G161" s="0">
        <v>2</v>
      </c>
      <c r="H161" s="0">
        <v>100</v>
      </c>
      <c r="I161" s="0" t="s">
        <v>10</v>
      </c>
      <c r="J161" s="0" t="s">
        <v>7</v>
      </c>
    </row>
    <row r="162">
      <c r="A162" s="0">
        <v>2021</v>
      </c>
      <c r="B162" s="0" t="s">
        <v>190</v>
      </c>
      <c r="C162" s="0">
        <v>51</v>
      </c>
      <c r="D162" s="0" t="s">
        <v>60</v>
      </c>
      <c r="E162" s="0" t="s">
        <v>73</v>
      </c>
      <c r="F162" s="0" t="s">
        <v>67</v>
      </c>
      <c r="G162" s="0">
        <v>5</v>
      </c>
      <c r="H162" s="0">
        <v>255</v>
      </c>
      <c r="I162" s="0" t="s">
        <v>10</v>
      </c>
      <c r="J162" s="0" t="s">
        <v>7</v>
      </c>
    </row>
    <row r="163">
      <c r="A163" s="0">
        <v>2021</v>
      </c>
      <c r="B163" s="0" t="s">
        <v>190</v>
      </c>
      <c r="C163" s="0">
        <v>52</v>
      </c>
      <c r="D163" s="0" t="s">
        <v>59</v>
      </c>
      <c r="E163" s="0" t="s">
        <v>73</v>
      </c>
      <c r="F163" s="0" t="s">
        <v>67</v>
      </c>
      <c r="G163" s="0">
        <v>1</v>
      </c>
      <c r="H163" s="0">
        <v>52</v>
      </c>
      <c r="I163" s="0" t="s">
        <v>10</v>
      </c>
      <c r="J163" s="0" t="s">
        <v>7</v>
      </c>
    </row>
    <row r="164">
      <c r="A164" s="0">
        <v>2021</v>
      </c>
      <c r="B164" s="0" t="s">
        <v>190</v>
      </c>
      <c r="C164" s="0">
        <v>52</v>
      </c>
      <c r="D164" s="0" t="s">
        <v>60</v>
      </c>
      <c r="E164" s="0" t="s">
        <v>73</v>
      </c>
      <c r="F164" s="0" t="s">
        <v>67</v>
      </c>
      <c r="G164" s="0">
        <v>2</v>
      </c>
      <c r="H164" s="0">
        <v>104</v>
      </c>
      <c r="I164" s="0" t="s">
        <v>10</v>
      </c>
      <c r="J164" s="0" t="s">
        <v>7</v>
      </c>
    </row>
    <row r="165">
      <c r="A165" s="0">
        <v>2021</v>
      </c>
      <c r="B165" s="0" t="s">
        <v>190</v>
      </c>
      <c r="C165" s="0">
        <v>53</v>
      </c>
      <c r="D165" s="0" t="s">
        <v>59</v>
      </c>
      <c r="E165" s="0" t="s">
        <v>73</v>
      </c>
      <c r="F165" s="0" t="s">
        <v>67</v>
      </c>
      <c r="G165" s="0">
        <v>2</v>
      </c>
      <c r="H165" s="0">
        <v>106</v>
      </c>
      <c r="I165" s="0" t="s">
        <v>10</v>
      </c>
      <c r="J165" s="0" t="s">
        <v>7</v>
      </c>
    </row>
    <row r="166">
      <c r="A166" s="0">
        <v>2021</v>
      </c>
      <c r="B166" s="0" t="s">
        <v>190</v>
      </c>
      <c r="C166" s="0">
        <v>53</v>
      </c>
      <c r="D166" s="0" t="s">
        <v>60</v>
      </c>
      <c r="E166" s="0" t="s">
        <v>73</v>
      </c>
      <c r="F166" s="0" t="s">
        <v>67</v>
      </c>
      <c r="G166" s="0">
        <v>4</v>
      </c>
      <c r="H166" s="0">
        <v>212</v>
      </c>
      <c r="I166" s="0" t="s">
        <v>10</v>
      </c>
      <c r="J166" s="0" t="s">
        <v>7</v>
      </c>
    </row>
    <row r="167">
      <c r="A167" s="0">
        <v>2021</v>
      </c>
      <c r="B167" s="0" t="s">
        <v>190</v>
      </c>
      <c r="C167" s="0">
        <v>54</v>
      </c>
      <c r="D167" s="0" t="s">
        <v>59</v>
      </c>
      <c r="E167" s="0" t="s">
        <v>73</v>
      </c>
      <c r="F167" s="0" t="s">
        <v>67</v>
      </c>
      <c r="G167" s="0">
        <v>2</v>
      </c>
      <c r="H167" s="0">
        <v>108</v>
      </c>
      <c r="I167" s="0" t="s">
        <v>10</v>
      </c>
      <c r="J167" s="0" t="s">
        <v>7</v>
      </c>
    </row>
    <row r="168">
      <c r="A168" s="0">
        <v>2021</v>
      </c>
      <c r="B168" s="0" t="s">
        <v>190</v>
      </c>
      <c r="C168" s="0">
        <v>54</v>
      </c>
      <c r="D168" s="0" t="s">
        <v>60</v>
      </c>
      <c r="E168" s="0" t="s">
        <v>73</v>
      </c>
      <c r="F168" s="0" t="s">
        <v>67</v>
      </c>
      <c r="G168" s="0">
        <v>1</v>
      </c>
      <c r="H168" s="0">
        <v>54</v>
      </c>
      <c r="I168" s="0" t="s">
        <v>10</v>
      </c>
      <c r="J168" s="0" t="s">
        <v>7</v>
      </c>
    </row>
    <row r="169">
      <c r="A169" s="0">
        <v>2021</v>
      </c>
      <c r="B169" s="0" t="s">
        <v>190</v>
      </c>
      <c r="C169" s="0">
        <v>55</v>
      </c>
      <c r="D169" s="0" t="s">
        <v>59</v>
      </c>
      <c r="E169" s="0" t="s">
        <v>73</v>
      </c>
      <c r="F169" s="0" t="s">
        <v>68</v>
      </c>
      <c r="G169" s="0">
        <v>6</v>
      </c>
      <c r="H169" s="0">
        <v>330</v>
      </c>
      <c r="I169" s="0" t="s">
        <v>10</v>
      </c>
      <c r="J169" s="0" t="s">
        <v>7</v>
      </c>
    </row>
    <row r="170">
      <c r="A170" s="0">
        <v>2021</v>
      </c>
      <c r="B170" s="0" t="s">
        <v>190</v>
      </c>
      <c r="C170" s="0">
        <v>55</v>
      </c>
      <c r="D170" s="0" t="s">
        <v>60</v>
      </c>
      <c r="E170" s="0" t="s">
        <v>73</v>
      </c>
      <c r="F170" s="0" t="s">
        <v>68</v>
      </c>
      <c r="G170" s="0">
        <v>8</v>
      </c>
      <c r="H170" s="0">
        <v>440</v>
      </c>
      <c r="I170" s="0" t="s">
        <v>10</v>
      </c>
      <c r="J170" s="0" t="s">
        <v>7</v>
      </c>
    </row>
    <row r="171">
      <c r="A171" s="0">
        <v>2021</v>
      </c>
      <c r="B171" s="0" t="s">
        <v>190</v>
      </c>
      <c r="C171" s="0">
        <v>56</v>
      </c>
      <c r="D171" s="0" t="s">
        <v>59</v>
      </c>
      <c r="E171" s="0" t="s">
        <v>73</v>
      </c>
      <c r="F171" s="0" t="s">
        <v>68</v>
      </c>
      <c r="G171" s="0">
        <v>5</v>
      </c>
      <c r="H171" s="0">
        <v>280</v>
      </c>
      <c r="I171" s="0" t="s">
        <v>10</v>
      </c>
      <c r="J171" s="0" t="s">
        <v>7</v>
      </c>
    </row>
    <row r="172">
      <c r="A172" s="0">
        <v>2021</v>
      </c>
      <c r="B172" s="0" t="s">
        <v>190</v>
      </c>
      <c r="C172" s="0">
        <v>56</v>
      </c>
      <c r="D172" s="0" t="s">
        <v>60</v>
      </c>
      <c r="E172" s="0" t="s">
        <v>73</v>
      </c>
      <c r="F172" s="0" t="s">
        <v>68</v>
      </c>
      <c r="G172" s="0">
        <v>3</v>
      </c>
      <c r="H172" s="0">
        <v>168</v>
      </c>
      <c r="I172" s="0" t="s">
        <v>10</v>
      </c>
      <c r="J172" s="0" t="s">
        <v>7</v>
      </c>
    </row>
    <row r="173">
      <c r="A173" s="0">
        <v>2021</v>
      </c>
      <c r="B173" s="0" t="s">
        <v>190</v>
      </c>
      <c r="C173" s="0">
        <v>57</v>
      </c>
      <c r="D173" s="0" t="s">
        <v>59</v>
      </c>
      <c r="E173" s="0" t="s">
        <v>73</v>
      </c>
      <c r="F173" s="0" t="s">
        <v>68</v>
      </c>
      <c r="G173" s="0">
        <v>2</v>
      </c>
      <c r="H173" s="0">
        <v>114</v>
      </c>
      <c r="I173" s="0" t="s">
        <v>10</v>
      </c>
      <c r="J173" s="0" t="s">
        <v>7</v>
      </c>
    </row>
    <row r="174">
      <c r="A174" s="0">
        <v>2021</v>
      </c>
      <c r="B174" s="0" t="s">
        <v>190</v>
      </c>
      <c r="C174" s="0">
        <v>57</v>
      </c>
      <c r="D174" s="0" t="s">
        <v>60</v>
      </c>
      <c r="E174" s="0" t="s">
        <v>73</v>
      </c>
      <c r="F174" s="0" t="s">
        <v>68</v>
      </c>
      <c r="G174" s="0">
        <v>6</v>
      </c>
      <c r="H174" s="0">
        <v>342</v>
      </c>
      <c r="I174" s="0" t="s">
        <v>10</v>
      </c>
      <c r="J174" s="0" t="s">
        <v>7</v>
      </c>
    </row>
    <row r="175">
      <c r="A175" s="0">
        <v>2021</v>
      </c>
      <c r="B175" s="0" t="s">
        <v>190</v>
      </c>
      <c r="C175" s="0">
        <v>58</v>
      </c>
      <c r="D175" s="0" t="s">
        <v>59</v>
      </c>
      <c r="E175" s="0" t="s">
        <v>73</v>
      </c>
      <c r="F175" s="0" t="s">
        <v>68</v>
      </c>
      <c r="G175" s="0">
        <v>1</v>
      </c>
      <c r="H175" s="0">
        <v>58</v>
      </c>
      <c r="I175" s="0" t="s">
        <v>10</v>
      </c>
      <c r="J175" s="0" t="s">
        <v>7</v>
      </c>
    </row>
    <row r="176">
      <c r="A176" s="0">
        <v>2021</v>
      </c>
      <c r="B176" s="0" t="s">
        <v>190</v>
      </c>
      <c r="C176" s="0">
        <v>58</v>
      </c>
      <c r="D176" s="0" t="s">
        <v>60</v>
      </c>
      <c r="E176" s="0" t="s">
        <v>73</v>
      </c>
      <c r="F176" s="0" t="s">
        <v>68</v>
      </c>
      <c r="G176" s="0">
        <v>3</v>
      </c>
      <c r="H176" s="0">
        <v>174</v>
      </c>
      <c r="I176" s="0" t="s">
        <v>10</v>
      </c>
      <c r="J176" s="0" t="s">
        <v>7</v>
      </c>
    </row>
    <row r="177">
      <c r="A177" s="0">
        <v>2021</v>
      </c>
      <c r="B177" s="0" t="s">
        <v>190</v>
      </c>
      <c r="C177" s="0">
        <v>59</v>
      </c>
      <c r="D177" s="0" t="s">
        <v>59</v>
      </c>
      <c r="E177" s="0" t="s">
        <v>73</v>
      </c>
      <c r="F177" s="0" t="s">
        <v>68</v>
      </c>
      <c r="G177" s="0">
        <v>2</v>
      </c>
      <c r="H177" s="0">
        <v>118</v>
      </c>
      <c r="I177" s="0" t="s">
        <v>10</v>
      </c>
      <c r="J177" s="0" t="s">
        <v>7</v>
      </c>
    </row>
    <row r="178">
      <c r="A178" s="0">
        <v>2021</v>
      </c>
      <c r="B178" s="0" t="s">
        <v>190</v>
      </c>
      <c r="C178" s="0">
        <v>59</v>
      </c>
      <c r="D178" s="0" t="s">
        <v>60</v>
      </c>
      <c r="E178" s="0" t="s">
        <v>73</v>
      </c>
      <c r="F178" s="0" t="s">
        <v>68</v>
      </c>
      <c r="G178" s="0">
        <v>4</v>
      </c>
      <c r="H178" s="0">
        <v>236</v>
      </c>
      <c r="I178" s="0" t="s">
        <v>10</v>
      </c>
      <c r="J178" s="0" t="s">
        <v>7</v>
      </c>
    </row>
    <row r="179">
      <c r="A179" s="0">
        <v>2021</v>
      </c>
      <c r="B179" s="0" t="s">
        <v>190</v>
      </c>
      <c r="C179" s="0">
        <v>60</v>
      </c>
      <c r="D179" s="0" t="s">
        <v>59</v>
      </c>
      <c r="E179" s="0" t="s">
        <v>73</v>
      </c>
      <c r="F179" s="0" t="s">
        <v>69</v>
      </c>
      <c r="G179" s="0">
        <v>2</v>
      </c>
      <c r="H179" s="0">
        <v>120</v>
      </c>
      <c r="I179" s="0" t="s">
        <v>10</v>
      </c>
      <c r="J179" s="0" t="s">
        <v>7</v>
      </c>
    </row>
    <row r="180">
      <c r="A180" s="0">
        <v>2021</v>
      </c>
      <c r="B180" s="0" t="s">
        <v>190</v>
      </c>
      <c r="C180" s="0">
        <v>60</v>
      </c>
      <c r="D180" s="0" t="s">
        <v>60</v>
      </c>
      <c r="E180" s="0" t="s">
        <v>73</v>
      </c>
      <c r="F180" s="0" t="s">
        <v>69</v>
      </c>
      <c r="G180" s="0">
        <v>5</v>
      </c>
      <c r="H180" s="0">
        <v>300</v>
      </c>
      <c r="I180" s="0" t="s">
        <v>10</v>
      </c>
      <c r="J180" s="0" t="s">
        <v>7</v>
      </c>
    </row>
    <row r="181">
      <c r="A181" s="0">
        <v>2021</v>
      </c>
      <c r="B181" s="0" t="s">
        <v>190</v>
      </c>
      <c r="C181" s="0">
        <v>61</v>
      </c>
      <c r="D181" s="0" t="s">
        <v>59</v>
      </c>
      <c r="E181" s="0" t="s">
        <v>73</v>
      </c>
      <c r="F181" s="0" t="s">
        <v>69</v>
      </c>
      <c r="G181" s="0">
        <v>1</v>
      </c>
      <c r="H181" s="0">
        <v>61</v>
      </c>
      <c r="I181" s="0" t="s">
        <v>10</v>
      </c>
      <c r="J181" s="0" t="s">
        <v>7</v>
      </c>
    </row>
    <row r="182">
      <c r="A182" s="0">
        <v>2021</v>
      </c>
      <c r="B182" s="0" t="s">
        <v>190</v>
      </c>
      <c r="C182" s="0">
        <v>61</v>
      </c>
      <c r="D182" s="0" t="s">
        <v>60</v>
      </c>
      <c r="E182" s="0" t="s">
        <v>73</v>
      </c>
      <c r="F182" s="0" t="s">
        <v>69</v>
      </c>
      <c r="G182" s="0">
        <v>4</v>
      </c>
      <c r="H182" s="0">
        <v>244</v>
      </c>
      <c r="I182" s="0" t="s">
        <v>10</v>
      </c>
      <c r="J182" s="0" t="s">
        <v>7</v>
      </c>
    </row>
    <row r="183">
      <c r="A183" s="0">
        <v>2021</v>
      </c>
      <c r="B183" s="0" t="s">
        <v>190</v>
      </c>
      <c r="C183" s="0">
        <v>62</v>
      </c>
      <c r="D183" s="0" t="s">
        <v>59</v>
      </c>
      <c r="E183" s="0" t="s">
        <v>73</v>
      </c>
      <c r="F183" s="0" t="s">
        <v>69</v>
      </c>
      <c r="G183" s="0">
        <v>1</v>
      </c>
      <c r="H183" s="0">
        <v>62</v>
      </c>
      <c r="I183" s="0" t="s">
        <v>10</v>
      </c>
      <c r="J183" s="0" t="s">
        <v>7</v>
      </c>
    </row>
    <row r="184">
      <c r="A184" s="0">
        <v>2021</v>
      </c>
      <c r="B184" s="0" t="s">
        <v>190</v>
      </c>
      <c r="C184" s="0">
        <v>62</v>
      </c>
      <c r="D184" s="0" t="s">
        <v>60</v>
      </c>
      <c r="E184" s="0" t="s">
        <v>73</v>
      </c>
      <c r="F184" s="0" t="s">
        <v>69</v>
      </c>
      <c r="G184" s="0">
        <v>4</v>
      </c>
      <c r="H184" s="0">
        <v>248</v>
      </c>
      <c r="I184" s="0" t="s">
        <v>10</v>
      </c>
      <c r="J184" s="0" t="s">
        <v>7</v>
      </c>
    </row>
    <row r="185">
      <c r="A185" s="0">
        <v>2021</v>
      </c>
      <c r="B185" s="0" t="s">
        <v>190</v>
      </c>
      <c r="C185" s="0">
        <v>63</v>
      </c>
      <c r="D185" s="0" t="s">
        <v>59</v>
      </c>
      <c r="E185" s="0" t="s">
        <v>73</v>
      </c>
      <c r="F185" s="0" t="s">
        <v>69</v>
      </c>
      <c r="G185" s="0">
        <v>1</v>
      </c>
      <c r="H185" s="0">
        <v>63</v>
      </c>
      <c r="I185" s="0" t="s">
        <v>10</v>
      </c>
      <c r="J185" s="0" t="s">
        <v>7</v>
      </c>
    </row>
    <row r="186">
      <c r="A186" s="0">
        <v>2021</v>
      </c>
      <c r="B186" s="0" t="s">
        <v>190</v>
      </c>
      <c r="C186" s="0">
        <v>63</v>
      </c>
      <c r="D186" s="0" t="s">
        <v>60</v>
      </c>
      <c r="E186" s="0" t="s">
        <v>73</v>
      </c>
      <c r="F186" s="0" t="s">
        <v>69</v>
      </c>
      <c r="G186" s="0">
        <v>1</v>
      </c>
      <c r="H186" s="0">
        <v>63</v>
      </c>
      <c r="I186" s="0" t="s">
        <v>10</v>
      </c>
      <c r="J186" s="0" t="s">
        <v>7</v>
      </c>
    </row>
    <row r="187">
      <c r="A187" s="0">
        <v>2021</v>
      </c>
      <c r="B187" s="0" t="s">
        <v>190</v>
      </c>
      <c r="C187" s="0">
        <v>64</v>
      </c>
      <c r="D187" s="0" t="s">
        <v>59</v>
      </c>
      <c r="E187" s="0" t="s">
        <v>73</v>
      </c>
      <c r="F187" s="0" t="s">
        <v>69</v>
      </c>
      <c r="G187" s="0">
        <v>2</v>
      </c>
      <c r="H187" s="0">
        <v>128</v>
      </c>
      <c r="I187" s="0" t="s">
        <v>10</v>
      </c>
      <c r="J187" s="0" t="s">
        <v>7</v>
      </c>
    </row>
    <row r="188">
      <c r="A188" s="0">
        <v>2021</v>
      </c>
      <c r="B188" s="0" t="s">
        <v>190</v>
      </c>
      <c r="C188" s="0">
        <v>64</v>
      </c>
      <c r="D188" s="0" t="s">
        <v>60</v>
      </c>
      <c r="E188" s="0" t="s">
        <v>73</v>
      </c>
      <c r="F188" s="0" t="s">
        <v>69</v>
      </c>
      <c r="G188" s="0">
        <v>5</v>
      </c>
      <c r="H188" s="0">
        <v>320</v>
      </c>
      <c r="I188" s="0" t="s">
        <v>10</v>
      </c>
      <c r="J188" s="0" t="s">
        <v>7</v>
      </c>
    </row>
    <row r="189">
      <c r="A189" s="0">
        <v>2021</v>
      </c>
      <c r="B189" s="0" t="s">
        <v>190</v>
      </c>
      <c r="C189" s="0">
        <v>65</v>
      </c>
      <c r="D189" s="0" t="s">
        <v>60</v>
      </c>
      <c r="E189" s="0" t="s">
        <v>73</v>
      </c>
      <c r="F189" s="0" t="s">
        <v>69</v>
      </c>
      <c r="G189" s="0">
        <v>2</v>
      </c>
      <c r="H189" s="0">
        <v>130</v>
      </c>
      <c r="I189" s="0" t="s">
        <v>10</v>
      </c>
      <c r="J189" s="0" t="s">
        <v>7</v>
      </c>
    </row>
    <row r="190">
      <c r="A190" s="0">
        <v>2021</v>
      </c>
      <c r="B190" s="0" t="s">
        <v>190</v>
      </c>
      <c r="C190" s="0">
        <v>67</v>
      </c>
      <c r="D190" s="0" t="s">
        <v>60</v>
      </c>
      <c r="E190" s="0" t="s">
        <v>73</v>
      </c>
      <c r="F190" s="0" t="s">
        <v>69</v>
      </c>
      <c r="G190" s="0">
        <v>1</v>
      </c>
      <c r="H190" s="0">
        <v>67</v>
      </c>
      <c r="I190" s="0" t="s">
        <v>10</v>
      </c>
      <c r="J190" s="0" t="s">
        <v>7</v>
      </c>
    </row>
    <row r="191">
      <c r="A191" s="0">
        <v>2021</v>
      </c>
      <c r="B191" s="0" t="s">
        <v>190</v>
      </c>
      <c r="C191" s="0">
        <v>68</v>
      </c>
      <c r="D191" s="0" t="s">
        <v>60</v>
      </c>
      <c r="E191" s="0" t="s">
        <v>73</v>
      </c>
      <c r="F191" s="0" t="s">
        <v>69</v>
      </c>
      <c r="G191" s="0">
        <v>1</v>
      </c>
      <c r="H191" s="0">
        <v>68</v>
      </c>
      <c r="I191" s="0" t="s">
        <v>10</v>
      </c>
      <c r="J191" s="0" t="s">
        <v>7</v>
      </c>
    </row>
    <row r="192">
      <c r="A192" s="0">
        <v>2021</v>
      </c>
      <c r="B192" s="0" t="s">
        <v>190</v>
      </c>
      <c r="C192" s="0">
        <v>75</v>
      </c>
      <c r="D192" s="0" t="s">
        <v>59</v>
      </c>
      <c r="E192" s="0" t="s">
        <v>74</v>
      </c>
      <c r="F192" s="0" t="s">
        <v>69</v>
      </c>
      <c r="G192" s="0">
        <v>2</v>
      </c>
      <c r="H192" s="0">
        <v>150</v>
      </c>
      <c r="I192" s="0" t="s">
        <v>10</v>
      </c>
      <c r="J192" s="0" t="s">
        <v>7</v>
      </c>
    </row>
  </sheetData>
  <pageMargins left="0.7" right="0.7" top="0.75" bottom="0.75" header="0.3" footer="0.3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5"/>
  <sheetViews>
    <sheetView workbookViewId="0">
      <selection sqref="A1:B1048576"/>
    </sheetView>
  </sheetViews>
  <sheetFormatPr baseColWidth="10" defaultColWidth="11.42578125" defaultRowHeight="15"/>
  <cols>
    <col min="1" max="2" width="11.42578125" customWidth="1" style="178"/>
    <col min="3" max="3" bestFit="1" width="16.140625" customWidth="1"/>
    <col min="4" max="4" bestFit="1" width="37.7109375" customWidth="1"/>
    <col min="5" max="5" width="11.42578125" customWidth="1"/>
    <col min="6" max="6" bestFit="1" width="18" customWidth="1"/>
    <col min="7" max="7" bestFit="1" width="16.42578125" customWidth="1"/>
    <col min="8" max="8" bestFit="1" width="18.140625" customWidth="1"/>
    <col min="9" max="11" width="11.42578125" customWidth="1"/>
  </cols>
  <sheetData>
    <row r="1">
      <c r="A1" s="178" t="s">
        <v>191</v>
      </c>
      <c r="B1" s="178" t="s">
        <v>192</v>
      </c>
      <c r="C1" s="0" t="s">
        <v>193</v>
      </c>
      <c r="D1" s="0" t="s">
        <v>194</v>
      </c>
      <c r="E1" s="0" t="s">
        <v>180</v>
      </c>
      <c r="F1" s="0" t="s">
        <v>195</v>
      </c>
      <c r="G1" s="0" t="s">
        <v>189</v>
      </c>
      <c r="H1" s="0" t="s">
        <v>196</v>
      </c>
    </row>
    <row r="2">
      <c r="A2" s="178">
        <v>44197</v>
      </c>
      <c r="B2" s="178">
        <v>44561</v>
      </c>
      <c r="C2" s="0" t="s">
        <v>197</v>
      </c>
      <c r="D2" s="0" t="s">
        <v>10</v>
      </c>
      <c r="E2" s="0">
        <v>2021</v>
      </c>
      <c r="F2" s="0">
        <v>261717.72</v>
      </c>
      <c r="H2" s="0">
        <v>364186.32</v>
      </c>
    </row>
    <row r="3">
      <c r="A3" s="178">
        <v>43831</v>
      </c>
      <c r="B3" s="178">
        <v>44196</v>
      </c>
      <c r="C3" s="0" t="s">
        <v>197</v>
      </c>
      <c r="D3" s="0" t="s">
        <v>10</v>
      </c>
      <c r="E3" s="0">
        <v>2020</v>
      </c>
      <c r="F3" s="0">
        <v>273073.96</v>
      </c>
      <c r="H3" s="0">
        <v>379988.79</v>
      </c>
    </row>
    <row r="4">
      <c r="A4" s="178">
        <v>43831</v>
      </c>
      <c r="B4" s="178">
        <v>44196</v>
      </c>
      <c r="C4" s="0" t="s">
        <v>197</v>
      </c>
      <c r="D4" s="0" t="s">
        <v>10</v>
      </c>
      <c r="E4" s="0">
        <v>2020</v>
      </c>
      <c r="F4" s="0">
        <v>27912.31</v>
      </c>
      <c r="H4" s="0">
        <v>38840.63</v>
      </c>
    </row>
    <row r="5">
      <c r="A5" s="178">
        <v>44197</v>
      </c>
      <c r="B5" s="178">
        <v>44561</v>
      </c>
      <c r="C5" s="0" t="s">
        <v>197</v>
      </c>
      <c r="D5" s="0" t="s">
        <v>10</v>
      </c>
      <c r="E5" s="0">
        <v>2021</v>
      </c>
      <c r="F5" s="0">
        <v>8047.86</v>
      </c>
      <c r="H5" s="0">
        <v>11198.79</v>
      </c>
    </row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2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bestFit="1" width="10.85546875" customWidth="1" style="178"/>
    <col min="2" max="2" bestFit="1" width="17.5703125" customWidth="1"/>
    <col min="3" max="3" bestFit="1" width="18.5703125" customWidth="1"/>
    <col min="4" max="4" bestFit="1" width="11.5703125" customWidth="1"/>
    <col min="5" max="6" bestFit="1" width="31.85546875" customWidth="1"/>
    <col min="7" max="7" bestFit="1" width="17.7109375" customWidth="1"/>
    <col min="8" max="8" bestFit="1" width="10.140625" customWidth="1"/>
    <col min="9" max="9" bestFit="1" width="11.28515625" customWidth="1"/>
    <col min="10" max="10" bestFit="1" width="9.7109375" customWidth="1"/>
    <col min="11" max="11" bestFit="1" width="13.28515625" customWidth="1"/>
    <col min="12" max="12" bestFit="1" width="11.28515625" customWidth="1"/>
    <col min="13" max="13" bestFit="1" width="7.85546875" customWidth="1"/>
    <col min="14" max="14" bestFit="1" width="7" customWidth="1"/>
    <col min="15" max="15" bestFit="1" width="7.7109375" customWidth="1"/>
    <col min="16" max="16" bestFit="1" width="9.85546875" customWidth="1"/>
    <col min="17" max="17" bestFit="1" width="10.28515625" customWidth="1"/>
    <col min="18" max="18" bestFit="1" width="21.5703125" customWidth="1"/>
    <col min="19" max="22" width="11.42578125" customWidth="1"/>
    <col min="23" max="23" bestFit="1" width="33.42578125" customWidth="1"/>
    <col min="24" max="30" width="11.42578125" customWidth="1"/>
  </cols>
  <sheetData>
    <row r="1">
      <c r="A1" s="178" t="s">
        <v>198</v>
      </c>
      <c r="B1" s="0" t="s">
        <v>193</v>
      </c>
      <c r="C1" s="0" t="s">
        <v>194</v>
      </c>
      <c r="D1" s="0" t="s">
        <v>199</v>
      </c>
      <c r="E1" s="0" t="s">
        <v>200</v>
      </c>
      <c r="F1" s="0" t="s">
        <v>201</v>
      </c>
      <c r="G1" s="0" t="s">
        <v>202</v>
      </c>
      <c r="H1" s="0" t="s">
        <v>203</v>
      </c>
      <c r="I1" s="0" t="s">
        <v>204</v>
      </c>
      <c r="J1" s="0" t="s">
        <v>205</v>
      </c>
      <c r="K1" s="0" t="s">
        <v>206</v>
      </c>
      <c r="L1" s="0" t="s">
        <v>207</v>
      </c>
      <c r="M1" s="0" t="s">
        <v>208</v>
      </c>
      <c r="N1" s="0" t="s">
        <v>209</v>
      </c>
      <c r="O1" s="0" t="s">
        <v>210</v>
      </c>
      <c r="P1" s="0" t="s">
        <v>211</v>
      </c>
      <c r="Q1" s="0" t="s">
        <v>212</v>
      </c>
      <c r="R1" s="0" t="s">
        <v>189</v>
      </c>
    </row>
    <row r="2">
      <c r="A2" s="178">
        <v>44742</v>
      </c>
      <c r="B2" s="0" t="s">
        <v>213</v>
      </c>
      <c r="C2" s="0" t="s">
        <v>10</v>
      </c>
      <c r="D2" s="0">
        <v>2021</v>
      </c>
      <c r="E2" s="0" t="s">
        <v>138</v>
      </c>
      <c r="F2" s="0" t="s">
        <v>136</v>
      </c>
      <c r="G2" s="0" t="s">
        <v>214</v>
      </c>
      <c r="H2" s="0">
        <v>2</v>
      </c>
      <c r="I2" s="0">
        <v>6.08</v>
      </c>
      <c r="J2" s="0">
        <v>3.65</v>
      </c>
      <c r="K2" s="0">
        <v>0</v>
      </c>
      <c r="L2" s="0">
        <v>2.43</v>
      </c>
      <c r="M2" s="0" t="s">
        <v>215</v>
      </c>
      <c r="N2" s="0">
        <v>1.35</v>
      </c>
      <c r="O2" s="0">
        <v>4.73</v>
      </c>
      <c r="P2" s="0">
        <v>0.54</v>
      </c>
      <c r="Q2" s="0">
        <v>1.89</v>
      </c>
    </row>
  </sheetData>
  <sortState xmlns:xlrd2="http://schemas.microsoft.com/office/spreadsheetml/2017/richdata2" ref="A2:R45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20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bestFit="1" width="12.42578125" customWidth="1" style="178"/>
    <col min="2" max="2" bestFit="1" width="20.140625" customWidth="1"/>
    <col min="3" max="3" bestFit="1" width="10.140625" customWidth="1"/>
    <col min="4" max="4" bestFit="1" width="13" customWidth="1"/>
    <col min="5" max="5" bestFit="1" width="44.85546875" customWidth="1"/>
    <col min="6" max="6" bestFit="1" width="8.7109375" customWidth="1"/>
    <col min="7" max="7" bestFit="1" width="21.140625" customWidth="1"/>
    <col min="8" max="8" bestFit="1" width="12.140625" customWidth="1"/>
    <col min="9" max="10" bestFit="1" width="15.85546875" customWidth="1"/>
    <col min="11" max="11" bestFit="1" width="15.28515625" customWidth="1"/>
    <col min="12" max="12" bestFit="1" width="15.85546875" customWidth="1"/>
    <col min="13" max="13" bestFit="1" width="9.5703125" customWidth="1"/>
    <col min="14" max="14" bestFit="1" width="13.5703125" customWidth="1"/>
    <col min="15" max="15" bestFit="1" width="10" customWidth="1"/>
    <col min="16" max="16" bestFit="1" width="14.85546875" customWidth="1"/>
    <col min="17" max="17" bestFit="1" width="11.7109375" customWidth="1"/>
    <col min="18" max="18" bestFit="1" width="10" customWidth="1"/>
    <col min="19" max="19" bestFit="1" width="14.85546875" customWidth="1"/>
    <col min="20" max="20" bestFit="1" width="11.7109375" customWidth="1"/>
    <col min="21" max="22" width="11.42578125" customWidth="1"/>
    <col min="23" max="23" bestFit="1" width="33.42578125" customWidth="1"/>
    <col min="24" max="30" width="11.42578125" customWidth="1"/>
  </cols>
  <sheetData>
    <row r="1">
      <c r="A1" s="178" t="s">
        <v>198</v>
      </c>
      <c r="B1" s="0" t="s">
        <v>193</v>
      </c>
      <c r="C1" s="0" t="s">
        <v>194</v>
      </c>
      <c r="D1" s="0" t="s">
        <v>199</v>
      </c>
      <c r="E1" s="0" t="s">
        <v>200</v>
      </c>
      <c r="F1" s="0" t="s">
        <v>201</v>
      </c>
      <c r="G1" s="0" t="s">
        <v>202</v>
      </c>
      <c r="H1" s="0" t="s">
        <v>203</v>
      </c>
      <c r="I1" s="0" t="s">
        <v>204</v>
      </c>
      <c r="J1" s="0" t="s">
        <v>205</v>
      </c>
      <c r="K1" s="0" t="s">
        <v>206</v>
      </c>
      <c r="L1" s="0" t="s">
        <v>207</v>
      </c>
      <c r="M1" s="0" t="s">
        <v>208</v>
      </c>
      <c r="N1" s="0" t="s">
        <v>209</v>
      </c>
      <c r="O1" s="0" t="s">
        <v>210</v>
      </c>
      <c r="P1" s="0" t="s">
        <v>211</v>
      </c>
      <c r="Q1" s="0" t="s">
        <v>212</v>
      </c>
    </row>
    <row r="2">
      <c r="A2" s="178">
        <v>44742</v>
      </c>
      <c r="B2" s="0" t="s">
        <v>213</v>
      </c>
      <c r="C2" s="0" t="s">
        <v>10</v>
      </c>
      <c r="D2" s="0">
        <v>2021</v>
      </c>
      <c r="E2" s="0" t="s">
        <v>104</v>
      </c>
      <c r="F2" s="0" t="s">
        <v>102</v>
      </c>
      <c r="G2" s="0" t="s">
        <v>214</v>
      </c>
      <c r="H2" s="0">
        <v>1</v>
      </c>
      <c r="I2" s="0">
        <v>355</v>
      </c>
      <c r="J2" s="0">
        <v>96.75</v>
      </c>
      <c r="K2" s="0">
        <v>120.94</v>
      </c>
      <c r="L2" s="0">
        <v>72.56</v>
      </c>
      <c r="M2" s="0" t="s">
        <v>215</v>
      </c>
      <c r="N2" s="0">
        <v>355</v>
      </c>
      <c r="O2" s="0">
        <v>355</v>
      </c>
      <c r="P2" s="0">
        <v>72.56</v>
      </c>
      <c r="Q2" s="0">
        <v>72.56</v>
      </c>
    </row>
    <row r="3">
      <c r="A3" s="178">
        <v>44742</v>
      </c>
      <c r="B3" s="0" t="s">
        <v>8</v>
      </c>
      <c r="C3" s="0" t="s">
        <v>10</v>
      </c>
      <c r="D3" s="0">
        <v>2021</v>
      </c>
      <c r="E3" s="0" t="s">
        <v>104</v>
      </c>
      <c r="F3" s="0" t="s">
        <v>102</v>
      </c>
      <c r="G3" s="0" t="s">
        <v>214</v>
      </c>
      <c r="H3" s="0">
        <v>1</v>
      </c>
      <c r="I3" s="0">
        <v>355</v>
      </c>
      <c r="J3" s="0">
        <v>96.75</v>
      </c>
      <c r="K3" s="0">
        <v>120.94</v>
      </c>
      <c r="L3" s="0">
        <v>72.56</v>
      </c>
      <c r="M3" s="0" t="s">
        <v>215</v>
      </c>
      <c r="N3" s="0">
        <v>355</v>
      </c>
      <c r="O3" s="0">
        <v>355</v>
      </c>
      <c r="P3" s="0">
        <v>72.56</v>
      </c>
      <c r="Q3" s="0">
        <v>72.56</v>
      </c>
    </row>
    <row r="4">
      <c r="A4" s="178">
        <v>44742</v>
      </c>
      <c r="B4" s="0" t="s">
        <v>213</v>
      </c>
      <c r="C4" s="0" t="s">
        <v>10</v>
      </c>
      <c r="D4" s="0">
        <v>2021</v>
      </c>
      <c r="E4" s="0" t="s">
        <v>123</v>
      </c>
      <c r="F4" s="0" t="s">
        <v>122</v>
      </c>
      <c r="G4" s="0" t="s">
        <v>214</v>
      </c>
      <c r="H4" s="0">
        <v>1</v>
      </c>
      <c r="I4" s="0">
        <v>690</v>
      </c>
      <c r="J4" s="0">
        <v>0.06</v>
      </c>
      <c r="K4" s="0">
        <v>115.93</v>
      </c>
      <c r="L4" s="0">
        <v>298.24</v>
      </c>
      <c r="M4" s="0" t="s">
        <v>215</v>
      </c>
      <c r="N4" s="0">
        <v>690</v>
      </c>
      <c r="O4" s="0">
        <v>690</v>
      </c>
      <c r="P4" s="0">
        <v>298.24</v>
      </c>
      <c r="Q4" s="0">
        <v>298.24</v>
      </c>
    </row>
    <row r="5">
      <c r="A5" s="178">
        <v>44742</v>
      </c>
      <c r="B5" s="0" t="s">
        <v>8</v>
      </c>
      <c r="C5" s="0" t="s">
        <v>10</v>
      </c>
      <c r="D5" s="0">
        <v>2021</v>
      </c>
      <c r="E5" s="0" t="s">
        <v>123</v>
      </c>
      <c r="F5" s="0" t="s">
        <v>122</v>
      </c>
      <c r="G5" s="0" t="s">
        <v>214</v>
      </c>
      <c r="H5" s="0">
        <v>1</v>
      </c>
      <c r="I5" s="0">
        <v>690</v>
      </c>
      <c r="J5" s="0">
        <v>0.06</v>
      </c>
      <c r="K5" s="0">
        <v>115.93</v>
      </c>
      <c r="L5" s="0">
        <v>298.24</v>
      </c>
      <c r="M5" s="0" t="s">
        <v>215</v>
      </c>
      <c r="N5" s="0">
        <v>690</v>
      </c>
      <c r="O5" s="0">
        <v>690</v>
      </c>
      <c r="P5" s="0">
        <v>298.24</v>
      </c>
      <c r="Q5" s="0">
        <v>298.24</v>
      </c>
    </row>
    <row r="6">
      <c r="A6" s="178">
        <v>44742</v>
      </c>
      <c r="B6" s="0" t="s">
        <v>216</v>
      </c>
      <c r="C6" s="0" t="s">
        <v>10</v>
      </c>
      <c r="D6" s="0">
        <v>2021</v>
      </c>
      <c r="E6" s="0" t="s">
        <v>138</v>
      </c>
      <c r="F6" s="0" t="s">
        <v>136</v>
      </c>
      <c r="G6" s="0" t="s">
        <v>214</v>
      </c>
      <c r="H6" s="0">
        <v>4</v>
      </c>
      <c r="I6" s="0">
        <v>220</v>
      </c>
      <c r="J6" s="0">
        <v>0</v>
      </c>
      <c r="K6" s="0">
        <v>-134.16</v>
      </c>
      <c r="L6" s="0">
        <v>354.16</v>
      </c>
      <c r="M6" s="0" t="s">
        <v>215</v>
      </c>
      <c r="N6" s="0">
        <v>-25</v>
      </c>
      <c r="O6" s="0">
        <v>55</v>
      </c>
      <c r="P6" s="0">
        <v>-7.5</v>
      </c>
      <c r="Q6" s="0">
        <v>88.54</v>
      </c>
    </row>
    <row r="7">
      <c r="A7" s="178">
        <v>44742</v>
      </c>
      <c r="B7" s="0" t="s">
        <v>213</v>
      </c>
      <c r="C7" s="0" t="s">
        <v>10</v>
      </c>
      <c r="D7" s="0">
        <v>2021</v>
      </c>
      <c r="E7" s="0" t="s">
        <v>138</v>
      </c>
      <c r="F7" s="0" t="s">
        <v>136</v>
      </c>
      <c r="G7" s="0" t="s">
        <v>214</v>
      </c>
      <c r="H7" s="0">
        <v>17</v>
      </c>
      <c r="I7" s="0">
        <v>369.34000000000003</v>
      </c>
      <c r="J7" s="0">
        <v>239.82</v>
      </c>
      <c r="K7" s="0">
        <v>0</v>
      </c>
      <c r="L7" s="0">
        <v>109.52</v>
      </c>
      <c r="M7" s="0" t="s">
        <v>215</v>
      </c>
      <c r="N7" s="0">
        <v>-25</v>
      </c>
      <c r="O7" s="0">
        <v>55</v>
      </c>
      <c r="P7" s="0">
        <v>-7.5</v>
      </c>
      <c r="Q7" s="0">
        <v>88.54</v>
      </c>
    </row>
    <row r="8">
      <c r="A8" s="178">
        <v>44742</v>
      </c>
      <c r="B8" s="0" t="s">
        <v>217</v>
      </c>
      <c r="C8" s="0" t="s">
        <v>10</v>
      </c>
      <c r="D8" s="0">
        <v>2021</v>
      </c>
      <c r="E8" s="0" t="s">
        <v>138</v>
      </c>
      <c r="F8" s="0" t="s">
        <v>136</v>
      </c>
      <c r="G8" s="0" t="s">
        <v>214</v>
      </c>
      <c r="H8" s="0">
        <v>2</v>
      </c>
      <c r="I8" s="0">
        <v>36.56</v>
      </c>
      <c r="J8" s="0">
        <v>21.94</v>
      </c>
      <c r="K8" s="0">
        <v>0</v>
      </c>
      <c r="L8" s="0">
        <v>20</v>
      </c>
      <c r="M8" s="0" t="s">
        <v>215</v>
      </c>
      <c r="N8" s="0">
        <v>-25</v>
      </c>
      <c r="O8" s="0">
        <v>55</v>
      </c>
      <c r="P8" s="0">
        <v>-7.5</v>
      </c>
      <c r="Q8" s="0">
        <v>88.54</v>
      </c>
    </row>
    <row r="9">
      <c r="A9" s="178">
        <v>44742</v>
      </c>
      <c r="B9" s="0" t="s">
        <v>218</v>
      </c>
      <c r="C9" s="0" t="s">
        <v>10</v>
      </c>
      <c r="D9" s="0">
        <v>2021</v>
      </c>
      <c r="E9" s="0" t="s">
        <v>138</v>
      </c>
      <c r="F9" s="0" t="s">
        <v>136</v>
      </c>
      <c r="G9" s="0" t="s">
        <v>214</v>
      </c>
      <c r="H9" s="0">
        <v>2</v>
      </c>
      <c r="I9" s="0">
        <v>36.56</v>
      </c>
      <c r="J9" s="0">
        <v>21.94</v>
      </c>
      <c r="K9" s="0">
        <v>0</v>
      </c>
      <c r="L9" s="0">
        <v>40</v>
      </c>
      <c r="M9" s="0" t="s">
        <v>215</v>
      </c>
      <c r="N9" s="0">
        <v>-25</v>
      </c>
      <c r="O9" s="0">
        <v>55</v>
      </c>
      <c r="P9" s="0">
        <v>-7.5</v>
      </c>
      <c r="Q9" s="0">
        <v>88.54</v>
      </c>
    </row>
    <row r="10">
      <c r="A10" s="178">
        <v>44742</v>
      </c>
      <c r="B10" s="0" t="s">
        <v>8</v>
      </c>
      <c r="C10" s="0" t="s">
        <v>10</v>
      </c>
      <c r="D10" s="0">
        <v>2021</v>
      </c>
      <c r="E10" s="0" t="s">
        <v>138</v>
      </c>
      <c r="F10" s="0" t="s">
        <v>136</v>
      </c>
      <c r="G10" s="0" t="s">
        <v>214</v>
      </c>
      <c r="H10" s="0">
        <v>4</v>
      </c>
      <c r="I10" s="0">
        <v>12.16</v>
      </c>
      <c r="J10" s="0">
        <v>7.3</v>
      </c>
      <c r="K10" s="0">
        <v>0</v>
      </c>
      <c r="L10" s="0">
        <v>4.8599999999999994</v>
      </c>
      <c r="M10" s="0" t="s">
        <v>215</v>
      </c>
      <c r="N10" s="0">
        <v>-25</v>
      </c>
      <c r="O10" s="0">
        <v>55</v>
      </c>
      <c r="P10" s="0">
        <v>-7.5</v>
      </c>
      <c r="Q10" s="0">
        <v>88.54</v>
      </c>
    </row>
    <row r="11">
      <c r="A11" s="178">
        <v>44742</v>
      </c>
      <c r="B11" s="0" t="s">
        <v>219</v>
      </c>
      <c r="C11" s="0" t="s">
        <v>10</v>
      </c>
      <c r="D11" s="0">
        <v>2021</v>
      </c>
      <c r="E11" s="0" t="s">
        <v>138</v>
      </c>
      <c r="F11" s="0" t="s">
        <v>136</v>
      </c>
      <c r="G11" s="0" t="s">
        <v>214</v>
      </c>
      <c r="H11" s="0">
        <v>2</v>
      </c>
      <c r="I11" s="0">
        <v>36.56</v>
      </c>
      <c r="J11" s="0">
        <v>21.94</v>
      </c>
      <c r="K11" s="0">
        <v>0</v>
      </c>
      <c r="L11" s="0">
        <v>20</v>
      </c>
      <c r="M11" s="0" t="s">
        <v>215</v>
      </c>
      <c r="N11" s="0">
        <v>-25</v>
      </c>
      <c r="O11" s="0">
        <v>55</v>
      </c>
      <c r="P11" s="0">
        <v>-7.5</v>
      </c>
      <c r="Q11" s="0">
        <v>88.54</v>
      </c>
    </row>
    <row r="12">
      <c r="A12" s="178">
        <v>44742</v>
      </c>
      <c r="B12" s="0" t="s">
        <v>220</v>
      </c>
      <c r="C12" s="0" t="s">
        <v>10</v>
      </c>
      <c r="D12" s="0">
        <v>2021</v>
      </c>
      <c r="E12" s="0" t="s">
        <v>138</v>
      </c>
      <c r="F12" s="0" t="s">
        <v>136</v>
      </c>
      <c r="G12" s="0" t="s">
        <v>214</v>
      </c>
      <c r="H12" s="0">
        <v>2</v>
      </c>
      <c r="I12" s="0">
        <v>36.56</v>
      </c>
      <c r="J12" s="0">
        <v>21.94</v>
      </c>
      <c r="K12" s="0">
        <v>0</v>
      </c>
      <c r="L12" s="0">
        <v>40</v>
      </c>
      <c r="M12" s="0" t="s">
        <v>215</v>
      </c>
      <c r="N12" s="0">
        <v>-25</v>
      </c>
      <c r="O12" s="0">
        <v>55</v>
      </c>
      <c r="P12" s="0">
        <v>-7.5</v>
      </c>
      <c r="Q12" s="0">
        <v>88.54</v>
      </c>
    </row>
    <row r="13">
      <c r="A13" s="178">
        <v>44742</v>
      </c>
      <c r="B13" s="0" t="s">
        <v>216</v>
      </c>
      <c r="C13" s="0" t="s">
        <v>10</v>
      </c>
      <c r="D13" s="0">
        <v>2021</v>
      </c>
      <c r="E13" s="0" t="s">
        <v>139</v>
      </c>
      <c r="F13" s="0" t="s">
        <v>136</v>
      </c>
      <c r="G13" s="0" t="s">
        <v>214</v>
      </c>
      <c r="H13" s="0">
        <v>3</v>
      </c>
      <c r="I13" s="0">
        <v>86.95</v>
      </c>
      <c r="J13" s="0">
        <v>69.53</v>
      </c>
      <c r="K13" s="0">
        <v>0</v>
      </c>
      <c r="L13" s="0">
        <v>17.42</v>
      </c>
      <c r="M13" s="0" t="s">
        <v>215</v>
      </c>
      <c r="N13" s="0">
        <v>2</v>
      </c>
      <c r="O13" s="0">
        <v>80</v>
      </c>
      <c r="P13" s="0">
        <v>0.4</v>
      </c>
      <c r="Q13" s="0">
        <v>18.4</v>
      </c>
    </row>
    <row r="14">
      <c r="A14" s="178">
        <v>44742</v>
      </c>
      <c r="B14" s="0" t="s">
        <v>213</v>
      </c>
      <c r="C14" s="0" t="s">
        <v>10</v>
      </c>
      <c r="D14" s="0">
        <v>2021</v>
      </c>
      <c r="E14" s="0" t="s">
        <v>139</v>
      </c>
      <c r="F14" s="0" t="s">
        <v>136</v>
      </c>
      <c r="G14" s="0" t="s">
        <v>214</v>
      </c>
      <c r="H14" s="0">
        <v>2</v>
      </c>
      <c r="I14" s="0">
        <v>115</v>
      </c>
      <c r="J14" s="0">
        <v>35.900000000000006</v>
      </c>
      <c r="K14" s="0">
        <v>25.65</v>
      </c>
      <c r="L14" s="0">
        <v>19.45</v>
      </c>
      <c r="M14" s="0" t="s">
        <v>215</v>
      </c>
      <c r="N14" s="0">
        <v>2</v>
      </c>
      <c r="O14" s="0">
        <v>80</v>
      </c>
      <c r="P14" s="0">
        <v>0.4</v>
      </c>
      <c r="Q14" s="0">
        <v>18.4</v>
      </c>
    </row>
    <row r="15">
      <c r="A15" s="178">
        <v>44742</v>
      </c>
      <c r="B15" s="0" t="s">
        <v>221</v>
      </c>
      <c r="C15" s="0" t="s">
        <v>10</v>
      </c>
      <c r="D15" s="0">
        <v>2021</v>
      </c>
      <c r="E15" s="0" t="s">
        <v>139</v>
      </c>
      <c r="F15" s="0" t="s">
        <v>136</v>
      </c>
      <c r="G15" s="0" t="s">
        <v>214</v>
      </c>
      <c r="H15" s="0">
        <v>7</v>
      </c>
      <c r="I15" s="0">
        <v>306.95</v>
      </c>
      <c r="J15" s="0">
        <v>69.53</v>
      </c>
      <c r="K15" s="0">
        <v>-134.16</v>
      </c>
      <c r="L15" s="0">
        <v>371.58000000000004</v>
      </c>
      <c r="M15" s="0" t="s">
        <v>215</v>
      </c>
      <c r="N15" s="0">
        <v>2</v>
      </c>
      <c r="O15" s="0">
        <v>80</v>
      </c>
      <c r="P15" s="0">
        <v>0.4</v>
      </c>
      <c r="Q15" s="0">
        <v>18.4</v>
      </c>
    </row>
    <row r="16">
      <c r="A16" s="178">
        <v>44742</v>
      </c>
      <c r="B16" s="0" t="s">
        <v>8</v>
      </c>
      <c r="C16" s="0" t="s">
        <v>10</v>
      </c>
      <c r="D16" s="0">
        <v>2021</v>
      </c>
      <c r="E16" s="0" t="s">
        <v>139</v>
      </c>
      <c r="F16" s="0" t="s">
        <v>136</v>
      </c>
      <c r="G16" s="0" t="s">
        <v>214</v>
      </c>
      <c r="H16" s="0">
        <v>15</v>
      </c>
      <c r="I16" s="0">
        <v>472.18</v>
      </c>
      <c r="J16" s="0">
        <v>268.42</v>
      </c>
      <c r="K16" s="0">
        <v>25.65</v>
      </c>
      <c r="L16" s="0">
        <v>124.11</v>
      </c>
      <c r="M16" s="0" t="s">
        <v>215</v>
      </c>
      <c r="N16" s="0">
        <v>2</v>
      </c>
      <c r="O16" s="0">
        <v>80</v>
      </c>
      <c r="P16" s="0">
        <v>0.4</v>
      </c>
      <c r="Q16" s="0">
        <v>18.4</v>
      </c>
    </row>
    <row r="17">
      <c r="A17" s="178">
        <v>44742</v>
      </c>
      <c r="B17" s="0" t="s">
        <v>217</v>
      </c>
      <c r="C17" s="0" t="s">
        <v>10</v>
      </c>
      <c r="D17" s="0">
        <v>2020</v>
      </c>
      <c r="E17" s="0" t="s">
        <v>141</v>
      </c>
      <c r="F17" s="0" t="s">
        <v>136</v>
      </c>
      <c r="G17" s="0" t="s">
        <v>214</v>
      </c>
      <c r="H17" s="0">
        <v>2</v>
      </c>
      <c r="I17" s="0">
        <v>1.02</v>
      </c>
      <c r="J17" s="0">
        <v>0.66</v>
      </c>
      <c r="K17" s="0">
        <v>0</v>
      </c>
      <c r="L17" s="0">
        <v>60</v>
      </c>
      <c r="M17" s="0" t="s">
        <v>215</v>
      </c>
      <c r="N17" s="0">
        <v>0.51</v>
      </c>
      <c r="O17" s="0">
        <v>0.51</v>
      </c>
      <c r="P17" s="0">
        <v>30</v>
      </c>
      <c r="Q17" s="0">
        <v>40</v>
      </c>
    </row>
    <row r="18">
      <c r="A18" s="178">
        <v>44742</v>
      </c>
      <c r="B18" s="0" t="s">
        <v>218</v>
      </c>
      <c r="C18" s="0" t="s">
        <v>10</v>
      </c>
      <c r="D18" s="0">
        <v>2020</v>
      </c>
      <c r="E18" s="0" t="s">
        <v>141</v>
      </c>
      <c r="F18" s="0" t="s">
        <v>136</v>
      </c>
      <c r="G18" s="0" t="s">
        <v>214</v>
      </c>
      <c r="H18" s="0">
        <v>2</v>
      </c>
      <c r="I18" s="0">
        <v>1.02</v>
      </c>
      <c r="J18" s="0">
        <v>0.66</v>
      </c>
      <c r="K18" s="0">
        <v>0</v>
      </c>
      <c r="L18" s="0">
        <v>80</v>
      </c>
      <c r="M18" s="0" t="s">
        <v>215</v>
      </c>
      <c r="N18" s="0">
        <v>0.51</v>
      </c>
      <c r="O18" s="0">
        <v>0.51</v>
      </c>
      <c r="P18" s="0">
        <v>30</v>
      </c>
      <c r="Q18" s="0">
        <v>40</v>
      </c>
    </row>
    <row r="19">
      <c r="A19" s="178">
        <v>44742</v>
      </c>
      <c r="B19" s="0" t="s">
        <v>219</v>
      </c>
      <c r="C19" s="0" t="s">
        <v>10</v>
      </c>
      <c r="D19" s="0">
        <v>2020</v>
      </c>
      <c r="E19" s="0" t="s">
        <v>141</v>
      </c>
      <c r="F19" s="0" t="s">
        <v>136</v>
      </c>
      <c r="G19" s="0" t="s">
        <v>214</v>
      </c>
      <c r="H19" s="0">
        <v>2</v>
      </c>
      <c r="I19" s="0">
        <v>1.02</v>
      </c>
      <c r="J19" s="0">
        <v>0.66</v>
      </c>
      <c r="K19" s="0">
        <v>0</v>
      </c>
      <c r="L19" s="0">
        <v>60</v>
      </c>
      <c r="M19" s="0" t="s">
        <v>215</v>
      </c>
      <c r="N19" s="0">
        <v>0.51</v>
      </c>
      <c r="O19" s="0">
        <v>0.51</v>
      </c>
      <c r="P19" s="0">
        <v>30</v>
      </c>
      <c r="Q19" s="0">
        <v>40</v>
      </c>
    </row>
    <row r="20">
      <c r="A20" s="178">
        <v>44742</v>
      </c>
      <c r="B20" s="0" t="s">
        <v>220</v>
      </c>
      <c r="C20" s="0" t="s">
        <v>10</v>
      </c>
      <c r="D20" s="0">
        <v>2020</v>
      </c>
      <c r="E20" s="0" t="s">
        <v>141</v>
      </c>
      <c r="F20" s="0" t="s">
        <v>136</v>
      </c>
      <c r="G20" s="0" t="s">
        <v>214</v>
      </c>
      <c r="H20" s="0">
        <v>2</v>
      </c>
      <c r="I20" s="0">
        <v>1.02</v>
      </c>
      <c r="J20" s="0">
        <v>0.66</v>
      </c>
      <c r="K20" s="0">
        <v>0</v>
      </c>
      <c r="L20" s="0">
        <v>80</v>
      </c>
      <c r="M20" s="0" t="s">
        <v>215</v>
      </c>
      <c r="N20" s="0">
        <v>0.51</v>
      </c>
      <c r="O20" s="0">
        <v>0.51</v>
      </c>
      <c r="P20" s="0">
        <v>30</v>
      </c>
      <c r="Q20" s="0">
        <v>40</v>
      </c>
    </row>
  </sheetData>
  <pageMargins left="0.7" right="0.7" top="0.75" bottom="0.75" header="0.3" footer="0.3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2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bestFit="1" width="12.42578125" customWidth="1" style="178"/>
    <col min="2" max="2" bestFit="1" width="11.42578125" customWidth="1"/>
    <col min="3" max="3" bestFit="1" width="10.140625" customWidth="1"/>
    <col min="4" max="4" bestFit="1" width="13" customWidth="1"/>
    <col min="5" max="5" bestFit="1" width="44.85546875" customWidth="1"/>
    <col min="6" max="6" bestFit="1" width="8.7109375" customWidth="1"/>
    <col min="7" max="7" bestFit="1" width="12.5703125" customWidth="1"/>
    <col min="8" max="8" bestFit="1" width="20" customWidth="1"/>
    <col min="9" max="14" width="11.42578125" customWidth="1"/>
  </cols>
  <sheetData>
    <row r="1">
      <c r="A1" s="178" t="s">
        <v>198</v>
      </c>
      <c r="B1" s="0" t="s">
        <v>193</v>
      </c>
      <c r="C1" s="0" t="s">
        <v>194</v>
      </c>
      <c r="D1" s="0" t="s">
        <v>199</v>
      </c>
      <c r="E1" s="0" t="s">
        <v>200</v>
      </c>
      <c r="F1" s="0" t="s">
        <v>201</v>
      </c>
      <c r="G1" s="0" t="s">
        <v>222</v>
      </c>
      <c r="H1" s="0" t="s">
        <v>189</v>
      </c>
    </row>
    <row r="2">
      <c r="A2" s="178">
        <v>44742</v>
      </c>
      <c r="B2" s="0" t="s">
        <v>213</v>
      </c>
      <c r="C2" s="0" t="s">
        <v>10</v>
      </c>
      <c r="D2" s="0">
        <v>2021</v>
      </c>
      <c r="E2" s="0" t="s">
        <v>138</v>
      </c>
      <c r="F2" s="0" t="s">
        <v>136</v>
      </c>
      <c r="G2" s="0">
        <v>0</v>
      </c>
    </row>
  </sheetData>
  <pageMargins left="0.7" right="0.7" top="0.75" bottom="0.75" header="0.3" footer="0.3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2578125" defaultRowHeight="15"/>
  <cols>
    <col min="1" max="1" bestFit="1" width="14.140625" customWidth="1"/>
    <col min="2" max="2" bestFit="1" width="11.7109375" customWidth="1"/>
    <col min="3" max="3" bestFit="1" width="41.140625" customWidth="1"/>
    <col min="4" max="10" width="12" customWidth="1"/>
    <col min="11" max="12" width="11.42578125" customWidth="1"/>
  </cols>
  <sheetData>
    <row r="1">
      <c r="A1" s="0" t="s">
        <v>223</v>
      </c>
      <c r="B1" s="0" t="s">
        <v>224</v>
      </c>
      <c r="C1" s="0" t="s">
        <v>225</v>
      </c>
      <c r="D1" s="151" t="s">
        <v>226</v>
      </c>
      <c r="E1" s="151" t="s">
        <v>227</v>
      </c>
      <c r="F1" s="151" t="s">
        <v>228</v>
      </c>
      <c r="G1" s="151" t="s">
        <v>229</v>
      </c>
      <c r="H1" s="151" t="s">
        <v>230</v>
      </c>
      <c r="I1" s="151" t="s">
        <v>231</v>
      </c>
      <c r="J1" s="151" t="s">
        <v>169</v>
      </c>
    </row>
    <row r="2">
      <c r="A2" s="149" t="s">
        <v>232</v>
      </c>
      <c r="B2" s="171" t="s">
        <v>95</v>
      </c>
      <c r="C2" s="171" t="s">
        <v>103</v>
      </c>
      <c r="D2" s="172">
        <v>0</v>
      </c>
      <c r="E2" s="172">
        <v>0</v>
      </c>
      <c r="F2" s="172">
        <v>0</v>
      </c>
      <c r="G2" s="172">
        <v>0</v>
      </c>
      <c r="H2" s="172">
        <v>0</v>
      </c>
      <c r="I2" s="172">
        <v>0</v>
      </c>
      <c r="J2" s="172">
        <v>0</v>
      </c>
    </row>
    <row r="3">
      <c r="A3" s="149" t="s">
        <v>232</v>
      </c>
      <c r="B3" s="171" t="s">
        <v>95</v>
      </c>
      <c r="C3" s="171" t="s">
        <v>233</v>
      </c>
      <c r="D3" s="172">
        <v>0</v>
      </c>
      <c r="E3" s="172">
        <v>0</v>
      </c>
      <c r="F3" s="172">
        <v>0</v>
      </c>
      <c r="G3" s="172">
        <v>0</v>
      </c>
      <c r="H3" s="172">
        <v>0</v>
      </c>
      <c r="I3" s="172">
        <v>0</v>
      </c>
      <c r="J3" s="172">
        <v>0</v>
      </c>
    </row>
    <row r="4">
      <c r="A4" s="149" t="s">
        <v>232</v>
      </c>
      <c r="B4" s="171" t="s">
        <v>95</v>
      </c>
      <c r="C4" s="171" t="s">
        <v>234</v>
      </c>
      <c r="D4" s="172">
        <v>0</v>
      </c>
      <c r="E4" s="172">
        <v>0</v>
      </c>
      <c r="F4" s="172">
        <v>0</v>
      </c>
      <c r="G4" s="172">
        <v>0</v>
      </c>
      <c r="H4" s="172">
        <v>0</v>
      </c>
      <c r="I4" s="172">
        <v>0</v>
      </c>
      <c r="J4" s="172">
        <v>0</v>
      </c>
    </row>
    <row r="5">
      <c r="A5" s="149" t="s">
        <v>232</v>
      </c>
      <c r="B5" s="171" t="s">
        <v>95</v>
      </c>
      <c r="C5" s="171" t="s">
        <v>235</v>
      </c>
      <c r="D5" s="172">
        <v>0</v>
      </c>
      <c r="E5" s="172">
        <v>0</v>
      </c>
      <c r="F5" s="172">
        <v>0</v>
      </c>
      <c r="G5" s="172">
        <v>0</v>
      </c>
      <c r="H5" s="172">
        <v>0</v>
      </c>
      <c r="I5" s="172">
        <v>0</v>
      </c>
      <c r="J5" s="172">
        <v>0</v>
      </c>
    </row>
    <row r="6">
      <c r="A6" s="149" t="s">
        <v>232</v>
      </c>
      <c r="B6" s="171" t="s">
        <v>95</v>
      </c>
      <c r="C6" s="171" t="s">
        <v>96</v>
      </c>
      <c r="D6" s="0">
        <v>0</v>
      </c>
      <c r="E6" s="0">
        <v>0</v>
      </c>
      <c r="F6" s="0">
        <v>0</v>
      </c>
      <c r="G6" s="0">
        <v>0</v>
      </c>
      <c r="H6" s="0">
        <v>0</v>
      </c>
      <c r="I6" s="0">
        <v>0</v>
      </c>
      <c r="J6" s="0">
        <v>0</v>
      </c>
    </row>
    <row r="7">
      <c r="A7" s="149" t="s">
        <v>232</v>
      </c>
      <c r="B7" s="171" t="s">
        <v>95</v>
      </c>
      <c r="C7" s="171" t="s">
        <v>134</v>
      </c>
      <c r="D7" s="0">
        <v>0</v>
      </c>
      <c r="E7" s="0">
        <v>0</v>
      </c>
      <c r="F7" s="0">
        <v>0</v>
      </c>
      <c r="G7" s="0">
        <v>0</v>
      </c>
      <c r="H7" s="0">
        <v>0</v>
      </c>
      <c r="I7" s="0">
        <v>0</v>
      </c>
      <c r="J7" s="0">
        <v>0</v>
      </c>
    </row>
    <row r="8">
      <c r="A8" s="149" t="s">
        <v>232</v>
      </c>
      <c r="B8" s="171" t="s">
        <v>95</v>
      </c>
      <c r="C8" s="171" t="s">
        <v>236</v>
      </c>
      <c r="D8" s="0">
        <v>0</v>
      </c>
      <c r="E8" s="0">
        <v>0</v>
      </c>
      <c r="F8" s="0">
        <v>0</v>
      </c>
      <c r="G8" s="0">
        <v>0</v>
      </c>
      <c r="H8" s="0">
        <v>0</v>
      </c>
      <c r="I8" s="0">
        <v>0</v>
      </c>
      <c r="J8" s="0">
        <v>0</v>
      </c>
    </row>
    <row r="9">
      <c r="A9" s="149" t="s">
        <v>232</v>
      </c>
      <c r="B9" s="171" t="s">
        <v>95</v>
      </c>
      <c r="C9" s="171" t="s">
        <v>94</v>
      </c>
      <c r="D9" s="0">
        <v>0</v>
      </c>
      <c r="E9" s="0">
        <v>0</v>
      </c>
      <c r="F9" s="0">
        <v>0</v>
      </c>
      <c r="G9" s="0">
        <v>0</v>
      </c>
      <c r="H9" s="0">
        <v>0</v>
      </c>
      <c r="I9" s="0">
        <v>0</v>
      </c>
      <c r="J9" s="0">
        <v>0</v>
      </c>
    </row>
    <row r="10">
      <c r="A10" s="149" t="s">
        <v>232</v>
      </c>
      <c r="B10" s="150" t="s">
        <v>237</v>
      </c>
      <c r="C10" s="150" t="s">
        <v>101</v>
      </c>
      <c r="D10" s="0">
        <v>0</v>
      </c>
      <c r="E10" s="0">
        <v>0</v>
      </c>
      <c r="F10" s="0">
        <v>0</v>
      </c>
      <c r="G10" s="0">
        <v>0</v>
      </c>
      <c r="H10" s="0">
        <v>0</v>
      </c>
      <c r="I10" s="0">
        <v>0</v>
      </c>
      <c r="J10" s="0">
        <v>0</v>
      </c>
    </row>
    <row r="11">
      <c r="A11" s="149" t="s">
        <v>232</v>
      </c>
      <c r="B11" s="150" t="s">
        <v>237</v>
      </c>
      <c r="C11" s="150" t="s">
        <v>238</v>
      </c>
      <c r="D11" s="0">
        <v>0</v>
      </c>
      <c r="E11" s="0">
        <v>0</v>
      </c>
      <c r="F11" s="0">
        <v>0</v>
      </c>
      <c r="G11" s="0">
        <v>0</v>
      </c>
      <c r="H11" s="0">
        <v>0</v>
      </c>
      <c r="I11" s="0">
        <v>0</v>
      </c>
      <c r="J11" s="0">
        <v>0</v>
      </c>
    </row>
    <row r="12">
      <c r="A12" s="149" t="s">
        <v>232</v>
      </c>
      <c r="B12" s="171" t="s">
        <v>102</v>
      </c>
      <c r="C12" s="171" t="s">
        <v>239</v>
      </c>
      <c r="D12" s="0">
        <v>0</v>
      </c>
      <c r="E12" s="0">
        <v>0</v>
      </c>
      <c r="F12" s="0">
        <v>0</v>
      </c>
      <c r="G12" s="0">
        <v>0</v>
      </c>
      <c r="H12" s="0">
        <v>0</v>
      </c>
      <c r="I12" s="0">
        <v>0</v>
      </c>
      <c r="J12" s="0">
        <v>0</v>
      </c>
    </row>
    <row r="13">
      <c r="A13" s="149" t="s">
        <v>232</v>
      </c>
      <c r="B13" s="171" t="s">
        <v>102</v>
      </c>
      <c r="C13" s="171" t="s">
        <v>240</v>
      </c>
      <c r="D13" s="0">
        <v>0</v>
      </c>
      <c r="E13" s="0">
        <v>0</v>
      </c>
      <c r="F13" s="0">
        <v>0</v>
      </c>
      <c r="G13" s="0">
        <v>0</v>
      </c>
      <c r="H13" s="0">
        <v>0</v>
      </c>
      <c r="I13" s="0">
        <v>0</v>
      </c>
      <c r="J13" s="0">
        <v>0</v>
      </c>
    </row>
    <row r="14">
      <c r="A14" s="149" t="s">
        <v>232</v>
      </c>
      <c r="B14" s="171" t="s">
        <v>102</v>
      </c>
      <c r="C14" s="171" t="s">
        <v>241</v>
      </c>
      <c r="D14" s="0">
        <v>0</v>
      </c>
      <c r="E14" s="0">
        <v>0</v>
      </c>
      <c r="F14" s="0">
        <v>0</v>
      </c>
      <c r="G14" s="0">
        <v>0</v>
      </c>
      <c r="H14" s="0">
        <v>0</v>
      </c>
      <c r="I14" s="0">
        <v>0</v>
      </c>
      <c r="J14" s="0">
        <v>0</v>
      </c>
    </row>
    <row r="15">
      <c r="A15" s="149" t="s">
        <v>232</v>
      </c>
      <c r="B15" s="171" t="s">
        <v>102</v>
      </c>
      <c r="C15" s="171" t="s">
        <v>242</v>
      </c>
      <c r="D15" s="0">
        <v>0</v>
      </c>
      <c r="E15" s="0">
        <v>0</v>
      </c>
      <c r="F15" s="0">
        <v>0</v>
      </c>
      <c r="G15" s="0">
        <v>0</v>
      </c>
      <c r="H15" s="0">
        <v>0</v>
      </c>
      <c r="I15" s="0">
        <v>0</v>
      </c>
      <c r="J15" s="0">
        <v>0</v>
      </c>
    </row>
    <row r="16">
      <c r="A16" s="149" t="s">
        <v>232</v>
      </c>
      <c r="B16" s="171" t="s">
        <v>102</v>
      </c>
      <c r="C16" s="171" t="s">
        <v>243</v>
      </c>
      <c r="D16" s="0">
        <v>0</v>
      </c>
      <c r="E16" s="0">
        <v>0</v>
      </c>
      <c r="F16" s="0">
        <v>0</v>
      </c>
      <c r="G16" s="0">
        <v>0</v>
      </c>
      <c r="H16" s="0">
        <v>0</v>
      </c>
      <c r="I16" s="0">
        <v>0</v>
      </c>
      <c r="J16" s="0">
        <v>0</v>
      </c>
    </row>
    <row r="17">
      <c r="A17" s="149" t="s">
        <v>232</v>
      </c>
      <c r="B17" s="171" t="s">
        <v>102</v>
      </c>
      <c r="C17" s="171" t="s">
        <v>244</v>
      </c>
      <c r="D17" s="0">
        <v>0</v>
      </c>
      <c r="E17" s="0">
        <v>0</v>
      </c>
      <c r="F17" s="0">
        <v>0</v>
      </c>
      <c r="G17" s="0">
        <v>0</v>
      </c>
      <c r="H17" s="0">
        <v>0</v>
      </c>
      <c r="I17" s="0">
        <v>0</v>
      </c>
      <c r="J17" s="0">
        <v>0</v>
      </c>
    </row>
    <row r="18">
      <c r="A18" s="149" t="s">
        <v>232</v>
      </c>
      <c r="B18" s="171" t="s">
        <v>102</v>
      </c>
      <c r="C18" s="171" t="s">
        <v>245</v>
      </c>
      <c r="D18" s="0">
        <v>0</v>
      </c>
      <c r="E18" s="0">
        <v>0</v>
      </c>
      <c r="F18" s="0">
        <v>0</v>
      </c>
      <c r="G18" s="0">
        <v>0</v>
      </c>
      <c r="H18" s="0">
        <v>0</v>
      </c>
      <c r="I18" s="0">
        <v>0</v>
      </c>
      <c r="J18" s="0">
        <v>0</v>
      </c>
    </row>
    <row r="19">
      <c r="A19" s="149" t="s">
        <v>232</v>
      </c>
      <c r="B19" s="171" t="s">
        <v>102</v>
      </c>
      <c r="C19" s="171" t="s">
        <v>246</v>
      </c>
      <c r="D19" s="0">
        <v>0</v>
      </c>
      <c r="E19" s="0">
        <v>0</v>
      </c>
      <c r="F19" s="0">
        <v>0</v>
      </c>
      <c r="G19" s="0">
        <v>0</v>
      </c>
      <c r="H19" s="0">
        <v>0</v>
      </c>
      <c r="I19" s="0">
        <v>0</v>
      </c>
      <c r="J19" s="0">
        <v>0</v>
      </c>
    </row>
    <row r="20">
      <c r="A20" s="149" t="s">
        <v>232</v>
      </c>
      <c r="B20" s="171" t="s">
        <v>102</v>
      </c>
      <c r="C20" s="171" t="s">
        <v>247</v>
      </c>
      <c r="D20" s="0">
        <v>0</v>
      </c>
      <c r="E20" s="0">
        <v>0</v>
      </c>
      <c r="F20" s="0">
        <v>0</v>
      </c>
      <c r="G20" s="0">
        <v>0</v>
      </c>
      <c r="H20" s="0">
        <v>0</v>
      </c>
      <c r="I20" s="0">
        <v>0</v>
      </c>
      <c r="J20" s="0">
        <v>0</v>
      </c>
    </row>
    <row r="21">
      <c r="A21" s="149" t="s">
        <v>232</v>
      </c>
      <c r="B21" s="171" t="s">
        <v>102</v>
      </c>
      <c r="C21" s="171" t="s">
        <v>248</v>
      </c>
      <c r="D21" s="0">
        <v>0</v>
      </c>
      <c r="E21" s="0">
        <v>0</v>
      </c>
      <c r="F21" s="0">
        <v>0</v>
      </c>
      <c r="G21" s="0">
        <v>0</v>
      </c>
      <c r="H21" s="0">
        <v>0</v>
      </c>
      <c r="I21" s="0">
        <v>0</v>
      </c>
      <c r="J21" s="0">
        <v>0</v>
      </c>
    </row>
    <row r="22">
      <c r="A22" s="149" t="s">
        <v>232</v>
      </c>
      <c r="B22" s="171" t="s">
        <v>102</v>
      </c>
      <c r="C22" s="171" t="s">
        <v>249</v>
      </c>
      <c r="D22" s="0">
        <v>0</v>
      </c>
      <c r="E22" s="0">
        <v>0</v>
      </c>
      <c r="F22" s="0">
        <v>0</v>
      </c>
      <c r="G22" s="0">
        <v>0</v>
      </c>
      <c r="H22" s="0">
        <v>0</v>
      </c>
      <c r="I22" s="0">
        <v>0</v>
      </c>
      <c r="J22" s="0">
        <v>0</v>
      </c>
    </row>
    <row r="23">
      <c r="A23" s="149" t="s">
        <v>232</v>
      </c>
      <c r="B23" s="171" t="s">
        <v>102</v>
      </c>
      <c r="C23" s="171" t="s">
        <v>250</v>
      </c>
      <c r="D23" s="0">
        <v>0</v>
      </c>
      <c r="E23" s="0">
        <v>0</v>
      </c>
      <c r="F23" s="0">
        <v>0</v>
      </c>
      <c r="G23" s="0">
        <v>0</v>
      </c>
      <c r="H23" s="0">
        <v>0</v>
      </c>
      <c r="I23" s="0">
        <v>0</v>
      </c>
      <c r="J23" s="0">
        <v>0</v>
      </c>
    </row>
    <row r="24">
      <c r="A24" s="149" t="s">
        <v>232</v>
      </c>
      <c r="B24" s="171" t="s">
        <v>102</v>
      </c>
      <c r="C24" s="171" t="s">
        <v>251</v>
      </c>
      <c r="D24" s="0">
        <v>0</v>
      </c>
      <c r="E24" s="0">
        <v>0</v>
      </c>
      <c r="F24" s="0">
        <v>0</v>
      </c>
      <c r="G24" s="0">
        <v>0</v>
      </c>
      <c r="H24" s="0">
        <v>0</v>
      </c>
      <c r="I24" s="0">
        <v>0</v>
      </c>
      <c r="J24" s="0">
        <v>0</v>
      </c>
    </row>
    <row r="25">
      <c r="A25" s="149" t="s">
        <v>232</v>
      </c>
      <c r="B25" s="171" t="s">
        <v>102</v>
      </c>
      <c r="C25" s="171" t="s">
        <v>252</v>
      </c>
      <c r="D25" s="0">
        <v>0</v>
      </c>
      <c r="E25" s="0">
        <v>0</v>
      </c>
      <c r="F25" s="0">
        <v>0</v>
      </c>
      <c r="G25" s="0">
        <v>0</v>
      </c>
      <c r="H25" s="0">
        <v>0</v>
      </c>
      <c r="I25" s="0">
        <v>0</v>
      </c>
      <c r="J25" s="0">
        <v>0</v>
      </c>
    </row>
    <row r="26">
      <c r="A26" s="149" t="s">
        <v>232</v>
      </c>
      <c r="B26" s="171" t="s">
        <v>102</v>
      </c>
      <c r="C26" s="171" t="s">
        <v>253</v>
      </c>
      <c r="D26" s="0">
        <v>0</v>
      </c>
      <c r="E26" s="0">
        <v>0</v>
      </c>
      <c r="F26" s="0">
        <v>0</v>
      </c>
      <c r="G26" s="0">
        <v>0</v>
      </c>
      <c r="H26" s="0">
        <v>0</v>
      </c>
      <c r="I26" s="0">
        <v>0</v>
      </c>
      <c r="J26" s="0">
        <v>0</v>
      </c>
    </row>
    <row r="27">
      <c r="A27" s="149" t="s">
        <v>232</v>
      </c>
      <c r="B27" s="171" t="s">
        <v>102</v>
      </c>
      <c r="C27" s="171" t="s">
        <v>254</v>
      </c>
      <c r="D27" s="0">
        <v>0</v>
      </c>
      <c r="E27" s="0">
        <v>0</v>
      </c>
      <c r="F27" s="0">
        <v>0</v>
      </c>
      <c r="G27" s="0">
        <v>0</v>
      </c>
      <c r="H27" s="0">
        <v>0</v>
      </c>
      <c r="I27" s="0">
        <v>0</v>
      </c>
      <c r="J27" s="0">
        <v>0</v>
      </c>
    </row>
    <row r="28">
      <c r="A28" s="149" t="s">
        <v>232</v>
      </c>
      <c r="B28" s="171" t="s">
        <v>102</v>
      </c>
      <c r="C28" s="171" t="s">
        <v>255</v>
      </c>
      <c r="D28" s="0">
        <v>0</v>
      </c>
      <c r="E28" s="0">
        <v>0</v>
      </c>
      <c r="F28" s="0">
        <v>0</v>
      </c>
      <c r="G28" s="0">
        <v>0</v>
      </c>
      <c r="H28" s="0">
        <v>0</v>
      </c>
      <c r="I28" s="0">
        <v>0</v>
      </c>
      <c r="J28" s="0">
        <v>0</v>
      </c>
    </row>
    <row r="29">
      <c r="A29" s="149" t="s">
        <v>232</v>
      </c>
      <c r="B29" s="171" t="s">
        <v>102</v>
      </c>
      <c r="C29" s="171" t="s">
        <v>256</v>
      </c>
      <c r="D29" s="0">
        <v>0</v>
      </c>
      <c r="E29" s="0">
        <v>0</v>
      </c>
      <c r="F29" s="0">
        <v>0</v>
      </c>
      <c r="G29" s="0">
        <v>0</v>
      </c>
      <c r="H29" s="0">
        <v>0</v>
      </c>
      <c r="I29" s="0">
        <v>0</v>
      </c>
      <c r="J29" s="0">
        <v>0</v>
      </c>
    </row>
    <row r="30">
      <c r="A30" s="149" t="s">
        <v>232</v>
      </c>
      <c r="B30" s="171" t="s">
        <v>102</v>
      </c>
      <c r="C30" s="171" t="s">
        <v>257</v>
      </c>
      <c r="D30" s="0">
        <v>0</v>
      </c>
      <c r="E30" s="0">
        <v>0</v>
      </c>
      <c r="F30" s="0">
        <v>0</v>
      </c>
      <c r="G30" s="0">
        <v>0</v>
      </c>
      <c r="H30" s="0">
        <v>0</v>
      </c>
      <c r="I30" s="0">
        <v>0</v>
      </c>
      <c r="J30" s="0">
        <v>0</v>
      </c>
    </row>
    <row r="31">
      <c r="A31" s="149" t="s">
        <v>232</v>
      </c>
      <c r="B31" s="171" t="s">
        <v>102</v>
      </c>
      <c r="C31" s="171" t="s">
        <v>258</v>
      </c>
      <c r="D31" s="0">
        <v>0</v>
      </c>
      <c r="E31" s="0">
        <v>0</v>
      </c>
      <c r="F31" s="0">
        <v>0</v>
      </c>
      <c r="G31" s="0">
        <v>0</v>
      </c>
      <c r="H31" s="0">
        <v>0</v>
      </c>
      <c r="I31" s="0">
        <v>0</v>
      </c>
      <c r="J31" s="0">
        <v>0</v>
      </c>
    </row>
    <row r="32">
      <c r="A32" s="149" t="s">
        <v>232</v>
      </c>
      <c r="B32" s="171" t="s">
        <v>102</v>
      </c>
      <c r="C32" s="171" t="s">
        <v>259</v>
      </c>
      <c r="D32" s="0">
        <v>0</v>
      </c>
      <c r="E32" s="0">
        <v>0</v>
      </c>
      <c r="F32" s="0">
        <v>0</v>
      </c>
      <c r="G32" s="0">
        <v>0</v>
      </c>
      <c r="H32" s="0">
        <v>0</v>
      </c>
      <c r="I32" s="0">
        <v>0</v>
      </c>
      <c r="J32" s="0">
        <v>0</v>
      </c>
    </row>
    <row r="33">
      <c r="A33" s="149" t="s">
        <v>232</v>
      </c>
      <c r="B33" s="171" t="s">
        <v>102</v>
      </c>
      <c r="C33" s="171" t="s">
        <v>260</v>
      </c>
      <c r="D33" s="0">
        <v>0</v>
      </c>
      <c r="E33" s="0">
        <v>0</v>
      </c>
      <c r="F33" s="0">
        <v>0</v>
      </c>
      <c r="G33" s="0">
        <v>0</v>
      </c>
      <c r="H33" s="0">
        <v>0</v>
      </c>
      <c r="I33" s="0">
        <v>0</v>
      </c>
      <c r="J33" s="0">
        <v>0</v>
      </c>
    </row>
    <row r="34">
      <c r="A34" s="149" t="s">
        <v>232</v>
      </c>
      <c r="B34" s="171" t="s">
        <v>102</v>
      </c>
      <c r="C34" s="171" t="s">
        <v>261</v>
      </c>
      <c r="D34" s="0">
        <v>0</v>
      </c>
      <c r="E34" s="0">
        <v>0</v>
      </c>
      <c r="F34" s="0">
        <v>0</v>
      </c>
      <c r="G34" s="0">
        <v>0</v>
      </c>
      <c r="H34" s="0">
        <v>0</v>
      </c>
      <c r="I34" s="0">
        <v>0</v>
      </c>
      <c r="J34" s="0">
        <v>0</v>
      </c>
    </row>
    <row r="35">
      <c r="A35" s="149" t="s">
        <v>232</v>
      </c>
      <c r="B35" s="171" t="s">
        <v>102</v>
      </c>
      <c r="C35" s="171" t="s">
        <v>262</v>
      </c>
      <c r="D35" s="0">
        <v>0</v>
      </c>
      <c r="E35" s="0">
        <v>0</v>
      </c>
      <c r="F35" s="0">
        <v>0</v>
      </c>
      <c r="G35" s="0">
        <v>0</v>
      </c>
      <c r="H35" s="0">
        <v>0</v>
      </c>
      <c r="I35" s="0">
        <v>0</v>
      </c>
      <c r="J35" s="0">
        <v>0</v>
      </c>
    </row>
    <row r="36">
      <c r="A36" s="149" t="s">
        <v>232</v>
      </c>
      <c r="B36" s="171" t="s">
        <v>102</v>
      </c>
      <c r="C36" s="171" t="s">
        <v>263</v>
      </c>
      <c r="D36" s="0">
        <v>0</v>
      </c>
      <c r="E36" s="0">
        <v>0</v>
      </c>
      <c r="F36" s="0">
        <v>0</v>
      </c>
      <c r="G36" s="0">
        <v>0</v>
      </c>
      <c r="H36" s="0">
        <v>0</v>
      </c>
      <c r="I36" s="0">
        <v>0</v>
      </c>
      <c r="J36" s="0">
        <v>0</v>
      </c>
    </row>
    <row r="37">
      <c r="A37" s="149" t="s">
        <v>232</v>
      </c>
      <c r="B37" s="171" t="s">
        <v>102</v>
      </c>
      <c r="C37" s="171" t="s">
        <v>264</v>
      </c>
      <c r="D37" s="0">
        <v>0</v>
      </c>
      <c r="E37" s="0">
        <v>0</v>
      </c>
      <c r="F37" s="0">
        <v>0</v>
      </c>
      <c r="G37" s="0">
        <v>0</v>
      </c>
      <c r="H37" s="0">
        <v>0</v>
      </c>
      <c r="I37" s="0">
        <v>0</v>
      </c>
      <c r="J37" s="0">
        <v>0</v>
      </c>
    </row>
    <row r="38">
      <c r="A38" s="149" t="s">
        <v>232</v>
      </c>
      <c r="B38" s="171" t="s">
        <v>102</v>
      </c>
      <c r="C38" s="171" t="s">
        <v>265</v>
      </c>
      <c r="D38" s="0">
        <v>0</v>
      </c>
      <c r="E38" s="0">
        <v>0</v>
      </c>
      <c r="F38" s="0">
        <v>0</v>
      </c>
      <c r="G38" s="0">
        <v>0</v>
      </c>
      <c r="H38" s="0">
        <v>0</v>
      </c>
      <c r="I38" s="0">
        <v>0</v>
      </c>
      <c r="J38" s="0">
        <v>0</v>
      </c>
    </row>
    <row r="39">
      <c r="A39" s="149" t="s">
        <v>232</v>
      </c>
      <c r="B39" s="171" t="s">
        <v>102</v>
      </c>
      <c r="C39" s="171" t="s">
        <v>266</v>
      </c>
      <c r="D39" s="0">
        <v>0</v>
      </c>
      <c r="E39" s="0">
        <v>0</v>
      </c>
      <c r="F39" s="0">
        <v>0</v>
      </c>
      <c r="G39" s="0">
        <v>0</v>
      </c>
      <c r="H39" s="0">
        <v>0</v>
      </c>
      <c r="I39" s="0">
        <v>0</v>
      </c>
      <c r="J39" s="0">
        <v>0</v>
      </c>
    </row>
    <row r="40">
      <c r="A40" s="149" t="s">
        <v>232</v>
      </c>
      <c r="B40" s="171" t="s">
        <v>102</v>
      </c>
      <c r="C40" s="171" t="s">
        <v>109</v>
      </c>
      <c r="D40" s="0">
        <v>0</v>
      </c>
      <c r="E40" s="0">
        <v>0</v>
      </c>
      <c r="F40" s="0">
        <v>0</v>
      </c>
      <c r="G40" s="0">
        <v>0</v>
      </c>
      <c r="H40" s="0">
        <v>0</v>
      </c>
      <c r="I40" s="0">
        <v>0</v>
      </c>
      <c r="J40" s="0">
        <v>0</v>
      </c>
    </row>
    <row r="41">
      <c r="A41" s="149" t="s">
        <v>232</v>
      </c>
      <c r="B41" s="171" t="s">
        <v>102</v>
      </c>
      <c r="C41" s="171" t="s">
        <v>267</v>
      </c>
      <c r="D41" s="0">
        <v>0</v>
      </c>
      <c r="E41" s="0">
        <v>0</v>
      </c>
      <c r="F41" s="0">
        <v>0</v>
      </c>
      <c r="G41" s="0">
        <v>0</v>
      </c>
      <c r="H41" s="0">
        <v>0</v>
      </c>
      <c r="I41" s="0">
        <v>0</v>
      </c>
      <c r="J41" s="0">
        <v>0</v>
      </c>
    </row>
    <row r="42">
      <c r="A42" s="149" t="s">
        <v>232</v>
      </c>
      <c r="B42" s="171" t="s">
        <v>110</v>
      </c>
      <c r="C42" s="171" t="s">
        <v>268</v>
      </c>
      <c r="D42" s="0">
        <v>0</v>
      </c>
      <c r="E42" s="0">
        <v>0</v>
      </c>
      <c r="F42" s="0">
        <v>0</v>
      </c>
      <c r="G42" s="0">
        <v>0</v>
      </c>
      <c r="H42" s="0">
        <v>0</v>
      </c>
      <c r="I42" s="0">
        <v>0</v>
      </c>
      <c r="J42" s="0">
        <v>0</v>
      </c>
    </row>
    <row r="43">
      <c r="A43" s="149" t="s">
        <v>232</v>
      </c>
      <c r="B43" s="171" t="s">
        <v>110</v>
      </c>
      <c r="C43" s="171" t="s">
        <v>111</v>
      </c>
      <c r="D43" s="0">
        <v>0</v>
      </c>
      <c r="E43" s="0">
        <v>0</v>
      </c>
      <c r="F43" s="0">
        <v>0</v>
      </c>
      <c r="G43" s="0">
        <v>0</v>
      </c>
      <c r="H43" s="0">
        <v>0</v>
      </c>
      <c r="I43" s="0">
        <v>0</v>
      </c>
      <c r="J43" s="0">
        <v>0</v>
      </c>
    </row>
    <row r="44">
      <c r="A44" s="149" t="s">
        <v>232</v>
      </c>
      <c r="B44" s="171" t="s">
        <v>110</v>
      </c>
      <c r="C44" s="171" t="s">
        <v>112</v>
      </c>
      <c r="D44" s="0">
        <v>0</v>
      </c>
      <c r="E44" s="0">
        <v>0</v>
      </c>
      <c r="F44" s="0">
        <v>0</v>
      </c>
      <c r="G44" s="0">
        <v>0</v>
      </c>
      <c r="H44" s="0">
        <v>0</v>
      </c>
      <c r="I44" s="0">
        <v>0</v>
      </c>
      <c r="J44" s="0">
        <v>0</v>
      </c>
    </row>
    <row r="45">
      <c r="A45" s="149" t="s">
        <v>232</v>
      </c>
      <c r="B45" s="171" t="s">
        <v>110</v>
      </c>
      <c r="C45" s="171" t="s">
        <v>269</v>
      </c>
      <c r="D45" s="0">
        <v>0</v>
      </c>
      <c r="E45" s="0">
        <v>0</v>
      </c>
      <c r="F45" s="0">
        <v>0</v>
      </c>
      <c r="G45" s="0">
        <v>0</v>
      </c>
      <c r="H45" s="0">
        <v>0</v>
      </c>
      <c r="I45" s="0">
        <v>0</v>
      </c>
      <c r="J45" s="0">
        <v>0</v>
      </c>
    </row>
    <row r="46">
      <c r="A46" s="149" t="s">
        <v>232</v>
      </c>
      <c r="B46" s="171" t="s">
        <v>110</v>
      </c>
      <c r="C46" s="171" t="s">
        <v>116</v>
      </c>
      <c r="D46" s="0">
        <v>0</v>
      </c>
      <c r="E46" s="0">
        <v>0</v>
      </c>
      <c r="F46" s="0">
        <v>0</v>
      </c>
      <c r="G46" s="0">
        <v>0</v>
      </c>
      <c r="H46" s="0">
        <v>0</v>
      </c>
      <c r="I46" s="0">
        <v>0</v>
      </c>
      <c r="J46" s="0">
        <v>0</v>
      </c>
    </row>
    <row r="47">
      <c r="A47" s="149" t="s">
        <v>232</v>
      </c>
      <c r="B47" s="171" t="s">
        <v>110</v>
      </c>
      <c r="C47" s="171" t="s">
        <v>270</v>
      </c>
      <c r="D47" s="0">
        <v>0</v>
      </c>
      <c r="E47" s="0">
        <v>0</v>
      </c>
      <c r="F47" s="0">
        <v>0</v>
      </c>
      <c r="G47" s="0">
        <v>0</v>
      </c>
      <c r="H47" s="0">
        <v>0</v>
      </c>
      <c r="I47" s="0">
        <v>0</v>
      </c>
      <c r="J47" s="0">
        <v>0</v>
      </c>
    </row>
    <row r="48">
      <c r="A48" s="149" t="s">
        <v>232</v>
      </c>
      <c r="B48" s="171" t="s">
        <v>110</v>
      </c>
      <c r="C48" s="171" t="s">
        <v>271</v>
      </c>
      <c r="D48" s="0">
        <v>0</v>
      </c>
      <c r="E48" s="0">
        <v>0</v>
      </c>
      <c r="F48" s="0">
        <v>0</v>
      </c>
      <c r="G48" s="0">
        <v>0</v>
      </c>
      <c r="H48" s="0">
        <v>0</v>
      </c>
      <c r="I48" s="0">
        <v>0</v>
      </c>
      <c r="J48" s="0">
        <v>0</v>
      </c>
    </row>
    <row r="49">
      <c r="A49" s="149" t="s">
        <v>232</v>
      </c>
      <c r="B49" s="171" t="s">
        <v>272</v>
      </c>
      <c r="C49" s="171" t="s">
        <v>273</v>
      </c>
      <c r="D49" s="0">
        <v>0</v>
      </c>
      <c r="E49" s="0">
        <v>0</v>
      </c>
      <c r="F49" s="0">
        <v>0</v>
      </c>
      <c r="G49" s="0">
        <v>0</v>
      </c>
      <c r="H49" s="0">
        <v>0</v>
      </c>
      <c r="I49" s="0">
        <v>0</v>
      </c>
      <c r="J49" s="0">
        <v>0</v>
      </c>
    </row>
    <row r="50">
      <c r="A50" s="149" t="s">
        <v>232</v>
      </c>
      <c r="B50" s="150" t="s">
        <v>274</v>
      </c>
      <c r="C50" s="150" t="s">
        <v>275</v>
      </c>
      <c r="D50" s="0">
        <v>0</v>
      </c>
      <c r="E50" s="0">
        <v>0</v>
      </c>
      <c r="F50" s="0">
        <v>0</v>
      </c>
      <c r="G50" s="0">
        <v>0</v>
      </c>
      <c r="H50" s="0">
        <v>0</v>
      </c>
      <c r="I50" s="0">
        <v>0</v>
      </c>
      <c r="J50" s="0">
        <v>0</v>
      </c>
    </row>
    <row r="51">
      <c r="A51" s="149" t="s">
        <v>232</v>
      </c>
      <c r="B51" s="150" t="s">
        <v>274</v>
      </c>
      <c r="C51" s="150" t="s">
        <v>276</v>
      </c>
      <c r="D51" s="0">
        <v>0</v>
      </c>
      <c r="E51" s="0">
        <v>0</v>
      </c>
      <c r="F51" s="0">
        <v>0</v>
      </c>
      <c r="G51" s="0">
        <v>0</v>
      </c>
      <c r="H51" s="0">
        <v>0</v>
      </c>
      <c r="I51" s="0">
        <v>0</v>
      </c>
      <c r="J51" s="0">
        <v>0</v>
      </c>
    </row>
    <row r="52">
      <c r="A52" s="149" t="s">
        <v>232</v>
      </c>
      <c r="B52" s="150" t="s">
        <v>274</v>
      </c>
      <c r="C52" s="150" t="s">
        <v>97</v>
      </c>
      <c r="D52" s="0">
        <v>0</v>
      </c>
      <c r="E52" s="0">
        <v>0</v>
      </c>
      <c r="F52" s="0">
        <v>0</v>
      </c>
      <c r="G52" s="0">
        <v>0</v>
      </c>
      <c r="H52" s="0">
        <v>0</v>
      </c>
      <c r="I52" s="0">
        <v>0</v>
      </c>
      <c r="J52" s="0">
        <v>0</v>
      </c>
    </row>
    <row r="53">
      <c r="A53" s="149" t="s">
        <v>232</v>
      </c>
      <c r="B53" s="150" t="s">
        <v>274</v>
      </c>
      <c r="C53" s="150" t="s">
        <v>277</v>
      </c>
      <c r="D53" s="0">
        <v>0</v>
      </c>
      <c r="E53" s="0">
        <v>0</v>
      </c>
      <c r="F53" s="0">
        <v>0</v>
      </c>
      <c r="G53" s="0">
        <v>0</v>
      </c>
      <c r="H53" s="0">
        <v>0</v>
      </c>
      <c r="I53" s="0">
        <v>0</v>
      </c>
      <c r="J53" s="0">
        <v>0</v>
      </c>
    </row>
    <row r="54">
      <c r="A54" s="149" t="s">
        <v>232</v>
      </c>
      <c r="B54" s="150" t="s">
        <v>274</v>
      </c>
      <c r="C54" s="150" t="s">
        <v>278</v>
      </c>
      <c r="D54" s="0">
        <v>0</v>
      </c>
      <c r="E54" s="0">
        <v>0</v>
      </c>
      <c r="F54" s="0">
        <v>0</v>
      </c>
      <c r="G54" s="0">
        <v>0</v>
      </c>
      <c r="H54" s="0">
        <v>0</v>
      </c>
      <c r="I54" s="0">
        <v>0</v>
      </c>
      <c r="J54" s="0">
        <v>0</v>
      </c>
    </row>
    <row r="55">
      <c r="A55" s="149" t="s">
        <v>232</v>
      </c>
      <c r="B55" s="150" t="s">
        <v>274</v>
      </c>
      <c r="C55" s="150" t="s">
        <v>279</v>
      </c>
      <c r="D55" s="0">
        <v>0</v>
      </c>
      <c r="E55" s="0">
        <v>0</v>
      </c>
      <c r="F55" s="0">
        <v>0</v>
      </c>
      <c r="G55" s="0">
        <v>0</v>
      </c>
      <c r="H55" s="0">
        <v>0</v>
      </c>
      <c r="I55" s="0">
        <v>0</v>
      </c>
      <c r="J55" s="0">
        <v>0</v>
      </c>
    </row>
    <row r="56">
      <c r="A56" s="149" t="s">
        <v>232</v>
      </c>
      <c r="B56" s="150" t="s">
        <v>274</v>
      </c>
      <c r="C56" s="150" t="s">
        <v>280</v>
      </c>
      <c r="D56" s="0">
        <v>0</v>
      </c>
      <c r="E56" s="0">
        <v>0</v>
      </c>
      <c r="F56" s="0">
        <v>0</v>
      </c>
      <c r="G56" s="0">
        <v>0</v>
      </c>
      <c r="H56" s="0">
        <v>0</v>
      </c>
      <c r="I56" s="0">
        <v>0</v>
      </c>
      <c r="J56" s="0">
        <v>0</v>
      </c>
    </row>
    <row r="57">
      <c r="A57" s="149" t="s">
        <v>232</v>
      </c>
      <c r="B57" s="171" t="s">
        <v>122</v>
      </c>
      <c r="C57" s="171" t="s">
        <v>281</v>
      </c>
      <c r="D57" s="0">
        <v>0</v>
      </c>
      <c r="E57" s="0">
        <v>0</v>
      </c>
      <c r="F57" s="0">
        <v>0</v>
      </c>
      <c r="G57" s="0">
        <v>0</v>
      </c>
      <c r="H57" s="0">
        <v>0</v>
      </c>
      <c r="I57" s="0">
        <v>0</v>
      </c>
      <c r="J57" s="0">
        <v>0</v>
      </c>
    </row>
    <row r="58">
      <c r="A58" s="149" t="s">
        <v>232</v>
      </c>
      <c r="B58" s="171" t="s">
        <v>122</v>
      </c>
      <c r="C58" s="171" t="s">
        <v>126</v>
      </c>
      <c r="D58" s="0">
        <v>0</v>
      </c>
      <c r="E58" s="0">
        <v>0</v>
      </c>
      <c r="F58" s="0">
        <v>0</v>
      </c>
      <c r="G58" s="0">
        <v>0</v>
      </c>
      <c r="H58" s="0">
        <v>0</v>
      </c>
      <c r="I58" s="0">
        <v>0</v>
      </c>
      <c r="J58" s="0">
        <v>0</v>
      </c>
    </row>
    <row r="59">
      <c r="A59" s="149" t="s">
        <v>232</v>
      </c>
      <c r="B59" s="171" t="s">
        <v>122</v>
      </c>
      <c r="C59" s="171" t="s">
        <v>282</v>
      </c>
      <c r="D59" s="0">
        <v>0</v>
      </c>
      <c r="E59" s="0">
        <v>0</v>
      </c>
      <c r="F59" s="0">
        <v>0</v>
      </c>
      <c r="G59" s="0">
        <v>0</v>
      </c>
      <c r="H59" s="0">
        <v>0</v>
      </c>
      <c r="I59" s="0">
        <v>0</v>
      </c>
      <c r="J59" s="0">
        <v>0</v>
      </c>
    </row>
    <row r="60">
      <c r="A60" s="149" t="s">
        <v>232</v>
      </c>
      <c r="B60" s="171" t="s">
        <v>122</v>
      </c>
      <c r="C60" s="171" t="s">
        <v>283</v>
      </c>
      <c r="D60" s="0">
        <v>0</v>
      </c>
      <c r="E60" s="0">
        <v>0</v>
      </c>
      <c r="F60" s="0">
        <v>0</v>
      </c>
      <c r="G60" s="0">
        <v>0</v>
      </c>
      <c r="H60" s="0">
        <v>0</v>
      </c>
      <c r="I60" s="0">
        <v>0</v>
      </c>
      <c r="J60" s="0">
        <v>0</v>
      </c>
    </row>
    <row r="61">
      <c r="A61" s="149" t="s">
        <v>232</v>
      </c>
      <c r="B61" s="171" t="s">
        <v>122</v>
      </c>
      <c r="C61" s="171" t="s">
        <v>284</v>
      </c>
      <c r="D61" s="0">
        <v>0</v>
      </c>
      <c r="E61" s="0">
        <v>0</v>
      </c>
      <c r="F61" s="0">
        <v>0</v>
      </c>
      <c r="G61" s="0">
        <v>0</v>
      </c>
      <c r="H61" s="0">
        <v>0</v>
      </c>
      <c r="I61" s="0">
        <v>0</v>
      </c>
      <c r="J61" s="0">
        <v>0</v>
      </c>
    </row>
    <row r="62">
      <c r="A62" s="149" t="s">
        <v>232</v>
      </c>
      <c r="B62" s="171" t="s">
        <v>122</v>
      </c>
      <c r="C62" s="171" t="s">
        <v>285</v>
      </c>
      <c r="D62" s="0">
        <v>0</v>
      </c>
      <c r="E62" s="0">
        <v>0</v>
      </c>
      <c r="F62" s="0">
        <v>0</v>
      </c>
      <c r="G62" s="0">
        <v>0</v>
      </c>
      <c r="H62" s="0">
        <v>0</v>
      </c>
      <c r="I62" s="0">
        <v>0</v>
      </c>
      <c r="J62" s="0">
        <v>0</v>
      </c>
    </row>
    <row r="63">
      <c r="A63" s="149" t="s">
        <v>232</v>
      </c>
      <c r="B63" s="171" t="s">
        <v>122</v>
      </c>
      <c r="C63" s="171" t="s">
        <v>132</v>
      </c>
      <c r="D63" s="0">
        <v>0</v>
      </c>
      <c r="E63" s="0">
        <v>0</v>
      </c>
      <c r="F63" s="0">
        <v>0</v>
      </c>
      <c r="G63" s="0">
        <v>0</v>
      </c>
      <c r="H63" s="0">
        <v>0</v>
      </c>
      <c r="I63" s="0">
        <v>0</v>
      </c>
      <c r="J63" s="0">
        <v>0</v>
      </c>
    </row>
    <row r="64">
      <c r="A64" s="149" t="s">
        <v>232</v>
      </c>
      <c r="B64" s="171" t="s">
        <v>122</v>
      </c>
      <c r="C64" s="171" t="s">
        <v>286</v>
      </c>
      <c r="D64" s="0">
        <v>0</v>
      </c>
      <c r="E64" s="0">
        <v>0</v>
      </c>
      <c r="F64" s="0">
        <v>0</v>
      </c>
      <c r="G64" s="0">
        <v>0</v>
      </c>
      <c r="H64" s="0">
        <v>0</v>
      </c>
      <c r="I64" s="0">
        <v>0</v>
      </c>
      <c r="J64" s="0">
        <v>0</v>
      </c>
    </row>
    <row r="65">
      <c r="A65" s="149" t="s">
        <v>232</v>
      </c>
      <c r="B65" s="171" t="s">
        <v>122</v>
      </c>
      <c r="C65" s="171" t="s">
        <v>287</v>
      </c>
      <c r="D65" s="0">
        <v>0</v>
      </c>
      <c r="E65" s="0">
        <v>0</v>
      </c>
      <c r="F65" s="0">
        <v>0</v>
      </c>
      <c r="G65" s="0">
        <v>0</v>
      </c>
      <c r="H65" s="0">
        <v>0</v>
      </c>
      <c r="I65" s="0">
        <v>0</v>
      </c>
      <c r="J65" s="0">
        <v>0</v>
      </c>
    </row>
    <row r="66">
      <c r="A66" s="149" t="s">
        <v>232</v>
      </c>
      <c r="B66" s="171" t="s">
        <v>122</v>
      </c>
      <c r="C66" s="171" t="s">
        <v>288</v>
      </c>
      <c r="D66" s="0">
        <v>0</v>
      </c>
      <c r="E66" s="0">
        <v>0</v>
      </c>
      <c r="F66" s="0">
        <v>0</v>
      </c>
      <c r="G66" s="0">
        <v>0</v>
      </c>
      <c r="H66" s="0">
        <v>0</v>
      </c>
      <c r="I66" s="0">
        <v>0</v>
      </c>
      <c r="J66" s="0">
        <v>0</v>
      </c>
    </row>
    <row r="67">
      <c r="A67" s="149" t="s">
        <v>232</v>
      </c>
      <c r="B67" s="171" t="s">
        <v>289</v>
      </c>
      <c r="C67" s="171" t="s">
        <v>141</v>
      </c>
      <c r="D67" s="0">
        <v>0</v>
      </c>
      <c r="E67" s="0">
        <v>0</v>
      </c>
      <c r="F67" s="0">
        <v>0</v>
      </c>
      <c r="G67" s="0">
        <v>0</v>
      </c>
      <c r="H67" s="0">
        <v>0</v>
      </c>
      <c r="I67" s="0">
        <v>0</v>
      </c>
      <c r="J67" s="0">
        <v>0</v>
      </c>
    </row>
    <row r="68">
      <c r="A68" s="149" t="s">
        <v>232</v>
      </c>
      <c r="B68" s="171" t="s">
        <v>133</v>
      </c>
      <c r="C68" s="171" t="s">
        <v>290</v>
      </c>
      <c r="D68" s="0">
        <v>0</v>
      </c>
      <c r="E68" s="0">
        <v>0</v>
      </c>
      <c r="F68" s="0">
        <v>0</v>
      </c>
      <c r="G68" s="0">
        <v>0</v>
      </c>
      <c r="H68" s="0">
        <v>0</v>
      </c>
      <c r="I68" s="0">
        <v>0</v>
      </c>
      <c r="J68" s="0">
        <v>0</v>
      </c>
    </row>
    <row r="69">
      <c r="A69" s="149" t="s">
        <v>232</v>
      </c>
      <c r="B69" s="171" t="s">
        <v>136</v>
      </c>
      <c r="C69" s="171" t="s">
        <v>291</v>
      </c>
      <c r="D69" s="0">
        <v>0</v>
      </c>
      <c r="E69" s="0">
        <v>0</v>
      </c>
      <c r="F69" s="0">
        <v>0</v>
      </c>
      <c r="G69" s="0">
        <v>0</v>
      </c>
      <c r="H69" s="0">
        <v>0</v>
      </c>
      <c r="I69" s="0">
        <v>0</v>
      </c>
      <c r="J69" s="0">
        <v>0</v>
      </c>
    </row>
    <row r="70">
      <c r="A70" s="149" t="s">
        <v>232</v>
      </c>
      <c r="B70" s="171" t="s">
        <v>136</v>
      </c>
      <c r="C70" s="171" t="s">
        <v>292</v>
      </c>
      <c r="D70" s="0">
        <v>0</v>
      </c>
      <c r="E70" s="0">
        <v>0</v>
      </c>
      <c r="F70" s="0">
        <v>0</v>
      </c>
      <c r="G70" s="0">
        <v>0</v>
      </c>
      <c r="H70" s="0">
        <v>0</v>
      </c>
      <c r="I70" s="0">
        <v>0</v>
      </c>
      <c r="J70" s="0">
        <v>0</v>
      </c>
    </row>
    <row r="71">
      <c r="A71" s="149" t="s">
        <v>232</v>
      </c>
      <c r="B71" s="171" t="s">
        <v>136</v>
      </c>
      <c r="C71" s="171" t="s">
        <v>137</v>
      </c>
      <c r="D71" s="0">
        <v>0</v>
      </c>
      <c r="E71" s="0">
        <v>0</v>
      </c>
      <c r="F71" s="0">
        <v>0</v>
      </c>
      <c r="G71" s="0">
        <v>0</v>
      </c>
      <c r="H71" s="0">
        <v>0</v>
      </c>
      <c r="I71" s="0">
        <v>0</v>
      </c>
      <c r="J71" s="0">
        <v>0</v>
      </c>
    </row>
    <row r="72">
      <c r="A72" s="149" t="s">
        <v>232</v>
      </c>
      <c r="B72" s="171" t="s">
        <v>136</v>
      </c>
      <c r="C72" s="171" t="s">
        <v>138</v>
      </c>
      <c r="D72" s="0">
        <v>1.35</v>
      </c>
      <c r="E72" s="0">
        <v>4.73</v>
      </c>
      <c r="F72" s="0">
        <v>1.35</v>
      </c>
      <c r="G72" s="0">
        <v>4.73</v>
      </c>
      <c r="H72" s="0">
        <v>4.73</v>
      </c>
      <c r="I72" s="0">
        <v>4.73</v>
      </c>
      <c r="J72" s="0">
        <v>3.04</v>
      </c>
    </row>
    <row r="73">
      <c r="A73" s="149" t="s">
        <v>232</v>
      </c>
      <c r="B73" s="171" t="s">
        <v>136</v>
      </c>
      <c r="C73" s="171" t="s">
        <v>293</v>
      </c>
      <c r="D73" s="0">
        <v>0</v>
      </c>
      <c r="E73" s="0">
        <v>0</v>
      </c>
      <c r="F73" s="0">
        <v>0</v>
      </c>
      <c r="G73" s="0">
        <v>0</v>
      </c>
      <c r="H73" s="0">
        <v>0</v>
      </c>
      <c r="I73" s="0">
        <v>0</v>
      </c>
      <c r="J73" s="0">
        <v>0</v>
      </c>
    </row>
    <row r="74">
      <c r="A74" s="149" t="s">
        <v>232</v>
      </c>
      <c r="B74" s="171" t="s">
        <v>136</v>
      </c>
      <c r="C74" s="171" t="s">
        <v>294</v>
      </c>
      <c r="D74" s="0">
        <v>0</v>
      </c>
      <c r="E74" s="0">
        <v>0</v>
      </c>
      <c r="F74" s="0">
        <v>0</v>
      </c>
      <c r="G74" s="0">
        <v>0</v>
      </c>
      <c r="H74" s="0">
        <v>0</v>
      </c>
      <c r="I74" s="0">
        <v>0</v>
      </c>
      <c r="J74" s="0">
        <v>0</v>
      </c>
    </row>
    <row r="75">
      <c r="A75" s="149" t="s">
        <v>232</v>
      </c>
      <c r="B75" s="171" t="s">
        <v>136</v>
      </c>
      <c r="C75" s="171" t="s">
        <v>295</v>
      </c>
      <c r="D75" s="0">
        <v>0</v>
      </c>
      <c r="E75" s="0">
        <v>0</v>
      </c>
      <c r="F75" s="0">
        <v>0</v>
      </c>
      <c r="G75" s="0">
        <v>0</v>
      </c>
      <c r="H75" s="0">
        <v>0</v>
      </c>
      <c r="I75" s="0">
        <v>0</v>
      </c>
      <c r="J75" s="0">
        <v>0</v>
      </c>
    </row>
  </sheetData>
  <pageMargins left="0.7" right="0.7" top="0.75" bottom="0.75" header="0.3" footer="0.3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T6"/>
  <sheetViews>
    <sheetView zoomScaleNormal="100" workbookViewId="0">
      <selection activeCell="N2" sqref="N2"/>
    </sheetView>
  </sheetViews>
  <sheetFormatPr baseColWidth="10" defaultColWidth="11.42578125" defaultRowHeight="15"/>
  <cols>
    <col min="1" max="1" bestFit="1" width="15.7109375" customWidth="1"/>
    <col min="2" max="2" bestFit="1" width="11.7109375" customWidth="1"/>
    <col min="3" max="3" bestFit="1" width="41.140625" customWidth="1"/>
    <col min="4" max="4" width="2.85546875" customWidth="1"/>
    <col min="5" max="5" bestFit="1" width="17.5703125" customWidth="1"/>
    <col min="6" max="6" bestFit="1" width="11.7109375" customWidth="1"/>
    <col min="7" max="12" width="2.140625" customWidth="1"/>
    <col min="13" max="13" bestFit="1" width="11.7109375" customWidth="1"/>
    <col min="14" max="14" bestFit="1" width="10.7109375" customWidth="1"/>
    <col min="15" max="15" bestFit="1" width="14.28515625" customWidth="1"/>
    <col min="16" max="18" width="2" customWidth="1"/>
    <col min="19" max="19" bestFit="1" width="22.140625" customWidth="1"/>
    <col min="20" max="20" bestFit="1" width="12.42578125" customWidth="1"/>
  </cols>
  <sheetData>
    <row r="1" s="226" customFormat="1">
      <c r="A1" s="225" t="s">
        <v>223</v>
      </c>
      <c r="B1" s="225" t="s">
        <v>224</v>
      </c>
      <c r="C1" s="225" t="s">
        <v>225</v>
      </c>
      <c r="D1" s="225"/>
      <c r="E1" s="225" t="s">
        <v>223</v>
      </c>
      <c r="F1" s="225" t="s">
        <v>224</v>
      </c>
      <c r="M1" s="225" t="s">
        <v>296</v>
      </c>
      <c r="N1" s="225" t="s">
        <v>297</v>
      </c>
      <c r="O1" s="225" t="s">
        <v>298</v>
      </c>
      <c r="S1" s="225" t="s">
        <v>299</v>
      </c>
      <c r="T1" s="225" t="s">
        <v>300</v>
      </c>
    </row>
    <row r="2">
      <c r="A2" s="0" t="s">
        <v>301</v>
      </c>
      <c r="B2" s="0" t="s">
        <v>102</v>
      </c>
      <c r="C2" s="0" t="s">
        <v>104</v>
      </c>
      <c r="E2" s="0" t="s">
        <v>301</v>
      </c>
      <c r="F2" s="0" t="s">
        <v>102</v>
      </c>
      <c r="M2" s="0" t="s">
        <v>302</v>
      </c>
      <c r="N2" s="0" t="s">
        <v>303</v>
      </c>
      <c r="O2" s="0" t="s">
        <v>303</v>
      </c>
      <c r="S2" s="0" t="s">
        <v>304</v>
      </c>
    </row>
    <row r="3">
      <c r="A3" s="0" t="s">
        <v>301</v>
      </c>
      <c r="B3" s="0" t="s">
        <v>122</v>
      </c>
      <c r="C3" s="0" t="s">
        <v>123</v>
      </c>
      <c r="E3" s="0" t="s">
        <v>301</v>
      </c>
      <c r="F3" s="0" t="s">
        <v>122</v>
      </c>
    </row>
    <row r="4">
      <c r="A4" s="0" t="s">
        <v>301</v>
      </c>
      <c r="B4" s="0" t="s">
        <v>136</v>
      </c>
      <c r="C4" s="0" t="s">
        <v>138</v>
      </c>
      <c r="E4" s="0" t="s">
        <v>301</v>
      </c>
      <c r="F4" s="0" t="s">
        <v>136</v>
      </c>
    </row>
    <row r="5">
      <c r="A5" s="0" t="s">
        <v>301</v>
      </c>
      <c r="B5" s="0" t="s">
        <v>136</v>
      </c>
      <c r="C5" s="0" t="s">
        <v>139</v>
      </c>
    </row>
    <row r="6">
      <c r="A6" s="0" t="s">
        <v>301</v>
      </c>
      <c r="B6" s="0" t="s">
        <v>136</v>
      </c>
      <c r="C6" s="0" t="s">
        <v>141</v>
      </c>
    </row>
  </sheetData>
  <sortState xmlns:xlrd2="http://schemas.microsoft.com/office/spreadsheetml/2017/richdata2" ref="A4:C16">
    <sortCondition ref="A1:A1048549"/>
  </sortState>
  <pageMargins left="0.7" right="0.7" top="0.75" bottom="0.75" header="0.3" footer="0.3"/>
  <pageSetup paperSize="9" orientation="portrait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5AD4-71C7-4698-BE1E-3A736403D3FB}">
  <dimension ref="A1:A5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>
      <c r="A1" s="0" t="s">
        <v>305</v>
      </c>
    </row>
    <row r="2"/>
    <row r="3"/>
    <row r="4"/>
    <row r="5"/>
  </sheetData>
  <pageMargins left="0.7" right="0.7" top="0.75" bottom="0.75" header="0.3" footer="0.3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bestFit="1" width="19.5703125" customWidth="1"/>
    <col min="2" max="2" bestFit="1" width="50.42578125" customWidth="1"/>
    <col min="3" max="3" bestFit="1" width="16.42578125" customWidth="1"/>
    <col min="4" max="8" width="11.42578125" customWidth="1"/>
  </cols>
  <sheetData>
    <row r="1">
      <c r="A1" s="0" t="s">
        <v>306</v>
      </c>
      <c r="B1" s="0" t="s">
        <v>307</v>
      </c>
      <c r="C1" s="0" t="s">
        <v>189</v>
      </c>
    </row>
    <row r="2">
      <c r="A2" s="0" t="s">
        <v>10</v>
      </c>
      <c r="B2" s="0" t="s">
        <v>10</v>
      </c>
      <c r="C2" s="0" t="s">
        <v>308</v>
      </c>
    </row>
    <row r="4">
      <c r="G4" s="43"/>
    </row>
    <row r="416">
      <c r="A416" s="141"/>
      <c r="B416" s="141"/>
      <c r="C416" s="141"/>
    </row>
    <row r="438">
      <c r="A438" s="141"/>
      <c r="B438" s="141"/>
      <c r="C438" s="141"/>
    </row>
    <row r="441">
      <c r="A441" s="141"/>
      <c r="B441" s="141"/>
      <c r="C441" s="141"/>
    </row>
    <row r="456">
      <c r="A456" s="141"/>
      <c r="B456" s="141"/>
      <c r="C456" s="141"/>
    </row>
    <row r="478">
      <c r="A478" s="141"/>
      <c r="B478" s="141"/>
      <c r="C478" s="141"/>
    </row>
    <row r="481">
      <c r="A481" s="141"/>
      <c r="B481" s="141"/>
      <c r="C481" s="141"/>
    </row>
    <row r="494">
      <c r="A494" s="55"/>
      <c r="B494" s="55"/>
      <c r="C494" s="55"/>
    </row>
    <row r="495">
      <c r="A495" s="55"/>
      <c r="B495" s="55"/>
      <c r="C495" s="55"/>
    </row>
    <row r="496">
      <c r="A496" s="55"/>
      <c r="B496" s="55"/>
      <c r="C496" s="55"/>
    </row>
    <row r="497">
      <c r="A497" s="55"/>
      <c r="B497" s="55"/>
      <c r="C497" s="55"/>
    </row>
    <row r="498">
      <c r="A498" s="55"/>
      <c r="B498" s="55"/>
      <c r="C498" s="55"/>
    </row>
    <row r="499">
      <c r="A499" s="55"/>
      <c r="B499" s="55"/>
      <c r="C499" s="55"/>
    </row>
    <row r="500">
      <c r="A500" s="55"/>
      <c r="B500" s="55"/>
      <c r="C500" s="55"/>
    </row>
    <row r="501">
      <c r="A501" s="55"/>
      <c r="B501" s="55"/>
      <c r="C501" s="55"/>
    </row>
    <row r="502">
      <c r="A502" s="55"/>
      <c r="B502" s="55"/>
      <c r="C502" s="55"/>
    </row>
    <row r="503">
      <c r="A503" s="55"/>
      <c r="B503" s="55"/>
      <c r="C503" s="55"/>
    </row>
    <row r="504">
      <c r="A504" s="141"/>
      <c r="B504" s="141"/>
      <c r="C504" s="141"/>
    </row>
    <row r="505">
      <c r="A505" s="141"/>
      <c r="B505" s="141"/>
      <c r="C505" s="141"/>
    </row>
    <row r="506">
      <c r="A506" s="141"/>
      <c r="B506" s="141"/>
      <c r="C506" s="141"/>
    </row>
    <row r="507">
      <c r="A507" s="141"/>
      <c r="B507" s="141"/>
      <c r="C507" s="141"/>
    </row>
    <row r="508">
      <c r="A508" s="141"/>
      <c r="B508" s="141"/>
      <c r="C508" s="141"/>
    </row>
    <row r="509">
      <c r="A509" s="141"/>
      <c r="B509" s="141"/>
      <c r="C509" s="141"/>
    </row>
    <row r="512">
      <c r="C512" s="141"/>
    </row>
  </sheetData>
  <pageMargins left="0.7" right="0.7" top="0.75" bottom="0.75" header="0.3" footer="0.3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bestFit="1" width="21.85546875" customWidth="1" style="151"/>
    <col min="2" max="2" bestFit="1" width="97.85546875" customWidth="1"/>
    <col min="3" max="3" bestFit="1" width="14" customWidth="1"/>
    <col min="4" max="4" bestFit="1" width="38.140625" customWidth="1"/>
  </cols>
  <sheetData>
    <row r="1">
      <c r="A1" s="151" t="s">
        <v>309</v>
      </c>
      <c r="B1" s="0" t="s">
        <v>310</v>
      </c>
      <c r="C1" s="0" t="s">
        <v>311</v>
      </c>
      <c r="D1" s="0" t="s">
        <v>312</v>
      </c>
      <c r="E1" s="0" t="s">
        <v>313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31</vt:i4>
      </vt:variant>
      <vt:variant>
        <vt:lpstr>Plages nommées</vt:lpstr>
      </vt:variant>
      <vt:variant>
        <vt:i4>9</vt:i4>
      </vt:variant>
    </vt:vector>
  </HeadingPairs>
  <TitlesOfParts>
    <vt:vector size="40" baseType="lpstr">
      <vt:lpstr>Page de garde</vt:lpstr>
      <vt:lpstr>CONTROLE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OBSEQ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IMPORT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2022-09-21T10:28:00Z</cp:lastPrinted>
  <dcterms:created xsi:type="dcterms:W3CDTF">2017-05-24T08:26:58Z</dcterms:created>
  <dcterms:modified xsi:type="dcterms:W3CDTF">2023-03-08T17:19:17Z</dcterms:modified>
</cp:coreProperties>
</file>